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0" activeTab="7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 Estados" sheetId="9" state="visible" r:id="rId9"/>
    <sheet xmlns:r="http://schemas.openxmlformats.org/officeDocument/2006/relationships" name="Dashboard Departamentos" sheetId="10" state="visible" r:id="rId10"/>
    <sheet xmlns:r="http://schemas.openxmlformats.org/officeDocument/2006/relationships" name="Estado por Colaborador" sheetId="11" state="visible" r:id="rId11"/>
    <sheet xmlns:r="http://schemas.openxmlformats.org/officeDocument/2006/relationships" name="Top 3 Departamentos" sheetId="12" state="visible" r:id="rId12"/>
    <sheet xmlns:r="http://schemas.openxmlformats.org/officeDocument/2006/relationships" name="Listado de Pendientes" sheetId="13" state="visible" r:id="rId13"/>
    <sheet xmlns:r="http://schemas.openxmlformats.org/officeDocument/2006/relationships" name="Listado de Situación Especial" sheetId="14" state="visible" r:id="rId14"/>
    <sheet xmlns:r="http://schemas.openxmlformats.org/officeDocument/2006/relationships" name="Listado de Completados" sheetId="15" state="visible" r:id="rId15"/>
    <sheet xmlns:r="http://schemas.openxmlformats.org/officeDocument/2006/relationships" name="Historial de Intentos" sheetId="16" state="visible" r:id="rId16"/>
    <sheet xmlns:r="http://schemas.openxmlformats.org/officeDocument/2006/relationships" name="Cálculos" sheetId="17" state="hidden" r:id="rId17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2" hidden="1">'Listado de Pendientes'!$A$4:$E$1000</definedName>
    <definedName name="_xlnm._FilterDatabase" localSheetId="13" hidden="1">'Listado de Situación Especial'!$B$4:$G$1000</definedName>
    <definedName name="_xlnm._FilterDatabase" localSheetId="14" hidden="1">'Listado de Completados'!$A$4:$H$1000</definedName>
    <definedName name="_xlnm._FilterDatabase" localSheetId="15" hidden="1">'Historial de Intentos'!$A$4:$J$304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0.0"/>
    <numFmt numFmtId="166" formatCode="0.0%"/>
    <numFmt numFmtId="167" formatCode="0.0%&quot; del total&quot;"/>
  </numFmts>
  <fonts count="44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Calibri"/>
      <family val="2"/>
      <b val="1"/>
      <color rgb="FFFFFFFF"/>
      <sz val="18"/>
    </font>
    <font>
      <name val="Calibri"/>
      <family val="2"/>
      <i val="1"/>
      <color rgb="FFDDEBF7"/>
      <sz val="10"/>
    </font>
    <font>
      <name val="Calibri"/>
      <family val="2"/>
      <b val="1"/>
      <color rgb="FF7F7F7F"/>
      <sz val="9"/>
    </font>
    <font>
      <name val="Calibri"/>
      <family val="2"/>
      <b val="1"/>
      <color rgb="FF1F4E78"/>
      <sz val="9"/>
    </font>
    <font>
      <name val="Calibri"/>
      <family val="2"/>
      <b val="1"/>
      <color rgb="FF1F4E78"/>
      <sz val="26"/>
    </font>
    <font>
      <name val="Calibri"/>
      <family val="2"/>
      <i val="1"/>
      <color rgb="FF7F7F7F"/>
      <sz val="9"/>
    </font>
    <font>
      <name val="Calibri"/>
      <family val="2"/>
      <b val="1"/>
      <color rgb="FF2E7D32"/>
      <sz val="26"/>
    </font>
    <font>
      <name val="Calibri"/>
      <family val="2"/>
      <b val="1"/>
      <color rgb="FFC55A11"/>
      <sz val="26"/>
    </font>
    <font>
      <name val="Calibri"/>
      <family val="2"/>
      <b val="1"/>
      <color rgb="FF000000"/>
      <sz val="12"/>
    </font>
    <font>
      <name val="Calibri"/>
      <family val="2"/>
      <b val="1"/>
      <color rgb="FF2E75B6"/>
      <sz val="10"/>
      <u val="single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0"/>
    </font>
    <font>
      <name val="Calibri"/>
      <family val="2"/>
      <color rgb="FF404040"/>
      <sz val="10"/>
    </font>
    <font>
      <name val="Calibri"/>
      <family val="2"/>
      <b val="1"/>
      <color rgb="FF1F4E78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7F7F7F"/>
      <sz val="10"/>
    </font>
    <font>
      <name val="Calibri"/>
      <family val="2"/>
      <b val="1"/>
      <color rgb="FF1F4E78"/>
      <sz val="14"/>
    </font>
    <font>
      <name val="Calibri"/>
      <family val="2"/>
      <b val="1"/>
      <color rgb="FF2E7D32"/>
      <sz val="14"/>
    </font>
    <font>
      <name val="Calibri"/>
      <family val="2"/>
      <b val="1"/>
      <color rgb="FFC55A11"/>
      <sz val="14"/>
    </font>
    <font>
      <name val="Calibri"/>
      <family val="2"/>
      <b val="1"/>
      <color rgb="FFC00000"/>
      <sz val="9"/>
    </font>
    <font>
      <name val="Calibri"/>
      <family val="2"/>
      <b val="1"/>
      <color rgb="FF1F4E78"/>
      <sz val="12"/>
    </font>
    <font>
      <name val="Calibri"/>
      <family val="2"/>
      <color rgb="FF404040"/>
      <sz val="11"/>
    </font>
    <font>
      <name val="Calibri"/>
      <family val="2"/>
      <b val="1"/>
      <color rgb="FF7F7F7F"/>
      <sz val="8"/>
    </font>
    <font>
      <name val="Calibri"/>
      <family val="2"/>
      <b val="1"/>
      <color rgb="FF1F4E78"/>
      <sz val="24"/>
    </font>
    <font>
      <name val="Calibri"/>
      <family val="2"/>
      <b val="1"/>
      <color rgb="FFC55A11"/>
      <sz val="24"/>
    </font>
    <font>
      <name val="Calibri"/>
      <family val="2"/>
      <b val="1"/>
      <color rgb="FF5B9BD5"/>
      <sz val="24"/>
    </font>
    <font>
      <name val="Calibri"/>
      <family val="2"/>
      <b val="1"/>
      <color rgb="FFFFC000"/>
      <sz val="24"/>
    </font>
    <font>
      <name val="Calibri"/>
      <family val="2"/>
      <b val="1"/>
      <color rgb="FFA64D79"/>
      <sz val="24"/>
    </font>
    <font>
      <name val="Calibri"/>
      <family val="2"/>
      <b val="1"/>
      <color rgb="FF7F7F7F"/>
      <sz val="24"/>
    </font>
    <font>
      <name val="Calibri"/>
      <family val="2"/>
      <b val="1"/>
      <color rgb="FF7F6000"/>
      <sz val="12"/>
    </font>
    <font>
      <name val="Calibri"/>
      <family val="2"/>
      <b val="1"/>
      <color rgb="FF002060"/>
      <sz val="9"/>
    </font>
    <font>
      <name val="Calibri"/>
      <family val="2"/>
      <color rgb="FF002060"/>
      <sz val="11"/>
      <scheme val="minor"/>
    </font>
    <font>
      <name val="Calibri"/>
      <family val="2"/>
      <b val="1"/>
      <color rgb="FF1F4E78"/>
      <sz val="10"/>
    </font>
    <font>
      <name val="Calibri"/>
      <family val="2"/>
      <b val="1"/>
      <color rgb="FF1F4E78"/>
      <sz val="26"/>
    </font>
    <font>
      <name val="Calibri"/>
      <family val="2"/>
      <b val="1"/>
      <color rgb="FF5B9BD5"/>
      <sz val="26"/>
    </font>
    <font>
      <name val="Calibri"/>
      <family val="2"/>
      <b val="1"/>
      <color rgb="FFBF9000"/>
      <sz val="26"/>
    </font>
    <font>
      <name val="Calibri"/>
      <family val="2"/>
      <b val="1"/>
      <color rgb="FFA64D79"/>
      <sz val="26"/>
    </font>
    <font>
      <name val="Calibri"/>
      <family val="2"/>
      <b val="1"/>
      <color rgb="FF7F7F7F"/>
      <sz val="26"/>
    </font>
    <font>
      <name val="Calibri"/>
      <family val="2"/>
      <i val="1"/>
      <color rgb="FF002060"/>
      <sz val="9"/>
    </font>
  </fonts>
  <fills count="8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FFFFFF"/>
      </patternFill>
    </fill>
  </fills>
  <borders count="6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1F4E78"/>
      </top>
      <bottom/>
      <diagonal/>
    </border>
    <border>
      <left/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 style="thick">
        <color rgb="FF2E7D32"/>
      </top>
      <bottom/>
      <diagonal/>
    </border>
    <border>
      <left/>
      <right style="thin">
        <color rgb="FFD9D9D9"/>
      </right>
      <top style="thick">
        <color rgb="FF2E7D32"/>
      </top>
      <bottom/>
      <diagonal/>
    </border>
    <border>
      <left/>
      <right/>
      <top style="thick">
        <color rgb="FFC55A11"/>
      </top>
      <bottom/>
      <diagonal/>
    </border>
    <border>
      <left/>
      <right style="thin">
        <color rgb="FFD9D9D9"/>
      </right>
      <top style="thick">
        <color rgb="FFC55A11"/>
      </top>
      <bottom/>
      <diagonal/>
    </border>
    <border>
      <left style="thick">
        <color rgb="FF1F4E78"/>
      </left>
      <right/>
      <top/>
      <bottom/>
      <diagonal/>
    </border>
    <border>
      <left style="thick">
        <color rgb="FF2E7D32"/>
      </left>
      <right/>
      <top/>
      <bottom/>
      <diagonal/>
    </border>
    <border>
      <left style="thick">
        <color rgb="FFC55A11"/>
      </left>
      <right/>
      <top/>
      <bottom/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 style="thick">
        <color rgb="FF2E7D32"/>
      </top>
      <bottom/>
      <diagonal/>
    </border>
    <border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/>
      <right/>
      <top style="medium">
        <color rgb="FFBF9000"/>
      </top>
      <bottom style="medium">
        <color rgb="FFBF9000"/>
      </bottom>
      <diagonal/>
    </border>
    <border>
      <left/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ck">
        <color rgb="FFC55A11"/>
      </top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1F4E78"/>
      </bottom>
      <diagonal/>
    </border>
    <border>
      <left/>
      <right style="thin">
        <color rgb="FFD9D9D9"/>
      </right>
      <top style="thick">
        <color rgb="FF5B9BD5"/>
      </top>
      <bottom/>
      <diagonal/>
    </border>
    <border>
      <left/>
      <right style="thin">
        <color rgb="FFD9D9D9"/>
      </right>
      <top style="thick">
        <color rgb="FFFFC000"/>
      </top>
      <bottom/>
      <diagonal/>
    </border>
    <border>
      <left/>
      <right style="thin">
        <color rgb="FFD9D9D9"/>
      </right>
      <top style="thick">
        <color rgb="FFA64D79"/>
      </top>
      <bottom/>
      <diagonal/>
    </border>
    <border>
      <left/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5B9BD5"/>
      </top>
      <bottom/>
      <diagonal/>
    </border>
    <border>
      <left style="thin">
        <color rgb="FFD9D9D9"/>
      </left>
      <right style="thin">
        <color rgb="FFD9D9D9"/>
      </right>
      <top style="thick">
        <color rgb="FFFFC000"/>
      </top>
      <bottom/>
      <diagonal/>
    </border>
    <border>
      <left style="thin">
        <color rgb="FFD9D9D9"/>
      </left>
      <right style="thin">
        <color rgb="FFD9D9D9"/>
      </right>
      <top style="thick">
        <color rgb="FFA64D79"/>
      </top>
      <bottom/>
      <diagonal/>
    </border>
    <border>
      <left style="thin">
        <color rgb="FFD9D9D9"/>
      </left>
      <right style="thin">
        <color rgb="FFD9D9D9"/>
      </right>
      <top style="thick">
        <color rgb="FF7F7F7F"/>
      </top>
      <bottom/>
      <diagonal/>
    </border>
    <border>
      <left/>
      <right/>
      <top style="thick">
        <color rgb="FF1F4E78"/>
      </top>
      <bottom/>
      <diagonal/>
    </border>
    <border>
      <left/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5B9BD5"/>
      </top>
      <bottom/>
      <diagonal/>
    </border>
    <border>
      <left/>
      <right style="thin">
        <color rgb="FFD9D9D9"/>
      </right>
      <top style="thick">
        <color rgb="FF5B9BD5"/>
      </top>
      <bottom/>
      <diagonal/>
    </border>
    <border>
      <left/>
      <right/>
      <top style="thick">
        <color rgb="FFBF9000"/>
      </top>
      <bottom/>
      <diagonal/>
    </border>
    <border>
      <left/>
      <right style="thin">
        <color rgb="FFD9D9D9"/>
      </right>
      <top style="thick">
        <color rgb="FFBF9000"/>
      </top>
      <bottom/>
      <diagonal/>
    </border>
    <border>
      <left/>
      <right/>
      <top style="thick">
        <color rgb="FFA64D79"/>
      </top>
      <bottom/>
      <diagonal/>
    </border>
    <border>
      <left/>
      <right style="thin">
        <color rgb="FFD9D9D9"/>
      </right>
      <top style="thick">
        <color rgb="FFA64D79"/>
      </top>
      <bottom/>
      <diagonal/>
    </border>
    <border>
      <left/>
      <right/>
      <top style="thick">
        <color rgb="FF7F7F7F"/>
      </top>
      <bottom/>
      <diagonal/>
    </border>
    <border>
      <left/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5B9BD5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A64D79"/>
      </top>
      <bottom/>
      <diagonal/>
    </border>
    <border>
      <left style="thin">
        <color rgb="FFD9D9D9"/>
      </left>
      <right style="thin">
        <color rgb="FFD9D9D9"/>
      </right>
      <top style="thick">
        <color rgb="FFBF9000"/>
      </top>
      <bottom/>
      <diagonal/>
    </border>
    <border>
      <left/>
      <right/>
      <top style="medium">
        <color rgb="FFBF9000"/>
      </top>
      <bottom/>
      <diagonal/>
    </border>
    <border>
      <left/>
      <right style="medium">
        <color rgb="FFBF9000"/>
      </right>
      <top style="medium">
        <color rgb="FFBF9000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n">
        <color rgb="FFBF9000"/>
      </top>
      <bottom/>
      <diagonal/>
    </border>
    <border>
      <left/>
      <right style="thin">
        <color rgb="FFBF9000"/>
      </right>
      <top style="thin">
        <color rgb="FFBF9000"/>
      </top>
      <bottom/>
      <diagonal/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pivotButton="0" quotePrefix="0" xfId="0"/>
    <xf numFmtId="165" fontId="0" fillId="0" borderId="1" pivotButton="0" quotePrefix="0" xfId="0"/>
    <xf numFmtId="22" fontId="0" fillId="0" borderId="1" pivotButton="0" quotePrefix="0" xfId="0"/>
    <xf numFmtId="0" fontId="16" fillId="3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 indent="1"/>
    </xf>
    <xf numFmtId="0" fontId="21" fillId="6" borderId="13" applyAlignment="1" pivotButton="0" quotePrefix="0" xfId="0">
      <alignment horizontal="center" vertical="center"/>
    </xf>
    <xf numFmtId="0" fontId="22" fillId="6" borderId="14" applyAlignment="1" pivotButton="0" quotePrefix="0" xfId="0">
      <alignment horizontal="center" vertical="center"/>
    </xf>
    <xf numFmtId="0" fontId="23" fillId="6" borderId="15" applyAlignment="1" pivotButton="0" quotePrefix="0" xfId="0">
      <alignment horizontal="center" vertical="center"/>
    </xf>
    <xf numFmtId="22" fontId="17" fillId="0" borderId="0" applyAlignment="1" pivotButton="0" quotePrefix="0" xfId="0">
      <alignment horizontal="center" vertical="center"/>
    </xf>
    <xf numFmtId="1" fontId="17" fillId="0" borderId="0" applyAlignment="1" pivotButton="0" quotePrefix="0" xfId="0">
      <alignment horizontal="center" vertical="center"/>
    </xf>
    <xf numFmtId="1" fontId="0" fillId="0" borderId="1" pivotButton="0" quotePrefix="0" xfId="0"/>
    <xf numFmtId="22" fontId="4" fillId="0" borderId="1" pivotButton="0" quotePrefix="0" xfId="0"/>
    <xf numFmtId="165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0" fontId="15" fillId="0" borderId="0" pivotButton="0" quotePrefix="0" xfId="0"/>
    <xf numFmtId="1" fontId="4" fillId="0" borderId="1" pivotButton="0" quotePrefix="0" xfId="0"/>
    <xf numFmtId="0" fontId="26" fillId="0" borderId="0" applyAlignment="1" pivotButton="0" quotePrefix="0" xfId="0">
      <alignment horizontal="right" vertical="top"/>
    </xf>
    <xf numFmtId="0" fontId="26" fillId="0" borderId="0" applyAlignment="1" pivotButton="0" quotePrefix="0" xfId="0">
      <alignment vertical="top" wrapText="1"/>
    </xf>
    <xf numFmtId="0" fontId="21" fillId="6" borderId="15" applyAlignment="1" pivotButton="0" quotePrefix="0" xfId="0">
      <alignment horizontal="center" vertical="center"/>
    </xf>
    <xf numFmtId="0" fontId="34" fillId="5" borderId="1" applyAlignment="1" pivotButton="0" quotePrefix="0" xfId="0">
      <alignment horizontal="center"/>
    </xf>
    <xf numFmtId="0" fontId="34" fillId="5" borderId="1" pivotButton="0" quotePrefix="0" xfId="0"/>
    <xf numFmtId="22" fontId="34" fillId="5" borderId="1" applyAlignment="1" pivotButton="0" quotePrefix="0" xfId="0">
      <alignment horizontal="center"/>
    </xf>
    <xf numFmtId="165" fontId="34" fillId="5" borderId="1" pivotButton="0" quotePrefix="0" xfId="0"/>
    <xf numFmtId="14" fontId="0" fillId="0" borderId="1" applyAlignment="1" pivotButton="0" quotePrefix="0" xfId="0">
      <alignment horizontal="center"/>
    </xf>
    <xf numFmtId="165" fontId="9" fillId="4" borderId="2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6" fillId="3" borderId="0" applyAlignment="1" pivotButton="0" quotePrefix="0" xfId="0">
      <alignment vertical="top" indent="1"/>
    </xf>
    <xf numFmtId="3" fontId="42" fillId="7" borderId="5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6" pivotButton="0" quotePrefix="0" xfId="0"/>
    <xf numFmtId="0" fontId="0" fillId="0" borderId="8" pivotButton="0" quotePrefix="0" xfId="0"/>
    <xf numFmtId="0" fontId="0" fillId="0" borderId="4" pivotButton="0" quotePrefix="0" xfId="0"/>
    <xf numFmtId="0" fontId="35" fillId="4" borderId="16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3" borderId="0" applyAlignment="1" pivotButton="0" quotePrefix="0" xfId="0">
      <alignment indent="1"/>
    </xf>
    <xf numFmtId="166" fontId="9" fillId="4" borderId="21" applyAlignment="1" pivotButton="0" quotePrefix="0" xfId="0">
      <alignment horizontal="center" vertical="center"/>
    </xf>
    <xf numFmtId="0" fontId="24" fillId="0" borderId="0" applyAlignment="1" pivotButton="0" quotePrefix="0" xfId="0">
      <alignment horizontal="right"/>
    </xf>
    <xf numFmtId="0" fontId="37" fillId="0" borderId="0" pivotButton="0" quotePrefix="0" xfId="0"/>
    <xf numFmtId="3" fontId="12" fillId="4" borderId="21" applyAlignment="1" pivotButton="0" quotePrefix="0" xfId="0">
      <alignment horizontal="center" vertical="center"/>
    </xf>
    <xf numFmtId="3" fontId="38" fillId="7" borderId="50" applyAlignment="1" pivotButton="0" quotePrefix="0" xfId="0">
      <alignment horizontal="center" vertical="center"/>
    </xf>
    <xf numFmtId="3" fontId="40" fillId="7" borderId="50" applyAlignment="1" pivotButton="0" quotePrefix="0" xfId="0">
      <alignment horizontal="center" vertical="center"/>
    </xf>
    <xf numFmtId="0" fontId="35" fillId="4" borderId="22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3" fontId="41" fillId="7" borderId="50" applyAlignment="1" pivotButton="0" quotePrefix="0" xfId="0">
      <alignment horizontal="center" vertical="center"/>
    </xf>
    <xf numFmtId="22" fontId="8" fillId="0" borderId="0" applyAlignment="1" pivotButton="0" quotePrefix="0" xfId="0">
      <alignment horizontal="left"/>
    </xf>
    <xf numFmtId="3" fontId="11" fillId="4" borderId="21" applyAlignment="1" pivotButton="0" quotePrefix="0" xfId="0">
      <alignment horizontal="center" vertical="center"/>
    </xf>
    <xf numFmtId="0" fontId="7" fillId="0" borderId="0" pivotButton="0" quotePrefix="0" xfId="0"/>
    <xf numFmtId="3" fontId="9" fillId="4" borderId="21" applyAlignment="1" pivotButton="0" quotePrefix="0" xfId="0">
      <alignment horizontal="center" vertical="center"/>
    </xf>
    <xf numFmtId="0" fontId="35" fillId="4" borderId="1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3" fontId="39" fillId="7" borderId="50" applyAlignment="1" pivotButton="0" quotePrefix="0" xfId="0">
      <alignment horizontal="center" vertical="center"/>
    </xf>
    <xf numFmtId="0" fontId="25" fillId="0" borderId="25" pivotButton="0" quotePrefix="0" xfId="0"/>
    <xf numFmtId="0" fontId="0" fillId="0" borderId="25" pivotButton="0" quotePrefix="0" xfId="0"/>
    <xf numFmtId="0" fontId="5" fillId="3" borderId="0" applyAlignment="1" pivotButton="0" quotePrefix="0" xfId="0">
      <alignment vertical="center" indent="1"/>
    </xf>
    <xf numFmtId="0" fontId="17" fillId="0" borderId="0" applyAlignment="1" pivotButton="0" quotePrefix="0" xfId="0">
      <alignment horizontal="left" vertical="center" indent="1"/>
    </xf>
    <xf numFmtId="0" fontId="7" fillId="4" borderId="16" applyAlignment="1" pivotButton="0" quotePrefix="0" xfId="0">
      <alignment horizontal="center" vertical="center"/>
    </xf>
    <xf numFmtId="9" fontId="17" fillId="0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15" fillId="0" borderId="25" pivotButton="0" quotePrefix="0" xfId="0"/>
    <xf numFmtId="0" fontId="14" fillId="0" borderId="0" applyAlignment="1" pivotButton="0" quotePrefix="0" xfId="0">
      <alignment horizontal="right" vertical="center"/>
    </xf>
    <xf numFmtId="0" fontId="13" fillId="5" borderId="18" applyAlignment="1" pivotButton="0" quotePrefix="0" xfId="0">
      <alignment vertical="center" indent="1"/>
    </xf>
    <xf numFmtId="0" fontId="0" fillId="0" borderId="19" pivotButton="0" quotePrefix="0" xfId="0"/>
    <xf numFmtId="0" fontId="0" fillId="0" borderId="20" pivotButton="0" quotePrefix="0" xfId="0"/>
    <xf numFmtId="0" fontId="7" fillId="4" borderId="22" applyAlignment="1" pivotButton="0" quotePrefix="0" xfId="0">
      <alignment horizontal="center" vertical="center"/>
    </xf>
    <xf numFmtId="0" fontId="0" fillId="4" borderId="7" pivotButton="0" quotePrefix="0" xfId="0"/>
    <xf numFmtId="0" fontId="27" fillId="4" borderId="30" applyAlignment="1" pivotButton="0" quotePrefix="0" xfId="0">
      <alignment horizontal="center" vertical="center" wrapText="1"/>
    </xf>
    <xf numFmtId="0" fontId="0" fillId="0" borderId="26" pivotButton="0" quotePrefix="0" xfId="0"/>
    <xf numFmtId="167" fontId="10" fillId="4" borderId="7" applyAlignment="1" pivotButton="0" quotePrefix="0" xfId="0">
      <alignment horizontal="center" vertical="center" wrapText="1"/>
    </xf>
    <xf numFmtId="0" fontId="27" fillId="4" borderId="31" applyAlignment="1" pivotButton="0" quotePrefix="0" xfId="0">
      <alignment horizontal="center" vertical="center" wrapText="1"/>
    </xf>
    <xf numFmtId="0" fontId="0" fillId="0" borderId="27" pivotButton="0" quotePrefix="0" xfId="0"/>
    <xf numFmtId="3" fontId="28" fillId="4" borderId="21" applyAlignment="1" pivotButton="0" quotePrefix="0" xfId="0">
      <alignment horizontal="center" vertical="center" wrapText="1"/>
    </xf>
    <xf numFmtId="3" fontId="29" fillId="4" borderId="21" applyAlignment="1" pivotButton="0" quotePrefix="0" xfId="0">
      <alignment horizontal="center" vertical="center" wrapText="1"/>
    </xf>
    <xf numFmtId="3" fontId="31" fillId="4" borderId="21" applyAlignment="1" pivotButton="0" quotePrefix="0" xfId="0">
      <alignment horizontal="center" vertical="center" wrapText="1"/>
    </xf>
    <xf numFmtId="3" fontId="32" fillId="4" borderId="21" applyAlignment="1" pivotButton="0" quotePrefix="0" xfId="0">
      <alignment horizontal="center" vertical="center" wrapText="1"/>
    </xf>
    <xf numFmtId="0" fontId="27" fillId="4" borderId="32" applyAlignment="1" pivotButton="0" quotePrefix="0" xfId="0">
      <alignment horizontal="center" vertical="center" wrapText="1"/>
    </xf>
    <xf numFmtId="0" fontId="0" fillId="0" borderId="28" pivotButton="0" quotePrefix="0" xfId="0"/>
    <xf numFmtId="0" fontId="27" fillId="4" borderId="33" applyAlignment="1" pivotButton="0" quotePrefix="0" xfId="0">
      <alignment horizontal="center" vertical="center" wrapText="1"/>
    </xf>
    <xf numFmtId="0" fontId="0" fillId="0" borderId="29" pivotButton="0" quotePrefix="0" xfId="0"/>
    <xf numFmtId="0" fontId="27" fillId="4" borderId="22" applyAlignment="1" pivotButton="0" quotePrefix="0" xfId="0">
      <alignment horizontal="center" vertical="center" wrapText="1"/>
    </xf>
    <xf numFmtId="3" fontId="30" fillId="4" borderId="21" applyAlignment="1" pivotButton="0" quotePrefix="0" xfId="0">
      <alignment horizontal="center" vertical="center" wrapText="1"/>
    </xf>
    <xf numFmtId="3" fontId="33" fillId="4" borderId="21" applyAlignment="1" pivotButton="0" quotePrefix="0" xfId="0">
      <alignment horizontal="center" vertical="center" wrapText="1"/>
    </xf>
    <xf numFmtId="0" fontId="27" fillId="4" borderId="16" applyAlignment="1" pivotButton="0" quotePrefix="0" xfId="0">
      <alignment horizontal="center" vertical="center" wrapText="1"/>
    </xf>
    <xf numFmtId="0" fontId="10" fillId="0" borderId="0" pivotButton="0" quotePrefix="0" xfId="0"/>
    <xf numFmtId="0" fontId="24" fillId="0" borderId="0" pivotButton="0" quotePrefix="0" xfId="0"/>
    <xf numFmtId="0" fontId="19" fillId="5" borderId="23" applyAlignment="1" pivotButton="0" quotePrefix="0" xfId="0">
      <alignment vertical="center" indent="1"/>
    </xf>
    <xf numFmtId="0" fontId="0" fillId="0" borderId="24" pivotButton="0" quotePrefix="0" xfId="0"/>
    <xf numFmtId="0" fontId="18" fillId="0" borderId="0" applyAlignment="1" pivotButton="0" quotePrefix="0" xfId="0">
      <alignment horizontal="right" vertical="center" indent="1"/>
    </xf>
    <xf numFmtId="0" fontId="35" fillId="7" borderId="51" applyAlignment="1" pivotButton="0" quotePrefix="0" xfId="0">
      <alignment horizontal="center" vertical="center"/>
    </xf>
    <xf numFmtId="0" fontId="36" fillId="0" borderId="34" pivotButton="0" quotePrefix="0" xfId="0"/>
    <xf numFmtId="0" fontId="36" fillId="0" borderId="35" pivotButton="0" quotePrefix="0" xfId="0"/>
    <xf numFmtId="0" fontId="35" fillId="7" borderId="49" applyAlignment="1" pivotButton="0" quotePrefix="0" xfId="0">
      <alignment horizontal="center" vertical="center"/>
    </xf>
    <xf numFmtId="0" fontId="36" fillId="0" borderId="41" pivotButton="0" quotePrefix="0" xfId="0"/>
    <xf numFmtId="0" fontId="36" fillId="0" borderId="42" pivotButton="0" quotePrefix="0" xfId="0"/>
    <xf numFmtId="0" fontId="35" fillId="7" borderId="54" applyAlignment="1" pivotButton="0" quotePrefix="0" xfId="0">
      <alignment horizontal="center" vertical="center"/>
    </xf>
    <xf numFmtId="0" fontId="36" fillId="0" borderId="43" pivotButton="0" quotePrefix="0" xfId="0"/>
    <xf numFmtId="0" fontId="36" fillId="0" borderId="44" pivotButton="0" quotePrefix="0" xfId="0"/>
    <xf numFmtId="0" fontId="35" fillId="7" borderId="53" applyAlignment="1" pivotButton="0" quotePrefix="0" xfId="0">
      <alignment horizontal="center" vertical="center"/>
    </xf>
    <xf numFmtId="0" fontId="36" fillId="0" borderId="45" pivotButton="0" quotePrefix="0" xfId="0"/>
    <xf numFmtId="0" fontId="36" fillId="0" borderId="46" pivotButton="0" quotePrefix="0" xfId="0"/>
    <xf numFmtId="0" fontId="35" fillId="7" borderId="52" applyAlignment="1" pivotButton="0" quotePrefix="0" xfId="0">
      <alignment horizontal="center" vertical="center"/>
    </xf>
    <xf numFmtId="0" fontId="36" fillId="0" borderId="47" pivotButton="0" quotePrefix="0" xfId="0"/>
    <xf numFmtId="0" fontId="36" fillId="0" borderId="48" pivotButton="0" quotePrefix="0" xfId="0"/>
    <xf numFmtId="0" fontId="36" fillId="0" borderId="0" pivotButton="0" quotePrefix="0" xfId="0"/>
    <xf numFmtId="0" fontId="43" fillId="7" borderId="38" applyAlignment="1" pivotButton="0" quotePrefix="0" xfId="0">
      <alignment horizontal="center" vertical="center"/>
    </xf>
    <xf numFmtId="0" fontId="36" fillId="0" borderId="39" pivotButton="0" quotePrefix="0" xfId="0"/>
    <xf numFmtId="0" fontId="36" fillId="0" borderId="40" pivotButton="0" quotePrefix="0" xfId="0"/>
    <xf numFmtId="0" fontId="43" fillId="4" borderId="7" applyAlignment="1" pivotButton="0" quotePrefix="0" xfId="0">
      <alignment horizontal="center" vertical="center"/>
    </xf>
    <xf numFmtId="0" fontId="36" fillId="0" borderId="8" pivotButton="0" quotePrefix="0" xfId="0"/>
    <xf numFmtId="0" fontId="36" fillId="0" borderId="4" pivotButton="0" quotePrefix="0" xfId="0"/>
    <xf numFmtId="0" fontId="7" fillId="4" borderId="5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3" fontId="9" fillId="4" borderId="50" applyAlignment="1" pivotButton="0" quotePrefix="0" xfId="0">
      <alignment horizontal="center" vertical="center"/>
    </xf>
    <xf numFmtId="3" fontId="11" fillId="4" borderId="50" applyAlignment="1" pivotButton="0" quotePrefix="0" xfId="0">
      <alignment horizontal="center" vertical="center"/>
    </xf>
    <xf numFmtId="3" fontId="12" fillId="4" borderId="50" applyAlignment="1" pivotButton="0" quotePrefix="0" xfId="0">
      <alignment horizontal="center" vertical="center"/>
    </xf>
    <xf numFmtId="166" fontId="9" fillId="4" borderId="50" applyAlignment="1" pivotButton="0" quotePrefix="0" xfId="0">
      <alignment horizontal="center" vertical="center"/>
    </xf>
    <xf numFmtId="165" fontId="9" fillId="4" borderId="50" applyAlignment="1" pivotButton="0" quotePrefix="0" xfId="0">
      <alignment horizontal="center" vertical="center"/>
    </xf>
    <xf numFmtId="0" fontId="0" fillId="4" borderId="38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0" fillId="4" borderId="38" pivotButton="0" quotePrefix="0" xfId="0"/>
    <xf numFmtId="0" fontId="35" fillId="4" borderId="51" applyAlignment="1" pivotButton="0" quotePrefix="0" xfId="0">
      <alignment horizontal="center" vertical="center"/>
    </xf>
    <xf numFmtId="0" fontId="43" fillId="4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27" fillId="4" borderId="51" applyAlignment="1" pivotButton="0" quotePrefix="0" xfId="0">
      <alignment horizontal="center" vertical="center" wrapText="1"/>
    </xf>
    <xf numFmtId="0" fontId="27" fillId="4" borderId="49" applyAlignment="1" pivotButton="0" quotePrefix="0" xfId="0">
      <alignment horizontal="center" vertical="center" wrapText="1"/>
    </xf>
    <xf numFmtId="0" fontId="27" fillId="4" borderId="53" applyAlignment="1" pivotButton="0" quotePrefix="0" xfId="0">
      <alignment horizontal="center" vertical="center" wrapText="1"/>
    </xf>
    <xf numFmtId="0" fontId="27" fillId="4" borderId="52" applyAlignment="1" pivotButton="0" quotePrefix="0" xfId="0">
      <alignment horizontal="center" vertical="center" wrapText="1"/>
    </xf>
    <xf numFmtId="3" fontId="28" fillId="4" borderId="50" applyAlignment="1" pivotButton="0" quotePrefix="0" xfId="0">
      <alignment horizontal="center" vertical="center" wrapText="1"/>
    </xf>
    <xf numFmtId="3" fontId="29" fillId="4" borderId="50" applyAlignment="1" pivotButton="0" quotePrefix="0" xfId="0">
      <alignment horizontal="center" vertical="center" wrapText="1"/>
    </xf>
    <xf numFmtId="3" fontId="30" fillId="4" borderId="50" applyAlignment="1" pivotButton="0" quotePrefix="0" xfId="0">
      <alignment horizontal="center" vertical="center" wrapText="1"/>
    </xf>
    <xf numFmtId="3" fontId="31" fillId="4" borderId="50" applyAlignment="1" pivotButton="0" quotePrefix="0" xfId="0">
      <alignment horizontal="center" vertical="center" wrapText="1"/>
    </xf>
    <xf numFmtId="3" fontId="32" fillId="4" borderId="50" applyAlignment="1" pivotButton="0" quotePrefix="0" xfId="0">
      <alignment horizontal="center" vertical="center" wrapText="1"/>
    </xf>
    <xf numFmtId="3" fontId="33" fillId="4" borderId="50" applyAlignment="1" pivotButton="0" quotePrefix="0" xfId="0">
      <alignment horizontal="center" vertical="center" wrapText="1"/>
    </xf>
    <xf numFmtId="167" fontId="10" fillId="4" borderId="38" applyAlignment="1" pivotButton="0" quotePrefix="0" xfId="0">
      <alignment horizontal="center" vertical="center" wrapText="1"/>
    </xf>
  </cellXfs>
  <cellStyles count="1">
    <cellStyle name="Normal" xfId="0" builtinId="0"/>
  </cellStyles>
  <dxfs count="17"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i val="1"/>
        <strike val="1"/>
        <color rgb="00A6A6A6"/>
      </font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SV"/>
              <a:t>Avance global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v>Colaboradores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BE8-48CF-9A06-384F5229F19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BE8-48CF-9A06-384F5229F19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Cálculos!$A$115:$A$116</c:f>
              <c:strCache>
                <c:ptCount val="2"/>
                <c:pt idx="0">
                  <c:v>Completados</c:v>
                </c:pt>
                <c:pt idx="1">
                  <c:v>Pendientes</c:v>
                </c:pt>
              </c:strCache>
            </c:strRef>
          </c:cat>
          <c:val>
            <c:numRef>
              <c:f>Cálculos!$B$115:$B$116</c:f>
              <c:numCache>
                <c:formatCode>General</c:formatCode>
                <c:ptCount val="2"/>
                <c:pt idx="0">
                  <c:v>275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E8-48CF-9A06-384F5229F19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F4E78"/>
                </a:solidFill>
                <a:latin typeface="Calibri"/>
                <a:ea typeface="+mn-ea"/>
                <a:cs typeface="+mn-cs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Cumplimiento por gerencia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32695998510075142"/>
          <c:y val="0.16168306232303414"/>
          <c:w val="0.63128055674367245"/>
          <c:h val="0.79777639321484195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Cálculos!$L$4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4F81B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FFFFF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Administrativa   100%</c:v>
                </c:pt>
                <c:pt idx="1">
                  <c:v>Gerencia de Sistemas   100%</c:v>
                </c:pt>
                <c:pt idx="2">
                  <c:v>Gerencia General   100%</c:v>
                </c:pt>
                <c:pt idx="3">
                  <c:v>Gerencia Legal y Cumplimiento Normativo   100%</c:v>
                </c:pt>
                <c:pt idx="4">
                  <c:v>Auditoría Interna   100%</c:v>
                </c:pt>
                <c:pt idx="5">
                  <c:v>Gerencia de Oficialía de Cumplimiento   100%</c:v>
                </c:pt>
                <c:pt idx="6">
                  <c:v>Consejo de Administración   100%</c:v>
                </c:pt>
                <c:pt idx="7">
                  <c:v>Gerencia de Negocios   97%</c:v>
                </c:pt>
                <c:pt idx="8">
                  <c:v>Gerencia de Finanzas y Planificación   94%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Cálculos!$L$5:$L$14</c:f>
              <c:numCache>
                <c:formatCode>General</c:formatCode>
                <c:ptCount val="10"/>
                <c:pt idx="0">
                  <c:v>34</c:v>
                </c:pt>
                <c:pt idx="1">
                  <c:v>22</c:v>
                </c:pt>
                <c:pt idx="2">
                  <c:v>13</c:v>
                </c:pt>
                <c:pt idx="3">
                  <c:v>9</c:v>
                </c:pt>
                <c:pt idx="4">
                  <c:v>7</c:v>
                </c:pt>
                <c:pt idx="5">
                  <c:v>7</c:v>
                </c:pt>
                <c:pt idx="6">
                  <c:v>1</c:v>
                </c:pt>
                <c:pt idx="7">
                  <c:v>143</c:v>
                </c:pt>
                <c:pt idx="8">
                  <c:v>17</c:v>
                </c:pt>
                <c:pt idx="9">
                  <c:v>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AABF-456D-B756-6CA27A2BA999}"/>
            </c:ext>
          </c:extLst>
        </c:ser>
        <c:ser>
          <c:idx val="1"/>
          <c:order val="1"/>
          <c:tx>
            <c:strRef>
              <c:f>Cálculos!$M$4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C0504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Administrativa   100%</c:v>
                </c:pt>
                <c:pt idx="1">
                  <c:v>Gerencia de Sistemas   100%</c:v>
                </c:pt>
                <c:pt idx="2">
                  <c:v>Gerencia General   100%</c:v>
                </c:pt>
                <c:pt idx="3">
                  <c:v>Gerencia Legal y Cumplimiento Normativo   100%</c:v>
                </c:pt>
                <c:pt idx="4">
                  <c:v>Auditoría Interna   100%</c:v>
                </c:pt>
                <c:pt idx="5">
                  <c:v>Gerencia de Oficialía de Cumplimiento   100%</c:v>
                </c:pt>
                <c:pt idx="6">
                  <c:v>Consejo de Administración   100%</c:v>
                </c:pt>
                <c:pt idx="7">
                  <c:v>Gerencia de Negocios   97%</c:v>
                </c:pt>
                <c:pt idx="8">
                  <c:v>Gerencia de Finanzas y Planificación   94%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Cálculos!$M$5:$M$14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AABF-456D-B756-6CA27A2BA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Calibri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002060"/>
              </a:solidFill>
              <a:latin typeface="Calibri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Cálculos!$R$4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C55A11"/>
            </a:solidFill>
            <a:ln>
              <a:solidFill>
                <a:srgbClr val="C55A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Cálculos!$Q$5:$Q$14</c:f>
              <c:strCache>
                <c:ptCount val="10"/>
                <c:pt idx="0">
                  <c:v>Gerencia de Negocios</c:v>
                </c:pt>
                <c:pt idx="1">
                  <c:v>Gerencia de Operaciones</c:v>
                </c:pt>
                <c:pt idx="2">
                  <c:v>Gerencia de Finanzas y Planificación</c:v>
                </c:pt>
                <c:pt idx="3">
                  <c:v>Auditoría Interna</c:v>
                </c:pt>
                <c:pt idx="4">
                  <c:v>Consejo de Administración</c:v>
                </c:pt>
                <c:pt idx="5">
                  <c:v>Gerencia Administrativa</c:v>
                </c:pt>
                <c:pt idx="6">
                  <c:v>Gerencia de Oficialía de Cumplimiento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Cálculos!$R$5:$R$14</c:f>
              <c:numCache>
                <c:formatCode>General</c:formatCode>
                <c:ptCount val="10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55A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B23-4DEC-BA85-707B35499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Personal sin examen: pendientes y situación especial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Colaboradores</c:v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CD6-4834-8404-8FBD17BBD8E1}"/>
              </c:ext>
            </c:extLst>
          </c:dPt>
          <c:dPt>
            <c:idx val="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CD6-4834-8404-8FBD17BBD8E1}"/>
              </c:ext>
            </c:extLst>
          </c:dPt>
          <c:dPt>
            <c:idx val="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CD6-4834-8404-8FBD17BBD8E1}"/>
              </c:ext>
            </c:extLst>
          </c:dPt>
          <c:dPt>
            <c:idx val="3"/>
            <c:invertIfNegative val="1"/>
            <c:bubble3D val="0"/>
            <c: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CD6-4834-8404-8FBD17BBD8E1}"/>
              </c:ext>
            </c:extLst>
          </c:dPt>
          <c:dPt>
            <c:idx val="4"/>
            <c:invertIfNegative val="1"/>
            <c:bubble3D val="0"/>
            <c:spPr>
              <a:solidFill>
                <a:srgbClr val="7F7F7F"/>
              </a:solidFill>
              <a:ln>
                <a:solidFill>
                  <a:srgbClr val="7F7F7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CD6-4834-8404-8FBD17BBD8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Cálculos!$AU$6:$AU$10</c:f>
              <c:strCache>
                <c:ptCount val="5"/>
                <c:pt idx="0">
                  <c:v>Pendiente</c:v>
                </c:pt>
                <c:pt idx="1">
                  <c:v>Vacaciones</c:v>
                </c:pt>
                <c:pt idx="2">
                  <c:v>Incapacidad</c:v>
                </c:pt>
                <c:pt idx="3">
                  <c:v>Incapacidad por maternidad</c:v>
                </c:pt>
                <c:pt idx="4">
                  <c:v>Renuncia</c:v>
                </c:pt>
              </c:strCache>
            </c:strRef>
          </c:cat>
          <c:val>
            <c:numRef>
              <c:f>Cálculos!$AV$6:$AV$10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D6-4834-8404-8FBD17BBD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c:rich>
      </c:tx>
      <c:overlay val="0"/>
    </c:title>
    <c:autoTitleDeleted val="0"/>
    <c:plotArea>
      <c:layout/>
      <c:barChart>
        <c:barDir val="bar"/>
        <c:grouping val="percentStacked"/>
        <c:varyColors val="1"/>
        <c:ser>
          <c:idx val="0"/>
          <c:order val="0"/>
          <c:tx>
            <c:strRef>
              <c:f>Cálculos!$M$29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1F4E78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MERLIOT   100%</c:v>
                </c:pt>
                <c:pt idx="2">
                  <c:v>DEPARTAMENTO DE CONTABILIDAD   100%</c:v>
                </c:pt>
                <c:pt idx="3">
                  <c:v>DEPARTAMENTO DE CREDITOS   100%</c:v>
                </c:pt>
                <c:pt idx="4">
                  <c:v>AGENCIA COLEGIO MEDICO   100%</c:v>
                </c:pt>
                <c:pt idx="5">
                  <c:v>DEPARTAMENTO DE ANALISIS Y PROGRAMACIÓN   100%</c:v>
                </c:pt>
                <c:pt idx="6">
                  <c:v>DEPARTAMENTO DE SEGUROS   100%</c:v>
                </c:pt>
                <c:pt idx="7">
                  <c:v>DEPARTAMENTO DE SOLUCIONES FINANCIERAS   100%</c:v>
                </c:pt>
                <c:pt idx="8">
                  <c:v>AGENCIA PLAZA MUNDO   100%</c:v>
                </c:pt>
                <c:pt idx="9">
                  <c:v>AGENCIA SANTA ANA   100%</c:v>
                </c:pt>
                <c:pt idx="10">
                  <c:v>DEPARTAMENTO LEGAL   100%</c:v>
                </c:pt>
                <c:pt idx="11">
                  <c:v>AGENCIA SAN MIGUEL   100%</c:v>
                </c:pt>
                <c:pt idx="12">
                  <c:v>AGENCIA USULUTAN   100%</c:v>
                </c:pt>
                <c:pt idx="13">
                  <c:v>DEPARTAMENTO COMERCIAL DE TARJETA DE CREDITO Y DEBITO   100%</c:v>
                </c:pt>
                <c:pt idx="14">
                  <c:v>DEPARTAMENTO DE ATENCION A ASOCIADO Y CLIENTE   100%</c:v>
                </c:pt>
                <c:pt idx="15">
                  <c:v>DEPARTAMENTO DE AUDITORIA INTERNA   100%</c:v>
                </c:pt>
                <c:pt idx="16">
                  <c:v>OFICIALIA DE CUMPLIMIENTO   100%</c:v>
                </c:pt>
                <c:pt idx="17">
                  <c:v>SUB GERENCIA DE CANALES   100%</c:v>
                </c:pt>
                <c:pt idx="18">
                  <c:v>DEPARTAMENTO DE CUSTODIA DE GARANTÍA Y VALORES   100%</c:v>
                </c:pt>
                <c:pt idx="19">
                  <c:v>DEPARTAMENTO DE OPERACIONES Y SOPORTE TECNICO   100%</c:v>
                </c:pt>
                <c:pt idx="20">
                  <c:v>DEPARTAMENTO DE TARJETA DE CREDITO Y DEBITO   100%</c:v>
                </c:pt>
                <c:pt idx="21">
                  <c:v>ADMINISTRACION DE RIESGOS   100%</c:v>
                </c:pt>
                <c:pt idx="22">
                  <c:v>DEPARTAMENTO DE DEPOSITOS   100%</c:v>
                </c:pt>
                <c:pt idx="23">
                  <c:v>GERENCIA DE NEGOCIOS   100%</c:v>
                </c:pt>
                <c:pt idx="24">
                  <c:v>GERENCIA DE SISTEMAS   100%</c:v>
                </c:pt>
                <c:pt idx="25">
                  <c:v>OFICIALIA DE SEGURIDAD DE LA INFORMACION   100%</c:v>
                </c:pt>
                <c:pt idx="26">
                  <c:v>DEPARTAMENTO DE EDUCACION Y RESPONSABILIDAD SOCIAL   100%</c:v>
                </c:pt>
                <c:pt idx="27">
                  <c:v>DEPARTAMENTO DE PROCESOS   100%</c:v>
                </c:pt>
                <c:pt idx="28">
                  <c:v>CLINICA EMPRESARIAL   100%</c:v>
                </c:pt>
                <c:pt idx="29">
                  <c:v>DEPARTAMENTO DE SEGURIDAD   100%</c:v>
                </c:pt>
                <c:pt idx="30">
                  <c:v>DEPARTAMENTO DE TALENTO HUMANO   100%</c:v>
                </c:pt>
                <c:pt idx="31">
                  <c:v>GERENCIA ADMINISTRATIVA   100%</c:v>
                </c:pt>
                <c:pt idx="32">
                  <c:v>GERENCIA DE FINANZAS Y PLANIFICACIÓN   100%</c:v>
                </c:pt>
                <c:pt idx="33">
                  <c:v>GERENCIA GENERAL   100%</c:v>
                </c:pt>
                <c:pt idx="34">
                  <c:v>ADMINISTRACION DE BASE DE DATOS   100%</c:v>
                </c:pt>
                <c:pt idx="35">
                  <c:v>CONSEJO DE ADMINISTRACION   100%</c:v>
                </c:pt>
                <c:pt idx="36">
                  <c:v>GERENCIA LEGAL Y DE CUMPLIMIENTO NORMATIVO   100%</c:v>
                </c:pt>
                <c:pt idx="37">
                  <c:v>AGENCIA COLONIA MEDICA   94%</c:v>
                </c:pt>
                <c:pt idx="38">
                  <c:v>AGENCIA CENTRAL   88%</c:v>
                </c:pt>
                <c:pt idx="39">
                  <c:v>AGENCIA SONSONATE   86%</c:v>
                </c:pt>
                <c:pt idx="40">
                  <c:v>DEPARTAMENTO DE MERCADEO   86%</c:v>
                </c:pt>
                <c:pt idx="41">
                  <c:v>ADMINISTRACIÓN DE CARTERAS   80%</c:v>
                </c:pt>
                <c:pt idx="42">
                  <c:v>DEPARTAMENTO DE PLANIFICACIÓN Y ANALISIS   67%</c:v>
                </c:pt>
                <c:pt idx="43">
                  <c:v>GERENCIA DE OPERACIONES   0%</c:v>
                </c:pt>
              </c:strCache>
            </c:strRef>
          </c:cat>
          <c:val>
            <c:numRef>
              <c:f>Cálculos!$M$30:$M$73</c:f>
              <c:numCache>
                <c:formatCode>General</c:formatCode>
                <c:ptCount val="44"/>
                <c:pt idx="0">
                  <c:v>17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11</c:v>
                </c:pt>
                <c:pt idx="5">
                  <c:v>11</c:v>
                </c:pt>
                <c:pt idx="6">
                  <c:v>10</c:v>
                </c:pt>
                <c:pt idx="7">
                  <c:v>9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6</c:v>
                </c:pt>
                <c:pt idx="19">
                  <c:v>6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15</c:v>
                </c:pt>
                <c:pt idx="38">
                  <c:v>14</c:v>
                </c:pt>
                <c:pt idx="39">
                  <c:v>6</c:v>
                </c:pt>
                <c:pt idx="40">
                  <c:v>6</c:v>
                </c:pt>
                <c:pt idx="41">
                  <c:v>4</c:v>
                </c:pt>
                <c:pt idx="42">
                  <c:v>2</c:v>
                </c:pt>
                <c:pt idx="4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65-4D1A-A6F5-DC84BD5FCF09}"/>
            </c:ext>
          </c:extLst>
        </c:ser>
        <c:ser>
          <c:idx val="1"/>
          <c:order val="1"/>
          <c:tx>
            <c:strRef>
              <c:f>Cálculos!$N$29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D9D9D9"/>
            </a:solidFill>
            <a:ln>
              <a:solidFill>
                <a:srgbClr val="D9D9D9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MERLIOT   100%</c:v>
                </c:pt>
                <c:pt idx="2">
                  <c:v>DEPARTAMENTO DE CONTABILIDAD   100%</c:v>
                </c:pt>
                <c:pt idx="3">
                  <c:v>DEPARTAMENTO DE CREDITOS   100%</c:v>
                </c:pt>
                <c:pt idx="4">
                  <c:v>AGENCIA COLEGIO MEDICO   100%</c:v>
                </c:pt>
                <c:pt idx="5">
                  <c:v>DEPARTAMENTO DE ANALISIS Y PROGRAMACIÓN   100%</c:v>
                </c:pt>
                <c:pt idx="6">
                  <c:v>DEPARTAMENTO DE SEGUROS   100%</c:v>
                </c:pt>
                <c:pt idx="7">
                  <c:v>DEPARTAMENTO DE SOLUCIONES FINANCIERAS   100%</c:v>
                </c:pt>
                <c:pt idx="8">
                  <c:v>AGENCIA PLAZA MUNDO   100%</c:v>
                </c:pt>
                <c:pt idx="9">
                  <c:v>AGENCIA SANTA ANA   100%</c:v>
                </c:pt>
                <c:pt idx="10">
                  <c:v>DEPARTAMENTO LEGAL   100%</c:v>
                </c:pt>
                <c:pt idx="11">
                  <c:v>AGENCIA SAN MIGUEL   100%</c:v>
                </c:pt>
                <c:pt idx="12">
                  <c:v>AGENCIA USULUTAN   100%</c:v>
                </c:pt>
                <c:pt idx="13">
                  <c:v>DEPARTAMENTO COMERCIAL DE TARJETA DE CREDITO Y DEBITO   100%</c:v>
                </c:pt>
                <c:pt idx="14">
                  <c:v>DEPARTAMENTO DE ATENCION A ASOCIADO Y CLIENTE   100%</c:v>
                </c:pt>
                <c:pt idx="15">
                  <c:v>DEPARTAMENTO DE AUDITORIA INTERNA   100%</c:v>
                </c:pt>
                <c:pt idx="16">
                  <c:v>OFICIALIA DE CUMPLIMIENTO   100%</c:v>
                </c:pt>
                <c:pt idx="17">
                  <c:v>SUB GERENCIA DE CANALES   100%</c:v>
                </c:pt>
                <c:pt idx="18">
                  <c:v>DEPARTAMENTO DE CUSTODIA DE GARANTÍA Y VALORES   100%</c:v>
                </c:pt>
                <c:pt idx="19">
                  <c:v>DEPARTAMENTO DE OPERACIONES Y SOPORTE TECNICO   100%</c:v>
                </c:pt>
                <c:pt idx="20">
                  <c:v>DEPARTAMENTO DE TARJETA DE CREDITO Y DEBITO   100%</c:v>
                </c:pt>
                <c:pt idx="21">
                  <c:v>ADMINISTRACION DE RIESGOS   100%</c:v>
                </c:pt>
                <c:pt idx="22">
                  <c:v>DEPARTAMENTO DE DEPOSITOS   100%</c:v>
                </c:pt>
                <c:pt idx="23">
                  <c:v>GERENCIA DE NEGOCIOS   100%</c:v>
                </c:pt>
                <c:pt idx="24">
                  <c:v>GERENCIA DE SISTEMAS   100%</c:v>
                </c:pt>
                <c:pt idx="25">
                  <c:v>OFICIALIA DE SEGURIDAD DE LA INFORMACION   100%</c:v>
                </c:pt>
                <c:pt idx="26">
                  <c:v>DEPARTAMENTO DE EDUCACION Y RESPONSABILIDAD SOCIAL   100%</c:v>
                </c:pt>
                <c:pt idx="27">
                  <c:v>DEPARTAMENTO DE PROCESOS   100%</c:v>
                </c:pt>
                <c:pt idx="28">
                  <c:v>CLINICA EMPRESARIAL   100%</c:v>
                </c:pt>
                <c:pt idx="29">
                  <c:v>DEPARTAMENTO DE SEGURIDAD   100%</c:v>
                </c:pt>
                <c:pt idx="30">
                  <c:v>DEPARTAMENTO DE TALENTO HUMANO   100%</c:v>
                </c:pt>
                <c:pt idx="31">
                  <c:v>GERENCIA ADMINISTRATIVA   100%</c:v>
                </c:pt>
                <c:pt idx="32">
                  <c:v>GERENCIA DE FINANZAS Y PLANIFICACIÓN   100%</c:v>
                </c:pt>
                <c:pt idx="33">
                  <c:v>GERENCIA GENERAL   100%</c:v>
                </c:pt>
                <c:pt idx="34">
                  <c:v>ADMINISTRACION DE BASE DE DATOS   100%</c:v>
                </c:pt>
                <c:pt idx="35">
                  <c:v>CONSEJO DE ADMINISTRACION   100%</c:v>
                </c:pt>
                <c:pt idx="36">
                  <c:v>GERENCIA LEGAL Y DE CUMPLIMIENTO NORMATIVO   100%</c:v>
                </c:pt>
                <c:pt idx="37">
                  <c:v>AGENCIA COLONIA MEDICA   94%</c:v>
                </c:pt>
                <c:pt idx="38">
                  <c:v>AGENCIA CENTRAL   88%</c:v>
                </c:pt>
                <c:pt idx="39">
                  <c:v>AGENCIA SONSONATE   86%</c:v>
                </c:pt>
                <c:pt idx="40">
                  <c:v>DEPARTAMENTO DE MERCADEO   86%</c:v>
                </c:pt>
                <c:pt idx="41">
                  <c:v>ADMINISTRACIÓN DE CARTERAS   80%</c:v>
                </c:pt>
                <c:pt idx="42">
                  <c:v>DEPARTAMENTO DE PLANIFICACIÓN Y ANALISIS   67%</c:v>
                </c:pt>
                <c:pt idx="43">
                  <c:v>GERENCIA DE OPERACIONES   0%</c:v>
                </c:pt>
              </c:strCache>
            </c:strRef>
          </c:cat>
          <c:val>
            <c:numRef>
              <c:f>Cálculos!$N$30:$N$73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D9D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065-4D1A-A6F5-DC84BD5FC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es-SV"/>
        </a:p>
      </c:txPr>
    </c:legend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719666</colOff>
      <row>15</row>
      <rowOff>0</rowOff>
    </from>
    <ext cx="7603068" cy="3445933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34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67734</colOff>
      <row>9</row>
      <rowOff>59266</rowOff>
    </from>
    <ext cx="55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BF9000"/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10" defaultColWidth="8.88671875" defaultRowHeight="14.4"/>
  <cols>
    <col width="2" customWidth="1" style="38" min="1" max="1"/>
    <col width="4" customWidth="1" style="38" min="2" max="2"/>
    <col width="120" customWidth="1" style="38" min="3" max="3"/>
  </cols>
  <sheetData>
    <row r="1" ht="36" customHeight="1" s="38">
      <c r="B1" s="71" t="inlineStr">
        <is>
          <t>CÓMO ACTUALIZAR ESTE ARCHIVO</t>
        </is>
      </c>
    </row>
    <row r="3" ht="15.6" customHeight="1" s="38">
      <c r="B3" s="69" t="inlineStr">
        <is>
          <t>1. AGREGAR UN COLABORADOR (hoja 'Base Oficial')</t>
        </is>
      </c>
      <c r="C3" s="70" t="n"/>
    </row>
    <row r="4">
      <c r="B4" s="29" t="inlineStr">
        <is>
          <t>•</t>
        </is>
      </c>
      <c r="C4" s="30" t="inlineStr">
        <is>
          <t>Escriba en la primera fila vacía: Código, Nombre, Fecha de ingreso, Cargo, Grupo SSF, Departamento y Gerencia.</t>
        </is>
      </c>
    </row>
    <row r="5">
      <c r="B5" s="29" t="inlineStr">
        <is>
          <t>•</t>
        </is>
      </c>
      <c r="C5" s="30" t="inlineStr">
        <is>
          <t>Departamento y Gerencia: elíjalos de la lista desplegable para que se escriban igual que los existentes.</t>
        </is>
      </c>
    </row>
    <row r="6">
      <c r="B6" s="29" t="inlineStr">
        <is>
          <t>•</t>
        </is>
      </c>
      <c r="C6" s="30" t="inlineStr">
        <is>
          <t>Si es un departamento o gerencia NUEVO, escríbalo y confirme con 'Sí' en el aviso.</t>
        </is>
      </c>
    </row>
    <row r="7">
      <c r="B7" s="29" t="inlineStr">
        <is>
          <t>•</t>
        </is>
      </c>
      <c r="C7" s="30" t="inlineStr">
        <is>
          <t>El colaborador aparece automáticamente como Pendiente (o Completado si ya tiene examen).</t>
        </is>
      </c>
    </row>
    <row r="9" ht="15.6" customHeight="1" s="38">
      <c r="B9" s="69" t="inlineStr">
        <is>
          <t>2. AGREGAR EXÁMENES (hoja 'Base Exámenes')</t>
        </is>
      </c>
      <c r="C9" s="70" t="n"/>
    </row>
    <row r="10">
      <c r="B10" s="29" t="inlineStr">
        <is>
          <t>•</t>
        </is>
      </c>
      <c r="C10" s="30" t="inlineStr">
        <is>
          <t>Pegue cada examen en la primera fila vacía, columnas A a E y G a H:</t>
        </is>
      </c>
    </row>
    <row r="11">
      <c r="B11" s="29" t="inlineStr">
        <is>
          <t>•</t>
        </is>
      </c>
      <c r="C11" s="30" t="inlineStr">
        <is>
          <t>A Nombre · B Área · C Código de empleado · D Hora de inicio · E Hora de finalización · G Nota · H Correo.</t>
        </is>
      </c>
    </row>
    <row r="12">
      <c r="B12" s="29" t="inlineStr">
        <is>
          <t>•</t>
        </is>
      </c>
      <c r="C12" s="30" t="inlineStr">
        <is>
          <t>NO escriba en la columna F (Duración): se calcula sola.</t>
        </is>
      </c>
    </row>
    <row r="13">
      <c r="B13" s="29" t="inlineStr">
        <is>
          <t>•</t>
        </is>
      </c>
      <c r="C13" s="30" t="inlineStr">
        <is>
          <t>Desde la exportación de la plataforma: I = Nombre, L = Departamento, O = Código, B = Inicio, C = Fin, F = Total de puntos, D = Correo.</t>
        </is>
      </c>
    </row>
    <row r="14">
      <c r="B14" s="29" t="inlineStr">
        <is>
          <t>•</t>
        </is>
      </c>
      <c r="C14" s="30" t="inlineStr">
        <is>
          <t>Si una persona hace el examen más de una vez, se cuenta su NOTA MÁS ALTA y queda registrado en 'Historial de Intentos'.</t>
        </is>
      </c>
    </row>
    <row r="16" ht="15.6" customHeight="1" s="38">
      <c r="B16" s="69" t="inlineStr">
        <is>
          <t>3. QUÉ SE ACTUALIZA SOLO</t>
        </is>
      </c>
      <c r="C16" s="70" t="n"/>
    </row>
    <row r="17">
      <c r="B17" s="29" t="inlineStr">
        <is>
          <t>•</t>
        </is>
      </c>
      <c r="C17" s="30" t="inlineStr">
        <is>
          <t>Detalle individual, Consolidado por área, Consolidado por Gerencia (incluye departamentos y gerencias nuevos).</t>
        </is>
      </c>
    </row>
    <row r="18">
      <c r="B18" s="29" t="inlineStr">
        <is>
          <t>•</t>
        </is>
      </c>
      <c r="C18" s="30" t="inlineStr">
        <is>
          <t>Dashboard Gráfico, Dashboard Gerencial, Dashboard Departamentos y Estado por Colaborador.</t>
        </is>
      </c>
    </row>
    <row r="19">
      <c r="B19" s="29" t="inlineStr">
        <is>
          <t>•</t>
        </is>
      </c>
      <c r="C19" s="30" t="inlineStr">
        <is>
          <t>Listado de Pendientes, Listado de Completados, Top 3 (todos) e Historial de Intentos.</t>
        </is>
      </c>
    </row>
    <row r="20">
      <c r="B20" s="29" t="inlineStr">
        <is>
          <t>•</t>
        </is>
      </c>
      <c r="C20" s="30" t="inlineStr">
        <is>
          <t>Capacidad: hasta 996 colaboradores, 996 exámenes, 80 departamentos y 20 gerencias.</t>
        </is>
      </c>
    </row>
    <row r="22" ht="15.6" customHeight="1" s="38">
      <c r="B22" s="69" t="inlineStr">
        <is>
          <t>4. CAMBIAR UN DEPARTAMENTO DE GERENCIA</t>
        </is>
      </c>
      <c r="C22" s="70" t="n"/>
    </row>
    <row r="23">
      <c r="B23" s="29" t="inlineStr">
        <is>
          <t>•</t>
        </is>
      </c>
      <c r="C23" s="30" t="inlineStr">
        <is>
          <t>En 'Base Oficial' cambie la columna G (Gerencia) de TODAS las personas de ese departamento. Lo demás se ajusta solo.</t>
        </is>
      </c>
    </row>
    <row r="25" ht="15.6" customHeight="1" s="38">
      <c r="B25" s="69" t="inlineStr">
        <is>
          <t>5. IMPORTANTE</t>
        </is>
      </c>
      <c r="C25" s="70" t="n"/>
    </row>
    <row r="26">
      <c r="B26" s="29" t="inlineStr">
        <is>
          <t>•</t>
        </is>
      </c>
      <c r="C26" s="30" t="inlineStr">
        <is>
          <t>No borre ni escriba en las hojas de resultados (consolidados, listados, top 3, historial): son fórmulas.</t>
        </is>
      </c>
    </row>
    <row r="27">
      <c r="B27" s="29" t="inlineStr">
        <is>
          <t>•</t>
        </is>
      </c>
      <c r="C27" s="30" t="inlineStr">
        <is>
          <t>La hoja oculta 'Cálculos' es necesaria para los dashboards: no la elimine.</t>
        </is>
      </c>
    </row>
    <row r="28">
      <c r="B28" s="29" t="inlineStr">
        <is>
          <t>•</t>
        </is>
      </c>
      <c r="C28" s="30" t="inlineStr">
        <is>
          <t>Si agrega un departamento o gerencia NUEVO, las tablas se actualizan, pero los GRÁFICOS deben ampliarse:</t>
        </is>
      </c>
    </row>
    <row r="29">
      <c r="B29" s="29" t="inlineStr">
        <is>
          <t>•</t>
        </is>
      </c>
      <c r="C29" s="30" t="inlineStr">
        <is>
          <t>aparecerá un aviso rojo en el dashboard. Envíe el archivo para actualizarlos.</t>
        </is>
      </c>
    </row>
    <row r="31" ht="15.6" customHeight="1" s="38">
      <c r="B31" s="69" t="inlineStr">
        <is>
          <t>6. SITUACIÓN ESPECIAL (vacaciones, incapacidad, maternidad, renuncia)</t>
        </is>
      </c>
      <c r="C31" s="70" t="n"/>
    </row>
    <row r="32">
      <c r="B32" s="29" t="inlineStr">
        <is>
          <t>•</t>
        </is>
      </c>
      <c r="C32" s="30" t="inlineStr">
        <is>
          <t>En 'Base Oficial', columna H, elija la situación de la persona. Déjela vacía si está activa.</t>
        </is>
      </c>
    </row>
    <row r="33">
      <c r="B33" s="29" t="inlineStr">
        <is>
          <t>•</t>
        </is>
      </c>
      <c r="C33" s="30" t="inlineStr">
        <is>
          <t>Si no ha hecho el examen, aparece con esa situación y NO cuenta en el personal esperado ni en el %.</t>
        </is>
      </c>
    </row>
    <row r="34">
      <c r="B34" s="29" t="inlineStr">
        <is>
          <t>•</t>
        </is>
      </c>
      <c r="C34" s="30" t="inlineStr">
        <is>
          <t>Si sí hizo el examen, cuenta como Completado normalmente.</t>
        </is>
      </c>
    </row>
    <row r="35">
      <c r="B35" s="29" t="inlineStr">
        <is>
          <t>•</t>
        </is>
      </c>
      <c r="C35" s="30" t="inlineStr">
        <is>
          <t>La lista de estas personas está en 'Listado de Situación Especial'. Cuando regrese, borre la situación.</t>
        </is>
      </c>
    </row>
  </sheetData>
  <mergeCells count="7">
    <mergeCell ref="B16:C16"/>
    <mergeCell ref="B25:C25"/>
    <mergeCell ref="B3:C3"/>
    <mergeCell ref="B22:C22"/>
    <mergeCell ref="B31:C31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1000"/>
  <sheetViews>
    <sheetView workbookViewId="0">
      <pane xSplit="2" ySplit="4" topLeftCell="E70" activePane="bottomRight" state="frozen"/>
      <selection pane="topRight" activeCell="A1" sqref="A1"/>
      <selection pane="bottomLeft" activeCell="A1" sqref="A1"/>
      <selection pane="bottomRight" activeCell="H201" sqref="H201"/>
    </sheetView>
  </sheetViews>
  <sheetFormatPr baseColWidth="10" defaultColWidth="8.88671875" defaultRowHeight="14.4"/>
  <cols>
    <col width="12" customWidth="1" style="38" min="1" max="1"/>
    <col width="49" customWidth="1" style="38" min="2" max="2"/>
    <col width="17" customWidth="1" style="38" min="3" max="3"/>
    <col width="64" customWidth="1" style="38" min="4" max="4"/>
    <col width="13" customWidth="1" style="38" min="5" max="5"/>
    <col width="57" customWidth="1" style="38" min="6" max="6"/>
    <col width="43" customWidth="1" style="38" min="7" max="7"/>
    <col width="26" customWidth="1" style="38" min="8" max="8"/>
  </cols>
  <sheetData>
    <row r="1" ht="21" customHeight="1" s="38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  <c r="H4" s="3" t="inlineStr">
        <is>
          <t>Situación especial</t>
        </is>
      </c>
    </row>
    <row r="5" hidden="1" s="38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  <c r="H5" s="5" t="n"/>
    </row>
    <row r="6" hidden="1" s="38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  <c r="H6" s="5" t="n"/>
    </row>
    <row r="7" hidden="1" s="38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  <c r="H7" s="5" t="n"/>
    </row>
    <row r="8" hidden="1" s="3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  <c r="H8" s="5" t="n"/>
    </row>
    <row r="9" hidden="1" s="38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  <c r="H9" s="5" t="n"/>
    </row>
    <row r="10" hidden="1" s="38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  <c r="H10" s="5" t="n"/>
    </row>
    <row r="11" hidden="1" s="38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  <c r="H11" s="5" t="n"/>
    </row>
    <row r="12" hidden="1" s="38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  <c r="H12" s="5" t="n"/>
    </row>
    <row r="13" hidden="1" s="38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  <c r="H13" s="5" t="n"/>
    </row>
    <row r="14" hidden="1" s="38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  <c r="H14" s="5" t="n"/>
    </row>
    <row r="15" hidden="1" s="38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  <c r="H15" s="5" t="n"/>
    </row>
    <row r="16" hidden="1" s="38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  <c r="H16" s="5" t="n"/>
    </row>
    <row r="17" hidden="1" s="38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  <c r="H17" s="5" t="n"/>
    </row>
    <row r="18" hidden="1" s="3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  <c r="H18" s="5" t="n"/>
    </row>
    <row r="19" hidden="1" s="38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  <c r="H19" s="5" t="n"/>
    </row>
    <row r="20" hidden="1" s="38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  <c r="H20" s="5" t="n"/>
    </row>
    <row r="21" hidden="1" s="38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  <c r="H21" s="5" t="n"/>
    </row>
    <row r="22" hidden="1" s="38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  <c r="H22" s="5" t="n"/>
    </row>
    <row r="23" hidden="1" s="38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  <c r="H23" s="5" t="n"/>
    </row>
    <row r="24" hidden="1" s="38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  <c r="H24" s="5" t="n"/>
    </row>
    <row r="25" hidden="1" s="38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  <c r="H25" s="5" t="n"/>
    </row>
    <row r="26" hidden="1" s="38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  <c r="H26" s="5" t="n"/>
    </row>
    <row r="27" hidden="1" s="38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  <c r="H27" s="5" t="n"/>
    </row>
    <row r="28" hidden="1" s="3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  <c r="H28" s="5" t="n"/>
    </row>
    <row r="29" hidden="1" s="38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  <c r="H29" s="5" t="n"/>
    </row>
    <row r="30" hidden="1" s="38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  <c r="H30" s="5" t="n"/>
    </row>
    <row r="31" hidden="1" s="38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  <c r="H31" s="5" t="n"/>
    </row>
    <row r="32" hidden="1" s="38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  <c r="H32" s="5" t="n"/>
    </row>
    <row r="33" hidden="1" s="38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  <c r="H33" s="5" t="n"/>
    </row>
    <row r="34" hidden="1" s="38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  <c r="H34" s="5" t="n"/>
    </row>
    <row r="35" hidden="1" s="38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  <c r="H35" s="5" t="n"/>
    </row>
    <row r="36" hidden="1" s="38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  <c r="H36" s="5" t="n"/>
    </row>
    <row r="37" hidden="1" s="38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  <c r="H37" s="5" t="n"/>
    </row>
    <row r="38" hidden="1" s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  <c r="H38" s="5" t="n"/>
    </row>
    <row r="39" hidden="1" s="38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  <c r="H39" s="5" t="n"/>
    </row>
    <row r="40" hidden="1" s="38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  <c r="H40" s="5" t="n"/>
    </row>
    <row r="41" hidden="1" s="38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  <c r="H41" s="5" t="n"/>
    </row>
    <row r="42" hidden="1" s="38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  <c r="H42" s="5" t="n"/>
    </row>
    <row r="43" hidden="1" s="38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  <c r="H43" s="5" t="n"/>
    </row>
    <row r="44" hidden="1" s="38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  <c r="H44" s="5" t="n"/>
    </row>
    <row r="45" hidden="1" s="38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  <c r="H45" s="5" t="n"/>
    </row>
    <row r="46" hidden="1" s="38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  <c r="H46" s="5" t="n"/>
    </row>
    <row r="47" hidden="1" s="38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  <c r="H47" s="5" t="n"/>
    </row>
    <row r="48" hidden="1" s="3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  <c r="H48" s="5" t="n"/>
    </row>
    <row r="49" hidden="1" s="38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  <c r="H49" s="5" t="inlineStr">
        <is>
          <t>Vacaciones</t>
        </is>
      </c>
    </row>
    <row r="50" hidden="1" s="38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  <c r="H50" s="5" t="n"/>
    </row>
    <row r="51" hidden="1" s="38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  <c r="H51" s="5" t="n"/>
    </row>
    <row r="52" hidden="1" s="38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  <c r="H52" s="5" t="n"/>
    </row>
    <row r="53" hidden="1" s="38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  <c r="H53" s="5" t="n"/>
    </row>
    <row r="54" hidden="1" s="38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  <c r="H54" s="5" t="n"/>
    </row>
    <row r="55" hidden="1" s="38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  <c r="H55" s="5" t="n"/>
    </row>
    <row r="56" hidden="1" s="38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  <c r="H56" s="5" t="n"/>
    </row>
    <row r="57" hidden="1" s="38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  <c r="H57" s="5" t="n"/>
    </row>
    <row r="58" hidden="1" s="3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  <c r="H58" s="5" t="n"/>
    </row>
    <row r="59" hidden="1" s="38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  <c r="H59" s="5" t="n"/>
    </row>
    <row r="60" hidden="1" s="38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  <c r="H60" s="5" t="n"/>
    </row>
    <row r="61" hidden="1" s="38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  <c r="H61" s="5" t="n"/>
    </row>
    <row r="62" hidden="1" s="38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  <c r="H62" s="5" t="n"/>
    </row>
    <row r="63" hidden="1" s="38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  <c r="H63" s="5" t="n"/>
    </row>
    <row r="64" hidden="1" s="38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  <c r="H64" s="5" t="n"/>
    </row>
    <row r="65" hidden="1" s="38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  <c r="H65" s="5" t="n"/>
    </row>
    <row r="66" hidden="1" s="38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  <c r="H66" s="5" t="n"/>
    </row>
    <row r="67" hidden="1" s="38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  <c r="H67" s="5" t="n"/>
    </row>
    <row r="68" hidden="1" s="3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  <c r="H68" s="5" t="inlineStr">
        <is>
          <t>Renuncia</t>
        </is>
      </c>
    </row>
    <row r="69" hidden="1" s="38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  <c r="H69" s="5" t="n"/>
    </row>
    <row r="70" hidden="1" s="38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  <c r="H70" s="5" t="inlineStr">
        <is>
          <t>Incapacidad</t>
        </is>
      </c>
    </row>
    <row r="71" hidden="1" s="38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  <c r="H71" s="5" t="n"/>
    </row>
    <row r="72" hidden="1" s="38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  <c r="H72" s="5" t="n"/>
    </row>
    <row r="73" hidden="1" s="38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  <c r="H73" s="5" t="n"/>
    </row>
    <row r="74" hidden="1" s="38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  <c r="H74" s="5" t="n"/>
    </row>
    <row r="75" hidden="1" s="38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  <c r="H75" s="5" t="n"/>
    </row>
    <row r="76" hidden="1" s="38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  <c r="H76" s="5" t="n"/>
    </row>
    <row r="77" hidden="1" s="38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  <c r="H77" s="5" t="n"/>
    </row>
    <row r="78" hidden="1" s="3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  <c r="H78" s="5" t="n"/>
    </row>
    <row r="79" hidden="1" s="38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  <c r="H79" s="5" t="n"/>
    </row>
    <row r="80" hidden="1" s="38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  <c r="H80" s="5" t="n"/>
    </row>
    <row r="81" hidden="1" s="38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  <c r="H81" s="5" t="n"/>
    </row>
    <row r="82" hidden="1" s="38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  <c r="H82" s="5" t="n"/>
    </row>
    <row r="83" hidden="1" s="38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  <c r="H83" s="5" t="n"/>
    </row>
    <row r="84" hidden="1" s="38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  <c r="H84" s="5" t="n"/>
    </row>
    <row r="85" hidden="1" s="38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  <c r="H85" s="5" t="n"/>
    </row>
    <row r="86" hidden="1" s="38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  <c r="H86" s="5" t="n"/>
    </row>
    <row r="87" hidden="1" s="38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  <c r="H87" s="5" t="n"/>
    </row>
    <row r="88" hidden="1" s="3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  <c r="H88" s="5" t="n"/>
    </row>
    <row r="89" hidden="1" s="38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  <c r="H89" s="5" t="n"/>
    </row>
    <row r="90" hidden="1" s="38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  <c r="H90" s="5" t="n"/>
    </row>
    <row r="91" hidden="1" s="38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  <c r="H91" s="5" t="n"/>
    </row>
    <row r="92" hidden="1" s="38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  <c r="H92" s="5" t="n"/>
    </row>
    <row r="93" hidden="1" s="38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  <c r="H93" s="5" t="n"/>
    </row>
    <row r="94" hidden="1" s="38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  <c r="H94" s="5" t="n"/>
    </row>
    <row r="95" hidden="1" s="38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  <c r="H95" s="5" t="n"/>
    </row>
    <row r="96" hidden="1" s="38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  <c r="H96" s="5" t="n"/>
    </row>
    <row r="97" hidden="1" s="38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  <c r="H97" s="5" t="n"/>
    </row>
    <row r="98" hidden="1" s="3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  <c r="H98" s="5" t="n"/>
    </row>
    <row r="99" hidden="1" s="38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  <c r="H99" s="5" t="n"/>
    </row>
    <row r="100" hidden="1" s="38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  <c r="H100" s="5" t="n"/>
    </row>
    <row r="101" hidden="1" s="38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  <c r="H101" s="5" t="n"/>
    </row>
    <row r="102" hidden="1" s="38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  <c r="H102" s="5" t="n"/>
    </row>
    <row r="103" hidden="1" s="38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  <c r="H103" s="5" t="n"/>
    </row>
    <row r="104" hidden="1" s="38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  <c r="H104" s="5" t="inlineStr">
        <is>
          <t>Vacaciones</t>
        </is>
      </c>
    </row>
    <row r="105" hidden="1" s="38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  <c r="H105" s="5" t="n"/>
    </row>
    <row r="106" hidden="1" s="38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  <c r="H106" s="5" t="n"/>
    </row>
    <row r="107" hidden="1" s="38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  <c r="H107" s="5" t="n"/>
    </row>
    <row r="108" hidden="1" s="3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  <c r="H108" s="5" t="n"/>
    </row>
    <row r="109" hidden="1" s="38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  <c r="H109" s="5" t="n"/>
    </row>
    <row r="110" hidden="1" s="38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  <c r="H110" s="5" t="n"/>
    </row>
    <row r="111" hidden="1" s="38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  <c r="H111" s="5" t="n"/>
    </row>
    <row r="112" hidden="1" s="38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  <c r="H112" s="5" t="n"/>
    </row>
    <row r="113" hidden="1" s="38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  <c r="H113" s="5" t="n"/>
    </row>
    <row r="114" hidden="1" s="38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  <c r="H114" s="5" t="n"/>
    </row>
    <row r="115" hidden="1" s="38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  <c r="H115" s="5" t="n"/>
    </row>
    <row r="116" hidden="1" s="38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  <c r="H116" s="5" t="n"/>
    </row>
    <row r="117" hidden="1" s="38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  <c r="H117" s="5" t="n"/>
    </row>
    <row r="118" hidden="1" s="3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  <c r="H118" s="5" t="n"/>
    </row>
    <row r="119" hidden="1" s="38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  <c r="H119" s="5" t="n"/>
    </row>
    <row r="120" hidden="1" s="38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  <c r="H120" s="5" t="n"/>
    </row>
    <row r="121" hidden="1" s="38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  <c r="H121" s="5" t="n"/>
    </row>
    <row r="122" hidden="1" s="38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  <c r="H122" s="5" t="n"/>
    </row>
    <row r="123" hidden="1" s="38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  <c r="H123" s="5" t="n"/>
    </row>
    <row r="124" hidden="1" s="38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  <c r="H124" s="5" t="n"/>
    </row>
    <row r="125" hidden="1" s="38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  <c r="H125" s="5" t="n"/>
    </row>
    <row r="126" hidden="1" s="38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  <c r="H126" s="5" t="n"/>
    </row>
    <row r="127" hidden="1" s="38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  <c r="H127" s="5" t="n"/>
    </row>
    <row r="128" hidden="1" s="3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  <c r="H128" s="5" t="n"/>
    </row>
    <row r="129" hidden="1" s="38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  <c r="H129" s="5" t="n"/>
    </row>
    <row r="130" hidden="1" s="38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  <c r="H130" s="5" t="n"/>
    </row>
    <row r="131" hidden="1" s="38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  <c r="H131" s="5" t="n"/>
    </row>
    <row r="132" hidden="1" s="38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  <c r="H132" s="5" t="n"/>
    </row>
    <row r="133" hidden="1" s="38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  <c r="H133" s="5" t="n"/>
    </row>
    <row r="134" hidden="1" s="38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  <c r="H134" s="5" t="n"/>
    </row>
    <row r="135" hidden="1" s="38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  <c r="H135" s="5" t="n"/>
    </row>
    <row r="136" hidden="1" s="38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  <c r="H136" s="5" t="n"/>
    </row>
    <row r="137" hidden="1" s="38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  <c r="H137" s="5" t="n"/>
    </row>
    <row r="138" hidden="1" s="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  <c r="H138" s="5" t="n"/>
    </row>
    <row r="139" hidden="1" s="38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  <c r="H139" s="5" t="n"/>
    </row>
    <row r="140" hidden="1" s="38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  <c r="H140" s="5" t="n"/>
    </row>
    <row r="141" hidden="1" s="38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  <c r="H141" s="5" t="n"/>
    </row>
    <row r="142" hidden="1" s="38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  <c r="H142" s="5" t="n"/>
    </row>
    <row r="143" hidden="1" s="38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  <c r="H143" s="5" t="n"/>
    </row>
    <row r="144" hidden="1" s="38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  <c r="H144" s="5" t="n"/>
    </row>
    <row r="145" hidden="1" s="38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  <c r="H145" s="5" t="n"/>
    </row>
    <row r="146" hidden="1" s="38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  <c r="H146" s="5" t="n"/>
    </row>
    <row r="147" hidden="1" s="38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  <c r="H147" s="5" t="n"/>
    </row>
    <row r="148" hidden="1" s="3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  <c r="H148" s="5" t="n"/>
    </row>
    <row r="149" hidden="1" s="38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  <c r="H149" s="5" t="n"/>
    </row>
    <row r="150" hidden="1" s="38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  <c r="H150" s="5" t="n"/>
    </row>
    <row r="151" hidden="1" s="38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  <c r="H151" s="5" t="n"/>
    </row>
    <row r="152" hidden="1" s="38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  <c r="H152" s="5" t="n"/>
    </row>
    <row r="153" hidden="1" s="38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  <c r="H153" s="5" t="n"/>
    </row>
    <row r="154" hidden="1" s="38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  <c r="H154" s="5" t="n"/>
    </row>
    <row r="155" hidden="1" s="38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  <c r="H155" s="5" t="n"/>
    </row>
    <row r="156" hidden="1" s="38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  <c r="H156" s="5" t="n"/>
    </row>
    <row r="157" hidden="1" s="38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  <c r="H157" s="5" t="n"/>
    </row>
    <row r="158" hidden="1" s="3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  <c r="H158" s="5" t="n"/>
    </row>
    <row r="159" hidden="1" s="38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  <c r="H159" s="5" t="n"/>
    </row>
    <row r="160" hidden="1" s="38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  <c r="H160" s="5" t="n"/>
    </row>
    <row r="161" hidden="1" s="38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  <c r="H161" s="5" t="n"/>
    </row>
    <row r="162" hidden="1" s="38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  <c r="H162" s="5" t="n"/>
    </row>
    <row r="163" hidden="1" s="38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  <c r="H163" s="5" t="n"/>
    </row>
    <row r="164" hidden="1" s="38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  <c r="H164" s="5" t="n"/>
    </row>
    <row r="165" hidden="1" s="38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  <c r="H165" s="5" t="n"/>
    </row>
    <row r="166" hidden="1" s="38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  <c r="H166" s="5" t="n"/>
    </row>
    <row r="167" hidden="1" s="38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  <c r="H167" s="5" t="n"/>
    </row>
    <row r="168" hidden="1" s="3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  <c r="H168" s="5" t="n"/>
    </row>
    <row r="169" hidden="1" s="38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  <c r="H169" s="5" t="n"/>
    </row>
    <row r="170" hidden="1" s="38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  <c r="H170" s="5" t="n"/>
    </row>
    <row r="171" hidden="1" s="38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  <c r="H171" s="5" t="n"/>
    </row>
    <row r="172" hidden="1" s="38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  <c r="H172" s="5" t="inlineStr">
        <is>
          <t>Renuncia</t>
        </is>
      </c>
    </row>
    <row r="173" hidden="1" s="38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  <c r="H173" s="5" t="n"/>
    </row>
    <row r="174" hidden="1" s="38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  <c r="H174" s="5" t="n"/>
    </row>
    <row r="175" hidden="1" s="38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  <c r="H175" s="5" t="n"/>
    </row>
    <row r="176" hidden="1" s="38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  <c r="H176" s="5" t="n"/>
    </row>
    <row r="177" hidden="1" s="38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  <c r="H177" s="5" t="n"/>
    </row>
    <row r="178" hidden="1" s="3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  <c r="H178" s="5" t="n"/>
    </row>
    <row r="179" hidden="1" s="38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  <c r="H179" s="5" t="n"/>
    </row>
    <row r="180" hidden="1" s="38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  <c r="H180" s="5" t="n"/>
    </row>
    <row r="181" hidden="1" s="38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  <c r="H181" s="5" t="n"/>
    </row>
    <row r="182" hidden="1" s="38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  <c r="H182" s="5" t="inlineStr">
        <is>
          <t>Renuncia</t>
        </is>
      </c>
    </row>
    <row r="183" hidden="1" s="38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  <c r="H183" s="5" t="n"/>
    </row>
    <row r="184" hidden="1" s="38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  <c r="H184" s="5" t="n"/>
    </row>
    <row r="185" hidden="1" s="38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  <c r="H185" s="5" t="n"/>
    </row>
    <row r="186" hidden="1" s="38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  <c r="H186" s="5" t="n"/>
    </row>
    <row r="187" hidden="1" s="38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  <c r="H187" s="5" t="n"/>
    </row>
    <row r="188" hidden="1" s="3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  <c r="H188" s="5" t="n"/>
    </row>
    <row r="189" hidden="1" s="38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  <c r="H189" s="5" t="n"/>
    </row>
    <row r="190" hidden="1" s="38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  <c r="H190" s="5" t="n"/>
    </row>
    <row r="191" hidden="1" s="38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  <c r="H191" s="5" t="n"/>
    </row>
    <row r="192" hidden="1" s="38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  <c r="H192" s="5" t="n"/>
    </row>
    <row r="193" hidden="1" s="38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  <c r="H193" s="5" t="n"/>
    </row>
    <row r="194" hidden="1" s="38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  <c r="H194" s="5" t="n"/>
    </row>
    <row r="195" hidden="1" s="38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  <c r="H195" s="5" t="n"/>
    </row>
    <row r="196" hidden="1" s="38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  <c r="H196" s="5" t="inlineStr">
        <is>
          <t>Vacaciones</t>
        </is>
      </c>
    </row>
    <row r="197" hidden="1" s="38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  <c r="H197" s="5" t="n"/>
    </row>
    <row r="198" hidden="1" s="3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  <c r="H198" s="5" t="inlineStr">
        <is>
          <t>Incapacidad por maternidad</t>
        </is>
      </c>
    </row>
    <row r="199" hidden="1" s="38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  <c r="H199" s="5" t="n"/>
    </row>
    <row r="200" hidden="1" s="38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  <c r="H200" s="5" t="n"/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  <c r="H201" s="5" t="n"/>
    </row>
    <row r="202" hidden="1" s="38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  <c r="H202" s="5" t="n"/>
    </row>
    <row r="203" hidden="1" s="38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  <c r="H203" s="5" t="n"/>
    </row>
    <row r="204" hidden="1" s="38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  <c r="H204" s="5" t="n"/>
    </row>
    <row r="205" hidden="1" s="38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  <c r="H205" s="5" t="n"/>
    </row>
    <row r="206" hidden="1" s="38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  <c r="H206" s="5" t="n"/>
    </row>
    <row r="207" hidden="1" s="38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  <c r="H207" s="5" t="n"/>
    </row>
    <row r="208" hidden="1" s="3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  <c r="H208" s="5" t="n"/>
    </row>
    <row r="209" hidden="1" s="38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  <c r="H209" s="5" t="n"/>
    </row>
    <row r="210" hidden="1" s="38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  <c r="H210" s="5" t="n"/>
    </row>
    <row r="211" hidden="1" s="38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  <c r="H211" s="5" t="n"/>
    </row>
    <row r="212" hidden="1" s="38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  <c r="H212" s="5" t="n"/>
    </row>
    <row r="213" hidden="1" s="38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  <c r="H213" s="5" t="inlineStr">
        <is>
          <t>Vacaciones</t>
        </is>
      </c>
    </row>
    <row r="214" hidden="1" s="38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  <c r="H214" s="5" t="n"/>
    </row>
    <row r="215" hidden="1" s="38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  <c r="H215" s="5" t="n"/>
    </row>
    <row r="216" hidden="1" s="38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  <c r="H216" s="5" t="n"/>
    </row>
    <row r="217" hidden="1" s="38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  <c r="H217" s="5" t="n"/>
    </row>
    <row r="218" hidden="1" s="3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  <c r="H218" s="5" t="n"/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  <c r="H219" s="5" t="n"/>
    </row>
    <row r="220" hidden="1" s="38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  <c r="H220" s="5" t="n"/>
    </row>
    <row r="221" hidden="1" s="38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  <c r="H221" s="5" t="n"/>
    </row>
    <row r="222" hidden="1" s="38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  <c r="H222" s="5" t="n"/>
    </row>
    <row r="223" hidden="1" s="38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  <c r="H223" s="5" t="n"/>
    </row>
    <row r="224" hidden="1" s="38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  <c r="H224" s="5" t="n"/>
    </row>
    <row r="225" hidden="1" s="38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  <c r="H225" s="5" t="n"/>
    </row>
    <row r="226" hidden="1" s="38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  <c r="H226" s="5" t="n"/>
    </row>
    <row r="227" hidden="1" s="38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  <c r="H227" s="5" t="n"/>
    </row>
    <row r="228" hidden="1" s="3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  <c r="H228" s="5" t="inlineStr">
        <is>
          <t>Incapacidad por maternidad</t>
        </is>
      </c>
    </row>
    <row r="229" hidden="1" s="38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  <c r="H229" s="5" t="n"/>
    </row>
    <row r="230" hidden="1" s="38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  <c r="H230" s="5" t="n"/>
    </row>
    <row r="231" hidden="1" s="38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  <c r="H231" s="5" t="n"/>
    </row>
    <row r="232" hidden="1" s="38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  <c r="H232" s="5" t="n"/>
    </row>
    <row r="233" hidden="1" s="38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  <c r="H233" s="5" t="n"/>
    </row>
    <row r="234" hidden="1" s="38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  <c r="H234" s="5" t="n"/>
    </row>
    <row r="235" hidden="1" s="38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  <c r="H235" s="5" t="n"/>
    </row>
    <row r="236" hidden="1" s="38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  <c r="H236" s="5" t="n"/>
    </row>
    <row r="237" hidden="1" s="38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  <c r="H237" s="5" t="n"/>
    </row>
    <row r="238" hidden="1" s="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  <c r="H238" s="5" t="n"/>
    </row>
    <row r="239" hidden="1" s="38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  <c r="H239" s="5" t="n"/>
    </row>
    <row r="240" hidden="1" s="38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  <c r="H240" s="5" t="n"/>
    </row>
    <row r="241" hidden="1" s="38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  <c r="H241" s="5" t="n"/>
    </row>
    <row r="242" hidden="1" s="38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  <c r="H242" s="5" t="n"/>
    </row>
    <row r="243" hidden="1" s="38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  <c r="H243" s="5" t="n"/>
    </row>
    <row r="244" hidden="1" s="38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  <c r="H244" s="5" t="n"/>
    </row>
    <row r="245" hidden="1" s="38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  <c r="H245" s="5" t="n"/>
    </row>
    <row r="246" hidden="1" s="38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  <c r="H246" s="5" t="n"/>
    </row>
    <row r="247" hidden="1" s="38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  <c r="H247" s="5" t="n"/>
    </row>
    <row r="248" hidden="1" s="3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  <c r="H248" s="5" t="n"/>
    </row>
    <row r="249" hidden="1" s="38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  <c r="H249" s="5" t="n"/>
    </row>
    <row r="250" hidden="1" s="38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  <c r="H250" s="5" t="n"/>
    </row>
    <row r="251" hidden="1" s="38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  <c r="H251" s="5" t="n"/>
    </row>
    <row r="252" hidden="1" s="38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  <c r="H252" s="5" t="n"/>
    </row>
    <row r="253" hidden="1" s="38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  <c r="H253" s="5" t="n"/>
    </row>
    <row r="254" hidden="1" s="38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  <c r="H254" s="5" t="n"/>
    </row>
    <row r="255" hidden="1" s="38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  <c r="H255" s="5" t="n"/>
    </row>
    <row r="256" hidden="1" s="38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  <c r="H256" s="5" t="n"/>
    </row>
    <row r="257" hidden="1" s="38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  <c r="H257" s="5" t="n"/>
    </row>
    <row r="258" hidden="1" s="3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  <c r="H258" s="5" t="n"/>
    </row>
    <row r="259" hidden="1" s="38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  <c r="H259" s="5" t="n"/>
    </row>
    <row r="260" hidden="1" s="38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  <c r="H260" s="5" t="n"/>
    </row>
    <row r="261" hidden="1" s="38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  <c r="H261" s="5" t="n"/>
    </row>
    <row r="262" hidden="1" s="38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  <c r="H262" s="5" t="n"/>
    </row>
    <row r="263" hidden="1" s="38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  <c r="H263" s="5" t="n"/>
    </row>
    <row r="264" hidden="1" s="38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  <c r="H264" s="5" t="n"/>
    </row>
    <row r="265" hidden="1" s="38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  <c r="H265" s="5" t="n"/>
    </row>
    <row r="266" hidden="1" s="38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  <c r="H266" s="5" t="n"/>
    </row>
    <row r="267" hidden="1" s="38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  <c r="H267" s="5" t="n"/>
    </row>
    <row r="268" hidden="1" s="3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  <c r="H268" s="5" t="n"/>
    </row>
    <row r="269" hidden="1" s="38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  <c r="H269" s="5" t="n"/>
    </row>
    <row r="270" hidden="1" s="38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  <c r="H270" s="5" t="n"/>
    </row>
    <row r="271" hidden="1" s="38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  <c r="H271" s="5" t="n"/>
    </row>
    <row r="272" hidden="1" s="38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  <c r="H272" s="5" t="n"/>
    </row>
    <row r="273" hidden="1" s="38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  <c r="H273" s="5" t="n"/>
    </row>
    <row r="274" hidden="1" s="38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  <c r="H274" s="5" t="n"/>
    </row>
    <row r="275" hidden="1" s="38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  <c r="H275" s="5" t="n"/>
    </row>
    <row r="276" hidden="1" s="38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  <c r="H276" s="5" t="n"/>
    </row>
    <row r="277" hidden="1" s="38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  <c r="H277" s="5" t="n"/>
    </row>
    <row r="278" hidden="1" s="3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  <c r="H278" s="5" t="n"/>
    </row>
    <row r="279" hidden="1" s="38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  <c r="H279" s="5" t="n"/>
    </row>
    <row r="280" hidden="1" s="38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  <c r="H280" s="5" t="n"/>
    </row>
    <row r="281" hidden="1" s="38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  <c r="H281" s="5" t="n"/>
    </row>
    <row r="282" hidden="1" s="38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  <c r="H282" s="5" t="n"/>
    </row>
    <row r="283" hidden="1" s="38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  <c r="H283" s="5" t="n"/>
    </row>
    <row r="284" hidden="1" s="38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  <c r="H284" s="5" t="n"/>
    </row>
    <row r="285" hidden="1" s="38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  <c r="H285" s="5" t="n"/>
    </row>
    <row r="286" hidden="1" s="38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  <c r="H286" s="5" t="n"/>
    </row>
    <row r="287" hidden="1" s="38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  <c r="H287" s="5" t="n"/>
    </row>
    <row r="288" hidden="1" s="3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  <c r="H288" s="5" t="n"/>
    </row>
    <row r="289" hidden="1" s="38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  <c r="H289" s="5" t="n"/>
    </row>
    <row r="290" hidden="1" s="38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  <c r="H290" s="5" t="n"/>
    </row>
    <row r="291" hidden="1" s="38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  <c r="H291" s="5" t="n"/>
    </row>
    <row r="292" hidden="1" s="38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  <c r="H292" s="5" t="n"/>
    </row>
    <row r="293" hidden="1" s="38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  <c r="H293" s="5" t="n"/>
    </row>
    <row r="294" hidden="1" s="38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  <c r="H294" s="5" t="n"/>
    </row>
    <row r="295" hidden="1" s="38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  <c r="H295" s="5" t="n"/>
    </row>
    <row r="296" hidden="1" s="38">
      <c r="A296" s="4" t="inlineStr">
        <is>
          <t>53</t>
        </is>
      </c>
      <c r="B296" s="5" t="inlineStr">
        <is>
          <t>CLAUDIA MARIA GIMENEZ PEREZ</t>
        </is>
      </c>
      <c r="C296" s="36" t="n">
        <v>34848</v>
      </c>
      <c r="D296" s="5" t="inlineStr">
        <is>
          <t>ASISTENTE DEL CONSEJO DE ADMINISTRACION</t>
        </is>
      </c>
      <c r="E296" s="5" t="inlineStr">
        <is>
          <t xml:space="preserve"> EMPLEADO</t>
        </is>
      </c>
      <c r="F296" s="5" t="inlineStr">
        <is>
          <t>CONSEJO DE ADMINISTRACION</t>
        </is>
      </c>
      <c r="G296" s="5" t="inlineStr">
        <is>
          <t>Consejo de Administración</t>
        </is>
      </c>
      <c r="H296" s="5" t="n"/>
    </row>
    <row r="297" hidden="1" s="38">
      <c r="A297" s="4" t="inlineStr">
        <is>
          <t>986</t>
        </is>
      </c>
      <c r="B297" s="5" t="inlineStr">
        <is>
          <t>JENNIFER ROXANA AYALA AYALA</t>
        </is>
      </c>
      <c r="C297" s="36" t="n">
        <v>46303</v>
      </c>
      <c r="D297" s="5" t="inlineStr">
        <is>
          <t>ASISTENTE TECNICO DEL FONDO DE SOLIDARIDAD</t>
        </is>
      </c>
      <c r="E297" s="5" t="inlineStr">
        <is>
          <t xml:space="preserve"> EMPLEADO</t>
        </is>
      </c>
      <c r="F297" s="5" t="inlineStr">
        <is>
          <t>DEPARTAMENTO DE ATENCION A ASOCIADO Y CLIENTE</t>
        </is>
      </c>
      <c r="G297" s="5" t="inlineStr">
        <is>
          <t>Gerencia de Negocios</t>
        </is>
      </c>
      <c r="H297" s="5" t="n"/>
    </row>
    <row r="298" hidden="1" s="38">
      <c r="A298" s="25" t="n"/>
      <c r="B298" s="5" t="n"/>
      <c r="C298" s="4" t="n"/>
      <c r="D298" s="5" t="n"/>
      <c r="E298" s="5" t="n"/>
      <c r="F298" s="5" t="n"/>
      <c r="G298" s="5" t="n"/>
      <c r="H298" s="5" t="n"/>
    </row>
    <row r="299" hidden="1" s="38">
      <c r="A299" s="25" t="n"/>
      <c r="B299" s="5" t="n"/>
      <c r="C299" s="4" t="n"/>
      <c r="D299" s="5" t="n"/>
      <c r="E299" s="5" t="n"/>
      <c r="F299" s="5" t="n"/>
      <c r="G299" s="5" t="n"/>
      <c r="H299" s="5" t="n"/>
    </row>
    <row r="300" hidden="1" s="38">
      <c r="A300" s="25" t="n"/>
      <c r="B300" s="5" t="n"/>
      <c r="C300" s="4" t="n"/>
      <c r="D300" s="5" t="n"/>
      <c r="E300" s="5" t="n"/>
      <c r="F300" s="5" t="n"/>
      <c r="G300" s="5" t="n"/>
      <c r="H300" s="5" t="n"/>
    </row>
    <row r="301" hidden="1" s="38">
      <c r="A301" s="25" t="n"/>
      <c r="B301" s="5" t="n"/>
      <c r="C301" s="4" t="n"/>
      <c r="D301" s="5" t="n"/>
      <c r="E301" s="5" t="n"/>
      <c r="F301" s="5" t="n"/>
      <c r="G301" s="5" t="n"/>
      <c r="H301" s="5" t="n"/>
    </row>
    <row r="302" hidden="1" s="38">
      <c r="A302" s="25" t="n"/>
      <c r="B302" s="5" t="n"/>
      <c r="C302" s="4" t="n"/>
      <c r="D302" s="5" t="n"/>
      <c r="E302" s="5" t="n"/>
      <c r="F302" s="5" t="n"/>
      <c r="G302" s="5" t="n"/>
      <c r="H302" s="5" t="n"/>
    </row>
    <row r="303" hidden="1" s="38">
      <c r="A303" s="25" t="n"/>
      <c r="B303" s="5" t="n"/>
      <c r="C303" s="4" t="n"/>
      <c r="D303" s="5" t="n"/>
      <c r="E303" s="5" t="n"/>
      <c r="F303" s="5" t="n"/>
      <c r="G303" s="5" t="n"/>
      <c r="H303" s="5" t="n"/>
    </row>
    <row r="304" hidden="1" s="38">
      <c r="A304" s="25" t="n"/>
      <c r="B304" s="5" t="n"/>
      <c r="C304" s="4" t="n"/>
      <c r="D304" s="5" t="n"/>
      <c r="E304" s="5" t="n"/>
      <c r="F304" s="5" t="n"/>
      <c r="G304" s="5" t="n"/>
      <c r="H304" s="5" t="n"/>
    </row>
    <row r="305" hidden="1" s="38">
      <c r="A305" s="25" t="n"/>
      <c r="B305" s="5" t="n"/>
      <c r="C305" s="4" t="n"/>
      <c r="D305" s="5" t="n"/>
      <c r="E305" s="5" t="n"/>
      <c r="F305" s="5" t="n"/>
      <c r="G305" s="5" t="n"/>
      <c r="H305" s="5" t="n"/>
    </row>
    <row r="306" hidden="1" s="38">
      <c r="A306" s="25" t="n"/>
      <c r="B306" s="5" t="n"/>
      <c r="C306" s="4" t="n"/>
      <c r="D306" s="5" t="n"/>
      <c r="E306" s="5" t="n"/>
      <c r="F306" s="5" t="n"/>
      <c r="G306" s="5" t="n"/>
      <c r="H306" s="5" t="n"/>
    </row>
    <row r="307" hidden="1" s="38">
      <c r="A307" s="25" t="n"/>
      <c r="B307" s="5" t="n"/>
      <c r="C307" s="4" t="n"/>
      <c r="D307" s="5" t="n"/>
      <c r="E307" s="5" t="n"/>
      <c r="F307" s="5" t="n"/>
      <c r="G307" s="5" t="n"/>
      <c r="H307" s="5" t="n"/>
    </row>
    <row r="308" hidden="1" s="38">
      <c r="A308" s="25" t="n"/>
      <c r="B308" s="5" t="n"/>
      <c r="C308" s="4" t="n"/>
      <c r="D308" s="5" t="n"/>
      <c r="E308" s="5" t="n"/>
      <c r="F308" s="5" t="n"/>
      <c r="G308" s="5" t="n"/>
      <c r="H308" s="5" t="n"/>
    </row>
    <row r="309" hidden="1" s="38">
      <c r="A309" s="25" t="n"/>
      <c r="B309" s="5" t="n"/>
      <c r="C309" s="4" t="n"/>
      <c r="D309" s="5" t="n"/>
      <c r="E309" s="5" t="n"/>
      <c r="F309" s="5" t="n"/>
      <c r="G309" s="5" t="n"/>
      <c r="H309" s="5" t="n"/>
    </row>
    <row r="310" hidden="1" s="38">
      <c r="A310" s="25" t="n"/>
      <c r="B310" s="5" t="n"/>
      <c r="C310" s="4" t="n"/>
      <c r="D310" s="5" t="n"/>
      <c r="E310" s="5" t="n"/>
      <c r="F310" s="5" t="n"/>
      <c r="G310" s="5" t="n"/>
      <c r="H310" s="5" t="n"/>
    </row>
    <row r="311" hidden="1" s="38">
      <c r="A311" s="25" t="n"/>
      <c r="B311" s="5" t="n"/>
      <c r="C311" s="4" t="n"/>
      <c r="D311" s="5" t="n"/>
      <c r="E311" s="5" t="n"/>
      <c r="F311" s="5" t="n"/>
      <c r="G311" s="5" t="n"/>
      <c r="H311" s="5" t="n"/>
    </row>
    <row r="312" hidden="1" s="38">
      <c r="A312" s="25" t="n"/>
      <c r="B312" s="5" t="n"/>
      <c r="C312" s="4" t="n"/>
      <c r="D312" s="5" t="n"/>
      <c r="E312" s="5" t="n"/>
      <c r="F312" s="5" t="n"/>
      <c r="G312" s="5" t="n"/>
      <c r="H312" s="5" t="n"/>
    </row>
    <row r="313" hidden="1" s="38">
      <c r="A313" s="25" t="n"/>
      <c r="B313" s="5" t="n"/>
      <c r="C313" s="4" t="n"/>
      <c r="D313" s="5" t="n"/>
      <c r="E313" s="5" t="n"/>
      <c r="F313" s="5" t="n"/>
      <c r="G313" s="5" t="n"/>
      <c r="H313" s="5" t="n"/>
    </row>
    <row r="314" hidden="1" s="38">
      <c r="A314" s="25" t="n"/>
      <c r="B314" s="5" t="n"/>
      <c r="C314" s="4" t="n"/>
      <c r="D314" s="5" t="n"/>
      <c r="E314" s="5" t="n"/>
      <c r="F314" s="5" t="n"/>
      <c r="G314" s="5" t="n"/>
      <c r="H314" s="5" t="n"/>
    </row>
    <row r="315" hidden="1" s="38">
      <c r="A315" s="25" t="n"/>
      <c r="B315" s="5" t="n"/>
      <c r="C315" s="4" t="n"/>
      <c r="D315" s="5" t="n"/>
      <c r="E315" s="5" t="n"/>
      <c r="F315" s="5" t="n"/>
      <c r="G315" s="5" t="n"/>
      <c r="H315" s="5" t="n"/>
    </row>
    <row r="316" hidden="1" s="38">
      <c r="A316" s="25" t="n"/>
      <c r="B316" s="5" t="n"/>
      <c r="C316" s="4" t="n"/>
      <c r="D316" s="5" t="n"/>
      <c r="E316" s="5" t="n"/>
      <c r="F316" s="5" t="n"/>
      <c r="G316" s="5" t="n"/>
      <c r="H316" s="5" t="n"/>
    </row>
    <row r="317" hidden="1" s="38">
      <c r="A317" s="25" t="n"/>
      <c r="B317" s="5" t="n"/>
      <c r="C317" s="4" t="n"/>
      <c r="D317" s="5" t="n"/>
      <c r="E317" s="5" t="n"/>
      <c r="F317" s="5" t="n"/>
      <c r="G317" s="5" t="n"/>
      <c r="H317" s="5" t="n"/>
    </row>
    <row r="318" hidden="1" s="38">
      <c r="A318" s="25" t="n"/>
      <c r="B318" s="5" t="n"/>
      <c r="C318" s="4" t="n"/>
      <c r="D318" s="5" t="n"/>
      <c r="E318" s="5" t="n"/>
      <c r="F318" s="5" t="n"/>
      <c r="G318" s="5" t="n"/>
      <c r="H318" s="5" t="n"/>
    </row>
    <row r="319" hidden="1" s="38">
      <c r="A319" s="25" t="n"/>
      <c r="B319" s="5" t="n"/>
      <c r="C319" s="4" t="n"/>
      <c r="D319" s="5" t="n"/>
      <c r="E319" s="5" t="n"/>
      <c r="F319" s="5" t="n"/>
      <c r="G319" s="5" t="n"/>
      <c r="H319" s="5" t="n"/>
    </row>
    <row r="320" hidden="1" s="38">
      <c r="A320" s="25" t="n"/>
      <c r="B320" s="5" t="n"/>
      <c r="C320" s="4" t="n"/>
      <c r="D320" s="5" t="n"/>
      <c r="E320" s="5" t="n"/>
      <c r="F320" s="5" t="n"/>
      <c r="G320" s="5" t="n"/>
      <c r="H320" s="5" t="n"/>
    </row>
    <row r="321" hidden="1" s="38">
      <c r="A321" s="25" t="n"/>
      <c r="B321" s="5" t="n"/>
      <c r="C321" s="4" t="n"/>
      <c r="D321" s="5" t="n"/>
      <c r="E321" s="5" t="n"/>
      <c r="F321" s="5" t="n"/>
      <c r="G321" s="5" t="n"/>
      <c r="H321" s="5" t="n"/>
    </row>
    <row r="322" hidden="1" s="38">
      <c r="A322" s="25" t="n"/>
      <c r="B322" s="5" t="n"/>
      <c r="C322" s="4" t="n"/>
      <c r="D322" s="5" t="n"/>
      <c r="E322" s="5" t="n"/>
      <c r="F322" s="5" t="n"/>
      <c r="G322" s="5" t="n"/>
      <c r="H322" s="5" t="n"/>
    </row>
    <row r="323" hidden="1" s="38">
      <c r="A323" s="25" t="n"/>
      <c r="B323" s="5" t="n"/>
      <c r="C323" s="4" t="n"/>
      <c r="D323" s="5" t="n"/>
      <c r="E323" s="5" t="n"/>
      <c r="F323" s="5" t="n"/>
      <c r="G323" s="5" t="n"/>
      <c r="H323" s="5" t="n"/>
    </row>
    <row r="324" hidden="1" s="38">
      <c r="A324" s="25" t="n"/>
      <c r="B324" s="5" t="n"/>
      <c r="C324" s="4" t="n"/>
      <c r="D324" s="5" t="n"/>
      <c r="E324" s="5" t="n"/>
      <c r="F324" s="5" t="n"/>
      <c r="G324" s="5" t="n"/>
      <c r="H324" s="5" t="n"/>
    </row>
    <row r="325" hidden="1" s="38">
      <c r="A325" s="25" t="n"/>
      <c r="B325" s="5" t="n"/>
      <c r="C325" s="4" t="n"/>
      <c r="D325" s="5" t="n"/>
      <c r="E325" s="5" t="n"/>
      <c r="F325" s="5" t="n"/>
      <c r="G325" s="5" t="n"/>
      <c r="H325" s="5" t="n"/>
    </row>
    <row r="326" hidden="1" s="38">
      <c r="A326" s="25" t="n"/>
      <c r="B326" s="5" t="n"/>
      <c r="C326" s="4" t="n"/>
      <c r="D326" s="5" t="n"/>
      <c r="E326" s="5" t="n"/>
      <c r="F326" s="5" t="n"/>
      <c r="G326" s="5" t="n"/>
      <c r="H326" s="5" t="n"/>
    </row>
    <row r="327" hidden="1" s="38">
      <c r="A327" s="25" t="n"/>
      <c r="B327" s="5" t="n"/>
      <c r="C327" s="4" t="n"/>
      <c r="D327" s="5" t="n"/>
      <c r="E327" s="5" t="n"/>
      <c r="F327" s="5" t="n"/>
      <c r="G327" s="5" t="n"/>
      <c r="H327" s="5" t="n"/>
    </row>
    <row r="328" hidden="1" s="38">
      <c r="A328" s="25" t="n"/>
      <c r="B328" s="5" t="n"/>
      <c r="C328" s="4" t="n"/>
      <c r="D328" s="5" t="n"/>
      <c r="E328" s="5" t="n"/>
      <c r="F328" s="5" t="n"/>
      <c r="G328" s="5" t="n"/>
      <c r="H328" s="5" t="n"/>
    </row>
    <row r="329" hidden="1" s="38">
      <c r="A329" s="25" t="n"/>
      <c r="B329" s="5" t="n"/>
      <c r="C329" s="4" t="n"/>
      <c r="D329" s="5" t="n"/>
      <c r="E329" s="5" t="n"/>
      <c r="F329" s="5" t="n"/>
      <c r="G329" s="5" t="n"/>
      <c r="H329" s="5" t="n"/>
    </row>
    <row r="330" hidden="1" s="38">
      <c r="A330" s="25" t="n"/>
      <c r="B330" s="5" t="n"/>
      <c r="C330" s="4" t="n"/>
      <c r="D330" s="5" t="n"/>
      <c r="E330" s="5" t="n"/>
      <c r="F330" s="5" t="n"/>
      <c r="G330" s="5" t="n"/>
      <c r="H330" s="5" t="n"/>
    </row>
    <row r="331" hidden="1" s="38">
      <c r="A331" s="25" t="n"/>
      <c r="B331" s="5" t="n"/>
      <c r="C331" s="4" t="n"/>
      <c r="D331" s="5" t="n"/>
      <c r="E331" s="5" t="n"/>
      <c r="F331" s="5" t="n"/>
      <c r="G331" s="5" t="n"/>
      <c r="H331" s="5" t="n"/>
    </row>
    <row r="332" hidden="1" s="38">
      <c r="A332" s="25" t="n"/>
      <c r="B332" s="5" t="n"/>
      <c r="C332" s="4" t="n"/>
      <c r="D332" s="5" t="n"/>
      <c r="E332" s="5" t="n"/>
      <c r="F332" s="5" t="n"/>
      <c r="G332" s="5" t="n"/>
      <c r="H332" s="5" t="n"/>
    </row>
    <row r="333" hidden="1" s="38">
      <c r="A333" s="25" t="n"/>
      <c r="B333" s="5" t="n"/>
      <c r="C333" s="4" t="n"/>
      <c r="D333" s="5" t="n"/>
      <c r="E333" s="5" t="n"/>
      <c r="F333" s="5" t="n"/>
      <c r="G333" s="5" t="n"/>
      <c r="H333" s="5" t="n"/>
    </row>
    <row r="334" hidden="1" s="38">
      <c r="A334" s="25" t="n"/>
      <c r="B334" s="5" t="n"/>
      <c r="C334" s="4" t="n"/>
      <c r="D334" s="5" t="n"/>
      <c r="E334" s="5" t="n"/>
      <c r="F334" s="5" t="n"/>
      <c r="G334" s="5" t="n"/>
      <c r="H334" s="5" t="n"/>
    </row>
    <row r="335" hidden="1" s="38">
      <c r="A335" s="25" t="n"/>
      <c r="B335" s="5" t="n"/>
      <c r="C335" s="4" t="n"/>
      <c r="D335" s="5" t="n"/>
      <c r="E335" s="5" t="n"/>
      <c r="F335" s="5" t="n"/>
      <c r="G335" s="5" t="n"/>
      <c r="H335" s="5" t="n"/>
    </row>
    <row r="336" hidden="1" s="38">
      <c r="A336" s="25" t="n"/>
      <c r="B336" s="5" t="n"/>
      <c r="C336" s="4" t="n"/>
      <c r="D336" s="5" t="n"/>
      <c r="E336" s="5" t="n"/>
      <c r="F336" s="5" t="n"/>
      <c r="G336" s="5" t="n"/>
      <c r="H336" s="5" t="n"/>
    </row>
    <row r="337" hidden="1" s="38">
      <c r="A337" s="25" t="n"/>
      <c r="B337" s="5" t="n"/>
      <c r="C337" s="4" t="n"/>
      <c r="D337" s="5" t="n"/>
      <c r="E337" s="5" t="n"/>
      <c r="F337" s="5" t="n"/>
      <c r="G337" s="5" t="n"/>
      <c r="H337" s="5" t="n"/>
    </row>
    <row r="338" hidden="1" s="38">
      <c r="A338" s="25" t="n"/>
      <c r="B338" s="5" t="n"/>
      <c r="C338" s="4" t="n"/>
      <c r="D338" s="5" t="n"/>
      <c r="E338" s="5" t="n"/>
      <c r="F338" s="5" t="n"/>
      <c r="G338" s="5" t="n"/>
      <c r="H338" s="5" t="n"/>
    </row>
    <row r="339" hidden="1" s="38">
      <c r="A339" s="25" t="n"/>
      <c r="B339" s="5" t="n"/>
      <c r="C339" s="4" t="n"/>
      <c r="D339" s="5" t="n"/>
      <c r="E339" s="5" t="n"/>
      <c r="F339" s="5" t="n"/>
      <c r="G339" s="5" t="n"/>
      <c r="H339" s="5" t="n"/>
    </row>
    <row r="340" hidden="1" s="38">
      <c r="A340" s="25" t="n"/>
      <c r="B340" s="5" t="n"/>
      <c r="C340" s="4" t="n"/>
      <c r="D340" s="5" t="n"/>
      <c r="E340" s="5" t="n"/>
      <c r="F340" s="5" t="n"/>
      <c r="G340" s="5" t="n"/>
      <c r="H340" s="5" t="n"/>
    </row>
    <row r="341" hidden="1" s="38">
      <c r="A341" s="25" t="n"/>
      <c r="B341" s="5" t="n"/>
      <c r="C341" s="4" t="n"/>
      <c r="D341" s="5" t="n"/>
      <c r="E341" s="5" t="n"/>
      <c r="F341" s="5" t="n"/>
      <c r="G341" s="5" t="n"/>
      <c r="H341" s="5" t="n"/>
    </row>
    <row r="342" hidden="1" s="38">
      <c r="A342" s="25" t="n"/>
      <c r="B342" s="5" t="n"/>
      <c r="C342" s="4" t="n"/>
      <c r="D342" s="5" t="n"/>
      <c r="E342" s="5" t="n"/>
      <c r="F342" s="5" t="n"/>
      <c r="G342" s="5" t="n"/>
      <c r="H342" s="5" t="n"/>
    </row>
    <row r="343" hidden="1" s="38">
      <c r="A343" s="25" t="n"/>
      <c r="B343" s="5" t="n"/>
      <c r="C343" s="4" t="n"/>
      <c r="D343" s="5" t="n"/>
      <c r="E343" s="5" t="n"/>
      <c r="F343" s="5" t="n"/>
      <c r="G343" s="5" t="n"/>
      <c r="H343" s="5" t="n"/>
    </row>
    <row r="344" hidden="1" s="38">
      <c r="A344" s="25" t="n"/>
      <c r="B344" s="5" t="n"/>
      <c r="C344" s="4" t="n"/>
      <c r="D344" s="5" t="n"/>
      <c r="E344" s="5" t="n"/>
      <c r="F344" s="5" t="n"/>
      <c r="G344" s="5" t="n"/>
      <c r="H344" s="5" t="n"/>
    </row>
    <row r="345" hidden="1" s="38">
      <c r="A345" s="25" t="n"/>
      <c r="B345" s="5" t="n"/>
      <c r="C345" s="4" t="n"/>
      <c r="D345" s="5" t="n"/>
      <c r="E345" s="5" t="n"/>
      <c r="F345" s="5" t="n"/>
      <c r="G345" s="5" t="n"/>
      <c r="H345" s="5" t="n"/>
    </row>
    <row r="346" hidden="1" s="38">
      <c r="A346" s="25" t="n"/>
      <c r="B346" s="5" t="n"/>
      <c r="C346" s="4" t="n"/>
      <c r="D346" s="5" t="n"/>
      <c r="E346" s="5" t="n"/>
      <c r="F346" s="5" t="n"/>
      <c r="G346" s="5" t="n"/>
      <c r="H346" s="5" t="n"/>
    </row>
    <row r="347" hidden="1" s="38">
      <c r="A347" s="25" t="n"/>
      <c r="B347" s="5" t="n"/>
      <c r="C347" s="4" t="n"/>
      <c r="D347" s="5" t="n"/>
      <c r="E347" s="5" t="n"/>
      <c r="F347" s="5" t="n"/>
      <c r="G347" s="5" t="n"/>
      <c r="H347" s="5" t="n"/>
    </row>
    <row r="348" hidden="1" s="38">
      <c r="A348" s="25" t="n"/>
      <c r="B348" s="5" t="n"/>
      <c r="C348" s="4" t="n"/>
      <c r="D348" s="5" t="n"/>
      <c r="E348" s="5" t="n"/>
      <c r="F348" s="5" t="n"/>
      <c r="G348" s="5" t="n"/>
      <c r="H348" s="5" t="n"/>
    </row>
    <row r="349" hidden="1" s="38">
      <c r="A349" s="25" t="n"/>
      <c r="B349" s="5" t="n"/>
      <c r="C349" s="4" t="n"/>
      <c r="D349" s="5" t="n"/>
      <c r="E349" s="5" t="n"/>
      <c r="F349" s="5" t="n"/>
      <c r="G349" s="5" t="n"/>
      <c r="H349" s="5" t="n"/>
    </row>
    <row r="350" hidden="1" s="38">
      <c r="A350" s="25" t="n"/>
      <c r="B350" s="5" t="n"/>
      <c r="C350" s="4" t="n"/>
      <c r="D350" s="5" t="n"/>
      <c r="E350" s="5" t="n"/>
      <c r="F350" s="5" t="n"/>
      <c r="G350" s="5" t="n"/>
      <c r="H350" s="5" t="n"/>
    </row>
    <row r="351" hidden="1" s="38">
      <c r="A351" s="25" t="n"/>
      <c r="B351" s="5" t="n"/>
      <c r="C351" s="4" t="n"/>
      <c r="D351" s="5" t="n"/>
      <c r="E351" s="5" t="n"/>
      <c r="F351" s="5" t="n"/>
      <c r="G351" s="5" t="n"/>
      <c r="H351" s="5" t="n"/>
    </row>
    <row r="352" hidden="1" s="38">
      <c r="A352" s="25" t="n"/>
      <c r="B352" s="5" t="n"/>
      <c r="C352" s="4" t="n"/>
      <c r="D352" s="5" t="n"/>
      <c r="E352" s="5" t="n"/>
      <c r="F352" s="5" t="n"/>
      <c r="G352" s="5" t="n"/>
      <c r="H352" s="5" t="n"/>
    </row>
    <row r="353" hidden="1" s="38">
      <c r="A353" s="25" t="n"/>
      <c r="B353" s="5" t="n"/>
      <c r="C353" s="4" t="n"/>
      <c r="D353" s="5" t="n"/>
      <c r="E353" s="5" t="n"/>
      <c r="F353" s="5" t="n"/>
      <c r="G353" s="5" t="n"/>
      <c r="H353" s="5" t="n"/>
    </row>
    <row r="354" hidden="1" s="38">
      <c r="A354" s="25" t="n"/>
      <c r="B354" s="5" t="n"/>
      <c r="C354" s="4" t="n"/>
      <c r="D354" s="5" t="n"/>
      <c r="E354" s="5" t="n"/>
      <c r="F354" s="5" t="n"/>
      <c r="G354" s="5" t="n"/>
      <c r="H354" s="5" t="n"/>
    </row>
    <row r="355" hidden="1" s="38">
      <c r="A355" s="25" t="n"/>
      <c r="B355" s="5" t="n"/>
      <c r="C355" s="4" t="n"/>
      <c r="D355" s="5" t="n"/>
      <c r="E355" s="5" t="n"/>
      <c r="F355" s="5" t="n"/>
      <c r="G355" s="5" t="n"/>
      <c r="H355" s="5" t="n"/>
    </row>
    <row r="356" hidden="1" s="38">
      <c r="A356" s="25" t="n"/>
      <c r="B356" s="5" t="n"/>
      <c r="C356" s="4" t="n"/>
      <c r="D356" s="5" t="n"/>
      <c r="E356" s="5" t="n"/>
      <c r="F356" s="5" t="n"/>
      <c r="G356" s="5" t="n"/>
      <c r="H356" s="5" t="n"/>
    </row>
    <row r="357" hidden="1" s="38">
      <c r="A357" s="25" t="n"/>
      <c r="B357" s="5" t="n"/>
      <c r="C357" s="4" t="n"/>
      <c r="D357" s="5" t="n"/>
      <c r="E357" s="5" t="n"/>
      <c r="F357" s="5" t="n"/>
      <c r="G357" s="5" t="n"/>
      <c r="H357" s="5" t="n"/>
    </row>
    <row r="358" hidden="1" s="38">
      <c r="A358" s="25" t="n"/>
      <c r="B358" s="5" t="n"/>
      <c r="C358" s="4" t="n"/>
      <c r="D358" s="5" t="n"/>
      <c r="E358" s="5" t="n"/>
      <c r="F358" s="5" t="n"/>
      <c r="G358" s="5" t="n"/>
      <c r="H358" s="5" t="n"/>
    </row>
    <row r="359" hidden="1" s="38">
      <c r="A359" s="25" t="n"/>
      <c r="B359" s="5" t="n"/>
      <c r="C359" s="4" t="n"/>
      <c r="D359" s="5" t="n"/>
      <c r="E359" s="5" t="n"/>
      <c r="F359" s="5" t="n"/>
      <c r="G359" s="5" t="n"/>
      <c r="H359" s="5" t="n"/>
    </row>
    <row r="360" hidden="1" s="38">
      <c r="A360" s="25" t="n"/>
      <c r="B360" s="5" t="n"/>
      <c r="C360" s="4" t="n"/>
      <c r="D360" s="5" t="n"/>
      <c r="E360" s="5" t="n"/>
      <c r="F360" s="5" t="n"/>
      <c r="G360" s="5" t="n"/>
      <c r="H360" s="5" t="n"/>
    </row>
    <row r="361" hidden="1" s="38">
      <c r="A361" s="25" t="n"/>
      <c r="B361" s="5" t="n"/>
      <c r="C361" s="4" t="n"/>
      <c r="D361" s="5" t="n"/>
      <c r="E361" s="5" t="n"/>
      <c r="F361" s="5" t="n"/>
      <c r="G361" s="5" t="n"/>
      <c r="H361" s="5" t="n"/>
    </row>
    <row r="362" hidden="1" s="38">
      <c r="A362" s="25" t="n"/>
      <c r="B362" s="5" t="n"/>
      <c r="C362" s="4" t="n"/>
      <c r="D362" s="5" t="n"/>
      <c r="E362" s="5" t="n"/>
      <c r="F362" s="5" t="n"/>
      <c r="G362" s="5" t="n"/>
      <c r="H362" s="5" t="n"/>
    </row>
    <row r="363" hidden="1" s="38">
      <c r="A363" s="25" t="n"/>
      <c r="B363" s="5" t="n"/>
      <c r="C363" s="4" t="n"/>
      <c r="D363" s="5" t="n"/>
      <c r="E363" s="5" t="n"/>
      <c r="F363" s="5" t="n"/>
      <c r="G363" s="5" t="n"/>
      <c r="H363" s="5" t="n"/>
    </row>
    <row r="364" hidden="1" s="38">
      <c r="A364" s="25" t="n"/>
      <c r="B364" s="5" t="n"/>
      <c r="C364" s="4" t="n"/>
      <c r="D364" s="5" t="n"/>
      <c r="E364" s="5" t="n"/>
      <c r="F364" s="5" t="n"/>
      <c r="G364" s="5" t="n"/>
      <c r="H364" s="5" t="n"/>
    </row>
    <row r="365" hidden="1" s="38">
      <c r="A365" s="25" t="n"/>
      <c r="B365" s="5" t="n"/>
      <c r="C365" s="4" t="n"/>
      <c r="D365" s="5" t="n"/>
      <c r="E365" s="5" t="n"/>
      <c r="F365" s="5" t="n"/>
      <c r="G365" s="5" t="n"/>
      <c r="H365" s="5" t="n"/>
    </row>
    <row r="366" hidden="1" s="38">
      <c r="A366" s="25" t="n"/>
      <c r="B366" s="5" t="n"/>
      <c r="C366" s="4" t="n"/>
      <c r="D366" s="5" t="n"/>
      <c r="E366" s="5" t="n"/>
      <c r="F366" s="5" t="n"/>
      <c r="G366" s="5" t="n"/>
      <c r="H366" s="5" t="n"/>
    </row>
    <row r="367" hidden="1" s="38">
      <c r="A367" s="25" t="n"/>
      <c r="B367" s="5" t="n"/>
      <c r="C367" s="4" t="n"/>
      <c r="D367" s="5" t="n"/>
      <c r="E367" s="5" t="n"/>
      <c r="F367" s="5" t="n"/>
      <c r="G367" s="5" t="n"/>
      <c r="H367" s="5" t="n"/>
    </row>
    <row r="368" hidden="1" s="38">
      <c r="A368" s="25" t="n"/>
      <c r="B368" s="5" t="n"/>
      <c r="C368" s="4" t="n"/>
      <c r="D368" s="5" t="n"/>
      <c r="E368" s="5" t="n"/>
      <c r="F368" s="5" t="n"/>
      <c r="G368" s="5" t="n"/>
      <c r="H368" s="5" t="n"/>
    </row>
    <row r="369" hidden="1" s="38">
      <c r="A369" s="25" t="n"/>
      <c r="B369" s="5" t="n"/>
      <c r="C369" s="4" t="n"/>
      <c r="D369" s="5" t="n"/>
      <c r="E369" s="5" t="n"/>
      <c r="F369" s="5" t="n"/>
      <c r="G369" s="5" t="n"/>
      <c r="H369" s="5" t="n"/>
    </row>
    <row r="370" hidden="1" s="38">
      <c r="A370" s="25" t="n"/>
      <c r="B370" s="5" t="n"/>
      <c r="C370" s="4" t="n"/>
      <c r="D370" s="5" t="n"/>
      <c r="E370" s="5" t="n"/>
      <c r="F370" s="5" t="n"/>
      <c r="G370" s="5" t="n"/>
      <c r="H370" s="5" t="n"/>
    </row>
    <row r="371" hidden="1" s="38">
      <c r="A371" s="25" t="n"/>
      <c r="B371" s="5" t="n"/>
      <c r="C371" s="4" t="n"/>
      <c r="D371" s="5" t="n"/>
      <c r="E371" s="5" t="n"/>
      <c r="F371" s="5" t="n"/>
      <c r="G371" s="5" t="n"/>
      <c r="H371" s="5" t="n"/>
    </row>
    <row r="372" hidden="1" s="38">
      <c r="A372" s="25" t="n"/>
      <c r="B372" s="5" t="n"/>
      <c r="C372" s="4" t="n"/>
      <c r="D372" s="5" t="n"/>
      <c r="E372" s="5" t="n"/>
      <c r="F372" s="5" t="n"/>
      <c r="G372" s="5" t="n"/>
      <c r="H372" s="5" t="n"/>
    </row>
    <row r="373" hidden="1" s="38">
      <c r="A373" s="25" t="n"/>
      <c r="B373" s="5" t="n"/>
      <c r="C373" s="4" t="n"/>
      <c r="D373" s="5" t="n"/>
      <c r="E373" s="5" t="n"/>
      <c r="F373" s="5" t="n"/>
      <c r="G373" s="5" t="n"/>
      <c r="H373" s="5" t="n"/>
    </row>
    <row r="374" hidden="1" s="38">
      <c r="A374" s="25" t="n"/>
      <c r="B374" s="5" t="n"/>
      <c r="C374" s="4" t="n"/>
      <c r="D374" s="5" t="n"/>
      <c r="E374" s="5" t="n"/>
      <c r="F374" s="5" t="n"/>
      <c r="G374" s="5" t="n"/>
      <c r="H374" s="5" t="n"/>
    </row>
    <row r="375" hidden="1" s="38">
      <c r="A375" s="25" t="n"/>
      <c r="B375" s="5" t="n"/>
      <c r="C375" s="4" t="n"/>
      <c r="D375" s="5" t="n"/>
      <c r="E375" s="5" t="n"/>
      <c r="F375" s="5" t="n"/>
      <c r="G375" s="5" t="n"/>
      <c r="H375" s="5" t="n"/>
    </row>
    <row r="376" hidden="1" s="38">
      <c r="A376" s="25" t="n"/>
      <c r="B376" s="5" t="n"/>
      <c r="C376" s="4" t="n"/>
      <c r="D376" s="5" t="n"/>
      <c r="E376" s="5" t="n"/>
      <c r="F376" s="5" t="n"/>
      <c r="G376" s="5" t="n"/>
      <c r="H376" s="5" t="n"/>
    </row>
    <row r="377" hidden="1" s="38">
      <c r="A377" s="25" t="n"/>
      <c r="B377" s="5" t="n"/>
      <c r="C377" s="4" t="n"/>
      <c r="D377" s="5" t="n"/>
      <c r="E377" s="5" t="n"/>
      <c r="F377" s="5" t="n"/>
      <c r="G377" s="5" t="n"/>
      <c r="H377" s="5" t="n"/>
    </row>
    <row r="378" hidden="1" s="38">
      <c r="A378" s="25" t="n"/>
      <c r="B378" s="5" t="n"/>
      <c r="C378" s="4" t="n"/>
      <c r="D378" s="5" t="n"/>
      <c r="E378" s="5" t="n"/>
      <c r="F378" s="5" t="n"/>
      <c r="G378" s="5" t="n"/>
      <c r="H378" s="5" t="n"/>
    </row>
    <row r="379" hidden="1" s="38">
      <c r="A379" s="25" t="n"/>
      <c r="B379" s="5" t="n"/>
      <c r="C379" s="4" t="n"/>
      <c r="D379" s="5" t="n"/>
      <c r="E379" s="5" t="n"/>
      <c r="F379" s="5" t="n"/>
      <c r="G379" s="5" t="n"/>
      <c r="H379" s="5" t="n"/>
    </row>
    <row r="380" hidden="1" s="38">
      <c r="A380" s="25" t="n"/>
      <c r="B380" s="5" t="n"/>
      <c r="C380" s="4" t="n"/>
      <c r="D380" s="5" t="n"/>
      <c r="E380" s="5" t="n"/>
      <c r="F380" s="5" t="n"/>
      <c r="G380" s="5" t="n"/>
      <c r="H380" s="5" t="n"/>
    </row>
    <row r="381" hidden="1" s="38">
      <c r="A381" s="25" t="n"/>
      <c r="B381" s="5" t="n"/>
      <c r="C381" s="4" t="n"/>
      <c r="D381" s="5" t="n"/>
      <c r="E381" s="5" t="n"/>
      <c r="F381" s="5" t="n"/>
      <c r="G381" s="5" t="n"/>
      <c r="H381" s="5" t="n"/>
    </row>
    <row r="382" hidden="1" s="38">
      <c r="A382" s="25" t="n"/>
      <c r="B382" s="5" t="n"/>
      <c r="C382" s="4" t="n"/>
      <c r="D382" s="5" t="n"/>
      <c r="E382" s="5" t="n"/>
      <c r="F382" s="5" t="n"/>
      <c r="G382" s="5" t="n"/>
      <c r="H382" s="5" t="n"/>
    </row>
    <row r="383" hidden="1" s="38">
      <c r="A383" s="25" t="n"/>
      <c r="B383" s="5" t="n"/>
      <c r="C383" s="4" t="n"/>
      <c r="D383" s="5" t="n"/>
      <c r="E383" s="5" t="n"/>
      <c r="F383" s="5" t="n"/>
      <c r="G383" s="5" t="n"/>
      <c r="H383" s="5" t="n"/>
    </row>
    <row r="384" hidden="1" s="38">
      <c r="A384" s="25" t="n"/>
      <c r="B384" s="5" t="n"/>
      <c r="C384" s="4" t="n"/>
      <c r="D384" s="5" t="n"/>
      <c r="E384" s="5" t="n"/>
      <c r="F384" s="5" t="n"/>
      <c r="G384" s="5" t="n"/>
      <c r="H384" s="5" t="n"/>
    </row>
    <row r="385" hidden="1" s="38">
      <c r="A385" s="25" t="n"/>
      <c r="B385" s="5" t="n"/>
      <c r="C385" s="4" t="n"/>
      <c r="D385" s="5" t="n"/>
      <c r="E385" s="5" t="n"/>
      <c r="F385" s="5" t="n"/>
      <c r="G385" s="5" t="n"/>
      <c r="H385" s="5" t="n"/>
    </row>
    <row r="386" hidden="1" s="38">
      <c r="A386" s="25" t="n"/>
      <c r="B386" s="5" t="n"/>
      <c r="C386" s="4" t="n"/>
      <c r="D386" s="5" t="n"/>
      <c r="E386" s="5" t="n"/>
      <c r="F386" s="5" t="n"/>
      <c r="G386" s="5" t="n"/>
      <c r="H386" s="5" t="n"/>
    </row>
    <row r="387" hidden="1" s="38">
      <c r="A387" s="25" t="n"/>
      <c r="B387" s="5" t="n"/>
      <c r="C387" s="4" t="n"/>
      <c r="D387" s="5" t="n"/>
      <c r="E387" s="5" t="n"/>
      <c r="F387" s="5" t="n"/>
      <c r="G387" s="5" t="n"/>
      <c r="H387" s="5" t="n"/>
    </row>
    <row r="388" hidden="1" s="38">
      <c r="A388" s="25" t="n"/>
      <c r="B388" s="5" t="n"/>
      <c r="C388" s="4" t="n"/>
      <c r="D388" s="5" t="n"/>
      <c r="E388" s="5" t="n"/>
      <c r="F388" s="5" t="n"/>
      <c r="G388" s="5" t="n"/>
      <c r="H388" s="5" t="n"/>
    </row>
    <row r="389" hidden="1" s="38">
      <c r="A389" s="25" t="n"/>
      <c r="B389" s="5" t="n"/>
      <c r="C389" s="4" t="n"/>
      <c r="D389" s="5" t="n"/>
      <c r="E389" s="5" t="n"/>
      <c r="F389" s="5" t="n"/>
      <c r="G389" s="5" t="n"/>
      <c r="H389" s="5" t="n"/>
    </row>
    <row r="390" hidden="1" s="38">
      <c r="A390" s="25" t="n"/>
      <c r="B390" s="5" t="n"/>
      <c r="C390" s="4" t="n"/>
      <c r="D390" s="5" t="n"/>
      <c r="E390" s="5" t="n"/>
      <c r="F390" s="5" t="n"/>
      <c r="G390" s="5" t="n"/>
      <c r="H390" s="5" t="n"/>
    </row>
    <row r="391" hidden="1" s="38">
      <c r="A391" s="25" t="n"/>
      <c r="B391" s="5" t="n"/>
      <c r="C391" s="4" t="n"/>
      <c r="D391" s="5" t="n"/>
      <c r="E391" s="5" t="n"/>
      <c r="F391" s="5" t="n"/>
      <c r="G391" s="5" t="n"/>
      <c r="H391" s="5" t="n"/>
    </row>
    <row r="392" hidden="1" s="38">
      <c r="A392" s="25" t="n"/>
      <c r="B392" s="5" t="n"/>
      <c r="C392" s="4" t="n"/>
      <c r="D392" s="5" t="n"/>
      <c r="E392" s="5" t="n"/>
      <c r="F392" s="5" t="n"/>
      <c r="G392" s="5" t="n"/>
      <c r="H392" s="5" t="n"/>
    </row>
    <row r="393" hidden="1" s="38">
      <c r="A393" s="25" t="n"/>
      <c r="B393" s="5" t="n"/>
      <c r="C393" s="4" t="n"/>
      <c r="D393" s="5" t="n"/>
      <c r="E393" s="5" t="n"/>
      <c r="F393" s="5" t="n"/>
      <c r="G393" s="5" t="n"/>
      <c r="H393" s="5" t="n"/>
    </row>
    <row r="394" hidden="1" s="38">
      <c r="A394" s="25" t="n"/>
      <c r="B394" s="5" t="n"/>
      <c r="C394" s="4" t="n"/>
      <c r="D394" s="5" t="n"/>
      <c r="E394" s="5" t="n"/>
      <c r="F394" s="5" t="n"/>
      <c r="G394" s="5" t="n"/>
      <c r="H394" s="5" t="n"/>
    </row>
    <row r="395" hidden="1" s="38">
      <c r="A395" s="25" t="n"/>
      <c r="B395" s="5" t="n"/>
      <c r="C395" s="4" t="n"/>
      <c r="D395" s="5" t="n"/>
      <c r="E395" s="5" t="n"/>
      <c r="F395" s="5" t="n"/>
      <c r="G395" s="5" t="n"/>
      <c r="H395" s="5" t="n"/>
    </row>
    <row r="396" hidden="1" s="38">
      <c r="A396" s="25" t="n"/>
      <c r="B396" s="5" t="n"/>
      <c r="C396" s="4" t="n"/>
      <c r="D396" s="5" t="n"/>
      <c r="E396" s="5" t="n"/>
      <c r="F396" s="5" t="n"/>
      <c r="G396" s="5" t="n"/>
      <c r="H396" s="5" t="n"/>
    </row>
    <row r="397" hidden="1" s="38">
      <c r="A397" s="25" t="n"/>
      <c r="B397" s="5" t="n"/>
      <c r="C397" s="4" t="n"/>
      <c r="D397" s="5" t="n"/>
      <c r="E397" s="5" t="n"/>
      <c r="F397" s="5" t="n"/>
      <c r="G397" s="5" t="n"/>
      <c r="H397" s="5" t="n"/>
    </row>
    <row r="398" hidden="1" s="38">
      <c r="A398" s="25" t="n"/>
      <c r="B398" s="5" t="n"/>
      <c r="C398" s="4" t="n"/>
      <c r="D398" s="5" t="n"/>
      <c r="E398" s="5" t="n"/>
      <c r="F398" s="5" t="n"/>
      <c r="G398" s="5" t="n"/>
      <c r="H398" s="5" t="n"/>
    </row>
    <row r="399" hidden="1" s="38">
      <c r="A399" s="25" t="n"/>
      <c r="B399" s="5" t="n"/>
      <c r="C399" s="4" t="n"/>
      <c r="D399" s="5" t="n"/>
      <c r="E399" s="5" t="n"/>
      <c r="F399" s="5" t="n"/>
      <c r="G399" s="5" t="n"/>
      <c r="H399" s="5" t="n"/>
    </row>
    <row r="400" hidden="1" s="38">
      <c r="A400" s="25" t="n"/>
      <c r="B400" s="5" t="n"/>
      <c r="C400" s="4" t="n"/>
      <c r="D400" s="5" t="n"/>
      <c r="E400" s="5" t="n"/>
      <c r="F400" s="5" t="n"/>
      <c r="G400" s="5" t="n"/>
      <c r="H400" s="5" t="n"/>
    </row>
    <row r="401" hidden="1" s="38">
      <c r="A401" s="25" t="n"/>
      <c r="B401" s="5" t="n"/>
      <c r="C401" s="4" t="n"/>
      <c r="D401" s="5" t="n"/>
      <c r="E401" s="5" t="n"/>
      <c r="F401" s="5" t="n"/>
      <c r="G401" s="5" t="n"/>
      <c r="H401" s="5" t="n"/>
    </row>
    <row r="402" hidden="1" s="38">
      <c r="A402" s="25" t="n"/>
      <c r="B402" s="5" t="n"/>
      <c r="C402" s="4" t="n"/>
      <c r="D402" s="5" t="n"/>
      <c r="E402" s="5" t="n"/>
      <c r="F402" s="5" t="n"/>
      <c r="G402" s="5" t="n"/>
      <c r="H402" s="5" t="n"/>
    </row>
    <row r="403" hidden="1" s="38">
      <c r="A403" s="25" t="n"/>
      <c r="B403" s="5" t="n"/>
      <c r="C403" s="4" t="n"/>
      <c r="D403" s="5" t="n"/>
      <c r="E403" s="5" t="n"/>
      <c r="F403" s="5" t="n"/>
      <c r="G403" s="5" t="n"/>
      <c r="H403" s="5" t="n"/>
    </row>
    <row r="404" hidden="1" s="38">
      <c r="A404" s="25" t="n"/>
      <c r="B404" s="5" t="n"/>
      <c r="C404" s="4" t="n"/>
      <c r="D404" s="5" t="n"/>
      <c r="E404" s="5" t="n"/>
      <c r="F404" s="5" t="n"/>
      <c r="G404" s="5" t="n"/>
      <c r="H404" s="5" t="n"/>
    </row>
    <row r="405" hidden="1" s="38">
      <c r="A405" s="25" t="n"/>
      <c r="B405" s="5" t="n"/>
      <c r="C405" s="4" t="n"/>
      <c r="D405" s="5" t="n"/>
      <c r="E405" s="5" t="n"/>
      <c r="F405" s="5" t="n"/>
      <c r="G405" s="5" t="n"/>
      <c r="H405" s="5" t="n"/>
    </row>
    <row r="406" hidden="1" s="38">
      <c r="A406" s="25" t="n"/>
      <c r="B406" s="5" t="n"/>
      <c r="C406" s="4" t="n"/>
      <c r="D406" s="5" t="n"/>
      <c r="E406" s="5" t="n"/>
      <c r="F406" s="5" t="n"/>
      <c r="G406" s="5" t="n"/>
      <c r="H406" s="5" t="n"/>
    </row>
    <row r="407" hidden="1" s="38">
      <c r="A407" s="25" t="n"/>
      <c r="B407" s="5" t="n"/>
      <c r="C407" s="4" t="n"/>
      <c r="D407" s="5" t="n"/>
      <c r="E407" s="5" t="n"/>
      <c r="F407" s="5" t="n"/>
      <c r="G407" s="5" t="n"/>
      <c r="H407" s="5" t="n"/>
    </row>
    <row r="408" hidden="1" s="38">
      <c r="A408" s="25" t="n"/>
      <c r="B408" s="5" t="n"/>
      <c r="C408" s="4" t="n"/>
      <c r="D408" s="5" t="n"/>
      <c r="E408" s="5" t="n"/>
      <c r="F408" s="5" t="n"/>
      <c r="G408" s="5" t="n"/>
      <c r="H408" s="5" t="n"/>
    </row>
    <row r="409" hidden="1" s="38">
      <c r="A409" s="25" t="n"/>
      <c r="B409" s="5" t="n"/>
      <c r="C409" s="4" t="n"/>
      <c r="D409" s="5" t="n"/>
      <c r="E409" s="5" t="n"/>
      <c r="F409" s="5" t="n"/>
      <c r="G409" s="5" t="n"/>
      <c r="H409" s="5" t="n"/>
    </row>
    <row r="410" hidden="1" s="38">
      <c r="A410" s="25" t="n"/>
      <c r="B410" s="5" t="n"/>
      <c r="C410" s="4" t="n"/>
      <c r="D410" s="5" t="n"/>
      <c r="E410" s="5" t="n"/>
      <c r="F410" s="5" t="n"/>
      <c r="G410" s="5" t="n"/>
      <c r="H410" s="5" t="n"/>
    </row>
    <row r="411" hidden="1" s="38">
      <c r="A411" s="25" t="n"/>
      <c r="B411" s="5" t="n"/>
      <c r="C411" s="4" t="n"/>
      <c r="D411" s="5" t="n"/>
      <c r="E411" s="5" t="n"/>
      <c r="F411" s="5" t="n"/>
      <c r="G411" s="5" t="n"/>
      <c r="H411" s="5" t="n"/>
    </row>
    <row r="412" hidden="1" s="38">
      <c r="A412" s="25" t="n"/>
      <c r="B412" s="5" t="n"/>
      <c r="C412" s="4" t="n"/>
      <c r="D412" s="5" t="n"/>
      <c r="E412" s="5" t="n"/>
      <c r="F412" s="5" t="n"/>
      <c r="G412" s="5" t="n"/>
      <c r="H412" s="5" t="n"/>
    </row>
    <row r="413" hidden="1" s="38">
      <c r="A413" s="25" t="n"/>
      <c r="B413" s="5" t="n"/>
      <c r="C413" s="4" t="n"/>
      <c r="D413" s="5" t="n"/>
      <c r="E413" s="5" t="n"/>
      <c r="F413" s="5" t="n"/>
      <c r="G413" s="5" t="n"/>
      <c r="H413" s="5" t="n"/>
    </row>
    <row r="414" hidden="1" s="38">
      <c r="A414" s="25" t="n"/>
      <c r="B414" s="5" t="n"/>
      <c r="C414" s="4" t="n"/>
      <c r="D414" s="5" t="n"/>
      <c r="E414" s="5" t="n"/>
      <c r="F414" s="5" t="n"/>
      <c r="G414" s="5" t="n"/>
      <c r="H414" s="5" t="n"/>
    </row>
    <row r="415" hidden="1" s="38">
      <c r="A415" s="25" t="n"/>
      <c r="B415" s="5" t="n"/>
      <c r="C415" s="4" t="n"/>
      <c r="D415" s="5" t="n"/>
      <c r="E415" s="5" t="n"/>
      <c r="F415" s="5" t="n"/>
      <c r="G415" s="5" t="n"/>
      <c r="H415" s="5" t="n"/>
    </row>
    <row r="416" hidden="1" s="38">
      <c r="A416" s="25" t="n"/>
      <c r="B416" s="5" t="n"/>
      <c r="C416" s="4" t="n"/>
      <c r="D416" s="5" t="n"/>
      <c r="E416" s="5" t="n"/>
      <c r="F416" s="5" t="n"/>
      <c r="G416" s="5" t="n"/>
      <c r="H416" s="5" t="n"/>
    </row>
    <row r="417" hidden="1" s="38">
      <c r="A417" s="25" t="n"/>
      <c r="B417" s="5" t="n"/>
      <c r="C417" s="4" t="n"/>
      <c r="D417" s="5" t="n"/>
      <c r="E417" s="5" t="n"/>
      <c r="F417" s="5" t="n"/>
      <c r="G417" s="5" t="n"/>
      <c r="H417" s="5" t="n"/>
    </row>
    <row r="418" hidden="1" s="38">
      <c r="A418" s="25" t="n"/>
      <c r="B418" s="5" t="n"/>
      <c r="C418" s="4" t="n"/>
      <c r="D418" s="5" t="n"/>
      <c r="E418" s="5" t="n"/>
      <c r="F418" s="5" t="n"/>
      <c r="G418" s="5" t="n"/>
      <c r="H418" s="5" t="n"/>
    </row>
    <row r="419" hidden="1" s="38">
      <c r="A419" s="25" t="n"/>
      <c r="B419" s="5" t="n"/>
      <c r="C419" s="4" t="n"/>
      <c r="D419" s="5" t="n"/>
      <c r="E419" s="5" t="n"/>
      <c r="F419" s="5" t="n"/>
      <c r="G419" s="5" t="n"/>
      <c r="H419" s="5" t="n"/>
    </row>
    <row r="420" hidden="1" s="38">
      <c r="A420" s="25" t="n"/>
      <c r="B420" s="5" t="n"/>
      <c r="C420" s="4" t="n"/>
      <c r="D420" s="5" t="n"/>
      <c r="E420" s="5" t="n"/>
      <c r="F420" s="5" t="n"/>
      <c r="G420" s="5" t="n"/>
      <c r="H420" s="5" t="n"/>
    </row>
    <row r="421" hidden="1" s="38">
      <c r="A421" s="25" t="n"/>
      <c r="B421" s="5" t="n"/>
      <c r="C421" s="4" t="n"/>
      <c r="D421" s="5" t="n"/>
      <c r="E421" s="5" t="n"/>
      <c r="F421" s="5" t="n"/>
      <c r="G421" s="5" t="n"/>
      <c r="H421" s="5" t="n"/>
    </row>
    <row r="422" hidden="1" s="38">
      <c r="A422" s="25" t="n"/>
      <c r="B422" s="5" t="n"/>
      <c r="C422" s="4" t="n"/>
      <c r="D422" s="5" t="n"/>
      <c r="E422" s="5" t="n"/>
      <c r="F422" s="5" t="n"/>
      <c r="G422" s="5" t="n"/>
      <c r="H422" s="5" t="n"/>
    </row>
    <row r="423" hidden="1" s="38">
      <c r="A423" s="25" t="n"/>
      <c r="B423" s="5" t="n"/>
      <c r="C423" s="4" t="n"/>
      <c r="D423" s="5" t="n"/>
      <c r="E423" s="5" t="n"/>
      <c r="F423" s="5" t="n"/>
      <c r="G423" s="5" t="n"/>
      <c r="H423" s="5" t="n"/>
    </row>
    <row r="424" hidden="1" s="38">
      <c r="A424" s="25" t="n"/>
      <c r="B424" s="5" t="n"/>
      <c r="C424" s="4" t="n"/>
      <c r="D424" s="5" t="n"/>
      <c r="E424" s="5" t="n"/>
      <c r="F424" s="5" t="n"/>
      <c r="G424" s="5" t="n"/>
      <c r="H424" s="5" t="n"/>
    </row>
    <row r="425" hidden="1" s="38">
      <c r="A425" s="25" t="n"/>
      <c r="B425" s="5" t="n"/>
      <c r="C425" s="4" t="n"/>
      <c r="D425" s="5" t="n"/>
      <c r="E425" s="5" t="n"/>
      <c r="F425" s="5" t="n"/>
      <c r="G425" s="5" t="n"/>
      <c r="H425" s="5" t="n"/>
    </row>
    <row r="426" hidden="1" s="38">
      <c r="A426" s="25" t="n"/>
      <c r="B426" s="5" t="n"/>
      <c r="C426" s="4" t="n"/>
      <c r="D426" s="5" t="n"/>
      <c r="E426" s="5" t="n"/>
      <c r="F426" s="5" t="n"/>
      <c r="G426" s="5" t="n"/>
      <c r="H426" s="5" t="n"/>
    </row>
    <row r="427" hidden="1" s="38">
      <c r="A427" s="25" t="n"/>
      <c r="B427" s="5" t="n"/>
      <c r="C427" s="4" t="n"/>
      <c r="D427" s="5" t="n"/>
      <c r="E427" s="5" t="n"/>
      <c r="F427" s="5" t="n"/>
      <c r="G427" s="5" t="n"/>
      <c r="H427" s="5" t="n"/>
    </row>
    <row r="428" hidden="1" s="38">
      <c r="A428" s="25" t="n"/>
      <c r="B428" s="5" t="n"/>
      <c r="C428" s="4" t="n"/>
      <c r="D428" s="5" t="n"/>
      <c r="E428" s="5" t="n"/>
      <c r="F428" s="5" t="n"/>
      <c r="G428" s="5" t="n"/>
      <c r="H428" s="5" t="n"/>
    </row>
    <row r="429" hidden="1" s="38">
      <c r="A429" s="25" t="n"/>
      <c r="B429" s="5" t="n"/>
      <c r="C429" s="4" t="n"/>
      <c r="D429" s="5" t="n"/>
      <c r="E429" s="5" t="n"/>
      <c r="F429" s="5" t="n"/>
      <c r="G429" s="5" t="n"/>
      <c r="H429" s="5" t="n"/>
    </row>
    <row r="430" hidden="1" s="38">
      <c r="A430" s="25" t="n"/>
      <c r="B430" s="5" t="n"/>
      <c r="C430" s="4" t="n"/>
      <c r="D430" s="5" t="n"/>
      <c r="E430" s="5" t="n"/>
      <c r="F430" s="5" t="n"/>
      <c r="G430" s="5" t="n"/>
      <c r="H430" s="5" t="n"/>
    </row>
    <row r="431" hidden="1" s="38">
      <c r="A431" s="25" t="n"/>
      <c r="B431" s="5" t="n"/>
      <c r="C431" s="4" t="n"/>
      <c r="D431" s="5" t="n"/>
      <c r="E431" s="5" t="n"/>
      <c r="F431" s="5" t="n"/>
      <c r="G431" s="5" t="n"/>
      <c r="H431" s="5" t="n"/>
    </row>
    <row r="432" hidden="1" s="38">
      <c r="A432" s="25" t="n"/>
      <c r="B432" s="5" t="n"/>
      <c r="C432" s="4" t="n"/>
      <c r="D432" s="5" t="n"/>
      <c r="E432" s="5" t="n"/>
      <c r="F432" s="5" t="n"/>
      <c r="G432" s="5" t="n"/>
      <c r="H432" s="5" t="n"/>
    </row>
    <row r="433" hidden="1" s="38">
      <c r="A433" s="25" t="n"/>
      <c r="B433" s="5" t="n"/>
      <c r="C433" s="4" t="n"/>
      <c r="D433" s="5" t="n"/>
      <c r="E433" s="5" t="n"/>
      <c r="F433" s="5" t="n"/>
      <c r="G433" s="5" t="n"/>
      <c r="H433" s="5" t="n"/>
    </row>
    <row r="434" hidden="1" s="38">
      <c r="A434" s="25" t="n"/>
      <c r="B434" s="5" t="n"/>
      <c r="C434" s="4" t="n"/>
      <c r="D434" s="5" t="n"/>
      <c r="E434" s="5" t="n"/>
      <c r="F434" s="5" t="n"/>
      <c r="G434" s="5" t="n"/>
      <c r="H434" s="5" t="n"/>
    </row>
    <row r="435" hidden="1" s="38">
      <c r="A435" s="25" t="n"/>
      <c r="B435" s="5" t="n"/>
      <c r="C435" s="4" t="n"/>
      <c r="D435" s="5" t="n"/>
      <c r="E435" s="5" t="n"/>
      <c r="F435" s="5" t="n"/>
      <c r="G435" s="5" t="n"/>
      <c r="H435" s="5" t="n"/>
    </row>
    <row r="436" hidden="1" s="38">
      <c r="A436" s="25" t="n"/>
      <c r="B436" s="5" t="n"/>
      <c r="C436" s="4" t="n"/>
      <c r="D436" s="5" t="n"/>
      <c r="E436" s="5" t="n"/>
      <c r="F436" s="5" t="n"/>
      <c r="G436" s="5" t="n"/>
      <c r="H436" s="5" t="n"/>
    </row>
    <row r="437" hidden="1" s="38">
      <c r="A437" s="25" t="n"/>
      <c r="B437" s="5" t="n"/>
      <c r="C437" s="4" t="n"/>
      <c r="D437" s="5" t="n"/>
      <c r="E437" s="5" t="n"/>
      <c r="F437" s="5" t="n"/>
      <c r="G437" s="5" t="n"/>
      <c r="H437" s="5" t="n"/>
    </row>
    <row r="438" hidden="1" s="38">
      <c r="A438" s="25" t="n"/>
      <c r="B438" s="5" t="n"/>
      <c r="C438" s="4" t="n"/>
      <c r="D438" s="5" t="n"/>
      <c r="E438" s="5" t="n"/>
      <c r="F438" s="5" t="n"/>
      <c r="G438" s="5" t="n"/>
      <c r="H438" s="5" t="n"/>
    </row>
    <row r="439" hidden="1" s="38">
      <c r="A439" s="25" t="n"/>
      <c r="B439" s="5" t="n"/>
      <c r="C439" s="4" t="n"/>
      <c r="D439" s="5" t="n"/>
      <c r="E439" s="5" t="n"/>
      <c r="F439" s="5" t="n"/>
      <c r="G439" s="5" t="n"/>
      <c r="H439" s="5" t="n"/>
    </row>
    <row r="440" hidden="1" s="38">
      <c r="A440" s="25" t="n"/>
      <c r="B440" s="5" t="n"/>
      <c r="C440" s="4" t="n"/>
      <c r="D440" s="5" t="n"/>
      <c r="E440" s="5" t="n"/>
      <c r="F440" s="5" t="n"/>
      <c r="G440" s="5" t="n"/>
      <c r="H440" s="5" t="n"/>
    </row>
    <row r="441" hidden="1" s="38">
      <c r="A441" s="25" t="n"/>
      <c r="B441" s="5" t="n"/>
      <c r="C441" s="4" t="n"/>
      <c r="D441" s="5" t="n"/>
      <c r="E441" s="5" t="n"/>
      <c r="F441" s="5" t="n"/>
      <c r="G441" s="5" t="n"/>
      <c r="H441" s="5" t="n"/>
    </row>
    <row r="442" hidden="1" s="38">
      <c r="A442" s="25" t="n"/>
      <c r="B442" s="5" t="n"/>
      <c r="C442" s="4" t="n"/>
      <c r="D442" s="5" t="n"/>
      <c r="E442" s="5" t="n"/>
      <c r="F442" s="5" t="n"/>
      <c r="G442" s="5" t="n"/>
      <c r="H442" s="5" t="n"/>
    </row>
    <row r="443" hidden="1" s="38">
      <c r="A443" s="25" t="n"/>
      <c r="B443" s="5" t="n"/>
      <c r="C443" s="4" t="n"/>
      <c r="D443" s="5" t="n"/>
      <c r="E443" s="5" t="n"/>
      <c r="F443" s="5" t="n"/>
      <c r="G443" s="5" t="n"/>
      <c r="H443" s="5" t="n"/>
    </row>
    <row r="444" hidden="1" s="38">
      <c r="A444" s="25" t="n"/>
      <c r="B444" s="5" t="n"/>
      <c r="C444" s="4" t="n"/>
      <c r="D444" s="5" t="n"/>
      <c r="E444" s="5" t="n"/>
      <c r="F444" s="5" t="n"/>
      <c r="G444" s="5" t="n"/>
      <c r="H444" s="5" t="n"/>
    </row>
    <row r="445" hidden="1" s="38">
      <c r="A445" s="25" t="n"/>
      <c r="B445" s="5" t="n"/>
      <c r="C445" s="4" t="n"/>
      <c r="D445" s="5" t="n"/>
      <c r="E445" s="5" t="n"/>
      <c r="F445" s="5" t="n"/>
      <c r="G445" s="5" t="n"/>
      <c r="H445" s="5" t="n"/>
    </row>
    <row r="446" hidden="1" s="38">
      <c r="A446" s="25" t="n"/>
      <c r="B446" s="5" t="n"/>
      <c r="C446" s="4" t="n"/>
      <c r="D446" s="5" t="n"/>
      <c r="E446" s="5" t="n"/>
      <c r="F446" s="5" t="n"/>
      <c r="G446" s="5" t="n"/>
      <c r="H446" s="5" t="n"/>
    </row>
    <row r="447" hidden="1" s="38">
      <c r="A447" s="25" t="n"/>
      <c r="B447" s="5" t="n"/>
      <c r="C447" s="4" t="n"/>
      <c r="D447" s="5" t="n"/>
      <c r="E447" s="5" t="n"/>
      <c r="F447" s="5" t="n"/>
      <c r="G447" s="5" t="n"/>
      <c r="H447" s="5" t="n"/>
    </row>
    <row r="448" hidden="1" s="38">
      <c r="A448" s="25" t="n"/>
      <c r="B448" s="5" t="n"/>
      <c r="C448" s="4" t="n"/>
      <c r="D448" s="5" t="n"/>
      <c r="E448" s="5" t="n"/>
      <c r="F448" s="5" t="n"/>
      <c r="G448" s="5" t="n"/>
      <c r="H448" s="5" t="n"/>
    </row>
    <row r="449" hidden="1" s="38">
      <c r="A449" s="25" t="n"/>
      <c r="B449" s="5" t="n"/>
      <c r="C449" s="4" t="n"/>
      <c r="D449" s="5" t="n"/>
      <c r="E449" s="5" t="n"/>
      <c r="F449" s="5" t="n"/>
      <c r="G449" s="5" t="n"/>
      <c r="H449" s="5" t="n"/>
    </row>
    <row r="450" hidden="1" s="38">
      <c r="A450" s="25" t="n"/>
      <c r="B450" s="5" t="n"/>
      <c r="C450" s="4" t="n"/>
      <c r="D450" s="5" t="n"/>
      <c r="E450" s="5" t="n"/>
      <c r="F450" s="5" t="n"/>
      <c r="G450" s="5" t="n"/>
      <c r="H450" s="5" t="n"/>
    </row>
    <row r="451" hidden="1" s="38">
      <c r="A451" s="25" t="n"/>
      <c r="B451" s="5" t="n"/>
      <c r="C451" s="4" t="n"/>
      <c r="D451" s="5" t="n"/>
      <c r="E451" s="5" t="n"/>
      <c r="F451" s="5" t="n"/>
      <c r="G451" s="5" t="n"/>
      <c r="H451" s="5" t="n"/>
    </row>
    <row r="452" hidden="1" s="38">
      <c r="A452" s="25" t="n"/>
      <c r="B452" s="5" t="n"/>
      <c r="C452" s="4" t="n"/>
      <c r="D452" s="5" t="n"/>
      <c r="E452" s="5" t="n"/>
      <c r="F452" s="5" t="n"/>
      <c r="G452" s="5" t="n"/>
      <c r="H452" s="5" t="n"/>
    </row>
    <row r="453" hidden="1" s="38">
      <c r="A453" s="25" t="n"/>
      <c r="B453" s="5" t="n"/>
      <c r="C453" s="4" t="n"/>
      <c r="D453" s="5" t="n"/>
      <c r="E453" s="5" t="n"/>
      <c r="F453" s="5" t="n"/>
      <c r="G453" s="5" t="n"/>
      <c r="H453" s="5" t="n"/>
    </row>
    <row r="454" hidden="1" s="38">
      <c r="A454" s="25" t="n"/>
      <c r="B454" s="5" t="n"/>
      <c r="C454" s="4" t="n"/>
      <c r="D454" s="5" t="n"/>
      <c r="E454" s="5" t="n"/>
      <c r="F454" s="5" t="n"/>
      <c r="G454" s="5" t="n"/>
      <c r="H454" s="5" t="n"/>
    </row>
    <row r="455" hidden="1" s="38">
      <c r="A455" s="25" t="n"/>
      <c r="B455" s="5" t="n"/>
      <c r="C455" s="4" t="n"/>
      <c r="D455" s="5" t="n"/>
      <c r="E455" s="5" t="n"/>
      <c r="F455" s="5" t="n"/>
      <c r="G455" s="5" t="n"/>
      <c r="H455" s="5" t="n"/>
    </row>
    <row r="456" hidden="1" s="38">
      <c r="A456" s="25" t="n"/>
      <c r="B456" s="5" t="n"/>
      <c r="C456" s="4" t="n"/>
      <c r="D456" s="5" t="n"/>
      <c r="E456" s="5" t="n"/>
      <c r="F456" s="5" t="n"/>
      <c r="G456" s="5" t="n"/>
      <c r="H456" s="5" t="n"/>
    </row>
    <row r="457" hidden="1" s="38">
      <c r="A457" s="25" t="n"/>
      <c r="B457" s="5" t="n"/>
      <c r="C457" s="4" t="n"/>
      <c r="D457" s="5" t="n"/>
      <c r="E457" s="5" t="n"/>
      <c r="F457" s="5" t="n"/>
      <c r="G457" s="5" t="n"/>
      <c r="H457" s="5" t="n"/>
    </row>
    <row r="458" hidden="1" s="38">
      <c r="A458" s="25" t="n"/>
      <c r="B458" s="5" t="n"/>
      <c r="C458" s="4" t="n"/>
      <c r="D458" s="5" t="n"/>
      <c r="E458" s="5" t="n"/>
      <c r="F458" s="5" t="n"/>
      <c r="G458" s="5" t="n"/>
      <c r="H458" s="5" t="n"/>
    </row>
    <row r="459" hidden="1" s="38">
      <c r="A459" s="25" t="n"/>
      <c r="B459" s="5" t="n"/>
      <c r="C459" s="4" t="n"/>
      <c r="D459" s="5" t="n"/>
      <c r="E459" s="5" t="n"/>
      <c r="F459" s="5" t="n"/>
      <c r="G459" s="5" t="n"/>
      <c r="H459" s="5" t="n"/>
    </row>
    <row r="460" hidden="1" s="38">
      <c r="A460" s="25" t="n"/>
      <c r="B460" s="5" t="n"/>
      <c r="C460" s="4" t="n"/>
      <c r="D460" s="5" t="n"/>
      <c r="E460" s="5" t="n"/>
      <c r="F460" s="5" t="n"/>
      <c r="G460" s="5" t="n"/>
      <c r="H460" s="5" t="n"/>
    </row>
    <row r="461" hidden="1" s="38">
      <c r="A461" s="25" t="n"/>
      <c r="B461" s="5" t="n"/>
      <c r="C461" s="4" t="n"/>
      <c r="D461" s="5" t="n"/>
      <c r="E461" s="5" t="n"/>
      <c r="F461" s="5" t="n"/>
      <c r="G461" s="5" t="n"/>
      <c r="H461" s="5" t="n"/>
    </row>
    <row r="462" hidden="1" s="38">
      <c r="A462" s="25" t="n"/>
      <c r="B462" s="5" t="n"/>
      <c r="C462" s="4" t="n"/>
      <c r="D462" s="5" t="n"/>
      <c r="E462" s="5" t="n"/>
      <c r="F462" s="5" t="n"/>
      <c r="G462" s="5" t="n"/>
      <c r="H462" s="5" t="n"/>
    </row>
    <row r="463" hidden="1" s="38">
      <c r="A463" s="25" t="n"/>
      <c r="B463" s="5" t="n"/>
      <c r="C463" s="4" t="n"/>
      <c r="D463" s="5" t="n"/>
      <c r="E463" s="5" t="n"/>
      <c r="F463" s="5" t="n"/>
      <c r="G463" s="5" t="n"/>
      <c r="H463" s="5" t="n"/>
    </row>
    <row r="464" hidden="1" s="38">
      <c r="A464" s="25" t="n"/>
      <c r="B464" s="5" t="n"/>
      <c r="C464" s="4" t="n"/>
      <c r="D464" s="5" t="n"/>
      <c r="E464" s="5" t="n"/>
      <c r="F464" s="5" t="n"/>
      <c r="G464" s="5" t="n"/>
      <c r="H464" s="5" t="n"/>
    </row>
    <row r="465" hidden="1" s="38">
      <c r="A465" s="25" t="n"/>
      <c r="B465" s="5" t="n"/>
      <c r="C465" s="4" t="n"/>
      <c r="D465" s="5" t="n"/>
      <c r="E465" s="5" t="n"/>
      <c r="F465" s="5" t="n"/>
      <c r="G465" s="5" t="n"/>
      <c r="H465" s="5" t="n"/>
    </row>
    <row r="466" hidden="1" s="38">
      <c r="A466" s="25" t="n"/>
      <c r="B466" s="5" t="n"/>
      <c r="C466" s="4" t="n"/>
      <c r="D466" s="5" t="n"/>
      <c r="E466" s="5" t="n"/>
      <c r="F466" s="5" t="n"/>
      <c r="G466" s="5" t="n"/>
      <c r="H466" s="5" t="n"/>
    </row>
    <row r="467" hidden="1" s="38">
      <c r="A467" s="25" t="n"/>
      <c r="B467" s="5" t="n"/>
      <c r="C467" s="4" t="n"/>
      <c r="D467" s="5" t="n"/>
      <c r="E467" s="5" t="n"/>
      <c r="F467" s="5" t="n"/>
      <c r="G467" s="5" t="n"/>
      <c r="H467" s="5" t="n"/>
    </row>
    <row r="468" hidden="1" s="38">
      <c r="A468" s="25" t="n"/>
      <c r="B468" s="5" t="n"/>
      <c r="C468" s="4" t="n"/>
      <c r="D468" s="5" t="n"/>
      <c r="E468" s="5" t="n"/>
      <c r="F468" s="5" t="n"/>
      <c r="G468" s="5" t="n"/>
      <c r="H468" s="5" t="n"/>
    </row>
    <row r="469" hidden="1" s="38">
      <c r="A469" s="25" t="n"/>
      <c r="B469" s="5" t="n"/>
      <c r="C469" s="4" t="n"/>
      <c r="D469" s="5" t="n"/>
      <c r="E469" s="5" t="n"/>
      <c r="F469" s="5" t="n"/>
      <c r="G469" s="5" t="n"/>
      <c r="H469" s="5" t="n"/>
    </row>
    <row r="470" hidden="1" s="38">
      <c r="A470" s="25" t="n"/>
      <c r="B470" s="5" t="n"/>
      <c r="C470" s="4" t="n"/>
      <c r="D470" s="5" t="n"/>
      <c r="E470" s="5" t="n"/>
      <c r="F470" s="5" t="n"/>
      <c r="G470" s="5" t="n"/>
      <c r="H470" s="5" t="n"/>
    </row>
    <row r="471" hidden="1" s="38">
      <c r="A471" s="25" t="n"/>
      <c r="B471" s="5" t="n"/>
      <c r="C471" s="4" t="n"/>
      <c r="D471" s="5" t="n"/>
      <c r="E471" s="5" t="n"/>
      <c r="F471" s="5" t="n"/>
      <c r="G471" s="5" t="n"/>
      <c r="H471" s="5" t="n"/>
    </row>
    <row r="472" hidden="1" s="38">
      <c r="A472" s="25" t="n"/>
      <c r="B472" s="5" t="n"/>
      <c r="C472" s="4" t="n"/>
      <c r="D472" s="5" t="n"/>
      <c r="E472" s="5" t="n"/>
      <c r="F472" s="5" t="n"/>
      <c r="G472" s="5" t="n"/>
      <c r="H472" s="5" t="n"/>
    </row>
    <row r="473" hidden="1" s="38">
      <c r="A473" s="25" t="n"/>
      <c r="B473" s="5" t="n"/>
      <c r="C473" s="4" t="n"/>
      <c r="D473" s="5" t="n"/>
      <c r="E473" s="5" t="n"/>
      <c r="F473" s="5" t="n"/>
      <c r="G473" s="5" t="n"/>
      <c r="H473" s="5" t="n"/>
    </row>
    <row r="474" hidden="1" s="38">
      <c r="A474" s="25" t="n"/>
      <c r="B474" s="5" t="n"/>
      <c r="C474" s="4" t="n"/>
      <c r="D474" s="5" t="n"/>
      <c r="E474" s="5" t="n"/>
      <c r="F474" s="5" t="n"/>
      <c r="G474" s="5" t="n"/>
      <c r="H474" s="5" t="n"/>
    </row>
    <row r="475" hidden="1" s="38">
      <c r="A475" s="25" t="n"/>
      <c r="B475" s="5" t="n"/>
      <c r="C475" s="4" t="n"/>
      <c r="D475" s="5" t="n"/>
      <c r="E475" s="5" t="n"/>
      <c r="F475" s="5" t="n"/>
      <c r="G475" s="5" t="n"/>
      <c r="H475" s="5" t="n"/>
    </row>
    <row r="476" hidden="1" s="38">
      <c r="A476" s="25" t="n"/>
      <c r="B476" s="5" t="n"/>
      <c r="C476" s="4" t="n"/>
      <c r="D476" s="5" t="n"/>
      <c r="E476" s="5" t="n"/>
      <c r="F476" s="5" t="n"/>
      <c r="G476" s="5" t="n"/>
      <c r="H476" s="5" t="n"/>
    </row>
    <row r="477" hidden="1" s="38">
      <c r="A477" s="25" t="n"/>
      <c r="B477" s="5" t="n"/>
      <c r="C477" s="4" t="n"/>
      <c r="D477" s="5" t="n"/>
      <c r="E477" s="5" t="n"/>
      <c r="F477" s="5" t="n"/>
      <c r="G477" s="5" t="n"/>
      <c r="H477" s="5" t="n"/>
    </row>
    <row r="478" hidden="1" s="38">
      <c r="A478" s="25" t="n"/>
      <c r="B478" s="5" t="n"/>
      <c r="C478" s="4" t="n"/>
      <c r="D478" s="5" t="n"/>
      <c r="E478" s="5" t="n"/>
      <c r="F478" s="5" t="n"/>
      <c r="G478" s="5" t="n"/>
      <c r="H478" s="5" t="n"/>
    </row>
    <row r="479" hidden="1" s="38">
      <c r="A479" s="25" t="n"/>
      <c r="B479" s="5" t="n"/>
      <c r="C479" s="4" t="n"/>
      <c r="D479" s="5" t="n"/>
      <c r="E479" s="5" t="n"/>
      <c r="F479" s="5" t="n"/>
      <c r="G479" s="5" t="n"/>
      <c r="H479" s="5" t="n"/>
    </row>
    <row r="480" hidden="1" s="38">
      <c r="A480" s="25" t="n"/>
      <c r="B480" s="5" t="n"/>
      <c r="C480" s="4" t="n"/>
      <c r="D480" s="5" t="n"/>
      <c r="E480" s="5" t="n"/>
      <c r="F480" s="5" t="n"/>
      <c r="G480" s="5" t="n"/>
      <c r="H480" s="5" t="n"/>
    </row>
    <row r="481" hidden="1" s="38">
      <c r="A481" s="25" t="n"/>
      <c r="B481" s="5" t="n"/>
      <c r="C481" s="4" t="n"/>
      <c r="D481" s="5" t="n"/>
      <c r="E481" s="5" t="n"/>
      <c r="F481" s="5" t="n"/>
      <c r="G481" s="5" t="n"/>
      <c r="H481" s="5" t="n"/>
    </row>
    <row r="482" hidden="1" s="38">
      <c r="A482" s="25" t="n"/>
      <c r="B482" s="5" t="n"/>
      <c r="C482" s="4" t="n"/>
      <c r="D482" s="5" t="n"/>
      <c r="E482" s="5" t="n"/>
      <c r="F482" s="5" t="n"/>
      <c r="G482" s="5" t="n"/>
      <c r="H482" s="5" t="n"/>
    </row>
    <row r="483" hidden="1" s="38">
      <c r="A483" s="25" t="n"/>
      <c r="B483" s="5" t="n"/>
      <c r="C483" s="4" t="n"/>
      <c r="D483" s="5" t="n"/>
      <c r="E483" s="5" t="n"/>
      <c r="F483" s="5" t="n"/>
      <c r="G483" s="5" t="n"/>
      <c r="H483" s="5" t="n"/>
    </row>
    <row r="484" hidden="1" s="38">
      <c r="A484" s="25" t="n"/>
      <c r="B484" s="5" t="n"/>
      <c r="C484" s="4" t="n"/>
      <c r="D484" s="5" t="n"/>
      <c r="E484" s="5" t="n"/>
      <c r="F484" s="5" t="n"/>
      <c r="G484" s="5" t="n"/>
      <c r="H484" s="5" t="n"/>
    </row>
    <row r="485" hidden="1" s="38">
      <c r="A485" s="25" t="n"/>
      <c r="B485" s="5" t="n"/>
      <c r="C485" s="4" t="n"/>
      <c r="D485" s="5" t="n"/>
      <c r="E485" s="5" t="n"/>
      <c r="F485" s="5" t="n"/>
      <c r="G485" s="5" t="n"/>
      <c r="H485" s="5" t="n"/>
    </row>
    <row r="486" hidden="1" s="38">
      <c r="A486" s="25" t="n"/>
      <c r="B486" s="5" t="n"/>
      <c r="C486" s="4" t="n"/>
      <c r="D486" s="5" t="n"/>
      <c r="E486" s="5" t="n"/>
      <c r="F486" s="5" t="n"/>
      <c r="G486" s="5" t="n"/>
      <c r="H486" s="5" t="n"/>
    </row>
    <row r="487" hidden="1" s="38">
      <c r="A487" s="25" t="n"/>
      <c r="B487" s="5" t="n"/>
      <c r="C487" s="4" t="n"/>
      <c r="D487" s="5" t="n"/>
      <c r="E487" s="5" t="n"/>
      <c r="F487" s="5" t="n"/>
      <c r="G487" s="5" t="n"/>
      <c r="H487" s="5" t="n"/>
    </row>
    <row r="488" hidden="1" s="38">
      <c r="A488" s="25" t="n"/>
      <c r="B488" s="5" t="n"/>
      <c r="C488" s="4" t="n"/>
      <c r="D488" s="5" t="n"/>
      <c r="E488" s="5" t="n"/>
      <c r="F488" s="5" t="n"/>
      <c r="G488" s="5" t="n"/>
      <c r="H488" s="5" t="n"/>
    </row>
    <row r="489" hidden="1" s="38">
      <c r="A489" s="25" t="n"/>
      <c r="B489" s="5" t="n"/>
      <c r="C489" s="4" t="n"/>
      <c r="D489" s="5" t="n"/>
      <c r="E489" s="5" t="n"/>
      <c r="F489" s="5" t="n"/>
      <c r="G489" s="5" t="n"/>
      <c r="H489" s="5" t="n"/>
    </row>
    <row r="490" hidden="1" s="38">
      <c r="A490" s="25" t="n"/>
      <c r="B490" s="5" t="n"/>
      <c r="C490" s="4" t="n"/>
      <c r="D490" s="5" t="n"/>
      <c r="E490" s="5" t="n"/>
      <c r="F490" s="5" t="n"/>
      <c r="G490" s="5" t="n"/>
      <c r="H490" s="5" t="n"/>
    </row>
    <row r="491" hidden="1" s="38">
      <c r="A491" s="25" t="n"/>
      <c r="B491" s="5" t="n"/>
      <c r="C491" s="4" t="n"/>
      <c r="D491" s="5" t="n"/>
      <c r="E491" s="5" t="n"/>
      <c r="F491" s="5" t="n"/>
      <c r="G491" s="5" t="n"/>
      <c r="H491" s="5" t="n"/>
    </row>
    <row r="492" hidden="1" s="38">
      <c r="A492" s="25" t="n"/>
      <c r="B492" s="5" t="n"/>
      <c r="C492" s="4" t="n"/>
      <c r="D492" s="5" t="n"/>
      <c r="E492" s="5" t="n"/>
      <c r="F492" s="5" t="n"/>
      <c r="G492" s="5" t="n"/>
      <c r="H492" s="5" t="n"/>
    </row>
    <row r="493" hidden="1" s="38">
      <c r="A493" s="25" t="n"/>
      <c r="B493" s="5" t="n"/>
      <c r="C493" s="4" t="n"/>
      <c r="D493" s="5" t="n"/>
      <c r="E493" s="5" t="n"/>
      <c r="F493" s="5" t="n"/>
      <c r="G493" s="5" t="n"/>
      <c r="H493" s="5" t="n"/>
    </row>
    <row r="494" hidden="1" s="38">
      <c r="A494" s="25" t="n"/>
      <c r="B494" s="5" t="n"/>
      <c r="C494" s="4" t="n"/>
      <c r="D494" s="5" t="n"/>
      <c r="E494" s="5" t="n"/>
      <c r="F494" s="5" t="n"/>
      <c r="G494" s="5" t="n"/>
      <c r="H494" s="5" t="n"/>
    </row>
    <row r="495" hidden="1" s="38">
      <c r="A495" s="25" t="n"/>
      <c r="B495" s="5" t="n"/>
      <c r="C495" s="4" t="n"/>
      <c r="D495" s="5" t="n"/>
      <c r="E495" s="5" t="n"/>
      <c r="F495" s="5" t="n"/>
      <c r="G495" s="5" t="n"/>
      <c r="H495" s="5" t="n"/>
    </row>
    <row r="496" hidden="1" s="38">
      <c r="A496" s="25" t="n"/>
      <c r="B496" s="5" t="n"/>
      <c r="C496" s="4" t="n"/>
      <c r="D496" s="5" t="n"/>
      <c r="E496" s="5" t="n"/>
      <c r="F496" s="5" t="n"/>
      <c r="G496" s="5" t="n"/>
      <c r="H496" s="5" t="n"/>
    </row>
    <row r="497" hidden="1" s="38">
      <c r="A497" s="25" t="n"/>
      <c r="B497" s="5" t="n"/>
      <c r="C497" s="4" t="n"/>
      <c r="D497" s="5" t="n"/>
      <c r="E497" s="5" t="n"/>
      <c r="F497" s="5" t="n"/>
      <c r="G497" s="5" t="n"/>
      <c r="H497" s="5" t="n"/>
    </row>
    <row r="498" hidden="1" s="38">
      <c r="A498" s="25" t="n"/>
      <c r="B498" s="5" t="n"/>
      <c r="C498" s="4" t="n"/>
      <c r="D498" s="5" t="n"/>
      <c r="E498" s="5" t="n"/>
      <c r="F498" s="5" t="n"/>
      <c r="G498" s="5" t="n"/>
      <c r="H498" s="5" t="n"/>
    </row>
    <row r="499" hidden="1" s="38">
      <c r="A499" s="25" t="n"/>
      <c r="B499" s="5" t="n"/>
      <c r="C499" s="4" t="n"/>
      <c r="D499" s="5" t="n"/>
      <c r="E499" s="5" t="n"/>
      <c r="F499" s="5" t="n"/>
      <c r="G499" s="5" t="n"/>
      <c r="H499" s="5" t="n"/>
    </row>
    <row r="500" hidden="1" s="38">
      <c r="A500" s="25" t="n"/>
      <c r="B500" s="5" t="n"/>
      <c r="C500" s="4" t="n"/>
      <c r="D500" s="5" t="n"/>
      <c r="E500" s="5" t="n"/>
      <c r="F500" s="5" t="n"/>
      <c r="G500" s="5" t="n"/>
      <c r="H500" s="5" t="n"/>
    </row>
    <row r="501" hidden="1" s="38">
      <c r="A501" s="25" t="n"/>
      <c r="B501" s="5" t="n"/>
      <c r="C501" s="4" t="n"/>
      <c r="D501" s="5" t="n"/>
      <c r="E501" s="5" t="n"/>
      <c r="F501" s="5" t="n"/>
      <c r="G501" s="5" t="n"/>
      <c r="H501" s="5" t="n"/>
    </row>
    <row r="502" hidden="1" s="38">
      <c r="A502" s="25" t="n"/>
      <c r="B502" s="5" t="n"/>
      <c r="C502" s="4" t="n"/>
      <c r="D502" s="5" t="n"/>
      <c r="E502" s="5" t="n"/>
      <c r="F502" s="5" t="n"/>
      <c r="G502" s="5" t="n"/>
      <c r="H502" s="5" t="n"/>
    </row>
    <row r="503" hidden="1" s="38">
      <c r="A503" s="25" t="n"/>
      <c r="B503" s="5" t="n"/>
      <c r="C503" s="4" t="n"/>
      <c r="D503" s="5" t="n"/>
      <c r="E503" s="5" t="n"/>
      <c r="F503" s="5" t="n"/>
      <c r="G503" s="5" t="n"/>
      <c r="H503" s="5" t="n"/>
    </row>
    <row r="504" hidden="1" s="38">
      <c r="A504" s="25" t="n"/>
      <c r="B504" s="5" t="n"/>
      <c r="C504" s="4" t="n"/>
      <c r="D504" s="5" t="n"/>
      <c r="E504" s="5" t="n"/>
      <c r="F504" s="5" t="n"/>
      <c r="G504" s="5" t="n"/>
      <c r="H504" s="5" t="n"/>
    </row>
    <row r="505" hidden="1" s="38">
      <c r="A505" s="25" t="n"/>
      <c r="B505" s="5" t="n"/>
      <c r="C505" s="4" t="n"/>
      <c r="D505" s="5" t="n"/>
      <c r="E505" s="5" t="n"/>
      <c r="F505" s="5" t="n"/>
      <c r="G505" s="5" t="n"/>
      <c r="H505" s="5" t="n"/>
    </row>
    <row r="506" hidden="1" s="38">
      <c r="A506" s="25" t="n"/>
      <c r="B506" s="5" t="n"/>
      <c r="C506" s="4" t="n"/>
      <c r="D506" s="5" t="n"/>
      <c r="E506" s="5" t="n"/>
      <c r="F506" s="5" t="n"/>
      <c r="G506" s="5" t="n"/>
      <c r="H506" s="5" t="n"/>
    </row>
    <row r="507" hidden="1" s="38">
      <c r="A507" s="25" t="n"/>
      <c r="B507" s="5" t="n"/>
      <c r="C507" s="4" t="n"/>
      <c r="D507" s="5" t="n"/>
      <c r="E507" s="5" t="n"/>
      <c r="F507" s="5" t="n"/>
      <c r="G507" s="5" t="n"/>
      <c r="H507" s="5" t="n"/>
    </row>
    <row r="508" hidden="1" s="38">
      <c r="A508" s="25" t="n"/>
      <c r="B508" s="5" t="n"/>
      <c r="C508" s="4" t="n"/>
      <c r="D508" s="5" t="n"/>
      <c r="E508" s="5" t="n"/>
      <c r="F508" s="5" t="n"/>
      <c r="G508" s="5" t="n"/>
      <c r="H508" s="5" t="n"/>
    </row>
    <row r="509" hidden="1" s="38">
      <c r="A509" s="25" t="n"/>
      <c r="B509" s="5" t="n"/>
      <c r="C509" s="4" t="n"/>
      <c r="D509" s="5" t="n"/>
      <c r="E509" s="5" t="n"/>
      <c r="F509" s="5" t="n"/>
      <c r="G509" s="5" t="n"/>
      <c r="H509" s="5" t="n"/>
    </row>
    <row r="510" hidden="1" s="38">
      <c r="A510" s="25" t="n"/>
      <c r="B510" s="5" t="n"/>
      <c r="C510" s="4" t="n"/>
      <c r="D510" s="5" t="n"/>
      <c r="E510" s="5" t="n"/>
      <c r="F510" s="5" t="n"/>
      <c r="G510" s="5" t="n"/>
      <c r="H510" s="5" t="n"/>
    </row>
    <row r="511" hidden="1" s="38">
      <c r="A511" s="25" t="n"/>
      <c r="B511" s="5" t="n"/>
      <c r="C511" s="4" t="n"/>
      <c r="D511" s="5" t="n"/>
      <c r="E511" s="5" t="n"/>
      <c r="F511" s="5" t="n"/>
      <c r="G511" s="5" t="n"/>
      <c r="H511" s="5" t="n"/>
    </row>
    <row r="512" hidden="1" s="38">
      <c r="A512" s="25" t="n"/>
      <c r="B512" s="5" t="n"/>
      <c r="C512" s="4" t="n"/>
      <c r="D512" s="5" t="n"/>
      <c r="E512" s="5" t="n"/>
      <c r="F512" s="5" t="n"/>
      <c r="G512" s="5" t="n"/>
      <c r="H512" s="5" t="n"/>
    </row>
    <row r="513" hidden="1" s="38">
      <c r="A513" s="25" t="n"/>
      <c r="B513" s="5" t="n"/>
      <c r="C513" s="4" t="n"/>
      <c r="D513" s="5" t="n"/>
      <c r="E513" s="5" t="n"/>
      <c r="F513" s="5" t="n"/>
      <c r="G513" s="5" t="n"/>
      <c r="H513" s="5" t="n"/>
    </row>
    <row r="514" hidden="1" s="38">
      <c r="A514" s="25" t="n"/>
      <c r="B514" s="5" t="n"/>
      <c r="C514" s="4" t="n"/>
      <c r="D514" s="5" t="n"/>
      <c r="E514" s="5" t="n"/>
      <c r="F514" s="5" t="n"/>
      <c r="G514" s="5" t="n"/>
      <c r="H514" s="5" t="n"/>
    </row>
    <row r="515" hidden="1" s="38">
      <c r="A515" s="25" t="n"/>
      <c r="B515" s="5" t="n"/>
      <c r="C515" s="4" t="n"/>
      <c r="D515" s="5" t="n"/>
      <c r="E515" s="5" t="n"/>
      <c r="F515" s="5" t="n"/>
      <c r="G515" s="5" t="n"/>
      <c r="H515" s="5" t="n"/>
    </row>
    <row r="516" hidden="1" s="38">
      <c r="A516" s="25" t="n"/>
      <c r="B516" s="5" t="n"/>
      <c r="C516" s="4" t="n"/>
      <c r="D516" s="5" t="n"/>
      <c r="E516" s="5" t="n"/>
      <c r="F516" s="5" t="n"/>
      <c r="G516" s="5" t="n"/>
      <c r="H516" s="5" t="n"/>
    </row>
    <row r="517" hidden="1" s="38">
      <c r="A517" s="25" t="n"/>
      <c r="B517" s="5" t="n"/>
      <c r="C517" s="4" t="n"/>
      <c r="D517" s="5" t="n"/>
      <c r="E517" s="5" t="n"/>
      <c r="F517" s="5" t="n"/>
      <c r="G517" s="5" t="n"/>
      <c r="H517" s="5" t="n"/>
    </row>
    <row r="518" hidden="1" s="38">
      <c r="A518" s="25" t="n"/>
      <c r="B518" s="5" t="n"/>
      <c r="C518" s="4" t="n"/>
      <c r="D518" s="5" t="n"/>
      <c r="E518" s="5" t="n"/>
      <c r="F518" s="5" t="n"/>
      <c r="G518" s="5" t="n"/>
      <c r="H518" s="5" t="n"/>
    </row>
    <row r="519" hidden="1" s="38">
      <c r="A519" s="25" t="n"/>
      <c r="B519" s="5" t="n"/>
      <c r="C519" s="4" t="n"/>
      <c r="D519" s="5" t="n"/>
      <c r="E519" s="5" t="n"/>
      <c r="F519" s="5" t="n"/>
      <c r="G519" s="5" t="n"/>
      <c r="H519" s="5" t="n"/>
    </row>
    <row r="520" hidden="1" s="38">
      <c r="A520" s="25" t="n"/>
      <c r="B520" s="5" t="n"/>
      <c r="C520" s="4" t="n"/>
      <c r="D520" s="5" t="n"/>
      <c r="E520" s="5" t="n"/>
      <c r="F520" s="5" t="n"/>
      <c r="G520" s="5" t="n"/>
      <c r="H520" s="5" t="n"/>
    </row>
    <row r="521" hidden="1" s="38">
      <c r="A521" s="25" t="n"/>
      <c r="B521" s="5" t="n"/>
      <c r="C521" s="4" t="n"/>
      <c r="D521" s="5" t="n"/>
      <c r="E521" s="5" t="n"/>
      <c r="F521" s="5" t="n"/>
      <c r="G521" s="5" t="n"/>
      <c r="H521" s="5" t="n"/>
    </row>
    <row r="522" hidden="1" s="38">
      <c r="A522" s="25" t="n"/>
      <c r="B522" s="5" t="n"/>
      <c r="C522" s="4" t="n"/>
      <c r="D522" s="5" t="n"/>
      <c r="E522" s="5" t="n"/>
      <c r="F522" s="5" t="n"/>
      <c r="G522" s="5" t="n"/>
      <c r="H522" s="5" t="n"/>
    </row>
    <row r="523" hidden="1" s="38">
      <c r="A523" s="25" t="n"/>
      <c r="B523" s="5" t="n"/>
      <c r="C523" s="4" t="n"/>
      <c r="D523" s="5" t="n"/>
      <c r="E523" s="5" t="n"/>
      <c r="F523" s="5" t="n"/>
      <c r="G523" s="5" t="n"/>
      <c r="H523" s="5" t="n"/>
    </row>
    <row r="524" hidden="1" s="38">
      <c r="A524" s="25" t="n"/>
      <c r="B524" s="5" t="n"/>
      <c r="C524" s="4" t="n"/>
      <c r="D524" s="5" t="n"/>
      <c r="E524" s="5" t="n"/>
      <c r="F524" s="5" t="n"/>
      <c r="G524" s="5" t="n"/>
      <c r="H524" s="5" t="n"/>
    </row>
    <row r="525" hidden="1" s="38">
      <c r="A525" s="25" t="n"/>
      <c r="B525" s="5" t="n"/>
      <c r="C525" s="4" t="n"/>
      <c r="D525" s="5" t="n"/>
      <c r="E525" s="5" t="n"/>
      <c r="F525" s="5" t="n"/>
      <c r="G525" s="5" t="n"/>
      <c r="H525" s="5" t="n"/>
    </row>
    <row r="526" hidden="1" s="38">
      <c r="A526" s="25" t="n"/>
      <c r="B526" s="5" t="n"/>
      <c r="C526" s="4" t="n"/>
      <c r="D526" s="5" t="n"/>
      <c r="E526" s="5" t="n"/>
      <c r="F526" s="5" t="n"/>
      <c r="G526" s="5" t="n"/>
      <c r="H526" s="5" t="n"/>
    </row>
    <row r="527" hidden="1" s="38">
      <c r="A527" s="25" t="n"/>
      <c r="B527" s="5" t="n"/>
      <c r="C527" s="4" t="n"/>
      <c r="D527" s="5" t="n"/>
      <c r="E527" s="5" t="n"/>
      <c r="F527" s="5" t="n"/>
      <c r="G527" s="5" t="n"/>
      <c r="H527" s="5" t="n"/>
    </row>
    <row r="528" hidden="1" s="38">
      <c r="A528" s="25" t="n"/>
      <c r="B528" s="5" t="n"/>
      <c r="C528" s="4" t="n"/>
      <c r="D528" s="5" t="n"/>
      <c r="E528" s="5" t="n"/>
      <c r="F528" s="5" t="n"/>
      <c r="G528" s="5" t="n"/>
      <c r="H528" s="5" t="n"/>
    </row>
    <row r="529" hidden="1" s="38">
      <c r="A529" s="25" t="n"/>
      <c r="B529" s="5" t="n"/>
      <c r="C529" s="4" t="n"/>
      <c r="D529" s="5" t="n"/>
      <c r="E529" s="5" t="n"/>
      <c r="F529" s="5" t="n"/>
      <c r="G529" s="5" t="n"/>
      <c r="H529" s="5" t="n"/>
    </row>
    <row r="530" hidden="1" s="38">
      <c r="A530" s="25" t="n"/>
      <c r="B530" s="5" t="n"/>
      <c r="C530" s="4" t="n"/>
      <c r="D530" s="5" t="n"/>
      <c r="E530" s="5" t="n"/>
      <c r="F530" s="5" t="n"/>
      <c r="G530" s="5" t="n"/>
      <c r="H530" s="5" t="n"/>
    </row>
    <row r="531" hidden="1" s="38">
      <c r="A531" s="25" t="n"/>
      <c r="B531" s="5" t="n"/>
      <c r="C531" s="4" t="n"/>
      <c r="D531" s="5" t="n"/>
      <c r="E531" s="5" t="n"/>
      <c r="F531" s="5" t="n"/>
      <c r="G531" s="5" t="n"/>
      <c r="H531" s="5" t="n"/>
    </row>
    <row r="532" hidden="1" s="38">
      <c r="A532" s="25" t="n"/>
      <c r="B532" s="5" t="n"/>
      <c r="C532" s="4" t="n"/>
      <c r="D532" s="5" t="n"/>
      <c r="E532" s="5" t="n"/>
      <c r="F532" s="5" t="n"/>
      <c r="G532" s="5" t="n"/>
      <c r="H532" s="5" t="n"/>
    </row>
    <row r="533" hidden="1" s="38">
      <c r="A533" s="25" t="n"/>
      <c r="B533" s="5" t="n"/>
      <c r="C533" s="4" t="n"/>
      <c r="D533" s="5" t="n"/>
      <c r="E533" s="5" t="n"/>
      <c r="F533" s="5" t="n"/>
      <c r="G533" s="5" t="n"/>
      <c r="H533" s="5" t="n"/>
    </row>
    <row r="534" hidden="1" s="38">
      <c r="A534" s="25" t="n"/>
      <c r="B534" s="5" t="n"/>
      <c r="C534" s="4" t="n"/>
      <c r="D534" s="5" t="n"/>
      <c r="E534" s="5" t="n"/>
      <c r="F534" s="5" t="n"/>
      <c r="G534" s="5" t="n"/>
      <c r="H534" s="5" t="n"/>
    </row>
    <row r="535" hidden="1" s="38">
      <c r="A535" s="25" t="n"/>
      <c r="B535" s="5" t="n"/>
      <c r="C535" s="4" t="n"/>
      <c r="D535" s="5" t="n"/>
      <c r="E535" s="5" t="n"/>
      <c r="F535" s="5" t="n"/>
      <c r="G535" s="5" t="n"/>
      <c r="H535" s="5" t="n"/>
    </row>
    <row r="536" hidden="1" s="38">
      <c r="A536" s="25" t="n"/>
      <c r="B536" s="5" t="n"/>
      <c r="C536" s="4" t="n"/>
      <c r="D536" s="5" t="n"/>
      <c r="E536" s="5" t="n"/>
      <c r="F536" s="5" t="n"/>
      <c r="G536" s="5" t="n"/>
      <c r="H536" s="5" t="n"/>
    </row>
    <row r="537" hidden="1" s="38">
      <c r="A537" s="25" t="n"/>
      <c r="B537" s="5" t="n"/>
      <c r="C537" s="4" t="n"/>
      <c r="D537" s="5" t="n"/>
      <c r="E537" s="5" t="n"/>
      <c r="F537" s="5" t="n"/>
      <c r="G537" s="5" t="n"/>
      <c r="H537" s="5" t="n"/>
    </row>
    <row r="538" hidden="1" s="38">
      <c r="A538" s="25" t="n"/>
      <c r="B538" s="5" t="n"/>
      <c r="C538" s="4" t="n"/>
      <c r="D538" s="5" t="n"/>
      <c r="E538" s="5" t="n"/>
      <c r="F538" s="5" t="n"/>
      <c r="G538" s="5" t="n"/>
      <c r="H538" s="5" t="n"/>
    </row>
    <row r="539" hidden="1" s="38">
      <c r="A539" s="25" t="n"/>
      <c r="B539" s="5" t="n"/>
      <c r="C539" s="4" t="n"/>
      <c r="D539" s="5" t="n"/>
      <c r="E539" s="5" t="n"/>
      <c r="F539" s="5" t="n"/>
      <c r="G539" s="5" t="n"/>
      <c r="H539" s="5" t="n"/>
    </row>
    <row r="540" hidden="1" s="38">
      <c r="A540" s="25" t="n"/>
      <c r="B540" s="5" t="n"/>
      <c r="C540" s="4" t="n"/>
      <c r="D540" s="5" t="n"/>
      <c r="E540" s="5" t="n"/>
      <c r="F540" s="5" t="n"/>
      <c r="G540" s="5" t="n"/>
      <c r="H540" s="5" t="n"/>
    </row>
    <row r="541" hidden="1" s="38">
      <c r="A541" s="25" t="n"/>
      <c r="B541" s="5" t="n"/>
      <c r="C541" s="4" t="n"/>
      <c r="D541" s="5" t="n"/>
      <c r="E541" s="5" t="n"/>
      <c r="F541" s="5" t="n"/>
      <c r="G541" s="5" t="n"/>
      <c r="H541" s="5" t="n"/>
    </row>
    <row r="542" hidden="1" s="38">
      <c r="A542" s="25" t="n"/>
      <c r="B542" s="5" t="n"/>
      <c r="C542" s="4" t="n"/>
      <c r="D542" s="5" t="n"/>
      <c r="E542" s="5" t="n"/>
      <c r="F542" s="5" t="n"/>
      <c r="G542" s="5" t="n"/>
      <c r="H542" s="5" t="n"/>
    </row>
    <row r="543" hidden="1" s="38">
      <c r="A543" s="25" t="n"/>
      <c r="B543" s="5" t="n"/>
      <c r="C543" s="4" t="n"/>
      <c r="D543" s="5" t="n"/>
      <c r="E543" s="5" t="n"/>
      <c r="F543" s="5" t="n"/>
      <c r="G543" s="5" t="n"/>
      <c r="H543" s="5" t="n"/>
    </row>
    <row r="544" hidden="1" s="38">
      <c r="A544" s="25" t="n"/>
      <c r="B544" s="5" t="n"/>
      <c r="C544" s="4" t="n"/>
      <c r="D544" s="5" t="n"/>
      <c r="E544" s="5" t="n"/>
      <c r="F544" s="5" t="n"/>
      <c r="G544" s="5" t="n"/>
      <c r="H544" s="5" t="n"/>
    </row>
    <row r="545" hidden="1" s="38">
      <c r="A545" s="25" t="n"/>
      <c r="B545" s="5" t="n"/>
      <c r="C545" s="4" t="n"/>
      <c r="D545" s="5" t="n"/>
      <c r="E545" s="5" t="n"/>
      <c r="F545" s="5" t="n"/>
      <c r="G545" s="5" t="n"/>
      <c r="H545" s="5" t="n"/>
    </row>
    <row r="546" hidden="1" s="38">
      <c r="A546" s="25" t="n"/>
      <c r="B546" s="5" t="n"/>
      <c r="C546" s="4" t="n"/>
      <c r="D546" s="5" t="n"/>
      <c r="E546" s="5" t="n"/>
      <c r="F546" s="5" t="n"/>
      <c r="G546" s="5" t="n"/>
      <c r="H546" s="5" t="n"/>
    </row>
    <row r="547" hidden="1" s="38">
      <c r="A547" s="25" t="n"/>
      <c r="B547" s="5" t="n"/>
      <c r="C547" s="4" t="n"/>
      <c r="D547" s="5" t="n"/>
      <c r="E547" s="5" t="n"/>
      <c r="F547" s="5" t="n"/>
      <c r="G547" s="5" t="n"/>
      <c r="H547" s="5" t="n"/>
    </row>
    <row r="548" hidden="1" s="38">
      <c r="A548" s="25" t="n"/>
      <c r="B548" s="5" t="n"/>
      <c r="C548" s="4" t="n"/>
      <c r="D548" s="5" t="n"/>
      <c r="E548" s="5" t="n"/>
      <c r="F548" s="5" t="n"/>
      <c r="G548" s="5" t="n"/>
      <c r="H548" s="5" t="n"/>
    </row>
    <row r="549" hidden="1" s="38">
      <c r="A549" s="25" t="n"/>
      <c r="B549" s="5" t="n"/>
      <c r="C549" s="4" t="n"/>
      <c r="D549" s="5" t="n"/>
      <c r="E549" s="5" t="n"/>
      <c r="F549" s="5" t="n"/>
      <c r="G549" s="5" t="n"/>
      <c r="H549" s="5" t="n"/>
    </row>
    <row r="550" hidden="1" s="38">
      <c r="A550" s="25" t="n"/>
      <c r="B550" s="5" t="n"/>
      <c r="C550" s="4" t="n"/>
      <c r="D550" s="5" t="n"/>
      <c r="E550" s="5" t="n"/>
      <c r="F550" s="5" t="n"/>
      <c r="G550" s="5" t="n"/>
      <c r="H550" s="5" t="n"/>
    </row>
    <row r="551" hidden="1" s="38">
      <c r="A551" s="25" t="n"/>
      <c r="B551" s="5" t="n"/>
      <c r="C551" s="4" t="n"/>
      <c r="D551" s="5" t="n"/>
      <c r="E551" s="5" t="n"/>
      <c r="F551" s="5" t="n"/>
      <c r="G551" s="5" t="n"/>
      <c r="H551" s="5" t="n"/>
    </row>
    <row r="552" hidden="1" s="38">
      <c r="A552" s="25" t="n"/>
      <c r="B552" s="5" t="n"/>
      <c r="C552" s="4" t="n"/>
      <c r="D552" s="5" t="n"/>
      <c r="E552" s="5" t="n"/>
      <c r="F552" s="5" t="n"/>
      <c r="G552" s="5" t="n"/>
      <c r="H552" s="5" t="n"/>
    </row>
    <row r="553" hidden="1" s="38">
      <c r="A553" s="25" t="n"/>
      <c r="B553" s="5" t="n"/>
      <c r="C553" s="4" t="n"/>
      <c r="D553" s="5" t="n"/>
      <c r="E553" s="5" t="n"/>
      <c r="F553" s="5" t="n"/>
      <c r="G553" s="5" t="n"/>
      <c r="H553" s="5" t="n"/>
    </row>
    <row r="554" hidden="1" s="38">
      <c r="A554" s="25" t="n"/>
      <c r="B554" s="5" t="n"/>
      <c r="C554" s="4" t="n"/>
      <c r="D554" s="5" t="n"/>
      <c r="E554" s="5" t="n"/>
      <c r="F554" s="5" t="n"/>
      <c r="G554" s="5" t="n"/>
      <c r="H554" s="5" t="n"/>
    </row>
    <row r="555" hidden="1" s="38">
      <c r="A555" s="25" t="n"/>
      <c r="B555" s="5" t="n"/>
      <c r="C555" s="4" t="n"/>
      <c r="D555" s="5" t="n"/>
      <c r="E555" s="5" t="n"/>
      <c r="F555" s="5" t="n"/>
      <c r="G555" s="5" t="n"/>
      <c r="H555" s="5" t="n"/>
    </row>
    <row r="556" hidden="1" s="38">
      <c r="A556" s="25" t="n"/>
      <c r="B556" s="5" t="n"/>
      <c r="C556" s="4" t="n"/>
      <c r="D556" s="5" t="n"/>
      <c r="E556" s="5" t="n"/>
      <c r="F556" s="5" t="n"/>
      <c r="G556" s="5" t="n"/>
      <c r="H556" s="5" t="n"/>
    </row>
    <row r="557" hidden="1" s="38">
      <c r="A557" s="25" t="n"/>
      <c r="B557" s="5" t="n"/>
      <c r="C557" s="4" t="n"/>
      <c r="D557" s="5" t="n"/>
      <c r="E557" s="5" t="n"/>
      <c r="F557" s="5" t="n"/>
      <c r="G557" s="5" t="n"/>
      <c r="H557" s="5" t="n"/>
    </row>
    <row r="558" hidden="1" s="38">
      <c r="A558" s="25" t="n"/>
      <c r="B558" s="5" t="n"/>
      <c r="C558" s="4" t="n"/>
      <c r="D558" s="5" t="n"/>
      <c r="E558" s="5" t="n"/>
      <c r="F558" s="5" t="n"/>
      <c r="G558" s="5" t="n"/>
      <c r="H558" s="5" t="n"/>
    </row>
    <row r="559" hidden="1" s="38">
      <c r="A559" s="25" t="n"/>
      <c r="B559" s="5" t="n"/>
      <c r="C559" s="4" t="n"/>
      <c r="D559" s="5" t="n"/>
      <c r="E559" s="5" t="n"/>
      <c r="F559" s="5" t="n"/>
      <c r="G559" s="5" t="n"/>
      <c r="H559" s="5" t="n"/>
    </row>
    <row r="560" hidden="1" s="38">
      <c r="A560" s="25" t="n"/>
      <c r="B560" s="5" t="n"/>
      <c r="C560" s="4" t="n"/>
      <c r="D560" s="5" t="n"/>
      <c r="E560" s="5" t="n"/>
      <c r="F560" s="5" t="n"/>
      <c r="G560" s="5" t="n"/>
      <c r="H560" s="5" t="n"/>
    </row>
    <row r="561" hidden="1" s="38">
      <c r="A561" s="25" t="n"/>
      <c r="B561" s="5" t="n"/>
      <c r="C561" s="4" t="n"/>
      <c r="D561" s="5" t="n"/>
      <c r="E561" s="5" t="n"/>
      <c r="F561" s="5" t="n"/>
      <c r="G561" s="5" t="n"/>
      <c r="H561" s="5" t="n"/>
    </row>
    <row r="562" hidden="1" s="38">
      <c r="A562" s="25" t="n"/>
      <c r="B562" s="5" t="n"/>
      <c r="C562" s="4" t="n"/>
      <c r="D562" s="5" t="n"/>
      <c r="E562" s="5" t="n"/>
      <c r="F562" s="5" t="n"/>
      <c r="G562" s="5" t="n"/>
      <c r="H562" s="5" t="n"/>
    </row>
    <row r="563" hidden="1" s="38">
      <c r="A563" s="25" t="n"/>
      <c r="B563" s="5" t="n"/>
      <c r="C563" s="4" t="n"/>
      <c r="D563" s="5" t="n"/>
      <c r="E563" s="5" t="n"/>
      <c r="F563" s="5" t="n"/>
      <c r="G563" s="5" t="n"/>
      <c r="H563" s="5" t="n"/>
    </row>
    <row r="564" hidden="1" s="38">
      <c r="A564" s="25" t="n"/>
      <c r="B564" s="5" t="n"/>
      <c r="C564" s="4" t="n"/>
      <c r="D564" s="5" t="n"/>
      <c r="E564" s="5" t="n"/>
      <c r="F564" s="5" t="n"/>
      <c r="G564" s="5" t="n"/>
      <c r="H564" s="5" t="n"/>
    </row>
    <row r="565" hidden="1" s="38">
      <c r="A565" s="25" t="n"/>
      <c r="B565" s="5" t="n"/>
      <c r="C565" s="4" t="n"/>
      <c r="D565" s="5" t="n"/>
      <c r="E565" s="5" t="n"/>
      <c r="F565" s="5" t="n"/>
      <c r="G565" s="5" t="n"/>
      <c r="H565" s="5" t="n"/>
    </row>
    <row r="566" hidden="1" s="38">
      <c r="A566" s="25" t="n"/>
      <c r="B566" s="5" t="n"/>
      <c r="C566" s="4" t="n"/>
      <c r="D566" s="5" t="n"/>
      <c r="E566" s="5" t="n"/>
      <c r="F566" s="5" t="n"/>
      <c r="G566" s="5" t="n"/>
      <c r="H566" s="5" t="n"/>
    </row>
    <row r="567" hidden="1" s="38">
      <c r="A567" s="25" t="n"/>
      <c r="B567" s="5" t="n"/>
      <c r="C567" s="4" t="n"/>
      <c r="D567" s="5" t="n"/>
      <c r="E567" s="5" t="n"/>
      <c r="F567" s="5" t="n"/>
      <c r="G567" s="5" t="n"/>
      <c r="H567" s="5" t="n"/>
    </row>
    <row r="568" hidden="1" s="38">
      <c r="A568" s="25" t="n"/>
      <c r="B568" s="5" t="n"/>
      <c r="C568" s="4" t="n"/>
      <c r="D568" s="5" t="n"/>
      <c r="E568" s="5" t="n"/>
      <c r="F568" s="5" t="n"/>
      <c r="G568" s="5" t="n"/>
      <c r="H568" s="5" t="n"/>
    </row>
    <row r="569" hidden="1" s="38">
      <c r="A569" s="25" t="n"/>
      <c r="B569" s="5" t="n"/>
      <c r="C569" s="4" t="n"/>
      <c r="D569" s="5" t="n"/>
      <c r="E569" s="5" t="n"/>
      <c r="F569" s="5" t="n"/>
      <c r="G569" s="5" t="n"/>
      <c r="H569" s="5" t="n"/>
    </row>
    <row r="570" hidden="1" s="38">
      <c r="A570" s="25" t="n"/>
      <c r="B570" s="5" t="n"/>
      <c r="C570" s="4" t="n"/>
      <c r="D570" s="5" t="n"/>
      <c r="E570" s="5" t="n"/>
      <c r="F570" s="5" t="n"/>
      <c r="G570" s="5" t="n"/>
      <c r="H570" s="5" t="n"/>
    </row>
    <row r="571" hidden="1" s="38">
      <c r="A571" s="25" t="n"/>
      <c r="B571" s="5" t="n"/>
      <c r="C571" s="4" t="n"/>
      <c r="D571" s="5" t="n"/>
      <c r="E571" s="5" t="n"/>
      <c r="F571" s="5" t="n"/>
      <c r="G571" s="5" t="n"/>
      <c r="H571" s="5" t="n"/>
    </row>
    <row r="572" hidden="1" s="38">
      <c r="A572" s="25" t="n"/>
      <c r="B572" s="5" t="n"/>
      <c r="C572" s="4" t="n"/>
      <c r="D572" s="5" t="n"/>
      <c r="E572" s="5" t="n"/>
      <c r="F572" s="5" t="n"/>
      <c r="G572" s="5" t="n"/>
      <c r="H572" s="5" t="n"/>
    </row>
    <row r="573" hidden="1" s="38">
      <c r="A573" s="25" t="n"/>
      <c r="B573" s="5" t="n"/>
      <c r="C573" s="4" t="n"/>
      <c r="D573" s="5" t="n"/>
      <c r="E573" s="5" t="n"/>
      <c r="F573" s="5" t="n"/>
      <c r="G573" s="5" t="n"/>
      <c r="H573" s="5" t="n"/>
    </row>
    <row r="574" hidden="1" s="38">
      <c r="A574" s="25" t="n"/>
      <c r="B574" s="5" t="n"/>
      <c r="C574" s="4" t="n"/>
      <c r="D574" s="5" t="n"/>
      <c r="E574" s="5" t="n"/>
      <c r="F574" s="5" t="n"/>
      <c r="G574" s="5" t="n"/>
      <c r="H574" s="5" t="n"/>
    </row>
    <row r="575" hidden="1" s="38">
      <c r="A575" s="25" t="n"/>
      <c r="B575" s="5" t="n"/>
      <c r="C575" s="4" t="n"/>
      <c r="D575" s="5" t="n"/>
      <c r="E575" s="5" t="n"/>
      <c r="F575" s="5" t="n"/>
      <c r="G575" s="5" t="n"/>
      <c r="H575" s="5" t="n"/>
    </row>
    <row r="576" hidden="1" s="38">
      <c r="A576" s="25" t="n"/>
      <c r="B576" s="5" t="n"/>
      <c r="C576" s="4" t="n"/>
      <c r="D576" s="5" t="n"/>
      <c r="E576" s="5" t="n"/>
      <c r="F576" s="5" t="n"/>
      <c r="G576" s="5" t="n"/>
      <c r="H576" s="5" t="n"/>
    </row>
    <row r="577" hidden="1" s="38">
      <c r="A577" s="25" t="n"/>
      <c r="B577" s="5" t="n"/>
      <c r="C577" s="4" t="n"/>
      <c r="D577" s="5" t="n"/>
      <c r="E577" s="5" t="n"/>
      <c r="F577" s="5" t="n"/>
      <c r="G577" s="5" t="n"/>
      <c r="H577" s="5" t="n"/>
    </row>
    <row r="578" hidden="1" s="38">
      <c r="A578" s="25" t="n"/>
      <c r="B578" s="5" t="n"/>
      <c r="C578" s="4" t="n"/>
      <c r="D578" s="5" t="n"/>
      <c r="E578" s="5" t="n"/>
      <c r="F578" s="5" t="n"/>
      <c r="G578" s="5" t="n"/>
      <c r="H578" s="5" t="n"/>
    </row>
    <row r="579" hidden="1" s="38">
      <c r="A579" s="25" t="n"/>
      <c r="B579" s="5" t="n"/>
      <c r="C579" s="4" t="n"/>
      <c r="D579" s="5" t="n"/>
      <c r="E579" s="5" t="n"/>
      <c r="F579" s="5" t="n"/>
      <c r="G579" s="5" t="n"/>
      <c r="H579" s="5" t="n"/>
    </row>
    <row r="580" hidden="1" s="38">
      <c r="A580" s="25" t="n"/>
      <c r="B580" s="5" t="n"/>
      <c r="C580" s="4" t="n"/>
      <c r="D580" s="5" t="n"/>
      <c r="E580" s="5" t="n"/>
      <c r="F580" s="5" t="n"/>
      <c r="G580" s="5" t="n"/>
      <c r="H580" s="5" t="n"/>
    </row>
    <row r="581" hidden="1" s="38">
      <c r="A581" s="25" t="n"/>
      <c r="B581" s="5" t="n"/>
      <c r="C581" s="4" t="n"/>
      <c r="D581" s="5" t="n"/>
      <c r="E581" s="5" t="n"/>
      <c r="F581" s="5" t="n"/>
      <c r="G581" s="5" t="n"/>
      <c r="H581" s="5" t="n"/>
    </row>
    <row r="582" hidden="1" s="38">
      <c r="A582" s="25" t="n"/>
      <c r="B582" s="5" t="n"/>
      <c r="C582" s="4" t="n"/>
      <c r="D582" s="5" t="n"/>
      <c r="E582" s="5" t="n"/>
      <c r="F582" s="5" t="n"/>
      <c r="G582" s="5" t="n"/>
      <c r="H582" s="5" t="n"/>
    </row>
    <row r="583" hidden="1" s="38">
      <c r="A583" s="25" t="n"/>
      <c r="B583" s="5" t="n"/>
      <c r="C583" s="4" t="n"/>
      <c r="D583" s="5" t="n"/>
      <c r="E583" s="5" t="n"/>
      <c r="F583" s="5" t="n"/>
      <c r="G583" s="5" t="n"/>
      <c r="H583" s="5" t="n"/>
    </row>
    <row r="584" hidden="1" s="38">
      <c r="A584" s="25" t="n"/>
      <c r="B584" s="5" t="n"/>
      <c r="C584" s="4" t="n"/>
      <c r="D584" s="5" t="n"/>
      <c r="E584" s="5" t="n"/>
      <c r="F584" s="5" t="n"/>
      <c r="G584" s="5" t="n"/>
      <c r="H584" s="5" t="n"/>
    </row>
    <row r="585" hidden="1" s="38">
      <c r="A585" s="25" t="n"/>
      <c r="B585" s="5" t="n"/>
      <c r="C585" s="4" t="n"/>
      <c r="D585" s="5" t="n"/>
      <c r="E585" s="5" t="n"/>
      <c r="F585" s="5" t="n"/>
      <c r="G585" s="5" t="n"/>
      <c r="H585" s="5" t="n"/>
    </row>
    <row r="586" hidden="1" s="38">
      <c r="A586" s="25" t="n"/>
      <c r="B586" s="5" t="n"/>
      <c r="C586" s="4" t="n"/>
      <c r="D586" s="5" t="n"/>
      <c r="E586" s="5" t="n"/>
      <c r="F586" s="5" t="n"/>
      <c r="G586" s="5" t="n"/>
      <c r="H586" s="5" t="n"/>
    </row>
    <row r="587" hidden="1" s="38">
      <c r="A587" s="25" t="n"/>
      <c r="B587" s="5" t="n"/>
      <c r="C587" s="4" t="n"/>
      <c r="D587" s="5" t="n"/>
      <c r="E587" s="5" t="n"/>
      <c r="F587" s="5" t="n"/>
      <c r="G587" s="5" t="n"/>
      <c r="H587" s="5" t="n"/>
    </row>
    <row r="588" hidden="1" s="38">
      <c r="A588" s="25" t="n"/>
      <c r="B588" s="5" t="n"/>
      <c r="C588" s="4" t="n"/>
      <c r="D588" s="5" t="n"/>
      <c r="E588" s="5" t="n"/>
      <c r="F588" s="5" t="n"/>
      <c r="G588" s="5" t="n"/>
      <c r="H588" s="5" t="n"/>
    </row>
    <row r="589" hidden="1" s="38">
      <c r="A589" s="25" t="n"/>
      <c r="B589" s="5" t="n"/>
      <c r="C589" s="4" t="n"/>
      <c r="D589" s="5" t="n"/>
      <c r="E589" s="5" t="n"/>
      <c r="F589" s="5" t="n"/>
      <c r="G589" s="5" t="n"/>
      <c r="H589" s="5" t="n"/>
    </row>
    <row r="590" hidden="1" s="38">
      <c r="A590" s="25" t="n"/>
      <c r="B590" s="5" t="n"/>
      <c r="C590" s="4" t="n"/>
      <c r="D590" s="5" t="n"/>
      <c r="E590" s="5" t="n"/>
      <c r="F590" s="5" t="n"/>
      <c r="G590" s="5" t="n"/>
      <c r="H590" s="5" t="n"/>
    </row>
    <row r="591" hidden="1" s="38">
      <c r="A591" s="25" t="n"/>
      <c r="B591" s="5" t="n"/>
      <c r="C591" s="4" t="n"/>
      <c r="D591" s="5" t="n"/>
      <c r="E591" s="5" t="n"/>
      <c r="F591" s="5" t="n"/>
      <c r="G591" s="5" t="n"/>
      <c r="H591" s="5" t="n"/>
    </row>
    <row r="592" hidden="1" s="38">
      <c r="A592" s="25" t="n"/>
      <c r="B592" s="5" t="n"/>
      <c r="C592" s="4" t="n"/>
      <c r="D592" s="5" t="n"/>
      <c r="E592" s="5" t="n"/>
      <c r="F592" s="5" t="n"/>
      <c r="G592" s="5" t="n"/>
      <c r="H592" s="5" t="n"/>
    </row>
    <row r="593" hidden="1" s="38">
      <c r="A593" s="25" t="n"/>
      <c r="B593" s="5" t="n"/>
      <c r="C593" s="4" t="n"/>
      <c r="D593" s="5" t="n"/>
      <c r="E593" s="5" t="n"/>
      <c r="F593" s="5" t="n"/>
      <c r="G593" s="5" t="n"/>
      <c r="H593" s="5" t="n"/>
    </row>
    <row r="594" hidden="1" s="38">
      <c r="A594" s="25" t="n"/>
      <c r="B594" s="5" t="n"/>
      <c r="C594" s="4" t="n"/>
      <c r="D594" s="5" t="n"/>
      <c r="E594" s="5" t="n"/>
      <c r="F594" s="5" t="n"/>
      <c r="G594" s="5" t="n"/>
      <c r="H594" s="5" t="n"/>
    </row>
    <row r="595" hidden="1" s="38">
      <c r="A595" s="25" t="n"/>
      <c r="B595" s="5" t="n"/>
      <c r="C595" s="4" t="n"/>
      <c r="D595" s="5" t="n"/>
      <c r="E595" s="5" t="n"/>
      <c r="F595" s="5" t="n"/>
      <c r="G595" s="5" t="n"/>
      <c r="H595" s="5" t="n"/>
    </row>
    <row r="596" hidden="1" s="38">
      <c r="A596" s="25" t="n"/>
      <c r="B596" s="5" t="n"/>
      <c r="C596" s="4" t="n"/>
      <c r="D596" s="5" t="n"/>
      <c r="E596" s="5" t="n"/>
      <c r="F596" s="5" t="n"/>
      <c r="G596" s="5" t="n"/>
      <c r="H596" s="5" t="n"/>
    </row>
    <row r="597" hidden="1" s="38">
      <c r="A597" s="25" t="n"/>
      <c r="B597" s="5" t="n"/>
      <c r="C597" s="4" t="n"/>
      <c r="D597" s="5" t="n"/>
      <c r="E597" s="5" t="n"/>
      <c r="F597" s="5" t="n"/>
      <c r="G597" s="5" t="n"/>
      <c r="H597" s="5" t="n"/>
    </row>
    <row r="598" hidden="1" s="38">
      <c r="A598" s="25" t="n"/>
      <c r="B598" s="5" t="n"/>
      <c r="C598" s="4" t="n"/>
      <c r="D598" s="5" t="n"/>
      <c r="E598" s="5" t="n"/>
      <c r="F598" s="5" t="n"/>
      <c r="G598" s="5" t="n"/>
      <c r="H598" s="5" t="n"/>
    </row>
    <row r="599" hidden="1" s="38">
      <c r="A599" s="25" t="n"/>
      <c r="B599" s="5" t="n"/>
      <c r="C599" s="4" t="n"/>
      <c r="D599" s="5" t="n"/>
      <c r="E599" s="5" t="n"/>
      <c r="F599" s="5" t="n"/>
      <c r="G599" s="5" t="n"/>
      <c r="H599" s="5" t="n"/>
    </row>
    <row r="600" hidden="1" s="38">
      <c r="A600" s="25" t="n"/>
      <c r="B600" s="5" t="n"/>
      <c r="C600" s="4" t="n"/>
      <c r="D600" s="5" t="n"/>
      <c r="E600" s="5" t="n"/>
      <c r="F600" s="5" t="n"/>
      <c r="G600" s="5" t="n"/>
      <c r="H600" s="5" t="n"/>
    </row>
    <row r="601" hidden="1" s="38">
      <c r="A601" s="25" t="n"/>
      <c r="B601" s="5" t="n"/>
      <c r="C601" s="4" t="n"/>
      <c r="D601" s="5" t="n"/>
      <c r="E601" s="5" t="n"/>
      <c r="F601" s="5" t="n"/>
      <c r="G601" s="5" t="n"/>
      <c r="H601" s="5" t="n"/>
    </row>
    <row r="602" hidden="1" s="38">
      <c r="A602" s="25" t="n"/>
      <c r="B602" s="5" t="n"/>
      <c r="C602" s="4" t="n"/>
      <c r="D602" s="5" t="n"/>
      <c r="E602" s="5" t="n"/>
      <c r="F602" s="5" t="n"/>
      <c r="G602" s="5" t="n"/>
      <c r="H602" s="5" t="n"/>
    </row>
    <row r="603" hidden="1" s="38">
      <c r="A603" s="25" t="n"/>
      <c r="B603" s="5" t="n"/>
      <c r="C603" s="4" t="n"/>
      <c r="D603" s="5" t="n"/>
      <c r="E603" s="5" t="n"/>
      <c r="F603" s="5" t="n"/>
      <c r="G603" s="5" t="n"/>
      <c r="H603" s="5" t="n"/>
    </row>
    <row r="604" hidden="1" s="38">
      <c r="A604" s="25" t="n"/>
      <c r="B604" s="5" t="n"/>
      <c r="C604" s="4" t="n"/>
      <c r="D604" s="5" t="n"/>
      <c r="E604" s="5" t="n"/>
      <c r="F604" s="5" t="n"/>
      <c r="G604" s="5" t="n"/>
      <c r="H604" s="5" t="n"/>
    </row>
    <row r="605" hidden="1" s="38">
      <c r="A605" s="25" t="n"/>
      <c r="B605" s="5" t="n"/>
      <c r="C605" s="4" t="n"/>
      <c r="D605" s="5" t="n"/>
      <c r="E605" s="5" t="n"/>
      <c r="F605" s="5" t="n"/>
      <c r="G605" s="5" t="n"/>
      <c r="H605" s="5" t="n"/>
    </row>
    <row r="606" hidden="1" s="38">
      <c r="A606" s="25" t="n"/>
      <c r="B606" s="5" t="n"/>
      <c r="C606" s="4" t="n"/>
      <c r="D606" s="5" t="n"/>
      <c r="E606" s="5" t="n"/>
      <c r="F606" s="5" t="n"/>
      <c r="G606" s="5" t="n"/>
      <c r="H606" s="5" t="n"/>
    </row>
    <row r="607" hidden="1" s="38">
      <c r="A607" s="25" t="n"/>
      <c r="B607" s="5" t="n"/>
      <c r="C607" s="4" t="n"/>
      <c r="D607" s="5" t="n"/>
      <c r="E607" s="5" t="n"/>
      <c r="F607" s="5" t="n"/>
      <c r="G607" s="5" t="n"/>
      <c r="H607" s="5" t="n"/>
    </row>
    <row r="608" hidden="1" s="38">
      <c r="A608" s="25" t="n"/>
      <c r="B608" s="5" t="n"/>
      <c r="C608" s="4" t="n"/>
      <c r="D608" s="5" t="n"/>
      <c r="E608" s="5" t="n"/>
      <c r="F608" s="5" t="n"/>
      <c r="G608" s="5" t="n"/>
      <c r="H608" s="5" t="n"/>
    </row>
    <row r="609" hidden="1" s="38">
      <c r="A609" s="25" t="n"/>
      <c r="B609" s="5" t="n"/>
      <c r="C609" s="4" t="n"/>
      <c r="D609" s="5" t="n"/>
      <c r="E609" s="5" t="n"/>
      <c r="F609" s="5" t="n"/>
      <c r="G609" s="5" t="n"/>
      <c r="H609" s="5" t="n"/>
    </row>
    <row r="610" hidden="1" s="38">
      <c r="A610" s="25" t="n"/>
      <c r="B610" s="5" t="n"/>
      <c r="C610" s="4" t="n"/>
      <c r="D610" s="5" t="n"/>
      <c r="E610" s="5" t="n"/>
      <c r="F610" s="5" t="n"/>
      <c r="G610" s="5" t="n"/>
      <c r="H610" s="5" t="n"/>
    </row>
    <row r="611" hidden="1" s="38">
      <c r="A611" s="25" t="n"/>
      <c r="B611" s="5" t="n"/>
      <c r="C611" s="4" t="n"/>
      <c r="D611" s="5" t="n"/>
      <c r="E611" s="5" t="n"/>
      <c r="F611" s="5" t="n"/>
      <c r="G611" s="5" t="n"/>
      <c r="H611" s="5" t="n"/>
    </row>
    <row r="612" hidden="1" s="38">
      <c r="A612" s="25" t="n"/>
      <c r="B612" s="5" t="n"/>
      <c r="C612" s="4" t="n"/>
      <c r="D612" s="5" t="n"/>
      <c r="E612" s="5" t="n"/>
      <c r="F612" s="5" t="n"/>
      <c r="G612" s="5" t="n"/>
      <c r="H612" s="5" t="n"/>
    </row>
    <row r="613" hidden="1" s="38">
      <c r="A613" s="25" t="n"/>
      <c r="B613" s="5" t="n"/>
      <c r="C613" s="4" t="n"/>
      <c r="D613" s="5" t="n"/>
      <c r="E613" s="5" t="n"/>
      <c r="F613" s="5" t="n"/>
      <c r="G613" s="5" t="n"/>
      <c r="H613" s="5" t="n"/>
    </row>
    <row r="614" hidden="1" s="38">
      <c r="A614" s="25" t="n"/>
      <c r="B614" s="5" t="n"/>
      <c r="C614" s="4" t="n"/>
      <c r="D614" s="5" t="n"/>
      <c r="E614" s="5" t="n"/>
      <c r="F614" s="5" t="n"/>
      <c r="G614" s="5" t="n"/>
      <c r="H614" s="5" t="n"/>
    </row>
    <row r="615" hidden="1" s="38">
      <c r="A615" s="25" t="n"/>
      <c r="B615" s="5" t="n"/>
      <c r="C615" s="4" t="n"/>
      <c r="D615" s="5" t="n"/>
      <c r="E615" s="5" t="n"/>
      <c r="F615" s="5" t="n"/>
      <c r="G615" s="5" t="n"/>
      <c r="H615" s="5" t="n"/>
    </row>
    <row r="616" hidden="1" s="38">
      <c r="A616" s="25" t="n"/>
      <c r="B616" s="5" t="n"/>
      <c r="C616" s="4" t="n"/>
      <c r="D616" s="5" t="n"/>
      <c r="E616" s="5" t="n"/>
      <c r="F616" s="5" t="n"/>
      <c r="G616" s="5" t="n"/>
      <c r="H616" s="5" t="n"/>
    </row>
    <row r="617" hidden="1" s="38">
      <c r="A617" s="25" t="n"/>
      <c r="B617" s="5" t="n"/>
      <c r="C617" s="4" t="n"/>
      <c r="D617" s="5" t="n"/>
      <c r="E617" s="5" t="n"/>
      <c r="F617" s="5" t="n"/>
      <c r="G617" s="5" t="n"/>
      <c r="H617" s="5" t="n"/>
    </row>
    <row r="618" hidden="1" s="38">
      <c r="A618" s="25" t="n"/>
      <c r="B618" s="5" t="n"/>
      <c r="C618" s="4" t="n"/>
      <c r="D618" s="5" t="n"/>
      <c r="E618" s="5" t="n"/>
      <c r="F618" s="5" t="n"/>
      <c r="G618" s="5" t="n"/>
      <c r="H618" s="5" t="n"/>
    </row>
    <row r="619" hidden="1" s="38">
      <c r="A619" s="25" t="n"/>
      <c r="B619" s="5" t="n"/>
      <c r="C619" s="4" t="n"/>
      <c r="D619" s="5" t="n"/>
      <c r="E619" s="5" t="n"/>
      <c r="F619" s="5" t="n"/>
      <c r="G619" s="5" t="n"/>
      <c r="H619" s="5" t="n"/>
    </row>
    <row r="620" hidden="1" s="38">
      <c r="A620" s="25" t="n"/>
      <c r="B620" s="5" t="n"/>
      <c r="C620" s="4" t="n"/>
      <c r="D620" s="5" t="n"/>
      <c r="E620" s="5" t="n"/>
      <c r="F620" s="5" t="n"/>
      <c r="G620" s="5" t="n"/>
      <c r="H620" s="5" t="n"/>
    </row>
    <row r="621" hidden="1" s="38">
      <c r="A621" s="25" t="n"/>
      <c r="B621" s="5" t="n"/>
      <c r="C621" s="4" t="n"/>
      <c r="D621" s="5" t="n"/>
      <c r="E621" s="5" t="n"/>
      <c r="F621" s="5" t="n"/>
      <c r="G621" s="5" t="n"/>
      <c r="H621" s="5" t="n"/>
    </row>
    <row r="622" hidden="1" s="38">
      <c r="A622" s="25" t="n"/>
      <c r="B622" s="5" t="n"/>
      <c r="C622" s="4" t="n"/>
      <c r="D622" s="5" t="n"/>
      <c r="E622" s="5" t="n"/>
      <c r="F622" s="5" t="n"/>
      <c r="G622" s="5" t="n"/>
      <c r="H622" s="5" t="n"/>
    </row>
    <row r="623" hidden="1" s="38">
      <c r="A623" s="25" t="n"/>
      <c r="B623" s="5" t="n"/>
      <c r="C623" s="4" t="n"/>
      <c r="D623" s="5" t="n"/>
      <c r="E623" s="5" t="n"/>
      <c r="F623" s="5" t="n"/>
      <c r="G623" s="5" t="n"/>
      <c r="H623" s="5" t="n"/>
    </row>
    <row r="624" hidden="1" s="38">
      <c r="A624" s="25" t="n"/>
      <c r="B624" s="5" t="n"/>
      <c r="C624" s="4" t="n"/>
      <c r="D624" s="5" t="n"/>
      <c r="E624" s="5" t="n"/>
      <c r="F624" s="5" t="n"/>
      <c r="G624" s="5" t="n"/>
      <c r="H624" s="5" t="n"/>
    </row>
    <row r="625" hidden="1" s="38">
      <c r="A625" s="25" t="n"/>
      <c r="B625" s="5" t="n"/>
      <c r="C625" s="4" t="n"/>
      <c r="D625" s="5" t="n"/>
      <c r="E625" s="5" t="n"/>
      <c r="F625" s="5" t="n"/>
      <c r="G625" s="5" t="n"/>
      <c r="H625" s="5" t="n"/>
    </row>
    <row r="626" hidden="1" s="38">
      <c r="A626" s="25" t="n"/>
      <c r="B626" s="5" t="n"/>
      <c r="C626" s="4" t="n"/>
      <c r="D626" s="5" t="n"/>
      <c r="E626" s="5" t="n"/>
      <c r="F626" s="5" t="n"/>
      <c r="G626" s="5" t="n"/>
      <c r="H626" s="5" t="n"/>
    </row>
    <row r="627" hidden="1" s="38">
      <c r="A627" s="25" t="n"/>
      <c r="B627" s="5" t="n"/>
      <c r="C627" s="4" t="n"/>
      <c r="D627" s="5" t="n"/>
      <c r="E627" s="5" t="n"/>
      <c r="F627" s="5" t="n"/>
      <c r="G627" s="5" t="n"/>
      <c r="H627" s="5" t="n"/>
    </row>
    <row r="628" hidden="1" s="38">
      <c r="A628" s="25" t="n"/>
      <c r="B628" s="5" t="n"/>
      <c r="C628" s="4" t="n"/>
      <c r="D628" s="5" t="n"/>
      <c r="E628" s="5" t="n"/>
      <c r="F628" s="5" t="n"/>
      <c r="G628" s="5" t="n"/>
      <c r="H628" s="5" t="n"/>
    </row>
    <row r="629" hidden="1" s="38">
      <c r="A629" s="25" t="n"/>
      <c r="B629" s="5" t="n"/>
      <c r="C629" s="4" t="n"/>
      <c r="D629" s="5" t="n"/>
      <c r="E629" s="5" t="n"/>
      <c r="F629" s="5" t="n"/>
      <c r="G629" s="5" t="n"/>
      <c r="H629" s="5" t="n"/>
    </row>
    <row r="630" hidden="1" s="38">
      <c r="A630" s="25" t="n"/>
      <c r="B630" s="5" t="n"/>
      <c r="C630" s="4" t="n"/>
      <c r="D630" s="5" t="n"/>
      <c r="E630" s="5" t="n"/>
      <c r="F630" s="5" t="n"/>
      <c r="G630" s="5" t="n"/>
      <c r="H630" s="5" t="n"/>
    </row>
    <row r="631" hidden="1" s="38">
      <c r="A631" s="25" t="n"/>
      <c r="B631" s="5" t="n"/>
      <c r="C631" s="4" t="n"/>
      <c r="D631" s="5" t="n"/>
      <c r="E631" s="5" t="n"/>
      <c r="F631" s="5" t="n"/>
      <c r="G631" s="5" t="n"/>
      <c r="H631" s="5" t="n"/>
    </row>
    <row r="632" hidden="1" s="38">
      <c r="A632" s="25" t="n"/>
      <c r="B632" s="5" t="n"/>
      <c r="C632" s="4" t="n"/>
      <c r="D632" s="5" t="n"/>
      <c r="E632" s="5" t="n"/>
      <c r="F632" s="5" t="n"/>
      <c r="G632" s="5" t="n"/>
      <c r="H632" s="5" t="n"/>
    </row>
    <row r="633" hidden="1" s="38">
      <c r="A633" s="25" t="n"/>
      <c r="B633" s="5" t="n"/>
      <c r="C633" s="4" t="n"/>
      <c r="D633" s="5" t="n"/>
      <c r="E633" s="5" t="n"/>
      <c r="F633" s="5" t="n"/>
      <c r="G633" s="5" t="n"/>
      <c r="H633" s="5" t="n"/>
    </row>
    <row r="634" hidden="1" s="38">
      <c r="A634" s="25" t="n"/>
      <c r="B634" s="5" t="n"/>
      <c r="C634" s="4" t="n"/>
      <c r="D634" s="5" t="n"/>
      <c r="E634" s="5" t="n"/>
      <c r="F634" s="5" t="n"/>
      <c r="G634" s="5" t="n"/>
      <c r="H634" s="5" t="n"/>
    </row>
    <row r="635" hidden="1" s="38">
      <c r="A635" s="25" t="n"/>
      <c r="B635" s="5" t="n"/>
      <c r="C635" s="4" t="n"/>
      <c r="D635" s="5" t="n"/>
      <c r="E635" s="5" t="n"/>
      <c r="F635" s="5" t="n"/>
      <c r="G635" s="5" t="n"/>
      <c r="H635" s="5" t="n"/>
    </row>
    <row r="636" hidden="1" s="38">
      <c r="A636" s="25" t="n"/>
      <c r="B636" s="5" t="n"/>
      <c r="C636" s="4" t="n"/>
      <c r="D636" s="5" t="n"/>
      <c r="E636" s="5" t="n"/>
      <c r="F636" s="5" t="n"/>
      <c r="G636" s="5" t="n"/>
      <c r="H636" s="5" t="n"/>
    </row>
    <row r="637" hidden="1" s="38">
      <c r="A637" s="25" t="n"/>
      <c r="B637" s="5" t="n"/>
      <c r="C637" s="4" t="n"/>
      <c r="D637" s="5" t="n"/>
      <c r="E637" s="5" t="n"/>
      <c r="F637" s="5" t="n"/>
      <c r="G637" s="5" t="n"/>
      <c r="H637" s="5" t="n"/>
    </row>
    <row r="638" hidden="1" s="38">
      <c r="A638" s="25" t="n"/>
      <c r="B638" s="5" t="n"/>
      <c r="C638" s="4" t="n"/>
      <c r="D638" s="5" t="n"/>
      <c r="E638" s="5" t="n"/>
      <c r="F638" s="5" t="n"/>
      <c r="G638" s="5" t="n"/>
      <c r="H638" s="5" t="n"/>
    </row>
    <row r="639" hidden="1" s="38">
      <c r="A639" s="25" t="n"/>
      <c r="B639" s="5" t="n"/>
      <c r="C639" s="4" t="n"/>
      <c r="D639" s="5" t="n"/>
      <c r="E639" s="5" t="n"/>
      <c r="F639" s="5" t="n"/>
      <c r="G639" s="5" t="n"/>
      <c r="H639" s="5" t="n"/>
    </row>
    <row r="640" hidden="1" s="38">
      <c r="A640" s="25" t="n"/>
      <c r="B640" s="5" t="n"/>
      <c r="C640" s="4" t="n"/>
      <c r="D640" s="5" t="n"/>
      <c r="E640" s="5" t="n"/>
      <c r="F640" s="5" t="n"/>
      <c r="G640" s="5" t="n"/>
      <c r="H640" s="5" t="n"/>
    </row>
    <row r="641" hidden="1" s="38">
      <c r="A641" s="25" t="n"/>
      <c r="B641" s="5" t="n"/>
      <c r="C641" s="4" t="n"/>
      <c r="D641" s="5" t="n"/>
      <c r="E641" s="5" t="n"/>
      <c r="F641" s="5" t="n"/>
      <c r="G641" s="5" t="n"/>
      <c r="H641" s="5" t="n"/>
    </row>
    <row r="642" hidden="1" s="38">
      <c r="A642" s="25" t="n"/>
      <c r="B642" s="5" t="n"/>
      <c r="C642" s="4" t="n"/>
      <c r="D642" s="5" t="n"/>
      <c r="E642" s="5" t="n"/>
      <c r="F642" s="5" t="n"/>
      <c r="G642" s="5" t="n"/>
      <c r="H642" s="5" t="n"/>
    </row>
    <row r="643" hidden="1" s="38">
      <c r="A643" s="25" t="n"/>
      <c r="B643" s="5" t="n"/>
      <c r="C643" s="4" t="n"/>
      <c r="D643" s="5" t="n"/>
      <c r="E643" s="5" t="n"/>
      <c r="F643" s="5" t="n"/>
      <c r="G643" s="5" t="n"/>
      <c r="H643" s="5" t="n"/>
    </row>
    <row r="644" hidden="1" s="38">
      <c r="A644" s="25" t="n"/>
      <c r="B644" s="5" t="n"/>
      <c r="C644" s="4" t="n"/>
      <c r="D644" s="5" t="n"/>
      <c r="E644" s="5" t="n"/>
      <c r="F644" s="5" t="n"/>
      <c r="G644" s="5" t="n"/>
      <c r="H644" s="5" t="n"/>
    </row>
    <row r="645" hidden="1" s="38">
      <c r="A645" s="25" t="n"/>
      <c r="B645" s="5" t="n"/>
      <c r="C645" s="4" t="n"/>
      <c r="D645" s="5" t="n"/>
      <c r="E645" s="5" t="n"/>
      <c r="F645" s="5" t="n"/>
      <c r="G645" s="5" t="n"/>
      <c r="H645" s="5" t="n"/>
    </row>
    <row r="646" hidden="1" s="38">
      <c r="A646" s="25" t="n"/>
      <c r="B646" s="5" t="n"/>
      <c r="C646" s="4" t="n"/>
      <c r="D646" s="5" t="n"/>
      <c r="E646" s="5" t="n"/>
      <c r="F646" s="5" t="n"/>
      <c r="G646" s="5" t="n"/>
      <c r="H646" s="5" t="n"/>
    </row>
    <row r="647" hidden="1" s="38">
      <c r="A647" s="25" t="n"/>
      <c r="B647" s="5" t="n"/>
      <c r="C647" s="4" t="n"/>
      <c r="D647" s="5" t="n"/>
      <c r="E647" s="5" t="n"/>
      <c r="F647" s="5" t="n"/>
      <c r="G647" s="5" t="n"/>
      <c r="H647" s="5" t="n"/>
    </row>
    <row r="648" hidden="1" s="38">
      <c r="A648" s="25" t="n"/>
      <c r="B648" s="5" t="n"/>
      <c r="C648" s="4" t="n"/>
      <c r="D648" s="5" t="n"/>
      <c r="E648" s="5" t="n"/>
      <c r="F648" s="5" t="n"/>
      <c r="G648" s="5" t="n"/>
      <c r="H648" s="5" t="n"/>
    </row>
    <row r="649" hidden="1" s="38">
      <c r="A649" s="25" t="n"/>
      <c r="B649" s="5" t="n"/>
      <c r="C649" s="4" t="n"/>
      <c r="D649" s="5" t="n"/>
      <c r="E649" s="5" t="n"/>
      <c r="F649" s="5" t="n"/>
      <c r="G649" s="5" t="n"/>
      <c r="H649" s="5" t="n"/>
    </row>
    <row r="650" hidden="1" s="38">
      <c r="A650" s="25" t="n"/>
      <c r="B650" s="5" t="n"/>
      <c r="C650" s="4" t="n"/>
      <c r="D650" s="5" t="n"/>
      <c r="E650" s="5" t="n"/>
      <c r="F650" s="5" t="n"/>
      <c r="G650" s="5" t="n"/>
      <c r="H650" s="5" t="n"/>
    </row>
    <row r="651" hidden="1" s="38">
      <c r="A651" s="25" t="n"/>
      <c r="B651" s="5" t="n"/>
      <c r="C651" s="4" t="n"/>
      <c r="D651" s="5" t="n"/>
      <c r="E651" s="5" t="n"/>
      <c r="F651" s="5" t="n"/>
      <c r="G651" s="5" t="n"/>
      <c r="H651" s="5" t="n"/>
    </row>
    <row r="652" hidden="1" s="38">
      <c r="A652" s="25" t="n"/>
      <c r="B652" s="5" t="n"/>
      <c r="C652" s="4" t="n"/>
      <c r="D652" s="5" t="n"/>
      <c r="E652" s="5" t="n"/>
      <c r="F652" s="5" t="n"/>
      <c r="G652" s="5" t="n"/>
      <c r="H652" s="5" t="n"/>
    </row>
    <row r="653" hidden="1" s="38">
      <c r="A653" s="25" t="n"/>
      <c r="B653" s="5" t="n"/>
      <c r="C653" s="4" t="n"/>
      <c r="D653" s="5" t="n"/>
      <c r="E653" s="5" t="n"/>
      <c r="F653" s="5" t="n"/>
      <c r="G653" s="5" t="n"/>
      <c r="H653" s="5" t="n"/>
    </row>
    <row r="654" hidden="1" s="38">
      <c r="A654" s="25" t="n"/>
      <c r="B654" s="5" t="n"/>
      <c r="C654" s="4" t="n"/>
      <c r="D654" s="5" t="n"/>
      <c r="E654" s="5" t="n"/>
      <c r="F654" s="5" t="n"/>
      <c r="G654" s="5" t="n"/>
      <c r="H654" s="5" t="n"/>
    </row>
    <row r="655" hidden="1" s="38">
      <c r="A655" s="25" t="n"/>
      <c r="B655" s="5" t="n"/>
      <c r="C655" s="4" t="n"/>
      <c r="D655" s="5" t="n"/>
      <c r="E655" s="5" t="n"/>
      <c r="F655" s="5" t="n"/>
      <c r="G655" s="5" t="n"/>
      <c r="H655" s="5" t="n"/>
    </row>
    <row r="656" hidden="1" s="38">
      <c r="A656" s="25" t="n"/>
      <c r="B656" s="5" t="n"/>
      <c r="C656" s="4" t="n"/>
      <c r="D656" s="5" t="n"/>
      <c r="E656" s="5" t="n"/>
      <c r="F656" s="5" t="n"/>
      <c r="G656" s="5" t="n"/>
      <c r="H656" s="5" t="n"/>
    </row>
    <row r="657" hidden="1" s="38">
      <c r="A657" s="25" t="n"/>
      <c r="B657" s="5" t="n"/>
      <c r="C657" s="4" t="n"/>
      <c r="D657" s="5" t="n"/>
      <c r="E657" s="5" t="n"/>
      <c r="F657" s="5" t="n"/>
      <c r="G657" s="5" t="n"/>
      <c r="H657" s="5" t="n"/>
    </row>
    <row r="658" hidden="1" s="38">
      <c r="A658" s="25" t="n"/>
      <c r="B658" s="5" t="n"/>
      <c r="C658" s="4" t="n"/>
      <c r="D658" s="5" t="n"/>
      <c r="E658" s="5" t="n"/>
      <c r="F658" s="5" t="n"/>
      <c r="G658" s="5" t="n"/>
      <c r="H658" s="5" t="n"/>
    </row>
    <row r="659" hidden="1" s="38">
      <c r="A659" s="25" t="n"/>
      <c r="B659" s="5" t="n"/>
      <c r="C659" s="4" t="n"/>
      <c r="D659" s="5" t="n"/>
      <c r="E659" s="5" t="n"/>
      <c r="F659" s="5" t="n"/>
      <c r="G659" s="5" t="n"/>
      <c r="H659" s="5" t="n"/>
    </row>
    <row r="660" hidden="1" s="38">
      <c r="A660" s="25" t="n"/>
      <c r="B660" s="5" t="n"/>
      <c r="C660" s="4" t="n"/>
      <c r="D660" s="5" t="n"/>
      <c r="E660" s="5" t="n"/>
      <c r="F660" s="5" t="n"/>
      <c r="G660" s="5" t="n"/>
      <c r="H660" s="5" t="n"/>
    </row>
    <row r="661" hidden="1" s="38">
      <c r="A661" s="25" t="n"/>
      <c r="B661" s="5" t="n"/>
      <c r="C661" s="4" t="n"/>
      <c r="D661" s="5" t="n"/>
      <c r="E661" s="5" t="n"/>
      <c r="F661" s="5" t="n"/>
      <c r="G661" s="5" t="n"/>
      <c r="H661" s="5" t="n"/>
    </row>
    <row r="662" hidden="1" s="38">
      <c r="A662" s="25" t="n"/>
      <c r="B662" s="5" t="n"/>
      <c r="C662" s="4" t="n"/>
      <c r="D662" s="5" t="n"/>
      <c r="E662" s="5" t="n"/>
      <c r="F662" s="5" t="n"/>
      <c r="G662" s="5" t="n"/>
      <c r="H662" s="5" t="n"/>
    </row>
    <row r="663" hidden="1" s="38">
      <c r="A663" s="25" t="n"/>
      <c r="B663" s="5" t="n"/>
      <c r="C663" s="4" t="n"/>
      <c r="D663" s="5" t="n"/>
      <c r="E663" s="5" t="n"/>
      <c r="F663" s="5" t="n"/>
      <c r="G663" s="5" t="n"/>
      <c r="H663" s="5" t="n"/>
    </row>
    <row r="664" hidden="1" s="38">
      <c r="A664" s="25" t="n"/>
      <c r="B664" s="5" t="n"/>
      <c r="C664" s="4" t="n"/>
      <c r="D664" s="5" t="n"/>
      <c r="E664" s="5" t="n"/>
      <c r="F664" s="5" t="n"/>
      <c r="G664" s="5" t="n"/>
      <c r="H664" s="5" t="n"/>
    </row>
    <row r="665" hidden="1" s="38">
      <c r="A665" s="25" t="n"/>
      <c r="B665" s="5" t="n"/>
      <c r="C665" s="4" t="n"/>
      <c r="D665" s="5" t="n"/>
      <c r="E665" s="5" t="n"/>
      <c r="F665" s="5" t="n"/>
      <c r="G665" s="5" t="n"/>
      <c r="H665" s="5" t="n"/>
    </row>
    <row r="666" hidden="1" s="38">
      <c r="A666" s="25" t="n"/>
      <c r="B666" s="5" t="n"/>
      <c r="C666" s="4" t="n"/>
      <c r="D666" s="5" t="n"/>
      <c r="E666" s="5" t="n"/>
      <c r="F666" s="5" t="n"/>
      <c r="G666" s="5" t="n"/>
      <c r="H666" s="5" t="n"/>
    </row>
    <row r="667" hidden="1" s="38">
      <c r="A667" s="25" t="n"/>
      <c r="B667" s="5" t="n"/>
      <c r="C667" s="4" t="n"/>
      <c r="D667" s="5" t="n"/>
      <c r="E667" s="5" t="n"/>
      <c r="F667" s="5" t="n"/>
      <c r="G667" s="5" t="n"/>
      <c r="H667" s="5" t="n"/>
    </row>
    <row r="668" hidden="1" s="38">
      <c r="A668" s="25" t="n"/>
      <c r="B668" s="5" t="n"/>
      <c r="C668" s="4" t="n"/>
      <c r="D668" s="5" t="n"/>
      <c r="E668" s="5" t="n"/>
      <c r="F668" s="5" t="n"/>
      <c r="G668" s="5" t="n"/>
      <c r="H668" s="5" t="n"/>
    </row>
    <row r="669" hidden="1" s="38">
      <c r="A669" s="25" t="n"/>
      <c r="B669" s="5" t="n"/>
      <c r="C669" s="4" t="n"/>
      <c r="D669" s="5" t="n"/>
      <c r="E669" s="5" t="n"/>
      <c r="F669" s="5" t="n"/>
      <c r="G669" s="5" t="n"/>
      <c r="H669" s="5" t="n"/>
    </row>
    <row r="670" hidden="1" s="38">
      <c r="A670" s="25" t="n"/>
      <c r="B670" s="5" t="n"/>
      <c r="C670" s="4" t="n"/>
      <c r="D670" s="5" t="n"/>
      <c r="E670" s="5" t="n"/>
      <c r="F670" s="5" t="n"/>
      <c r="G670" s="5" t="n"/>
      <c r="H670" s="5" t="n"/>
    </row>
    <row r="671" hidden="1" s="38">
      <c r="A671" s="25" t="n"/>
      <c r="B671" s="5" t="n"/>
      <c r="C671" s="4" t="n"/>
      <c r="D671" s="5" t="n"/>
      <c r="E671" s="5" t="n"/>
      <c r="F671" s="5" t="n"/>
      <c r="G671" s="5" t="n"/>
      <c r="H671" s="5" t="n"/>
    </row>
    <row r="672" hidden="1" s="38">
      <c r="A672" s="25" t="n"/>
      <c r="B672" s="5" t="n"/>
      <c r="C672" s="4" t="n"/>
      <c r="D672" s="5" t="n"/>
      <c r="E672" s="5" t="n"/>
      <c r="F672" s="5" t="n"/>
      <c r="G672" s="5" t="n"/>
      <c r="H672" s="5" t="n"/>
    </row>
    <row r="673" hidden="1" s="38">
      <c r="A673" s="25" t="n"/>
      <c r="B673" s="5" t="n"/>
      <c r="C673" s="4" t="n"/>
      <c r="D673" s="5" t="n"/>
      <c r="E673" s="5" t="n"/>
      <c r="F673" s="5" t="n"/>
      <c r="G673" s="5" t="n"/>
      <c r="H673" s="5" t="n"/>
    </row>
    <row r="674" hidden="1" s="38">
      <c r="A674" s="25" t="n"/>
      <c r="B674" s="5" t="n"/>
      <c r="C674" s="4" t="n"/>
      <c r="D674" s="5" t="n"/>
      <c r="E674" s="5" t="n"/>
      <c r="F674" s="5" t="n"/>
      <c r="G674" s="5" t="n"/>
      <c r="H674" s="5" t="n"/>
    </row>
    <row r="675" hidden="1" s="38">
      <c r="A675" s="25" t="n"/>
      <c r="B675" s="5" t="n"/>
      <c r="C675" s="4" t="n"/>
      <c r="D675" s="5" t="n"/>
      <c r="E675" s="5" t="n"/>
      <c r="F675" s="5" t="n"/>
      <c r="G675" s="5" t="n"/>
      <c r="H675" s="5" t="n"/>
    </row>
    <row r="676" hidden="1" s="38">
      <c r="A676" s="25" t="n"/>
      <c r="B676" s="5" t="n"/>
      <c r="C676" s="4" t="n"/>
      <c r="D676" s="5" t="n"/>
      <c r="E676" s="5" t="n"/>
      <c r="F676" s="5" t="n"/>
      <c r="G676" s="5" t="n"/>
      <c r="H676" s="5" t="n"/>
    </row>
    <row r="677" hidden="1" s="38">
      <c r="A677" s="25" t="n"/>
      <c r="B677" s="5" t="n"/>
      <c r="C677" s="4" t="n"/>
      <c r="D677" s="5" t="n"/>
      <c r="E677" s="5" t="n"/>
      <c r="F677" s="5" t="n"/>
      <c r="G677" s="5" t="n"/>
      <c r="H677" s="5" t="n"/>
    </row>
    <row r="678" hidden="1" s="38">
      <c r="A678" s="25" t="n"/>
      <c r="B678" s="5" t="n"/>
      <c r="C678" s="4" t="n"/>
      <c r="D678" s="5" t="n"/>
      <c r="E678" s="5" t="n"/>
      <c r="F678" s="5" t="n"/>
      <c r="G678" s="5" t="n"/>
      <c r="H678" s="5" t="n"/>
    </row>
    <row r="679" hidden="1" s="38">
      <c r="A679" s="25" t="n"/>
      <c r="B679" s="5" t="n"/>
      <c r="C679" s="4" t="n"/>
      <c r="D679" s="5" t="n"/>
      <c r="E679" s="5" t="n"/>
      <c r="F679" s="5" t="n"/>
      <c r="G679" s="5" t="n"/>
      <c r="H679" s="5" t="n"/>
    </row>
    <row r="680" hidden="1" s="38">
      <c r="A680" s="25" t="n"/>
      <c r="B680" s="5" t="n"/>
      <c r="C680" s="4" t="n"/>
      <c r="D680" s="5" t="n"/>
      <c r="E680" s="5" t="n"/>
      <c r="F680" s="5" t="n"/>
      <c r="G680" s="5" t="n"/>
      <c r="H680" s="5" t="n"/>
    </row>
    <row r="681" hidden="1" s="38">
      <c r="A681" s="25" t="n"/>
      <c r="B681" s="5" t="n"/>
      <c r="C681" s="4" t="n"/>
      <c r="D681" s="5" t="n"/>
      <c r="E681" s="5" t="n"/>
      <c r="F681" s="5" t="n"/>
      <c r="G681" s="5" t="n"/>
      <c r="H681" s="5" t="n"/>
    </row>
    <row r="682" hidden="1" s="38">
      <c r="A682" s="25" t="n"/>
      <c r="B682" s="5" t="n"/>
      <c r="C682" s="4" t="n"/>
      <c r="D682" s="5" t="n"/>
      <c r="E682" s="5" t="n"/>
      <c r="F682" s="5" t="n"/>
      <c r="G682" s="5" t="n"/>
      <c r="H682" s="5" t="n"/>
    </row>
    <row r="683" hidden="1" s="38">
      <c r="A683" s="25" t="n"/>
      <c r="B683" s="5" t="n"/>
      <c r="C683" s="4" t="n"/>
      <c r="D683" s="5" t="n"/>
      <c r="E683" s="5" t="n"/>
      <c r="F683" s="5" t="n"/>
      <c r="G683" s="5" t="n"/>
      <c r="H683" s="5" t="n"/>
    </row>
    <row r="684" hidden="1" s="38">
      <c r="A684" s="25" t="n"/>
      <c r="B684" s="5" t="n"/>
      <c r="C684" s="4" t="n"/>
      <c r="D684" s="5" t="n"/>
      <c r="E684" s="5" t="n"/>
      <c r="F684" s="5" t="n"/>
      <c r="G684" s="5" t="n"/>
      <c r="H684" s="5" t="n"/>
    </row>
    <row r="685" hidden="1" s="38">
      <c r="A685" s="25" t="n"/>
      <c r="B685" s="5" t="n"/>
      <c r="C685" s="4" t="n"/>
      <c r="D685" s="5" t="n"/>
      <c r="E685" s="5" t="n"/>
      <c r="F685" s="5" t="n"/>
      <c r="G685" s="5" t="n"/>
      <c r="H685" s="5" t="n"/>
    </row>
    <row r="686" hidden="1" s="38">
      <c r="A686" s="25" t="n"/>
      <c r="B686" s="5" t="n"/>
      <c r="C686" s="4" t="n"/>
      <c r="D686" s="5" t="n"/>
      <c r="E686" s="5" t="n"/>
      <c r="F686" s="5" t="n"/>
      <c r="G686" s="5" t="n"/>
      <c r="H686" s="5" t="n"/>
    </row>
    <row r="687" hidden="1" s="38">
      <c r="A687" s="25" t="n"/>
      <c r="B687" s="5" t="n"/>
      <c r="C687" s="4" t="n"/>
      <c r="D687" s="5" t="n"/>
      <c r="E687" s="5" t="n"/>
      <c r="F687" s="5" t="n"/>
      <c r="G687" s="5" t="n"/>
      <c r="H687" s="5" t="n"/>
    </row>
    <row r="688" hidden="1" s="38">
      <c r="A688" s="25" t="n"/>
      <c r="B688" s="5" t="n"/>
      <c r="C688" s="4" t="n"/>
      <c r="D688" s="5" t="n"/>
      <c r="E688" s="5" t="n"/>
      <c r="F688" s="5" t="n"/>
      <c r="G688" s="5" t="n"/>
      <c r="H688" s="5" t="n"/>
    </row>
    <row r="689" hidden="1" s="38">
      <c r="A689" s="25" t="n"/>
      <c r="B689" s="5" t="n"/>
      <c r="C689" s="4" t="n"/>
      <c r="D689" s="5" t="n"/>
      <c r="E689" s="5" t="n"/>
      <c r="F689" s="5" t="n"/>
      <c r="G689" s="5" t="n"/>
      <c r="H689" s="5" t="n"/>
    </row>
    <row r="690" hidden="1" s="38">
      <c r="A690" s="25" t="n"/>
      <c r="B690" s="5" t="n"/>
      <c r="C690" s="4" t="n"/>
      <c r="D690" s="5" t="n"/>
      <c r="E690" s="5" t="n"/>
      <c r="F690" s="5" t="n"/>
      <c r="G690" s="5" t="n"/>
      <c r="H690" s="5" t="n"/>
    </row>
    <row r="691" hidden="1" s="38">
      <c r="A691" s="25" t="n"/>
      <c r="B691" s="5" t="n"/>
      <c r="C691" s="4" t="n"/>
      <c r="D691" s="5" t="n"/>
      <c r="E691" s="5" t="n"/>
      <c r="F691" s="5" t="n"/>
      <c r="G691" s="5" t="n"/>
      <c r="H691" s="5" t="n"/>
    </row>
    <row r="692" hidden="1" s="38">
      <c r="A692" s="25" t="n"/>
      <c r="B692" s="5" t="n"/>
      <c r="C692" s="4" t="n"/>
      <c r="D692" s="5" t="n"/>
      <c r="E692" s="5" t="n"/>
      <c r="F692" s="5" t="n"/>
      <c r="G692" s="5" t="n"/>
      <c r="H692" s="5" t="n"/>
    </row>
    <row r="693" hidden="1" s="38">
      <c r="A693" s="25" t="n"/>
      <c r="B693" s="5" t="n"/>
      <c r="C693" s="4" t="n"/>
      <c r="D693" s="5" t="n"/>
      <c r="E693" s="5" t="n"/>
      <c r="F693" s="5" t="n"/>
      <c r="G693" s="5" t="n"/>
      <c r="H693" s="5" t="n"/>
    </row>
    <row r="694" hidden="1" s="38">
      <c r="A694" s="25" t="n"/>
      <c r="B694" s="5" t="n"/>
      <c r="C694" s="4" t="n"/>
      <c r="D694" s="5" t="n"/>
      <c r="E694" s="5" t="n"/>
      <c r="F694" s="5" t="n"/>
      <c r="G694" s="5" t="n"/>
      <c r="H694" s="5" t="n"/>
    </row>
    <row r="695" hidden="1" s="38">
      <c r="A695" s="25" t="n"/>
      <c r="B695" s="5" t="n"/>
      <c r="C695" s="4" t="n"/>
      <c r="D695" s="5" t="n"/>
      <c r="E695" s="5" t="n"/>
      <c r="F695" s="5" t="n"/>
      <c r="G695" s="5" t="n"/>
      <c r="H695" s="5" t="n"/>
    </row>
    <row r="696" hidden="1" s="38">
      <c r="A696" s="25" t="n"/>
      <c r="B696" s="5" t="n"/>
      <c r="C696" s="4" t="n"/>
      <c r="D696" s="5" t="n"/>
      <c r="E696" s="5" t="n"/>
      <c r="F696" s="5" t="n"/>
      <c r="G696" s="5" t="n"/>
      <c r="H696" s="5" t="n"/>
    </row>
    <row r="697" hidden="1" s="38">
      <c r="A697" s="25" t="n"/>
      <c r="B697" s="5" t="n"/>
      <c r="C697" s="4" t="n"/>
      <c r="D697" s="5" t="n"/>
      <c r="E697" s="5" t="n"/>
      <c r="F697" s="5" t="n"/>
      <c r="G697" s="5" t="n"/>
      <c r="H697" s="5" t="n"/>
    </row>
    <row r="698" hidden="1" s="38">
      <c r="A698" s="25" t="n"/>
      <c r="B698" s="5" t="n"/>
      <c r="C698" s="4" t="n"/>
      <c r="D698" s="5" t="n"/>
      <c r="E698" s="5" t="n"/>
      <c r="F698" s="5" t="n"/>
      <c r="G698" s="5" t="n"/>
      <c r="H698" s="5" t="n"/>
    </row>
    <row r="699" hidden="1" s="38">
      <c r="A699" s="25" t="n"/>
      <c r="B699" s="5" t="n"/>
      <c r="C699" s="4" t="n"/>
      <c r="D699" s="5" t="n"/>
      <c r="E699" s="5" t="n"/>
      <c r="F699" s="5" t="n"/>
      <c r="G699" s="5" t="n"/>
      <c r="H699" s="5" t="n"/>
    </row>
    <row r="700" hidden="1" s="38">
      <c r="A700" s="25" t="n"/>
      <c r="B700" s="5" t="n"/>
      <c r="C700" s="4" t="n"/>
      <c r="D700" s="5" t="n"/>
      <c r="E700" s="5" t="n"/>
      <c r="F700" s="5" t="n"/>
      <c r="G700" s="5" t="n"/>
      <c r="H700" s="5" t="n"/>
    </row>
    <row r="701" hidden="1" s="38">
      <c r="A701" s="25" t="n"/>
      <c r="B701" s="5" t="n"/>
      <c r="C701" s="4" t="n"/>
      <c r="D701" s="5" t="n"/>
      <c r="E701" s="5" t="n"/>
      <c r="F701" s="5" t="n"/>
      <c r="G701" s="5" t="n"/>
      <c r="H701" s="5" t="n"/>
    </row>
    <row r="702" hidden="1" s="38">
      <c r="A702" s="25" t="n"/>
      <c r="B702" s="5" t="n"/>
      <c r="C702" s="4" t="n"/>
      <c r="D702" s="5" t="n"/>
      <c r="E702" s="5" t="n"/>
      <c r="F702" s="5" t="n"/>
      <c r="G702" s="5" t="n"/>
      <c r="H702" s="5" t="n"/>
    </row>
    <row r="703" hidden="1" s="38">
      <c r="A703" s="25" t="n"/>
      <c r="B703" s="5" t="n"/>
      <c r="C703" s="4" t="n"/>
      <c r="D703" s="5" t="n"/>
      <c r="E703" s="5" t="n"/>
      <c r="F703" s="5" t="n"/>
      <c r="G703" s="5" t="n"/>
      <c r="H703" s="5" t="n"/>
    </row>
    <row r="704" hidden="1" s="38">
      <c r="A704" s="25" t="n"/>
      <c r="B704" s="5" t="n"/>
      <c r="C704" s="4" t="n"/>
      <c r="D704" s="5" t="n"/>
      <c r="E704" s="5" t="n"/>
      <c r="F704" s="5" t="n"/>
      <c r="G704" s="5" t="n"/>
      <c r="H704" s="5" t="n"/>
    </row>
    <row r="705" hidden="1" s="38">
      <c r="A705" s="25" t="n"/>
      <c r="B705" s="5" t="n"/>
      <c r="C705" s="4" t="n"/>
      <c r="D705" s="5" t="n"/>
      <c r="E705" s="5" t="n"/>
      <c r="F705" s="5" t="n"/>
      <c r="G705" s="5" t="n"/>
      <c r="H705" s="5" t="n"/>
    </row>
    <row r="706" hidden="1" s="38">
      <c r="A706" s="25" t="n"/>
      <c r="B706" s="5" t="n"/>
      <c r="C706" s="4" t="n"/>
      <c r="D706" s="5" t="n"/>
      <c r="E706" s="5" t="n"/>
      <c r="F706" s="5" t="n"/>
      <c r="G706" s="5" t="n"/>
      <c r="H706" s="5" t="n"/>
    </row>
    <row r="707" hidden="1" s="38">
      <c r="A707" s="25" t="n"/>
      <c r="B707" s="5" t="n"/>
      <c r="C707" s="4" t="n"/>
      <c r="D707" s="5" t="n"/>
      <c r="E707" s="5" t="n"/>
      <c r="F707" s="5" t="n"/>
      <c r="G707" s="5" t="n"/>
      <c r="H707" s="5" t="n"/>
    </row>
    <row r="708" hidden="1" s="38">
      <c r="A708" s="25" t="n"/>
      <c r="B708" s="5" t="n"/>
      <c r="C708" s="4" t="n"/>
      <c r="D708" s="5" t="n"/>
      <c r="E708" s="5" t="n"/>
      <c r="F708" s="5" t="n"/>
      <c r="G708" s="5" t="n"/>
      <c r="H708" s="5" t="n"/>
    </row>
    <row r="709" hidden="1" s="38">
      <c r="A709" s="25" t="n"/>
      <c r="B709" s="5" t="n"/>
      <c r="C709" s="4" t="n"/>
      <c r="D709" s="5" t="n"/>
      <c r="E709" s="5" t="n"/>
      <c r="F709" s="5" t="n"/>
      <c r="G709" s="5" t="n"/>
      <c r="H709" s="5" t="n"/>
    </row>
    <row r="710" hidden="1" s="38">
      <c r="A710" s="25" t="n"/>
      <c r="B710" s="5" t="n"/>
      <c r="C710" s="4" t="n"/>
      <c r="D710" s="5" t="n"/>
      <c r="E710" s="5" t="n"/>
      <c r="F710" s="5" t="n"/>
      <c r="G710" s="5" t="n"/>
      <c r="H710" s="5" t="n"/>
    </row>
    <row r="711" hidden="1" s="38">
      <c r="A711" s="25" t="n"/>
      <c r="B711" s="5" t="n"/>
      <c r="C711" s="4" t="n"/>
      <c r="D711" s="5" t="n"/>
      <c r="E711" s="5" t="n"/>
      <c r="F711" s="5" t="n"/>
      <c r="G711" s="5" t="n"/>
      <c r="H711" s="5" t="n"/>
    </row>
    <row r="712" hidden="1" s="38">
      <c r="A712" s="25" t="n"/>
      <c r="B712" s="5" t="n"/>
      <c r="C712" s="4" t="n"/>
      <c r="D712" s="5" t="n"/>
      <c r="E712" s="5" t="n"/>
      <c r="F712" s="5" t="n"/>
      <c r="G712" s="5" t="n"/>
      <c r="H712" s="5" t="n"/>
    </row>
    <row r="713" hidden="1" s="38">
      <c r="A713" s="25" t="n"/>
      <c r="B713" s="5" t="n"/>
      <c r="C713" s="4" t="n"/>
      <c r="D713" s="5" t="n"/>
      <c r="E713" s="5" t="n"/>
      <c r="F713" s="5" t="n"/>
      <c r="G713" s="5" t="n"/>
      <c r="H713" s="5" t="n"/>
    </row>
    <row r="714" hidden="1" s="38">
      <c r="A714" s="25" t="n"/>
      <c r="B714" s="5" t="n"/>
      <c r="C714" s="4" t="n"/>
      <c r="D714" s="5" t="n"/>
      <c r="E714" s="5" t="n"/>
      <c r="F714" s="5" t="n"/>
      <c r="G714" s="5" t="n"/>
      <c r="H714" s="5" t="n"/>
    </row>
    <row r="715" hidden="1" s="38">
      <c r="A715" s="25" t="n"/>
      <c r="B715" s="5" t="n"/>
      <c r="C715" s="4" t="n"/>
      <c r="D715" s="5" t="n"/>
      <c r="E715" s="5" t="n"/>
      <c r="F715" s="5" t="n"/>
      <c r="G715" s="5" t="n"/>
      <c r="H715" s="5" t="n"/>
    </row>
    <row r="716" hidden="1" s="38">
      <c r="A716" s="25" t="n"/>
      <c r="B716" s="5" t="n"/>
      <c r="C716" s="4" t="n"/>
      <c r="D716" s="5" t="n"/>
      <c r="E716" s="5" t="n"/>
      <c r="F716" s="5" t="n"/>
      <c r="G716" s="5" t="n"/>
      <c r="H716" s="5" t="n"/>
    </row>
    <row r="717" hidden="1" s="38">
      <c r="A717" s="25" t="n"/>
      <c r="B717" s="5" t="n"/>
      <c r="C717" s="4" t="n"/>
      <c r="D717" s="5" t="n"/>
      <c r="E717" s="5" t="n"/>
      <c r="F717" s="5" t="n"/>
      <c r="G717" s="5" t="n"/>
      <c r="H717" s="5" t="n"/>
    </row>
    <row r="718" hidden="1" s="38">
      <c r="A718" s="25" t="n"/>
      <c r="B718" s="5" t="n"/>
      <c r="C718" s="4" t="n"/>
      <c r="D718" s="5" t="n"/>
      <c r="E718" s="5" t="n"/>
      <c r="F718" s="5" t="n"/>
      <c r="G718" s="5" t="n"/>
      <c r="H718" s="5" t="n"/>
    </row>
    <row r="719" hidden="1" s="38">
      <c r="A719" s="25" t="n"/>
      <c r="B719" s="5" t="n"/>
      <c r="C719" s="4" t="n"/>
      <c r="D719" s="5" t="n"/>
      <c r="E719" s="5" t="n"/>
      <c r="F719" s="5" t="n"/>
      <c r="G719" s="5" t="n"/>
      <c r="H719" s="5" t="n"/>
    </row>
    <row r="720" hidden="1" s="38">
      <c r="A720" s="25" t="n"/>
      <c r="B720" s="5" t="n"/>
      <c r="C720" s="4" t="n"/>
      <c r="D720" s="5" t="n"/>
      <c r="E720" s="5" t="n"/>
      <c r="F720" s="5" t="n"/>
      <c r="G720" s="5" t="n"/>
      <c r="H720" s="5" t="n"/>
    </row>
    <row r="721" hidden="1" s="38">
      <c r="A721" s="25" t="n"/>
      <c r="B721" s="5" t="n"/>
      <c r="C721" s="4" t="n"/>
      <c r="D721" s="5" t="n"/>
      <c r="E721" s="5" t="n"/>
      <c r="F721" s="5" t="n"/>
      <c r="G721" s="5" t="n"/>
      <c r="H721" s="5" t="n"/>
    </row>
    <row r="722" hidden="1" s="38">
      <c r="A722" s="25" t="n"/>
      <c r="B722" s="5" t="n"/>
      <c r="C722" s="4" t="n"/>
      <c r="D722" s="5" t="n"/>
      <c r="E722" s="5" t="n"/>
      <c r="F722" s="5" t="n"/>
      <c r="G722" s="5" t="n"/>
      <c r="H722" s="5" t="n"/>
    </row>
    <row r="723" hidden="1" s="38">
      <c r="A723" s="25" t="n"/>
      <c r="B723" s="5" t="n"/>
      <c r="C723" s="4" t="n"/>
      <c r="D723" s="5" t="n"/>
      <c r="E723" s="5" t="n"/>
      <c r="F723" s="5" t="n"/>
      <c r="G723" s="5" t="n"/>
      <c r="H723" s="5" t="n"/>
    </row>
    <row r="724" hidden="1" s="38">
      <c r="A724" s="25" t="n"/>
      <c r="B724" s="5" t="n"/>
      <c r="C724" s="4" t="n"/>
      <c r="D724" s="5" t="n"/>
      <c r="E724" s="5" t="n"/>
      <c r="F724" s="5" t="n"/>
      <c r="G724" s="5" t="n"/>
      <c r="H724" s="5" t="n"/>
    </row>
    <row r="725" hidden="1" s="38">
      <c r="A725" s="25" t="n"/>
      <c r="B725" s="5" t="n"/>
      <c r="C725" s="4" t="n"/>
      <c r="D725" s="5" t="n"/>
      <c r="E725" s="5" t="n"/>
      <c r="F725" s="5" t="n"/>
      <c r="G725" s="5" t="n"/>
      <c r="H725" s="5" t="n"/>
    </row>
    <row r="726" hidden="1" s="38">
      <c r="A726" s="25" t="n"/>
      <c r="B726" s="5" t="n"/>
      <c r="C726" s="4" t="n"/>
      <c r="D726" s="5" t="n"/>
      <c r="E726" s="5" t="n"/>
      <c r="F726" s="5" t="n"/>
      <c r="G726" s="5" t="n"/>
      <c r="H726" s="5" t="n"/>
    </row>
    <row r="727" hidden="1" s="38">
      <c r="A727" s="25" t="n"/>
      <c r="B727" s="5" t="n"/>
      <c r="C727" s="4" t="n"/>
      <c r="D727" s="5" t="n"/>
      <c r="E727" s="5" t="n"/>
      <c r="F727" s="5" t="n"/>
      <c r="G727" s="5" t="n"/>
      <c r="H727" s="5" t="n"/>
    </row>
    <row r="728" hidden="1" s="38">
      <c r="A728" s="25" t="n"/>
      <c r="B728" s="5" t="n"/>
      <c r="C728" s="4" t="n"/>
      <c r="D728" s="5" t="n"/>
      <c r="E728" s="5" t="n"/>
      <c r="F728" s="5" t="n"/>
      <c r="G728" s="5" t="n"/>
      <c r="H728" s="5" t="n"/>
    </row>
    <row r="729" hidden="1" s="38">
      <c r="A729" s="25" t="n"/>
      <c r="B729" s="5" t="n"/>
      <c r="C729" s="4" t="n"/>
      <c r="D729" s="5" t="n"/>
      <c r="E729" s="5" t="n"/>
      <c r="F729" s="5" t="n"/>
      <c r="G729" s="5" t="n"/>
      <c r="H729" s="5" t="n"/>
    </row>
    <row r="730" hidden="1" s="38">
      <c r="A730" s="25" t="n"/>
      <c r="B730" s="5" t="n"/>
      <c r="C730" s="4" t="n"/>
      <c r="D730" s="5" t="n"/>
      <c r="E730" s="5" t="n"/>
      <c r="F730" s="5" t="n"/>
      <c r="G730" s="5" t="n"/>
      <c r="H730" s="5" t="n"/>
    </row>
    <row r="731" hidden="1" s="38">
      <c r="A731" s="25" t="n"/>
      <c r="B731" s="5" t="n"/>
      <c r="C731" s="4" t="n"/>
      <c r="D731" s="5" t="n"/>
      <c r="E731" s="5" t="n"/>
      <c r="F731" s="5" t="n"/>
      <c r="G731" s="5" t="n"/>
      <c r="H731" s="5" t="n"/>
    </row>
    <row r="732" hidden="1" s="38">
      <c r="A732" s="25" t="n"/>
      <c r="B732" s="5" t="n"/>
      <c r="C732" s="4" t="n"/>
      <c r="D732" s="5" t="n"/>
      <c r="E732" s="5" t="n"/>
      <c r="F732" s="5" t="n"/>
      <c r="G732" s="5" t="n"/>
      <c r="H732" s="5" t="n"/>
    </row>
    <row r="733" hidden="1" s="38">
      <c r="A733" s="25" t="n"/>
      <c r="B733" s="5" t="n"/>
      <c r="C733" s="4" t="n"/>
      <c r="D733" s="5" t="n"/>
      <c r="E733" s="5" t="n"/>
      <c r="F733" s="5" t="n"/>
      <c r="G733" s="5" t="n"/>
      <c r="H733" s="5" t="n"/>
    </row>
    <row r="734" hidden="1" s="38">
      <c r="A734" s="25" t="n"/>
      <c r="B734" s="5" t="n"/>
      <c r="C734" s="4" t="n"/>
      <c r="D734" s="5" t="n"/>
      <c r="E734" s="5" t="n"/>
      <c r="F734" s="5" t="n"/>
      <c r="G734" s="5" t="n"/>
      <c r="H734" s="5" t="n"/>
    </row>
    <row r="735" hidden="1" s="38">
      <c r="A735" s="25" t="n"/>
      <c r="B735" s="5" t="n"/>
      <c r="C735" s="4" t="n"/>
      <c r="D735" s="5" t="n"/>
      <c r="E735" s="5" t="n"/>
      <c r="F735" s="5" t="n"/>
      <c r="G735" s="5" t="n"/>
      <c r="H735" s="5" t="n"/>
    </row>
    <row r="736" hidden="1" s="38">
      <c r="A736" s="25" t="n"/>
      <c r="B736" s="5" t="n"/>
      <c r="C736" s="4" t="n"/>
      <c r="D736" s="5" t="n"/>
      <c r="E736" s="5" t="n"/>
      <c r="F736" s="5" t="n"/>
      <c r="G736" s="5" t="n"/>
      <c r="H736" s="5" t="n"/>
    </row>
    <row r="737" hidden="1" s="38">
      <c r="A737" s="25" t="n"/>
      <c r="B737" s="5" t="n"/>
      <c r="C737" s="4" t="n"/>
      <c r="D737" s="5" t="n"/>
      <c r="E737" s="5" t="n"/>
      <c r="F737" s="5" t="n"/>
      <c r="G737" s="5" t="n"/>
      <c r="H737" s="5" t="n"/>
    </row>
    <row r="738" hidden="1" s="38">
      <c r="A738" s="25" t="n"/>
      <c r="B738" s="5" t="n"/>
      <c r="C738" s="4" t="n"/>
      <c r="D738" s="5" t="n"/>
      <c r="E738" s="5" t="n"/>
      <c r="F738" s="5" t="n"/>
      <c r="G738" s="5" t="n"/>
      <c r="H738" s="5" t="n"/>
    </row>
    <row r="739" hidden="1" s="38">
      <c r="A739" s="25" t="n"/>
      <c r="B739" s="5" t="n"/>
      <c r="C739" s="4" t="n"/>
      <c r="D739" s="5" t="n"/>
      <c r="E739" s="5" t="n"/>
      <c r="F739" s="5" t="n"/>
      <c r="G739" s="5" t="n"/>
      <c r="H739" s="5" t="n"/>
    </row>
    <row r="740" hidden="1" s="38">
      <c r="A740" s="25" t="n"/>
      <c r="B740" s="5" t="n"/>
      <c r="C740" s="4" t="n"/>
      <c r="D740" s="5" t="n"/>
      <c r="E740" s="5" t="n"/>
      <c r="F740" s="5" t="n"/>
      <c r="G740" s="5" t="n"/>
      <c r="H740" s="5" t="n"/>
    </row>
    <row r="741" hidden="1" s="38">
      <c r="A741" s="25" t="n"/>
      <c r="B741" s="5" t="n"/>
      <c r="C741" s="4" t="n"/>
      <c r="D741" s="5" t="n"/>
      <c r="E741" s="5" t="n"/>
      <c r="F741" s="5" t="n"/>
      <c r="G741" s="5" t="n"/>
      <c r="H741" s="5" t="n"/>
    </row>
    <row r="742" hidden="1" s="38">
      <c r="A742" s="25" t="n"/>
      <c r="B742" s="5" t="n"/>
      <c r="C742" s="4" t="n"/>
      <c r="D742" s="5" t="n"/>
      <c r="E742" s="5" t="n"/>
      <c r="F742" s="5" t="n"/>
      <c r="G742" s="5" t="n"/>
      <c r="H742" s="5" t="n"/>
    </row>
    <row r="743" hidden="1" s="38">
      <c r="A743" s="25" t="n"/>
      <c r="B743" s="5" t="n"/>
      <c r="C743" s="4" t="n"/>
      <c r="D743" s="5" t="n"/>
      <c r="E743" s="5" t="n"/>
      <c r="F743" s="5" t="n"/>
      <c r="G743" s="5" t="n"/>
      <c r="H743" s="5" t="n"/>
    </row>
    <row r="744" hidden="1" s="38">
      <c r="A744" s="25" t="n"/>
      <c r="B744" s="5" t="n"/>
      <c r="C744" s="4" t="n"/>
      <c r="D744" s="5" t="n"/>
      <c r="E744" s="5" t="n"/>
      <c r="F744" s="5" t="n"/>
      <c r="G744" s="5" t="n"/>
      <c r="H744" s="5" t="n"/>
    </row>
    <row r="745" hidden="1" s="38">
      <c r="A745" s="25" t="n"/>
      <c r="B745" s="5" t="n"/>
      <c r="C745" s="4" t="n"/>
      <c r="D745" s="5" t="n"/>
      <c r="E745" s="5" t="n"/>
      <c r="F745" s="5" t="n"/>
      <c r="G745" s="5" t="n"/>
      <c r="H745" s="5" t="n"/>
    </row>
    <row r="746" hidden="1" s="38">
      <c r="A746" s="25" t="n"/>
      <c r="B746" s="5" t="n"/>
      <c r="C746" s="4" t="n"/>
      <c r="D746" s="5" t="n"/>
      <c r="E746" s="5" t="n"/>
      <c r="F746" s="5" t="n"/>
      <c r="G746" s="5" t="n"/>
      <c r="H746" s="5" t="n"/>
    </row>
    <row r="747" hidden="1" s="38">
      <c r="A747" s="25" t="n"/>
      <c r="B747" s="5" t="n"/>
      <c r="C747" s="4" t="n"/>
      <c r="D747" s="5" t="n"/>
      <c r="E747" s="5" t="n"/>
      <c r="F747" s="5" t="n"/>
      <c r="G747" s="5" t="n"/>
      <c r="H747" s="5" t="n"/>
    </row>
    <row r="748" hidden="1" s="38">
      <c r="A748" s="25" t="n"/>
      <c r="B748" s="5" t="n"/>
      <c r="C748" s="4" t="n"/>
      <c r="D748" s="5" t="n"/>
      <c r="E748" s="5" t="n"/>
      <c r="F748" s="5" t="n"/>
      <c r="G748" s="5" t="n"/>
      <c r="H748" s="5" t="n"/>
    </row>
    <row r="749" hidden="1" s="38">
      <c r="A749" s="25" t="n"/>
      <c r="B749" s="5" t="n"/>
      <c r="C749" s="4" t="n"/>
      <c r="D749" s="5" t="n"/>
      <c r="E749" s="5" t="n"/>
      <c r="F749" s="5" t="n"/>
      <c r="G749" s="5" t="n"/>
      <c r="H749" s="5" t="n"/>
    </row>
    <row r="750" hidden="1" s="38">
      <c r="A750" s="25" t="n"/>
      <c r="B750" s="5" t="n"/>
      <c r="C750" s="4" t="n"/>
      <c r="D750" s="5" t="n"/>
      <c r="E750" s="5" t="n"/>
      <c r="F750" s="5" t="n"/>
      <c r="G750" s="5" t="n"/>
      <c r="H750" s="5" t="n"/>
    </row>
    <row r="751" hidden="1" s="38">
      <c r="A751" s="25" t="n"/>
      <c r="B751" s="5" t="n"/>
      <c r="C751" s="4" t="n"/>
      <c r="D751" s="5" t="n"/>
      <c r="E751" s="5" t="n"/>
      <c r="F751" s="5" t="n"/>
      <c r="G751" s="5" t="n"/>
      <c r="H751" s="5" t="n"/>
    </row>
    <row r="752" hidden="1" s="38">
      <c r="A752" s="25" t="n"/>
      <c r="B752" s="5" t="n"/>
      <c r="C752" s="4" t="n"/>
      <c r="D752" s="5" t="n"/>
      <c r="E752" s="5" t="n"/>
      <c r="F752" s="5" t="n"/>
      <c r="G752" s="5" t="n"/>
      <c r="H752" s="5" t="n"/>
    </row>
    <row r="753" hidden="1" s="38">
      <c r="A753" s="25" t="n"/>
      <c r="B753" s="5" t="n"/>
      <c r="C753" s="4" t="n"/>
      <c r="D753" s="5" t="n"/>
      <c r="E753" s="5" t="n"/>
      <c r="F753" s="5" t="n"/>
      <c r="G753" s="5" t="n"/>
      <c r="H753" s="5" t="n"/>
    </row>
    <row r="754" hidden="1" s="38">
      <c r="A754" s="25" t="n"/>
      <c r="B754" s="5" t="n"/>
      <c r="C754" s="4" t="n"/>
      <c r="D754" s="5" t="n"/>
      <c r="E754" s="5" t="n"/>
      <c r="F754" s="5" t="n"/>
      <c r="G754" s="5" t="n"/>
      <c r="H754" s="5" t="n"/>
    </row>
    <row r="755" hidden="1" s="38">
      <c r="A755" s="25" t="n"/>
      <c r="B755" s="5" t="n"/>
      <c r="C755" s="4" t="n"/>
      <c r="D755" s="5" t="n"/>
      <c r="E755" s="5" t="n"/>
      <c r="F755" s="5" t="n"/>
      <c r="G755" s="5" t="n"/>
      <c r="H755" s="5" t="n"/>
    </row>
    <row r="756" hidden="1" s="38">
      <c r="A756" s="25" t="n"/>
      <c r="B756" s="5" t="n"/>
      <c r="C756" s="4" t="n"/>
      <c r="D756" s="5" t="n"/>
      <c r="E756" s="5" t="n"/>
      <c r="F756" s="5" t="n"/>
      <c r="G756" s="5" t="n"/>
      <c r="H756" s="5" t="n"/>
    </row>
    <row r="757" hidden="1" s="38">
      <c r="A757" s="25" t="n"/>
      <c r="B757" s="5" t="n"/>
      <c r="C757" s="4" t="n"/>
      <c r="D757" s="5" t="n"/>
      <c r="E757" s="5" t="n"/>
      <c r="F757" s="5" t="n"/>
      <c r="G757" s="5" t="n"/>
      <c r="H757" s="5" t="n"/>
    </row>
    <row r="758" hidden="1" s="38">
      <c r="A758" s="25" t="n"/>
      <c r="B758" s="5" t="n"/>
      <c r="C758" s="4" t="n"/>
      <c r="D758" s="5" t="n"/>
      <c r="E758" s="5" t="n"/>
      <c r="F758" s="5" t="n"/>
      <c r="G758" s="5" t="n"/>
      <c r="H758" s="5" t="n"/>
    </row>
    <row r="759" hidden="1" s="38">
      <c r="A759" s="25" t="n"/>
      <c r="B759" s="5" t="n"/>
      <c r="C759" s="4" t="n"/>
      <c r="D759" s="5" t="n"/>
      <c r="E759" s="5" t="n"/>
      <c r="F759" s="5" t="n"/>
      <c r="G759" s="5" t="n"/>
      <c r="H759" s="5" t="n"/>
    </row>
    <row r="760" hidden="1" s="38">
      <c r="A760" s="25" t="n"/>
      <c r="B760" s="5" t="n"/>
      <c r="C760" s="4" t="n"/>
      <c r="D760" s="5" t="n"/>
      <c r="E760" s="5" t="n"/>
      <c r="F760" s="5" t="n"/>
      <c r="G760" s="5" t="n"/>
      <c r="H760" s="5" t="n"/>
    </row>
    <row r="761" hidden="1" s="38">
      <c r="A761" s="25" t="n"/>
      <c r="B761" s="5" t="n"/>
      <c r="C761" s="4" t="n"/>
      <c r="D761" s="5" t="n"/>
      <c r="E761" s="5" t="n"/>
      <c r="F761" s="5" t="n"/>
      <c r="G761" s="5" t="n"/>
      <c r="H761" s="5" t="n"/>
    </row>
    <row r="762" hidden="1" s="38">
      <c r="A762" s="25" t="n"/>
      <c r="B762" s="5" t="n"/>
      <c r="C762" s="4" t="n"/>
      <c r="D762" s="5" t="n"/>
      <c r="E762" s="5" t="n"/>
      <c r="F762" s="5" t="n"/>
      <c r="G762" s="5" t="n"/>
      <c r="H762" s="5" t="n"/>
    </row>
    <row r="763" hidden="1" s="38">
      <c r="A763" s="25" t="n"/>
      <c r="B763" s="5" t="n"/>
      <c r="C763" s="4" t="n"/>
      <c r="D763" s="5" t="n"/>
      <c r="E763" s="5" t="n"/>
      <c r="F763" s="5" t="n"/>
      <c r="G763" s="5" t="n"/>
      <c r="H763" s="5" t="n"/>
    </row>
    <row r="764" hidden="1" s="38">
      <c r="A764" s="25" t="n"/>
      <c r="B764" s="5" t="n"/>
      <c r="C764" s="4" t="n"/>
      <c r="D764" s="5" t="n"/>
      <c r="E764" s="5" t="n"/>
      <c r="F764" s="5" t="n"/>
      <c r="G764" s="5" t="n"/>
      <c r="H764" s="5" t="n"/>
    </row>
    <row r="765" hidden="1" s="38">
      <c r="A765" s="25" t="n"/>
      <c r="B765" s="5" t="n"/>
      <c r="C765" s="4" t="n"/>
      <c r="D765" s="5" t="n"/>
      <c r="E765" s="5" t="n"/>
      <c r="F765" s="5" t="n"/>
      <c r="G765" s="5" t="n"/>
      <c r="H765" s="5" t="n"/>
    </row>
    <row r="766" hidden="1" s="38">
      <c r="A766" s="25" t="n"/>
      <c r="B766" s="5" t="n"/>
      <c r="C766" s="4" t="n"/>
      <c r="D766" s="5" t="n"/>
      <c r="E766" s="5" t="n"/>
      <c r="F766" s="5" t="n"/>
      <c r="G766" s="5" t="n"/>
      <c r="H766" s="5" t="n"/>
    </row>
    <row r="767" hidden="1" s="38">
      <c r="A767" s="25" t="n"/>
      <c r="B767" s="5" t="n"/>
      <c r="C767" s="4" t="n"/>
      <c r="D767" s="5" t="n"/>
      <c r="E767" s="5" t="n"/>
      <c r="F767" s="5" t="n"/>
      <c r="G767" s="5" t="n"/>
      <c r="H767" s="5" t="n"/>
    </row>
    <row r="768" hidden="1" s="38">
      <c r="A768" s="25" t="n"/>
      <c r="B768" s="5" t="n"/>
      <c r="C768" s="4" t="n"/>
      <c r="D768" s="5" t="n"/>
      <c r="E768" s="5" t="n"/>
      <c r="F768" s="5" t="n"/>
      <c r="G768" s="5" t="n"/>
      <c r="H768" s="5" t="n"/>
    </row>
    <row r="769" hidden="1" s="38">
      <c r="A769" s="25" t="n"/>
      <c r="B769" s="5" t="n"/>
      <c r="C769" s="4" t="n"/>
      <c r="D769" s="5" t="n"/>
      <c r="E769" s="5" t="n"/>
      <c r="F769" s="5" t="n"/>
      <c r="G769" s="5" t="n"/>
      <c r="H769" s="5" t="n"/>
    </row>
    <row r="770" hidden="1" s="38">
      <c r="A770" s="25" t="n"/>
      <c r="B770" s="5" t="n"/>
      <c r="C770" s="4" t="n"/>
      <c r="D770" s="5" t="n"/>
      <c r="E770" s="5" t="n"/>
      <c r="F770" s="5" t="n"/>
      <c r="G770" s="5" t="n"/>
      <c r="H770" s="5" t="n"/>
    </row>
    <row r="771" hidden="1" s="38">
      <c r="A771" s="25" t="n"/>
      <c r="B771" s="5" t="n"/>
      <c r="C771" s="4" t="n"/>
      <c r="D771" s="5" t="n"/>
      <c r="E771" s="5" t="n"/>
      <c r="F771" s="5" t="n"/>
      <c r="G771" s="5" t="n"/>
      <c r="H771" s="5" t="n"/>
    </row>
    <row r="772" hidden="1" s="38">
      <c r="A772" s="25" t="n"/>
      <c r="B772" s="5" t="n"/>
      <c r="C772" s="4" t="n"/>
      <c r="D772" s="5" t="n"/>
      <c r="E772" s="5" t="n"/>
      <c r="F772" s="5" t="n"/>
      <c r="G772" s="5" t="n"/>
      <c r="H772" s="5" t="n"/>
    </row>
    <row r="773" hidden="1" s="38">
      <c r="A773" s="25" t="n"/>
      <c r="B773" s="5" t="n"/>
      <c r="C773" s="4" t="n"/>
      <c r="D773" s="5" t="n"/>
      <c r="E773" s="5" t="n"/>
      <c r="F773" s="5" t="n"/>
      <c r="G773" s="5" t="n"/>
      <c r="H773" s="5" t="n"/>
    </row>
    <row r="774" hidden="1" s="38">
      <c r="A774" s="25" t="n"/>
      <c r="B774" s="5" t="n"/>
      <c r="C774" s="4" t="n"/>
      <c r="D774" s="5" t="n"/>
      <c r="E774" s="5" t="n"/>
      <c r="F774" s="5" t="n"/>
      <c r="G774" s="5" t="n"/>
      <c r="H774" s="5" t="n"/>
    </row>
    <row r="775" hidden="1" s="38">
      <c r="A775" s="25" t="n"/>
      <c r="B775" s="5" t="n"/>
      <c r="C775" s="4" t="n"/>
      <c r="D775" s="5" t="n"/>
      <c r="E775" s="5" t="n"/>
      <c r="F775" s="5" t="n"/>
      <c r="G775" s="5" t="n"/>
      <c r="H775" s="5" t="n"/>
    </row>
    <row r="776" hidden="1" s="38">
      <c r="A776" s="25" t="n"/>
      <c r="B776" s="5" t="n"/>
      <c r="C776" s="4" t="n"/>
      <c r="D776" s="5" t="n"/>
      <c r="E776" s="5" t="n"/>
      <c r="F776" s="5" t="n"/>
      <c r="G776" s="5" t="n"/>
      <c r="H776" s="5" t="n"/>
    </row>
    <row r="777" hidden="1" s="38">
      <c r="A777" s="25" t="n"/>
      <c r="B777" s="5" t="n"/>
      <c r="C777" s="4" t="n"/>
      <c r="D777" s="5" t="n"/>
      <c r="E777" s="5" t="n"/>
      <c r="F777" s="5" t="n"/>
      <c r="G777" s="5" t="n"/>
      <c r="H777" s="5" t="n"/>
    </row>
    <row r="778" hidden="1" s="38">
      <c r="A778" s="25" t="n"/>
      <c r="B778" s="5" t="n"/>
      <c r="C778" s="4" t="n"/>
      <c r="D778" s="5" t="n"/>
      <c r="E778" s="5" t="n"/>
      <c r="F778" s="5" t="n"/>
      <c r="G778" s="5" t="n"/>
      <c r="H778" s="5" t="n"/>
    </row>
    <row r="779" hidden="1" s="38">
      <c r="A779" s="25" t="n"/>
      <c r="B779" s="5" t="n"/>
      <c r="C779" s="4" t="n"/>
      <c r="D779" s="5" t="n"/>
      <c r="E779" s="5" t="n"/>
      <c r="F779" s="5" t="n"/>
      <c r="G779" s="5" t="n"/>
      <c r="H779" s="5" t="n"/>
    </row>
    <row r="780" hidden="1" s="38">
      <c r="A780" s="25" t="n"/>
      <c r="B780" s="5" t="n"/>
      <c r="C780" s="4" t="n"/>
      <c r="D780" s="5" t="n"/>
      <c r="E780" s="5" t="n"/>
      <c r="F780" s="5" t="n"/>
      <c r="G780" s="5" t="n"/>
      <c r="H780" s="5" t="n"/>
    </row>
    <row r="781" hidden="1" s="38">
      <c r="A781" s="25" t="n"/>
      <c r="B781" s="5" t="n"/>
      <c r="C781" s="4" t="n"/>
      <c r="D781" s="5" t="n"/>
      <c r="E781" s="5" t="n"/>
      <c r="F781" s="5" t="n"/>
      <c r="G781" s="5" t="n"/>
      <c r="H781" s="5" t="n"/>
    </row>
    <row r="782" hidden="1" s="38">
      <c r="A782" s="25" t="n"/>
      <c r="B782" s="5" t="n"/>
      <c r="C782" s="4" t="n"/>
      <c r="D782" s="5" t="n"/>
      <c r="E782" s="5" t="n"/>
      <c r="F782" s="5" t="n"/>
      <c r="G782" s="5" t="n"/>
      <c r="H782" s="5" t="n"/>
    </row>
    <row r="783" hidden="1" s="38">
      <c r="A783" s="25" t="n"/>
      <c r="B783" s="5" t="n"/>
      <c r="C783" s="4" t="n"/>
      <c r="D783" s="5" t="n"/>
      <c r="E783" s="5" t="n"/>
      <c r="F783" s="5" t="n"/>
      <c r="G783" s="5" t="n"/>
      <c r="H783" s="5" t="n"/>
    </row>
    <row r="784" hidden="1" s="38">
      <c r="A784" s="25" t="n"/>
      <c r="B784" s="5" t="n"/>
      <c r="C784" s="4" t="n"/>
      <c r="D784" s="5" t="n"/>
      <c r="E784" s="5" t="n"/>
      <c r="F784" s="5" t="n"/>
      <c r="G784" s="5" t="n"/>
      <c r="H784" s="5" t="n"/>
    </row>
    <row r="785" hidden="1" s="38">
      <c r="A785" s="25" t="n"/>
      <c r="B785" s="5" t="n"/>
      <c r="C785" s="4" t="n"/>
      <c r="D785" s="5" t="n"/>
      <c r="E785" s="5" t="n"/>
      <c r="F785" s="5" t="n"/>
      <c r="G785" s="5" t="n"/>
      <c r="H785" s="5" t="n"/>
    </row>
    <row r="786" hidden="1" s="38">
      <c r="A786" s="25" t="n"/>
      <c r="B786" s="5" t="n"/>
      <c r="C786" s="4" t="n"/>
      <c r="D786" s="5" t="n"/>
      <c r="E786" s="5" t="n"/>
      <c r="F786" s="5" t="n"/>
      <c r="G786" s="5" t="n"/>
      <c r="H786" s="5" t="n"/>
    </row>
    <row r="787" hidden="1" s="38">
      <c r="A787" s="25" t="n"/>
      <c r="B787" s="5" t="n"/>
      <c r="C787" s="4" t="n"/>
      <c r="D787" s="5" t="n"/>
      <c r="E787" s="5" t="n"/>
      <c r="F787" s="5" t="n"/>
      <c r="G787" s="5" t="n"/>
      <c r="H787" s="5" t="n"/>
    </row>
    <row r="788" hidden="1" s="38">
      <c r="A788" s="25" t="n"/>
      <c r="B788" s="5" t="n"/>
      <c r="C788" s="4" t="n"/>
      <c r="D788" s="5" t="n"/>
      <c r="E788" s="5" t="n"/>
      <c r="F788" s="5" t="n"/>
      <c r="G788" s="5" t="n"/>
      <c r="H788" s="5" t="n"/>
    </row>
    <row r="789" hidden="1" s="38">
      <c r="A789" s="25" t="n"/>
      <c r="B789" s="5" t="n"/>
      <c r="C789" s="4" t="n"/>
      <c r="D789" s="5" t="n"/>
      <c r="E789" s="5" t="n"/>
      <c r="F789" s="5" t="n"/>
      <c r="G789" s="5" t="n"/>
      <c r="H789" s="5" t="n"/>
    </row>
    <row r="790" hidden="1" s="38">
      <c r="A790" s="25" t="n"/>
      <c r="B790" s="5" t="n"/>
      <c r="C790" s="4" t="n"/>
      <c r="D790" s="5" t="n"/>
      <c r="E790" s="5" t="n"/>
      <c r="F790" s="5" t="n"/>
      <c r="G790" s="5" t="n"/>
      <c r="H790" s="5" t="n"/>
    </row>
    <row r="791" hidden="1" s="38">
      <c r="A791" s="25" t="n"/>
      <c r="B791" s="5" t="n"/>
      <c r="C791" s="4" t="n"/>
      <c r="D791" s="5" t="n"/>
      <c r="E791" s="5" t="n"/>
      <c r="F791" s="5" t="n"/>
      <c r="G791" s="5" t="n"/>
      <c r="H791" s="5" t="n"/>
    </row>
    <row r="792" hidden="1" s="38">
      <c r="A792" s="25" t="n"/>
      <c r="B792" s="5" t="n"/>
      <c r="C792" s="4" t="n"/>
      <c r="D792" s="5" t="n"/>
      <c r="E792" s="5" t="n"/>
      <c r="F792" s="5" t="n"/>
      <c r="G792" s="5" t="n"/>
      <c r="H792" s="5" t="n"/>
    </row>
    <row r="793" hidden="1" s="38">
      <c r="A793" s="25" t="n"/>
      <c r="B793" s="5" t="n"/>
      <c r="C793" s="4" t="n"/>
      <c r="D793" s="5" t="n"/>
      <c r="E793" s="5" t="n"/>
      <c r="F793" s="5" t="n"/>
      <c r="G793" s="5" t="n"/>
      <c r="H793" s="5" t="n"/>
    </row>
    <row r="794" hidden="1" s="38">
      <c r="A794" s="25" t="n"/>
      <c r="B794" s="5" t="n"/>
      <c r="C794" s="4" t="n"/>
      <c r="D794" s="5" t="n"/>
      <c r="E794" s="5" t="n"/>
      <c r="F794" s="5" t="n"/>
      <c r="G794" s="5" t="n"/>
      <c r="H794" s="5" t="n"/>
    </row>
    <row r="795" hidden="1" s="38">
      <c r="A795" s="25" t="n"/>
      <c r="B795" s="5" t="n"/>
      <c r="C795" s="4" t="n"/>
      <c r="D795" s="5" t="n"/>
      <c r="E795" s="5" t="n"/>
      <c r="F795" s="5" t="n"/>
      <c r="G795" s="5" t="n"/>
      <c r="H795" s="5" t="n"/>
    </row>
    <row r="796" hidden="1" s="38">
      <c r="A796" s="25" t="n"/>
      <c r="B796" s="5" t="n"/>
      <c r="C796" s="4" t="n"/>
      <c r="D796" s="5" t="n"/>
      <c r="E796" s="5" t="n"/>
      <c r="F796" s="5" t="n"/>
      <c r="G796" s="5" t="n"/>
      <c r="H796" s="5" t="n"/>
    </row>
    <row r="797" hidden="1" s="38">
      <c r="A797" s="25" t="n"/>
      <c r="B797" s="5" t="n"/>
      <c r="C797" s="4" t="n"/>
      <c r="D797" s="5" t="n"/>
      <c r="E797" s="5" t="n"/>
      <c r="F797" s="5" t="n"/>
      <c r="G797" s="5" t="n"/>
      <c r="H797" s="5" t="n"/>
    </row>
    <row r="798" hidden="1" s="38">
      <c r="A798" s="25" t="n"/>
      <c r="B798" s="5" t="n"/>
      <c r="C798" s="4" t="n"/>
      <c r="D798" s="5" t="n"/>
      <c r="E798" s="5" t="n"/>
      <c r="F798" s="5" t="n"/>
      <c r="G798" s="5" t="n"/>
      <c r="H798" s="5" t="n"/>
    </row>
    <row r="799" hidden="1" s="38">
      <c r="A799" s="25" t="n"/>
      <c r="B799" s="5" t="n"/>
      <c r="C799" s="4" t="n"/>
      <c r="D799" s="5" t="n"/>
      <c r="E799" s="5" t="n"/>
      <c r="F799" s="5" t="n"/>
      <c r="G799" s="5" t="n"/>
      <c r="H799" s="5" t="n"/>
    </row>
    <row r="800" hidden="1" s="38">
      <c r="A800" s="25" t="n"/>
      <c r="B800" s="5" t="n"/>
      <c r="C800" s="4" t="n"/>
      <c r="D800" s="5" t="n"/>
      <c r="E800" s="5" t="n"/>
      <c r="F800" s="5" t="n"/>
      <c r="G800" s="5" t="n"/>
      <c r="H800" s="5" t="n"/>
    </row>
    <row r="801" hidden="1" s="38">
      <c r="A801" s="25" t="n"/>
      <c r="B801" s="5" t="n"/>
      <c r="C801" s="4" t="n"/>
      <c r="D801" s="5" t="n"/>
      <c r="E801" s="5" t="n"/>
      <c r="F801" s="5" t="n"/>
      <c r="G801" s="5" t="n"/>
      <c r="H801" s="5" t="n"/>
    </row>
    <row r="802" hidden="1" s="38">
      <c r="A802" s="25" t="n"/>
      <c r="B802" s="5" t="n"/>
      <c r="C802" s="4" t="n"/>
      <c r="D802" s="5" t="n"/>
      <c r="E802" s="5" t="n"/>
      <c r="F802" s="5" t="n"/>
      <c r="G802" s="5" t="n"/>
      <c r="H802" s="5" t="n"/>
    </row>
    <row r="803" hidden="1" s="38">
      <c r="A803" s="25" t="n"/>
      <c r="B803" s="5" t="n"/>
      <c r="C803" s="4" t="n"/>
      <c r="D803" s="5" t="n"/>
      <c r="E803" s="5" t="n"/>
      <c r="F803" s="5" t="n"/>
      <c r="G803" s="5" t="n"/>
      <c r="H803" s="5" t="n"/>
    </row>
    <row r="804" hidden="1" s="38">
      <c r="A804" s="25" t="n"/>
      <c r="B804" s="5" t="n"/>
      <c r="C804" s="4" t="n"/>
      <c r="D804" s="5" t="n"/>
      <c r="E804" s="5" t="n"/>
      <c r="F804" s="5" t="n"/>
      <c r="G804" s="5" t="n"/>
      <c r="H804" s="5" t="n"/>
    </row>
    <row r="805" hidden="1" s="38">
      <c r="A805" s="25" t="n"/>
      <c r="B805" s="5" t="n"/>
      <c r="C805" s="4" t="n"/>
      <c r="D805" s="5" t="n"/>
      <c r="E805" s="5" t="n"/>
      <c r="F805" s="5" t="n"/>
      <c r="G805" s="5" t="n"/>
      <c r="H805" s="5" t="n"/>
    </row>
    <row r="806" hidden="1" s="38">
      <c r="A806" s="25" t="n"/>
      <c r="B806" s="5" t="n"/>
      <c r="C806" s="4" t="n"/>
      <c r="D806" s="5" t="n"/>
      <c r="E806" s="5" t="n"/>
      <c r="F806" s="5" t="n"/>
      <c r="G806" s="5" t="n"/>
      <c r="H806" s="5" t="n"/>
    </row>
    <row r="807" hidden="1" s="38">
      <c r="A807" s="25" t="n"/>
      <c r="B807" s="5" t="n"/>
      <c r="C807" s="4" t="n"/>
      <c r="D807" s="5" t="n"/>
      <c r="E807" s="5" t="n"/>
      <c r="F807" s="5" t="n"/>
      <c r="G807" s="5" t="n"/>
      <c r="H807" s="5" t="n"/>
    </row>
    <row r="808" hidden="1" s="38">
      <c r="A808" s="25" t="n"/>
      <c r="B808" s="5" t="n"/>
      <c r="C808" s="4" t="n"/>
      <c r="D808" s="5" t="n"/>
      <c r="E808" s="5" t="n"/>
      <c r="F808" s="5" t="n"/>
      <c r="G808" s="5" t="n"/>
      <c r="H808" s="5" t="n"/>
    </row>
    <row r="809" hidden="1" s="38">
      <c r="A809" s="25" t="n"/>
      <c r="B809" s="5" t="n"/>
      <c r="C809" s="4" t="n"/>
      <c r="D809" s="5" t="n"/>
      <c r="E809" s="5" t="n"/>
      <c r="F809" s="5" t="n"/>
      <c r="G809" s="5" t="n"/>
      <c r="H809" s="5" t="n"/>
    </row>
    <row r="810" hidden="1" s="38">
      <c r="A810" s="25" t="n"/>
      <c r="B810" s="5" t="n"/>
      <c r="C810" s="4" t="n"/>
      <c r="D810" s="5" t="n"/>
      <c r="E810" s="5" t="n"/>
      <c r="F810" s="5" t="n"/>
      <c r="G810" s="5" t="n"/>
      <c r="H810" s="5" t="n"/>
    </row>
    <row r="811" hidden="1" s="38">
      <c r="A811" s="25" t="n"/>
      <c r="B811" s="5" t="n"/>
      <c r="C811" s="4" t="n"/>
      <c r="D811" s="5" t="n"/>
      <c r="E811" s="5" t="n"/>
      <c r="F811" s="5" t="n"/>
      <c r="G811" s="5" t="n"/>
      <c r="H811" s="5" t="n"/>
    </row>
    <row r="812" hidden="1" s="38">
      <c r="A812" s="25" t="n"/>
      <c r="B812" s="5" t="n"/>
      <c r="C812" s="4" t="n"/>
      <c r="D812" s="5" t="n"/>
      <c r="E812" s="5" t="n"/>
      <c r="F812" s="5" t="n"/>
      <c r="G812" s="5" t="n"/>
      <c r="H812" s="5" t="n"/>
    </row>
    <row r="813" hidden="1" s="38">
      <c r="A813" s="25" t="n"/>
      <c r="B813" s="5" t="n"/>
      <c r="C813" s="4" t="n"/>
      <c r="D813" s="5" t="n"/>
      <c r="E813" s="5" t="n"/>
      <c r="F813" s="5" t="n"/>
      <c r="G813" s="5" t="n"/>
      <c r="H813" s="5" t="n"/>
    </row>
    <row r="814" hidden="1" s="38">
      <c r="A814" s="25" t="n"/>
      <c r="B814" s="5" t="n"/>
      <c r="C814" s="4" t="n"/>
      <c r="D814" s="5" t="n"/>
      <c r="E814" s="5" t="n"/>
      <c r="F814" s="5" t="n"/>
      <c r="G814" s="5" t="n"/>
      <c r="H814" s="5" t="n"/>
    </row>
    <row r="815" hidden="1" s="38">
      <c r="A815" s="25" t="n"/>
      <c r="B815" s="5" t="n"/>
      <c r="C815" s="4" t="n"/>
      <c r="D815" s="5" t="n"/>
      <c r="E815" s="5" t="n"/>
      <c r="F815" s="5" t="n"/>
      <c r="G815" s="5" t="n"/>
      <c r="H815" s="5" t="n"/>
    </row>
    <row r="816" hidden="1" s="38">
      <c r="A816" s="25" t="n"/>
      <c r="B816" s="5" t="n"/>
      <c r="C816" s="4" t="n"/>
      <c r="D816" s="5" t="n"/>
      <c r="E816" s="5" t="n"/>
      <c r="F816" s="5" t="n"/>
      <c r="G816" s="5" t="n"/>
      <c r="H816" s="5" t="n"/>
    </row>
    <row r="817" hidden="1" s="38">
      <c r="A817" s="25" t="n"/>
      <c r="B817" s="5" t="n"/>
      <c r="C817" s="4" t="n"/>
      <c r="D817" s="5" t="n"/>
      <c r="E817" s="5" t="n"/>
      <c r="F817" s="5" t="n"/>
      <c r="G817" s="5" t="n"/>
      <c r="H817" s="5" t="n"/>
    </row>
    <row r="818" hidden="1" s="38">
      <c r="A818" s="25" t="n"/>
      <c r="B818" s="5" t="n"/>
      <c r="C818" s="4" t="n"/>
      <c r="D818" s="5" t="n"/>
      <c r="E818" s="5" t="n"/>
      <c r="F818" s="5" t="n"/>
      <c r="G818" s="5" t="n"/>
      <c r="H818" s="5" t="n"/>
    </row>
    <row r="819" hidden="1" s="38">
      <c r="A819" s="25" t="n"/>
      <c r="B819" s="5" t="n"/>
      <c r="C819" s="4" t="n"/>
      <c r="D819" s="5" t="n"/>
      <c r="E819" s="5" t="n"/>
      <c r="F819" s="5" t="n"/>
      <c r="G819" s="5" t="n"/>
      <c r="H819" s="5" t="n"/>
    </row>
    <row r="820" hidden="1" s="38">
      <c r="A820" s="25" t="n"/>
      <c r="B820" s="5" t="n"/>
      <c r="C820" s="4" t="n"/>
      <c r="D820" s="5" t="n"/>
      <c r="E820" s="5" t="n"/>
      <c r="F820" s="5" t="n"/>
      <c r="G820" s="5" t="n"/>
      <c r="H820" s="5" t="n"/>
    </row>
    <row r="821" hidden="1" s="38">
      <c r="A821" s="25" t="n"/>
      <c r="B821" s="5" t="n"/>
      <c r="C821" s="4" t="n"/>
      <c r="D821" s="5" t="n"/>
      <c r="E821" s="5" t="n"/>
      <c r="F821" s="5" t="n"/>
      <c r="G821" s="5" t="n"/>
      <c r="H821" s="5" t="n"/>
    </row>
    <row r="822" hidden="1" s="38">
      <c r="A822" s="25" t="n"/>
      <c r="B822" s="5" t="n"/>
      <c r="C822" s="4" t="n"/>
      <c r="D822" s="5" t="n"/>
      <c r="E822" s="5" t="n"/>
      <c r="F822" s="5" t="n"/>
      <c r="G822" s="5" t="n"/>
      <c r="H822" s="5" t="n"/>
    </row>
    <row r="823" hidden="1" s="38">
      <c r="A823" s="25" t="n"/>
      <c r="B823" s="5" t="n"/>
      <c r="C823" s="4" t="n"/>
      <c r="D823" s="5" t="n"/>
      <c r="E823" s="5" t="n"/>
      <c r="F823" s="5" t="n"/>
      <c r="G823" s="5" t="n"/>
      <c r="H823" s="5" t="n"/>
    </row>
    <row r="824" hidden="1" s="38">
      <c r="A824" s="25" t="n"/>
      <c r="B824" s="5" t="n"/>
      <c r="C824" s="4" t="n"/>
      <c r="D824" s="5" t="n"/>
      <c r="E824" s="5" t="n"/>
      <c r="F824" s="5" t="n"/>
      <c r="G824" s="5" t="n"/>
      <c r="H824" s="5" t="n"/>
    </row>
    <row r="825" hidden="1" s="38">
      <c r="A825" s="25" t="n"/>
      <c r="B825" s="5" t="n"/>
      <c r="C825" s="4" t="n"/>
      <c r="D825" s="5" t="n"/>
      <c r="E825" s="5" t="n"/>
      <c r="F825" s="5" t="n"/>
      <c r="G825" s="5" t="n"/>
      <c r="H825" s="5" t="n"/>
    </row>
    <row r="826" hidden="1" s="38">
      <c r="A826" s="25" t="n"/>
      <c r="B826" s="5" t="n"/>
      <c r="C826" s="4" t="n"/>
      <c r="D826" s="5" t="n"/>
      <c r="E826" s="5" t="n"/>
      <c r="F826" s="5" t="n"/>
      <c r="G826" s="5" t="n"/>
      <c r="H826" s="5" t="n"/>
    </row>
    <row r="827" hidden="1" s="38">
      <c r="A827" s="25" t="n"/>
      <c r="B827" s="5" t="n"/>
      <c r="C827" s="4" t="n"/>
      <c r="D827" s="5" t="n"/>
      <c r="E827" s="5" t="n"/>
      <c r="F827" s="5" t="n"/>
      <c r="G827" s="5" t="n"/>
      <c r="H827" s="5" t="n"/>
    </row>
    <row r="828" hidden="1" s="38">
      <c r="A828" s="25" t="n"/>
      <c r="B828" s="5" t="n"/>
      <c r="C828" s="4" t="n"/>
      <c r="D828" s="5" t="n"/>
      <c r="E828" s="5" t="n"/>
      <c r="F828" s="5" t="n"/>
      <c r="G828" s="5" t="n"/>
      <c r="H828" s="5" t="n"/>
    </row>
    <row r="829" hidden="1" s="38">
      <c r="A829" s="25" t="n"/>
      <c r="B829" s="5" t="n"/>
      <c r="C829" s="4" t="n"/>
      <c r="D829" s="5" t="n"/>
      <c r="E829" s="5" t="n"/>
      <c r="F829" s="5" t="n"/>
      <c r="G829" s="5" t="n"/>
      <c r="H829" s="5" t="n"/>
    </row>
    <row r="830" hidden="1" s="38">
      <c r="A830" s="25" t="n"/>
      <c r="B830" s="5" t="n"/>
      <c r="C830" s="4" t="n"/>
      <c r="D830" s="5" t="n"/>
      <c r="E830" s="5" t="n"/>
      <c r="F830" s="5" t="n"/>
      <c r="G830" s="5" t="n"/>
      <c r="H830" s="5" t="n"/>
    </row>
    <row r="831" hidden="1" s="38">
      <c r="A831" s="25" t="n"/>
      <c r="B831" s="5" t="n"/>
      <c r="C831" s="4" t="n"/>
      <c r="D831" s="5" t="n"/>
      <c r="E831" s="5" t="n"/>
      <c r="F831" s="5" t="n"/>
      <c r="G831" s="5" t="n"/>
      <c r="H831" s="5" t="n"/>
    </row>
    <row r="832" hidden="1" s="38">
      <c r="A832" s="25" t="n"/>
      <c r="B832" s="5" t="n"/>
      <c r="C832" s="4" t="n"/>
      <c r="D832" s="5" t="n"/>
      <c r="E832" s="5" t="n"/>
      <c r="F832" s="5" t="n"/>
      <c r="G832" s="5" t="n"/>
      <c r="H832" s="5" t="n"/>
    </row>
    <row r="833" hidden="1" s="38">
      <c r="A833" s="25" t="n"/>
      <c r="B833" s="5" t="n"/>
      <c r="C833" s="4" t="n"/>
      <c r="D833" s="5" t="n"/>
      <c r="E833" s="5" t="n"/>
      <c r="F833" s="5" t="n"/>
      <c r="G833" s="5" t="n"/>
      <c r="H833" s="5" t="n"/>
    </row>
    <row r="834" hidden="1" s="38">
      <c r="A834" s="25" t="n"/>
      <c r="B834" s="5" t="n"/>
      <c r="C834" s="4" t="n"/>
      <c r="D834" s="5" t="n"/>
      <c r="E834" s="5" t="n"/>
      <c r="F834" s="5" t="n"/>
      <c r="G834" s="5" t="n"/>
      <c r="H834" s="5" t="n"/>
    </row>
    <row r="835" hidden="1" s="38">
      <c r="A835" s="25" t="n"/>
      <c r="B835" s="5" t="n"/>
      <c r="C835" s="4" t="n"/>
      <c r="D835" s="5" t="n"/>
      <c r="E835" s="5" t="n"/>
      <c r="F835" s="5" t="n"/>
      <c r="G835" s="5" t="n"/>
      <c r="H835" s="5" t="n"/>
    </row>
    <row r="836" hidden="1" s="38">
      <c r="A836" s="25" t="n"/>
      <c r="B836" s="5" t="n"/>
      <c r="C836" s="4" t="n"/>
      <c r="D836" s="5" t="n"/>
      <c r="E836" s="5" t="n"/>
      <c r="F836" s="5" t="n"/>
      <c r="G836" s="5" t="n"/>
      <c r="H836" s="5" t="n"/>
    </row>
    <row r="837" hidden="1" s="38">
      <c r="A837" s="25" t="n"/>
      <c r="B837" s="5" t="n"/>
      <c r="C837" s="4" t="n"/>
      <c r="D837" s="5" t="n"/>
      <c r="E837" s="5" t="n"/>
      <c r="F837" s="5" t="n"/>
      <c r="G837" s="5" t="n"/>
      <c r="H837" s="5" t="n"/>
    </row>
    <row r="838" hidden="1" s="38">
      <c r="A838" s="25" t="n"/>
      <c r="B838" s="5" t="n"/>
      <c r="C838" s="4" t="n"/>
      <c r="D838" s="5" t="n"/>
      <c r="E838" s="5" t="n"/>
      <c r="F838" s="5" t="n"/>
      <c r="G838" s="5" t="n"/>
      <c r="H838" s="5" t="n"/>
    </row>
    <row r="839" hidden="1" s="38">
      <c r="A839" s="25" t="n"/>
      <c r="B839" s="5" t="n"/>
      <c r="C839" s="4" t="n"/>
      <c r="D839" s="5" t="n"/>
      <c r="E839" s="5" t="n"/>
      <c r="F839" s="5" t="n"/>
      <c r="G839" s="5" t="n"/>
      <c r="H839" s="5" t="n"/>
    </row>
    <row r="840" hidden="1" s="38">
      <c r="A840" s="25" t="n"/>
      <c r="B840" s="5" t="n"/>
      <c r="C840" s="4" t="n"/>
      <c r="D840" s="5" t="n"/>
      <c r="E840" s="5" t="n"/>
      <c r="F840" s="5" t="n"/>
      <c r="G840" s="5" t="n"/>
      <c r="H840" s="5" t="n"/>
    </row>
    <row r="841" hidden="1" s="38">
      <c r="A841" s="25" t="n"/>
      <c r="B841" s="5" t="n"/>
      <c r="C841" s="4" t="n"/>
      <c r="D841" s="5" t="n"/>
      <c r="E841" s="5" t="n"/>
      <c r="F841" s="5" t="n"/>
      <c r="G841" s="5" t="n"/>
      <c r="H841" s="5" t="n"/>
    </row>
    <row r="842" hidden="1" s="38">
      <c r="A842" s="25" t="n"/>
      <c r="B842" s="5" t="n"/>
      <c r="C842" s="4" t="n"/>
      <c r="D842" s="5" t="n"/>
      <c r="E842" s="5" t="n"/>
      <c r="F842" s="5" t="n"/>
      <c r="G842" s="5" t="n"/>
      <c r="H842" s="5" t="n"/>
    </row>
    <row r="843" hidden="1" s="38">
      <c r="A843" s="25" t="n"/>
      <c r="B843" s="5" t="n"/>
      <c r="C843" s="4" t="n"/>
      <c r="D843" s="5" t="n"/>
      <c r="E843" s="5" t="n"/>
      <c r="F843" s="5" t="n"/>
      <c r="G843" s="5" t="n"/>
      <c r="H843" s="5" t="n"/>
    </row>
    <row r="844" hidden="1" s="38">
      <c r="A844" s="25" t="n"/>
      <c r="B844" s="5" t="n"/>
      <c r="C844" s="4" t="n"/>
      <c r="D844" s="5" t="n"/>
      <c r="E844" s="5" t="n"/>
      <c r="F844" s="5" t="n"/>
      <c r="G844" s="5" t="n"/>
      <c r="H844" s="5" t="n"/>
    </row>
    <row r="845" hidden="1" s="38">
      <c r="A845" s="25" t="n"/>
      <c r="B845" s="5" t="n"/>
      <c r="C845" s="4" t="n"/>
      <c r="D845" s="5" t="n"/>
      <c r="E845" s="5" t="n"/>
      <c r="F845" s="5" t="n"/>
      <c r="G845" s="5" t="n"/>
      <c r="H845" s="5" t="n"/>
    </row>
    <row r="846" hidden="1" s="38">
      <c r="A846" s="25" t="n"/>
      <c r="B846" s="5" t="n"/>
      <c r="C846" s="4" t="n"/>
      <c r="D846" s="5" t="n"/>
      <c r="E846" s="5" t="n"/>
      <c r="F846" s="5" t="n"/>
      <c r="G846" s="5" t="n"/>
      <c r="H846" s="5" t="n"/>
    </row>
    <row r="847" hidden="1" s="38">
      <c r="A847" s="25" t="n"/>
      <c r="B847" s="5" t="n"/>
      <c r="C847" s="4" t="n"/>
      <c r="D847" s="5" t="n"/>
      <c r="E847" s="5" t="n"/>
      <c r="F847" s="5" t="n"/>
      <c r="G847" s="5" t="n"/>
      <c r="H847" s="5" t="n"/>
    </row>
    <row r="848" hidden="1" s="38">
      <c r="A848" s="25" t="n"/>
      <c r="B848" s="5" t="n"/>
      <c r="C848" s="4" t="n"/>
      <c r="D848" s="5" t="n"/>
      <c r="E848" s="5" t="n"/>
      <c r="F848" s="5" t="n"/>
      <c r="G848" s="5" t="n"/>
      <c r="H848" s="5" t="n"/>
    </row>
    <row r="849" hidden="1" s="38">
      <c r="A849" s="25" t="n"/>
      <c r="B849" s="5" t="n"/>
      <c r="C849" s="4" t="n"/>
      <c r="D849" s="5" t="n"/>
      <c r="E849" s="5" t="n"/>
      <c r="F849" s="5" t="n"/>
      <c r="G849" s="5" t="n"/>
      <c r="H849" s="5" t="n"/>
    </row>
    <row r="850" hidden="1" s="38">
      <c r="A850" s="25" t="n"/>
      <c r="B850" s="5" t="n"/>
      <c r="C850" s="4" t="n"/>
      <c r="D850" s="5" t="n"/>
      <c r="E850" s="5" t="n"/>
      <c r="F850" s="5" t="n"/>
      <c r="G850" s="5" t="n"/>
      <c r="H850" s="5" t="n"/>
    </row>
    <row r="851" hidden="1" s="38">
      <c r="A851" s="25" t="n"/>
      <c r="B851" s="5" t="n"/>
      <c r="C851" s="4" t="n"/>
      <c r="D851" s="5" t="n"/>
      <c r="E851" s="5" t="n"/>
      <c r="F851" s="5" t="n"/>
      <c r="G851" s="5" t="n"/>
      <c r="H851" s="5" t="n"/>
    </row>
    <row r="852" hidden="1" s="38">
      <c r="A852" s="25" t="n"/>
      <c r="B852" s="5" t="n"/>
      <c r="C852" s="4" t="n"/>
      <c r="D852" s="5" t="n"/>
      <c r="E852" s="5" t="n"/>
      <c r="F852" s="5" t="n"/>
      <c r="G852" s="5" t="n"/>
      <c r="H852" s="5" t="n"/>
    </row>
    <row r="853" hidden="1" s="38">
      <c r="A853" s="25" t="n"/>
      <c r="B853" s="5" t="n"/>
      <c r="C853" s="4" t="n"/>
      <c r="D853" s="5" t="n"/>
      <c r="E853" s="5" t="n"/>
      <c r="F853" s="5" t="n"/>
      <c r="G853" s="5" t="n"/>
      <c r="H853" s="5" t="n"/>
    </row>
    <row r="854" hidden="1" s="38">
      <c r="A854" s="25" t="n"/>
      <c r="B854" s="5" t="n"/>
      <c r="C854" s="4" t="n"/>
      <c r="D854" s="5" t="n"/>
      <c r="E854" s="5" t="n"/>
      <c r="F854" s="5" t="n"/>
      <c r="G854" s="5" t="n"/>
      <c r="H854" s="5" t="n"/>
    </row>
    <row r="855" hidden="1" s="38">
      <c r="A855" s="25" t="n"/>
      <c r="B855" s="5" t="n"/>
      <c r="C855" s="4" t="n"/>
      <c r="D855" s="5" t="n"/>
      <c r="E855" s="5" t="n"/>
      <c r="F855" s="5" t="n"/>
      <c r="G855" s="5" t="n"/>
      <c r="H855" s="5" t="n"/>
    </row>
    <row r="856" hidden="1" s="38">
      <c r="A856" s="25" t="n"/>
      <c r="B856" s="5" t="n"/>
      <c r="C856" s="4" t="n"/>
      <c r="D856" s="5" t="n"/>
      <c r="E856" s="5" t="n"/>
      <c r="F856" s="5" t="n"/>
      <c r="G856" s="5" t="n"/>
      <c r="H856" s="5" t="n"/>
    </row>
    <row r="857" hidden="1" s="38">
      <c r="A857" s="25" t="n"/>
      <c r="B857" s="5" t="n"/>
      <c r="C857" s="4" t="n"/>
      <c r="D857" s="5" t="n"/>
      <c r="E857" s="5" t="n"/>
      <c r="F857" s="5" t="n"/>
      <c r="G857" s="5" t="n"/>
      <c r="H857" s="5" t="n"/>
    </row>
    <row r="858" hidden="1" s="38">
      <c r="A858" s="25" t="n"/>
      <c r="B858" s="5" t="n"/>
      <c r="C858" s="4" t="n"/>
      <c r="D858" s="5" t="n"/>
      <c r="E858" s="5" t="n"/>
      <c r="F858" s="5" t="n"/>
      <c r="G858" s="5" t="n"/>
      <c r="H858" s="5" t="n"/>
    </row>
    <row r="859" hidden="1" s="38">
      <c r="A859" s="25" t="n"/>
      <c r="B859" s="5" t="n"/>
      <c r="C859" s="4" t="n"/>
      <c r="D859" s="5" t="n"/>
      <c r="E859" s="5" t="n"/>
      <c r="F859" s="5" t="n"/>
      <c r="G859" s="5" t="n"/>
      <c r="H859" s="5" t="n"/>
    </row>
    <row r="860" hidden="1" s="38">
      <c r="A860" s="25" t="n"/>
      <c r="B860" s="5" t="n"/>
      <c r="C860" s="4" t="n"/>
      <c r="D860" s="5" t="n"/>
      <c r="E860" s="5" t="n"/>
      <c r="F860" s="5" t="n"/>
      <c r="G860" s="5" t="n"/>
      <c r="H860" s="5" t="n"/>
    </row>
    <row r="861" hidden="1" s="38">
      <c r="A861" s="25" t="n"/>
      <c r="B861" s="5" t="n"/>
      <c r="C861" s="4" t="n"/>
      <c r="D861" s="5" t="n"/>
      <c r="E861" s="5" t="n"/>
      <c r="F861" s="5" t="n"/>
      <c r="G861" s="5" t="n"/>
      <c r="H861" s="5" t="n"/>
    </row>
    <row r="862" hidden="1" s="38">
      <c r="A862" s="25" t="n"/>
      <c r="B862" s="5" t="n"/>
      <c r="C862" s="4" t="n"/>
      <c r="D862" s="5" t="n"/>
      <c r="E862" s="5" t="n"/>
      <c r="F862" s="5" t="n"/>
      <c r="G862" s="5" t="n"/>
      <c r="H862" s="5" t="n"/>
    </row>
    <row r="863" hidden="1" s="38">
      <c r="A863" s="25" t="n"/>
      <c r="B863" s="5" t="n"/>
      <c r="C863" s="4" t="n"/>
      <c r="D863" s="5" t="n"/>
      <c r="E863" s="5" t="n"/>
      <c r="F863" s="5" t="n"/>
      <c r="G863" s="5" t="n"/>
      <c r="H863" s="5" t="n"/>
    </row>
    <row r="864" hidden="1" s="38">
      <c r="A864" s="25" t="n"/>
      <c r="B864" s="5" t="n"/>
      <c r="C864" s="4" t="n"/>
      <c r="D864" s="5" t="n"/>
      <c r="E864" s="5" t="n"/>
      <c r="F864" s="5" t="n"/>
      <c r="G864" s="5" t="n"/>
      <c r="H864" s="5" t="n"/>
    </row>
    <row r="865" hidden="1" s="38">
      <c r="A865" s="25" t="n"/>
      <c r="B865" s="5" t="n"/>
      <c r="C865" s="4" t="n"/>
      <c r="D865" s="5" t="n"/>
      <c r="E865" s="5" t="n"/>
      <c r="F865" s="5" t="n"/>
      <c r="G865" s="5" t="n"/>
      <c r="H865" s="5" t="n"/>
    </row>
    <row r="866" hidden="1" s="38">
      <c r="A866" s="25" t="n"/>
      <c r="B866" s="5" t="n"/>
      <c r="C866" s="4" t="n"/>
      <c r="D866" s="5" t="n"/>
      <c r="E866" s="5" t="n"/>
      <c r="F866" s="5" t="n"/>
      <c r="G866" s="5" t="n"/>
      <c r="H866" s="5" t="n"/>
    </row>
    <row r="867" hidden="1" s="38">
      <c r="A867" s="25" t="n"/>
      <c r="B867" s="5" t="n"/>
      <c r="C867" s="4" t="n"/>
      <c r="D867" s="5" t="n"/>
      <c r="E867" s="5" t="n"/>
      <c r="F867" s="5" t="n"/>
      <c r="G867" s="5" t="n"/>
      <c r="H867" s="5" t="n"/>
    </row>
    <row r="868" hidden="1" s="38">
      <c r="A868" s="25" t="n"/>
      <c r="B868" s="5" t="n"/>
      <c r="C868" s="4" t="n"/>
      <c r="D868" s="5" t="n"/>
      <c r="E868" s="5" t="n"/>
      <c r="F868" s="5" t="n"/>
      <c r="G868" s="5" t="n"/>
      <c r="H868" s="5" t="n"/>
    </row>
    <row r="869" hidden="1" s="38">
      <c r="A869" s="25" t="n"/>
      <c r="B869" s="5" t="n"/>
      <c r="C869" s="4" t="n"/>
      <c r="D869" s="5" t="n"/>
      <c r="E869" s="5" t="n"/>
      <c r="F869" s="5" t="n"/>
      <c r="G869" s="5" t="n"/>
      <c r="H869" s="5" t="n"/>
    </row>
    <row r="870" hidden="1" s="38">
      <c r="A870" s="25" t="n"/>
      <c r="B870" s="5" t="n"/>
      <c r="C870" s="4" t="n"/>
      <c r="D870" s="5" t="n"/>
      <c r="E870" s="5" t="n"/>
      <c r="F870" s="5" t="n"/>
      <c r="G870" s="5" t="n"/>
      <c r="H870" s="5" t="n"/>
    </row>
    <row r="871" hidden="1" s="38">
      <c r="A871" s="25" t="n"/>
      <c r="B871" s="5" t="n"/>
      <c r="C871" s="4" t="n"/>
      <c r="D871" s="5" t="n"/>
      <c r="E871" s="5" t="n"/>
      <c r="F871" s="5" t="n"/>
      <c r="G871" s="5" t="n"/>
      <c r="H871" s="5" t="n"/>
    </row>
    <row r="872" hidden="1" s="38">
      <c r="A872" s="25" t="n"/>
      <c r="B872" s="5" t="n"/>
      <c r="C872" s="4" t="n"/>
      <c r="D872" s="5" t="n"/>
      <c r="E872" s="5" t="n"/>
      <c r="F872" s="5" t="n"/>
      <c r="G872" s="5" t="n"/>
      <c r="H872" s="5" t="n"/>
    </row>
    <row r="873" hidden="1" s="38">
      <c r="A873" s="25" t="n"/>
      <c r="B873" s="5" t="n"/>
      <c r="C873" s="4" t="n"/>
      <c r="D873" s="5" t="n"/>
      <c r="E873" s="5" t="n"/>
      <c r="F873" s="5" t="n"/>
      <c r="G873" s="5" t="n"/>
      <c r="H873" s="5" t="n"/>
    </row>
    <row r="874" hidden="1" s="38">
      <c r="A874" s="25" t="n"/>
      <c r="B874" s="5" t="n"/>
      <c r="C874" s="4" t="n"/>
      <c r="D874" s="5" t="n"/>
      <c r="E874" s="5" t="n"/>
      <c r="F874" s="5" t="n"/>
      <c r="G874" s="5" t="n"/>
      <c r="H874" s="5" t="n"/>
    </row>
    <row r="875" hidden="1" s="38">
      <c r="A875" s="25" t="n"/>
      <c r="B875" s="5" t="n"/>
      <c r="C875" s="4" t="n"/>
      <c r="D875" s="5" t="n"/>
      <c r="E875" s="5" t="n"/>
      <c r="F875" s="5" t="n"/>
      <c r="G875" s="5" t="n"/>
      <c r="H875" s="5" t="n"/>
    </row>
    <row r="876" hidden="1" s="38">
      <c r="A876" s="25" t="n"/>
      <c r="B876" s="5" t="n"/>
      <c r="C876" s="4" t="n"/>
      <c r="D876" s="5" t="n"/>
      <c r="E876" s="5" t="n"/>
      <c r="F876" s="5" t="n"/>
      <c r="G876" s="5" t="n"/>
      <c r="H876" s="5" t="n"/>
    </row>
    <row r="877" hidden="1" s="38">
      <c r="A877" s="25" t="n"/>
      <c r="B877" s="5" t="n"/>
      <c r="C877" s="4" t="n"/>
      <c r="D877" s="5" t="n"/>
      <c r="E877" s="5" t="n"/>
      <c r="F877" s="5" t="n"/>
      <c r="G877" s="5" t="n"/>
      <c r="H877" s="5" t="n"/>
    </row>
    <row r="878" hidden="1" s="38">
      <c r="A878" s="25" t="n"/>
      <c r="B878" s="5" t="n"/>
      <c r="C878" s="4" t="n"/>
      <c r="D878" s="5" t="n"/>
      <c r="E878" s="5" t="n"/>
      <c r="F878" s="5" t="n"/>
      <c r="G878" s="5" t="n"/>
      <c r="H878" s="5" t="n"/>
    </row>
    <row r="879" hidden="1" s="38">
      <c r="A879" s="25" t="n"/>
      <c r="B879" s="5" t="n"/>
      <c r="C879" s="4" t="n"/>
      <c r="D879" s="5" t="n"/>
      <c r="E879" s="5" t="n"/>
      <c r="F879" s="5" t="n"/>
      <c r="G879" s="5" t="n"/>
      <c r="H879" s="5" t="n"/>
    </row>
    <row r="880" hidden="1" s="38">
      <c r="A880" s="25" t="n"/>
      <c r="B880" s="5" t="n"/>
      <c r="C880" s="4" t="n"/>
      <c r="D880" s="5" t="n"/>
      <c r="E880" s="5" t="n"/>
      <c r="F880" s="5" t="n"/>
      <c r="G880" s="5" t="n"/>
      <c r="H880" s="5" t="n"/>
    </row>
    <row r="881" hidden="1" s="38">
      <c r="A881" s="25" t="n"/>
      <c r="B881" s="5" t="n"/>
      <c r="C881" s="4" t="n"/>
      <c r="D881" s="5" t="n"/>
      <c r="E881" s="5" t="n"/>
      <c r="F881" s="5" t="n"/>
      <c r="G881" s="5" t="n"/>
      <c r="H881" s="5" t="n"/>
    </row>
    <row r="882" hidden="1" s="38">
      <c r="A882" s="25" t="n"/>
      <c r="B882" s="5" t="n"/>
      <c r="C882" s="4" t="n"/>
      <c r="D882" s="5" t="n"/>
      <c r="E882" s="5" t="n"/>
      <c r="F882" s="5" t="n"/>
      <c r="G882" s="5" t="n"/>
      <c r="H882" s="5" t="n"/>
    </row>
    <row r="883" hidden="1" s="38">
      <c r="A883" s="25" t="n"/>
      <c r="B883" s="5" t="n"/>
      <c r="C883" s="4" t="n"/>
      <c r="D883" s="5" t="n"/>
      <c r="E883" s="5" t="n"/>
      <c r="F883" s="5" t="n"/>
      <c r="G883" s="5" t="n"/>
      <c r="H883" s="5" t="n"/>
    </row>
    <row r="884" hidden="1" s="38">
      <c r="A884" s="25" t="n"/>
      <c r="B884" s="5" t="n"/>
      <c r="C884" s="4" t="n"/>
      <c r="D884" s="5" t="n"/>
      <c r="E884" s="5" t="n"/>
      <c r="F884" s="5" t="n"/>
      <c r="G884" s="5" t="n"/>
      <c r="H884" s="5" t="n"/>
    </row>
    <row r="885" hidden="1" s="38">
      <c r="A885" s="25" t="n"/>
      <c r="B885" s="5" t="n"/>
      <c r="C885" s="4" t="n"/>
      <c r="D885" s="5" t="n"/>
      <c r="E885" s="5" t="n"/>
      <c r="F885" s="5" t="n"/>
      <c r="G885" s="5" t="n"/>
      <c r="H885" s="5" t="n"/>
    </row>
    <row r="886" hidden="1" s="38">
      <c r="A886" s="25" t="n"/>
      <c r="B886" s="5" t="n"/>
      <c r="C886" s="4" t="n"/>
      <c r="D886" s="5" t="n"/>
      <c r="E886" s="5" t="n"/>
      <c r="F886" s="5" t="n"/>
      <c r="G886" s="5" t="n"/>
      <c r="H886" s="5" t="n"/>
    </row>
    <row r="887" hidden="1" s="38">
      <c r="A887" s="25" t="n"/>
      <c r="B887" s="5" t="n"/>
      <c r="C887" s="4" t="n"/>
      <c r="D887" s="5" t="n"/>
      <c r="E887" s="5" t="n"/>
      <c r="F887" s="5" t="n"/>
      <c r="G887" s="5" t="n"/>
      <c r="H887" s="5" t="n"/>
    </row>
    <row r="888" hidden="1" s="38">
      <c r="A888" s="25" t="n"/>
      <c r="B888" s="5" t="n"/>
      <c r="C888" s="4" t="n"/>
      <c r="D888" s="5" t="n"/>
      <c r="E888" s="5" t="n"/>
      <c r="F888" s="5" t="n"/>
      <c r="G888" s="5" t="n"/>
      <c r="H888" s="5" t="n"/>
    </row>
    <row r="889" hidden="1" s="38">
      <c r="A889" s="25" t="n"/>
      <c r="B889" s="5" t="n"/>
      <c r="C889" s="4" t="n"/>
      <c r="D889" s="5" t="n"/>
      <c r="E889" s="5" t="n"/>
      <c r="F889" s="5" t="n"/>
      <c r="G889" s="5" t="n"/>
      <c r="H889" s="5" t="n"/>
    </row>
    <row r="890" hidden="1" s="38">
      <c r="A890" s="25" t="n"/>
      <c r="B890" s="5" t="n"/>
      <c r="C890" s="4" t="n"/>
      <c r="D890" s="5" t="n"/>
      <c r="E890" s="5" t="n"/>
      <c r="F890" s="5" t="n"/>
      <c r="G890" s="5" t="n"/>
      <c r="H890" s="5" t="n"/>
    </row>
    <row r="891" hidden="1" s="38">
      <c r="A891" s="25" t="n"/>
      <c r="B891" s="5" t="n"/>
      <c r="C891" s="4" t="n"/>
      <c r="D891" s="5" t="n"/>
      <c r="E891" s="5" t="n"/>
      <c r="F891" s="5" t="n"/>
      <c r="G891" s="5" t="n"/>
      <c r="H891" s="5" t="n"/>
    </row>
    <row r="892" hidden="1" s="38">
      <c r="A892" s="25" t="n"/>
      <c r="B892" s="5" t="n"/>
      <c r="C892" s="4" t="n"/>
      <c r="D892" s="5" t="n"/>
      <c r="E892" s="5" t="n"/>
      <c r="F892" s="5" t="n"/>
      <c r="G892" s="5" t="n"/>
      <c r="H892" s="5" t="n"/>
    </row>
    <row r="893" hidden="1" s="38">
      <c r="A893" s="25" t="n"/>
      <c r="B893" s="5" t="n"/>
      <c r="C893" s="4" t="n"/>
      <c r="D893" s="5" t="n"/>
      <c r="E893" s="5" t="n"/>
      <c r="F893" s="5" t="n"/>
      <c r="G893" s="5" t="n"/>
      <c r="H893" s="5" t="n"/>
    </row>
    <row r="894" hidden="1" s="38">
      <c r="A894" s="25" t="n"/>
      <c r="B894" s="5" t="n"/>
      <c r="C894" s="4" t="n"/>
      <c r="D894" s="5" t="n"/>
      <c r="E894" s="5" t="n"/>
      <c r="F894" s="5" t="n"/>
      <c r="G894" s="5" t="n"/>
      <c r="H894" s="5" t="n"/>
    </row>
    <row r="895" hidden="1" s="38">
      <c r="A895" s="25" t="n"/>
      <c r="B895" s="5" t="n"/>
      <c r="C895" s="4" t="n"/>
      <c r="D895" s="5" t="n"/>
      <c r="E895" s="5" t="n"/>
      <c r="F895" s="5" t="n"/>
      <c r="G895" s="5" t="n"/>
      <c r="H895" s="5" t="n"/>
    </row>
    <row r="896" hidden="1" s="38">
      <c r="A896" s="25" t="n"/>
      <c r="B896" s="5" t="n"/>
      <c r="C896" s="4" t="n"/>
      <c r="D896" s="5" t="n"/>
      <c r="E896" s="5" t="n"/>
      <c r="F896" s="5" t="n"/>
      <c r="G896" s="5" t="n"/>
      <c r="H896" s="5" t="n"/>
    </row>
    <row r="897" hidden="1" s="38">
      <c r="A897" s="25" t="n"/>
      <c r="B897" s="5" t="n"/>
      <c r="C897" s="4" t="n"/>
      <c r="D897" s="5" t="n"/>
      <c r="E897" s="5" t="n"/>
      <c r="F897" s="5" t="n"/>
      <c r="G897" s="5" t="n"/>
      <c r="H897" s="5" t="n"/>
    </row>
    <row r="898" hidden="1" s="38">
      <c r="A898" s="25" t="n"/>
      <c r="B898" s="5" t="n"/>
      <c r="C898" s="4" t="n"/>
      <c r="D898" s="5" t="n"/>
      <c r="E898" s="5" t="n"/>
      <c r="F898" s="5" t="n"/>
      <c r="G898" s="5" t="n"/>
      <c r="H898" s="5" t="n"/>
    </row>
    <row r="899" hidden="1" s="38">
      <c r="A899" s="25" t="n"/>
      <c r="B899" s="5" t="n"/>
      <c r="C899" s="4" t="n"/>
      <c r="D899" s="5" t="n"/>
      <c r="E899" s="5" t="n"/>
      <c r="F899" s="5" t="n"/>
      <c r="G899" s="5" t="n"/>
      <c r="H899" s="5" t="n"/>
    </row>
    <row r="900" hidden="1" s="38">
      <c r="A900" s="25" t="n"/>
      <c r="B900" s="5" t="n"/>
      <c r="C900" s="4" t="n"/>
      <c r="D900" s="5" t="n"/>
      <c r="E900" s="5" t="n"/>
      <c r="F900" s="5" t="n"/>
      <c r="G900" s="5" t="n"/>
      <c r="H900" s="5" t="n"/>
    </row>
    <row r="901" hidden="1" s="38">
      <c r="A901" s="25" t="n"/>
      <c r="B901" s="5" t="n"/>
      <c r="C901" s="4" t="n"/>
      <c r="D901" s="5" t="n"/>
      <c r="E901" s="5" t="n"/>
      <c r="F901" s="5" t="n"/>
      <c r="G901" s="5" t="n"/>
      <c r="H901" s="5" t="n"/>
    </row>
    <row r="902" hidden="1" s="38">
      <c r="A902" s="25" t="n"/>
      <c r="B902" s="5" t="n"/>
      <c r="C902" s="4" t="n"/>
      <c r="D902" s="5" t="n"/>
      <c r="E902" s="5" t="n"/>
      <c r="F902" s="5" t="n"/>
      <c r="G902" s="5" t="n"/>
      <c r="H902" s="5" t="n"/>
    </row>
    <row r="903" hidden="1" s="38">
      <c r="A903" s="25" t="n"/>
      <c r="B903" s="5" t="n"/>
      <c r="C903" s="4" t="n"/>
      <c r="D903" s="5" t="n"/>
      <c r="E903" s="5" t="n"/>
      <c r="F903" s="5" t="n"/>
      <c r="G903" s="5" t="n"/>
      <c r="H903" s="5" t="n"/>
    </row>
    <row r="904" hidden="1" s="38">
      <c r="A904" s="25" t="n"/>
      <c r="B904" s="5" t="n"/>
      <c r="C904" s="4" t="n"/>
      <c r="D904" s="5" t="n"/>
      <c r="E904" s="5" t="n"/>
      <c r="F904" s="5" t="n"/>
      <c r="G904" s="5" t="n"/>
      <c r="H904" s="5" t="n"/>
    </row>
    <row r="905" hidden="1" s="38">
      <c r="A905" s="25" t="n"/>
      <c r="B905" s="5" t="n"/>
      <c r="C905" s="4" t="n"/>
      <c r="D905" s="5" t="n"/>
      <c r="E905" s="5" t="n"/>
      <c r="F905" s="5" t="n"/>
      <c r="G905" s="5" t="n"/>
      <c r="H905" s="5" t="n"/>
    </row>
    <row r="906" hidden="1" s="38">
      <c r="A906" s="25" t="n"/>
      <c r="B906" s="5" t="n"/>
      <c r="C906" s="4" t="n"/>
      <c r="D906" s="5" t="n"/>
      <c r="E906" s="5" t="n"/>
      <c r="F906" s="5" t="n"/>
      <c r="G906" s="5" t="n"/>
      <c r="H906" s="5" t="n"/>
    </row>
    <row r="907" hidden="1" s="38">
      <c r="A907" s="25" t="n"/>
      <c r="B907" s="5" t="n"/>
      <c r="C907" s="4" t="n"/>
      <c r="D907" s="5" t="n"/>
      <c r="E907" s="5" t="n"/>
      <c r="F907" s="5" t="n"/>
      <c r="G907" s="5" t="n"/>
      <c r="H907" s="5" t="n"/>
    </row>
    <row r="908" hidden="1" s="38">
      <c r="A908" s="25" t="n"/>
      <c r="B908" s="5" t="n"/>
      <c r="C908" s="4" t="n"/>
      <c r="D908" s="5" t="n"/>
      <c r="E908" s="5" t="n"/>
      <c r="F908" s="5" t="n"/>
      <c r="G908" s="5" t="n"/>
      <c r="H908" s="5" t="n"/>
    </row>
    <row r="909" hidden="1" s="38">
      <c r="A909" s="25" t="n"/>
      <c r="B909" s="5" t="n"/>
      <c r="C909" s="4" t="n"/>
      <c r="D909" s="5" t="n"/>
      <c r="E909" s="5" t="n"/>
      <c r="F909" s="5" t="n"/>
      <c r="G909" s="5" t="n"/>
      <c r="H909" s="5" t="n"/>
    </row>
    <row r="910" hidden="1" s="38">
      <c r="A910" s="25" t="n"/>
      <c r="B910" s="5" t="n"/>
      <c r="C910" s="4" t="n"/>
      <c r="D910" s="5" t="n"/>
      <c r="E910" s="5" t="n"/>
      <c r="F910" s="5" t="n"/>
      <c r="G910" s="5" t="n"/>
      <c r="H910" s="5" t="n"/>
    </row>
    <row r="911" hidden="1" s="38">
      <c r="A911" s="25" t="n"/>
      <c r="B911" s="5" t="n"/>
      <c r="C911" s="4" t="n"/>
      <c r="D911" s="5" t="n"/>
      <c r="E911" s="5" t="n"/>
      <c r="F911" s="5" t="n"/>
      <c r="G911" s="5" t="n"/>
      <c r="H911" s="5" t="n"/>
    </row>
    <row r="912" hidden="1" s="38">
      <c r="A912" s="25" t="n"/>
      <c r="B912" s="5" t="n"/>
      <c r="C912" s="4" t="n"/>
      <c r="D912" s="5" t="n"/>
      <c r="E912" s="5" t="n"/>
      <c r="F912" s="5" t="n"/>
      <c r="G912" s="5" t="n"/>
      <c r="H912" s="5" t="n"/>
    </row>
    <row r="913" hidden="1" s="38">
      <c r="A913" s="25" t="n"/>
      <c r="B913" s="5" t="n"/>
      <c r="C913" s="4" t="n"/>
      <c r="D913" s="5" t="n"/>
      <c r="E913" s="5" t="n"/>
      <c r="F913" s="5" t="n"/>
      <c r="G913" s="5" t="n"/>
      <c r="H913" s="5" t="n"/>
    </row>
    <row r="914" hidden="1" s="38">
      <c r="A914" s="25" t="n"/>
      <c r="B914" s="5" t="n"/>
      <c r="C914" s="4" t="n"/>
      <c r="D914" s="5" t="n"/>
      <c r="E914" s="5" t="n"/>
      <c r="F914" s="5" t="n"/>
      <c r="G914" s="5" t="n"/>
      <c r="H914" s="5" t="n"/>
    </row>
    <row r="915" hidden="1" s="38">
      <c r="A915" s="25" t="n"/>
      <c r="B915" s="5" t="n"/>
      <c r="C915" s="4" t="n"/>
      <c r="D915" s="5" t="n"/>
      <c r="E915" s="5" t="n"/>
      <c r="F915" s="5" t="n"/>
      <c r="G915" s="5" t="n"/>
      <c r="H915" s="5" t="n"/>
    </row>
    <row r="916" hidden="1" s="38">
      <c r="A916" s="25" t="n"/>
      <c r="B916" s="5" t="n"/>
      <c r="C916" s="4" t="n"/>
      <c r="D916" s="5" t="n"/>
      <c r="E916" s="5" t="n"/>
      <c r="F916" s="5" t="n"/>
      <c r="G916" s="5" t="n"/>
      <c r="H916" s="5" t="n"/>
    </row>
    <row r="917" hidden="1" s="38">
      <c r="A917" s="25" t="n"/>
      <c r="B917" s="5" t="n"/>
      <c r="C917" s="4" t="n"/>
      <c r="D917" s="5" t="n"/>
      <c r="E917" s="5" t="n"/>
      <c r="F917" s="5" t="n"/>
      <c r="G917" s="5" t="n"/>
      <c r="H917" s="5" t="n"/>
    </row>
    <row r="918" hidden="1" s="38">
      <c r="A918" s="25" t="n"/>
      <c r="B918" s="5" t="n"/>
      <c r="C918" s="4" t="n"/>
      <c r="D918" s="5" t="n"/>
      <c r="E918" s="5" t="n"/>
      <c r="F918" s="5" t="n"/>
      <c r="G918" s="5" t="n"/>
      <c r="H918" s="5" t="n"/>
    </row>
    <row r="919" hidden="1" s="38">
      <c r="A919" s="25" t="n"/>
      <c r="B919" s="5" t="n"/>
      <c r="C919" s="4" t="n"/>
      <c r="D919" s="5" t="n"/>
      <c r="E919" s="5" t="n"/>
      <c r="F919" s="5" t="n"/>
      <c r="G919" s="5" t="n"/>
      <c r="H919" s="5" t="n"/>
    </row>
    <row r="920" hidden="1" s="38">
      <c r="A920" s="25" t="n"/>
      <c r="B920" s="5" t="n"/>
      <c r="C920" s="4" t="n"/>
      <c r="D920" s="5" t="n"/>
      <c r="E920" s="5" t="n"/>
      <c r="F920" s="5" t="n"/>
      <c r="G920" s="5" t="n"/>
      <c r="H920" s="5" t="n"/>
    </row>
    <row r="921" hidden="1" s="38">
      <c r="A921" s="25" t="n"/>
      <c r="B921" s="5" t="n"/>
      <c r="C921" s="4" t="n"/>
      <c r="D921" s="5" t="n"/>
      <c r="E921" s="5" t="n"/>
      <c r="F921" s="5" t="n"/>
      <c r="G921" s="5" t="n"/>
      <c r="H921" s="5" t="n"/>
    </row>
    <row r="922" hidden="1" s="38">
      <c r="A922" s="25" t="n"/>
      <c r="B922" s="5" t="n"/>
      <c r="C922" s="4" t="n"/>
      <c r="D922" s="5" t="n"/>
      <c r="E922" s="5" t="n"/>
      <c r="F922" s="5" t="n"/>
      <c r="G922" s="5" t="n"/>
      <c r="H922" s="5" t="n"/>
    </row>
    <row r="923" hidden="1" s="38">
      <c r="A923" s="25" t="n"/>
      <c r="B923" s="5" t="n"/>
      <c r="C923" s="4" t="n"/>
      <c r="D923" s="5" t="n"/>
      <c r="E923" s="5" t="n"/>
      <c r="F923" s="5" t="n"/>
      <c r="G923" s="5" t="n"/>
      <c r="H923" s="5" t="n"/>
    </row>
    <row r="924" hidden="1" s="38">
      <c r="A924" s="25" t="n"/>
      <c r="B924" s="5" t="n"/>
      <c r="C924" s="4" t="n"/>
      <c r="D924" s="5" t="n"/>
      <c r="E924" s="5" t="n"/>
      <c r="F924" s="5" t="n"/>
      <c r="G924" s="5" t="n"/>
      <c r="H924" s="5" t="n"/>
    </row>
    <row r="925" hidden="1" s="38">
      <c r="A925" s="25" t="n"/>
      <c r="B925" s="5" t="n"/>
      <c r="C925" s="4" t="n"/>
      <c r="D925" s="5" t="n"/>
      <c r="E925" s="5" t="n"/>
      <c r="F925" s="5" t="n"/>
      <c r="G925" s="5" t="n"/>
      <c r="H925" s="5" t="n"/>
    </row>
    <row r="926" hidden="1" s="38">
      <c r="A926" s="25" t="n"/>
      <c r="B926" s="5" t="n"/>
      <c r="C926" s="4" t="n"/>
      <c r="D926" s="5" t="n"/>
      <c r="E926" s="5" t="n"/>
      <c r="F926" s="5" t="n"/>
      <c r="G926" s="5" t="n"/>
      <c r="H926" s="5" t="n"/>
    </row>
    <row r="927" hidden="1" s="38">
      <c r="A927" s="25" t="n"/>
      <c r="B927" s="5" t="n"/>
      <c r="C927" s="4" t="n"/>
      <c r="D927" s="5" t="n"/>
      <c r="E927" s="5" t="n"/>
      <c r="F927" s="5" t="n"/>
      <c r="G927" s="5" t="n"/>
      <c r="H927" s="5" t="n"/>
    </row>
    <row r="928" hidden="1" s="38">
      <c r="A928" s="25" t="n"/>
      <c r="B928" s="5" t="n"/>
      <c r="C928" s="4" t="n"/>
      <c r="D928" s="5" t="n"/>
      <c r="E928" s="5" t="n"/>
      <c r="F928" s="5" t="n"/>
      <c r="G928" s="5" t="n"/>
      <c r="H928" s="5" t="n"/>
    </row>
    <row r="929" hidden="1" s="38">
      <c r="A929" s="25" t="n"/>
      <c r="B929" s="5" t="n"/>
      <c r="C929" s="4" t="n"/>
      <c r="D929" s="5" t="n"/>
      <c r="E929" s="5" t="n"/>
      <c r="F929" s="5" t="n"/>
      <c r="G929" s="5" t="n"/>
      <c r="H929" s="5" t="n"/>
    </row>
    <row r="930" hidden="1" s="38">
      <c r="A930" s="25" t="n"/>
      <c r="B930" s="5" t="n"/>
      <c r="C930" s="4" t="n"/>
      <c r="D930" s="5" t="n"/>
      <c r="E930" s="5" t="n"/>
      <c r="F930" s="5" t="n"/>
      <c r="G930" s="5" t="n"/>
      <c r="H930" s="5" t="n"/>
    </row>
    <row r="931" hidden="1" s="38">
      <c r="A931" s="25" t="n"/>
      <c r="B931" s="5" t="n"/>
      <c r="C931" s="4" t="n"/>
      <c r="D931" s="5" t="n"/>
      <c r="E931" s="5" t="n"/>
      <c r="F931" s="5" t="n"/>
      <c r="G931" s="5" t="n"/>
      <c r="H931" s="5" t="n"/>
    </row>
    <row r="932" hidden="1" s="38">
      <c r="A932" s="25" t="n"/>
      <c r="B932" s="5" t="n"/>
      <c r="C932" s="4" t="n"/>
      <c r="D932" s="5" t="n"/>
      <c r="E932" s="5" t="n"/>
      <c r="F932" s="5" t="n"/>
      <c r="G932" s="5" t="n"/>
      <c r="H932" s="5" t="n"/>
    </row>
    <row r="933" hidden="1" s="38">
      <c r="A933" s="25" t="n"/>
      <c r="B933" s="5" t="n"/>
      <c r="C933" s="4" t="n"/>
      <c r="D933" s="5" t="n"/>
      <c r="E933" s="5" t="n"/>
      <c r="F933" s="5" t="n"/>
      <c r="G933" s="5" t="n"/>
      <c r="H933" s="5" t="n"/>
    </row>
    <row r="934" hidden="1" s="38">
      <c r="A934" s="25" t="n"/>
      <c r="B934" s="5" t="n"/>
      <c r="C934" s="4" t="n"/>
      <c r="D934" s="5" t="n"/>
      <c r="E934" s="5" t="n"/>
      <c r="F934" s="5" t="n"/>
      <c r="G934" s="5" t="n"/>
      <c r="H934" s="5" t="n"/>
    </row>
    <row r="935" hidden="1" s="38">
      <c r="A935" s="25" t="n"/>
      <c r="B935" s="5" t="n"/>
      <c r="C935" s="4" t="n"/>
      <c r="D935" s="5" t="n"/>
      <c r="E935" s="5" t="n"/>
      <c r="F935" s="5" t="n"/>
      <c r="G935" s="5" t="n"/>
      <c r="H935" s="5" t="n"/>
    </row>
    <row r="936" hidden="1" s="38">
      <c r="A936" s="25" t="n"/>
      <c r="B936" s="5" t="n"/>
      <c r="C936" s="4" t="n"/>
      <c r="D936" s="5" t="n"/>
      <c r="E936" s="5" t="n"/>
      <c r="F936" s="5" t="n"/>
      <c r="G936" s="5" t="n"/>
      <c r="H936" s="5" t="n"/>
    </row>
    <row r="937" hidden="1" s="38">
      <c r="A937" s="25" t="n"/>
      <c r="B937" s="5" t="n"/>
      <c r="C937" s="4" t="n"/>
      <c r="D937" s="5" t="n"/>
      <c r="E937" s="5" t="n"/>
      <c r="F937" s="5" t="n"/>
      <c r="G937" s="5" t="n"/>
      <c r="H937" s="5" t="n"/>
    </row>
    <row r="938" hidden="1" s="38">
      <c r="A938" s="25" t="n"/>
      <c r="B938" s="5" t="n"/>
      <c r="C938" s="4" t="n"/>
      <c r="D938" s="5" t="n"/>
      <c r="E938" s="5" t="n"/>
      <c r="F938" s="5" t="n"/>
      <c r="G938" s="5" t="n"/>
      <c r="H938" s="5" t="n"/>
    </row>
    <row r="939" hidden="1" s="38">
      <c r="A939" s="25" t="n"/>
      <c r="B939" s="5" t="n"/>
      <c r="C939" s="4" t="n"/>
      <c r="D939" s="5" t="n"/>
      <c r="E939" s="5" t="n"/>
      <c r="F939" s="5" t="n"/>
      <c r="G939" s="5" t="n"/>
      <c r="H939" s="5" t="n"/>
    </row>
    <row r="940" hidden="1" s="38">
      <c r="A940" s="25" t="n"/>
      <c r="B940" s="5" t="n"/>
      <c r="C940" s="4" t="n"/>
      <c r="D940" s="5" t="n"/>
      <c r="E940" s="5" t="n"/>
      <c r="F940" s="5" t="n"/>
      <c r="G940" s="5" t="n"/>
      <c r="H940" s="5" t="n"/>
    </row>
    <row r="941" hidden="1" s="38">
      <c r="A941" s="25" t="n"/>
      <c r="B941" s="5" t="n"/>
      <c r="C941" s="4" t="n"/>
      <c r="D941" s="5" t="n"/>
      <c r="E941" s="5" t="n"/>
      <c r="F941" s="5" t="n"/>
      <c r="G941" s="5" t="n"/>
      <c r="H941" s="5" t="n"/>
    </row>
    <row r="942" hidden="1" s="38">
      <c r="A942" s="25" t="n"/>
      <c r="B942" s="5" t="n"/>
      <c r="C942" s="4" t="n"/>
      <c r="D942" s="5" t="n"/>
      <c r="E942" s="5" t="n"/>
      <c r="F942" s="5" t="n"/>
      <c r="G942" s="5" t="n"/>
      <c r="H942" s="5" t="n"/>
    </row>
    <row r="943" hidden="1" s="38">
      <c r="A943" s="25" t="n"/>
      <c r="B943" s="5" t="n"/>
      <c r="C943" s="4" t="n"/>
      <c r="D943" s="5" t="n"/>
      <c r="E943" s="5" t="n"/>
      <c r="F943" s="5" t="n"/>
      <c r="G943" s="5" t="n"/>
      <c r="H943" s="5" t="n"/>
    </row>
    <row r="944" hidden="1" s="38">
      <c r="A944" s="25" t="n"/>
      <c r="B944" s="5" t="n"/>
      <c r="C944" s="4" t="n"/>
      <c r="D944" s="5" t="n"/>
      <c r="E944" s="5" t="n"/>
      <c r="F944" s="5" t="n"/>
      <c r="G944" s="5" t="n"/>
      <c r="H944" s="5" t="n"/>
    </row>
    <row r="945" hidden="1" s="38">
      <c r="A945" s="25" t="n"/>
      <c r="B945" s="5" t="n"/>
      <c r="C945" s="4" t="n"/>
      <c r="D945" s="5" t="n"/>
      <c r="E945" s="5" t="n"/>
      <c r="F945" s="5" t="n"/>
      <c r="G945" s="5" t="n"/>
      <c r="H945" s="5" t="n"/>
    </row>
    <row r="946" hidden="1" s="38">
      <c r="A946" s="25" t="n"/>
      <c r="B946" s="5" t="n"/>
      <c r="C946" s="4" t="n"/>
      <c r="D946" s="5" t="n"/>
      <c r="E946" s="5" t="n"/>
      <c r="F946" s="5" t="n"/>
      <c r="G946" s="5" t="n"/>
      <c r="H946" s="5" t="n"/>
    </row>
    <row r="947" hidden="1" s="38">
      <c r="A947" s="25" t="n"/>
      <c r="B947" s="5" t="n"/>
      <c r="C947" s="4" t="n"/>
      <c r="D947" s="5" t="n"/>
      <c r="E947" s="5" t="n"/>
      <c r="F947" s="5" t="n"/>
      <c r="G947" s="5" t="n"/>
      <c r="H947" s="5" t="n"/>
    </row>
    <row r="948" hidden="1" s="38">
      <c r="A948" s="25" t="n"/>
      <c r="B948" s="5" t="n"/>
      <c r="C948" s="4" t="n"/>
      <c r="D948" s="5" t="n"/>
      <c r="E948" s="5" t="n"/>
      <c r="F948" s="5" t="n"/>
      <c r="G948" s="5" t="n"/>
      <c r="H948" s="5" t="n"/>
    </row>
    <row r="949" hidden="1" s="38">
      <c r="A949" s="25" t="n"/>
      <c r="B949" s="5" t="n"/>
      <c r="C949" s="4" t="n"/>
      <c r="D949" s="5" t="n"/>
      <c r="E949" s="5" t="n"/>
      <c r="F949" s="5" t="n"/>
      <c r="G949" s="5" t="n"/>
      <c r="H949" s="5" t="n"/>
    </row>
    <row r="950" hidden="1" s="38">
      <c r="A950" s="25" t="n"/>
      <c r="B950" s="5" t="n"/>
      <c r="C950" s="4" t="n"/>
      <c r="D950" s="5" t="n"/>
      <c r="E950" s="5" t="n"/>
      <c r="F950" s="5" t="n"/>
      <c r="G950" s="5" t="n"/>
      <c r="H950" s="5" t="n"/>
    </row>
    <row r="951" hidden="1" s="38">
      <c r="A951" s="25" t="n"/>
      <c r="B951" s="5" t="n"/>
      <c r="C951" s="4" t="n"/>
      <c r="D951" s="5" t="n"/>
      <c r="E951" s="5" t="n"/>
      <c r="F951" s="5" t="n"/>
      <c r="G951" s="5" t="n"/>
      <c r="H951" s="5" t="n"/>
    </row>
    <row r="952" hidden="1" s="38">
      <c r="A952" s="25" t="n"/>
      <c r="B952" s="5" t="n"/>
      <c r="C952" s="4" t="n"/>
      <c r="D952" s="5" t="n"/>
      <c r="E952" s="5" t="n"/>
      <c r="F952" s="5" t="n"/>
      <c r="G952" s="5" t="n"/>
      <c r="H952" s="5" t="n"/>
    </row>
    <row r="953" hidden="1" s="38">
      <c r="A953" s="25" t="n"/>
      <c r="B953" s="5" t="n"/>
      <c r="C953" s="4" t="n"/>
      <c r="D953" s="5" t="n"/>
      <c r="E953" s="5" t="n"/>
      <c r="F953" s="5" t="n"/>
      <c r="G953" s="5" t="n"/>
      <c r="H953" s="5" t="n"/>
    </row>
    <row r="954" hidden="1" s="38">
      <c r="A954" s="25" t="n"/>
      <c r="B954" s="5" t="n"/>
      <c r="C954" s="4" t="n"/>
      <c r="D954" s="5" t="n"/>
      <c r="E954" s="5" t="n"/>
      <c r="F954" s="5" t="n"/>
      <c r="G954" s="5" t="n"/>
      <c r="H954" s="5" t="n"/>
    </row>
    <row r="955" hidden="1" s="38">
      <c r="A955" s="25" t="n"/>
      <c r="B955" s="5" t="n"/>
      <c r="C955" s="4" t="n"/>
      <c r="D955" s="5" t="n"/>
      <c r="E955" s="5" t="n"/>
      <c r="F955" s="5" t="n"/>
      <c r="G955" s="5" t="n"/>
      <c r="H955" s="5" t="n"/>
    </row>
    <row r="956" hidden="1" s="38">
      <c r="A956" s="25" t="n"/>
      <c r="B956" s="5" t="n"/>
      <c r="C956" s="4" t="n"/>
      <c r="D956" s="5" t="n"/>
      <c r="E956" s="5" t="n"/>
      <c r="F956" s="5" t="n"/>
      <c r="G956" s="5" t="n"/>
      <c r="H956" s="5" t="n"/>
    </row>
    <row r="957" hidden="1" s="38">
      <c r="A957" s="25" t="n"/>
      <c r="B957" s="5" t="n"/>
      <c r="C957" s="4" t="n"/>
      <c r="D957" s="5" t="n"/>
      <c r="E957" s="5" t="n"/>
      <c r="F957" s="5" t="n"/>
      <c r="G957" s="5" t="n"/>
      <c r="H957" s="5" t="n"/>
    </row>
    <row r="958" hidden="1" s="38">
      <c r="A958" s="25" t="n"/>
      <c r="B958" s="5" t="n"/>
      <c r="C958" s="4" t="n"/>
      <c r="D958" s="5" t="n"/>
      <c r="E958" s="5" t="n"/>
      <c r="F958" s="5" t="n"/>
      <c r="G958" s="5" t="n"/>
      <c r="H958" s="5" t="n"/>
    </row>
    <row r="959" hidden="1" s="38">
      <c r="A959" s="25" t="n"/>
      <c r="B959" s="5" t="n"/>
      <c r="C959" s="4" t="n"/>
      <c r="D959" s="5" t="n"/>
      <c r="E959" s="5" t="n"/>
      <c r="F959" s="5" t="n"/>
      <c r="G959" s="5" t="n"/>
      <c r="H959" s="5" t="n"/>
    </row>
    <row r="960" hidden="1" s="38">
      <c r="A960" s="25" t="n"/>
      <c r="B960" s="5" t="n"/>
      <c r="C960" s="4" t="n"/>
      <c r="D960" s="5" t="n"/>
      <c r="E960" s="5" t="n"/>
      <c r="F960" s="5" t="n"/>
      <c r="G960" s="5" t="n"/>
      <c r="H960" s="5" t="n"/>
    </row>
    <row r="961" hidden="1" s="38">
      <c r="A961" s="25" t="n"/>
      <c r="B961" s="5" t="n"/>
      <c r="C961" s="4" t="n"/>
      <c r="D961" s="5" t="n"/>
      <c r="E961" s="5" t="n"/>
      <c r="F961" s="5" t="n"/>
      <c r="G961" s="5" t="n"/>
      <c r="H961" s="5" t="n"/>
    </row>
    <row r="962" hidden="1" s="38">
      <c r="A962" s="25" t="n"/>
      <c r="B962" s="5" t="n"/>
      <c r="C962" s="4" t="n"/>
      <c r="D962" s="5" t="n"/>
      <c r="E962" s="5" t="n"/>
      <c r="F962" s="5" t="n"/>
      <c r="G962" s="5" t="n"/>
      <c r="H962" s="5" t="n"/>
    </row>
    <row r="963" hidden="1" s="38">
      <c r="A963" s="25" t="n"/>
      <c r="B963" s="5" t="n"/>
      <c r="C963" s="4" t="n"/>
      <c r="D963" s="5" t="n"/>
      <c r="E963" s="5" t="n"/>
      <c r="F963" s="5" t="n"/>
      <c r="G963" s="5" t="n"/>
      <c r="H963" s="5" t="n"/>
    </row>
    <row r="964" hidden="1" s="38">
      <c r="A964" s="25" t="n"/>
      <c r="B964" s="5" t="n"/>
      <c r="C964" s="4" t="n"/>
      <c r="D964" s="5" t="n"/>
      <c r="E964" s="5" t="n"/>
      <c r="F964" s="5" t="n"/>
      <c r="G964" s="5" t="n"/>
      <c r="H964" s="5" t="n"/>
    </row>
    <row r="965" hidden="1" s="38">
      <c r="A965" s="25" t="n"/>
      <c r="B965" s="5" t="n"/>
      <c r="C965" s="4" t="n"/>
      <c r="D965" s="5" t="n"/>
      <c r="E965" s="5" t="n"/>
      <c r="F965" s="5" t="n"/>
      <c r="G965" s="5" t="n"/>
      <c r="H965" s="5" t="n"/>
    </row>
    <row r="966" hidden="1" s="38">
      <c r="A966" s="25" t="n"/>
      <c r="B966" s="5" t="n"/>
      <c r="C966" s="4" t="n"/>
      <c r="D966" s="5" t="n"/>
      <c r="E966" s="5" t="n"/>
      <c r="F966" s="5" t="n"/>
      <c r="G966" s="5" t="n"/>
      <c r="H966" s="5" t="n"/>
    </row>
    <row r="967" hidden="1" s="38">
      <c r="A967" s="25" t="n"/>
      <c r="B967" s="5" t="n"/>
      <c r="C967" s="4" t="n"/>
      <c r="D967" s="5" t="n"/>
      <c r="E967" s="5" t="n"/>
      <c r="F967" s="5" t="n"/>
      <c r="G967" s="5" t="n"/>
      <c r="H967" s="5" t="n"/>
    </row>
    <row r="968" hidden="1" s="38">
      <c r="A968" s="25" t="n"/>
      <c r="B968" s="5" t="n"/>
      <c r="C968" s="4" t="n"/>
      <c r="D968" s="5" t="n"/>
      <c r="E968" s="5" t="n"/>
      <c r="F968" s="5" t="n"/>
      <c r="G968" s="5" t="n"/>
      <c r="H968" s="5" t="n"/>
    </row>
    <row r="969" hidden="1" s="38">
      <c r="A969" s="25" t="n"/>
      <c r="B969" s="5" t="n"/>
      <c r="C969" s="4" t="n"/>
      <c r="D969" s="5" t="n"/>
      <c r="E969" s="5" t="n"/>
      <c r="F969" s="5" t="n"/>
      <c r="G969" s="5" t="n"/>
      <c r="H969" s="5" t="n"/>
    </row>
    <row r="970" hidden="1" s="38">
      <c r="A970" s="25" t="n"/>
      <c r="B970" s="5" t="n"/>
      <c r="C970" s="4" t="n"/>
      <c r="D970" s="5" t="n"/>
      <c r="E970" s="5" t="n"/>
      <c r="F970" s="5" t="n"/>
      <c r="G970" s="5" t="n"/>
      <c r="H970" s="5" t="n"/>
    </row>
    <row r="971" hidden="1" s="38">
      <c r="A971" s="25" t="n"/>
      <c r="B971" s="5" t="n"/>
      <c r="C971" s="4" t="n"/>
      <c r="D971" s="5" t="n"/>
      <c r="E971" s="5" t="n"/>
      <c r="F971" s="5" t="n"/>
      <c r="G971" s="5" t="n"/>
      <c r="H971" s="5" t="n"/>
    </row>
    <row r="972" hidden="1" s="38">
      <c r="A972" s="25" t="n"/>
      <c r="B972" s="5" t="n"/>
      <c r="C972" s="4" t="n"/>
      <c r="D972" s="5" t="n"/>
      <c r="E972" s="5" t="n"/>
      <c r="F972" s="5" t="n"/>
      <c r="G972" s="5" t="n"/>
      <c r="H972" s="5" t="n"/>
    </row>
    <row r="973" hidden="1" s="38">
      <c r="A973" s="25" t="n"/>
      <c r="B973" s="5" t="n"/>
      <c r="C973" s="4" t="n"/>
      <c r="D973" s="5" t="n"/>
      <c r="E973" s="5" t="n"/>
      <c r="F973" s="5" t="n"/>
      <c r="G973" s="5" t="n"/>
      <c r="H973" s="5" t="n"/>
    </row>
    <row r="974" hidden="1" s="38">
      <c r="A974" s="25" t="n"/>
      <c r="B974" s="5" t="n"/>
      <c r="C974" s="4" t="n"/>
      <c r="D974" s="5" t="n"/>
      <c r="E974" s="5" t="n"/>
      <c r="F974" s="5" t="n"/>
      <c r="G974" s="5" t="n"/>
      <c r="H974" s="5" t="n"/>
    </row>
    <row r="975" hidden="1" s="38">
      <c r="A975" s="25" t="n"/>
      <c r="B975" s="5" t="n"/>
      <c r="C975" s="4" t="n"/>
      <c r="D975" s="5" t="n"/>
      <c r="E975" s="5" t="n"/>
      <c r="F975" s="5" t="n"/>
      <c r="G975" s="5" t="n"/>
      <c r="H975" s="5" t="n"/>
    </row>
    <row r="976" hidden="1" s="38">
      <c r="A976" s="25" t="n"/>
      <c r="B976" s="5" t="n"/>
      <c r="C976" s="4" t="n"/>
      <c r="D976" s="5" t="n"/>
      <c r="E976" s="5" t="n"/>
      <c r="F976" s="5" t="n"/>
      <c r="G976" s="5" t="n"/>
      <c r="H976" s="5" t="n"/>
    </row>
    <row r="977" hidden="1" s="38">
      <c r="A977" s="25" t="n"/>
      <c r="B977" s="5" t="n"/>
      <c r="C977" s="4" t="n"/>
      <c r="D977" s="5" t="n"/>
      <c r="E977" s="5" t="n"/>
      <c r="F977" s="5" t="n"/>
      <c r="G977" s="5" t="n"/>
      <c r="H977" s="5" t="n"/>
    </row>
    <row r="978" hidden="1" s="38">
      <c r="A978" s="25" t="n"/>
      <c r="B978" s="5" t="n"/>
      <c r="C978" s="4" t="n"/>
      <c r="D978" s="5" t="n"/>
      <c r="E978" s="5" t="n"/>
      <c r="F978" s="5" t="n"/>
      <c r="G978" s="5" t="n"/>
      <c r="H978" s="5" t="n"/>
    </row>
    <row r="979" hidden="1" s="38">
      <c r="A979" s="25" t="n"/>
      <c r="B979" s="5" t="n"/>
      <c r="C979" s="4" t="n"/>
      <c r="D979" s="5" t="n"/>
      <c r="E979" s="5" t="n"/>
      <c r="F979" s="5" t="n"/>
      <c r="G979" s="5" t="n"/>
      <c r="H979" s="5" t="n"/>
    </row>
    <row r="980" hidden="1" s="38">
      <c r="A980" s="25" t="n"/>
      <c r="B980" s="5" t="n"/>
      <c r="C980" s="4" t="n"/>
      <c r="D980" s="5" t="n"/>
      <c r="E980" s="5" t="n"/>
      <c r="F980" s="5" t="n"/>
      <c r="G980" s="5" t="n"/>
      <c r="H980" s="5" t="n"/>
    </row>
    <row r="981" hidden="1" s="38">
      <c r="A981" s="25" t="n"/>
      <c r="B981" s="5" t="n"/>
      <c r="C981" s="4" t="n"/>
      <c r="D981" s="5" t="n"/>
      <c r="E981" s="5" t="n"/>
      <c r="F981" s="5" t="n"/>
      <c r="G981" s="5" t="n"/>
      <c r="H981" s="5" t="n"/>
    </row>
    <row r="982" hidden="1" s="38">
      <c r="A982" s="25" t="n"/>
      <c r="B982" s="5" t="n"/>
      <c r="C982" s="4" t="n"/>
      <c r="D982" s="5" t="n"/>
      <c r="E982" s="5" t="n"/>
      <c r="F982" s="5" t="n"/>
      <c r="G982" s="5" t="n"/>
      <c r="H982" s="5" t="n"/>
    </row>
    <row r="983" hidden="1" s="38">
      <c r="A983" s="25" t="n"/>
      <c r="B983" s="5" t="n"/>
      <c r="C983" s="4" t="n"/>
      <c r="D983" s="5" t="n"/>
      <c r="E983" s="5" t="n"/>
      <c r="F983" s="5" t="n"/>
      <c r="G983" s="5" t="n"/>
      <c r="H983" s="5" t="n"/>
    </row>
    <row r="984" hidden="1" s="38">
      <c r="A984" s="25" t="n"/>
      <c r="B984" s="5" t="n"/>
      <c r="C984" s="4" t="n"/>
      <c r="D984" s="5" t="n"/>
      <c r="E984" s="5" t="n"/>
      <c r="F984" s="5" t="n"/>
      <c r="G984" s="5" t="n"/>
      <c r="H984" s="5" t="n"/>
    </row>
    <row r="985" hidden="1" s="38">
      <c r="A985" s="25" t="n"/>
      <c r="B985" s="5" t="n"/>
      <c r="C985" s="4" t="n"/>
      <c r="D985" s="5" t="n"/>
      <c r="E985" s="5" t="n"/>
      <c r="F985" s="5" t="n"/>
      <c r="G985" s="5" t="n"/>
      <c r="H985" s="5" t="n"/>
    </row>
    <row r="986" hidden="1" s="38">
      <c r="A986" s="25" t="n"/>
      <c r="B986" s="5" t="n"/>
      <c r="C986" s="4" t="n"/>
      <c r="D986" s="5" t="n"/>
      <c r="E986" s="5" t="n"/>
      <c r="F986" s="5" t="n"/>
      <c r="G986" s="5" t="n"/>
      <c r="H986" s="5" t="n"/>
    </row>
    <row r="987" hidden="1" s="38">
      <c r="A987" s="25" t="n"/>
      <c r="B987" s="5" t="n"/>
      <c r="C987" s="4" t="n"/>
      <c r="D987" s="5" t="n"/>
      <c r="E987" s="5" t="n"/>
      <c r="F987" s="5" t="n"/>
      <c r="G987" s="5" t="n"/>
      <c r="H987" s="5" t="n"/>
    </row>
    <row r="988" hidden="1" s="38">
      <c r="A988" s="25" t="n"/>
      <c r="B988" s="5" t="n"/>
      <c r="C988" s="4" t="n"/>
      <c r="D988" s="5" t="n"/>
      <c r="E988" s="5" t="n"/>
      <c r="F988" s="5" t="n"/>
      <c r="G988" s="5" t="n"/>
      <c r="H988" s="5" t="n"/>
    </row>
    <row r="989" hidden="1" s="38">
      <c r="A989" s="25" t="n"/>
      <c r="B989" s="5" t="n"/>
      <c r="C989" s="4" t="n"/>
      <c r="D989" s="5" t="n"/>
      <c r="E989" s="5" t="n"/>
      <c r="F989" s="5" t="n"/>
      <c r="G989" s="5" t="n"/>
      <c r="H989" s="5" t="n"/>
    </row>
    <row r="990" hidden="1" s="38">
      <c r="A990" s="25" t="n"/>
      <c r="B990" s="5" t="n"/>
      <c r="C990" s="4" t="n"/>
      <c r="D990" s="5" t="n"/>
      <c r="E990" s="5" t="n"/>
      <c r="F990" s="5" t="n"/>
      <c r="G990" s="5" t="n"/>
      <c r="H990" s="5" t="n"/>
    </row>
    <row r="991" hidden="1" s="38">
      <c r="A991" s="25" t="n"/>
      <c r="B991" s="5" t="n"/>
      <c r="C991" s="4" t="n"/>
      <c r="D991" s="5" t="n"/>
      <c r="E991" s="5" t="n"/>
      <c r="F991" s="5" t="n"/>
      <c r="G991" s="5" t="n"/>
      <c r="H991" s="5" t="n"/>
    </row>
    <row r="992" hidden="1" s="38">
      <c r="A992" s="25" t="n"/>
      <c r="B992" s="5" t="n"/>
      <c r="C992" s="4" t="n"/>
      <c r="D992" s="5" t="n"/>
      <c r="E992" s="5" t="n"/>
      <c r="F992" s="5" t="n"/>
      <c r="G992" s="5" t="n"/>
      <c r="H992" s="5" t="n"/>
    </row>
    <row r="993" hidden="1" s="38">
      <c r="A993" s="25" t="n"/>
      <c r="B993" s="5" t="n"/>
      <c r="C993" s="4" t="n"/>
      <c r="D993" s="5" t="n"/>
      <c r="E993" s="5" t="n"/>
      <c r="F993" s="5" t="n"/>
      <c r="G993" s="5" t="n"/>
      <c r="H993" s="5" t="n"/>
    </row>
    <row r="994" hidden="1" s="38">
      <c r="A994" s="25" t="n"/>
      <c r="B994" s="5" t="n"/>
      <c r="C994" s="4" t="n"/>
      <c r="D994" s="5" t="n"/>
      <c r="E994" s="5" t="n"/>
      <c r="F994" s="5" t="n"/>
      <c r="G994" s="5" t="n"/>
      <c r="H994" s="5" t="n"/>
    </row>
    <row r="995" hidden="1" s="38">
      <c r="A995" s="25" t="n"/>
      <c r="B995" s="5" t="n"/>
      <c r="C995" s="4" t="n"/>
      <c r="D995" s="5" t="n"/>
      <c r="E995" s="5" t="n"/>
      <c r="F995" s="5" t="n"/>
      <c r="G995" s="5" t="n"/>
      <c r="H995" s="5" t="n"/>
    </row>
    <row r="996" hidden="1" s="38">
      <c r="A996" s="25" t="n"/>
      <c r="B996" s="5" t="n"/>
      <c r="C996" s="4" t="n"/>
      <c r="D996" s="5" t="n"/>
      <c r="E996" s="5" t="n"/>
      <c r="F996" s="5" t="n"/>
      <c r="G996" s="5" t="n"/>
      <c r="H996" s="5" t="n"/>
    </row>
    <row r="997" hidden="1" s="38">
      <c r="A997" s="25" t="n"/>
      <c r="B997" s="5" t="n"/>
      <c r="C997" s="4" t="n"/>
      <c r="D997" s="5" t="n"/>
      <c r="E997" s="5" t="n"/>
      <c r="F997" s="5" t="n"/>
      <c r="G997" s="5" t="n"/>
      <c r="H997" s="5" t="n"/>
    </row>
    <row r="998" hidden="1" s="38">
      <c r="A998" s="25" t="n"/>
      <c r="B998" s="5" t="n"/>
      <c r="C998" s="4" t="n"/>
      <c r="D998" s="5" t="n"/>
      <c r="E998" s="5" t="n"/>
      <c r="F998" s="5" t="n"/>
      <c r="G998" s="5" t="n"/>
      <c r="H998" s="5" t="n"/>
    </row>
    <row r="999" hidden="1" s="38">
      <c r="A999" s="25" t="n"/>
      <c r="B999" s="5" t="n"/>
      <c r="C999" s="4" t="n"/>
      <c r="D999" s="5" t="n"/>
      <c r="E999" s="5" t="n"/>
      <c r="F999" s="5" t="n"/>
      <c r="G999" s="5" t="n"/>
      <c r="H999" s="5" t="n"/>
    </row>
    <row r="1000" hidden="1" s="38">
      <c r="A1000" s="25" t="n"/>
      <c r="B1000" s="5" t="n"/>
      <c r="C1000" s="4" t="n"/>
      <c r="D1000" s="5" t="n"/>
      <c r="E1000" s="5" t="n"/>
      <c r="F1000" s="5" t="n"/>
      <c r="G1000" s="5" t="n"/>
      <c r="H1000" s="5" t="n"/>
    </row>
  </sheetData>
  <autoFilter ref="A4:H1000">
    <filterColumn colId="1" hiddenButton="0" showButton="1">
      <filters>
        <filter val="JAQUELIN JAZMIN ROMERO FLORES"/>
        <filter val="JAZMIN ABIGAIL VASQUEZ AVELAR"/>
      </filters>
    </filterColumn>
  </autoFilter>
  <conditionalFormatting sqref="H5:H1000">
    <cfRule type="expression" priority="1" dxfId="16">
      <formula>AND($H5&lt;&gt;"",COUNTIF('Base Exámenes'!$C$5:$C$1000,TRIM($A5))&gt;0)</formula>
    </cfRule>
  </conditionalFormatting>
  <dataValidations count="3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OFFSET(Cálculos!$W$6,0,0,COUNTIF(Cálculos!$W$6:$W$85,"?*"),1)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OFFSET(Cálculos!$V$6,0,0,COUNTIF(Cálculos!$V$6:$V$25,"?*"),1)</formula1>
    </dataValidation>
    <dataValidation sqref="H5:H1000" showDropDown="0" showInputMessage="1" showErrorMessage="1" allowBlank="1" errorTitle="Valor no válido" error="Elija una situación de la lista o deje la celda vacía." promptTitle="Situación especial" prompt="Déjelo vacío si la persona está activa. Elija una opción si está de vacaciones, incapacitada o renunció." type="list">
      <formula1>Cálculos!$AS$5:$AS$8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52" customWidth="1" style="38" min="1" max="1"/>
    <col width="62" customWidth="1" style="38" min="2" max="2"/>
    <col width="22" customWidth="1" style="38" min="3" max="3"/>
    <col width="23" customWidth="1" style="38" min="4" max="4"/>
    <col width="24" customWidth="1" style="38" min="5" max="5"/>
    <col width="21" customWidth="1" style="38" min="6" max="6"/>
    <col width="12" customWidth="1" style="38" min="7" max="7"/>
    <col width="13" customWidth="1" style="38" min="8" max="8"/>
    <col hidden="1" width="13" customWidth="1" style="38" min="9" max="9"/>
  </cols>
  <sheetData>
    <row r="1" ht="21" customHeight="1" s="38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 ht="28.8" customHeight="1" s="38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25" t="inlineStr">
        <is>
          <t>524</t>
        </is>
      </c>
      <c r="D5" s="9" t="n">
        <v>46296.42706018518</v>
      </c>
      <c r="E5" s="9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25" t="inlineStr">
        <is>
          <t>894</t>
        </is>
      </c>
      <c r="D6" s="9" t="n">
        <v>46296.42641203704</v>
      </c>
      <c r="E6" s="9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25" t="inlineStr">
        <is>
          <t>408</t>
        </is>
      </c>
      <c r="D7" s="9" t="n">
        <v>46296.43667824074</v>
      </c>
      <c r="E7" s="9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25" t="inlineStr">
        <is>
          <t>197</t>
        </is>
      </c>
      <c r="D8" s="9" t="n">
        <v>46296.43491898148</v>
      </c>
      <c r="E8" s="9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25" t="inlineStr">
        <is>
          <t>817</t>
        </is>
      </c>
      <c r="D9" s="9" t="n">
        <v>46296.43665509259</v>
      </c>
      <c r="E9" s="9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25" t="inlineStr">
        <is>
          <t>932</t>
        </is>
      </c>
      <c r="D10" s="9" t="n">
        <v>46296.4371875</v>
      </c>
      <c r="E10" s="9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25" t="inlineStr">
        <is>
          <t>318</t>
        </is>
      </c>
      <c r="D11" s="9" t="n">
        <v>46296.43657407408</v>
      </c>
      <c r="E11" s="9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25" t="inlineStr">
        <is>
          <t>776</t>
        </is>
      </c>
      <c r="D12" s="9" t="n">
        <v>46296.44304398148</v>
      </c>
      <c r="E12" s="9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25" t="inlineStr">
        <is>
          <t>390</t>
        </is>
      </c>
      <c r="D13" s="9" t="n">
        <v>46296.44636574074</v>
      </c>
      <c r="E13" s="9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25" t="inlineStr">
        <is>
          <t>907</t>
        </is>
      </c>
      <c r="D14" s="9" t="n">
        <v>46296.44221064815</v>
      </c>
      <c r="E14" s="9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25" t="inlineStr">
        <is>
          <t>918</t>
        </is>
      </c>
      <c r="D15" s="9" t="n">
        <v>46296.4418287037</v>
      </c>
      <c r="E15" s="9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25" t="inlineStr">
        <is>
          <t>710</t>
        </is>
      </c>
      <c r="D16" s="9" t="n">
        <v>46296.44082175926</v>
      </c>
      <c r="E16" s="9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25" t="inlineStr">
        <is>
          <t>950</t>
        </is>
      </c>
      <c r="D17" s="9" t="n">
        <v>46296.44081018519</v>
      </c>
      <c r="E17" s="9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25" t="inlineStr">
        <is>
          <t>807</t>
        </is>
      </c>
      <c r="D18" s="9" t="n">
        <v>46296.44934027778</v>
      </c>
      <c r="E18" s="9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25" t="inlineStr">
        <is>
          <t>633</t>
        </is>
      </c>
      <c r="D19" s="9" t="n">
        <v>46296.45108796296</v>
      </c>
      <c r="E19" s="9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25" t="inlineStr">
        <is>
          <t>545</t>
        </is>
      </c>
      <c r="D20" s="9" t="n">
        <v>46296.44934027778</v>
      </c>
      <c r="E20" s="9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25" t="inlineStr">
        <is>
          <t>901</t>
        </is>
      </c>
      <c r="D21" s="9" t="n">
        <v>46296.45403935185</v>
      </c>
      <c r="E21" s="9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25" t="inlineStr">
        <is>
          <t>777</t>
        </is>
      </c>
      <c r="D22" s="9" t="n">
        <v>46296.45601851852</v>
      </c>
      <c r="E22" s="9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25" t="inlineStr">
        <is>
          <t>452</t>
        </is>
      </c>
      <c r="D23" s="9" t="n">
        <v>46296.45732638889</v>
      </c>
      <c r="E23" s="9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25" t="inlineStr">
        <is>
          <t>689</t>
        </is>
      </c>
      <c r="D24" s="9" t="n">
        <v>46296.45379629629</v>
      </c>
      <c r="E24" s="9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25" t="inlineStr">
        <is>
          <t>360</t>
        </is>
      </c>
      <c r="D25" s="9" t="n">
        <v>46296.47090277778</v>
      </c>
      <c r="E25" s="9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25" t="inlineStr">
        <is>
          <t>862</t>
        </is>
      </c>
      <c r="D26" s="9" t="n">
        <v>46296.47011574074</v>
      </c>
      <c r="E26" s="9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25" t="inlineStr">
        <is>
          <t>914</t>
        </is>
      </c>
      <c r="D27" s="9" t="n">
        <v>46296.47130787037</v>
      </c>
      <c r="E27" s="9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25" t="inlineStr">
        <is>
          <t>984</t>
        </is>
      </c>
      <c r="D28" s="9" t="n">
        <v>46296.4722337963</v>
      </c>
      <c r="E28" s="9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25" t="inlineStr">
        <is>
          <t>860</t>
        </is>
      </c>
      <c r="D29" s="9" t="n">
        <v>46296.47424768518</v>
      </c>
      <c r="E29" s="9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25" t="inlineStr">
        <is>
          <t>583</t>
        </is>
      </c>
      <c r="D30" s="9" t="n">
        <v>46296.48392361111</v>
      </c>
      <c r="E30" s="9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25" t="inlineStr">
        <is>
          <t>443</t>
        </is>
      </c>
      <c r="D31" s="9" t="n">
        <v>46296.48201388889</v>
      </c>
      <c r="E31" s="9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25" t="inlineStr">
        <is>
          <t>200</t>
        </is>
      </c>
      <c r="D32" s="9" t="n">
        <v>46296.48715277778</v>
      </c>
      <c r="E32" s="9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25" t="inlineStr">
        <is>
          <t>985</t>
        </is>
      </c>
      <c r="D33" s="9" t="n">
        <v>46296.48653935185</v>
      </c>
      <c r="E33" s="9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25" t="inlineStr">
        <is>
          <t>983</t>
        </is>
      </c>
      <c r="D34" s="9" t="n">
        <v>46296.49111111111</v>
      </c>
      <c r="E34" s="9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25" t="inlineStr">
        <is>
          <t>671</t>
        </is>
      </c>
      <c r="D35" s="9" t="n">
        <v>46296.54665509259</v>
      </c>
      <c r="E35" s="9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25" t="inlineStr">
        <is>
          <t>632</t>
        </is>
      </c>
      <c r="D36" s="9" t="n">
        <v>46296.56951388889</v>
      </c>
      <c r="E36" s="9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25" t="inlineStr">
        <is>
          <t>320</t>
        </is>
      </c>
      <c r="D37" s="9" t="n">
        <v>46296.56962962963</v>
      </c>
      <c r="E37" s="9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25" t="inlineStr">
        <is>
          <t>750</t>
        </is>
      </c>
      <c r="D38" s="9" t="n">
        <v>46296.61756944445</v>
      </c>
      <c r="E38" s="9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25" t="inlineStr">
        <is>
          <t>784</t>
        </is>
      </c>
      <c r="D39" s="9" t="n">
        <v>46296.61537037037</v>
      </c>
      <c r="E39" s="9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25" t="inlineStr">
        <is>
          <t>952</t>
        </is>
      </c>
      <c r="D40" s="9" t="n">
        <v>46296.64626157407</v>
      </c>
      <c r="E40" s="9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25" t="inlineStr">
        <is>
          <t>239</t>
        </is>
      </c>
      <c r="D41" s="9" t="n">
        <v>46296.64138888889</v>
      </c>
      <c r="E41" s="9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25" t="inlineStr">
        <is>
          <t>944</t>
        </is>
      </c>
      <c r="D42" s="9" t="n">
        <v>46296.64094907408</v>
      </c>
      <c r="E42" s="9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25" t="inlineStr">
        <is>
          <t>865</t>
        </is>
      </c>
      <c r="D43" s="9" t="n">
        <v>46296.6762037037</v>
      </c>
      <c r="E43" s="9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25" t="inlineStr">
        <is>
          <t>869</t>
        </is>
      </c>
      <c r="D44" s="9" t="n">
        <v>46296.67916666667</v>
      </c>
      <c r="E44" s="9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25" t="inlineStr">
        <is>
          <t>548</t>
        </is>
      </c>
      <c r="D45" s="9" t="n">
        <v>46296.70424768519</v>
      </c>
      <c r="E45" s="9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25" t="inlineStr">
        <is>
          <t>980</t>
        </is>
      </c>
      <c r="D46" s="9" t="n">
        <v>46296.71229166666</v>
      </c>
      <c r="E46" s="9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25" t="inlineStr">
        <is>
          <t>373</t>
        </is>
      </c>
      <c r="D47" s="9" t="n">
        <v>46296.82646990741</v>
      </c>
      <c r="E47" s="9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25" t="inlineStr">
        <is>
          <t>773</t>
        </is>
      </c>
      <c r="D48" s="9" t="n">
        <v>46297.46885416667</v>
      </c>
      <c r="E48" s="9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25" t="inlineStr">
        <is>
          <t>474</t>
        </is>
      </c>
      <c r="D49" s="9" t="n">
        <v>46297.48075231481</v>
      </c>
      <c r="E49" s="9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25" t="inlineStr">
        <is>
          <t>793</t>
        </is>
      </c>
      <c r="D50" s="9" t="n">
        <v>46297.45885416667</v>
      </c>
      <c r="E50" s="9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25" t="inlineStr">
        <is>
          <t>349</t>
        </is>
      </c>
      <c r="D51" s="9" t="n">
        <v>46297.63677083333</v>
      </c>
      <c r="E51" s="9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25" t="inlineStr">
        <is>
          <t>345</t>
        </is>
      </c>
      <c r="D52" s="9" t="n">
        <v>46297.64716435185</v>
      </c>
      <c r="E52" s="9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25" t="inlineStr">
        <is>
          <t>492</t>
        </is>
      </c>
      <c r="D53" s="9" t="n">
        <v>46297.65282407407</v>
      </c>
      <c r="E53" s="9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25" t="inlineStr">
        <is>
          <t>715</t>
        </is>
      </c>
      <c r="D54" s="9" t="n">
        <v>46297.7059375</v>
      </c>
      <c r="E54" s="9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25" t="inlineStr">
        <is>
          <t>308</t>
        </is>
      </c>
      <c r="D55" s="9" t="n">
        <v>46297.71155092592</v>
      </c>
      <c r="E55" s="9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25" t="inlineStr">
        <is>
          <t>959</t>
        </is>
      </c>
      <c r="D56" s="9" t="n">
        <v>46297.77194444444</v>
      </c>
      <c r="E56" s="9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25" t="inlineStr">
        <is>
          <t>224</t>
        </is>
      </c>
      <c r="D57" s="9" t="n">
        <v>46297.83465277778</v>
      </c>
      <c r="E57" s="9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25" t="inlineStr">
        <is>
          <t>522</t>
        </is>
      </c>
      <c r="D58" s="9" t="n">
        <v>46297.84774305556</v>
      </c>
      <c r="E58" s="9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25" t="inlineStr">
        <is>
          <t>684</t>
        </is>
      </c>
      <c r="D59" s="9" t="n">
        <v>46298.29701388889</v>
      </c>
      <c r="E59" s="9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25" t="inlineStr">
        <is>
          <t>430</t>
        </is>
      </c>
      <c r="D60" s="9" t="n">
        <v>46298.33667824074</v>
      </c>
      <c r="E60" s="9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25" t="inlineStr">
        <is>
          <t>587</t>
        </is>
      </c>
      <c r="D61" s="9" t="n">
        <v>46298.40037037037</v>
      </c>
      <c r="E61" s="9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25" t="inlineStr">
        <is>
          <t>875</t>
        </is>
      </c>
      <c r="D62" s="9" t="n">
        <v>46298.40277777778</v>
      </c>
      <c r="E62" s="9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25" t="inlineStr">
        <is>
          <t>387</t>
        </is>
      </c>
      <c r="D63" s="9" t="n">
        <v>46298.41678240741</v>
      </c>
      <c r="E63" s="9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25" t="inlineStr">
        <is>
          <t>719</t>
        </is>
      </c>
      <c r="D64" s="9" t="n">
        <v>46298.40983796296</v>
      </c>
      <c r="E64" s="9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25" t="inlineStr">
        <is>
          <t>973</t>
        </is>
      </c>
      <c r="D65" s="9" t="n">
        <v>46298.50091435185</v>
      </c>
      <c r="E65" s="9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25" t="inlineStr">
        <is>
          <t>733</t>
        </is>
      </c>
      <c r="D66" s="9" t="n">
        <v>46300.30724537037</v>
      </c>
      <c r="E66" s="9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25" t="inlineStr">
        <is>
          <t>680</t>
        </is>
      </c>
      <c r="D67" s="9" t="n">
        <v>46300.38666666667</v>
      </c>
      <c r="E67" s="9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25" t="inlineStr">
        <is>
          <t>830</t>
        </is>
      </c>
      <c r="D68" s="9" t="n">
        <v>46300.39452546297</v>
      </c>
      <c r="E68" s="9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25" t="inlineStr">
        <is>
          <t>430</t>
        </is>
      </c>
      <c r="D69" s="9" t="n">
        <v>46300.39993055556</v>
      </c>
      <c r="E69" s="9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25" t="inlineStr">
        <is>
          <t>215</t>
        </is>
      </c>
      <c r="D70" s="9" t="n">
        <v>46300.40697916667</v>
      </c>
      <c r="E70" s="9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25" t="inlineStr">
        <is>
          <t>281</t>
        </is>
      </c>
      <c r="D71" s="9" t="n">
        <v>46300.46083333333</v>
      </c>
      <c r="E71" s="9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25" t="inlineStr">
        <is>
          <t>852</t>
        </is>
      </c>
      <c r="D72" s="9" t="n">
        <v>46300.52502314815</v>
      </c>
      <c r="E72" s="9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25" t="inlineStr">
        <is>
          <t>880</t>
        </is>
      </c>
      <c r="D73" s="9" t="n">
        <v>46300.57717592592</v>
      </c>
      <c r="E73" s="9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25" t="inlineStr">
        <is>
          <t>883</t>
        </is>
      </c>
      <c r="D74" s="9" t="n">
        <v>46300.58234953704</v>
      </c>
      <c r="E74" s="9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25" t="inlineStr">
        <is>
          <t>221</t>
        </is>
      </c>
      <c r="D75" s="9" t="n">
        <v>46300.58730324074</v>
      </c>
      <c r="E75" s="9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25" t="inlineStr">
        <is>
          <t>926</t>
        </is>
      </c>
      <c r="D76" s="9" t="n">
        <v>46300.60138888889</v>
      </c>
      <c r="E76" s="9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25" t="inlineStr">
        <is>
          <t>929</t>
        </is>
      </c>
      <c r="D77" s="9" t="n">
        <v>46300.62287037037</v>
      </c>
      <c r="E77" s="9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25" t="inlineStr">
        <is>
          <t>433</t>
        </is>
      </c>
      <c r="D78" s="9" t="n">
        <v>46300.6215162037</v>
      </c>
      <c r="E78" s="9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25" t="inlineStr">
        <is>
          <t>259</t>
        </is>
      </c>
      <c r="D79" s="9" t="n">
        <v>46300.63085648148</v>
      </c>
      <c r="E79" s="9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25" t="inlineStr">
        <is>
          <t>53</t>
        </is>
      </c>
      <c r="D80" s="9" t="n">
        <v>46300.65247685185</v>
      </c>
      <c r="E80" s="9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25" t="inlineStr">
        <is>
          <t>222</t>
        </is>
      </c>
      <c r="D81" s="9" t="n">
        <v>46300.65453703704</v>
      </c>
      <c r="E81" s="9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25" t="inlineStr">
        <is>
          <t>728</t>
        </is>
      </c>
      <c r="D82" s="9" t="n">
        <v>46300.67056712963</v>
      </c>
      <c r="E82" s="9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25" t="inlineStr">
        <is>
          <t>801</t>
        </is>
      </c>
      <c r="D83" s="9" t="n">
        <v>46300.68642361111</v>
      </c>
      <c r="E83" s="9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25" t="inlineStr">
        <is>
          <t>409</t>
        </is>
      </c>
      <c r="D84" s="9" t="n">
        <v>46300.68533564815</v>
      </c>
      <c r="E84" s="9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25" t="inlineStr">
        <is>
          <t>803</t>
        </is>
      </c>
      <c r="D85" s="9" t="n">
        <v>46300.70214120371</v>
      </c>
      <c r="E85" s="9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25" t="inlineStr">
        <is>
          <t>599</t>
        </is>
      </c>
      <c r="D86" s="9" t="n">
        <v>46300.7419212963</v>
      </c>
      <c r="E86" s="9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25" t="inlineStr">
        <is>
          <t>55</t>
        </is>
      </c>
      <c r="D87" s="9" t="n">
        <v>46300.80671296296</v>
      </c>
      <c r="E87" s="9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25" t="inlineStr">
        <is>
          <t>903</t>
        </is>
      </c>
      <c r="D88" s="9" t="n">
        <v>46301.42581018519</v>
      </c>
      <c r="E88" s="9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25" t="inlineStr">
        <is>
          <t>490</t>
        </is>
      </c>
      <c r="D89" s="9" t="n">
        <v>46301.4247337963</v>
      </c>
      <c r="E89" s="9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25" t="inlineStr">
        <is>
          <t>872</t>
        </is>
      </c>
      <c r="D90" s="9" t="n">
        <v>46301.43630787037</v>
      </c>
      <c r="E90" s="9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25" t="inlineStr">
        <is>
          <t>782</t>
        </is>
      </c>
      <c r="D91" s="9" t="n">
        <v>46301.42778935185</v>
      </c>
      <c r="E91" s="9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25" t="inlineStr">
        <is>
          <t>166</t>
        </is>
      </c>
      <c r="D92" s="9" t="n">
        <v>46301.48449074074</v>
      </c>
      <c r="E92" s="9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25" t="inlineStr">
        <is>
          <t>456</t>
        </is>
      </c>
      <c r="D93" s="9" t="n">
        <v>46301.48697916666</v>
      </c>
      <c r="E93" s="9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25" t="inlineStr">
        <is>
          <t>456</t>
        </is>
      </c>
      <c r="D94" s="9" t="n">
        <v>46301.5078587963</v>
      </c>
      <c r="E94" s="9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25" t="inlineStr">
        <is>
          <t>982</t>
        </is>
      </c>
      <c r="D95" s="9" t="n">
        <v>46301.61615740741</v>
      </c>
      <c r="E95" s="9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25" t="inlineStr">
        <is>
          <t>853</t>
        </is>
      </c>
      <c r="D96" s="9" t="n">
        <v>46301.62170138889</v>
      </c>
      <c r="E96" s="9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25" t="inlineStr">
        <is>
          <t>780</t>
        </is>
      </c>
      <c r="D97" s="9" t="n">
        <v>46301.65331018518</v>
      </c>
      <c r="E97" s="9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25" t="inlineStr">
        <is>
          <t>589</t>
        </is>
      </c>
      <c r="D98" s="9" t="n">
        <v>46301.67337962963</v>
      </c>
      <c r="E98" s="9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25" t="inlineStr">
        <is>
          <t>119</t>
        </is>
      </c>
      <c r="D99" s="9" t="n">
        <v>46302.42083333333</v>
      </c>
      <c r="E99" s="9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25" t="inlineStr">
        <is>
          <t>585</t>
        </is>
      </c>
      <c r="D100" s="9" t="n">
        <v>46302.46341435185</v>
      </c>
      <c r="E100" s="9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25" t="inlineStr">
        <is>
          <t>960</t>
        </is>
      </c>
      <c r="D101" s="9" t="n">
        <v>46302.46998842592</v>
      </c>
      <c r="E101" s="9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25" t="inlineStr">
        <is>
          <t>837</t>
        </is>
      </c>
      <c r="D102" s="9" t="n">
        <v>46302.47519675926</v>
      </c>
      <c r="E102" s="9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25" t="inlineStr">
        <is>
          <t>700</t>
        </is>
      </c>
      <c r="D103" s="9" t="n">
        <v>46302.55385416667</v>
      </c>
      <c r="E103" s="9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25" t="inlineStr">
        <is>
          <t>922</t>
        </is>
      </c>
      <c r="D104" s="9" t="n">
        <v>46302.57461805556</v>
      </c>
      <c r="E104" s="9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25" t="inlineStr">
        <is>
          <t>827</t>
        </is>
      </c>
      <c r="D105" s="9" t="n">
        <v>46302.5837962963</v>
      </c>
      <c r="E105" s="9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25" t="inlineStr">
        <is>
          <t>967</t>
        </is>
      </c>
      <c r="D106" s="9" t="n">
        <v>46302.58623842592</v>
      </c>
      <c r="E106" s="9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25" t="inlineStr">
        <is>
          <t>976</t>
        </is>
      </c>
      <c r="D107" s="9" t="n">
        <v>46302.59699074074</v>
      </c>
      <c r="E107" s="9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25" t="inlineStr">
        <is>
          <t>953</t>
        </is>
      </c>
      <c r="D108" s="9" t="n">
        <v>46302.62548611111</v>
      </c>
      <c r="E108" s="9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25" t="inlineStr">
        <is>
          <t>412</t>
        </is>
      </c>
      <c r="D109" s="9" t="n">
        <v>46302.48877314815</v>
      </c>
      <c r="E109" s="9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25" t="inlineStr">
        <is>
          <t>936</t>
        </is>
      </c>
      <c r="D110" s="9" t="n">
        <v>46302.63322916667</v>
      </c>
      <c r="E110" s="9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25" t="inlineStr">
        <is>
          <t>89</t>
        </is>
      </c>
      <c r="D111" s="9" t="n">
        <v>46302.64388888889</v>
      </c>
      <c r="E111" s="9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25" t="inlineStr">
        <is>
          <t>542</t>
        </is>
      </c>
      <c r="D112" s="9" t="n">
        <v>46302.63820601852</v>
      </c>
      <c r="E112" s="9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25" t="inlineStr">
        <is>
          <t>343</t>
        </is>
      </c>
      <c r="D113" s="9" t="n">
        <v>46302.70020833334</v>
      </c>
      <c r="E113" s="9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25" t="inlineStr">
        <is>
          <t>909</t>
        </is>
      </c>
      <c r="D114" s="9" t="n">
        <v>46302.70101851852</v>
      </c>
      <c r="E114" s="9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25" t="inlineStr">
        <is>
          <t>892</t>
        </is>
      </c>
      <c r="D115" s="9" t="n">
        <v>46303.38890046296</v>
      </c>
      <c r="E115" s="9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25" t="inlineStr">
        <is>
          <t>159</t>
        </is>
      </c>
      <c r="D116" s="9" t="n">
        <v>46303.39310185185</v>
      </c>
      <c r="E116" s="9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25" t="inlineStr">
        <is>
          <t>757</t>
        </is>
      </c>
      <c r="D117" s="9" t="n">
        <v>46303.44171296297</v>
      </c>
      <c r="E117" s="9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25" t="inlineStr">
        <is>
          <t>912</t>
        </is>
      </c>
      <c r="D118" s="9" t="n">
        <v>46303.45423611111</v>
      </c>
      <c r="E118" s="9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25" t="inlineStr">
        <is>
          <t>251</t>
        </is>
      </c>
      <c r="D119" s="9" t="n">
        <v>46303.45815972222</v>
      </c>
      <c r="E119" s="9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25" t="inlineStr">
        <is>
          <t>961</t>
        </is>
      </c>
      <c r="D120" s="9" t="n">
        <v>46303.53456018519</v>
      </c>
      <c r="E120" s="9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25" t="inlineStr">
        <is>
          <t>778</t>
        </is>
      </c>
      <c r="D121" s="9" t="n">
        <v>46304.33164351852</v>
      </c>
      <c r="E121" s="9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25" t="inlineStr">
        <is>
          <t>676</t>
        </is>
      </c>
      <c r="D122" s="9" t="n">
        <v>46304.35847222222</v>
      </c>
      <c r="E122" s="9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25" t="inlineStr">
        <is>
          <t>472</t>
        </is>
      </c>
      <c r="D123" s="9" t="n">
        <v>46304.37324074074</v>
      </c>
      <c r="E123" s="9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25" t="inlineStr">
        <is>
          <t>712</t>
        </is>
      </c>
      <c r="D124" s="9" t="n">
        <v>46304.37309027778</v>
      </c>
      <c r="E124" s="9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25" t="inlineStr">
        <is>
          <t>633</t>
        </is>
      </c>
      <c r="D125" s="9" t="n">
        <v>46304.37530092592</v>
      </c>
      <c r="E125" s="9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25" t="inlineStr">
        <is>
          <t>806</t>
        </is>
      </c>
      <c r="D126" s="9" t="n">
        <v>46304.36936342593</v>
      </c>
      <c r="E126" s="9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25" t="inlineStr">
        <is>
          <t>439</t>
        </is>
      </c>
      <c r="D127" s="9" t="n">
        <v>46304.3803587963</v>
      </c>
      <c r="E127" s="9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25" t="inlineStr">
        <is>
          <t>824</t>
        </is>
      </c>
      <c r="D128" s="9" t="n">
        <v>46304.37327546296</v>
      </c>
      <c r="E128" s="9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25" t="inlineStr">
        <is>
          <t>879</t>
        </is>
      </c>
      <c r="D129" s="9" t="n">
        <v>46304.39172453704</v>
      </c>
      <c r="E129" s="9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25" t="inlineStr">
        <is>
          <t>850</t>
        </is>
      </c>
      <c r="D130" s="9" t="n">
        <v>46304.38685185185</v>
      </c>
      <c r="E130" s="9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25" t="inlineStr">
        <is>
          <t>783</t>
        </is>
      </c>
      <c r="D131" s="9" t="n">
        <v>46304.39583333334</v>
      </c>
      <c r="E131" s="9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25" t="inlineStr">
        <is>
          <t>742</t>
        </is>
      </c>
      <c r="D132" s="9" t="n">
        <v>46304.39957175926</v>
      </c>
      <c r="E132" s="9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25" t="inlineStr">
        <is>
          <t>424</t>
        </is>
      </c>
      <c r="D133" s="9" t="n">
        <v>46304.40168981482</v>
      </c>
      <c r="E133" s="9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25" t="inlineStr">
        <is>
          <t>948</t>
        </is>
      </c>
      <c r="D134" s="9" t="n">
        <v>46304.40207175926</v>
      </c>
      <c r="E134" s="9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25" t="inlineStr">
        <is>
          <t>804</t>
        </is>
      </c>
      <c r="D135" s="9" t="n">
        <v>46304.4034837963</v>
      </c>
      <c r="E135" s="9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25" t="inlineStr">
        <is>
          <t>470</t>
        </is>
      </c>
      <c r="D136" s="9" t="n">
        <v>46304.40576388889</v>
      </c>
      <c r="E136" s="9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25" t="inlineStr">
        <is>
          <t>290</t>
        </is>
      </c>
      <c r="D137" s="9" t="n">
        <v>46304.406875</v>
      </c>
      <c r="E137" s="9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25" t="inlineStr">
        <is>
          <t>422</t>
        </is>
      </c>
      <c r="D138" s="9" t="n">
        <v>46304.40586805555</v>
      </c>
      <c r="E138" s="9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25" t="inlineStr">
        <is>
          <t>678</t>
        </is>
      </c>
      <c r="D139" s="9" t="n">
        <v>46304.41604166666</v>
      </c>
      <c r="E139" s="9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25" t="inlineStr">
        <is>
          <t>781</t>
        </is>
      </c>
      <c r="D140" s="9" t="n">
        <v>46304.42932870371</v>
      </c>
      <c r="E140" s="9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25" t="inlineStr">
        <is>
          <t>572</t>
        </is>
      </c>
      <c r="D141" s="9" t="n">
        <v>46304.49410879629</v>
      </c>
      <c r="E141" s="9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25" t="inlineStr">
        <is>
          <t>972</t>
        </is>
      </c>
      <c r="D142" s="9" t="n">
        <v>46304.51767361111</v>
      </c>
      <c r="E142" s="9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25" t="inlineStr">
        <is>
          <t>962</t>
        </is>
      </c>
      <c r="D143" s="9" t="n">
        <v>46304.51046296296</v>
      </c>
      <c r="E143" s="9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25" t="inlineStr">
        <is>
          <t>931</t>
        </is>
      </c>
      <c r="D144" s="9" t="n">
        <v>46304.56408564815</v>
      </c>
      <c r="E144" s="9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25" t="inlineStr">
        <is>
          <t>459</t>
        </is>
      </c>
      <c r="D145" s="9" t="n">
        <v>46304.57431712963</v>
      </c>
      <c r="E145" s="9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25" t="inlineStr">
        <is>
          <t>934</t>
        </is>
      </c>
      <c r="D146" s="9" t="n">
        <v>46304.66388888889</v>
      </c>
      <c r="E146" s="9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25" t="inlineStr">
        <is>
          <t>654</t>
        </is>
      </c>
      <c r="D147" s="9" t="n">
        <v>46304.67545138889</v>
      </c>
      <c r="E147" s="9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25" t="inlineStr">
        <is>
          <t>949</t>
        </is>
      </c>
      <c r="D148" s="9" t="n">
        <v>46304.68123842592</v>
      </c>
      <c r="E148" s="9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25" t="inlineStr">
        <is>
          <t>740</t>
        </is>
      </c>
      <c r="D149" s="9" t="n">
        <v>46304.68376157407</v>
      </c>
      <c r="E149" s="9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25" t="inlineStr">
        <is>
          <t>787</t>
        </is>
      </c>
      <c r="D150" s="9" t="n">
        <v>46304.69060185185</v>
      </c>
      <c r="E150" s="9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25" t="inlineStr">
        <is>
          <t>570</t>
        </is>
      </c>
      <c r="D151" s="9" t="n">
        <v>46304.69274305556</v>
      </c>
      <c r="E151" s="9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25" t="inlineStr">
        <is>
          <t>893</t>
        </is>
      </c>
      <c r="D152" s="9" t="n">
        <v>46304.69597222222</v>
      </c>
      <c r="E152" s="9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25" t="inlineStr">
        <is>
          <t>539</t>
        </is>
      </c>
      <c r="D153" s="9" t="n">
        <v>46304.70121527778</v>
      </c>
      <c r="E153" s="9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25" t="inlineStr">
        <is>
          <t>533</t>
        </is>
      </c>
      <c r="D154" s="9" t="n">
        <v>46304.77427083333</v>
      </c>
      <c r="E154" s="9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25" t="inlineStr">
        <is>
          <t>958</t>
        </is>
      </c>
      <c r="D155" s="9" t="n">
        <v>46305.38385416667</v>
      </c>
      <c r="E155" s="9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25" t="inlineStr">
        <is>
          <t>928</t>
        </is>
      </c>
      <c r="D156" s="9" t="n">
        <v>46305.39564814815</v>
      </c>
      <c r="E156" s="9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25" t="inlineStr">
        <is>
          <t>841</t>
        </is>
      </c>
      <c r="D157" s="9" t="n">
        <v>46305.38912037037</v>
      </c>
      <c r="E157" s="9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25" t="inlineStr">
        <is>
          <t>543</t>
        </is>
      </c>
      <c r="D158" s="9" t="n">
        <v>46305.39409722222</v>
      </c>
      <c r="E158" s="9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25" t="inlineStr">
        <is>
          <t>590</t>
        </is>
      </c>
      <c r="D159" s="9" t="n">
        <v>46305.40681712963</v>
      </c>
      <c r="E159" s="9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25" t="inlineStr">
        <is>
          <t>17</t>
        </is>
      </c>
      <c r="D160" s="9" t="n">
        <v>46305.40667824074</v>
      </c>
      <c r="E160" s="9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25" t="inlineStr">
        <is>
          <t>609</t>
        </is>
      </c>
      <c r="D161" s="9" t="n">
        <v>46305.40778935186</v>
      </c>
      <c r="E161" s="9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25" t="inlineStr">
        <is>
          <t>289</t>
        </is>
      </c>
      <c r="D162" s="9" t="n">
        <v>46305.40527777778</v>
      </c>
      <c r="E162" s="9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25" t="inlineStr">
        <is>
          <t>29</t>
        </is>
      </c>
      <c r="D163" s="9" t="n">
        <v>46305.42515046296</v>
      </c>
      <c r="E163" s="9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25" t="inlineStr">
        <is>
          <t>971</t>
        </is>
      </c>
      <c r="D164" s="9" t="n">
        <v>46305.43693287037</v>
      </c>
      <c r="E164" s="9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25" t="inlineStr">
        <is>
          <t>811</t>
        </is>
      </c>
      <c r="D165" s="9" t="n">
        <v>46305.45777777778</v>
      </c>
      <c r="E165" s="9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25" t="inlineStr">
        <is>
          <t>942</t>
        </is>
      </c>
      <c r="D166" s="9" t="n">
        <v>46305.46745370371</v>
      </c>
      <c r="E166" s="9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25" t="inlineStr">
        <is>
          <t>975</t>
        </is>
      </c>
      <c r="D167" s="9" t="n">
        <v>46305.46927083333</v>
      </c>
      <c r="E167" s="9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25" t="inlineStr">
        <is>
          <t>669</t>
        </is>
      </c>
      <c r="D168" s="9" t="n">
        <v>46305.47315972222</v>
      </c>
      <c r="E168" s="9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25" t="inlineStr">
        <is>
          <t>858</t>
        </is>
      </c>
      <c r="D169" s="9" t="n">
        <v>46305.47688657408</v>
      </c>
      <c r="E169" s="9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25" t="inlineStr">
        <is>
          <t>284</t>
        </is>
      </c>
      <c r="D170" s="9" t="n">
        <v>46305.5084375</v>
      </c>
      <c r="E170" s="9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25" t="inlineStr">
        <is>
          <t>190</t>
        </is>
      </c>
      <c r="D171" s="9" t="n">
        <v>46305.51119212963</v>
      </c>
      <c r="E171" s="9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25" t="inlineStr">
        <is>
          <t>536</t>
        </is>
      </c>
      <c r="D172" s="9" t="n">
        <v>46305.51107638889</v>
      </c>
      <c r="E172" s="9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25" t="inlineStr">
        <is>
          <t>655</t>
        </is>
      </c>
      <c r="D173" s="9" t="n">
        <v>46305.51121527778</v>
      </c>
      <c r="E173" s="9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25" t="inlineStr">
        <is>
          <t>639</t>
        </is>
      </c>
      <c r="D174" s="9" t="n">
        <v>46305.51498842592</v>
      </c>
      <c r="E174" s="9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25" t="inlineStr">
        <is>
          <t>946</t>
        </is>
      </c>
      <c r="D175" s="9" t="n">
        <v>46305.5291087963</v>
      </c>
      <c r="E175" s="9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25" t="inlineStr">
        <is>
          <t>528</t>
        </is>
      </c>
      <c r="D176" s="9" t="n">
        <v>46305.53150462963</v>
      </c>
      <c r="E176" s="9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25" t="inlineStr">
        <is>
          <t>730</t>
        </is>
      </c>
      <c r="D177" s="9" t="n">
        <v>46305.56402777778</v>
      </c>
      <c r="E177" s="9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25" t="inlineStr">
        <is>
          <t>436</t>
        </is>
      </c>
      <c r="D178" s="9" t="n">
        <v>46306.42859953704</v>
      </c>
      <c r="E178" s="9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25" t="inlineStr">
        <is>
          <t>442</t>
        </is>
      </c>
      <c r="D179" s="9" t="n">
        <v>46306.59994212963</v>
      </c>
      <c r="E179" s="9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25" t="inlineStr">
        <is>
          <t>939</t>
        </is>
      </c>
      <c r="D180" s="9" t="n">
        <v>46307.36936342593</v>
      </c>
      <c r="E180" s="9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25" t="inlineStr">
        <is>
          <t>979</t>
        </is>
      </c>
      <c r="D181" s="9" t="n">
        <v>46307.36702546296</v>
      </c>
      <c r="E181" s="9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25" t="inlineStr">
        <is>
          <t>809</t>
        </is>
      </c>
      <c r="D182" s="9" t="n">
        <v>46307.37898148148</v>
      </c>
      <c r="E182" s="9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25" t="inlineStr">
        <is>
          <t>749</t>
        </is>
      </c>
      <c r="D183" s="9" t="n">
        <v>46307.38872685185</v>
      </c>
      <c r="E183" s="9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25" t="inlineStr">
        <is>
          <t>843</t>
        </is>
      </c>
      <c r="D184" s="9" t="n">
        <v>46307.39090277778</v>
      </c>
      <c r="E184" s="9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25" t="inlineStr">
        <is>
          <t>830</t>
        </is>
      </c>
      <c r="D185" s="9" t="n">
        <v>46307.39894675926</v>
      </c>
      <c r="E185" s="9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25" t="inlineStr">
        <is>
          <t>535</t>
        </is>
      </c>
      <c r="D186" s="9" t="n">
        <v>46307.40015046296</v>
      </c>
      <c r="E186" s="9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25" t="inlineStr">
        <is>
          <t>831</t>
        </is>
      </c>
      <c r="D187" s="9" t="n">
        <v>46307.40994212963</v>
      </c>
      <c r="E187" s="9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25" t="inlineStr">
        <is>
          <t>814</t>
        </is>
      </c>
      <c r="D188" s="9" t="n">
        <v>46307.41289351852</v>
      </c>
      <c r="E188" s="9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25" t="inlineStr">
        <is>
          <t>890</t>
        </is>
      </c>
      <c r="D189" s="9" t="n">
        <v>46307.42672453704</v>
      </c>
      <c r="E189" s="9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25" t="inlineStr">
        <is>
          <t>752</t>
        </is>
      </c>
      <c r="D190" s="9" t="n">
        <v>46307.41273148148</v>
      </c>
      <c r="E190" s="9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25" t="inlineStr">
        <is>
          <t>45</t>
        </is>
      </c>
      <c r="D191" s="9" t="n">
        <v>46307.42846064815</v>
      </c>
      <c r="E191" s="9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25" t="inlineStr">
        <is>
          <t>534</t>
        </is>
      </c>
      <c r="D192" s="9" t="n">
        <v>46307.43509259259</v>
      </c>
      <c r="E192" s="9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25" t="inlineStr">
        <is>
          <t>331</t>
        </is>
      </c>
      <c r="D193" s="9" t="n">
        <v>46307.43707175926</v>
      </c>
      <c r="E193" s="9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25" t="inlineStr">
        <is>
          <t>393</t>
        </is>
      </c>
      <c r="D194" s="9" t="n">
        <v>46307.48131944444</v>
      </c>
      <c r="E194" s="9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25" t="inlineStr">
        <is>
          <t>182</t>
        </is>
      </c>
      <c r="D195" s="9" t="n">
        <v>46307.56247685185</v>
      </c>
      <c r="E195" s="9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25" t="inlineStr">
        <is>
          <t>298</t>
        </is>
      </c>
      <c r="D196" s="9" t="n">
        <v>46307.57112268519</v>
      </c>
      <c r="E196" s="9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25" t="inlineStr">
        <is>
          <t>263</t>
        </is>
      </c>
      <c r="D197" s="9" t="n">
        <v>46307.59239583334</v>
      </c>
      <c r="E197" s="9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25" t="inlineStr">
        <is>
          <t>905</t>
        </is>
      </c>
      <c r="D198" s="9" t="n">
        <v>46307.60627314815</v>
      </c>
      <c r="E198" s="9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25" t="inlineStr">
        <is>
          <t>330</t>
        </is>
      </c>
      <c r="D199" s="9" t="n">
        <v>46307.64835648148</v>
      </c>
      <c r="E199" s="9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25" t="inlineStr">
        <is>
          <t>477</t>
        </is>
      </c>
      <c r="D200" s="9" t="n">
        <v>46307.65331018518</v>
      </c>
      <c r="E200" s="9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25" t="inlineStr">
        <is>
          <t>191</t>
        </is>
      </c>
      <c r="D201" s="9" t="n">
        <v>46307.66331018518</v>
      </c>
      <c r="E201" s="9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25" t="inlineStr">
        <is>
          <t>16</t>
        </is>
      </c>
      <c r="D202" s="9" t="n">
        <v>46307.67121527778</v>
      </c>
      <c r="E202" s="9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25" t="inlineStr">
        <is>
          <t>410</t>
        </is>
      </c>
      <c r="D203" s="9" t="n">
        <v>46307.69018518519</v>
      </c>
      <c r="E203" s="9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25" t="inlineStr">
        <is>
          <t>219</t>
        </is>
      </c>
      <c r="D204" s="9" t="n">
        <v>46308.38597222222</v>
      </c>
      <c r="E204" s="9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25" t="inlineStr">
        <is>
          <t>616</t>
        </is>
      </c>
      <c r="D205" s="9" t="n">
        <v>46308.4108449074</v>
      </c>
      <c r="E205" s="9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25" t="inlineStr">
        <is>
          <t>755</t>
        </is>
      </c>
      <c r="D206" s="9" t="n">
        <v>46308.43619212963</v>
      </c>
      <c r="E206" s="9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25" t="inlineStr">
        <is>
          <t>776</t>
        </is>
      </c>
      <c r="D207" s="9" t="n">
        <v>46308.46075231482</v>
      </c>
      <c r="E207" s="9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25" t="inlineStr">
        <is>
          <t>377</t>
        </is>
      </c>
      <c r="D208" s="9" t="n">
        <v>46308.56457175926</v>
      </c>
      <c r="E208" s="9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25" t="inlineStr">
        <is>
          <t>722</t>
        </is>
      </c>
      <c r="D209" s="9" t="n">
        <v>46308.57634259259</v>
      </c>
      <c r="E209" s="9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25" t="inlineStr">
        <is>
          <t>33</t>
        </is>
      </c>
      <c r="D210" s="9" t="n">
        <v>46308.60721064815</v>
      </c>
      <c r="E210" s="9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25" t="inlineStr">
        <is>
          <t>592</t>
        </is>
      </c>
      <c r="D211" s="9" t="n">
        <v>46308.6159837963</v>
      </c>
      <c r="E211" s="9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25" t="inlineStr">
        <is>
          <t>744</t>
        </is>
      </c>
      <c r="D212" s="9" t="n">
        <v>46308.61741898148</v>
      </c>
      <c r="E212" s="9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25" t="inlineStr">
        <is>
          <t>887</t>
        </is>
      </c>
      <c r="D213" s="9" t="n">
        <v>46308.63217592592</v>
      </c>
      <c r="E213" s="9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25" t="inlineStr">
        <is>
          <t>986</t>
        </is>
      </c>
      <c r="D214" s="9" t="n">
        <v>46308.70475694445</v>
      </c>
      <c r="E214" s="9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Thelma Judith Quintanilla</t>
        </is>
      </c>
      <c r="B215" s="5" t="inlineStr">
        <is>
          <t>Contabilidad</t>
        </is>
      </c>
      <c r="C215" s="25" t="inlineStr">
        <is>
          <t>374</t>
        </is>
      </c>
      <c r="D215" s="9" t="n">
        <v>46309.37858796296</v>
      </c>
      <c r="E215" s="9" t="n">
        <v>46309.3869675926</v>
      </c>
      <c r="F215" s="7">
        <f>IF(OR(D215="",E215=""),"",(E215-D215)*1440)</f>
        <v>12.0666666899333</v>
      </c>
      <c r="G215" s="6" t="n">
        <v>85</v>
      </c>
      <c r="H215" s="6" t="inlineStr">
        <is>
          <t>anonymous</t>
        </is>
      </c>
      <c r="I215" t="str">
        <f>IF(C215="","",C215&amp;"|"&amp;G215)</f>
        <v>374|85</v>
      </c>
    </row>
    <row r="216">
      <c r="A216" s="5" t="inlineStr">
        <is>
          <t>GLENDA SALAZAR</t>
        </is>
      </c>
      <c r="B216" s="5" t="inlineStr">
        <is>
          <t>AGENCIA SANTA ANA</t>
        </is>
      </c>
      <c r="C216" s="25" t="inlineStr">
        <is>
          <t>295</t>
        </is>
      </c>
      <c r="D216" s="9" t="n">
        <v>46309.33659722222</v>
      </c>
      <c r="E216" s="9" t="n">
        <v>46309.33927083333</v>
      </c>
      <c r="F216" s="7">
        <f>IF(OR(D216="",E216=""),"",(E216-D216)*1440)</f>
        <v>3.85</v>
      </c>
      <c r="G216" s="6" t="n">
        <v>100</v>
      </c>
      <c r="H216" s="6" t="inlineStr">
        <is>
          <t>anonymous</t>
        </is>
      </c>
      <c r="I216" t="str">
        <f>IF(C216="","",C216&amp;"|"&amp;G216)</f>
        <v>295|100</v>
      </c>
    </row>
    <row r="217">
      <c r="A217" s="5" t="inlineStr">
        <is>
          <t>yenis marilu escobar sorto</t>
        </is>
      </c>
      <c r="B217" s="5" t="inlineStr">
        <is>
          <t>Soluciones</t>
        </is>
      </c>
      <c r="C217" s="25" t="inlineStr">
        <is>
          <t>34</t>
        </is>
      </c>
      <c r="D217" s="9" t="n">
        <v>46309.34978009259</v>
      </c>
      <c r="E217" s="9" t="n">
        <v>46309.35415509259</v>
      </c>
      <c r="F217" s="7">
        <f>IF(OR(D217="",E217=""),"",(E217-D217)*1440)</f>
        <v>6.3</v>
      </c>
      <c r="G217" s="6" t="n">
        <v>70</v>
      </c>
      <c r="H217" s="6" t="inlineStr">
        <is>
          <t>anonymous</t>
        </is>
      </c>
      <c r="I217" t="str">
        <f>IF(C217="","",C217&amp;"|"&amp;G217)</f>
        <v>34|70</v>
      </c>
    </row>
    <row r="218">
      <c r="A218" s="5" t="inlineStr">
        <is>
          <t>JULIO RAFAEL FLORES HENRIQUEZ</t>
        </is>
      </c>
      <c r="B218" s="5" t="inlineStr">
        <is>
          <t>COLONIA MEDICA</t>
        </is>
      </c>
      <c r="C218" s="25" t="inlineStr">
        <is>
          <t>179</t>
        </is>
      </c>
      <c r="D218" s="9" t="n">
        <v>46309.36197916666</v>
      </c>
      <c r="E218" s="9" t="n">
        <v>46309.36565972222</v>
      </c>
      <c r="F218" s="7">
        <f>IF(OR(D218="",E218=""),"",(E218-D218)*1440)</f>
        <v>5.3</v>
      </c>
      <c r="G218" s="6" t="n">
        <v>100</v>
      </c>
      <c r="H218" s="6" t="inlineStr">
        <is>
          <t>anonymous</t>
        </is>
      </c>
      <c r="I218" t="str">
        <f>IF(C218="","",C218&amp;"|"&amp;G218)</f>
        <v>179|100</v>
      </c>
    </row>
    <row r="219">
      <c r="A219" s="5" t="inlineStr">
        <is>
          <t>ANGELA GABRIELA REYES MOLINA</t>
        </is>
      </c>
      <c r="B219" s="5" t="inlineStr">
        <is>
          <t>Gerencia de Negocios</t>
        </is>
      </c>
      <c r="C219" s="25" t="inlineStr">
        <is>
          <t>956</t>
        </is>
      </c>
      <c r="D219" s="9" t="n">
        <v>46309.35945601852</v>
      </c>
      <c r="E219" s="9" t="n">
        <v>46309.36673611111</v>
      </c>
      <c r="F219" s="7">
        <f>IF(OR(D219="",E219=""),"",(E219-D219)*1440)</f>
        <v>10.4833333333333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956|100</v>
      </c>
    </row>
    <row r="220">
      <c r="A220" s="5" t="inlineStr">
        <is>
          <t>Eduardo Jose Gamez Villatoro</t>
        </is>
      </c>
      <c r="B220" s="5" t="inlineStr">
        <is>
          <t>Agencia Uslutan</t>
        </is>
      </c>
      <c r="C220" s="25" t="inlineStr">
        <is>
          <t>970</t>
        </is>
      </c>
      <c r="D220" s="9" t="n">
        <v>46309.37417824074</v>
      </c>
      <c r="E220" s="9" t="n">
        <v>46309.37625</v>
      </c>
      <c r="F220" s="7">
        <f>IF(OR(D220="",E220=""),"",(E220-D220)*1440)</f>
        <v>2.98333333333333</v>
      </c>
      <c r="G220" s="6" t="n">
        <v>100</v>
      </c>
      <c r="H220" s="6" t="inlineStr">
        <is>
          <t>anonymous</t>
        </is>
      </c>
      <c r="I220" t="str">
        <f>IF(C220="","",C220&amp;"|"&amp;G220)</f>
        <v>970|100</v>
      </c>
    </row>
    <row r="221">
      <c r="A221" s="5" t="inlineStr">
        <is>
          <t>SAMUEL ALBERTO SALGUERO RODRIGUEZ</t>
        </is>
      </c>
      <c r="B221" s="5" t="inlineStr">
        <is>
          <t>SUBGERENCIA DE CANALES</t>
        </is>
      </c>
      <c r="C221" s="25" t="inlineStr">
        <is>
          <t>968</t>
        </is>
      </c>
      <c r="D221" s="9" t="n">
        <v>46309.37976851852</v>
      </c>
      <c r="E221" s="9" t="n">
        <v>46309.38234953704</v>
      </c>
      <c r="F221" s="7">
        <f>IF(OR(D221="",E221=""),"",(E221-D221)*1440)</f>
        <v>3.71666666666667</v>
      </c>
      <c r="G221" s="6" t="n">
        <v>90</v>
      </c>
      <c r="H221" s="6" t="inlineStr">
        <is>
          <t>anonymous</t>
        </is>
      </c>
      <c r="I221" t="str">
        <f>IF(C221="","",C221&amp;"|"&amp;G221)</f>
        <v>968|90</v>
      </c>
    </row>
    <row r="222">
      <c r="A222" s="5" t="inlineStr">
        <is>
          <t>MELVIN ELISEO HERNANDEZ MACHADO</t>
        </is>
      </c>
      <c r="B222" s="5" t="inlineStr">
        <is>
          <t>USULUTAN</t>
        </is>
      </c>
      <c r="C222" s="25" t="inlineStr">
        <is>
          <t>951</t>
        </is>
      </c>
      <c r="D222" s="9" t="n">
        <v>46309.37678240741</v>
      </c>
      <c r="E222" s="9" t="n">
        <v>46309.3825462963</v>
      </c>
      <c r="F222" s="7">
        <f>IF(OR(D222="",E222=""),"",(E222-D222)*1440)</f>
        <v>8.3</v>
      </c>
      <c r="G222" s="6" t="n">
        <v>100</v>
      </c>
      <c r="H222" s="6" t="inlineStr">
        <is>
          <t>anonymous</t>
        </is>
      </c>
      <c r="I222" t="str">
        <f>IF(C222="","",C222&amp;"|"&amp;G222)</f>
        <v>951|100</v>
      </c>
    </row>
    <row r="223">
      <c r="A223" s="5" t="inlineStr">
        <is>
          <t>Jordan Alexander Flores Herrera</t>
        </is>
      </c>
      <c r="B223" s="5" t="inlineStr">
        <is>
          <t>Contabilidad</t>
        </is>
      </c>
      <c r="C223" s="25" t="inlineStr">
        <is>
          <t>916</t>
        </is>
      </c>
      <c r="D223" s="9" t="n">
        <v>46309.381875</v>
      </c>
      <c r="E223" s="9" t="n">
        <v>46309.38695601852</v>
      </c>
      <c r="F223" s="7">
        <f>IF(OR(D223="",E223=""),"",(E223-D223)*1440)</f>
        <v>7.31666666666667</v>
      </c>
      <c r="G223" s="6" t="n">
        <v>100</v>
      </c>
      <c r="H223" s="6" t="inlineStr">
        <is>
          <t>anonymous</t>
        </is>
      </c>
      <c r="I223" t="str">
        <f>IF(C223="","",C223&amp;"|"&amp;G223)</f>
        <v>916|100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25" t="inlineStr">
        <is>
          <t>894</t>
        </is>
      </c>
      <c r="D224" s="9" t="n">
        <v>46309.38635416667</v>
      </c>
      <c r="E224" s="9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25" t="inlineStr">
        <is>
          <t>573</t>
        </is>
      </c>
      <c r="D225" s="9" t="n">
        <v>46309.38109953704</v>
      </c>
      <c r="E225" s="9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25" t="inlineStr">
        <is>
          <t>675</t>
        </is>
      </c>
      <c r="D226" s="9" t="n">
        <v>46309.3912037037</v>
      </c>
      <c r="E226" s="9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25" t="inlineStr">
        <is>
          <t>207</t>
        </is>
      </c>
      <c r="D227" s="9" t="n">
        <v>46309.3940162037</v>
      </c>
      <c r="E227" s="9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25" t="inlineStr">
        <is>
          <t>748</t>
        </is>
      </c>
      <c r="D228" s="9" t="n">
        <v>46309.39879629629</v>
      </c>
      <c r="E228" s="9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25" t="inlineStr">
        <is>
          <t>955</t>
        </is>
      </c>
      <c r="D229" s="9" t="n">
        <v>46309.40180555556</v>
      </c>
      <c r="E229" s="9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25" t="inlineStr">
        <is>
          <t>876</t>
        </is>
      </c>
      <c r="D230" s="9" t="n">
        <v>46309.39832175926</v>
      </c>
      <c r="E230" s="9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25" t="inlineStr">
        <is>
          <t>945</t>
        </is>
      </c>
      <c r="D231" s="9" t="n">
        <v>46309.40732638889</v>
      </c>
      <c r="E231" s="9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25" t="inlineStr">
        <is>
          <t>917</t>
        </is>
      </c>
      <c r="D232" s="9" t="n">
        <v>46309.36599537037</v>
      </c>
      <c r="E232" s="9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25" t="inlineStr">
        <is>
          <t>544</t>
        </is>
      </c>
      <c r="D233" s="9" t="n">
        <v>46309.42065972222</v>
      </c>
      <c r="E233" s="9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25" t="inlineStr">
        <is>
          <t>312</t>
        </is>
      </c>
      <c r="D234" s="9" t="n">
        <v>46309.44709490741</v>
      </c>
      <c r="E234" s="9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25" t="inlineStr">
        <is>
          <t>792</t>
        </is>
      </c>
      <c r="D235" s="9" t="n">
        <v>46309.47331018518</v>
      </c>
      <c r="E235" s="9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25" t="inlineStr">
        <is>
          <t>805</t>
        </is>
      </c>
      <c r="D236" s="9" t="n">
        <v>46309.47760416667</v>
      </c>
      <c r="E236" s="9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25" t="inlineStr">
        <is>
          <t>818</t>
        </is>
      </c>
      <c r="D237" s="9" t="n">
        <v>46309.62401620371</v>
      </c>
      <c r="E237" s="9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25" t="inlineStr">
        <is>
          <t>643</t>
        </is>
      </c>
      <c r="D238" s="9" t="n">
        <v>46309.63423611111</v>
      </c>
      <c r="E238" s="9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25" t="inlineStr">
        <is>
          <t>954</t>
        </is>
      </c>
      <c r="D239" s="9" t="n">
        <v>46309.6360300926</v>
      </c>
      <c r="E239" s="9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25" t="inlineStr">
        <is>
          <t>725</t>
        </is>
      </c>
      <c r="D240" s="9" t="n">
        <v>46309.64625</v>
      </c>
      <c r="E240" s="9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25" t="inlineStr">
        <is>
          <t>854</t>
        </is>
      </c>
      <c r="D241" s="9" t="n">
        <v>46309.66535879629</v>
      </c>
      <c r="E241" s="9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25" t="inlineStr">
        <is>
          <t>581</t>
        </is>
      </c>
      <c r="D242" s="9" t="n">
        <v>46309.66768518519</v>
      </c>
      <c r="E242" s="9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25" t="inlineStr">
        <is>
          <t>651</t>
        </is>
      </c>
      <c r="D243" s="9" t="n">
        <v>46309.66612268519</v>
      </c>
      <c r="E243" s="9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25" t="inlineStr">
        <is>
          <t>713</t>
        </is>
      </c>
      <c r="D244" s="9" t="n">
        <v>46309.67064814815</v>
      </c>
      <c r="E244" s="9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25" t="inlineStr">
        <is>
          <t>70</t>
        </is>
      </c>
      <c r="D245" s="9" t="n">
        <v>46309.704375</v>
      </c>
      <c r="E245" s="9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25" t="inlineStr">
        <is>
          <t>847</t>
        </is>
      </c>
      <c r="D246" s="9" t="n">
        <v>46309.73905092593</v>
      </c>
      <c r="E246" s="9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Carlos Eduardo Servellón Pérez</t>
        </is>
      </c>
      <c r="B247" s="5" t="inlineStr">
        <is>
          <t>Dpto. De Educación y Responsabilidad Social</t>
        </is>
      </c>
      <c r="C247" s="25" t="inlineStr">
        <is>
          <t>919</t>
        </is>
      </c>
      <c r="D247" s="9" t="n">
        <v>46310.50890046296</v>
      </c>
      <c r="E247" s="9" t="n">
        <v>46310.5114699074</v>
      </c>
      <c r="F247" s="7">
        <f>IF(OR(D247="",E247=""),"",(E247-D247)*1440)</f>
        <v>3.7</v>
      </c>
      <c r="G247" s="6" t="n">
        <v>100</v>
      </c>
      <c r="H247" s="6" t="inlineStr">
        <is>
          <t>anonymous</t>
        </is>
      </c>
      <c r="I247" t="str">
        <f>IF(C247="","",C247&amp;"|"&amp;G247)</f>
        <v>919|100</v>
      </c>
    </row>
    <row r="248">
      <c r="A248" s="5" t="inlineStr">
        <is>
          <t>FLOR IMELDA VILLALOBOS DE ARDON</t>
        </is>
      </c>
      <c r="B248" s="5" t="inlineStr">
        <is>
          <t>AGENCIA COLEGIO MEDICO</t>
        </is>
      </c>
      <c r="C248" s="25" t="inlineStr">
        <is>
          <t>26</t>
        </is>
      </c>
      <c r="D248" s="9" t="n">
        <v>46310.50853009259</v>
      </c>
      <c r="E248" s="9" t="n">
        <v>46310.51637731482</v>
      </c>
      <c r="F248" s="7">
        <f>IF(OR(D248="",E248=""),"",(E248-D248)*1440)</f>
        <v>11.3</v>
      </c>
      <c r="G248" s="6" t="n">
        <v>100</v>
      </c>
      <c r="H248" s="6" t="inlineStr">
        <is>
          <t>anonymous</t>
        </is>
      </c>
      <c r="I248" t="str">
        <f>IF(C248="","",C248&amp;"|"&amp;G248)</f>
        <v>26|100</v>
      </c>
    </row>
    <row r="249">
      <c r="A249" s="5" t="inlineStr">
        <is>
          <t>Julio Enrique Campos Andrade</t>
        </is>
      </c>
      <c r="B249" s="5" t="inlineStr">
        <is>
          <t>Colonia médica</t>
        </is>
      </c>
      <c r="C249" s="25" t="inlineStr">
        <is>
          <t>624</t>
        </is>
      </c>
      <c r="D249" s="9" t="n">
        <v>46310.51340277777</v>
      </c>
      <c r="E249" s="9" t="n">
        <v>46310.51670138889</v>
      </c>
      <c r="F249" s="7">
        <f>IF(OR(D249="",E249=""),"",(E249-D249)*1440)</f>
        <v>4.75000002071667</v>
      </c>
      <c r="G249" s="6" t="n">
        <v>90</v>
      </c>
      <c r="H249" s="6" t="inlineStr">
        <is>
          <t>anonymous</t>
        </is>
      </c>
      <c r="I249" t="str">
        <f>IF(C249="","",C249&amp;"|"&amp;G249)</f>
        <v>624|90</v>
      </c>
    </row>
    <row r="250">
      <c r="A250" s="5" t="inlineStr">
        <is>
          <t>FLOR DE MARIA ROSALES SORTO</t>
        </is>
      </c>
      <c r="B250" s="5" t="inlineStr">
        <is>
          <t>COLONIA MEDICA</t>
        </is>
      </c>
      <c r="C250" s="25" t="inlineStr">
        <is>
          <t>873</t>
        </is>
      </c>
      <c r="D250" s="9" t="n">
        <v>46310.51609953704</v>
      </c>
      <c r="E250" s="9" t="n">
        <v>46310.52071759259</v>
      </c>
      <c r="F250" s="7">
        <f>IF(OR(D250="",E250=""),"",(E250-D250)*1440)</f>
        <v>6.65</v>
      </c>
      <c r="G250" s="6" t="n">
        <v>100</v>
      </c>
      <c r="H250" s="6" t="inlineStr">
        <is>
          <t>anonymous</t>
        </is>
      </c>
      <c r="I250" t="str">
        <f>IF(C250="","",C250&amp;"|"&amp;G250)</f>
        <v>873|100</v>
      </c>
    </row>
    <row r="251">
      <c r="A251" s="5" t="inlineStr">
        <is>
          <t>Clelia Desiree de Coss</t>
        </is>
      </c>
      <c r="B251" s="5" t="inlineStr">
        <is>
          <t>Agencia Plaza Merliot</t>
        </is>
      </c>
      <c r="C251" s="25" t="inlineStr">
        <is>
          <t>657</t>
        </is>
      </c>
      <c r="D251" s="9" t="n">
        <v>46310.52084490741</v>
      </c>
      <c r="E251" s="9" t="n">
        <v>46310.52479166666</v>
      </c>
      <c r="F251" s="7">
        <f>IF(OR(D251="",E251=""),"",(E251-D251)*1440)</f>
        <v>5.68333333333333</v>
      </c>
      <c r="G251" s="6" t="n">
        <v>100</v>
      </c>
      <c r="H251" s="6" t="inlineStr">
        <is>
          <t>anonymous</t>
        </is>
      </c>
      <c r="I251" t="str">
        <f>IF(C251="","",C251&amp;"|"&amp;G251)</f>
        <v>657|100</v>
      </c>
    </row>
    <row r="252">
      <c r="A252" s="5" t="inlineStr">
        <is>
          <t>STEFFANY MARIELOS MIRO HERNANDEZ</t>
        </is>
      </c>
      <c r="B252" s="5" t="inlineStr">
        <is>
          <t>COLONIA MEDICA</t>
        </is>
      </c>
      <c r="C252" s="25" t="inlineStr">
        <is>
          <t>855</t>
        </is>
      </c>
      <c r="D252" s="9" t="n">
        <v>46310.52517361111</v>
      </c>
      <c r="E252" s="9" t="n">
        <v>46310.52695601852</v>
      </c>
      <c r="F252" s="7">
        <f>IF(OR(D252="",E252=""),"",(E252-D252)*1440)</f>
        <v>2.56666666666667</v>
      </c>
      <c r="G252" s="6" t="n">
        <v>100</v>
      </c>
      <c r="H252" s="6" t="inlineStr">
        <is>
          <t>anonymous</t>
        </is>
      </c>
      <c r="I252" t="str">
        <f>IF(C252="","",C252&amp;"|"&amp;G252)</f>
        <v>855|100</v>
      </c>
    </row>
    <row r="253">
      <c r="A253" s="5" t="inlineStr">
        <is>
          <t>YHANA MILET VALLE DE HERNANDEZ</t>
        </is>
      </c>
      <c r="B253" s="5" t="inlineStr">
        <is>
          <t>COLONIA MEDICA</t>
        </is>
      </c>
      <c r="C253" s="25" t="inlineStr">
        <is>
          <t>735</t>
        </is>
      </c>
      <c r="D253" s="9" t="n">
        <v>46310.52905092593</v>
      </c>
      <c r="E253" s="9" t="n">
        <v>46310.53122685185</v>
      </c>
      <c r="F253" s="7">
        <f>IF(OR(D253="",E253=""),"",(E253-D253)*1440)</f>
        <v>3.13333333333333</v>
      </c>
      <c r="G253" s="6" t="n">
        <v>100</v>
      </c>
      <c r="H253" s="6" t="inlineStr">
        <is>
          <t>anonymous</t>
        </is>
      </c>
      <c r="I253" t="str">
        <f>IF(C253="","",C253&amp;"|"&amp;G253)</f>
        <v>735|100</v>
      </c>
    </row>
    <row r="254">
      <c r="A254" s="5" t="inlineStr">
        <is>
          <t>ALFREDO ARMANDO RAMOS ESCOBAR</t>
        </is>
      </c>
      <c r="B254" s="5" t="inlineStr">
        <is>
          <t>COLONIA MEDICA</t>
        </is>
      </c>
      <c r="C254" s="25" t="inlineStr">
        <is>
          <t>674</t>
        </is>
      </c>
      <c r="D254" s="9" t="n">
        <v>46310.53324074074</v>
      </c>
      <c r="E254" s="9" t="n">
        <v>46310.5352199074</v>
      </c>
      <c r="F254" s="7">
        <f>IF(OR(D254="",E254=""),"",(E254-D254)*1440)</f>
        <v>2.85</v>
      </c>
      <c r="G254" s="6" t="n">
        <v>100</v>
      </c>
      <c r="H254" s="6" t="inlineStr">
        <is>
          <t>anonymous</t>
        </is>
      </c>
      <c r="I254" t="str">
        <f>IF(C254="","",C254&amp;"|"&amp;G254)</f>
        <v>674|100</v>
      </c>
    </row>
    <row r="255">
      <c r="A255" s="5" t="inlineStr">
        <is>
          <t>FLOR DEL CARMEN GONZALEZ HERNANDEZ</t>
        </is>
      </c>
      <c r="B255" s="5" t="inlineStr">
        <is>
          <t>COLONIA MEDICA</t>
        </is>
      </c>
      <c r="C255" s="25" t="inlineStr">
        <is>
          <t>913</t>
        </is>
      </c>
      <c r="D255" s="9" t="n">
        <v>46310.53685185185</v>
      </c>
      <c r="E255" s="9" t="n">
        <v>46310.53796296296</v>
      </c>
      <c r="F255" s="7">
        <f>IF(OR(D255="",E255=""),"",(E255-D255)*1440)</f>
        <v>1.6</v>
      </c>
      <c r="G255" s="6" t="n">
        <v>100</v>
      </c>
      <c r="H255" s="6" t="inlineStr">
        <is>
          <t>anonymous</t>
        </is>
      </c>
      <c r="I255" t="str">
        <f>IF(C255="","",C255&amp;"|"&amp;G255)</f>
        <v>913|100</v>
      </c>
    </row>
    <row r="256">
      <c r="A256" s="5" t="inlineStr">
        <is>
          <t>ANA MARGARITA SERRANO RUBIO</t>
        </is>
      </c>
      <c r="B256" s="5" t="inlineStr">
        <is>
          <t>COLONIA MEDICA</t>
        </is>
      </c>
      <c r="C256" s="25" t="inlineStr">
        <is>
          <t>19</t>
        </is>
      </c>
      <c r="D256" s="9" t="n">
        <v>46310.53898148148</v>
      </c>
      <c r="E256" s="9" t="n">
        <v>46310.54141203704</v>
      </c>
      <c r="F256" s="7">
        <f>IF(OR(D256="",E256=""),"",(E256-D256)*1440)</f>
        <v>3.5</v>
      </c>
      <c r="G256" s="6" t="n">
        <v>100</v>
      </c>
      <c r="H256" s="6" t="inlineStr">
        <is>
          <t>anonymous</t>
        </is>
      </c>
      <c r="I256" t="str">
        <f>IF(C256="","",C256&amp;"|"&amp;G256)</f>
        <v>19|100</v>
      </c>
    </row>
    <row r="257">
      <c r="A257" s="5" t="inlineStr">
        <is>
          <t>YESENIA LISSETH BARAHONA VALLE</t>
        </is>
      </c>
      <c r="B257" s="5" t="inlineStr">
        <is>
          <t>COLONIA MEDICA</t>
        </is>
      </c>
      <c r="C257" s="25" t="inlineStr">
        <is>
          <t>891</t>
        </is>
      </c>
      <c r="D257" s="9" t="n">
        <v>46310.5425925926</v>
      </c>
      <c r="E257" s="9" t="n">
        <v>46310.54554398148</v>
      </c>
      <c r="F257" s="7">
        <f>IF(OR(D257="",E257=""),"",(E257-D257)*1440)</f>
        <v>4.25</v>
      </c>
      <c r="G257" s="6" t="n">
        <v>100</v>
      </c>
      <c r="H257" s="6" t="inlineStr">
        <is>
          <t>anonymous</t>
        </is>
      </c>
      <c r="I257" t="str">
        <f>IF(C257="","",C257&amp;"|"&amp;G257)</f>
        <v>891|100</v>
      </c>
    </row>
    <row r="258">
      <c r="A258" s="5" t="inlineStr">
        <is>
          <t>ESTHER ABIGAIL FLORESGRANDE</t>
        </is>
      </c>
      <c r="B258" s="5" t="inlineStr">
        <is>
          <t>AUXILIAR ATENCION AL CLIENTE</t>
        </is>
      </c>
      <c r="C258" s="25" t="inlineStr">
        <is>
          <t>857</t>
        </is>
      </c>
      <c r="D258" s="9" t="n">
        <v>46310.555</v>
      </c>
      <c r="E258" s="9" t="n">
        <v>46310.55657407407</v>
      </c>
      <c r="F258" s="7">
        <f>IF(OR(D258="",E258=""),"",(E258-D258)*1440)</f>
        <v>2.26666666666667</v>
      </c>
      <c r="G258" s="6" t="n">
        <v>100</v>
      </c>
      <c r="H258" s="6" t="inlineStr">
        <is>
          <t>anonymous</t>
        </is>
      </c>
      <c r="I258" t="str">
        <f>IF(C258="","",C258&amp;"|"&amp;G258)</f>
        <v>857|100</v>
      </c>
    </row>
    <row r="259">
      <c r="A259" s="5" t="inlineStr">
        <is>
          <t>Milagro Trinidad Romero Monterrosa</t>
        </is>
      </c>
      <c r="B259" s="5" t="inlineStr">
        <is>
          <t>Departamento de Contabilidad</t>
        </is>
      </c>
      <c r="C259" s="25" t="inlineStr">
        <is>
          <t>571</t>
        </is>
      </c>
      <c r="D259" s="9" t="n">
        <v>46310.56104166667</v>
      </c>
      <c r="E259" s="9" t="n">
        <v>46310.56497685185</v>
      </c>
      <c r="F259" s="7">
        <f>IF(OR(D259="",E259=""),"",(E259-D259)*1440)</f>
        <v>5.66666666666667</v>
      </c>
      <c r="G259" s="6" t="n">
        <v>100</v>
      </c>
      <c r="H259" s="6" t="inlineStr">
        <is>
          <t>anonymous</t>
        </is>
      </c>
      <c r="I259" t="str">
        <f>IF(C259="","",C259&amp;"|"&amp;G259)</f>
        <v>571|100</v>
      </c>
    </row>
    <row r="260">
      <c r="A260" s="5" t="inlineStr">
        <is>
          <t>CLAUDIA MARLENE CABRERA SANCHEZ</t>
        </is>
      </c>
      <c r="B260" s="5" t="inlineStr">
        <is>
          <t>CONTABILIDAD</t>
        </is>
      </c>
      <c r="C260" s="25" t="inlineStr">
        <is>
          <t>235</t>
        </is>
      </c>
      <c r="D260" s="9" t="n">
        <v>46310.56259259259</v>
      </c>
      <c r="E260" s="9" t="n">
        <v>46310.56960648148</v>
      </c>
      <c r="F260" s="7">
        <f>IF(OR(D260="",E260=""),"",(E260-D260)*1440)</f>
        <v>10.1</v>
      </c>
      <c r="G260" s="6" t="n">
        <v>100</v>
      </c>
      <c r="H260" s="6" t="inlineStr">
        <is>
          <t>anonymous</t>
        </is>
      </c>
      <c r="I260" t="str">
        <f>IF(C260="","",C260&amp;"|"&amp;G260)</f>
        <v>235|100</v>
      </c>
    </row>
    <row r="261">
      <c r="A261" s="5" t="inlineStr">
        <is>
          <t>Yesenia Lisseth Barahona Valle</t>
        </is>
      </c>
      <c r="B261" s="5" t="inlineStr">
        <is>
          <t>Agencia Colonia Medica</t>
        </is>
      </c>
      <c r="C261" s="25" t="inlineStr">
        <is>
          <t>891</t>
        </is>
      </c>
      <c r="D261" s="9" t="n">
        <v>46310.56686342593</v>
      </c>
      <c r="E261" s="9" t="n">
        <v>46310.57136574074</v>
      </c>
      <c r="F261" s="7">
        <f>IF(OR(D261="",E261=""),"",(E261-D261)*1440)</f>
        <v>6.48333333333333</v>
      </c>
      <c r="G261" s="6" t="n">
        <v>100</v>
      </c>
      <c r="H261" s="6" t="inlineStr">
        <is>
          <t>anonymous</t>
        </is>
      </c>
      <c r="I261" t="str">
        <f>IF(C261="","",C261&amp;"|"&amp;G261)</f>
        <v>891|100</v>
      </c>
    </row>
    <row r="262">
      <c r="A262" s="5" t="inlineStr">
        <is>
          <t>Jose Humberto Barillas Burgos</t>
        </is>
      </c>
      <c r="B262" s="5" t="inlineStr">
        <is>
          <t>Gerencia de Negocios</t>
        </is>
      </c>
      <c r="C262" s="25" t="inlineStr">
        <is>
          <t>741</t>
        </is>
      </c>
      <c r="D262" s="9" t="n">
        <v>46310.61644675926</v>
      </c>
      <c r="E262" s="9" t="n">
        <v>46310.61981481482</v>
      </c>
      <c r="F262" s="7">
        <f>IF(OR(D262="",E262=""),"",(E262-D262)*1440)</f>
        <v>4.85</v>
      </c>
      <c r="G262" s="6" t="n">
        <v>100</v>
      </c>
      <c r="H262" s="6" t="inlineStr">
        <is>
          <t>anonymous</t>
        </is>
      </c>
      <c r="I262" t="str">
        <f>IF(C262="","",C262&amp;"|"&amp;G262)</f>
        <v>741|100</v>
      </c>
    </row>
    <row r="263">
      <c r="A263" s="5" t="inlineStr">
        <is>
          <t>MARIA ANGELICA ESCOBAR DE RENDEROS</t>
        </is>
      </c>
      <c r="B263" s="5" t="inlineStr">
        <is>
          <t>AGENCIA SONSONATE</t>
        </is>
      </c>
      <c r="C263" s="25" t="inlineStr">
        <is>
          <t>287</t>
        </is>
      </c>
      <c r="D263" s="9" t="n">
        <v>46310.6287962963</v>
      </c>
      <c r="E263" s="9" t="n">
        <v>46310.63381944445</v>
      </c>
      <c r="F263" s="7">
        <f>IF(OR(D263="",E263=""),"",(E263-D263)*1440)</f>
        <v>7.23333333333333</v>
      </c>
      <c r="G263" s="6" t="n">
        <v>100</v>
      </c>
      <c r="H263" s="6" t="inlineStr">
        <is>
          <t>anonymous</t>
        </is>
      </c>
      <c r="I263" t="str">
        <f>IF(C263="","",C263&amp;"|"&amp;G263)</f>
        <v>287|100</v>
      </c>
    </row>
    <row r="264">
      <c r="A264" s="5" t="inlineStr">
        <is>
          <t>JOSUE ALEXANDER PEREZ HENRIQUEZ</t>
        </is>
      </c>
      <c r="B264" s="5" t="inlineStr">
        <is>
          <t>SONSONATE</t>
        </is>
      </c>
      <c r="C264" s="25" t="inlineStr">
        <is>
          <t>559</t>
        </is>
      </c>
      <c r="D264" s="9" t="n">
        <v>46310.63520833333</v>
      </c>
      <c r="E264" s="9" t="n">
        <v>46310.63688657407</v>
      </c>
      <c r="F264" s="7">
        <f>IF(OR(D264="",E264=""),"",(E264-D264)*1440)</f>
        <v>2.41666666666667</v>
      </c>
      <c r="G264" s="6" t="n">
        <v>100</v>
      </c>
      <c r="H264" s="6" t="inlineStr">
        <is>
          <t>anonymous</t>
        </is>
      </c>
      <c r="I264" t="str">
        <f>IF(C264="","",C264&amp;"|"&amp;G264)</f>
        <v>559|100</v>
      </c>
    </row>
    <row r="265">
      <c r="A265" s="5" t="inlineStr">
        <is>
          <t>XIOMARA BEATRIZ MARTINEZ SERMEÑO</t>
        </is>
      </c>
      <c r="B265" s="5" t="inlineStr">
        <is>
          <t>Agencia Sonsonate</t>
        </is>
      </c>
      <c r="C265" s="25" t="inlineStr">
        <is>
          <t>526</t>
        </is>
      </c>
      <c r="D265" s="9" t="n">
        <v>46310.62758101852</v>
      </c>
      <c r="E265" s="9" t="n">
        <v>46310.63746527778</v>
      </c>
      <c r="F265" s="7">
        <f>IF(OR(D265="",E265=""),"",(E265-D265)*1440)</f>
        <v>14.2333333333333</v>
      </c>
      <c r="G265" s="6" t="n">
        <v>100</v>
      </c>
      <c r="H265" s="6" t="inlineStr">
        <is>
          <t>anonymous</t>
        </is>
      </c>
      <c r="I265" t="str">
        <f>IF(C265="","",C265&amp;"|"&amp;G265)</f>
        <v>526|100</v>
      </c>
    </row>
    <row r="266">
      <c r="A266" s="5" t="inlineStr">
        <is>
          <t>JESSICA YAMILETH LEIVA VASAQUEZ</t>
        </is>
      </c>
      <c r="B266" s="5" t="inlineStr">
        <is>
          <t>AGENCIA SONSONATE</t>
        </is>
      </c>
      <c r="C266" s="25" t="inlineStr">
        <is>
          <t>575</t>
        </is>
      </c>
      <c r="D266" s="9" t="n">
        <v>46310.63784722222</v>
      </c>
      <c r="E266" s="9" t="n">
        <v>46310.63890046296</v>
      </c>
      <c r="F266" s="7">
        <f>IF(OR(D266="",E266=""),"",(E266-D266)*1440)</f>
        <v>1.51666666666667</v>
      </c>
      <c r="G266" s="6" t="n">
        <v>100</v>
      </c>
      <c r="H266" s="6" t="inlineStr">
        <is>
          <t>anonymous</t>
        </is>
      </c>
      <c r="I266" t="str">
        <f>IF(C266="","",C266&amp;"|"&amp;G266)</f>
        <v>575|100</v>
      </c>
    </row>
    <row r="267">
      <c r="A267" s="5" t="inlineStr">
        <is>
          <t>Zoila Aydee Larios</t>
        </is>
      </c>
      <c r="B267" s="5" t="inlineStr">
        <is>
          <t>Agencia Plaza mundo</t>
        </is>
      </c>
      <c r="C267" s="25" t="inlineStr">
        <is>
          <t>59</t>
        </is>
      </c>
      <c r="D267" s="9" t="n">
        <v>46310.64347222223</v>
      </c>
      <c r="E267" s="9" t="n">
        <v>46310.64591435185</v>
      </c>
      <c r="F267" s="7">
        <f>IF(OR(D267="",E267=""),"",(E267-D267)*1440)</f>
        <v>3.51666666666667</v>
      </c>
      <c r="G267" s="6" t="n">
        <v>100</v>
      </c>
      <c r="H267" s="6" t="inlineStr">
        <is>
          <t>anonymous</t>
        </is>
      </c>
      <c r="I267" t="str">
        <f>IF(C267="","",C267&amp;"|"&amp;G267)</f>
        <v>59|100</v>
      </c>
    </row>
    <row r="268">
      <c r="A268" s="5" t="inlineStr">
        <is>
          <t>KATHERINE MICHELLE LOPEZ LOPEZ</t>
        </is>
      </c>
      <c r="B268" s="5" t="inlineStr">
        <is>
          <t>AGENCIA CENTRAL</t>
        </is>
      </c>
      <c r="C268" s="25" t="inlineStr">
        <is>
          <t>768</t>
        </is>
      </c>
      <c r="D268" s="9" t="n">
        <v>46310.65715277778</v>
      </c>
      <c r="E268" s="9" t="n">
        <v>46310.65997685185</v>
      </c>
      <c r="F268" s="7">
        <f>IF(OR(D268="",E268=""),"",(E268-D268)*1440)</f>
        <v>4.06666666666667</v>
      </c>
      <c r="G268" s="6" t="n">
        <v>100</v>
      </c>
      <c r="H268" s="6" t="inlineStr">
        <is>
          <t>anonymous</t>
        </is>
      </c>
      <c r="I268" t="str">
        <f>IF(C268="","",C268&amp;"|"&amp;G268)</f>
        <v>768|100</v>
      </c>
    </row>
    <row r="269">
      <c r="A269" s="5" t="inlineStr">
        <is>
          <t>Griselda del Carmen Dominguez de Merino</t>
        </is>
      </c>
      <c r="B269" s="5" t="inlineStr">
        <is>
          <t>Agencia Central</t>
        </is>
      </c>
      <c r="C269" s="25" t="inlineStr">
        <is>
          <t>49</t>
        </is>
      </c>
      <c r="D269" s="9" t="n">
        <v>46310.6578125</v>
      </c>
      <c r="E269" s="9" t="n">
        <v>46310.66540509259</v>
      </c>
      <c r="F269" s="7">
        <f>IF(OR(D269="",E269=""),"",(E269-D269)*1440)</f>
        <v>10.9333333333333</v>
      </c>
      <c r="G269" s="6" t="n">
        <v>100</v>
      </c>
      <c r="H269" s="6" t="inlineStr">
        <is>
          <t>anonymous</t>
        </is>
      </c>
      <c r="I269" t="str">
        <f>IF(C269="","",C269&amp;"|"&amp;G269)</f>
        <v>49|100</v>
      </c>
    </row>
    <row r="270">
      <c r="A270" s="5" t="inlineStr">
        <is>
          <t>Carmen María Gutiérrez de estrada</t>
        </is>
      </c>
      <c r="B270" s="5" t="inlineStr">
        <is>
          <t>Mercadeo</t>
        </is>
      </c>
      <c r="C270" s="25" t="inlineStr">
        <is>
          <t>591</t>
        </is>
      </c>
      <c r="D270" s="9" t="n">
        <v>46310.66625</v>
      </c>
      <c r="E270" s="9" t="n">
        <v>46310.66862268518</v>
      </c>
      <c r="F270" s="7">
        <f>IF(OR(D270="",E270=""),"",(E270-D270)*1440)</f>
        <v>3.41666666666667</v>
      </c>
      <c r="G270" s="6" t="n">
        <v>80</v>
      </c>
      <c r="H270" s="6" t="inlineStr">
        <is>
          <t>anonymous</t>
        </is>
      </c>
      <c r="I270" t="str">
        <f>IF(C270="","",C270&amp;"|"&amp;G270)</f>
        <v>591|80</v>
      </c>
    </row>
    <row r="271">
      <c r="A271" s="5" t="inlineStr">
        <is>
          <t>Alejandra Verónica Centeno de López</t>
        </is>
      </c>
      <c r="B271" s="5" t="inlineStr">
        <is>
          <t>Dpto. de Análisis y Programación</t>
        </is>
      </c>
      <c r="C271" s="25" t="inlineStr">
        <is>
          <t>899</t>
        </is>
      </c>
      <c r="D271" s="9" t="n">
        <v>46310.69113425926</v>
      </c>
      <c r="E271" s="9" t="n">
        <v>46310.69614583333</v>
      </c>
      <c r="F271" s="7">
        <f>IF(OR(D271="",E271=""),"",(E271-D271)*1440)</f>
        <v>7.21666666666667</v>
      </c>
      <c r="G271" s="6" t="n">
        <v>100</v>
      </c>
      <c r="H271" s="6" t="inlineStr">
        <is>
          <t>anonymous</t>
        </is>
      </c>
      <c r="I271" t="str">
        <f>IF(C271="","",C271&amp;"|"&amp;G271)</f>
        <v>899|100</v>
      </c>
    </row>
    <row r="272">
      <c r="A272" s="5" t="inlineStr">
        <is>
          <t>Alex Virgilio Aguilar Arias</t>
        </is>
      </c>
      <c r="B272" s="5" t="inlineStr">
        <is>
          <t>Gerencia de Sistemas</t>
        </is>
      </c>
      <c r="C272" s="25" t="inlineStr">
        <is>
          <t>878</t>
        </is>
      </c>
      <c r="D272" s="9" t="n">
        <v>46310.69179398148</v>
      </c>
      <c r="E272" s="9" t="n">
        <v>46310.69674768519</v>
      </c>
      <c r="F272" s="7">
        <f>IF(OR(D272="",E272=""),"",(E272-D272)*1440)</f>
        <v>7.13333333333333</v>
      </c>
      <c r="G272" s="6" t="n">
        <v>100</v>
      </c>
      <c r="H272" s="6" t="inlineStr">
        <is>
          <t>anonymous</t>
        </is>
      </c>
      <c r="I272" t="str">
        <f>IF(C272="","",C272&amp;"|"&amp;G272)</f>
        <v>878|100</v>
      </c>
    </row>
    <row r="273">
      <c r="A273" s="5" t="inlineStr">
        <is>
          <t>Alan Rodrigo Benitez Rodríguez</t>
        </is>
      </c>
      <c r="B273" s="5" t="inlineStr">
        <is>
          <t>Depto. de Atención a Asociado y Cliente</t>
        </is>
      </c>
      <c r="C273" s="25" t="inlineStr">
        <is>
          <t>981</t>
        </is>
      </c>
      <c r="D273" s="9" t="n">
        <v>46310.69125</v>
      </c>
      <c r="E273" s="9" t="n">
        <v>46310.70625</v>
      </c>
      <c r="F273" s="7">
        <f>IF(OR(D273="",E273=""),"",(E273-D273)*1440)</f>
        <v>21.6</v>
      </c>
      <c r="G273" s="6" t="n">
        <v>100</v>
      </c>
      <c r="H273" s="6" t="inlineStr">
        <is>
          <t>anonymous</t>
        </is>
      </c>
      <c r="I273" t="str">
        <f>IF(C273="","",C273&amp;"|"&amp;G273)</f>
        <v>981|100</v>
      </c>
    </row>
    <row r="274">
      <c r="A274" s="5" t="inlineStr">
        <is>
          <t>José Alexander Torres Pérez</t>
        </is>
      </c>
      <c r="B274" s="5" t="inlineStr">
        <is>
          <t>Sonsonate</t>
        </is>
      </c>
      <c r="C274" s="25" t="inlineStr">
        <is>
          <t>448</t>
        </is>
      </c>
      <c r="D274" s="9" t="n">
        <v>46311.4097337963</v>
      </c>
      <c r="E274" s="9" t="n">
        <v>46311.41554398148</v>
      </c>
      <c r="F274" s="7">
        <f>IF(OR(D274="",E274=""),"",(E274-D274)*1440)</f>
        <v>8.36666666666667</v>
      </c>
      <c r="G274" s="6" t="n">
        <v>100</v>
      </c>
      <c r="H274" s="6" t="inlineStr">
        <is>
          <t>anonymous</t>
        </is>
      </c>
      <c r="I274" t="str">
        <f>IF(C274="","",C274&amp;"|"&amp;G274)</f>
        <v>448|100</v>
      </c>
    </row>
    <row r="275">
      <c r="A275" s="5" t="inlineStr">
        <is>
          <t>José Carlos Ireneo Hernández Rodríguez</t>
        </is>
      </c>
      <c r="B275" s="5" t="inlineStr">
        <is>
          <t>Mercadeo</t>
        </is>
      </c>
      <c r="C275" s="25" t="inlineStr">
        <is>
          <t>361</t>
        </is>
      </c>
      <c r="D275" s="9" t="n">
        <v>46311.41438657408</v>
      </c>
      <c r="E275" s="9" t="n">
        <v>46311.41858796297</v>
      </c>
      <c r="F275" s="7">
        <f>IF(OR(D275="",E275=""),"",(E275-D275)*1440)</f>
        <v>6.05</v>
      </c>
      <c r="G275" s="6" t="n">
        <v>95</v>
      </c>
      <c r="H275" s="6" t="inlineStr">
        <is>
          <t>anonymous</t>
        </is>
      </c>
      <c r="I275" t="str">
        <f>IF(C275="","",C275&amp;"|"&amp;G275)</f>
        <v>361|95</v>
      </c>
    </row>
    <row r="276">
      <c r="A276" s="5" t="inlineStr">
        <is>
          <t>MARIA ALEJANDRA BATRES ALVARADO</t>
        </is>
      </c>
      <c r="B276" s="5" t="inlineStr">
        <is>
          <t>MERCADEO</t>
        </is>
      </c>
      <c r="C276" s="25" t="inlineStr">
        <is>
          <t>895</t>
        </is>
      </c>
      <c r="D276" s="9" t="n">
        <v>46311.42444444444</v>
      </c>
      <c r="E276" s="9" t="n">
        <v>46311.42974537037</v>
      </c>
      <c r="F276" s="7">
        <f>IF(OR(D276="",E276=""),"",(E276-D276)*1440)</f>
        <v>7.63333333333334</v>
      </c>
      <c r="G276" s="6" t="n">
        <v>100</v>
      </c>
      <c r="H276" s="6" t="inlineStr">
        <is>
          <t>anonymous</t>
        </is>
      </c>
      <c r="I276" t="str">
        <f>IF(C276="","",C276&amp;"|"&amp;G276)</f>
        <v>895|100</v>
      </c>
    </row>
    <row r="277">
      <c r="A277" s="5" t="inlineStr">
        <is>
          <t>Gerardo Alexander Martínez Rivera</t>
        </is>
      </c>
      <c r="B277" s="5" t="inlineStr">
        <is>
          <t>Mercadeo</t>
        </is>
      </c>
      <c r="C277" s="25" t="inlineStr">
        <is>
          <t>897</t>
        </is>
      </c>
      <c r="D277" s="9" t="n">
        <v>46311.40699074074</v>
      </c>
      <c r="E277" s="9" t="n">
        <v>46311.45481481482</v>
      </c>
      <c r="F277" s="7">
        <f>IF(OR(D277="",E277=""),"",(E277-D277)*1440)</f>
        <v>68.8666666666667</v>
      </c>
      <c r="G277" s="6" t="n">
        <v>100</v>
      </c>
      <c r="H277" s="6" t="inlineStr">
        <is>
          <t>anonymous</t>
        </is>
      </c>
      <c r="I277" t="str">
        <f>IF(C277="","",C277&amp;"|"&amp;G277)</f>
        <v>897|100</v>
      </c>
    </row>
    <row r="278">
      <c r="A278" s="5" t="inlineStr">
        <is>
          <t>IRVIN ADEMIR PERAZA MOLINA</t>
        </is>
      </c>
      <c r="B278" s="5" t="inlineStr">
        <is>
          <t>AGENCIA SANTA ANA</t>
        </is>
      </c>
      <c r="C278" s="25" t="inlineStr">
        <is>
          <t>747</t>
        </is>
      </c>
      <c r="D278" s="9" t="n">
        <v>46311.45276620371</v>
      </c>
      <c r="E278" s="9" t="n">
        <v>46311.45640046296</v>
      </c>
      <c r="F278" s="7">
        <f>IF(OR(D278="",E278=""),"",(E278-D278)*1440)</f>
        <v>5.23333333333333</v>
      </c>
      <c r="G278" s="6" t="n">
        <v>100</v>
      </c>
      <c r="H278" s="6" t="inlineStr">
        <is>
          <t>anonymous</t>
        </is>
      </c>
      <c r="I278" t="str">
        <f>IF(C278="","",C278&amp;"|"&amp;G278)</f>
        <v>747|100</v>
      </c>
    </row>
    <row r="279">
      <c r="A279" s="5" t="inlineStr">
        <is>
          <t>SOFIA AZMINIA MENA ARGUETA</t>
        </is>
      </c>
      <c r="B279" s="5" t="inlineStr">
        <is>
          <t>AGENCIA SANTA ANA</t>
        </is>
      </c>
      <c r="C279" s="25" t="inlineStr">
        <is>
          <t>840</t>
        </is>
      </c>
      <c r="D279" s="9" t="n">
        <v>46311.46520833333</v>
      </c>
      <c r="E279" s="9" t="n">
        <v>46311.4675</v>
      </c>
      <c r="F279" s="7">
        <f>IF(OR(D279="",E279=""),"",(E279-D279)*1440)</f>
        <v>3.3</v>
      </c>
      <c r="G279" s="6" t="n">
        <v>100</v>
      </c>
      <c r="H279" s="6" t="inlineStr">
        <is>
          <t>CÓDIGO CORREGIDO: escribió 841 (pertenece a otra persona)</t>
        </is>
      </c>
      <c r="I279" t="str">
        <f>IF(C279="","",C279&amp;"|"&amp;G279)</f>
        <v>840|100</v>
      </c>
    </row>
    <row r="280">
      <c r="A280" s="5" t="inlineStr">
        <is>
          <t>JOSE CRISTOBAL LOPEZ ESQUIVEL</t>
        </is>
      </c>
      <c r="B280" s="5" t="inlineStr">
        <is>
          <t>AGENCIA SANTA ANA</t>
        </is>
      </c>
      <c r="C280" s="25" t="inlineStr">
        <is>
          <t>910</t>
        </is>
      </c>
      <c r="D280" s="9" t="n">
        <v>46311.47396990741</v>
      </c>
      <c r="E280" s="9" t="n">
        <v>46311.47555555555</v>
      </c>
      <c r="F280" s="7">
        <f>IF(OR(D280="",E280=""),"",(E280-D280)*1440)</f>
        <v>2.28333333333333</v>
      </c>
      <c r="G280" s="6" t="n">
        <v>100</v>
      </c>
      <c r="H280" s="6" t="inlineStr">
        <is>
          <t>anonymous</t>
        </is>
      </c>
      <c r="I280" t="str">
        <f>IF(C280="","",C280&amp;"|"&amp;G280)</f>
        <v>910|100</v>
      </c>
    </row>
    <row r="281">
      <c r="A281" s="5" t="inlineStr">
        <is>
          <t>Leidy Vanessa Guzmán Servellon</t>
        </is>
      </c>
      <c r="B281" s="5" t="inlineStr">
        <is>
          <t>Agencia Central</t>
        </is>
      </c>
      <c r="C281" s="25" t="inlineStr">
        <is>
          <t>974</t>
        </is>
      </c>
      <c r="D281" s="9" t="n">
        <v>46311.4046875</v>
      </c>
      <c r="E281" s="9" t="n">
        <v>46311.47748842592</v>
      </c>
      <c r="F281" s="7">
        <f>IF(OR(D281="",E281=""),"",(E281-D281)*1440)</f>
        <v>104.833333333333</v>
      </c>
      <c r="G281" s="6" t="n">
        <v>80</v>
      </c>
      <c r="H281" s="6" t="inlineStr">
        <is>
          <t>anonymous</t>
        </is>
      </c>
      <c r="I281" t="str">
        <f>IF(C281="","",C281&amp;"|"&amp;G281)</f>
        <v>974|80</v>
      </c>
    </row>
    <row r="282">
      <c r="A282" s="5" t="inlineStr">
        <is>
          <t>Jazmín Abigail Vasquez Avelar</t>
        </is>
      </c>
      <c r="B282" s="5" t="inlineStr">
        <is>
          <t>Agencia Central</t>
        </is>
      </c>
      <c r="C282" s="25" t="inlineStr">
        <is>
          <t>848</t>
        </is>
      </c>
      <c r="D282" s="9" t="n">
        <v>46311.47895833333</v>
      </c>
      <c r="E282" s="9" t="n">
        <v>46311.48482638889</v>
      </c>
      <c r="F282" s="7">
        <f>IF(OR(D282="",E282=""),"",(E282-D282)*1440)</f>
        <v>8.45</v>
      </c>
      <c r="G282" s="6" t="n">
        <v>100</v>
      </c>
      <c r="H282" s="6" t="inlineStr">
        <is>
          <t>anonymous</t>
        </is>
      </c>
      <c r="I282" t="str">
        <f>IF(C282="","",C282&amp;"|"&amp;G282)</f>
        <v>848|100</v>
      </c>
    </row>
    <row r="283">
      <c r="A283" s="5" t="inlineStr">
        <is>
          <t>ANA MARIA GIRON</t>
        </is>
      </c>
      <c r="B283" s="5" t="inlineStr">
        <is>
          <t>AGENCIA SANTA ANA</t>
        </is>
      </c>
      <c r="C283" s="25" t="inlineStr">
        <is>
          <t>168</t>
        </is>
      </c>
      <c r="D283" s="9" t="n">
        <v>46311.48390046296</v>
      </c>
      <c r="E283" s="9" t="n">
        <v>46311.49398148148</v>
      </c>
      <c r="F283" s="7">
        <f>IF(OR(D283="",E283=""),"",(E283-D283)*1440)</f>
        <v>14.5166666666667</v>
      </c>
      <c r="G283" s="6" t="n">
        <v>100</v>
      </c>
      <c r="H283" s="6" t="inlineStr">
        <is>
          <t>anonymous</t>
        </is>
      </c>
      <c r="I283" t="str">
        <f>IF(C283="","",C283&amp;"|"&amp;G283)</f>
        <v>168|100</v>
      </c>
    </row>
    <row r="284">
      <c r="A284" s="5" t="inlineStr">
        <is>
          <t>Blanca Aracely Moreno Hernández</t>
        </is>
      </c>
      <c r="B284" s="5" t="inlineStr">
        <is>
          <t>Agencia central</t>
        </is>
      </c>
      <c r="C284" s="25" t="inlineStr">
        <is>
          <t>385</t>
        </is>
      </c>
      <c r="D284" s="9" t="n">
        <v>46311.50098379629</v>
      </c>
      <c r="E284" s="9" t="n">
        <v>46311.50697916667</v>
      </c>
      <c r="F284" s="7">
        <f>IF(OR(D284="",E284=""),"",(E284-D284)*1440)</f>
        <v>8.63333333333333</v>
      </c>
      <c r="G284" s="6" t="n">
        <v>100</v>
      </c>
      <c r="H284" s="6" t="inlineStr">
        <is>
          <t>anonymous</t>
        </is>
      </c>
      <c r="I284" t="str">
        <f>IF(C284="","",C284&amp;"|"&amp;G284)</f>
        <v>385|100</v>
      </c>
    </row>
    <row r="285">
      <c r="A285" s="5" t="inlineStr">
        <is>
          <t>Claudia Carolina Hernández De Paz</t>
        </is>
      </c>
      <c r="B285" s="5" t="inlineStr">
        <is>
          <t>Tarjeta de Crédito y Debito</t>
        </is>
      </c>
      <c r="C285" s="25" t="inlineStr">
        <is>
          <t>389</t>
        </is>
      </c>
      <c r="D285" s="9" t="n">
        <v>46311.51278935185</v>
      </c>
      <c r="E285" s="9" t="n">
        <v>46311.51622685185</v>
      </c>
      <c r="F285" s="7">
        <f>IF(OR(D285="",E285=""),"",(E285-D285)*1440)</f>
        <v>4.95</v>
      </c>
      <c r="G285" s="6" t="n">
        <v>100</v>
      </c>
      <c r="H285" s="6" t="inlineStr">
        <is>
          <t>anonymous</t>
        </is>
      </c>
      <c r="I285" t="str">
        <f>IF(C285="","",C285&amp;"|"&amp;G285)</f>
        <v>389|100</v>
      </c>
    </row>
    <row r="286">
      <c r="A286" s="5" t="inlineStr">
        <is>
          <t>Karla Marcela Escobar Trigueros</t>
        </is>
      </c>
      <c r="B286" s="5" t="inlineStr">
        <is>
          <t>Agencia Sonsonate</t>
        </is>
      </c>
      <c r="C286" s="25" t="inlineStr">
        <is>
          <t>849</t>
        </is>
      </c>
      <c r="D286" s="9" t="n">
        <v>46311.56675925926</v>
      </c>
      <c r="E286" s="9" t="n">
        <v>46311.57149305556</v>
      </c>
      <c r="F286" s="7">
        <f>IF(OR(D286="",E286=""),"",(E286-D286)*1440)</f>
        <v>6.81666666666667</v>
      </c>
      <c r="G286" s="6" t="n">
        <v>100</v>
      </c>
      <c r="H286" s="6" t="inlineStr">
        <is>
          <t>anonymous</t>
        </is>
      </c>
      <c r="I286" t="str">
        <f>IF(C286="","",C286&amp;"|"&amp;G286)</f>
        <v>849|100</v>
      </c>
    </row>
    <row r="287">
      <c r="A287" s="5" t="inlineStr">
        <is>
          <t>Rafael Andrés Maravilla Guerra</t>
        </is>
      </c>
      <c r="B287" s="5" t="inlineStr">
        <is>
          <t>Planificación y Análisis</t>
        </is>
      </c>
      <c r="C287" s="25" t="inlineStr">
        <is>
          <t>839</t>
        </is>
      </c>
      <c r="D287" s="9" t="n">
        <v>46311.61962962963</v>
      </c>
      <c r="E287" s="9" t="n">
        <v>46311.62729166666</v>
      </c>
      <c r="F287" s="7">
        <f>IF(OR(D287="",E287=""),"",(E287-D287)*1440)</f>
        <v>11.0333333141167</v>
      </c>
      <c r="G287" s="6" t="n">
        <v>100</v>
      </c>
      <c r="H287" s="6" t="inlineStr">
        <is>
          <t>anonymous</t>
        </is>
      </c>
      <c r="I287" t="str">
        <f>IF(C287="","",C287&amp;"|"&amp;G287)</f>
        <v>839|100</v>
      </c>
    </row>
    <row r="288">
      <c r="A288" s="5" t="inlineStr">
        <is>
          <t>Ricardo Josué Cacao Rovelo</t>
        </is>
      </c>
      <c r="B288" s="5" t="inlineStr">
        <is>
          <t>Administración de Cartera</t>
        </is>
      </c>
      <c r="C288" s="25" t="inlineStr">
        <is>
          <t>732</t>
        </is>
      </c>
      <c r="D288" s="9" t="n">
        <v>46311.67041666667</v>
      </c>
      <c r="E288" s="9" t="n">
        <v>46311.6756712963</v>
      </c>
      <c r="F288" s="7">
        <f>IF(OR(D288="",E288=""),"",(E288-D288)*1440)</f>
        <v>7.56666666666667</v>
      </c>
      <c r="G288" s="6" t="n">
        <v>100</v>
      </c>
      <c r="H288" s="6" t="inlineStr">
        <is>
          <t>anonymous</t>
        </is>
      </c>
      <c r="I288" t="str">
        <f>IF(C288="","",C288&amp;"|"&amp;G288)</f>
        <v>732|100</v>
      </c>
    </row>
    <row r="289">
      <c r="A289" s="5" t="inlineStr">
        <is>
          <t>NELSON ULISES CAMPOS FLORES</t>
        </is>
      </c>
      <c r="B289" s="5" t="inlineStr">
        <is>
          <t>GERENCIA GENERAL</t>
        </is>
      </c>
      <c r="C289" s="25" t="inlineStr">
        <is>
          <t>977</t>
        </is>
      </c>
      <c r="D289" s="9" t="n"/>
      <c r="E289" s="9" t="n"/>
      <c r="F289" s="7" t="str">
        <f>IF(OR(D289="",E289=""),"",(E289-D289)*1440)</f>
        <v/>
      </c>
      <c r="G289" s="6" t="n"/>
      <c r="H289" s="6" t="inlineStr">
        <is>
          <t>REGISTRO MANUAL: examen realizado (confirmado por la administración; sin nota ni fecha en la plataforma)</t>
        </is>
      </c>
      <c r="I289" t="str">
        <f>IF(C289="","",C289&amp;"|"&amp;G289)</f>
        <v>977|</v>
      </c>
    </row>
    <row r="290">
      <c r="A290" s="5" t="n"/>
      <c r="B290" s="5" t="n"/>
      <c r="C290" s="25" t="n"/>
      <c r="D290" s="9" t="n"/>
      <c r="E290" s="9" t="n"/>
      <c r="F290" s="7" t="str">
        <f>IF(OR(D290="",E290=""),"",(E290-D290)*1440)</f>
        <v/>
      </c>
      <c r="G290" s="6" t="n"/>
      <c r="H290" s="6" t="n"/>
      <c r="I290" t="str">
        <f>IF(C290="","",C290&amp;"|"&amp;G290)</f>
        <v/>
      </c>
    </row>
    <row r="291">
      <c r="A291" s="5" t="n"/>
      <c r="B291" s="5" t="n"/>
      <c r="C291" s="25" t="n"/>
      <c r="D291" s="9" t="n"/>
      <c r="E291" s="9" t="n"/>
      <c r="F291" s="7" t="str">
        <f>IF(OR(D291="",E291=""),"",(E291-D291)*1440)</f>
        <v/>
      </c>
      <c r="G291" s="6" t="n"/>
      <c r="H291" s="6" t="n"/>
      <c r="I291" t="str">
        <f>IF(C291="","",C291&amp;"|"&amp;G291)</f>
        <v/>
      </c>
    </row>
    <row r="292">
      <c r="A292" s="5" t="n"/>
      <c r="B292" s="5" t="n"/>
      <c r="C292" s="25" t="n"/>
      <c r="D292" s="9" t="n"/>
      <c r="E292" s="9" t="n"/>
      <c r="F292" s="7" t="str">
        <f>IF(OR(D292="",E292=""),"",(E292-D292)*1440)</f>
        <v/>
      </c>
      <c r="G292" s="6" t="n"/>
      <c r="H292" s="6" t="n"/>
      <c r="I292" t="str">
        <f>IF(C292="","",C292&amp;"|"&amp;G292)</f>
        <v/>
      </c>
    </row>
    <row r="293">
      <c r="A293" s="5" t="n"/>
      <c r="B293" s="5" t="n"/>
      <c r="C293" s="25" t="n"/>
      <c r="D293" s="9" t="n"/>
      <c r="E293" s="9" t="n"/>
      <c r="F293" s="7" t="str">
        <f>IF(OR(D293="",E293=""),"",(E293-D293)*1440)</f>
        <v/>
      </c>
      <c r="G293" s="6" t="n"/>
      <c r="H293" s="6" t="n"/>
      <c r="I293" t="str">
        <f>IF(C293="","",C293&amp;"|"&amp;G293)</f>
        <v/>
      </c>
    </row>
    <row r="294">
      <c r="A294" s="5" t="n"/>
      <c r="B294" s="5" t="n"/>
      <c r="C294" s="25" t="n"/>
      <c r="D294" s="9" t="n"/>
      <c r="E294" s="9" t="n"/>
      <c r="F294" s="7" t="str">
        <f>IF(OR(D294="",E294=""),"",(E294-D294)*1440)</f>
        <v/>
      </c>
      <c r="G294" s="6" t="n"/>
      <c r="H294" s="6" t="n"/>
      <c r="I294" t="str">
        <f>IF(C294="","",C294&amp;"|"&amp;G294)</f>
        <v/>
      </c>
    </row>
    <row r="295">
      <c r="A295" s="5" t="n"/>
      <c r="B295" s="5" t="n"/>
      <c r="C295" s="25" t="n"/>
      <c r="D295" s="9" t="n"/>
      <c r="E295" s="9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25" t="n"/>
      <c r="D296" s="9" t="n"/>
      <c r="E296" s="9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25" t="n"/>
      <c r="D297" s="9" t="n"/>
      <c r="E297" s="9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25" t="n"/>
      <c r="D298" s="9" t="n"/>
      <c r="E298" s="9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25" t="n"/>
      <c r="D299" s="9" t="n"/>
      <c r="E299" s="9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25" t="n"/>
      <c r="D300" s="9" t="n"/>
      <c r="E300" s="9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25" t="n"/>
      <c r="D301" s="9" t="n"/>
      <c r="E301" s="9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25" t="n"/>
      <c r="D302" s="9" t="n"/>
      <c r="E302" s="9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25" t="n"/>
      <c r="D303" s="9" t="n"/>
      <c r="E303" s="9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25" t="n"/>
      <c r="D304" s="9" t="n"/>
      <c r="E304" s="9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25" t="n"/>
      <c r="D305" s="9" t="n"/>
      <c r="E305" s="9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25" t="n"/>
      <c r="D306" s="9" t="n"/>
      <c r="E306" s="9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25" t="n"/>
      <c r="D307" s="9" t="n"/>
      <c r="E307" s="9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25" t="n"/>
      <c r="D308" s="9" t="n"/>
      <c r="E308" s="9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25" t="n"/>
      <c r="D309" s="9" t="n"/>
      <c r="E309" s="9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25" t="n"/>
      <c r="D310" s="9" t="n"/>
      <c r="E310" s="9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25" t="n"/>
      <c r="D311" s="9" t="n"/>
      <c r="E311" s="9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25" t="n"/>
      <c r="D312" s="9" t="n"/>
      <c r="E312" s="9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25" t="n"/>
      <c r="D313" s="9" t="n"/>
      <c r="E313" s="9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25" t="n"/>
      <c r="D314" s="9" t="n"/>
      <c r="E314" s="9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25" t="n"/>
      <c r="D315" s="9" t="n"/>
      <c r="E315" s="9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25" t="n"/>
      <c r="D316" s="9" t="n"/>
      <c r="E316" s="9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25" t="n"/>
      <c r="D317" s="9" t="n"/>
      <c r="E317" s="9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25" t="n"/>
      <c r="D318" s="9" t="n"/>
      <c r="E318" s="9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25" t="n"/>
      <c r="D319" s="9" t="n"/>
      <c r="E319" s="9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25" t="n"/>
      <c r="D320" s="9" t="n"/>
      <c r="E320" s="9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25" t="n"/>
      <c r="D321" s="9" t="n"/>
      <c r="E321" s="9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25" t="n"/>
      <c r="D322" s="9" t="n"/>
      <c r="E322" s="9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25" t="n"/>
      <c r="D323" s="9" t="n"/>
      <c r="E323" s="9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25" t="n"/>
      <c r="D324" s="9" t="n"/>
      <c r="E324" s="9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25" t="n"/>
      <c r="D325" s="9" t="n"/>
      <c r="E325" s="9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25" t="n"/>
      <c r="D326" s="9" t="n"/>
      <c r="E326" s="9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25" t="n"/>
      <c r="D327" s="9" t="n"/>
      <c r="E327" s="9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25" t="n"/>
      <c r="D328" s="9" t="n"/>
      <c r="E328" s="9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25" t="n"/>
      <c r="D329" s="9" t="n"/>
      <c r="E329" s="9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25" t="n"/>
      <c r="D330" s="9" t="n"/>
      <c r="E330" s="9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25" t="n"/>
      <c r="D331" s="9" t="n"/>
      <c r="E331" s="9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25" t="n"/>
      <c r="D332" s="9" t="n"/>
      <c r="E332" s="9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25" t="n"/>
      <c r="D333" s="9" t="n"/>
      <c r="E333" s="9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25" t="n"/>
      <c r="D334" s="9" t="n"/>
      <c r="E334" s="9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25" t="n"/>
      <c r="D335" s="9" t="n"/>
      <c r="E335" s="9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25" t="n"/>
      <c r="D336" s="9" t="n"/>
      <c r="E336" s="9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25" t="n"/>
      <c r="D337" s="9" t="n"/>
      <c r="E337" s="9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25" t="n"/>
      <c r="D338" s="9" t="n"/>
      <c r="E338" s="9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25" t="n"/>
      <c r="D339" s="9" t="n"/>
      <c r="E339" s="9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25" t="n"/>
      <c r="D340" s="9" t="n"/>
      <c r="E340" s="9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25" t="n"/>
      <c r="D341" s="9" t="n"/>
      <c r="E341" s="9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25" t="n"/>
      <c r="D342" s="9" t="n"/>
      <c r="E342" s="9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25" t="n"/>
      <c r="D343" s="9" t="n"/>
      <c r="E343" s="9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25" t="n"/>
      <c r="D344" s="9" t="n"/>
      <c r="E344" s="9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25" t="n"/>
      <c r="D345" s="9" t="n"/>
      <c r="E345" s="9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25" t="n"/>
      <c r="D346" s="9" t="n"/>
      <c r="E346" s="9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25" t="n"/>
      <c r="D347" s="9" t="n"/>
      <c r="E347" s="9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25" t="n"/>
      <c r="D348" s="9" t="n"/>
      <c r="E348" s="9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25" t="n"/>
      <c r="D349" s="9" t="n"/>
      <c r="E349" s="9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25" t="n"/>
      <c r="D350" s="9" t="n"/>
      <c r="E350" s="9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25" t="n"/>
      <c r="D351" s="9" t="n"/>
      <c r="E351" s="9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25" t="n"/>
      <c r="D352" s="9" t="n"/>
      <c r="E352" s="9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25" t="n"/>
      <c r="D353" s="9" t="n"/>
      <c r="E353" s="9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25" t="n"/>
      <c r="D354" s="9" t="n"/>
      <c r="E354" s="9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25" t="n"/>
      <c r="D355" s="9" t="n"/>
      <c r="E355" s="9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25" t="n"/>
      <c r="D356" s="9" t="n"/>
      <c r="E356" s="9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25" t="n"/>
      <c r="D357" s="9" t="n"/>
      <c r="E357" s="9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25" t="n"/>
      <c r="D358" s="9" t="n"/>
      <c r="E358" s="9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25" t="n"/>
      <c r="D359" s="9" t="n"/>
      <c r="E359" s="9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25" t="n"/>
      <c r="D360" s="9" t="n"/>
      <c r="E360" s="9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25" t="n"/>
      <c r="D361" s="9" t="n"/>
      <c r="E361" s="9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25" t="n"/>
      <c r="D362" s="9" t="n"/>
      <c r="E362" s="9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25" t="n"/>
      <c r="D363" s="9" t="n"/>
      <c r="E363" s="9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25" t="n"/>
      <c r="D364" s="9" t="n"/>
      <c r="E364" s="9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25" t="n"/>
      <c r="D365" s="9" t="n"/>
      <c r="E365" s="9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25" t="n"/>
      <c r="D366" s="9" t="n"/>
      <c r="E366" s="9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25" t="n"/>
      <c r="D367" s="9" t="n"/>
      <c r="E367" s="9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25" t="n"/>
      <c r="D368" s="9" t="n"/>
      <c r="E368" s="9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25" t="n"/>
      <c r="D369" s="9" t="n"/>
      <c r="E369" s="9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25" t="n"/>
      <c r="D370" s="9" t="n"/>
      <c r="E370" s="9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25" t="n"/>
      <c r="D371" s="9" t="n"/>
      <c r="E371" s="9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25" t="n"/>
      <c r="D372" s="9" t="n"/>
      <c r="E372" s="9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25" t="n"/>
      <c r="D373" s="9" t="n"/>
      <c r="E373" s="9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25" t="n"/>
      <c r="D374" s="9" t="n"/>
      <c r="E374" s="9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25" t="n"/>
      <c r="D375" s="9" t="n"/>
      <c r="E375" s="9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25" t="n"/>
      <c r="D376" s="9" t="n"/>
      <c r="E376" s="9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25" t="n"/>
      <c r="D377" s="9" t="n"/>
      <c r="E377" s="9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25" t="n"/>
      <c r="D378" s="9" t="n"/>
      <c r="E378" s="9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25" t="n"/>
      <c r="D379" s="9" t="n"/>
      <c r="E379" s="9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25" t="n"/>
      <c r="D380" s="9" t="n"/>
      <c r="E380" s="9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25" t="n"/>
      <c r="D381" s="9" t="n"/>
      <c r="E381" s="9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25" t="n"/>
      <c r="D382" s="9" t="n"/>
      <c r="E382" s="9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25" t="n"/>
      <c r="D383" s="9" t="n"/>
      <c r="E383" s="9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25" t="n"/>
      <c r="D384" s="9" t="n"/>
      <c r="E384" s="9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25" t="n"/>
      <c r="D385" s="9" t="n"/>
      <c r="E385" s="9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25" t="n"/>
      <c r="D386" s="9" t="n"/>
      <c r="E386" s="9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25" t="n"/>
      <c r="D387" s="9" t="n"/>
      <c r="E387" s="9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25" t="n"/>
      <c r="D388" s="9" t="n"/>
      <c r="E388" s="9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25" t="n"/>
      <c r="D389" s="9" t="n"/>
      <c r="E389" s="9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25" t="n"/>
      <c r="D390" s="9" t="n"/>
      <c r="E390" s="9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25" t="n"/>
      <c r="D391" s="9" t="n"/>
      <c r="E391" s="9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25" t="n"/>
      <c r="D392" s="9" t="n"/>
      <c r="E392" s="9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25" t="n"/>
      <c r="D393" s="9" t="n"/>
      <c r="E393" s="9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25" t="n"/>
      <c r="D394" s="9" t="n"/>
      <c r="E394" s="9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25" t="n"/>
      <c r="D395" s="9" t="n"/>
      <c r="E395" s="9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25" t="n"/>
      <c r="D396" s="9" t="n"/>
      <c r="E396" s="9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25" t="n"/>
      <c r="D397" s="9" t="n"/>
      <c r="E397" s="9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25" t="n"/>
      <c r="D398" s="9" t="n"/>
      <c r="E398" s="9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25" t="n"/>
      <c r="D399" s="9" t="n"/>
      <c r="E399" s="9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25" t="n"/>
      <c r="D400" s="9" t="n"/>
      <c r="E400" s="9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25" t="n"/>
      <c r="D401" s="9" t="n"/>
      <c r="E401" s="9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25" t="n"/>
      <c r="D402" s="9" t="n"/>
      <c r="E402" s="9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25" t="n"/>
      <c r="D403" s="9" t="n"/>
      <c r="E403" s="9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25" t="n"/>
      <c r="D404" s="9" t="n"/>
      <c r="E404" s="9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25" t="n"/>
      <c r="D405" s="9" t="n"/>
      <c r="E405" s="9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25" t="n"/>
      <c r="D406" s="9" t="n"/>
      <c r="E406" s="9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25" t="n"/>
      <c r="D407" s="9" t="n"/>
      <c r="E407" s="9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25" t="n"/>
      <c r="D408" s="9" t="n"/>
      <c r="E408" s="9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25" t="n"/>
      <c r="D409" s="9" t="n"/>
      <c r="E409" s="9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25" t="n"/>
      <c r="D410" s="9" t="n"/>
      <c r="E410" s="9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25" t="n"/>
      <c r="D411" s="9" t="n"/>
      <c r="E411" s="9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25" t="n"/>
      <c r="D412" s="9" t="n"/>
      <c r="E412" s="9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25" t="n"/>
      <c r="D413" s="9" t="n"/>
      <c r="E413" s="9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25" t="n"/>
      <c r="D414" s="9" t="n"/>
      <c r="E414" s="9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25" t="n"/>
      <c r="D415" s="9" t="n"/>
      <c r="E415" s="9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25" t="n"/>
      <c r="D416" s="9" t="n"/>
      <c r="E416" s="9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25" t="n"/>
      <c r="D417" s="9" t="n"/>
      <c r="E417" s="9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25" t="n"/>
      <c r="D418" s="9" t="n"/>
      <c r="E418" s="9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25" t="n"/>
      <c r="D419" s="9" t="n"/>
      <c r="E419" s="9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25" t="n"/>
      <c r="D420" s="9" t="n"/>
      <c r="E420" s="9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25" t="n"/>
      <c r="D421" s="9" t="n"/>
      <c r="E421" s="9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25" t="n"/>
      <c r="D422" s="9" t="n"/>
      <c r="E422" s="9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25" t="n"/>
      <c r="D423" s="9" t="n"/>
      <c r="E423" s="9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25" t="n"/>
      <c r="D424" s="9" t="n"/>
      <c r="E424" s="9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25" t="n"/>
      <c r="D425" s="9" t="n"/>
      <c r="E425" s="9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25" t="n"/>
      <c r="D426" s="9" t="n"/>
      <c r="E426" s="9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25" t="n"/>
      <c r="D427" s="9" t="n"/>
      <c r="E427" s="9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25" t="n"/>
      <c r="D428" s="9" t="n"/>
      <c r="E428" s="9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25" t="n"/>
      <c r="D429" s="9" t="n"/>
      <c r="E429" s="9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25" t="n"/>
      <c r="D430" s="9" t="n"/>
      <c r="E430" s="9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25" t="n"/>
      <c r="D431" s="9" t="n"/>
      <c r="E431" s="9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25" t="n"/>
      <c r="D432" s="9" t="n"/>
      <c r="E432" s="9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25" t="n"/>
      <c r="D433" s="9" t="n"/>
      <c r="E433" s="9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25" t="n"/>
      <c r="D434" s="9" t="n"/>
      <c r="E434" s="9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25" t="n"/>
      <c r="D435" s="9" t="n"/>
      <c r="E435" s="9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25" t="n"/>
      <c r="D436" s="9" t="n"/>
      <c r="E436" s="9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25" t="n"/>
      <c r="D437" s="9" t="n"/>
      <c r="E437" s="9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25" t="n"/>
      <c r="D438" s="9" t="n"/>
      <c r="E438" s="9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25" t="n"/>
      <c r="D439" s="9" t="n"/>
      <c r="E439" s="9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25" t="n"/>
      <c r="D440" s="9" t="n"/>
      <c r="E440" s="9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25" t="n"/>
      <c r="D441" s="9" t="n"/>
      <c r="E441" s="9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25" t="n"/>
      <c r="D442" s="9" t="n"/>
      <c r="E442" s="9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25" t="n"/>
      <c r="D443" s="9" t="n"/>
      <c r="E443" s="9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25" t="n"/>
      <c r="D444" s="9" t="n"/>
      <c r="E444" s="9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25" t="n"/>
      <c r="D445" s="9" t="n"/>
      <c r="E445" s="9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25" t="n"/>
      <c r="D446" s="9" t="n"/>
      <c r="E446" s="9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25" t="n"/>
      <c r="D447" s="9" t="n"/>
      <c r="E447" s="9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25" t="n"/>
      <c r="D448" s="9" t="n"/>
      <c r="E448" s="9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25" t="n"/>
      <c r="D449" s="9" t="n"/>
      <c r="E449" s="9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25" t="n"/>
      <c r="D450" s="9" t="n"/>
      <c r="E450" s="9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25" t="n"/>
      <c r="D451" s="9" t="n"/>
      <c r="E451" s="9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25" t="n"/>
      <c r="D452" s="9" t="n"/>
      <c r="E452" s="9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25" t="n"/>
      <c r="D453" s="9" t="n"/>
      <c r="E453" s="9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25" t="n"/>
      <c r="D454" s="9" t="n"/>
      <c r="E454" s="9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25" t="n"/>
      <c r="D455" s="9" t="n"/>
      <c r="E455" s="9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25" t="n"/>
      <c r="D456" s="9" t="n"/>
      <c r="E456" s="9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25" t="n"/>
      <c r="D457" s="9" t="n"/>
      <c r="E457" s="9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25" t="n"/>
      <c r="D458" s="9" t="n"/>
      <c r="E458" s="9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25" t="n"/>
      <c r="D459" s="9" t="n"/>
      <c r="E459" s="9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25" t="n"/>
      <c r="D460" s="9" t="n"/>
      <c r="E460" s="9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25" t="n"/>
      <c r="D461" s="9" t="n"/>
      <c r="E461" s="9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25" t="n"/>
      <c r="D462" s="9" t="n"/>
      <c r="E462" s="9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25" t="n"/>
      <c r="D463" s="9" t="n"/>
      <c r="E463" s="9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25" t="n"/>
      <c r="D464" s="9" t="n"/>
      <c r="E464" s="9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25" t="n"/>
      <c r="D465" s="9" t="n"/>
      <c r="E465" s="9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25" t="n"/>
      <c r="D466" s="9" t="n"/>
      <c r="E466" s="9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25" t="n"/>
      <c r="D467" s="9" t="n"/>
      <c r="E467" s="9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25" t="n"/>
      <c r="D468" s="9" t="n"/>
      <c r="E468" s="9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25" t="n"/>
      <c r="D469" s="9" t="n"/>
      <c r="E469" s="9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25" t="n"/>
      <c r="D470" s="9" t="n"/>
      <c r="E470" s="9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25" t="n"/>
      <c r="D471" s="9" t="n"/>
      <c r="E471" s="9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25" t="n"/>
      <c r="D472" s="9" t="n"/>
      <c r="E472" s="9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25" t="n"/>
      <c r="D473" s="9" t="n"/>
      <c r="E473" s="9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25" t="n"/>
      <c r="D474" s="9" t="n"/>
      <c r="E474" s="9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25" t="n"/>
      <c r="D475" s="9" t="n"/>
      <c r="E475" s="9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25" t="n"/>
      <c r="D476" s="9" t="n"/>
      <c r="E476" s="9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25" t="n"/>
      <c r="D477" s="9" t="n"/>
      <c r="E477" s="9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25" t="n"/>
      <c r="D478" s="9" t="n"/>
      <c r="E478" s="9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25" t="n"/>
      <c r="D479" s="9" t="n"/>
      <c r="E479" s="9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25" t="n"/>
      <c r="D480" s="9" t="n"/>
      <c r="E480" s="9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25" t="n"/>
      <c r="D481" s="9" t="n"/>
      <c r="E481" s="9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25" t="n"/>
      <c r="D482" s="9" t="n"/>
      <c r="E482" s="9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25" t="n"/>
      <c r="D483" s="9" t="n"/>
      <c r="E483" s="9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25" t="n"/>
      <c r="D484" s="9" t="n"/>
      <c r="E484" s="9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25" t="n"/>
      <c r="D485" s="9" t="n"/>
      <c r="E485" s="9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25" t="n"/>
      <c r="D486" s="9" t="n"/>
      <c r="E486" s="9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25" t="n"/>
      <c r="D487" s="9" t="n"/>
      <c r="E487" s="9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25" t="n"/>
      <c r="D488" s="9" t="n"/>
      <c r="E488" s="9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25" t="n"/>
      <c r="D489" s="9" t="n"/>
      <c r="E489" s="9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25" t="n"/>
      <c r="D490" s="9" t="n"/>
      <c r="E490" s="9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25" t="n"/>
      <c r="D491" s="9" t="n"/>
      <c r="E491" s="9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25" t="n"/>
      <c r="D492" s="9" t="n"/>
      <c r="E492" s="9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25" t="n"/>
      <c r="D493" s="9" t="n"/>
      <c r="E493" s="9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25" t="n"/>
      <c r="D494" s="9" t="n"/>
      <c r="E494" s="9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25" t="n"/>
      <c r="D495" s="9" t="n"/>
      <c r="E495" s="9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25" t="n"/>
      <c r="D496" s="9" t="n"/>
      <c r="E496" s="9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25" t="n"/>
      <c r="D497" s="9" t="n"/>
      <c r="E497" s="9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25" t="n"/>
      <c r="D498" s="9" t="n"/>
      <c r="E498" s="9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25" t="n"/>
      <c r="D499" s="9" t="n"/>
      <c r="E499" s="9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25" t="n"/>
      <c r="D500" s="9" t="n"/>
      <c r="E500" s="9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25" t="n"/>
      <c r="D501" s="9" t="n"/>
      <c r="E501" s="9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25" t="n"/>
      <c r="D502" s="9" t="n"/>
      <c r="E502" s="9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25" t="n"/>
      <c r="D503" s="9" t="n"/>
      <c r="E503" s="9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25" t="n"/>
      <c r="D504" s="9" t="n"/>
      <c r="E504" s="9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25" t="n"/>
      <c r="D505" s="9" t="n"/>
      <c r="E505" s="9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25" t="n"/>
      <c r="D506" s="9" t="n"/>
      <c r="E506" s="9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25" t="n"/>
      <c r="D507" s="9" t="n"/>
      <c r="E507" s="9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25" t="n"/>
      <c r="D508" s="9" t="n"/>
      <c r="E508" s="9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25" t="n"/>
      <c r="D509" s="9" t="n"/>
      <c r="E509" s="9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25" t="n"/>
      <c r="D510" s="9" t="n"/>
      <c r="E510" s="9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25" t="n"/>
      <c r="D511" s="9" t="n"/>
      <c r="E511" s="9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25" t="n"/>
      <c r="D512" s="9" t="n"/>
      <c r="E512" s="9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25" t="n"/>
      <c r="D513" s="9" t="n"/>
      <c r="E513" s="9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25" t="n"/>
      <c r="D514" s="9" t="n"/>
      <c r="E514" s="9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25" t="n"/>
      <c r="D515" s="9" t="n"/>
      <c r="E515" s="9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25" t="n"/>
      <c r="D516" s="9" t="n"/>
      <c r="E516" s="9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25" t="n"/>
      <c r="D517" s="9" t="n"/>
      <c r="E517" s="9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25" t="n"/>
      <c r="D518" s="9" t="n"/>
      <c r="E518" s="9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25" t="n"/>
      <c r="D519" s="9" t="n"/>
      <c r="E519" s="9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25" t="n"/>
      <c r="D520" s="9" t="n"/>
      <c r="E520" s="9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25" t="n"/>
      <c r="D521" s="9" t="n"/>
      <c r="E521" s="9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25" t="n"/>
      <c r="D522" s="9" t="n"/>
      <c r="E522" s="9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25" t="n"/>
      <c r="D523" s="9" t="n"/>
      <c r="E523" s="9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25" t="n"/>
      <c r="D524" s="9" t="n"/>
      <c r="E524" s="9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25" t="n"/>
      <c r="D525" s="9" t="n"/>
      <c r="E525" s="9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25" t="n"/>
      <c r="D526" s="9" t="n"/>
      <c r="E526" s="9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25" t="n"/>
      <c r="D527" s="9" t="n"/>
      <c r="E527" s="9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25" t="n"/>
      <c r="D528" s="9" t="n"/>
      <c r="E528" s="9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25" t="n"/>
      <c r="D529" s="9" t="n"/>
      <c r="E529" s="9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25" t="n"/>
      <c r="D530" s="9" t="n"/>
      <c r="E530" s="9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25" t="n"/>
      <c r="D531" s="9" t="n"/>
      <c r="E531" s="9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25" t="n"/>
      <c r="D532" s="9" t="n"/>
      <c r="E532" s="9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25" t="n"/>
      <c r="D533" s="9" t="n"/>
      <c r="E533" s="9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25" t="n"/>
      <c r="D534" s="9" t="n"/>
      <c r="E534" s="9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25" t="n"/>
      <c r="D535" s="9" t="n"/>
      <c r="E535" s="9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25" t="n"/>
      <c r="D536" s="9" t="n"/>
      <c r="E536" s="9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25" t="n"/>
      <c r="D537" s="9" t="n"/>
      <c r="E537" s="9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25" t="n"/>
      <c r="D538" s="9" t="n"/>
      <c r="E538" s="9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25" t="n"/>
      <c r="D539" s="9" t="n"/>
      <c r="E539" s="9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25" t="n"/>
      <c r="D540" s="9" t="n"/>
      <c r="E540" s="9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25" t="n"/>
      <c r="D541" s="9" t="n"/>
      <c r="E541" s="9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25" t="n"/>
      <c r="D542" s="9" t="n"/>
      <c r="E542" s="9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25" t="n"/>
      <c r="D543" s="9" t="n"/>
      <c r="E543" s="9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25" t="n"/>
      <c r="D544" s="9" t="n"/>
      <c r="E544" s="9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25" t="n"/>
      <c r="D545" s="9" t="n"/>
      <c r="E545" s="9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25" t="n"/>
      <c r="D546" s="9" t="n"/>
      <c r="E546" s="9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25" t="n"/>
      <c r="D547" s="9" t="n"/>
      <c r="E547" s="9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25" t="n"/>
      <c r="D548" s="9" t="n"/>
      <c r="E548" s="9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25" t="n"/>
      <c r="D549" s="9" t="n"/>
      <c r="E549" s="9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25" t="n"/>
      <c r="D550" s="9" t="n"/>
      <c r="E550" s="9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25" t="n"/>
      <c r="D551" s="9" t="n"/>
      <c r="E551" s="9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25" t="n"/>
      <c r="D552" s="9" t="n"/>
      <c r="E552" s="9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25" t="n"/>
      <c r="D553" s="9" t="n"/>
      <c r="E553" s="9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25" t="n"/>
      <c r="D554" s="9" t="n"/>
      <c r="E554" s="9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25" t="n"/>
      <c r="D555" s="9" t="n"/>
      <c r="E555" s="9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25" t="n"/>
      <c r="D556" s="9" t="n"/>
      <c r="E556" s="9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25" t="n"/>
      <c r="D557" s="9" t="n"/>
      <c r="E557" s="9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25" t="n"/>
      <c r="D558" s="9" t="n"/>
      <c r="E558" s="9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25" t="n"/>
      <c r="D559" s="9" t="n"/>
      <c r="E559" s="9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25" t="n"/>
      <c r="D560" s="9" t="n"/>
      <c r="E560" s="9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25" t="n"/>
      <c r="D561" s="9" t="n"/>
      <c r="E561" s="9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25" t="n"/>
      <c r="D562" s="9" t="n"/>
      <c r="E562" s="9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25" t="n"/>
      <c r="D563" s="9" t="n"/>
      <c r="E563" s="9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25" t="n"/>
      <c r="D564" s="9" t="n"/>
      <c r="E564" s="9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25" t="n"/>
      <c r="D565" s="9" t="n"/>
      <c r="E565" s="9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25" t="n"/>
      <c r="D566" s="9" t="n"/>
      <c r="E566" s="9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25" t="n"/>
      <c r="D567" s="9" t="n"/>
      <c r="E567" s="9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25" t="n"/>
      <c r="D568" s="9" t="n"/>
      <c r="E568" s="9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25" t="n"/>
      <c r="D569" s="9" t="n"/>
      <c r="E569" s="9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25" t="n"/>
      <c r="D570" s="9" t="n"/>
      <c r="E570" s="9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25" t="n"/>
      <c r="D571" s="9" t="n"/>
      <c r="E571" s="9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25" t="n"/>
      <c r="D572" s="9" t="n"/>
      <c r="E572" s="9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25" t="n"/>
      <c r="D573" s="9" t="n"/>
      <c r="E573" s="9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25" t="n"/>
      <c r="D574" s="9" t="n"/>
      <c r="E574" s="9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25" t="n"/>
      <c r="D575" s="9" t="n"/>
      <c r="E575" s="9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25" t="n"/>
      <c r="D576" s="9" t="n"/>
      <c r="E576" s="9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25" t="n"/>
      <c r="D577" s="9" t="n"/>
      <c r="E577" s="9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25" t="n"/>
      <c r="D578" s="9" t="n"/>
      <c r="E578" s="9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25" t="n"/>
      <c r="D579" s="9" t="n"/>
      <c r="E579" s="9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25" t="n"/>
      <c r="D580" s="9" t="n"/>
      <c r="E580" s="9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25" t="n"/>
      <c r="D581" s="9" t="n"/>
      <c r="E581" s="9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25" t="n"/>
      <c r="D582" s="9" t="n"/>
      <c r="E582" s="9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25" t="n"/>
      <c r="D583" s="9" t="n"/>
      <c r="E583" s="9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25" t="n"/>
      <c r="D584" s="9" t="n"/>
      <c r="E584" s="9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25" t="n"/>
      <c r="D585" s="9" t="n"/>
      <c r="E585" s="9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25" t="n"/>
      <c r="D586" s="9" t="n"/>
      <c r="E586" s="9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25" t="n"/>
      <c r="D587" s="9" t="n"/>
      <c r="E587" s="9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25" t="n"/>
      <c r="D588" s="9" t="n"/>
      <c r="E588" s="9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25" t="n"/>
      <c r="D589" s="9" t="n"/>
      <c r="E589" s="9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25" t="n"/>
      <c r="D590" s="9" t="n"/>
      <c r="E590" s="9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25" t="n"/>
      <c r="D591" s="9" t="n"/>
      <c r="E591" s="9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25" t="n"/>
      <c r="D592" s="9" t="n"/>
      <c r="E592" s="9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25" t="n"/>
      <c r="D593" s="9" t="n"/>
      <c r="E593" s="9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25" t="n"/>
      <c r="D594" s="9" t="n"/>
      <c r="E594" s="9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25" t="n"/>
      <c r="D595" s="9" t="n"/>
      <c r="E595" s="9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25" t="n"/>
      <c r="D596" s="9" t="n"/>
      <c r="E596" s="9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25" t="n"/>
      <c r="D597" s="9" t="n"/>
      <c r="E597" s="9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25" t="n"/>
      <c r="D598" s="9" t="n"/>
      <c r="E598" s="9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25" t="n"/>
      <c r="D599" s="9" t="n"/>
      <c r="E599" s="9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25" t="n"/>
      <c r="D600" s="9" t="n"/>
      <c r="E600" s="9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25" t="n"/>
      <c r="D601" s="9" t="n"/>
      <c r="E601" s="9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25" t="n"/>
      <c r="D602" s="9" t="n"/>
      <c r="E602" s="9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25" t="n"/>
      <c r="D603" s="9" t="n"/>
      <c r="E603" s="9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25" t="n"/>
      <c r="D604" s="9" t="n"/>
      <c r="E604" s="9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25" t="n"/>
      <c r="D605" s="9" t="n"/>
      <c r="E605" s="9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25" t="n"/>
      <c r="D606" s="9" t="n"/>
      <c r="E606" s="9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25" t="n"/>
      <c r="D607" s="9" t="n"/>
      <c r="E607" s="9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25" t="n"/>
      <c r="D608" s="9" t="n"/>
      <c r="E608" s="9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25" t="n"/>
      <c r="D609" s="9" t="n"/>
      <c r="E609" s="9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25" t="n"/>
      <c r="D610" s="9" t="n"/>
      <c r="E610" s="9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25" t="n"/>
      <c r="D611" s="9" t="n"/>
      <c r="E611" s="9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25" t="n"/>
      <c r="D612" s="9" t="n"/>
      <c r="E612" s="9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25" t="n"/>
      <c r="D613" s="9" t="n"/>
      <c r="E613" s="9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25" t="n"/>
      <c r="D614" s="9" t="n"/>
      <c r="E614" s="9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25" t="n"/>
      <c r="D615" s="9" t="n"/>
      <c r="E615" s="9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25" t="n"/>
      <c r="D616" s="9" t="n"/>
      <c r="E616" s="9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25" t="n"/>
      <c r="D617" s="9" t="n"/>
      <c r="E617" s="9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25" t="n"/>
      <c r="D618" s="9" t="n"/>
      <c r="E618" s="9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25" t="n"/>
      <c r="D619" s="9" t="n"/>
      <c r="E619" s="9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25" t="n"/>
      <c r="D620" s="9" t="n"/>
      <c r="E620" s="9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25" t="n"/>
      <c r="D621" s="9" t="n"/>
      <c r="E621" s="9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25" t="n"/>
      <c r="D622" s="9" t="n"/>
      <c r="E622" s="9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25" t="n"/>
      <c r="D623" s="9" t="n"/>
      <c r="E623" s="9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25" t="n"/>
      <c r="D624" s="9" t="n"/>
      <c r="E624" s="9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25" t="n"/>
      <c r="D625" s="9" t="n"/>
      <c r="E625" s="9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25" t="n"/>
      <c r="D626" s="9" t="n"/>
      <c r="E626" s="9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25" t="n"/>
      <c r="D627" s="9" t="n"/>
      <c r="E627" s="9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25" t="n"/>
      <c r="D628" s="9" t="n"/>
      <c r="E628" s="9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25" t="n"/>
      <c r="D629" s="9" t="n"/>
      <c r="E629" s="9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25" t="n"/>
      <c r="D630" s="9" t="n"/>
      <c r="E630" s="9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25" t="n"/>
      <c r="D631" s="9" t="n"/>
      <c r="E631" s="9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25" t="n"/>
      <c r="D632" s="9" t="n"/>
      <c r="E632" s="9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25" t="n"/>
      <c r="D633" s="9" t="n"/>
      <c r="E633" s="9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25" t="n"/>
      <c r="D634" s="9" t="n"/>
      <c r="E634" s="9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25" t="n"/>
      <c r="D635" s="9" t="n"/>
      <c r="E635" s="9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25" t="n"/>
      <c r="D636" s="9" t="n"/>
      <c r="E636" s="9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25" t="n"/>
      <c r="D637" s="9" t="n"/>
      <c r="E637" s="9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25" t="n"/>
      <c r="D638" s="9" t="n"/>
      <c r="E638" s="9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25" t="n"/>
      <c r="D639" s="9" t="n"/>
      <c r="E639" s="9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25" t="n"/>
      <c r="D640" s="9" t="n"/>
      <c r="E640" s="9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25" t="n"/>
      <c r="D641" s="9" t="n"/>
      <c r="E641" s="9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25" t="n"/>
      <c r="D642" s="9" t="n"/>
      <c r="E642" s="9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25" t="n"/>
      <c r="D643" s="9" t="n"/>
      <c r="E643" s="9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25" t="n"/>
      <c r="D644" s="9" t="n"/>
      <c r="E644" s="9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25" t="n"/>
      <c r="D645" s="9" t="n"/>
      <c r="E645" s="9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25" t="n"/>
      <c r="D646" s="9" t="n"/>
      <c r="E646" s="9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25" t="n"/>
      <c r="D647" s="9" t="n"/>
      <c r="E647" s="9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25" t="n"/>
      <c r="D648" s="9" t="n"/>
      <c r="E648" s="9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25" t="n"/>
      <c r="D649" s="9" t="n"/>
      <c r="E649" s="9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25" t="n"/>
      <c r="D650" s="9" t="n"/>
      <c r="E650" s="9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25" t="n"/>
      <c r="D651" s="9" t="n"/>
      <c r="E651" s="9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25" t="n"/>
      <c r="D652" s="9" t="n"/>
      <c r="E652" s="9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25" t="n"/>
      <c r="D653" s="9" t="n"/>
      <c r="E653" s="9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25" t="n"/>
      <c r="D654" s="9" t="n"/>
      <c r="E654" s="9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25" t="n"/>
      <c r="D655" s="9" t="n"/>
      <c r="E655" s="9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25" t="n"/>
      <c r="D656" s="9" t="n"/>
      <c r="E656" s="9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25" t="n"/>
      <c r="D657" s="9" t="n"/>
      <c r="E657" s="9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25" t="n"/>
      <c r="D658" s="9" t="n"/>
      <c r="E658" s="9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25" t="n"/>
      <c r="D659" s="9" t="n"/>
      <c r="E659" s="9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25" t="n"/>
      <c r="D660" s="9" t="n"/>
      <c r="E660" s="9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25" t="n"/>
      <c r="D661" s="9" t="n"/>
      <c r="E661" s="9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25" t="n"/>
      <c r="D662" s="9" t="n"/>
      <c r="E662" s="9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25" t="n"/>
      <c r="D663" s="9" t="n"/>
      <c r="E663" s="9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25" t="n"/>
      <c r="D664" s="9" t="n"/>
      <c r="E664" s="9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25" t="n"/>
      <c r="D665" s="9" t="n"/>
      <c r="E665" s="9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25" t="n"/>
      <c r="D666" s="9" t="n"/>
      <c r="E666" s="9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25" t="n"/>
      <c r="D667" s="9" t="n"/>
      <c r="E667" s="9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25" t="n"/>
      <c r="D668" s="9" t="n"/>
      <c r="E668" s="9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25" t="n"/>
      <c r="D669" s="9" t="n"/>
      <c r="E669" s="9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25" t="n"/>
      <c r="D670" s="9" t="n"/>
      <c r="E670" s="9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25" t="n"/>
      <c r="D671" s="9" t="n"/>
      <c r="E671" s="9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25" t="n"/>
      <c r="D672" s="9" t="n"/>
      <c r="E672" s="9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25" t="n"/>
      <c r="D673" s="9" t="n"/>
      <c r="E673" s="9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25" t="n"/>
      <c r="D674" s="9" t="n"/>
      <c r="E674" s="9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25" t="n"/>
      <c r="D675" s="9" t="n"/>
      <c r="E675" s="9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25" t="n"/>
      <c r="D676" s="9" t="n"/>
      <c r="E676" s="9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25" t="n"/>
      <c r="D677" s="9" t="n"/>
      <c r="E677" s="9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25" t="n"/>
      <c r="D678" s="9" t="n"/>
      <c r="E678" s="9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25" t="n"/>
      <c r="D679" s="9" t="n"/>
      <c r="E679" s="9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25" t="n"/>
      <c r="D680" s="9" t="n"/>
      <c r="E680" s="9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25" t="n"/>
      <c r="D681" s="9" t="n"/>
      <c r="E681" s="9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25" t="n"/>
      <c r="D682" s="9" t="n"/>
      <c r="E682" s="9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25" t="n"/>
      <c r="D683" s="9" t="n"/>
      <c r="E683" s="9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25" t="n"/>
      <c r="D684" s="9" t="n"/>
      <c r="E684" s="9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25" t="n"/>
      <c r="D685" s="9" t="n"/>
      <c r="E685" s="9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25" t="n"/>
      <c r="D686" s="9" t="n"/>
      <c r="E686" s="9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25" t="n"/>
      <c r="D687" s="9" t="n"/>
      <c r="E687" s="9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25" t="n"/>
      <c r="D688" s="9" t="n"/>
      <c r="E688" s="9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25" t="n"/>
      <c r="D689" s="9" t="n"/>
      <c r="E689" s="9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25" t="n"/>
      <c r="D690" s="9" t="n"/>
      <c r="E690" s="9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25" t="n"/>
      <c r="D691" s="9" t="n"/>
      <c r="E691" s="9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25" t="n"/>
      <c r="D692" s="9" t="n"/>
      <c r="E692" s="9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25" t="n"/>
      <c r="D693" s="9" t="n"/>
      <c r="E693" s="9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25" t="n"/>
      <c r="D694" s="9" t="n"/>
      <c r="E694" s="9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25" t="n"/>
      <c r="D695" s="9" t="n"/>
      <c r="E695" s="9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25" t="n"/>
      <c r="D696" s="9" t="n"/>
      <c r="E696" s="9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25" t="n"/>
      <c r="D697" s="9" t="n"/>
      <c r="E697" s="9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25" t="n"/>
      <c r="D698" s="9" t="n"/>
      <c r="E698" s="9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25" t="n"/>
      <c r="D699" s="9" t="n"/>
      <c r="E699" s="9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25" t="n"/>
      <c r="D700" s="9" t="n"/>
      <c r="E700" s="9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25" t="n"/>
      <c r="D701" s="9" t="n"/>
      <c r="E701" s="9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25" t="n"/>
      <c r="D702" s="9" t="n"/>
      <c r="E702" s="9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25" t="n"/>
      <c r="D703" s="9" t="n"/>
      <c r="E703" s="9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25" t="n"/>
      <c r="D704" s="9" t="n"/>
      <c r="E704" s="9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25" t="n"/>
      <c r="D705" s="9" t="n"/>
      <c r="E705" s="9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25" t="n"/>
      <c r="D706" s="9" t="n"/>
      <c r="E706" s="9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25" t="n"/>
      <c r="D707" s="9" t="n"/>
      <c r="E707" s="9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25" t="n"/>
      <c r="D708" s="9" t="n"/>
      <c r="E708" s="9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25" t="n"/>
      <c r="D709" s="9" t="n"/>
      <c r="E709" s="9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25" t="n"/>
      <c r="D710" s="9" t="n"/>
      <c r="E710" s="9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25" t="n"/>
      <c r="D711" s="9" t="n"/>
      <c r="E711" s="9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25" t="n"/>
      <c r="D712" s="9" t="n"/>
      <c r="E712" s="9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25" t="n"/>
      <c r="D713" s="9" t="n"/>
      <c r="E713" s="9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25" t="n"/>
      <c r="D714" s="9" t="n"/>
      <c r="E714" s="9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25" t="n"/>
      <c r="D715" s="9" t="n"/>
      <c r="E715" s="9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25" t="n"/>
      <c r="D716" s="9" t="n"/>
      <c r="E716" s="9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25" t="n"/>
      <c r="D717" s="9" t="n"/>
      <c r="E717" s="9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25" t="n"/>
      <c r="D718" s="9" t="n"/>
      <c r="E718" s="9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25" t="n"/>
      <c r="D719" s="9" t="n"/>
      <c r="E719" s="9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25" t="n"/>
      <c r="D720" s="9" t="n"/>
      <c r="E720" s="9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25" t="n"/>
      <c r="D721" s="9" t="n"/>
      <c r="E721" s="9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25" t="n"/>
      <c r="D722" s="9" t="n"/>
      <c r="E722" s="9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25" t="n"/>
      <c r="D723" s="9" t="n"/>
      <c r="E723" s="9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25" t="n"/>
      <c r="D724" s="9" t="n"/>
      <c r="E724" s="9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25" t="n"/>
      <c r="D725" s="9" t="n"/>
      <c r="E725" s="9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25" t="n"/>
      <c r="D726" s="9" t="n"/>
      <c r="E726" s="9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25" t="n"/>
      <c r="D727" s="9" t="n"/>
      <c r="E727" s="9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25" t="n"/>
      <c r="D728" s="9" t="n"/>
      <c r="E728" s="9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25" t="n"/>
      <c r="D729" s="9" t="n"/>
      <c r="E729" s="9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25" t="n"/>
      <c r="D730" s="9" t="n"/>
      <c r="E730" s="9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25" t="n"/>
      <c r="D731" s="9" t="n"/>
      <c r="E731" s="9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25" t="n"/>
      <c r="D732" s="9" t="n"/>
      <c r="E732" s="9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25" t="n"/>
      <c r="D733" s="9" t="n"/>
      <c r="E733" s="9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25" t="n"/>
      <c r="D734" s="9" t="n"/>
      <c r="E734" s="9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25" t="n"/>
      <c r="D735" s="9" t="n"/>
      <c r="E735" s="9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25" t="n"/>
      <c r="D736" s="9" t="n"/>
      <c r="E736" s="9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25" t="n"/>
      <c r="D737" s="9" t="n"/>
      <c r="E737" s="9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25" t="n"/>
      <c r="D738" s="9" t="n"/>
      <c r="E738" s="9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25" t="n"/>
      <c r="D739" s="9" t="n"/>
      <c r="E739" s="9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25" t="n"/>
      <c r="D740" s="9" t="n"/>
      <c r="E740" s="9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25" t="n"/>
      <c r="D741" s="9" t="n"/>
      <c r="E741" s="9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25" t="n"/>
      <c r="D742" s="9" t="n"/>
      <c r="E742" s="9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25" t="n"/>
      <c r="D743" s="9" t="n"/>
      <c r="E743" s="9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25" t="n"/>
      <c r="D744" s="9" t="n"/>
      <c r="E744" s="9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25" t="n"/>
      <c r="D745" s="9" t="n"/>
      <c r="E745" s="9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25" t="n"/>
      <c r="D746" s="9" t="n"/>
      <c r="E746" s="9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25" t="n"/>
      <c r="D747" s="9" t="n"/>
      <c r="E747" s="9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25" t="n"/>
      <c r="D748" s="9" t="n"/>
      <c r="E748" s="9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25" t="n"/>
      <c r="D749" s="9" t="n"/>
      <c r="E749" s="9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25" t="n"/>
      <c r="D750" s="9" t="n"/>
      <c r="E750" s="9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25" t="n"/>
      <c r="D751" s="9" t="n"/>
      <c r="E751" s="9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25" t="n"/>
      <c r="D752" s="9" t="n"/>
      <c r="E752" s="9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25" t="n"/>
      <c r="D753" s="9" t="n"/>
      <c r="E753" s="9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25" t="n"/>
      <c r="D754" s="9" t="n"/>
      <c r="E754" s="9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25" t="n"/>
      <c r="D755" s="9" t="n"/>
      <c r="E755" s="9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25" t="n"/>
      <c r="D756" s="9" t="n"/>
      <c r="E756" s="9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25" t="n"/>
      <c r="D757" s="9" t="n"/>
      <c r="E757" s="9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25" t="n"/>
      <c r="D758" s="9" t="n"/>
      <c r="E758" s="9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25" t="n"/>
      <c r="D759" s="9" t="n"/>
      <c r="E759" s="9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25" t="n"/>
      <c r="D760" s="9" t="n"/>
      <c r="E760" s="9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25" t="n"/>
      <c r="D761" s="9" t="n"/>
      <c r="E761" s="9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25" t="n"/>
      <c r="D762" s="9" t="n"/>
      <c r="E762" s="9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25" t="n"/>
      <c r="D763" s="9" t="n"/>
      <c r="E763" s="9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25" t="n"/>
      <c r="D764" s="9" t="n"/>
      <c r="E764" s="9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25" t="n"/>
      <c r="D765" s="9" t="n"/>
      <c r="E765" s="9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25" t="n"/>
      <c r="D766" s="9" t="n"/>
      <c r="E766" s="9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25" t="n"/>
      <c r="D767" s="9" t="n"/>
      <c r="E767" s="9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25" t="n"/>
      <c r="D768" s="9" t="n"/>
      <c r="E768" s="9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25" t="n"/>
      <c r="D769" s="9" t="n"/>
      <c r="E769" s="9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25" t="n"/>
      <c r="D770" s="9" t="n"/>
      <c r="E770" s="9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25" t="n"/>
      <c r="D771" s="9" t="n"/>
      <c r="E771" s="9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25" t="n"/>
      <c r="D772" s="9" t="n"/>
      <c r="E772" s="9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25" t="n"/>
      <c r="D773" s="9" t="n"/>
      <c r="E773" s="9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25" t="n"/>
      <c r="D774" s="9" t="n"/>
      <c r="E774" s="9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25" t="n"/>
      <c r="D775" s="9" t="n"/>
      <c r="E775" s="9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25" t="n"/>
      <c r="D776" s="9" t="n"/>
      <c r="E776" s="9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25" t="n"/>
      <c r="D777" s="9" t="n"/>
      <c r="E777" s="9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25" t="n"/>
      <c r="D778" s="9" t="n"/>
      <c r="E778" s="9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25" t="n"/>
      <c r="D779" s="9" t="n"/>
      <c r="E779" s="9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25" t="n"/>
      <c r="D780" s="9" t="n"/>
      <c r="E780" s="9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25" t="n"/>
      <c r="D781" s="9" t="n"/>
      <c r="E781" s="9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25" t="n"/>
      <c r="D782" s="9" t="n"/>
      <c r="E782" s="9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25" t="n"/>
      <c r="D783" s="9" t="n"/>
      <c r="E783" s="9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25" t="n"/>
      <c r="D784" s="9" t="n"/>
      <c r="E784" s="9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25" t="n"/>
      <c r="D785" s="9" t="n"/>
      <c r="E785" s="9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25" t="n"/>
      <c r="D786" s="9" t="n"/>
      <c r="E786" s="9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25" t="n"/>
      <c r="D787" s="9" t="n"/>
      <c r="E787" s="9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25" t="n"/>
      <c r="D788" s="9" t="n"/>
      <c r="E788" s="9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25" t="n"/>
      <c r="D789" s="9" t="n"/>
      <c r="E789" s="9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25" t="n"/>
      <c r="D790" s="9" t="n"/>
      <c r="E790" s="9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25" t="n"/>
      <c r="D791" s="9" t="n"/>
      <c r="E791" s="9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25" t="n"/>
      <c r="D792" s="9" t="n"/>
      <c r="E792" s="9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25" t="n"/>
      <c r="D793" s="9" t="n"/>
      <c r="E793" s="9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25" t="n"/>
      <c r="D794" s="9" t="n"/>
      <c r="E794" s="9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25" t="n"/>
      <c r="D795" s="9" t="n"/>
      <c r="E795" s="9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25" t="n"/>
      <c r="D796" s="9" t="n"/>
      <c r="E796" s="9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25" t="n"/>
      <c r="D797" s="9" t="n"/>
      <c r="E797" s="9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25" t="n"/>
      <c r="D798" s="9" t="n"/>
      <c r="E798" s="9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25" t="n"/>
      <c r="D799" s="9" t="n"/>
      <c r="E799" s="9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25" t="n"/>
      <c r="D800" s="9" t="n"/>
      <c r="E800" s="9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25" t="n"/>
      <c r="D801" s="9" t="n"/>
      <c r="E801" s="9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25" t="n"/>
      <c r="D802" s="9" t="n"/>
      <c r="E802" s="9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25" t="n"/>
      <c r="D803" s="9" t="n"/>
      <c r="E803" s="9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25" t="n"/>
      <c r="D804" s="9" t="n"/>
      <c r="E804" s="9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25" t="n"/>
      <c r="D805" s="9" t="n"/>
      <c r="E805" s="9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25" t="n"/>
      <c r="D806" s="9" t="n"/>
      <c r="E806" s="9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25" t="n"/>
      <c r="D807" s="9" t="n"/>
      <c r="E807" s="9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25" t="n"/>
      <c r="D808" s="9" t="n"/>
      <c r="E808" s="9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25" t="n"/>
      <c r="D809" s="9" t="n"/>
      <c r="E809" s="9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25" t="n"/>
      <c r="D810" s="9" t="n"/>
      <c r="E810" s="9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25" t="n"/>
      <c r="D811" s="9" t="n"/>
      <c r="E811" s="9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25" t="n"/>
      <c r="D812" s="9" t="n"/>
      <c r="E812" s="9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25" t="n"/>
      <c r="D813" s="9" t="n"/>
      <c r="E813" s="9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25" t="n"/>
      <c r="D814" s="9" t="n"/>
      <c r="E814" s="9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25" t="n"/>
      <c r="D815" s="9" t="n"/>
      <c r="E815" s="9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25" t="n"/>
      <c r="D816" s="9" t="n"/>
      <c r="E816" s="9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25" t="n"/>
      <c r="D817" s="9" t="n"/>
      <c r="E817" s="9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25" t="n"/>
      <c r="D818" s="9" t="n"/>
      <c r="E818" s="9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25" t="n"/>
      <c r="D819" s="9" t="n"/>
      <c r="E819" s="9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25" t="n"/>
      <c r="D820" s="9" t="n"/>
      <c r="E820" s="9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25" t="n"/>
      <c r="D821" s="9" t="n"/>
      <c r="E821" s="9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25" t="n"/>
      <c r="D822" s="9" t="n"/>
      <c r="E822" s="9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25" t="n"/>
      <c r="D823" s="9" t="n"/>
      <c r="E823" s="9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25" t="n"/>
      <c r="D824" s="9" t="n"/>
      <c r="E824" s="9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25" t="n"/>
      <c r="D825" s="9" t="n"/>
      <c r="E825" s="9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25" t="n"/>
      <c r="D826" s="9" t="n"/>
      <c r="E826" s="9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25" t="n"/>
      <c r="D827" s="9" t="n"/>
      <c r="E827" s="9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25" t="n"/>
      <c r="D828" s="9" t="n"/>
      <c r="E828" s="9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25" t="n"/>
      <c r="D829" s="9" t="n"/>
      <c r="E829" s="9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25" t="n"/>
      <c r="D830" s="9" t="n"/>
      <c r="E830" s="9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25" t="n"/>
      <c r="D831" s="9" t="n"/>
      <c r="E831" s="9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25" t="n"/>
      <c r="D832" s="9" t="n"/>
      <c r="E832" s="9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25" t="n"/>
      <c r="D833" s="9" t="n"/>
      <c r="E833" s="9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25" t="n"/>
      <c r="D834" s="9" t="n"/>
      <c r="E834" s="9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25" t="n"/>
      <c r="D835" s="9" t="n"/>
      <c r="E835" s="9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25" t="n"/>
      <c r="D836" s="9" t="n"/>
      <c r="E836" s="9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25" t="n"/>
      <c r="D837" s="9" t="n"/>
      <c r="E837" s="9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25" t="n"/>
      <c r="D838" s="9" t="n"/>
      <c r="E838" s="9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25" t="n"/>
      <c r="D839" s="9" t="n"/>
      <c r="E839" s="9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25" t="n"/>
      <c r="D840" s="9" t="n"/>
      <c r="E840" s="9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25" t="n"/>
      <c r="D841" s="9" t="n"/>
      <c r="E841" s="9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25" t="n"/>
      <c r="D842" s="9" t="n"/>
      <c r="E842" s="9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25" t="n"/>
      <c r="D843" s="9" t="n"/>
      <c r="E843" s="9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25" t="n"/>
      <c r="D844" s="9" t="n"/>
      <c r="E844" s="9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25" t="n"/>
      <c r="D845" s="9" t="n"/>
      <c r="E845" s="9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25" t="n"/>
      <c r="D846" s="9" t="n"/>
      <c r="E846" s="9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25" t="n"/>
      <c r="D847" s="9" t="n"/>
      <c r="E847" s="9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25" t="n"/>
      <c r="D848" s="9" t="n"/>
      <c r="E848" s="9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25" t="n"/>
      <c r="D849" s="9" t="n"/>
      <c r="E849" s="9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25" t="n"/>
      <c r="D850" s="9" t="n"/>
      <c r="E850" s="9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25" t="n"/>
      <c r="D851" s="9" t="n"/>
      <c r="E851" s="9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25" t="n"/>
      <c r="D852" s="9" t="n"/>
      <c r="E852" s="9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25" t="n"/>
      <c r="D853" s="9" t="n"/>
      <c r="E853" s="9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25" t="n"/>
      <c r="D854" s="9" t="n"/>
      <c r="E854" s="9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25" t="n"/>
      <c r="D855" s="9" t="n"/>
      <c r="E855" s="9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25" t="n"/>
      <c r="D856" s="9" t="n"/>
      <c r="E856" s="9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25" t="n"/>
      <c r="D857" s="9" t="n"/>
      <c r="E857" s="9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25" t="n"/>
      <c r="D858" s="9" t="n"/>
      <c r="E858" s="9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25" t="n"/>
      <c r="D859" s="9" t="n"/>
      <c r="E859" s="9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25" t="n"/>
      <c r="D860" s="9" t="n"/>
      <c r="E860" s="9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25" t="n"/>
      <c r="D861" s="9" t="n"/>
      <c r="E861" s="9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25" t="n"/>
      <c r="D862" s="9" t="n"/>
      <c r="E862" s="9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25" t="n"/>
      <c r="D863" s="9" t="n"/>
      <c r="E863" s="9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25" t="n"/>
      <c r="D864" s="9" t="n"/>
      <c r="E864" s="9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25" t="n"/>
      <c r="D865" s="9" t="n"/>
      <c r="E865" s="9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25" t="n"/>
      <c r="D866" s="9" t="n"/>
      <c r="E866" s="9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25" t="n"/>
      <c r="D867" s="9" t="n"/>
      <c r="E867" s="9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25" t="n"/>
      <c r="D868" s="9" t="n"/>
      <c r="E868" s="9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25" t="n"/>
      <c r="D869" s="9" t="n"/>
      <c r="E869" s="9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25" t="n"/>
      <c r="D870" s="9" t="n"/>
      <c r="E870" s="9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25" t="n"/>
      <c r="D871" s="9" t="n"/>
      <c r="E871" s="9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25" t="n"/>
      <c r="D872" s="9" t="n"/>
      <c r="E872" s="9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25" t="n"/>
      <c r="D873" s="9" t="n"/>
      <c r="E873" s="9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25" t="n"/>
      <c r="D874" s="9" t="n"/>
      <c r="E874" s="9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25" t="n"/>
      <c r="D875" s="9" t="n"/>
      <c r="E875" s="9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25" t="n"/>
      <c r="D876" s="9" t="n"/>
      <c r="E876" s="9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25" t="n"/>
      <c r="D877" s="9" t="n"/>
      <c r="E877" s="9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25" t="n"/>
      <c r="D878" s="9" t="n"/>
      <c r="E878" s="9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25" t="n"/>
      <c r="D879" s="9" t="n"/>
      <c r="E879" s="9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25" t="n"/>
      <c r="D880" s="9" t="n"/>
      <c r="E880" s="9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25" t="n"/>
      <c r="D881" s="9" t="n"/>
      <c r="E881" s="9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25" t="n"/>
      <c r="D882" s="9" t="n"/>
      <c r="E882" s="9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25" t="n"/>
      <c r="D883" s="9" t="n"/>
      <c r="E883" s="9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25" t="n"/>
      <c r="D884" s="9" t="n"/>
      <c r="E884" s="9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25" t="n"/>
      <c r="D885" s="9" t="n"/>
      <c r="E885" s="9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25" t="n"/>
      <c r="D886" s="9" t="n"/>
      <c r="E886" s="9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25" t="n"/>
      <c r="D887" s="9" t="n"/>
      <c r="E887" s="9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25" t="n"/>
      <c r="D888" s="9" t="n"/>
      <c r="E888" s="9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25" t="n"/>
      <c r="D889" s="9" t="n"/>
      <c r="E889" s="9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25" t="n"/>
      <c r="D890" s="9" t="n"/>
      <c r="E890" s="9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25" t="n"/>
      <c r="D891" s="9" t="n"/>
      <c r="E891" s="9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25" t="n"/>
      <c r="D892" s="9" t="n"/>
      <c r="E892" s="9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25" t="n"/>
      <c r="D893" s="9" t="n"/>
      <c r="E893" s="9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25" t="n"/>
      <c r="D894" s="9" t="n"/>
      <c r="E894" s="9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25" t="n"/>
      <c r="D895" s="9" t="n"/>
      <c r="E895" s="9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25" t="n"/>
      <c r="D896" s="9" t="n"/>
      <c r="E896" s="9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25" t="n"/>
      <c r="D897" s="9" t="n"/>
      <c r="E897" s="9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25" t="n"/>
      <c r="D898" s="9" t="n"/>
      <c r="E898" s="9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25" t="n"/>
      <c r="D899" s="9" t="n"/>
      <c r="E899" s="9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25" t="n"/>
      <c r="D900" s="9" t="n"/>
      <c r="E900" s="9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25" t="n"/>
      <c r="D901" s="9" t="n"/>
      <c r="E901" s="9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25" t="n"/>
      <c r="D902" s="9" t="n"/>
      <c r="E902" s="9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25" t="n"/>
      <c r="D903" s="9" t="n"/>
      <c r="E903" s="9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25" t="n"/>
      <c r="D904" s="9" t="n"/>
      <c r="E904" s="9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25" t="n"/>
      <c r="D905" s="9" t="n"/>
      <c r="E905" s="9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25" t="n"/>
      <c r="D906" s="9" t="n"/>
      <c r="E906" s="9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25" t="n"/>
      <c r="D907" s="9" t="n"/>
      <c r="E907" s="9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25" t="n"/>
      <c r="D908" s="9" t="n"/>
      <c r="E908" s="9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25" t="n"/>
      <c r="D909" s="9" t="n"/>
      <c r="E909" s="9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25" t="n"/>
      <c r="D910" s="9" t="n"/>
      <c r="E910" s="9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25" t="n"/>
      <c r="D911" s="9" t="n"/>
      <c r="E911" s="9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25" t="n"/>
      <c r="D912" s="9" t="n"/>
      <c r="E912" s="9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25" t="n"/>
      <c r="D913" s="9" t="n"/>
      <c r="E913" s="9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25" t="n"/>
      <c r="D914" s="9" t="n"/>
      <c r="E914" s="9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25" t="n"/>
      <c r="D915" s="9" t="n"/>
      <c r="E915" s="9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25" t="n"/>
      <c r="D916" s="9" t="n"/>
      <c r="E916" s="9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25" t="n"/>
      <c r="D917" s="9" t="n"/>
      <c r="E917" s="9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25" t="n"/>
      <c r="D918" s="9" t="n"/>
      <c r="E918" s="9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25" t="n"/>
      <c r="D919" s="9" t="n"/>
      <c r="E919" s="9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25" t="n"/>
      <c r="D920" s="9" t="n"/>
      <c r="E920" s="9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25" t="n"/>
      <c r="D921" s="9" t="n"/>
      <c r="E921" s="9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25" t="n"/>
      <c r="D922" s="9" t="n"/>
      <c r="E922" s="9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25" t="n"/>
      <c r="D923" s="9" t="n"/>
      <c r="E923" s="9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25" t="n"/>
      <c r="D924" s="9" t="n"/>
      <c r="E924" s="9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25" t="n"/>
      <c r="D925" s="9" t="n"/>
      <c r="E925" s="9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25" t="n"/>
      <c r="D926" s="9" t="n"/>
      <c r="E926" s="9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25" t="n"/>
      <c r="D927" s="9" t="n"/>
      <c r="E927" s="9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25" t="n"/>
      <c r="D928" s="9" t="n"/>
      <c r="E928" s="9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25" t="n"/>
      <c r="D929" s="9" t="n"/>
      <c r="E929" s="9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25" t="n"/>
      <c r="D930" s="9" t="n"/>
      <c r="E930" s="9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25" t="n"/>
      <c r="D931" s="9" t="n"/>
      <c r="E931" s="9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25" t="n"/>
      <c r="D932" s="9" t="n"/>
      <c r="E932" s="9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25" t="n"/>
      <c r="D933" s="9" t="n"/>
      <c r="E933" s="9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25" t="n"/>
      <c r="D934" s="9" t="n"/>
      <c r="E934" s="9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25" t="n"/>
      <c r="D935" s="9" t="n"/>
      <c r="E935" s="9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25" t="n"/>
      <c r="D936" s="9" t="n"/>
      <c r="E936" s="9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25" t="n"/>
      <c r="D937" s="9" t="n"/>
      <c r="E937" s="9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25" t="n"/>
      <c r="D938" s="9" t="n"/>
      <c r="E938" s="9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25" t="n"/>
      <c r="D939" s="9" t="n"/>
      <c r="E939" s="9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25" t="n"/>
      <c r="D940" s="9" t="n"/>
      <c r="E940" s="9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25" t="n"/>
      <c r="D941" s="9" t="n"/>
      <c r="E941" s="9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25" t="n"/>
      <c r="D942" s="9" t="n"/>
      <c r="E942" s="9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25" t="n"/>
      <c r="D943" s="9" t="n"/>
      <c r="E943" s="9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25" t="n"/>
      <c r="D944" s="9" t="n"/>
      <c r="E944" s="9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25" t="n"/>
      <c r="D945" s="9" t="n"/>
      <c r="E945" s="9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25" t="n"/>
      <c r="D946" s="9" t="n"/>
      <c r="E946" s="9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25" t="n"/>
      <c r="D947" s="9" t="n"/>
      <c r="E947" s="9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25" t="n"/>
      <c r="D948" s="9" t="n"/>
      <c r="E948" s="9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25" t="n"/>
      <c r="D949" s="9" t="n"/>
      <c r="E949" s="9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25" t="n"/>
      <c r="D950" s="9" t="n"/>
      <c r="E950" s="9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25" t="n"/>
      <c r="D951" s="9" t="n"/>
      <c r="E951" s="9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25" t="n"/>
      <c r="D952" s="9" t="n"/>
      <c r="E952" s="9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25" t="n"/>
      <c r="D953" s="9" t="n"/>
      <c r="E953" s="9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25" t="n"/>
      <c r="D954" s="9" t="n"/>
      <c r="E954" s="9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25" t="n"/>
      <c r="D955" s="9" t="n"/>
      <c r="E955" s="9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25" t="n"/>
      <c r="D956" s="9" t="n"/>
      <c r="E956" s="9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25" t="n"/>
      <c r="D957" s="9" t="n"/>
      <c r="E957" s="9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25" t="n"/>
      <c r="D958" s="9" t="n"/>
      <c r="E958" s="9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25" t="n"/>
      <c r="D959" s="9" t="n"/>
      <c r="E959" s="9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25" t="n"/>
      <c r="D960" s="9" t="n"/>
      <c r="E960" s="9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25" t="n"/>
      <c r="D961" s="9" t="n"/>
      <c r="E961" s="9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25" t="n"/>
      <c r="D962" s="9" t="n"/>
      <c r="E962" s="9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25" t="n"/>
      <c r="D963" s="9" t="n"/>
      <c r="E963" s="9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25" t="n"/>
      <c r="D964" s="9" t="n"/>
      <c r="E964" s="9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25" t="n"/>
      <c r="D965" s="9" t="n"/>
      <c r="E965" s="9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25" t="n"/>
      <c r="D966" s="9" t="n"/>
      <c r="E966" s="9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25" t="n"/>
      <c r="D967" s="9" t="n"/>
      <c r="E967" s="9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25" t="n"/>
      <c r="D968" s="9" t="n"/>
      <c r="E968" s="9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25" t="n"/>
      <c r="D969" s="9" t="n"/>
      <c r="E969" s="9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25" t="n"/>
      <c r="D970" s="9" t="n"/>
      <c r="E970" s="9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25" t="n"/>
      <c r="D971" s="9" t="n"/>
      <c r="E971" s="9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25" t="n"/>
      <c r="D972" s="9" t="n"/>
      <c r="E972" s="9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25" t="n"/>
      <c r="D973" s="9" t="n"/>
      <c r="E973" s="9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25" t="n"/>
      <c r="D974" s="9" t="n"/>
      <c r="E974" s="9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25" t="n"/>
      <c r="D975" s="9" t="n"/>
      <c r="E975" s="9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25" t="n"/>
      <c r="D976" s="9" t="n"/>
      <c r="E976" s="9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25" t="n"/>
      <c r="D977" s="9" t="n"/>
      <c r="E977" s="9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25" t="n"/>
      <c r="D978" s="9" t="n"/>
      <c r="E978" s="9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25" t="n"/>
      <c r="D979" s="9" t="n"/>
      <c r="E979" s="9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25" t="n"/>
      <c r="D980" s="9" t="n"/>
      <c r="E980" s="9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25" t="n"/>
      <c r="D981" s="9" t="n"/>
      <c r="E981" s="9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25" t="n"/>
      <c r="D982" s="9" t="n"/>
      <c r="E982" s="9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25" t="n"/>
      <c r="D983" s="9" t="n"/>
      <c r="E983" s="9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25" t="n"/>
      <c r="D984" s="9" t="n"/>
      <c r="E984" s="9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25" t="n"/>
      <c r="D985" s="9" t="n"/>
      <c r="E985" s="9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25" t="n"/>
      <c r="D986" s="9" t="n"/>
      <c r="E986" s="9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25" t="n"/>
      <c r="D987" s="9" t="n"/>
      <c r="E987" s="9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25" t="n"/>
      <c r="D988" s="9" t="n"/>
      <c r="E988" s="9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25" t="n"/>
      <c r="D989" s="9" t="n"/>
      <c r="E989" s="9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25" t="n"/>
      <c r="D990" s="9" t="n"/>
      <c r="E990" s="9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25" t="n"/>
      <c r="D991" s="9" t="n"/>
      <c r="E991" s="9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25" t="n"/>
      <c r="D992" s="9" t="n"/>
      <c r="E992" s="9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25" t="n"/>
      <c r="D993" s="9" t="n"/>
      <c r="E993" s="9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25" t="n"/>
      <c r="D994" s="9" t="n"/>
      <c r="E994" s="9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25" t="n"/>
      <c r="D995" s="9" t="n"/>
      <c r="E995" s="9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25" t="n"/>
      <c r="D996" s="9" t="n"/>
      <c r="E996" s="9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25" t="n"/>
      <c r="D997" s="9" t="n"/>
      <c r="E997" s="9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25" t="n"/>
      <c r="D998" s="9" t="n"/>
      <c r="E998" s="9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25" t="n"/>
      <c r="D999" s="9" t="n"/>
      <c r="E999" s="9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25" t="n"/>
      <c r="D1000" s="9" t="n"/>
      <c r="E1000" s="9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12" customWidth="1" style="38" min="1" max="1"/>
    <col width="38" customWidth="1" style="38" min="2" max="2"/>
    <col width="44" customWidth="1" style="38" min="3" max="3"/>
    <col width="32" customWidth="1" style="38" min="4" max="4"/>
    <col width="40" customWidth="1" style="38" min="5" max="5"/>
    <col width="15" customWidth="1" style="38" min="6" max="6"/>
    <col width="19" customWidth="1" style="38" min="7" max="8"/>
    <col width="13" customWidth="1" style="38" min="9" max="9"/>
    <col width="9" customWidth="1" style="38" min="10" max="10"/>
    <col width="13" customWidth="1" style="38" min="11" max="11"/>
    <col width="12" customWidth="1" style="38" min="12" max="12"/>
    <col width="24" customWidth="1" style="38" min="13" max="13"/>
  </cols>
  <sheetData>
    <row r="1" ht="21" customHeight="1" s="38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 ht="28.8" customHeight="1" s="38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  <c r="M4" s="3" t="inlineStr">
        <is>
          <t>Situación especial (vigente)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11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11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10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22">
        <f>IF($A5="","",COUNTIF('Base Exámenes'!$C$5:$C$1000, A5))</f>
        <v>1</v>
      </c>
      <c r="M5" s="6" t="str">
        <f>IF($A5="","",IF(COUNTIF('Base Exámenes'!$C$5:$C$1000, A5)&gt;0, "", TRIM('Base Oficial'!H5)))</f>
        <v/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11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11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10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22">
        <f>IF($A6="","",COUNTIF('Base Exámenes'!$C$5:$C$1000, A6))</f>
        <v>1</v>
      </c>
      <c r="M6" s="6" t="str">
        <f>IF($A6="","",IF(COUNTIF('Base Exámenes'!$C$5:$C$1000, A6)&gt;0, "", TRIM('Base Oficial'!H6)))</f>
        <v/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Pendiente</v>
      </c>
      <c r="G7" s="11" t="str">
        <f>IF(F7="Completado", IFERROR(IF(INDEX('Base Exámenes'!$D$5:$D$1000, MATCH(A7&amp;"|"&amp;J7, 'Base Exámenes'!$I$5:$I$1000, 0))="", "", INDEX('Base Exámenes'!$D$5:$D$1000, MATCH(A7&amp;"|"&amp;J7, 'Base Exámenes'!$I$5:$I$1000, 0))), ""), "")</f>
        <v/>
      </c>
      <c r="H7" s="11" t="str">
        <f>IF(F7="Completado", IFERROR(IF(INDEX('Base Exámenes'!$E$5:$E$1000, MATCH(A7&amp;"|"&amp;J7, 'Base Exámenes'!$I$5:$I$1000, 0))="", "", INDEX('Base Exámenes'!$E$5:$E$1000, MATCH(A7&amp;"|"&amp;J7, 'Base Exámenes'!$I$5:$I$1000, 0))), ""), "")</f>
        <v/>
      </c>
      <c r="I7" s="10" t="str">
        <f>IF(F7="Completado", IFERROR(IF(INDEX('Base Exámenes'!$F$5:$F$1000, MATCH(A7&amp;"|"&amp;J7, 'Base Exámenes'!$I$5:$I$1000, 0))="", "", INDEX('Base Exámenes'!$F$5:$F$1000, MATCH(A7&amp;"|"&amp;J7, 'Base Exámenes'!$I$5:$I$1000, 0))), ""), "")</f>
        <v/>
      </c>
      <c r="J7" s="6" t="str">
        <f>IF(F7="Completado", IF(COUNTIFS('Base Exámenes'!$C$5:$C$1000, A7, 'Base Exámenes'!$G$5:$G$1000, "&lt;&gt;")=0, "", _xlfn.MAXIFS('Base Exámenes'!$G$5:$G$1000, 'Base Exámenes'!$C$5:$C$1000, A7)), "")</f>
        <v/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/>
      </c>
      <c r="L7" s="22">
        <f>IF($A7="","",COUNTIF('Base Exámenes'!$C$5:$C$1000, A7))</f>
        <v>0</v>
      </c>
      <c r="M7" s="6" t="str">
        <f>IF($A7="","",IF(COUNTIF('Base Exámenes'!$C$5:$C$1000, A7)&gt;0, "", TRIM('Base Oficial'!H7)))</f>
        <v/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11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11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10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22">
        <f>IF($A8="","",COUNTIF('Base Exámenes'!$C$5:$C$1000, A8))</f>
        <v>1</v>
      </c>
      <c r="M8" s="6" t="str">
        <f>IF($A8="","",IF(COUNTIF('Base Exámenes'!$C$5:$C$1000, A8)&gt;0, "", TRIM('Base Oficial'!H8)))</f>
        <v/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11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</v>
      </c>
      <c r="H9" s="11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46310.696747685186</v>
      </c>
      <c r="I9" s="10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7.13333333333333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22">
        <f>IF($A9="","",COUNTIF('Base Exámenes'!$C$5:$C$1000, A9))</f>
        <v>1</v>
      </c>
      <c r="M9" s="6" t="str">
        <f>IF($A9="","",IF(COUNTIF('Base Exámenes'!$C$5:$C$1000, A9)&gt;0, "", TRIM('Base Oficial'!H9)))</f>
        <v/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11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11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10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22">
        <f>IF($A10="","",COUNTIF('Base Exámenes'!$C$5:$C$1000, A10))</f>
        <v>1</v>
      </c>
      <c r="M10" s="6" t="str">
        <f>IF($A10="","",IF(COUNTIF('Base Exámenes'!$C$5:$C$1000, A10)&gt;0, "", TRIM('Base Oficial'!H10)))</f>
        <v/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11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</v>
      </c>
      <c r="H11" s="11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46310.61981481482</v>
      </c>
      <c r="I11" s="10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22">
        <f>IF($A11="","",COUNTIF('Base Exámenes'!$C$5:$C$1000, A11))</f>
        <v>1</v>
      </c>
      <c r="M11" s="6" t="str">
        <f>IF($A11="","",IF(COUNTIF('Base Exámenes'!$C$5:$C$1000, A11)&gt;0, "", TRIM('Base Oficial'!H11)))</f>
        <v/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11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11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10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22">
        <f>IF($A12="","",COUNTIF('Base Exámenes'!$C$5:$C$1000, A12))</f>
        <v>1</v>
      </c>
      <c r="M12" s="6" t="str">
        <f>IF($A12="","",IF(COUNTIF('Base Exámenes'!$C$5:$C$1000, A12)&gt;0, "", TRIM('Base Oficial'!H12)))</f>
        <v/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11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11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10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22">
        <f>IF($A13="","",COUNTIF('Base Exámenes'!$C$5:$C$1000, A13))</f>
        <v>1</v>
      </c>
      <c r="M13" s="6" t="str">
        <f>IF($A13="","",IF(COUNTIF('Base Exámenes'!$C$5:$C$1000, A13)&gt;0, "", TRIM('Base Oficial'!H13)))</f>
        <v/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11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11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10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22">
        <f>IF($A14="","",COUNTIF('Base Exámenes'!$C$5:$C$1000, A14))</f>
        <v>1</v>
      </c>
      <c r="M14" s="6" t="str">
        <f>IF($A14="","",IF(COUNTIF('Base Exámenes'!$C$5:$C$1000, A14)&gt;0, "", TRIM('Base Oficial'!H14)))</f>
        <v/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11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11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10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22">
        <f>IF($A15="","",COUNTIF('Base Exámenes'!$C$5:$C$1000, A15))</f>
        <v>1</v>
      </c>
      <c r="M15" s="6" t="str">
        <f>IF($A15="","",IF(COUNTIF('Base Exámenes'!$C$5:$C$1000, A15)&gt;0, "", TRIM('Base Oficial'!H15)))</f>
        <v/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11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11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10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22">
        <f>IF($A16="","",COUNTIF('Base Exámenes'!$C$5:$C$1000, A16))</f>
        <v>1</v>
      </c>
      <c r="M16" s="6" t="str">
        <f>IF($A16="","",IF(COUNTIF('Base Exámenes'!$C$5:$C$1000, A16)&gt;0, "", TRIM('Base Oficial'!H16)))</f>
        <v/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11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11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10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22">
        <f>IF($A17="","",COUNTIF('Base Exámenes'!$C$5:$C$1000, A17))</f>
        <v>1</v>
      </c>
      <c r="M17" s="6" t="str">
        <f>IF($A17="","",IF(COUNTIF('Base Exámenes'!$C$5:$C$1000, A17)&gt;0, "", TRIM('Base Oficial'!H17)))</f>
        <v/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11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11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10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22">
        <f>IF($A18="","",COUNTIF('Base Exámenes'!$C$5:$C$1000, A18))</f>
        <v>1</v>
      </c>
      <c r="M18" s="6" t="str">
        <f>IF($A18="","",IF(COUNTIF('Base Exámenes'!$C$5:$C$1000, A18)&gt;0, "", TRIM('Base Oficial'!H18)))</f>
        <v/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11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11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10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22">
        <f>IF($A19="","",COUNTIF('Base Exámenes'!$C$5:$C$1000, A19))</f>
        <v>1</v>
      </c>
      <c r="M19" s="6" t="str">
        <f>IF($A19="","",IF(COUNTIF('Base Exámenes'!$C$5:$C$1000, A19)&gt;0, "", TRIM('Base Oficial'!H19)))</f>
        <v/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11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11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10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22">
        <f>IF($A20="","",COUNTIF('Base Exámenes'!$C$5:$C$1000, A20))</f>
        <v>1</v>
      </c>
      <c r="M20" s="6" t="str">
        <f>IF($A20="","",IF(COUNTIF('Base Exámenes'!$C$5:$C$1000, A20)&gt;0, "", TRIM('Base Oficial'!H20)))</f>
        <v/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11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11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10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22">
        <f>IF($A21="","",COUNTIF('Base Exámenes'!$C$5:$C$1000, A21))</f>
        <v>1</v>
      </c>
      <c r="M21" s="6" t="str">
        <f>IF($A21="","",IF(COUNTIF('Base Exámenes'!$C$5:$C$1000, A21)&gt;0, "", TRIM('Base Oficial'!H21)))</f>
        <v/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11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11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10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22">
        <f>IF($A22="","",COUNTIF('Base Exámenes'!$C$5:$C$1000, A22))</f>
        <v>1</v>
      </c>
      <c r="M22" s="6" t="str">
        <f>IF($A22="","",IF(COUNTIF('Base Exámenes'!$C$5:$C$1000, A22)&gt;0, "", TRIM('Base Oficial'!H22)))</f>
        <v/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11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11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10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22">
        <f>IF($A23="","",COUNTIF('Base Exámenes'!$C$5:$C$1000, A23))</f>
        <v>1</v>
      </c>
      <c r="M23" s="6" t="str">
        <f>IF($A23="","",IF(COUNTIF('Base Exámenes'!$C$5:$C$1000, A23)&gt;0, "", TRIM('Base Oficial'!H23)))</f>
        <v/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11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11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10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22">
        <f>IF($A24="","",COUNTIF('Base Exámenes'!$C$5:$C$1000, A24))</f>
        <v>1</v>
      </c>
      <c r="M24" s="6" t="str">
        <f>IF($A24="","",IF(COUNTIF('Base Exámenes'!$C$5:$C$1000, A24)&gt;0, "", TRIM('Base Oficial'!H24)))</f>
        <v/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11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11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10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22">
        <f>IF($A25="","",COUNTIF('Base Exámenes'!$C$5:$C$1000, A25))</f>
        <v>1</v>
      </c>
      <c r="M25" s="6" t="str">
        <f>IF($A25="","",IF(COUNTIF('Base Exámenes'!$C$5:$C$1000, A25)&gt;0, "", TRIM('Base Oficial'!H25)))</f>
        <v/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11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11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10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22">
        <f>IF($A26="","",COUNTIF('Base Exámenes'!$C$5:$C$1000, A26))</f>
        <v>1</v>
      </c>
      <c r="M26" s="6" t="str">
        <f>IF($A26="","",IF(COUNTIF('Base Exámenes'!$C$5:$C$1000, A26)&gt;0, "", TRIM('Base Oficial'!H26)))</f>
        <v/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11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11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10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22">
        <f>IF($A27="","",COUNTIF('Base Exámenes'!$C$5:$C$1000, A27))</f>
        <v>1</v>
      </c>
      <c r="M27" s="6" t="str">
        <f>IF($A27="","",IF(COUNTIF('Base Exámenes'!$C$5:$C$1000, A27)&gt;0, "", TRIM('Base Oficial'!H27)))</f>
        <v/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11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11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10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22">
        <f>IF($A28="","",COUNTIF('Base Exámenes'!$C$5:$C$1000, A28))</f>
        <v>1</v>
      </c>
      <c r="M28" s="6" t="str">
        <f>IF($A28="","",IF(COUNTIF('Base Exámenes'!$C$5:$C$1000, A28)&gt;0, "", TRIM('Base Oficial'!H28)))</f>
        <v/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11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11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10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22">
        <f>IF($A29="","",COUNTIF('Base Exámenes'!$C$5:$C$1000, A29))</f>
        <v>1</v>
      </c>
      <c r="M29" s="6" t="str">
        <f>IF($A29="","",IF(COUNTIF('Base Exámenes'!$C$5:$C$1000, A29)&gt;0, "", TRIM('Base Oficial'!H29)))</f>
        <v/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11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11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10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22">
        <f>IF($A30="","",COUNTIF('Base Exámenes'!$C$5:$C$1000, A30))</f>
        <v>2</v>
      </c>
      <c r="M30" s="6" t="str">
        <f>IF($A30="","",IF(COUNTIF('Base Exámenes'!$C$5:$C$1000, A30)&gt;0, "", TRIM('Base Oficial'!H30)))</f>
        <v/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11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11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10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22">
        <f>IF($A31="","",COUNTIF('Base Exámenes'!$C$5:$C$1000, A31))</f>
        <v>1</v>
      </c>
      <c r="M31" s="6" t="str">
        <f>IF($A31="","",IF(COUNTIF('Base Exámenes'!$C$5:$C$1000, A31)&gt;0, "", TRIM('Base Oficial'!H31)))</f>
        <v/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11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11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10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22">
        <f>IF($A32="","",COUNTIF('Base Exámenes'!$C$5:$C$1000, A32))</f>
        <v>1</v>
      </c>
      <c r="M32" s="6" t="str">
        <f>IF($A32="","",IF(COUNTIF('Base Exámenes'!$C$5:$C$1000, A32)&gt;0, "", TRIM('Base Oficial'!H32)))</f>
        <v/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11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11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10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22">
        <f>IF($A33="","",COUNTIF('Base Exámenes'!$C$5:$C$1000, A33))</f>
        <v>1</v>
      </c>
      <c r="M33" s="6" t="str">
        <f>IF($A33="","",IF(COUNTIF('Base Exámenes'!$C$5:$C$1000, A33)&gt;0, "", TRIM('Base Oficial'!H33)))</f>
        <v/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11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11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10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22">
        <f>IF($A34="","",COUNTIF('Base Exámenes'!$C$5:$C$1000, A34))</f>
        <v>1</v>
      </c>
      <c r="M34" s="6" t="str">
        <f>IF($A34="","",IF(COUNTIF('Base Exámenes'!$C$5:$C$1000, A34)&gt;0, "", TRIM('Base Oficial'!H34)))</f>
        <v/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11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11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10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22">
        <f>IF($A35="","",COUNTIF('Base Exámenes'!$C$5:$C$1000, A35))</f>
        <v>1</v>
      </c>
      <c r="M35" s="6" t="str">
        <f>IF($A35="","",IF(COUNTIF('Base Exámenes'!$C$5:$C$1000, A35)&gt;0, "", TRIM('Base Oficial'!H35)))</f>
        <v/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11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11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10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22">
        <f>IF($A36="","",COUNTIF('Base Exámenes'!$C$5:$C$1000, A36))</f>
        <v>1</v>
      </c>
      <c r="M36" s="6" t="str">
        <f>IF($A36="","",IF(COUNTIF('Base Exámenes'!$C$5:$C$1000, A36)&gt;0, "", TRIM('Base Oficial'!H36)))</f>
        <v/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11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11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10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22">
        <f>IF($A37="","",COUNTIF('Base Exámenes'!$C$5:$C$1000, A37))</f>
        <v>2</v>
      </c>
      <c r="M37" s="6" t="str">
        <f>IF($A37="","",IF(COUNTIF('Base Exámenes'!$C$5:$C$1000, A37)&gt;0, "", TRIM('Base Oficial'!H37)))</f>
        <v/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11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11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10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22">
        <f>IF($A38="","",COUNTIF('Base Exámenes'!$C$5:$C$1000, A38))</f>
        <v>1</v>
      </c>
      <c r="M38" s="6" t="str">
        <f>IF($A38="","",IF(COUNTIF('Base Exámenes'!$C$5:$C$1000, A38)&gt;0, "", TRIM('Base Oficial'!H38)))</f>
        <v/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11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11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10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22">
        <f>IF($A39="","",COUNTIF('Base Exámenes'!$C$5:$C$1000, A39))</f>
        <v>1</v>
      </c>
      <c r="M39" s="6" t="str">
        <f>IF($A39="","",IF(COUNTIF('Base Exámenes'!$C$5:$C$1000, A39)&gt;0, "", TRIM('Base Oficial'!H39)))</f>
        <v/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11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11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10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22">
        <f>IF($A40="","",COUNTIF('Base Exámenes'!$C$5:$C$1000, A40))</f>
        <v>1</v>
      </c>
      <c r="M40" s="6" t="str">
        <f>IF($A40="","",IF(COUNTIF('Base Exámenes'!$C$5:$C$1000, A40)&gt;0, "", TRIM('Base Oficial'!H40)))</f>
        <v/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11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11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10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22">
        <f>IF($A41="","",COUNTIF('Base Exámenes'!$C$5:$C$1000, A41))</f>
        <v>1</v>
      </c>
      <c r="M41" s="6" t="str">
        <f>IF($A41="","",IF(COUNTIF('Base Exámenes'!$C$5:$C$1000, A41)&gt;0, "", TRIM('Base Oficial'!H41)))</f>
        <v/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11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11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10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22">
        <f>IF($A42="","",COUNTIF('Base Exámenes'!$C$5:$C$1000, A42))</f>
        <v>1</v>
      </c>
      <c r="M42" s="6" t="str">
        <f>IF($A42="","",IF(COUNTIF('Base Exámenes'!$C$5:$C$1000, A42)&gt;0, "", TRIM('Base Oficial'!H42)))</f>
        <v/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11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11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10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22">
        <f>IF($A43="","",COUNTIF('Base Exámenes'!$C$5:$C$1000, A43))</f>
        <v>1</v>
      </c>
      <c r="M43" s="6" t="str">
        <f>IF($A43="","",IF(COUNTIF('Base Exámenes'!$C$5:$C$1000, A43)&gt;0, "", TRIM('Base Oficial'!H43)))</f>
        <v/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11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11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10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22">
        <f>IF($A44="","",COUNTIF('Base Exámenes'!$C$5:$C$1000, A44))</f>
        <v>1</v>
      </c>
      <c r="M44" s="6" t="str">
        <f>IF($A44="","",IF(COUNTIF('Base Exámenes'!$C$5:$C$1000, A44)&gt;0, "", TRIM('Base Oficial'!H44)))</f>
        <v/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11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11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10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22">
        <f>IF($A45="","",COUNTIF('Base Exámenes'!$C$5:$C$1000, A45))</f>
        <v>1</v>
      </c>
      <c r="M45" s="6" t="str">
        <f>IF($A45="","",IF(COUNTIF('Base Exámenes'!$C$5:$C$1000, A45)&gt;0, "", TRIM('Base Oficial'!H45)))</f>
        <v/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11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11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10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22">
        <f>IF($A46="","",COUNTIF('Base Exámenes'!$C$5:$C$1000, A46))</f>
        <v>1</v>
      </c>
      <c r="M46" s="6" t="str">
        <f>IF($A46="","",IF(COUNTIF('Base Exámenes'!$C$5:$C$1000, A46)&gt;0, "", TRIM('Base Oficial'!H46)))</f>
        <v/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11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11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10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22">
        <f>IF($A47="","",COUNTIF('Base Exámenes'!$C$5:$C$1000, A47))</f>
        <v>1</v>
      </c>
      <c r="M47" s="6" t="str">
        <f>IF($A47="","",IF(COUNTIF('Base Exámenes'!$C$5:$C$1000, A47)&gt;0, "", TRIM('Base Oficial'!H47)))</f>
        <v/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11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11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10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22">
        <f>IF($A48="","",COUNTIF('Base Exámenes'!$C$5:$C$1000, A48))</f>
        <v>1</v>
      </c>
      <c r="M48" s="6" t="str">
        <f>IF($A48="","",IF(COUNTIF('Base Exámenes'!$C$5:$C$1000, A48)&gt;0, "", TRIM('Base Oficial'!H48)))</f>
        <v/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Vacaciones</v>
      </c>
      <c r="G49" s="11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11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10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22">
        <f>IF($A49="","",COUNTIF('Base Exámenes'!$C$5:$C$1000, A49))</f>
        <v>0</v>
      </c>
      <c r="M49" s="6" t="str">
        <f>IF($A49="","",IF(COUNTIF('Base Exámenes'!$C$5:$C$1000, A49)&gt;0, "", TRIM('Base Oficial'!H49)))</f>
        <v>Vacaciones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11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11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10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22">
        <f>IF($A50="","",COUNTIF('Base Exámenes'!$C$5:$C$1000, A50))</f>
        <v>1</v>
      </c>
      <c r="M50" s="6" t="str">
        <f>IF($A50="","",IF(COUNTIF('Base Exámenes'!$C$5:$C$1000, A50)&gt;0, "", TRIM('Base Oficial'!H50)))</f>
        <v/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11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11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10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22">
        <f>IF($A51="","",COUNTIF('Base Exámenes'!$C$5:$C$1000, A51))</f>
        <v>1</v>
      </c>
      <c r="M51" s="6" t="str">
        <f>IF($A51="","",IF(COUNTIF('Base Exámenes'!$C$5:$C$1000, A51)&gt;0, "", TRIM('Base Oficial'!H51)))</f>
        <v/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11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11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10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22">
        <f>IF($A52="","",COUNTIF('Base Exámenes'!$C$5:$C$1000, A52))</f>
        <v>1</v>
      </c>
      <c r="M52" s="6" t="str">
        <f>IF($A52="","",IF(COUNTIF('Base Exámenes'!$C$5:$C$1000, A52)&gt;0, "", TRIM('Base Oficial'!H52)))</f>
        <v/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11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11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10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22">
        <f>IF($A53="","",COUNTIF('Base Exámenes'!$C$5:$C$1000, A53))</f>
        <v>1</v>
      </c>
      <c r="M53" s="6" t="str">
        <f>IF($A53="","",IF(COUNTIF('Base Exámenes'!$C$5:$C$1000, A53)&gt;0, "", TRIM('Base Oficial'!H53)))</f>
        <v/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11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11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10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22">
        <f>IF($A54="","",COUNTIF('Base Exámenes'!$C$5:$C$1000, A54))</f>
        <v>1</v>
      </c>
      <c r="M54" s="6" t="str">
        <f>IF($A54="","",IF(COUNTIF('Base Exámenes'!$C$5:$C$1000, A54)&gt;0, "", TRIM('Base Oficial'!H54)))</f>
        <v/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11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11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10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22">
        <f>IF($A55="","",COUNTIF('Base Exámenes'!$C$5:$C$1000, A55))</f>
        <v>1</v>
      </c>
      <c r="M55" s="6" t="str">
        <f>IF($A55="","",IF(COUNTIF('Base Exámenes'!$C$5:$C$1000, A55)&gt;0, "", TRIM('Base Oficial'!H55)))</f>
        <v/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11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11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10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22">
        <f>IF($A56="","",COUNTIF('Base Exámenes'!$C$5:$C$1000, A56))</f>
        <v>1</v>
      </c>
      <c r="M56" s="6" t="str">
        <f>IF($A56="","",IF(COUNTIF('Base Exámenes'!$C$5:$C$1000, A56)&gt;0, "", TRIM('Base Oficial'!H56)))</f>
        <v/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11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11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10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22">
        <f>IF($A57="","",COUNTIF('Base Exámenes'!$C$5:$C$1000, A57))</f>
        <v>1</v>
      </c>
      <c r="M57" s="6" t="str">
        <f>IF($A57="","",IF(COUNTIF('Base Exámenes'!$C$5:$C$1000, A57)&gt;0, "", TRIM('Base Oficial'!H57)))</f>
        <v/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11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</v>
      </c>
      <c r="H58" s="11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46310.511469907404</v>
      </c>
      <c r="I58" s="10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3.7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22">
        <f>IF($A58="","",COUNTIF('Base Exámenes'!$C$5:$C$1000, A58))</f>
        <v>1</v>
      </c>
      <c r="M58" s="6" t="str">
        <f>IF($A58="","",IF(COUNTIF('Base Exámenes'!$C$5:$C$1000, A58)&gt;0, "", TRIM('Base Oficial'!H58)))</f>
        <v/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11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11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10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22">
        <f>IF($A59="","",COUNTIF('Base Exámenes'!$C$5:$C$1000, A59))</f>
        <v>1</v>
      </c>
      <c r="M59" s="6" t="str">
        <f>IF($A59="","",IF(COUNTIF('Base Exámenes'!$C$5:$C$1000, A59)&gt;0, "", TRIM('Base Oficial'!H59)))</f>
        <v/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11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11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10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22">
        <f>IF($A60="","",COUNTIF('Base Exámenes'!$C$5:$C$1000, A60))</f>
        <v>1</v>
      </c>
      <c r="M60" s="6" t="str">
        <f>IF($A60="","",IF(COUNTIF('Base Exámenes'!$C$5:$C$1000, A60)&gt;0, "", TRIM('Base Oficial'!H60)))</f>
        <v/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11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11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10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22">
        <f>IF($A61="","",COUNTIF('Base Exámenes'!$C$5:$C$1000, A61))</f>
        <v>1</v>
      </c>
      <c r="M61" s="6" t="str">
        <f>IF($A61="","",IF(COUNTIF('Base Exámenes'!$C$5:$C$1000, A61)&gt;0, "", TRIM('Base Oficial'!H61)))</f>
        <v/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11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11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10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22">
        <f>IF($A62="","",COUNTIF('Base Exámenes'!$C$5:$C$1000, A62))</f>
        <v>1</v>
      </c>
      <c r="M62" s="6" t="str">
        <f>IF($A62="","",IF(COUNTIF('Base Exámenes'!$C$5:$C$1000, A62)&gt;0, "", TRIM('Base Oficial'!H62)))</f>
        <v/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11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11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10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22">
        <f>IF($A63="","",COUNTIF('Base Exámenes'!$C$5:$C$1000, A63))</f>
        <v>1</v>
      </c>
      <c r="M63" s="6" t="str">
        <f>IF($A63="","",IF(COUNTIF('Base Exámenes'!$C$5:$C$1000, A63)&gt;0, "", TRIM('Base Oficial'!H63)))</f>
        <v/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11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11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10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22">
        <f>IF($A64="","",COUNTIF('Base Exámenes'!$C$5:$C$1000, A64))</f>
        <v>1</v>
      </c>
      <c r="M64" s="6" t="str">
        <f>IF($A64="","",IF(COUNTIF('Base Exámenes'!$C$5:$C$1000, A64)&gt;0, "", TRIM('Base Oficial'!H64)))</f>
        <v/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11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11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10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22">
        <f>IF($A65="","",COUNTIF('Base Exámenes'!$C$5:$C$1000, A65))</f>
        <v>1</v>
      </c>
      <c r="M65" s="6" t="str">
        <f>IF($A65="","",IF(COUNTIF('Base Exámenes'!$C$5:$C$1000, A65)&gt;0, "", TRIM('Base Oficial'!H65)))</f>
        <v/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11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11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10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22">
        <f>IF($A66="","",COUNTIF('Base Exámenes'!$C$5:$C$1000, A66))</f>
        <v>1</v>
      </c>
      <c r="M66" s="6" t="str">
        <f>IF($A66="","",IF(COUNTIF('Base Exámenes'!$C$5:$C$1000, A66)&gt;0, "", TRIM('Base Oficial'!H66)))</f>
        <v/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11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11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10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22">
        <f>IF($A67="","",COUNTIF('Base Exámenes'!$C$5:$C$1000, A67))</f>
        <v>1</v>
      </c>
      <c r="M67" s="6" t="str">
        <f>IF($A67="","",IF(COUNTIF('Base Exámenes'!$C$5:$C$1000, A67)&gt;0, "", TRIM('Base Oficial'!H67)))</f>
        <v/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Renuncia</v>
      </c>
      <c r="G68" s="11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11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10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22">
        <f>IF($A68="","",COUNTIF('Base Exámenes'!$C$5:$C$1000, A68))</f>
        <v>0</v>
      </c>
      <c r="M68" s="6" t="str">
        <f>IF($A68="","",IF(COUNTIF('Base Exámenes'!$C$5:$C$1000, A68)&gt;0, "", TRIM('Base Oficial'!H68)))</f>
        <v>Renuncia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Completado</v>
      </c>
      <c r="G69" s="11">
        <f>IF(F69="Completado", IFERROR(IF(INDEX('Base Exámenes'!$D$5:$D$1000, MATCH(A69&amp;"|"&amp;J69, 'Base Exámenes'!$I$5:$I$1000, 0))="", "", INDEX('Base Exámenes'!$D$5:$D$1000, MATCH(A69&amp;"|"&amp;J69, 'Base Exámenes'!$I$5:$I$1000, 0))), ""), "")</f>
        <v>46311.51278935185</v>
      </c>
      <c r="H69" s="11">
        <f>IF(F69="Completado", IFERROR(IF(INDEX('Base Exámenes'!$E$5:$E$1000, MATCH(A69&amp;"|"&amp;J69, 'Base Exámenes'!$I$5:$I$1000, 0))="", "", INDEX('Base Exámenes'!$E$5:$E$1000, MATCH(A69&amp;"|"&amp;J69, 'Base Exámenes'!$I$5:$I$1000, 0))), ""), "")</f>
        <v>46311.516226851854</v>
      </c>
      <c r="I69" s="10">
        <f>IF(F69="Completado", IFERROR(IF(INDEX('Base Exámenes'!$F$5:$F$1000, MATCH(A69&amp;"|"&amp;J69, 'Base Exámenes'!$I$5:$I$1000, 0))="", "", INDEX('Base Exámenes'!$F$5:$F$1000, MATCH(A69&amp;"|"&amp;J69, 'Base Exámenes'!$I$5:$I$1000, 0))), ""), "")</f>
        <v>4.95</v>
      </c>
      <c r="J69" s="6">
        <f>IF(F69="Completado", IF(COUNTIFS('Base Exámenes'!$C$5:$C$1000, A69, 'Base Exámenes'!$G$5:$G$1000, "&lt;&gt;")=0, "", _xlfn.MAXIFS('Base Exámenes'!$G$5:$G$1000, 'Base Exámenes'!$C$5:$C$1000, A69)), "")</f>
        <v>100</v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>anonymous</v>
      </c>
      <c r="L69" s="22">
        <f>IF($A69="","",COUNTIF('Base Exámenes'!$C$5:$C$1000, A69))</f>
        <v>1</v>
      </c>
      <c r="M69" s="6" t="str">
        <f>IF($A69="","",IF(COUNTIF('Base Exámenes'!$C$5:$C$1000, A69)&gt;0, "", TRIM('Base Oficial'!H69)))</f>
        <v/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Incapacidad</v>
      </c>
      <c r="G70" s="11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11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10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22">
        <f>IF($A70="","",COUNTIF('Base Exámenes'!$C$5:$C$1000, A70))</f>
        <v>0</v>
      </c>
      <c r="M70" s="6" t="str">
        <f>IF($A70="","",IF(COUNTIF('Base Exámenes'!$C$5:$C$1000, A70)&gt;0, "", TRIM('Base Oficial'!H70)))</f>
        <v>Incapacidad</v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11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11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10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22">
        <f>IF($A71="","",COUNTIF('Base Exámenes'!$C$5:$C$1000, A71))</f>
        <v>1</v>
      </c>
      <c r="M71" s="6" t="str">
        <f>IF($A71="","",IF(COUNTIF('Base Exámenes'!$C$5:$C$1000, A71)&gt;0, "", TRIM('Base Oficial'!H71)))</f>
        <v/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11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11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10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22">
        <f>IF($A72="","",COUNTIF('Base Exámenes'!$C$5:$C$1000, A72))</f>
        <v>1</v>
      </c>
      <c r="M72" s="6" t="str">
        <f>IF($A72="","",IF(COUNTIF('Base Exámenes'!$C$5:$C$1000, A72)&gt;0, "", TRIM('Base Oficial'!H72)))</f>
        <v/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11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11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10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22">
        <f>IF($A73="","",COUNTIF('Base Exámenes'!$C$5:$C$1000, A73))</f>
        <v>1</v>
      </c>
      <c r="M73" s="6" t="str">
        <f>IF($A73="","",IF(COUNTIF('Base Exámenes'!$C$5:$C$1000, A73)&gt;0, "", TRIM('Base Oficial'!H73)))</f>
        <v/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11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11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10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22">
        <f>IF($A74="","",COUNTIF('Base Exámenes'!$C$5:$C$1000, A74))</f>
        <v>1</v>
      </c>
      <c r="M74" s="6" t="str">
        <f>IF($A74="","",IF(COUNTIF('Base Exámenes'!$C$5:$C$1000, A74)&gt;0, "", TRIM('Base Oficial'!H74)))</f>
        <v/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11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11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10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22">
        <f>IF($A75="","",COUNTIF('Base Exámenes'!$C$5:$C$1000, A75))</f>
        <v>1</v>
      </c>
      <c r="M75" s="6" t="str">
        <f>IF($A75="","",IF(COUNTIF('Base Exámenes'!$C$5:$C$1000, A75)&gt;0, "", TRIM('Base Oficial'!H75)))</f>
        <v/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11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11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10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22">
        <f>IF($A76="","",COUNTIF('Base Exámenes'!$C$5:$C$1000, A76))</f>
        <v>1</v>
      </c>
      <c r="M76" s="6" t="str">
        <f>IF($A76="","",IF(COUNTIF('Base Exámenes'!$C$5:$C$1000, A76)&gt;0, "", TRIM('Base Oficial'!H76)))</f>
        <v/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11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11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10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22">
        <f>IF($A77="","",COUNTIF('Base Exámenes'!$C$5:$C$1000, A77))</f>
        <v>1</v>
      </c>
      <c r="M77" s="6" t="str">
        <f>IF($A77="","",IF(COUNTIF('Base Exámenes'!$C$5:$C$1000, A77)&gt;0, "", TRIM('Base Oficial'!H77)))</f>
        <v/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11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11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10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22">
        <f>IF($A78="","",COUNTIF('Base Exámenes'!$C$5:$C$1000, A78))</f>
        <v>1</v>
      </c>
      <c r="M78" s="6" t="str">
        <f>IF($A78="","",IF(COUNTIF('Base Exámenes'!$C$5:$C$1000, A78)&gt;0, "", TRIM('Base Oficial'!H78)))</f>
        <v/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11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11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10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22">
        <f>IF($A79="","",COUNTIF('Base Exámenes'!$C$5:$C$1000, A79))</f>
        <v>1</v>
      </c>
      <c r="M79" s="6" t="str">
        <f>IF($A79="","",IF(COUNTIF('Base Exámenes'!$C$5:$C$1000, A79)&gt;0, "", TRIM('Base Oficial'!H79)))</f>
        <v/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11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11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10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22">
        <f>IF($A80="","",COUNTIF('Base Exámenes'!$C$5:$C$1000, A80))</f>
        <v>1</v>
      </c>
      <c r="M80" s="6" t="str">
        <f>IF($A80="","",IF(COUNTIF('Base Exámenes'!$C$5:$C$1000, A80)&gt;0, "", TRIM('Base Oficial'!H80)))</f>
        <v/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11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11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10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22">
        <f>IF($A81="","",COUNTIF('Base Exámenes'!$C$5:$C$1000, A81))</f>
        <v>1</v>
      </c>
      <c r="M81" s="6" t="str">
        <f>IF($A81="","",IF(COUNTIF('Base Exámenes'!$C$5:$C$1000, A81)&gt;0, "", TRIM('Base Oficial'!H81)))</f>
        <v/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Completado</v>
      </c>
      <c r="G82" s="11">
        <f>IF(F82="Completado", IFERROR(IF(INDEX('Base Exámenes'!$D$5:$D$1000, MATCH(A82&amp;"|"&amp;J82, 'Base Exámenes'!$I$5:$I$1000, 0))="", "", INDEX('Base Exámenes'!$D$5:$D$1000, MATCH(A82&amp;"|"&amp;J82, 'Base Exámenes'!$I$5:$I$1000, 0))), ""), "")</f>
        <v>46311.67041666667</v>
      </c>
      <c r="H82" s="11">
        <f>IF(F82="Completado", IFERROR(IF(INDEX('Base Exámenes'!$E$5:$E$1000, MATCH(A82&amp;"|"&amp;J82, 'Base Exámenes'!$I$5:$I$1000, 0))="", "", INDEX('Base Exámenes'!$E$5:$E$1000, MATCH(A82&amp;"|"&amp;J82, 'Base Exámenes'!$I$5:$I$1000, 0))), ""), "")</f>
        <v>46311.675671296296</v>
      </c>
      <c r="I82" s="10">
        <f>IF(F82="Completado", IFERROR(IF(INDEX('Base Exámenes'!$F$5:$F$1000, MATCH(A82&amp;"|"&amp;J82, 'Base Exámenes'!$I$5:$I$1000, 0))="", "", INDEX('Base Exámenes'!$F$5:$F$1000, MATCH(A82&amp;"|"&amp;J82, 'Base Exámenes'!$I$5:$I$1000, 0))), ""), "")</f>
        <v>7.56666666666667</v>
      </c>
      <c r="J82" s="6">
        <f>IF(F82="Completado", IF(COUNTIFS('Base Exámenes'!$C$5:$C$1000, A82, 'Base Exámenes'!$G$5:$G$1000, "&lt;&gt;")=0, "", _xlfn.MAXIFS('Base Exámenes'!$G$5:$G$1000, 'Base Exámenes'!$C$5:$C$1000, A82)), "")</f>
        <v>100</v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>anonymous</v>
      </c>
      <c r="L82" s="22">
        <f>IF($A82="","",COUNTIF('Base Exámenes'!$C$5:$C$1000, A82))</f>
        <v>1</v>
      </c>
      <c r="M82" s="6" t="str">
        <f>IF($A82="","",IF(COUNTIF('Base Exámenes'!$C$5:$C$1000, A82)&gt;0, "", TRIM('Base Oficial'!H82)))</f>
        <v/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11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11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10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22">
        <f>IF($A83="","",COUNTIF('Base Exámenes'!$C$5:$C$1000, A83))</f>
        <v>1</v>
      </c>
      <c r="M83" s="6" t="str">
        <f>IF($A83="","",IF(COUNTIF('Base Exámenes'!$C$5:$C$1000, A83)&gt;0, "", TRIM('Base Oficial'!H83)))</f>
        <v/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11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11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10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22">
        <f>IF($A84="","",COUNTIF('Base Exámenes'!$C$5:$C$1000, A84))</f>
        <v>1</v>
      </c>
      <c r="M84" s="6" t="str">
        <f>IF($A84="","",IF(COUNTIF('Base Exámenes'!$C$5:$C$1000, A84)&gt;0, "", TRIM('Base Oficial'!H84)))</f>
        <v/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11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11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10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22">
        <f>IF($A85="","",COUNTIF('Base Exámenes'!$C$5:$C$1000, A85))</f>
        <v>1</v>
      </c>
      <c r="M85" s="6" t="str">
        <f>IF($A85="","",IF(COUNTIF('Base Exámenes'!$C$5:$C$1000, A85)&gt;0, "", TRIM('Base Oficial'!H85)))</f>
        <v/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11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</v>
      </c>
      <c r="H86" s="11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46310.569606481484</v>
      </c>
      <c r="I86" s="10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10.1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22">
        <f>IF($A86="","",COUNTIF('Base Exámenes'!$C$5:$C$1000, A86))</f>
        <v>1</v>
      </c>
      <c r="M86" s="6" t="str">
        <f>IF($A86="","",IF(COUNTIF('Base Exámenes'!$C$5:$C$1000, A86)&gt;0, "", TRIM('Base Oficial'!H86)))</f>
        <v/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11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11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10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22">
        <f>IF($A87="","",COUNTIF('Base Exámenes'!$C$5:$C$1000, A87))</f>
        <v>1</v>
      </c>
      <c r="M87" s="6" t="str">
        <f>IF($A87="","",IF(COUNTIF('Base Exámenes'!$C$5:$C$1000, A87)&gt;0, "", TRIM('Base Oficial'!H87)))</f>
        <v/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11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11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10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22">
        <f>IF($A88="","",COUNTIF('Base Exámenes'!$C$5:$C$1000, A88))</f>
        <v>1</v>
      </c>
      <c r="M88" s="6" t="str">
        <f>IF($A88="","",IF(COUNTIF('Base Exámenes'!$C$5:$C$1000, A88)&gt;0, "", TRIM('Base Oficial'!H88)))</f>
        <v/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11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46310.56104166667</v>
      </c>
      <c r="H89" s="11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46310.56497685185</v>
      </c>
      <c r="I89" s="10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5.66666666666667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22">
        <f>IF($A89="","",COUNTIF('Base Exámenes'!$C$5:$C$1000, A89))</f>
        <v>1</v>
      </c>
      <c r="M89" s="6" t="str">
        <f>IF($A89="","",IF(COUNTIF('Base Exámenes'!$C$5:$C$1000, A89)&gt;0, "", TRIM('Base Oficial'!H89)))</f>
        <v/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11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11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10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22">
        <f>IF($A90="","",COUNTIF('Base Exámenes'!$C$5:$C$1000, A90))</f>
        <v>1</v>
      </c>
      <c r="M90" s="6" t="str">
        <f>IF($A90="","",IF(COUNTIF('Base Exámenes'!$C$5:$C$1000, A90)&gt;0, "", TRIM('Base Oficial'!H90)))</f>
        <v/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11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11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10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22">
        <f>IF($A91="","",COUNTIF('Base Exámenes'!$C$5:$C$1000, A91))</f>
        <v>1</v>
      </c>
      <c r="M91" s="6" t="str">
        <f>IF($A91="","",IF(COUNTIF('Base Exámenes'!$C$5:$C$1000, A91)&gt;0, "", TRIM('Base Oficial'!H91)))</f>
        <v/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11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11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10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22">
        <f>IF($A92="","",COUNTIF('Base Exámenes'!$C$5:$C$1000, A92))</f>
        <v>1</v>
      </c>
      <c r="M92" s="6" t="str">
        <f>IF($A92="","",IF(COUNTIF('Base Exámenes'!$C$5:$C$1000, A92)&gt;0, "", TRIM('Base Oficial'!H92)))</f>
        <v/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11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11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10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22">
        <f>IF($A93="","",COUNTIF('Base Exámenes'!$C$5:$C$1000, A93))</f>
        <v>1</v>
      </c>
      <c r="M93" s="6" t="str">
        <f>IF($A93="","",IF(COUNTIF('Base Exámenes'!$C$5:$C$1000, A93)&gt;0, "", TRIM('Base Oficial'!H93)))</f>
        <v/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11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11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10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22">
        <f>IF($A94="","",COUNTIF('Base Exámenes'!$C$5:$C$1000, A94))</f>
        <v>1</v>
      </c>
      <c r="M94" s="6" t="str">
        <f>IF($A94="","",IF(COUNTIF('Base Exámenes'!$C$5:$C$1000, A94)&gt;0, "", TRIM('Base Oficial'!H94)))</f>
        <v/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11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11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10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22">
        <f>IF($A95="","",COUNTIF('Base Exámenes'!$C$5:$C$1000, A95))</f>
        <v>1</v>
      </c>
      <c r="M95" s="6" t="str">
        <f>IF($A95="","",IF(COUNTIF('Base Exámenes'!$C$5:$C$1000, A95)&gt;0, "", TRIM('Base Oficial'!H95)))</f>
        <v/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11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11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10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22">
        <f>IF($A96="","",COUNTIF('Base Exámenes'!$C$5:$C$1000, A96))</f>
        <v>1</v>
      </c>
      <c r="M96" s="6" t="str">
        <f>IF($A96="","",IF(COUNTIF('Base Exámenes'!$C$5:$C$1000, A96)&gt;0, "", TRIM('Base Oficial'!H96)))</f>
        <v/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11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11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10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22">
        <f>IF($A97="","",COUNTIF('Base Exámenes'!$C$5:$C$1000, A97))</f>
        <v>1</v>
      </c>
      <c r="M97" s="6" t="str">
        <f>IF($A97="","",IF(COUNTIF('Base Exámenes'!$C$5:$C$1000, A97)&gt;0, "", TRIM('Base Oficial'!H97)))</f>
        <v/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11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11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10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22">
        <f>IF($A98="","",COUNTIF('Base Exámenes'!$C$5:$C$1000, A98))</f>
        <v>1</v>
      </c>
      <c r="M98" s="6" t="str">
        <f>IF($A98="","",IF(COUNTIF('Base Exámenes'!$C$5:$C$1000, A98)&gt;0, "", TRIM('Base Oficial'!H98)))</f>
        <v/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Completado</v>
      </c>
      <c r="G99" s="11">
        <f>IF(F99="Completado", IFERROR(IF(INDEX('Base Exámenes'!$D$5:$D$1000, MATCH(A99&amp;"|"&amp;J99, 'Base Exámenes'!$I$5:$I$1000, 0))="", "", INDEX('Base Exámenes'!$D$5:$D$1000, MATCH(A99&amp;"|"&amp;J99, 'Base Exámenes'!$I$5:$I$1000, 0))), ""), "")</f>
        <v>46311.61962962963</v>
      </c>
      <c r="H99" s="11">
        <f>IF(F99="Completado", IFERROR(IF(INDEX('Base Exámenes'!$E$5:$E$1000, MATCH(A99&amp;"|"&amp;J99, 'Base Exámenes'!$I$5:$I$1000, 0))="", "", INDEX('Base Exámenes'!$E$5:$E$1000, MATCH(A99&amp;"|"&amp;J99, 'Base Exámenes'!$I$5:$I$1000, 0))), ""), "")</f>
        <v>46311.627291666664</v>
      </c>
      <c r="I99" s="10">
        <f>IF(F99="Completado", IFERROR(IF(INDEX('Base Exámenes'!$F$5:$F$1000, MATCH(A99&amp;"|"&amp;J99, 'Base Exámenes'!$I$5:$I$1000, 0))="", "", INDEX('Base Exámenes'!$F$5:$F$1000, MATCH(A99&amp;"|"&amp;J99, 'Base Exámenes'!$I$5:$I$1000, 0))), ""), "")</f>
        <v>11.0333333141167</v>
      </c>
      <c r="J99" s="6">
        <f>IF(F99="Completado", IF(COUNTIFS('Base Exámenes'!$C$5:$C$1000, A99, 'Base Exámenes'!$G$5:$G$1000, "&lt;&gt;")=0, "", _xlfn.MAXIFS('Base Exámenes'!$G$5:$G$1000, 'Base Exámenes'!$C$5:$C$1000, A99)), "")</f>
        <v>100</v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>anonymous</v>
      </c>
      <c r="L99" s="22">
        <f>IF($A99="","",COUNTIF('Base Exámenes'!$C$5:$C$1000, A99))</f>
        <v>1</v>
      </c>
      <c r="M99" s="6" t="str">
        <f>IF($A99="","",IF(COUNTIF('Base Exámenes'!$C$5:$C$1000, A99)&gt;0, "", TRIM('Base Oficial'!H99)))</f>
        <v/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11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11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10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22">
        <f>IF($A100="","",COUNTIF('Base Exámenes'!$C$5:$C$1000, A100))</f>
        <v>1</v>
      </c>
      <c r="M100" s="6" t="str">
        <f>IF($A100="","",IF(COUNTIF('Base Exámenes'!$C$5:$C$1000, A100)&gt;0, "", TRIM('Base Oficial'!H100)))</f>
        <v/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11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11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10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22">
        <f>IF($A101="","",COUNTIF('Base Exámenes'!$C$5:$C$1000, A101))</f>
        <v>1</v>
      </c>
      <c r="M101" s="6" t="str">
        <f>IF($A101="","",IF(COUNTIF('Base Exámenes'!$C$5:$C$1000, A101)&gt;0, "", TRIM('Base Oficial'!H101)))</f>
        <v/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11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11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10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22">
        <f>IF($A102="","",COUNTIF('Base Exámenes'!$C$5:$C$1000, A102))</f>
        <v>1</v>
      </c>
      <c r="M102" s="6" t="str">
        <f>IF($A102="","",IF(COUNTIF('Base Exámenes'!$C$5:$C$1000, A102)&gt;0, "", TRIM('Base Oficial'!H102)))</f>
        <v/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11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11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10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22">
        <f>IF($A103="","",COUNTIF('Base Exámenes'!$C$5:$C$1000, A103))</f>
        <v>1</v>
      </c>
      <c r="M103" s="6" t="str">
        <f>IF($A103="","",IF(COUNTIF('Base Exámenes'!$C$5:$C$1000, A103)&gt;0, "", TRIM('Base Oficial'!H103)))</f>
        <v/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Vacaciones</v>
      </c>
      <c r="G104" s="11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11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10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22">
        <f>IF($A104="","",COUNTIF('Base Exámenes'!$C$5:$C$1000, A104))</f>
        <v>0</v>
      </c>
      <c r="M104" s="6" t="str">
        <f>IF($A104="","",IF(COUNTIF('Base Exámenes'!$C$5:$C$1000, A104)&gt;0, "", TRIM('Base Oficial'!H104)))</f>
        <v>Vacaciones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11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11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10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22">
        <f>IF($A105="","",COUNTIF('Base Exámenes'!$C$5:$C$1000, A105))</f>
        <v>1</v>
      </c>
      <c r="M105" s="6" t="str">
        <f>IF($A105="","",IF(COUNTIF('Base Exámenes'!$C$5:$C$1000, A105)&gt;0, "", TRIM('Base Oficial'!H105)))</f>
        <v/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11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11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10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22">
        <f>IF($A106="","",COUNTIF('Base Exámenes'!$C$5:$C$1000, A106))</f>
        <v>1</v>
      </c>
      <c r="M106" s="6" t="str">
        <f>IF($A106="","",IF(COUNTIF('Base Exámenes'!$C$5:$C$1000, A106)&gt;0, "", TRIM('Base Oficial'!H106)))</f>
        <v/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11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11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10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22">
        <f>IF($A107="","",COUNTIF('Base Exámenes'!$C$5:$C$1000, A107))</f>
        <v>1</v>
      </c>
      <c r="M107" s="6" t="str">
        <f>IF($A107="","",IF(COUNTIF('Base Exámenes'!$C$5:$C$1000, A107)&gt;0, "", TRIM('Base Oficial'!H107)))</f>
        <v/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11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11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10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22">
        <f>IF($A108="","",COUNTIF('Base Exámenes'!$C$5:$C$1000, A108))</f>
        <v>1</v>
      </c>
      <c r="M108" s="6" t="str">
        <f>IF($A108="","",IF(COUNTIF('Base Exámenes'!$C$5:$C$1000, A108)&gt;0, "", TRIM('Base Oficial'!H108)))</f>
        <v/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11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11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10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22">
        <f>IF($A109="","",COUNTIF('Base Exámenes'!$C$5:$C$1000, A109))</f>
        <v>1</v>
      </c>
      <c r="M109" s="6" t="str">
        <f>IF($A109="","",IF(COUNTIF('Base Exámenes'!$C$5:$C$1000, A109)&gt;0, "", TRIM('Base Oficial'!H109)))</f>
        <v/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11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11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10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22">
        <f>IF($A110="","",COUNTIF('Base Exámenes'!$C$5:$C$1000, A110))</f>
        <v>1</v>
      </c>
      <c r="M110" s="6" t="str">
        <f>IF($A110="","",IF(COUNTIF('Base Exámenes'!$C$5:$C$1000, A110)&gt;0, "", TRIM('Base Oficial'!H110)))</f>
        <v/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11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11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10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22">
        <f>IF($A111="","",COUNTIF('Base Exámenes'!$C$5:$C$1000, A111))</f>
        <v>1</v>
      </c>
      <c r="M111" s="6" t="str">
        <f>IF($A111="","",IF(COUNTIF('Base Exámenes'!$C$5:$C$1000, A111)&gt;0, "", TRIM('Base Oficial'!H111)))</f>
        <v/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11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11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10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22">
        <f>IF($A112="","",COUNTIF('Base Exámenes'!$C$5:$C$1000, A112))</f>
        <v>1</v>
      </c>
      <c r="M112" s="6" t="str">
        <f>IF($A112="","",IF(COUNTIF('Base Exámenes'!$C$5:$C$1000, A112)&gt;0, "", TRIM('Base Oficial'!H112)))</f>
        <v/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11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11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10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22">
        <f>IF($A113="","",COUNTIF('Base Exámenes'!$C$5:$C$1000, A113))</f>
        <v>1</v>
      </c>
      <c r="M113" s="6" t="str">
        <f>IF($A113="","",IF(COUNTIF('Base Exámenes'!$C$5:$C$1000, A113)&gt;0, "", TRIM('Base Oficial'!H113)))</f>
        <v/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11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11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10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22">
        <f>IF($A114="","",COUNTIF('Base Exámenes'!$C$5:$C$1000, A114))</f>
        <v>1</v>
      </c>
      <c r="M114" s="6" t="str">
        <f>IF($A114="","",IF(COUNTIF('Base Exámenes'!$C$5:$C$1000, A114)&gt;0, "", TRIM('Base Oficial'!H114)))</f>
        <v/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11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11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10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22">
        <f>IF($A115="","",COUNTIF('Base Exámenes'!$C$5:$C$1000, A115))</f>
        <v>1</v>
      </c>
      <c r="M115" s="6" t="str">
        <f>IF($A115="","",IF(COUNTIF('Base Exámenes'!$C$5:$C$1000, A115)&gt;0, "", TRIM('Base Oficial'!H115)))</f>
        <v/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11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11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10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22">
        <f>IF($A116="","",COUNTIF('Base Exámenes'!$C$5:$C$1000, A116))</f>
        <v>1</v>
      </c>
      <c r="M116" s="6" t="str">
        <f>IF($A116="","",IF(COUNTIF('Base Exámenes'!$C$5:$C$1000, A116)&gt;0, "", TRIM('Base Oficial'!H116)))</f>
        <v/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11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11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10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22">
        <f>IF($A117="","",COUNTIF('Base Exámenes'!$C$5:$C$1000, A117))</f>
        <v>1</v>
      </c>
      <c r="M117" s="6" t="str">
        <f>IF($A117="","",IF(COUNTIF('Base Exámenes'!$C$5:$C$1000, A117)&gt;0, "", TRIM('Base Oficial'!H117)))</f>
        <v/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11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11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10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22">
        <f>IF($A118="","",COUNTIF('Base Exámenes'!$C$5:$C$1000, A118))</f>
        <v>1</v>
      </c>
      <c r="M118" s="6" t="str">
        <f>IF($A118="","",IF(COUNTIF('Base Exámenes'!$C$5:$C$1000, A118)&gt;0, "", TRIM('Base Oficial'!H118)))</f>
        <v/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11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11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10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22">
        <f>IF($A119="","",COUNTIF('Base Exámenes'!$C$5:$C$1000, A119))</f>
        <v>1</v>
      </c>
      <c r="M119" s="6" t="str">
        <f>IF($A119="","",IF(COUNTIF('Base Exámenes'!$C$5:$C$1000, A119)&gt;0, "", TRIM('Base Oficial'!H119)))</f>
        <v/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11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11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10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22">
        <f>IF($A120="","",COUNTIF('Base Exámenes'!$C$5:$C$1000, A120))</f>
        <v>1</v>
      </c>
      <c r="M120" s="6" t="str">
        <f>IF($A120="","",IF(COUNTIF('Base Exámenes'!$C$5:$C$1000, A120)&gt;0, "", TRIM('Base Oficial'!H120)))</f>
        <v/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11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46310.69113425926</v>
      </c>
      <c r="H121" s="11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</v>
      </c>
      <c r="I121" s="10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7.21666666666667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22">
        <f>IF($A121="","",COUNTIF('Base Exámenes'!$C$5:$C$1000, A121))</f>
        <v>1</v>
      </c>
      <c r="M121" s="6" t="str">
        <f>IF($A121="","",IF(COUNTIF('Base Exámenes'!$C$5:$C$1000, A121)&gt;0, "", TRIM('Base Oficial'!H121)))</f>
        <v/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11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11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10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22">
        <f>IF($A122="","",COUNTIF('Base Exámenes'!$C$5:$C$1000, A122))</f>
        <v>1</v>
      </c>
      <c r="M122" s="6" t="str">
        <f>IF($A122="","",IF(COUNTIF('Base Exámenes'!$C$5:$C$1000, A122)&gt;0, "", TRIM('Base Oficial'!H122)))</f>
        <v/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11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11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10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22">
        <f>IF($A123="","",COUNTIF('Base Exámenes'!$C$5:$C$1000, A123))</f>
        <v>1</v>
      </c>
      <c r="M123" s="6" t="str">
        <f>IF($A123="","",IF(COUNTIF('Base Exámenes'!$C$5:$C$1000, A123)&gt;0, "", TRIM('Base Oficial'!H123)))</f>
        <v/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11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11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10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22">
        <f>IF($A124="","",COUNTIF('Base Exámenes'!$C$5:$C$1000, A124))</f>
        <v>1</v>
      </c>
      <c r="M124" s="6" t="str">
        <f>IF($A124="","",IF(COUNTIF('Base Exámenes'!$C$5:$C$1000, A124)&gt;0, "", TRIM('Base Oficial'!H124)))</f>
        <v/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11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11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10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22">
        <f>IF($A125="","",COUNTIF('Base Exámenes'!$C$5:$C$1000, A125))</f>
        <v>1</v>
      </c>
      <c r="M125" s="6" t="str">
        <f>IF($A125="","",IF(COUNTIF('Base Exámenes'!$C$5:$C$1000, A125)&gt;0, "", TRIM('Base Oficial'!H125)))</f>
        <v/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11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11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10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22">
        <f>IF($A126="","",COUNTIF('Base Exámenes'!$C$5:$C$1000, A126))</f>
        <v>1</v>
      </c>
      <c r="M126" s="6" t="str">
        <f>IF($A126="","",IF(COUNTIF('Base Exámenes'!$C$5:$C$1000, A126)&gt;0, "", TRIM('Base Oficial'!H126)))</f>
        <v/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11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11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10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22">
        <f>IF($A127="","",COUNTIF('Base Exámenes'!$C$5:$C$1000, A127))</f>
        <v>1</v>
      </c>
      <c r="M127" s="6" t="str">
        <f>IF($A127="","",IF(COUNTIF('Base Exámenes'!$C$5:$C$1000, A127)&gt;0, "", TRIM('Base Oficial'!H127)))</f>
        <v/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11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11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10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22">
        <f>IF($A128="","",COUNTIF('Base Exámenes'!$C$5:$C$1000, A128))</f>
        <v>1</v>
      </c>
      <c r="M128" s="6" t="str">
        <f>IF($A128="","",IF(COUNTIF('Base Exámenes'!$C$5:$C$1000, A128)&gt;0, "", TRIM('Base Oficial'!H128)))</f>
        <v/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11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11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10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22">
        <f>IF($A129="","",COUNTIF('Base Exámenes'!$C$5:$C$1000, A129))</f>
        <v>1</v>
      </c>
      <c r="M129" s="6" t="str">
        <f>IF($A129="","",IF(COUNTIF('Base Exámenes'!$C$5:$C$1000, A129)&gt;0, "", TRIM('Base Oficial'!H129)))</f>
        <v/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11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11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10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22">
        <f>IF($A130="","",COUNTIF('Base Exámenes'!$C$5:$C$1000, A130))</f>
        <v>1</v>
      </c>
      <c r="M130" s="6" t="str">
        <f>IF($A130="","",IF(COUNTIF('Base Exámenes'!$C$5:$C$1000, A130)&gt;0, "", TRIM('Base Oficial'!H130)))</f>
        <v/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11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11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10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22">
        <f>IF($A131="","",COUNTIF('Base Exámenes'!$C$5:$C$1000, A131))</f>
        <v>1</v>
      </c>
      <c r="M131" s="6" t="str">
        <f>IF($A131="","",IF(COUNTIF('Base Exámenes'!$C$5:$C$1000, A131)&gt;0, "", TRIM('Base Oficial'!H131)))</f>
        <v/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11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11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10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22">
        <f>IF($A132="","",COUNTIF('Base Exámenes'!$C$5:$C$1000, A132))</f>
        <v>1</v>
      </c>
      <c r="M132" s="6" t="str">
        <f>IF($A132="","",IF(COUNTIF('Base Exámenes'!$C$5:$C$1000, A132)&gt;0, "", TRIM('Base Oficial'!H132)))</f>
        <v/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11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11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10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22">
        <f>IF($A133="","",COUNTIF('Base Exámenes'!$C$5:$C$1000, A133))</f>
        <v>1</v>
      </c>
      <c r="M133" s="6" t="str">
        <f>IF($A133="","",IF(COUNTIF('Base Exámenes'!$C$5:$C$1000, A133)&gt;0, "", TRIM('Base Oficial'!H133)))</f>
        <v/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11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11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10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22">
        <f>IF($A134="","",COUNTIF('Base Exámenes'!$C$5:$C$1000, A134))</f>
        <v>1</v>
      </c>
      <c r="M134" s="6" t="str">
        <f>IF($A134="","",IF(COUNTIF('Base Exámenes'!$C$5:$C$1000, A134)&gt;0, "", TRIM('Base Oficial'!H134)))</f>
        <v/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11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11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10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22">
        <f>IF($A135="","",COUNTIF('Base Exámenes'!$C$5:$C$1000, A135))</f>
        <v>1</v>
      </c>
      <c r="M135" s="6" t="str">
        <f>IF($A135="","",IF(COUNTIF('Base Exámenes'!$C$5:$C$1000, A135)&gt;0, "", TRIM('Base Oficial'!H135)))</f>
        <v/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11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11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10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22">
        <f>IF($A136="","",COUNTIF('Base Exámenes'!$C$5:$C$1000, A136))</f>
        <v>1</v>
      </c>
      <c r="M136" s="6" t="str">
        <f>IF($A136="","",IF(COUNTIF('Base Exámenes'!$C$5:$C$1000, A136)&gt;0, "", TRIM('Base Oficial'!H136)))</f>
        <v/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11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11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10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22">
        <f>IF($A137="","",COUNTIF('Base Exámenes'!$C$5:$C$1000, A137))</f>
        <v>2</v>
      </c>
      <c r="M137" s="6" t="str">
        <f>IF($A137="","",IF(COUNTIF('Base Exámenes'!$C$5:$C$1000, A137)&gt;0, "", TRIM('Base Oficial'!H137)))</f>
        <v/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11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11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10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22">
        <f>IF($A138="","",COUNTIF('Base Exámenes'!$C$5:$C$1000, A138))</f>
        <v>1</v>
      </c>
      <c r="M138" s="6" t="str">
        <f>IF($A138="","",IF(COUNTIF('Base Exámenes'!$C$5:$C$1000, A138)&gt;0, "", TRIM('Base Oficial'!H138)))</f>
        <v/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11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11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10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22">
        <f>IF($A139="","",COUNTIF('Base Exámenes'!$C$5:$C$1000, A139))</f>
        <v>1</v>
      </c>
      <c r="M139" s="6" t="str">
        <f>IF($A139="","",IF(COUNTIF('Base Exámenes'!$C$5:$C$1000, A139)&gt;0, "", TRIM('Base Oficial'!H139)))</f>
        <v/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11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11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10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22">
        <f>IF($A140="","",COUNTIF('Base Exámenes'!$C$5:$C$1000, A140))</f>
        <v>1</v>
      </c>
      <c r="M140" s="6" t="str">
        <f>IF($A140="","",IF(COUNTIF('Base Exámenes'!$C$5:$C$1000, A140)&gt;0, "", TRIM('Base Oficial'!H140)))</f>
        <v/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11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11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10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22">
        <f>IF($A141="","",COUNTIF('Base Exámenes'!$C$5:$C$1000, A141))</f>
        <v>1</v>
      </c>
      <c r="M141" s="6" t="str">
        <f>IF($A141="","",IF(COUNTIF('Base Exámenes'!$C$5:$C$1000, A141)&gt;0, "", TRIM('Base Oficial'!H141)))</f>
        <v/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11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11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10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22">
        <f>IF($A142="","",COUNTIF('Base Exámenes'!$C$5:$C$1000, A142))</f>
        <v>1</v>
      </c>
      <c r="M142" s="6" t="str">
        <f>IF($A142="","",IF(COUNTIF('Base Exámenes'!$C$5:$C$1000, A142)&gt;0, "", TRIM('Base Oficial'!H142)))</f>
        <v/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11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11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10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22">
        <f>IF($A143="","",COUNTIF('Base Exámenes'!$C$5:$C$1000, A143))</f>
        <v>1</v>
      </c>
      <c r="M143" s="6" t="str">
        <f>IF($A143="","",IF(COUNTIF('Base Exámenes'!$C$5:$C$1000, A143)&gt;0, "", TRIM('Base Oficial'!H143)))</f>
        <v/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11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</v>
      </c>
      <c r="H144" s="11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</v>
      </c>
      <c r="I144" s="10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21.6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22">
        <f>IF($A144="","",COUNTIF('Base Exámenes'!$C$5:$C$1000, A144))</f>
        <v>1</v>
      </c>
      <c r="M144" s="6" t="str">
        <f>IF($A144="","",IF(COUNTIF('Base Exámenes'!$C$5:$C$1000, A144)&gt;0, "", TRIM('Base Oficial'!H144)))</f>
        <v/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11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11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10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22">
        <f>IF($A145="","",COUNTIF('Base Exámenes'!$C$5:$C$1000, A145))</f>
        <v>1</v>
      </c>
      <c r="M145" s="6" t="str">
        <f>IF($A145="","",IF(COUNTIF('Base Exámenes'!$C$5:$C$1000, A145)&gt;0, "", TRIM('Base Oficial'!H145)))</f>
        <v/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11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46311.41438657408</v>
      </c>
      <c r="H146" s="11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46311.418587962966</v>
      </c>
      <c r="I146" s="10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22">
        <f>IF($A146="","",COUNTIF('Base Exámenes'!$C$5:$C$1000, A146))</f>
        <v>1</v>
      </c>
      <c r="M146" s="6" t="str">
        <f>IF($A146="","",IF(COUNTIF('Base Exámenes'!$C$5:$C$1000, A146)&gt;0, "", TRIM('Base Oficial'!H146)))</f>
        <v/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11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</v>
      </c>
      <c r="H147" s="11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</v>
      </c>
      <c r="I147" s="10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3.41666666666667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22">
        <f>IF($A147="","",COUNTIF('Base Exámenes'!$C$5:$C$1000, A147))</f>
        <v>1</v>
      </c>
      <c r="M147" s="6" t="str">
        <f>IF($A147="","",IF(COUNTIF('Base Exámenes'!$C$5:$C$1000, A147)&gt;0, "", TRIM('Base Oficial'!H147)))</f>
        <v/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Pendiente</v>
      </c>
      <c r="G148" s="11" t="str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/>
      </c>
      <c r="H148" s="11" t="str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/>
      </c>
      <c r="I148" s="10" t="str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/>
      </c>
      <c r="J148" s="6" t="str">
        <f>IF(F148="Completado", IF(COUNTIFS('Base Exámenes'!$C$5:$C$1000, A148, 'Base Exámenes'!$G$5:$G$1000, "&lt;&gt;")=0, "", _xlfn.MAXIFS('Base Exámenes'!$G$5:$G$1000, 'Base Exámenes'!$C$5:$C$1000, A148)), "")</f>
        <v/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/>
      </c>
      <c r="L148" s="22">
        <f>IF($A148="","",COUNTIF('Base Exámenes'!$C$5:$C$1000, A148))</f>
        <v>0</v>
      </c>
      <c r="M148" s="6" t="str">
        <f>IF($A148="","",IF(COUNTIF('Base Exámenes'!$C$5:$C$1000, A148)&gt;0, "", TRIM('Base Oficial'!H148)))</f>
        <v/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11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</v>
      </c>
      <c r="H149" s="11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46311.42974537037</v>
      </c>
      <c r="I149" s="10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7.63333333333334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22">
        <f>IF($A149="","",COUNTIF('Base Exámenes'!$C$5:$C$1000, A149))</f>
        <v>1</v>
      </c>
      <c r="M149" s="6" t="str">
        <f>IF($A149="","",IF(COUNTIF('Base Exámenes'!$C$5:$C$1000, A149)&gt;0, "", TRIM('Base Oficial'!H149)))</f>
        <v/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11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46311.40699074074</v>
      </c>
      <c r="H150" s="11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46311.45481481482</v>
      </c>
      <c r="I150" s="10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68.8666666666667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22">
        <f>IF($A150="","",COUNTIF('Base Exámenes'!$C$5:$C$1000, A150))</f>
        <v>1</v>
      </c>
      <c r="M150" s="6" t="str">
        <f>IF($A150="","",IF(COUNTIF('Base Exámenes'!$C$5:$C$1000, A150)&gt;0, "", TRIM('Base Oficial'!H150)))</f>
        <v/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11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11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10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22">
        <f>IF($A151="","",COUNTIF('Base Exámenes'!$C$5:$C$1000, A151))</f>
        <v>1</v>
      </c>
      <c r="M151" s="6" t="str">
        <f>IF($A151="","",IF(COUNTIF('Base Exámenes'!$C$5:$C$1000, A151)&gt;0, "", TRIM('Base Oficial'!H151)))</f>
        <v/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11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11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10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22">
        <f>IF($A152="","",COUNTIF('Base Exámenes'!$C$5:$C$1000, A152))</f>
        <v>1</v>
      </c>
      <c r="M152" s="6" t="str">
        <f>IF($A152="","",IF(COUNTIF('Base Exámenes'!$C$5:$C$1000, A152)&gt;0, "", TRIM('Base Oficial'!H152)))</f>
        <v/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11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11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10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22">
        <f>IF($A153="","",COUNTIF('Base Exámenes'!$C$5:$C$1000, A153))</f>
        <v>1</v>
      </c>
      <c r="M153" s="6" t="str">
        <f>IF($A153="","",IF(COUNTIF('Base Exámenes'!$C$5:$C$1000, A153)&gt;0, "", TRIM('Base Oficial'!H153)))</f>
        <v/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11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11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10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22">
        <f>IF($A154="","",COUNTIF('Base Exámenes'!$C$5:$C$1000, A154))</f>
        <v>1</v>
      </c>
      <c r="M154" s="6" t="str">
        <f>IF($A154="","",IF(COUNTIF('Base Exámenes'!$C$5:$C$1000, A154)&gt;0, "", TRIM('Base Oficial'!H154)))</f>
        <v/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11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11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10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22">
        <f>IF($A155="","",COUNTIF('Base Exámenes'!$C$5:$C$1000, A155))</f>
        <v>1</v>
      </c>
      <c r="M155" s="6" t="str">
        <f>IF($A155="","",IF(COUNTIF('Base Exámenes'!$C$5:$C$1000, A155)&gt;0, "", TRIM('Base Oficial'!H155)))</f>
        <v/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11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11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10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22">
        <f>IF($A156="","",COUNTIF('Base Exámenes'!$C$5:$C$1000, A156))</f>
        <v>1</v>
      </c>
      <c r="M156" s="6" t="str">
        <f>IF($A156="","",IF(COUNTIF('Base Exámenes'!$C$5:$C$1000, A156)&gt;0, "", TRIM('Base Oficial'!H156)))</f>
        <v/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11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11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10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22">
        <f>IF($A157="","",COUNTIF('Base Exámenes'!$C$5:$C$1000, A157))</f>
        <v>1</v>
      </c>
      <c r="M157" s="6" t="str">
        <f>IF($A157="","",IF(COUNTIF('Base Exámenes'!$C$5:$C$1000, A157)&gt;0, "", TRIM('Base Oficial'!H157)))</f>
        <v/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11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11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10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22">
        <f>IF($A158="","",COUNTIF('Base Exámenes'!$C$5:$C$1000, A158))</f>
        <v>1</v>
      </c>
      <c r="M158" s="6" t="str">
        <f>IF($A158="","",IF(COUNTIF('Base Exámenes'!$C$5:$C$1000, A158)&gt;0, "", TRIM('Base Oficial'!H158)))</f>
        <v/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11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11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10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22">
        <f>IF($A159="","",COUNTIF('Base Exámenes'!$C$5:$C$1000, A159))</f>
        <v>1</v>
      </c>
      <c r="M159" s="6" t="str">
        <f>IF($A159="","",IF(COUNTIF('Base Exámenes'!$C$5:$C$1000, A159)&gt;0, "", TRIM('Base Oficial'!H159)))</f>
        <v/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11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11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10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22">
        <f>IF($A160="","",COUNTIF('Base Exámenes'!$C$5:$C$1000, A160))</f>
        <v>1</v>
      </c>
      <c r="M160" s="6" t="str">
        <f>IF($A160="","",IF(COUNTIF('Base Exámenes'!$C$5:$C$1000, A160)&gt;0, "", TRIM('Base Oficial'!H160)))</f>
        <v/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11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11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10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22">
        <f>IF($A161="","",COUNTIF('Base Exámenes'!$C$5:$C$1000, A161))</f>
        <v>1</v>
      </c>
      <c r="M161" s="6" t="str">
        <f>IF($A161="","",IF(COUNTIF('Base Exámenes'!$C$5:$C$1000, A161)&gt;0, "", TRIM('Base Oficial'!H161)))</f>
        <v/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11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11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10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22">
        <f>IF($A162="","",COUNTIF('Base Exámenes'!$C$5:$C$1000, A162))</f>
        <v>1</v>
      </c>
      <c r="M162" s="6" t="str">
        <f>IF($A162="","",IF(COUNTIF('Base Exámenes'!$C$5:$C$1000, A162)&gt;0, "", TRIM('Base Oficial'!H162)))</f>
        <v/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11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11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10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22">
        <f>IF($A163="","",COUNTIF('Base Exámenes'!$C$5:$C$1000, A163))</f>
        <v>1</v>
      </c>
      <c r="M163" s="6" t="str">
        <f>IF($A163="","",IF(COUNTIF('Base Exámenes'!$C$5:$C$1000, A163)&gt;0, "", TRIM('Base Oficial'!H163)))</f>
        <v/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11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11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10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22">
        <f>IF($A164="","",COUNTIF('Base Exámenes'!$C$5:$C$1000, A164))</f>
        <v>1</v>
      </c>
      <c r="M164" s="6" t="str">
        <f>IF($A164="","",IF(COUNTIF('Base Exámenes'!$C$5:$C$1000, A164)&gt;0, "", TRIM('Base Oficial'!H164)))</f>
        <v/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11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11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10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22">
        <f>IF($A165="","",COUNTIF('Base Exámenes'!$C$5:$C$1000, A165))</f>
        <v>1</v>
      </c>
      <c r="M165" s="6" t="str">
        <f>IF($A165="","",IF(COUNTIF('Base Exámenes'!$C$5:$C$1000, A165)&gt;0, "", TRIM('Base Oficial'!H165)))</f>
        <v/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11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11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10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22">
        <f>IF($A166="","",COUNTIF('Base Exámenes'!$C$5:$C$1000, A166))</f>
        <v>1</v>
      </c>
      <c r="M166" s="6" t="str">
        <f>IF($A166="","",IF(COUNTIF('Base Exámenes'!$C$5:$C$1000, A166)&gt;0, "", TRIM('Base Oficial'!H166)))</f>
        <v/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11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11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10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22">
        <f>IF($A167="","",COUNTIF('Base Exámenes'!$C$5:$C$1000, A167))</f>
        <v>1</v>
      </c>
      <c r="M167" s="6" t="str">
        <f>IF($A167="","",IF(COUNTIF('Base Exámenes'!$C$5:$C$1000, A167)&gt;0, "", TRIM('Base Oficial'!H167)))</f>
        <v/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11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11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10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22">
        <f>IF($A168="","",COUNTIF('Base Exámenes'!$C$5:$C$1000, A168))</f>
        <v>1</v>
      </c>
      <c r="M168" s="6" t="str">
        <f>IF($A168="","",IF(COUNTIF('Base Exámenes'!$C$5:$C$1000, A168)&gt;0, "", TRIM('Base Oficial'!H168)))</f>
        <v/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11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11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10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22">
        <f>IF($A169="","",COUNTIF('Base Exámenes'!$C$5:$C$1000, A169))</f>
        <v>1</v>
      </c>
      <c r="M169" s="6" t="str">
        <f>IF($A169="","",IF(COUNTIF('Base Exámenes'!$C$5:$C$1000, A169)&gt;0, "", TRIM('Base Oficial'!H169)))</f>
        <v/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11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11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10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22">
        <f>IF($A170="","",COUNTIF('Base Exámenes'!$C$5:$C$1000, A170))</f>
        <v>1</v>
      </c>
      <c r="M170" s="6" t="str">
        <f>IF($A170="","",IF(COUNTIF('Base Exámenes'!$C$5:$C$1000, A170)&gt;0, "", TRIM('Base Oficial'!H170)))</f>
        <v/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11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11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10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22">
        <f>IF($A171="","",COUNTIF('Base Exámenes'!$C$5:$C$1000, A171))</f>
        <v>1</v>
      </c>
      <c r="M171" s="6" t="str">
        <f>IF($A171="","",IF(COUNTIF('Base Exámenes'!$C$5:$C$1000, A171)&gt;0, "", TRIM('Base Oficial'!H171)))</f>
        <v/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Renuncia</v>
      </c>
      <c r="G172" s="11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11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10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22">
        <f>IF($A172="","",COUNTIF('Base Exámenes'!$C$5:$C$1000, A172))</f>
        <v>0</v>
      </c>
      <c r="M172" s="6" t="str">
        <f>IF($A172="","",IF(COUNTIF('Base Exámenes'!$C$5:$C$1000, A172)&gt;0, "", TRIM('Base Oficial'!H172)))</f>
        <v>Renuncia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11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11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10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22">
        <f>IF($A173="","",COUNTIF('Base Exámenes'!$C$5:$C$1000, A173))</f>
        <v>1</v>
      </c>
      <c r="M173" s="6" t="str">
        <f>IF($A173="","",IF(COUNTIF('Base Exámenes'!$C$5:$C$1000, A173)&gt;0, "", TRIM('Base Oficial'!H173)))</f>
        <v/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11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11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10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22">
        <f>IF($A174="","",COUNTIF('Base Exámenes'!$C$5:$C$1000, A174))</f>
        <v>1</v>
      </c>
      <c r="M174" s="6" t="str">
        <f>IF($A174="","",IF(COUNTIF('Base Exámenes'!$C$5:$C$1000, A174)&gt;0, "", TRIM('Base Oficial'!H174)))</f>
        <v/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11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11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10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22">
        <f>IF($A175="","",COUNTIF('Base Exámenes'!$C$5:$C$1000, A175))</f>
        <v>2</v>
      </c>
      <c r="M175" s="6" t="str">
        <f>IF($A175="","",IF(COUNTIF('Base Exámenes'!$C$5:$C$1000, A175)&gt;0, "", TRIM('Base Oficial'!H175)))</f>
        <v/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11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11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10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22">
        <f>IF($A176="","",COUNTIF('Base Exámenes'!$C$5:$C$1000, A176))</f>
        <v>1</v>
      </c>
      <c r="M176" s="6" t="str">
        <f>IF($A176="","",IF(COUNTIF('Base Exámenes'!$C$5:$C$1000, A176)&gt;0, "", TRIM('Base Oficial'!H176)))</f>
        <v/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11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11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10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22">
        <f>IF($A177="","",COUNTIF('Base Exámenes'!$C$5:$C$1000, A177))</f>
        <v>1</v>
      </c>
      <c r="M177" s="6" t="str">
        <f>IF($A177="","",IF(COUNTIF('Base Exámenes'!$C$5:$C$1000, A177)&gt;0, "", TRIM('Base Oficial'!H177)))</f>
        <v/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11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11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10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22">
        <f>IF($A178="","",COUNTIF('Base Exámenes'!$C$5:$C$1000, A178))</f>
        <v>1</v>
      </c>
      <c r="M178" s="6" t="str">
        <f>IF($A178="","",IF(COUNTIF('Base Exámenes'!$C$5:$C$1000, A178)&gt;0, "", TRIM('Base Oficial'!H178)))</f>
        <v/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11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11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10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22">
        <f>IF($A179="","",COUNTIF('Base Exámenes'!$C$5:$C$1000, A179))</f>
        <v>1</v>
      </c>
      <c r="M179" s="6" t="str">
        <f>IF($A179="","",IF(COUNTIF('Base Exámenes'!$C$5:$C$1000, A179)&gt;0, "", TRIM('Base Oficial'!H179)))</f>
        <v/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11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11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10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22">
        <f>IF($A180="","",COUNTIF('Base Exámenes'!$C$5:$C$1000, A180))</f>
        <v>1</v>
      </c>
      <c r="M180" s="6" t="str">
        <f>IF($A180="","",IF(COUNTIF('Base Exámenes'!$C$5:$C$1000, A180)&gt;0, "", TRIM('Base Oficial'!H180)))</f>
        <v/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11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11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10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22">
        <f>IF($A181="","",COUNTIF('Base Exámenes'!$C$5:$C$1000, A181))</f>
        <v>1</v>
      </c>
      <c r="M181" s="6" t="str">
        <f>IF($A181="","",IF(COUNTIF('Base Exámenes'!$C$5:$C$1000, A181)&gt;0, "", TRIM('Base Oficial'!H181)))</f>
        <v/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Renuncia</v>
      </c>
      <c r="G182" s="11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11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10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22">
        <f>IF($A182="","",COUNTIF('Base Exámenes'!$C$5:$C$1000, A182))</f>
        <v>0</v>
      </c>
      <c r="M182" s="6" t="str">
        <f>IF($A182="","",IF(COUNTIF('Base Exámenes'!$C$5:$C$1000, A182)&gt;0, "", TRIM('Base Oficial'!H182)))</f>
        <v>Renuncia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11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11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10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22">
        <f>IF($A183="","",COUNTIF('Base Exámenes'!$C$5:$C$1000, A183))</f>
        <v>1</v>
      </c>
      <c r="M183" s="6" t="str">
        <f>IF($A183="","",IF(COUNTIF('Base Exámenes'!$C$5:$C$1000, A183)&gt;0, "", TRIM('Base Oficial'!H183)))</f>
        <v/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11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11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10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22">
        <f>IF($A184="","",COUNTIF('Base Exámenes'!$C$5:$C$1000, A184))</f>
        <v>1</v>
      </c>
      <c r="M184" s="6" t="str">
        <f>IF($A184="","",IF(COUNTIF('Base Exámenes'!$C$5:$C$1000, A184)&gt;0, "", TRIM('Base Oficial'!H184)))</f>
        <v/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11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11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10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22">
        <f>IF($A185="","",COUNTIF('Base Exámenes'!$C$5:$C$1000, A185))</f>
        <v>1</v>
      </c>
      <c r="M185" s="6" t="str">
        <f>IF($A185="","",IF(COUNTIF('Base Exámenes'!$C$5:$C$1000, A185)&gt;0, "", TRIM('Base Oficial'!H185)))</f>
        <v/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11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11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10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22">
        <f>IF($A186="","",COUNTIF('Base Exámenes'!$C$5:$C$1000, A186))</f>
        <v>1</v>
      </c>
      <c r="M186" s="6" t="str">
        <f>IF($A186="","",IF(COUNTIF('Base Exámenes'!$C$5:$C$1000, A186)&gt;0, "", TRIM('Base Oficial'!H186)))</f>
        <v/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11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11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10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22">
        <f>IF($A187="","",COUNTIF('Base Exámenes'!$C$5:$C$1000, A187))</f>
        <v>1</v>
      </c>
      <c r="M187" s="6" t="str">
        <f>IF($A187="","",IF(COUNTIF('Base Exámenes'!$C$5:$C$1000, A187)&gt;0, "", TRIM('Base Oficial'!H187)))</f>
        <v/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11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11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10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22">
        <f>IF($A188="","",COUNTIF('Base Exámenes'!$C$5:$C$1000, A188))</f>
        <v>1</v>
      </c>
      <c r="M188" s="6" t="str">
        <f>IF($A188="","",IF(COUNTIF('Base Exámenes'!$C$5:$C$1000, A188)&gt;0, "", TRIM('Base Oficial'!H188)))</f>
        <v/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11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11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10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22">
        <f>IF($A189="","",COUNTIF('Base Exámenes'!$C$5:$C$1000, A189))</f>
        <v>1</v>
      </c>
      <c r="M189" s="6" t="str">
        <f>IF($A189="","",IF(COUNTIF('Base Exámenes'!$C$5:$C$1000, A189)&gt;0, "", TRIM('Base Oficial'!H189)))</f>
        <v/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11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11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10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22">
        <f>IF($A190="","",COUNTIF('Base Exámenes'!$C$5:$C$1000, A190))</f>
        <v>1</v>
      </c>
      <c r="M190" s="6" t="str">
        <f>IF($A190="","",IF(COUNTIF('Base Exámenes'!$C$5:$C$1000, A190)&gt;0, "", TRIM('Base Oficial'!H190)))</f>
        <v/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11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11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10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22">
        <f>IF($A191="","",COUNTIF('Base Exámenes'!$C$5:$C$1000, A191))</f>
        <v>1</v>
      </c>
      <c r="M191" s="6" t="str">
        <f>IF($A191="","",IF(COUNTIF('Base Exámenes'!$C$5:$C$1000, A191)&gt;0, "", TRIM('Base Oficial'!H191)))</f>
        <v/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11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</v>
      </c>
      <c r="H192" s="11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</v>
      </c>
      <c r="I192" s="10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10.9333333333333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22">
        <f>IF($A192="","",COUNTIF('Base Exámenes'!$C$5:$C$1000, A192))</f>
        <v>1</v>
      </c>
      <c r="M192" s="6" t="str">
        <f>IF($A192="","",IF(COUNTIF('Base Exámenes'!$C$5:$C$1000, A192)&gt;0, "", TRIM('Base Oficial'!H192)))</f>
        <v/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Pendiente</v>
      </c>
      <c r="G193" s="11" t="str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/>
      </c>
      <c r="H193" s="11" t="str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/>
      </c>
      <c r="I193" s="10" t="str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/>
      </c>
      <c r="J193" s="6" t="str">
        <f>IF(F193="Completado", IF(COUNTIFS('Base Exámenes'!$C$5:$C$1000, A193, 'Base Exámenes'!$G$5:$G$1000, "&lt;&gt;")=0, "", _xlfn.MAXIFS('Base Exámenes'!$G$5:$G$1000, 'Base Exámenes'!$C$5:$C$1000, A193)), "")</f>
        <v/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/>
      </c>
      <c r="L193" s="22">
        <f>IF($A193="","",COUNTIF('Base Exámenes'!$C$5:$C$1000, A193))</f>
        <v>0</v>
      </c>
      <c r="M193" s="6" t="str">
        <f>IF($A193="","",IF(COUNTIF('Base Exámenes'!$C$5:$C$1000, A193)&gt;0, "", TRIM('Base Oficial'!H193)))</f>
        <v/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Pendiente</v>
      </c>
      <c r="G194" s="11" t="str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/>
      </c>
      <c r="H194" s="11" t="str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/>
      </c>
      <c r="I194" s="10" t="str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/>
      </c>
      <c r="J194" s="6" t="str">
        <f>IF(F194="Completado", IF(COUNTIFS('Base Exámenes'!$C$5:$C$1000, A194, 'Base Exámenes'!$G$5:$G$1000, "&lt;&gt;")=0, "", _xlfn.MAXIFS('Base Exámenes'!$G$5:$G$1000, 'Base Exámenes'!$C$5:$C$1000, A194)), "")</f>
        <v/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/>
      </c>
      <c r="L194" s="22">
        <f>IF($A194="","",COUNTIF('Base Exámenes'!$C$5:$C$1000, A194))</f>
        <v>0</v>
      </c>
      <c r="M194" s="6" t="str">
        <f>IF($A194="","",IF(COUNTIF('Base Exámenes'!$C$5:$C$1000, A194)&gt;0, "", TRIM('Base Oficial'!H194)))</f>
        <v/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Completado</v>
      </c>
      <c r="G195" s="11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>46311.50098379629</v>
      </c>
      <c r="H195" s="11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>46311.50697916667</v>
      </c>
      <c r="I195" s="10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>8.63333333333333</v>
      </c>
      <c r="J195" s="6">
        <f>IF(F195="Completado", IF(COUNTIFS('Base Exámenes'!$C$5:$C$1000, A195, 'Base Exámenes'!$G$5:$G$1000, "&lt;&gt;")=0, "", _xlfn.MAXIFS('Base Exámenes'!$G$5:$G$1000, 'Base Exámenes'!$C$5:$C$1000, A195)), "")</f>
        <v>100</v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>anonymous</v>
      </c>
      <c r="L195" s="22">
        <f>IF($A195="","",COUNTIF('Base Exámenes'!$C$5:$C$1000, A195))</f>
        <v>1</v>
      </c>
      <c r="M195" s="6" t="str">
        <f>IF($A195="","",IF(COUNTIF('Base Exámenes'!$C$5:$C$1000, A195)&gt;0, "", TRIM('Base Oficial'!H195)))</f>
        <v/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Vacaciones</v>
      </c>
      <c r="G196" s="11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11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10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22">
        <f>IF($A196="","",COUNTIF('Base Exámenes'!$C$5:$C$1000, A196))</f>
        <v>0</v>
      </c>
      <c r="M196" s="6" t="str">
        <f>IF($A196="","",IF(COUNTIF('Base Exámenes'!$C$5:$C$1000, A196)&gt;0, "", TRIM('Base Oficial'!H196)))</f>
        <v>Vacaciones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11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11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10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22">
        <f>IF($A197="","",COUNTIF('Base Exámenes'!$C$5:$C$1000, A197))</f>
        <v>1</v>
      </c>
      <c r="M197" s="6" t="str">
        <f>IF($A197="","",IF(COUNTIF('Base Exámenes'!$C$5:$C$1000, A197)&gt;0, "", TRIM('Base Oficial'!H197)))</f>
        <v/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Incapacidad por maternidad</v>
      </c>
      <c r="G198" s="11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11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10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22">
        <f>IF($A198="","",COUNTIF('Base Exámenes'!$C$5:$C$1000, A198))</f>
        <v>0</v>
      </c>
      <c r="M198" s="6" t="str">
        <f>IF($A198="","",IF(COUNTIF('Base Exámenes'!$C$5:$C$1000, A198)&gt;0, "", TRIM('Base Oficial'!H198)))</f>
        <v>Incapacidad por maternidad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11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11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10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22">
        <f>IF($A199="","",COUNTIF('Base Exámenes'!$C$5:$C$1000, A199))</f>
        <v>1</v>
      </c>
      <c r="M199" s="6" t="str">
        <f>IF($A199="","",IF(COUNTIF('Base Exámenes'!$C$5:$C$1000, A199)&gt;0, "", TRIM('Base Oficial'!H199)))</f>
        <v/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11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46310.65715277778</v>
      </c>
      <c r="H200" s="11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10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4.06666666666667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22">
        <f>IF($A200="","",COUNTIF('Base Exámenes'!$C$5:$C$1000, A200))</f>
        <v>1</v>
      </c>
      <c r="M200" s="6" t="str">
        <f>IF($A200="","",IF(COUNTIF('Base Exámenes'!$C$5:$C$1000, A200)&gt;0, "", TRIM('Base Oficial'!H200)))</f>
        <v/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11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</v>
      </c>
      <c r="H201" s="11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46311.484826388885</v>
      </c>
      <c r="I201" s="10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22">
        <f>IF($A201="","",COUNTIF('Base Exámenes'!$C$5:$C$1000, A201))</f>
        <v>1</v>
      </c>
      <c r="M201" s="6" t="str">
        <f>IF($A201="","",IF(COUNTIF('Base Exámenes'!$C$5:$C$1000, A201)&gt;0, "", TRIM('Base Oficial'!H201)))</f>
        <v/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11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11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</v>
      </c>
      <c r="I202" s="10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2.26666666666667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22">
        <f>IF($A202="","",COUNTIF('Base Exámenes'!$C$5:$C$1000, A202))</f>
        <v>1</v>
      </c>
      <c r="M202" s="6" t="str">
        <f>IF($A202="","",IF(COUNTIF('Base Exámenes'!$C$5:$C$1000, A202)&gt;0, "", TRIM('Base Oficial'!H202)))</f>
        <v/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11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11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10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22">
        <f>IF($A203="","",COUNTIF('Base Exámenes'!$C$5:$C$1000, A203))</f>
        <v>1</v>
      </c>
      <c r="M203" s="6" t="str">
        <f>IF($A203="","",IF(COUNTIF('Base Exámenes'!$C$5:$C$1000, A203)&gt;0, "", TRIM('Base Oficial'!H203)))</f>
        <v/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11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11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10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22">
        <f>IF($A204="","",COUNTIF('Base Exámenes'!$C$5:$C$1000, A204))</f>
        <v>1</v>
      </c>
      <c r="M204" s="6" t="str">
        <f>IF($A204="","",IF(COUNTIF('Base Exámenes'!$C$5:$C$1000, A204)&gt;0, "", TRIM('Base Oficial'!H204)))</f>
        <v/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11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11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10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22">
        <f>IF($A205="","",COUNTIF('Base Exámenes'!$C$5:$C$1000, A205))</f>
        <v>1</v>
      </c>
      <c r="M205" s="6" t="str">
        <f>IF($A205="","",IF(COUNTIF('Base Exámenes'!$C$5:$C$1000, A205)&gt;0, "", TRIM('Base Oficial'!H205)))</f>
        <v/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11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11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10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22">
        <f>IF($A206="","",COUNTIF('Base Exámenes'!$C$5:$C$1000, A206))</f>
        <v>1</v>
      </c>
      <c r="M206" s="6" t="str">
        <f>IF($A206="","",IF(COUNTIF('Base Exámenes'!$C$5:$C$1000, A206)&gt;0, "", TRIM('Base Oficial'!H206)))</f>
        <v/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11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46311.4046875</v>
      </c>
      <c r="H207" s="11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46311.477488425924</v>
      </c>
      <c r="I207" s="10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104.833333333333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22">
        <f>IF($A207="","",COUNTIF('Base Exámenes'!$C$5:$C$1000, A207))</f>
        <v>1</v>
      </c>
      <c r="M207" s="6" t="str">
        <f>IF($A207="","",IF(COUNTIF('Base Exámenes'!$C$5:$C$1000, A207)&gt;0, "", TRIM('Base Oficial'!H207)))</f>
        <v/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11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11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10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22">
        <f>IF($A208="","",COUNTIF('Base Exámenes'!$C$5:$C$1000, A208))</f>
        <v>1</v>
      </c>
      <c r="M208" s="6" t="str">
        <f>IF($A208="","",IF(COUNTIF('Base Exámenes'!$C$5:$C$1000, A208)&gt;0, "", TRIM('Base Oficial'!H208)))</f>
        <v/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11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</v>
      </c>
      <c r="H209" s="11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46310.516377314816</v>
      </c>
      <c r="I209" s="10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22">
        <f>IF($A209="","",COUNTIF('Base Exámenes'!$C$5:$C$1000, A209))</f>
        <v>1</v>
      </c>
      <c r="M209" s="6" t="str">
        <f>IF($A209="","",IF(COUNTIF('Base Exámenes'!$C$5:$C$1000, A209)&gt;0, "", TRIM('Base Oficial'!H209)))</f>
        <v/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11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11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10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22">
        <f>IF($A210="","",COUNTIF('Base Exámenes'!$C$5:$C$1000, A210))</f>
        <v>1</v>
      </c>
      <c r="M210" s="6" t="str">
        <f>IF($A210="","",IF(COUNTIF('Base Exámenes'!$C$5:$C$1000, A210)&gt;0, "", TRIM('Base Oficial'!H210)))</f>
        <v/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11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11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10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22">
        <f>IF($A211="","",COUNTIF('Base Exámenes'!$C$5:$C$1000, A211))</f>
        <v>1</v>
      </c>
      <c r="M211" s="6" t="str">
        <f>IF($A211="","",IF(COUNTIF('Base Exámenes'!$C$5:$C$1000, A211)&gt;0, "", TRIM('Base Oficial'!H211)))</f>
        <v/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11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11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10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22">
        <f>IF($A212="","",COUNTIF('Base Exámenes'!$C$5:$C$1000, A212))</f>
        <v>1</v>
      </c>
      <c r="M212" s="6" t="str">
        <f>IF($A212="","",IF(COUNTIF('Base Exámenes'!$C$5:$C$1000, A212)&gt;0, "", TRIM('Base Oficial'!H212)))</f>
        <v/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Vacaciones</v>
      </c>
      <c r="G213" s="11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11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10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22">
        <f>IF($A213="","",COUNTIF('Base Exámenes'!$C$5:$C$1000, A213))</f>
        <v>0</v>
      </c>
      <c r="M213" s="6" t="str">
        <f>IF($A213="","",IF(COUNTIF('Base Exámenes'!$C$5:$C$1000, A213)&gt;0, "", TRIM('Base Oficial'!H213)))</f>
        <v>Vacaciones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11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11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10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22">
        <f>IF($A214="","",COUNTIF('Base Exámenes'!$C$5:$C$1000, A214))</f>
        <v>1</v>
      </c>
      <c r="M214" s="6" t="str">
        <f>IF($A214="","",IF(COUNTIF('Base Exámenes'!$C$5:$C$1000, A214)&gt;0, "", TRIM('Base Oficial'!H214)))</f>
        <v/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11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11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10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22">
        <f>IF($A215="","",COUNTIF('Base Exámenes'!$C$5:$C$1000, A215))</f>
        <v>1</v>
      </c>
      <c r="M215" s="6" t="str">
        <f>IF($A215="","",IF(COUNTIF('Base Exámenes'!$C$5:$C$1000, A215)&gt;0, "", TRIM('Base Oficial'!H215)))</f>
        <v/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11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11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10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22">
        <f>IF($A216="","",COUNTIF('Base Exámenes'!$C$5:$C$1000, A216))</f>
        <v>1</v>
      </c>
      <c r="M216" s="6" t="str">
        <f>IF($A216="","",IF(COUNTIF('Base Exámenes'!$C$5:$C$1000, A216)&gt;0, "", TRIM('Base Oficial'!H216)))</f>
        <v/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11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11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10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22">
        <f>IF($A217="","",COUNTIF('Base Exámenes'!$C$5:$C$1000, A217))</f>
        <v>1</v>
      </c>
      <c r="M217" s="6" t="str">
        <f>IF($A217="","",IF(COUNTIF('Base Exámenes'!$C$5:$C$1000, A217)&gt;0, "", TRIM('Base Oficial'!H217)))</f>
        <v/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11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11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10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22">
        <f>IF($A218="","",COUNTIF('Base Exámenes'!$C$5:$C$1000, A218))</f>
        <v>1</v>
      </c>
      <c r="M218" s="6" t="str">
        <f>IF($A218="","",IF(COUNTIF('Base Exámenes'!$C$5:$C$1000, A218)&gt;0, "", TRIM('Base Oficial'!H218)))</f>
        <v/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11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11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10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22">
        <f>IF($A219="","",COUNTIF('Base Exámenes'!$C$5:$C$1000, A219))</f>
        <v>1</v>
      </c>
      <c r="M219" s="6" t="str">
        <f>IF($A219="","",IF(COUNTIF('Base Exámenes'!$C$5:$C$1000, A219)&gt;0, "", TRIM('Base Oficial'!H219)))</f>
        <v/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11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11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10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22">
        <f>IF($A220="","",COUNTIF('Base Exámenes'!$C$5:$C$1000, A220))</f>
        <v>1</v>
      </c>
      <c r="M220" s="6" t="str">
        <f>IF($A220="","",IF(COUNTIF('Base Exámenes'!$C$5:$C$1000, A220)&gt;0, "", TRIM('Base Oficial'!H220)))</f>
        <v/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11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11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10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22">
        <f>IF($A221="","",COUNTIF('Base Exámenes'!$C$5:$C$1000, A221))</f>
        <v>1</v>
      </c>
      <c r="M221" s="6" t="str">
        <f>IF($A221="","",IF(COUNTIF('Base Exámenes'!$C$5:$C$1000, A221)&gt;0, "", TRIM('Base Oficial'!H221)))</f>
        <v/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11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11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10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22">
        <f>IF($A222="","",COUNTIF('Base Exámenes'!$C$5:$C$1000, A222))</f>
        <v>1</v>
      </c>
      <c r="M222" s="6" t="str">
        <f>IF($A222="","",IF(COUNTIF('Base Exámenes'!$C$5:$C$1000, A222)&gt;0, "", TRIM('Base Oficial'!H222)))</f>
        <v/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11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11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10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22">
        <f>IF($A223="","",COUNTIF('Base Exámenes'!$C$5:$C$1000, A223))</f>
        <v>1</v>
      </c>
      <c r="M223" s="6" t="str">
        <f>IF($A223="","",IF(COUNTIF('Base Exámenes'!$C$5:$C$1000, A223)&gt;0, "", TRIM('Base Oficial'!H223)))</f>
        <v/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11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11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10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22">
        <f>IF($A224="","",COUNTIF('Base Exámenes'!$C$5:$C$1000, A224))</f>
        <v>1</v>
      </c>
      <c r="M224" s="6" t="str">
        <f>IF($A224="","",IF(COUNTIF('Base Exámenes'!$C$5:$C$1000, A224)&gt;0, "", TRIM('Base Oficial'!H224)))</f>
        <v/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11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11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10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22">
        <f>IF($A225="","",COUNTIF('Base Exámenes'!$C$5:$C$1000, A225))</f>
        <v>2</v>
      </c>
      <c r="M225" s="6" t="str">
        <f>IF($A225="","",IF(COUNTIF('Base Exámenes'!$C$5:$C$1000, A225)&gt;0, "", TRIM('Base Oficial'!H225)))</f>
        <v/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11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11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10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22">
        <f>IF($A226="","",COUNTIF('Base Exámenes'!$C$5:$C$1000, A226))</f>
        <v>1</v>
      </c>
      <c r="M226" s="6" t="str">
        <f>IF($A226="","",IF(COUNTIF('Base Exámenes'!$C$5:$C$1000, A226)&gt;0, "", TRIM('Base Oficial'!H226)))</f>
        <v/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11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11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10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22">
        <f>IF($A227="","",COUNTIF('Base Exámenes'!$C$5:$C$1000, A227))</f>
        <v>1</v>
      </c>
      <c r="M227" s="6" t="str">
        <f>IF($A227="","",IF(COUNTIF('Base Exámenes'!$C$5:$C$1000, A227)&gt;0, "", TRIM('Base Oficial'!H227)))</f>
        <v/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Incapacidad por maternidad</v>
      </c>
      <c r="G228" s="11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11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10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22">
        <f>IF($A228="","",COUNTIF('Base Exámenes'!$C$5:$C$1000, A228))</f>
        <v>0</v>
      </c>
      <c r="M228" s="6" t="str">
        <f>IF($A228="","",IF(COUNTIF('Base Exámenes'!$C$5:$C$1000, A228)&gt;0, "", TRIM('Base Oficial'!H228)))</f>
        <v>Incapacidad por maternidad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11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</v>
      </c>
      <c r="H229" s="11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46311.49398148148</v>
      </c>
      <c r="I229" s="10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14.5166666666667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22">
        <f>IF($A229="","",COUNTIF('Base Exámenes'!$C$5:$C$1000, A229))</f>
        <v>1</v>
      </c>
      <c r="M229" s="6" t="str">
        <f>IF($A229="","",IF(COUNTIF('Base Exámenes'!$C$5:$C$1000, A229)&gt;0, "", TRIM('Base Oficial'!H229)))</f>
        <v/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11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11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10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22">
        <f>IF($A230="","",COUNTIF('Base Exámenes'!$C$5:$C$1000, A230))</f>
        <v>1</v>
      </c>
      <c r="M230" s="6" t="str">
        <f>IF($A230="","",IF(COUNTIF('Base Exámenes'!$C$5:$C$1000, A230)&gt;0, "", TRIM('Base Oficial'!H230)))</f>
        <v/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11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11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10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22">
        <f>IF($A231="","",COUNTIF('Base Exámenes'!$C$5:$C$1000, A231))</f>
        <v>1</v>
      </c>
      <c r="M231" s="6" t="str">
        <f>IF($A231="","",IF(COUNTIF('Base Exámenes'!$C$5:$C$1000, A231)&gt;0, "", TRIM('Base Oficial'!H231)))</f>
        <v/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11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46311.45276620371</v>
      </c>
      <c r="H232" s="11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46311.456400462965</v>
      </c>
      <c r="I232" s="10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5.23333333333333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22">
        <f>IF($A232="","",COUNTIF('Base Exámenes'!$C$5:$C$1000, A232))</f>
        <v>1</v>
      </c>
      <c r="M232" s="6" t="str">
        <f>IF($A232="","",IF(COUNTIF('Base Exámenes'!$C$5:$C$1000, A232)&gt;0, "", TRIM('Base Oficial'!H232)))</f>
        <v/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11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11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10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22">
        <f>IF($A233="","",COUNTIF('Base Exámenes'!$C$5:$C$1000, A233))</f>
        <v>1</v>
      </c>
      <c r="M233" s="6" t="str">
        <f>IF($A233="","",IF(COUNTIF('Base Exámenes'!$C$5:$C$1000, A233)&gt;0, "", TRIM('Base Oficial'!H233)))</f>
        <v/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11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46311.465208333335</v>
      </c>
      <c r="H234" s="11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46311.4675</v>
      </c>
      <c r="I234" s="10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22">
        <f>IF($A234="","",COUNTIF('Base Exámenes'!$C$5:$C$1000, A234))</f>
        <v>1</v>
      </c>
      <c r="M234" s="6" t="str">
        <f>IF($A234="","",IF(COUNTIF('Base Exámenes'!$C$5:$C$1000, A234)&gt;0, "", TRIM('Base Oficial'!H234)))</f>
        <v/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11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46311.473969907405</v>
      </c>
      <c r="H235" s="11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</v>
      </c>
      <c r="I235" s="10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2.28333333333333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22">
        <f>IF($A235="","",COUNTIF('Base Exámenes'!$C$5:$C$1000, A235))</f>
        <v>1</v>
      </c>
      <c r="M235" s="6" t="str">
        <f>IF($A235="","",IF(COUNTIF('Base Exámenes'!$C$5:$C$1000, A235)&gt;0, "", TRIM('Base Oficial'!H235)))</f>
        <v/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11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11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10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22">
        <f>IF($A236="","",COUNTIF('Base Exámenes'!$C$5:$C$1000, A236))</f>
        <v>1</v>
      </c>
      <c r="M236" s="6" t="str">
        <f>IF($A236="","",IF(COUNTIF('Base Exámenes'!$C$5:$C$1000, A236)&gt;0, "", TRIM('Base Oficial'!H236)))</f>
        <v/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11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46310.628796296296</v>
      </c>
      <c r="H237" s="11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46310.63381944445</v>
      </c>
      <c r="I237" s="10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7.23333333333333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22">
        <f>IF($A237="","",COUNTIF('Base Exámenes'!$C$5:$C$1000, A237))</f>
        <v>1</v>
      </c>
      <c r="M237" s="6" t="str">
        <f>IF($A237="","",IF(COUNTIF('Base Exámenes'!$C$5:$C$1000, A237)&gt;0, "", TRIM('Base Oficial'!H237)))</f>
        <v/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11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46311.409733796296</v>
      </c>
      <c r="H238" s="11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46311.41554398148</v>
      </c>
      <c r="I238" s="10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8.36666666666667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22">
        <f>IF($A238="","",COUNTIF('Base Exámenes'!$C$5:$C$1000, A238))</f>
        <v>1</v>
      </c>
      <c r="M238" s="6" t="str">
        <f>IF($A238="","",IF(COUNTIF('Base Exámenes'!$C$5:$C$1000, A238)&gt;0, "", TRIM('Base Oficial'!H238)))</f>
        <v/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11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46310.62758101852</v>
      </c>
      <c r="H239" s="11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</v>
      </c>
      <c r="I239" s="10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14.2333333333333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22">
        <f>IF($A239="","",COUNTIF('Base Exámenes'!$C$5:$C$1000, A239))</f>
        <v>1</v>
      </c>
      <c r="M239" s="6" t="str">
        <f>IF($A239="","",IF(COUNTIF('Base Exámenes'!$C$5:$C$1000, A239)&gt;0, "", TRIM('Base Oficial'!H239)))</f>
        <v/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11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</v>
      </c>
      <c r="H240" s="11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</v>
      </c>
      <c r="I240" s="10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2.41666666666667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22">
        <f>IF($A240="","",COUNTIF('Base Exámenes'!$C$5:$C$1000, A240))</f>
        <v>1</v>
      </c>
      <c r="M240" s="6" t="str">
        <f>IF($A240="","",IF(COUNTIF('Base Exámenes'!$C$5:$C$1000, A240)&gt;0, "", TRIM('Base Oficial'!H240)))</f>
        <v/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11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11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10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1.51666666666667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22">
        <f>IF($A241="","",COUNTIF('Base Exámenes'!$C$5:$C$1000, A241))</f>
        <v>1</v>
      </c>
      <c r="M241" s="6" t="str">
        <f>IF($A241="","",IF(COUNTIF('Base Exámenes'!$C$5:$C$1000, A241)&gt;0, "", TRIM('Base Oficial'!H241)))</f>
        <v/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11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11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10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22">
        <f>IF($A242="","",COUNTIF('Base Exámenes'!$C$5:$C$1000, A242))</f>
        <v>1</v>
      </c>
      <c r="M242" s="6" t="str">
        <f>IF($A242="","",IF(COUNTIF('Base Exámenes'!$C$5:$C$1000, A242)&gt;0, "", TRIM('Base Oficial'!H242)))</f>
        <v/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Completado</v>
      </c>
      <c r="G243" s="11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>46311.56675925926</v>
      </c>
      <c r="H243" s="11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>46311.571493055555</v>
      </c>
      <c r="I243" s="10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>6.81666666666667</v>
      </c>
      <c r="J243" s="6">
        <f>IF(F243="Completado", IF(COUNTIFS('Base Exámenes'!$C$5:$C$1000, A243, 'Base Exámenes'!$G$5:$G$1000, "&lt;&gt;")=0, "", _xlfn.MAXIFS('Base Exámenes'!$G$5:$G$1000, 'Base Exámenes'!$C$5:$C$1000, A243)), "")</f>
        <v>100</v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>anonymous</v>
      </c>
      <c r="L243" s="22">
        <f>IF($A243="","",COUNTIF('Base Exámenes'!$C$5:$C$1000, A243))</f>
        <v>1</v>
      </c>
      <c r="M243" s="6" t="str">
        <f>IF($A243="","",IF(COUNTIF('Base Exámenes'!$C$5:$C$1000, A243)&gt;0, "", TRIM('Base Oficial'!H243)))</f>
        <v/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11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11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10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22">
        <f>IF($A244="","",COUNTIF('Base Exámenes'!$C$5:$C$1000, A244))</f>
        <v>1</v>
      </c>
      <c r="M244" s="6" t="str">
        <f>IF($A244="","",IF(COUNTIF('Base Exámenes'!$C$5:$C$1000, A244)&gt;0, "", TRIM('Base Oficial'!H244)))</f>
        <v/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11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11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10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22">
        <f>IF($A245="","",COUNTIF('Base Exámenes'!$C$5:$C$1000, A245))</f>
        <v>1</v>
      </c>
      <c r="M245" s="6" t="str">
        <f>IF($A245="","",IF(COUNTIF('Base Exámenes'!$C$5:$C$1000, A245)&gt;0, "", TRIM('Base Oficial'!H245)))</f>
        <v/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11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11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10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22">
        <f>IF($A246="","",COUNTIF('Base Exámenes'!$C$5:$C$1000, A246))</f>
        <v>1</v>
      </c>
      <c r="M246" s="6" t="str">
        <f>IF($A246="","",IF(COUNTIF('Base Exámenes'!$C$5:$C$1000, A246)&gt;0, "", TRIM('Base Oficial'!H246)))</f>
        <v/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11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46310.520844907405</v>
      </c>
      <c r="H247" s="11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</v>
      </c>
      <c r="I247" s="10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5.68333333333333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22">
        <f>IF($A247="","",COUNTIF('Base Exámenes'!$C$5:$C$1000, A247))</f>
        <v>1</v>
      </c>
      <c r="M247" s="6" t="str">
        <f>IF($A247="","",IF(COUNTIF('Base Exámenes'!$C$5:$C$1000, A247)&gt;0, "", TRIM('Base Oficial'!H247)))</f>
        <v/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11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11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10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22">
        <f>IF($A248="","",COUNTIF('Base Exámenes'!$C$5:$C$1000, A248))</f>
        <v>1</v>
      </c>
      <c r="M248" s="6" t="str">
        <f>IF($A248="","",IF(COUNTIF('Base Exámenes'!$C$5:$C$1000, A248)&gt;0, "", TRIM('Base Oficial'!H248)))</f>
        <v/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11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11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10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22">
        <f>IF($A249="","",COUNTIF('Base Exámenes'!$C$5:$C$1000, A249))</f>
        <v>1</v>
      </c>
      <c r="M249" s="6" t="str">
        <f>IF($A249="","",IF(COUNTIF('Base Exámenes'!$C$5:$C$1000, A249)&gt;0, "", TRIM('Base Oficial'!H249)))</f>
        <v/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11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11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10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22">
        <f>IF($A250="","",COUNTIF('Base Exámenes'!$C$5:$C$1000, A250))</f>
        <v>1</v>
      </c>
      <c r="M250" s="6" t="str">
        <f>IF($A250="","",IF(COUNTIF('Base Exámenes'!$C$5:$C$1000, A250)&gt;0, "", TRIM('Base Oficial'!H250)))</f>
        <v/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11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11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10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22">
        <f>IF($A251="","",COUNTIF('Base Exámenes'!$C$5:$C$1000, A251))</f>
        <v>1</v>
      </c>
      <c r="M251" s="6" t="str">
        <f>IF($A251="","",IF(COUNTIF('Base Exámenes'!$C$5:$C$1000, A251)&gt;0, "", TRIM('Base Oficial'!H251)))</f>
        <v/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11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11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10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22">
        <f>IF($A252="","",COUNTIF('Base Exámenes'!$C$5:$C$1000, A252))</f>
        <v>1</v>
      </c>
      <c r="M252" s="6" t="str">
        <f>IF($A252="","",IF(COUNTIF('Base Exámenes'!$C$5:$C$1000, A252)&gt;0, "", TRIM('Base Oficial'!H252)))</f>
        <v/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11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11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10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22">
        <f>IF($A253="","",COUNTIF('Base Exámenes'!$C$5:$C$1000, A253))</f>
        <v>1</v>
      </c>
      <c r="M253" s="6" t="str">
        <f>IF($A253="","",IF(COUNTIF('Base Exámenes'!$C$5:$C$1000, A253)&gt;0, "", TRIM('Base Oficial'!H253)))</f>
        <v/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11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11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10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22">
        <f>IF($A254="","",COUNTIF('Base Exámenes'!$C$5:$C$1000, A254))</f>
        <v>1</v>
      </c>
      <c r="M254" s="6" t="str">
        <f>IF($A254="","",IF(COUNTIF('Base Exámenes'!$C$5:$C$1000, A254)&gt;0, "", TRIM('Base Oficial'!H254)))</f>
        <v/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11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11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10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22">
        <f>IF($A255="","",COUNTIF('Base Exámenes'!$C$5:$C$1000, A255))</f>
        <v>1</v>
      </c>
      <c r="M255" s="6" t="str">
        <f>IF($A255="","",IF(COUNTIF('Base Exámenes'!$C$5:$C$1000, A255)&gt;0, "", TRIM('Base Oficial'!H255)))</f>
        <v/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11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11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10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22">
        <f>IF($A256="","",COUNTIF('Base Exámenes'!$C$5:$C$1000, A256))</f>
        <v>1</v>
      </c>
      <c r="M256" s="6" t="str">
        <f>IF($A256="","",IF(COUNTIF('Base Exámenes'!$C$5:$C$1000, A256)&gt;0, "", TRIM('Base Oficial'!H256)))</f>
        <v/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11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46310.538981481484</v>
      </c>
      <c r="H257" s="11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</v>
      </c>
      <c r="I257" s="10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22">
        <f>IF($A257="","",COUNTIF('Base Exámenes'!$C$5:$C$1000, A257))</f>
        <v>1</v>
      </c>
      <c r="M257" s="6" t="str">
        <f>IF($A257="","",IF(COUNTIF('Base Exámenes'!$C$5:$C$1000, A257)&gt;0, "", TRIM('Base Oficial'!H257)))</f>
        <v/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11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11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10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22">
        <f>IF($A258="","",COUNTIF('Base Exámenes'!$C$5:$C$1000, A258))</f>
        <v>1</v>
      </c>
      <c r="M258" s="6" t="str">
        <f>IF($A258="","",IF(COUNTIF('Base Exámenes'!$C$5:$C$1000, A258)&gt;0, "", TRIM('Base Oficial'!H258)))</f>
        <v/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11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11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10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22">
        <f>IF($A259="","",COUNTIF('Base Exámenes'!$C$5:$C$1000, A259))</f>
        <v>1</v>
      </c>
      <c r="M259" s="6" t="str">
        <f>IF($A259="","",IF(COUNTIF('Base Exámenes'!$C$5:$C$1000, A259)&gt;0, "", TRIM('Base Oficial'!H259)))</f>
        <v/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11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11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10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22">
        <f>IF($A260="","",COUNTIF('Base Exámenes'!$C$5:$C$1000, A260))</f>
        <v>1</v>
      </c>
      <c r="M260" s="6" t="str">
        <f>IF($A260="","",IF(COUNTIF('Base Exámenes'!$C$5:$C$1000, A260)&gt;0, "", TRIM('Base Oficial'!H260)))</f>
        <v/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11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11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10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22">
        <f>IF($A261="","",COUNTIF('Base Exámenes'!$C$5:$C$1000, A261))</f>
        <v>1</v>
      </c>
      <c r="M261" s="6" t="str">
        <f>IF($A261="","",IF(COUNTIF('Base Exámenes'!$C$5:$C$1000, A261)&gt;0, "", TRIM('Base Oficial'!H261)))</f>
        <v/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11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46310.513402777775</v>
      </c>
      <c r="H262" s="11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46310.516701388886</v>
      </c>
      <c r="I262" s="10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4.75000002071667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22">
        <f>IF($A262="","",COUNTIF('Base Exámenes'!$C$5:$C$1000, A262))</f>
        <v>1</v>
      </c>
      <c r="M262" s="6" t="str">
        <f>IF($A262="","",IF(COUNTIF('Base Exámenes'!$C$5:$C$1000, A262)&gt;0, "", TRIM('Base Oficial'!H262)))</f>
        <v/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11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11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46310.535219907404</v>
      </c>
      <c r="I263" s="10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2.85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22">
        <f>IF($A263="","",COUNTIF('Base Exámenes'!$C$5:$C$1000, A263))</f>
        <v>1</v>
      </c>
      <c r="M263" s="6" t="str">
        <f>IF($A263="","",IF(COUNTIF('Base Exámenes'!$C$5:$C$1000, A263)&gt;0, "", TRIM('Base Oficial'!H263)))</f>
        <v/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11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11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10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22">
        <f>IF($A264="","",COUNTIF('Base Exámenes'!$C$5:$C$1000, A264))</f>
        <v>1</v>
      </c>
      <c r="M264" s="6" t="str">
        <f>IF($A264="","",IF(COUNTIF('Base Exámenes'!$C$5:$C$1000, A264)&gt;0, "", TRIM('Base Oficial'!H264)))</f>
        <v/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11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11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10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22">
        <f>IF($A265="","",COUNTIF('Base Exámenes'!$C$5:$C$1000, A265))</f>
        <v>1</v>
      </c>
      <c r="M265" s="6" t="str">
        <f>IF($A265="","",IF(COUNTIF('Base Exámenes'!$C$5:$C$1000, A265)&gt;0, "", TRIM('Base Oficial'!H265)))</f>
        <v/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11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46310.52905092593</v>
      </c>
      <c r="H266" s="11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46310.531226851854</v>
      </c>
      <c r="I266" s="10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3.13333333333333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22">
        <f>IF($A266="","",COUNTIF('Base Exámenes'!$C$5:$C$1000, A266))</f>
        <v>1</v>
      </c>
      <c r="M266" s="6" t="str">
        <f>IF($A266="","",IF(COUNTIF('Base Exámenes'!$C$5:$C$1000, A266)&gt;0, "", TRIM('Base Oficial'!H266)))</f>
        <v/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11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11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10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22">
        <f>IF($A267="","",COUNTIF('Base Exámenes'!$C$5:$C$1000, A267))</f>
        <v>1</v>
      </c>
      <c r="M267" s="6" t="str">
        <f>IF($A267="","",IF(COUNTIF('Base Exámenes'!$C$5:$C$1000, A267)&gt;0, "", TRIM('Base Oficial'!H267)))</f>
        <v/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11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46310.52517361111</v>
      </c>
      <c r="H268" s="11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46310.52695601852</v>
      </c>
      <c r="I268" s="10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2.56666666666667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22">
        <f>IF($A268="","",COUNTIF('Base Exámenes'!$C$5:$C$1000, A268))</f>
        <v>1</v>
      </c>
      <c r="M268" s="6" t="str">
        <f>IF($A268="","",IF(COUNTIF('Base Exámenes'!$C$5:$C$1000, A268)&gt;0, "", TRIM('Base Oficial'!H268)))</f>
        <v/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11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46310.51609953704</v>
      </c>
      <c r="H269" s="11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10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6.65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22">
        <f>IF($A269="","",COUNTIF('Base Exámenes'!$C$5:$C$1000, A269))</f>
        <v>1</v>
      </c>
      <c r="M269" s="6" t="str">
        <f>IF($A269="","",IF(COUNTIF('Base Exámenes'!$C$5:$C$1000, A269)&gt;0, "", TRIM('Base Oficial'!H269)))</f>
        <v/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11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46310.542592592596</v>
      </c>
      <c r="H270" s="11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</v>
      </c>
      <c r="I270" s="10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4.25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22">
        <f>IF($A270="","",COUNTIF('Base Exámenes'!$C$5:$C$1000, A270))</f>
        <v>2</v>
      </c>
      <c r="M270" s="6" t="str">
        <f>IF($A270="","",IF(COUNTIF('Base Exámenes'!$C$5:$C$1000, A270)&gt;0, "", TRIM('Base Oficial'!H270)))</f>
        <v/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11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</v>
      </c>
      <c r="H271" s="11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</v>
      </c>
      <c r="I271" s="10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1.6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22">
        <f>IF($A271="","",COUNTIF('Base Exámenes'!$C$5:$C$1000, A271))</f>
        <v>1</v>
      </c>
      <c r="M271" s="6" t="str">
        <f>IF($A271="","",IF(COUNTIF('Base Exámenes'!$C$5:$C$1000, A271)&gt;0, "", TRIM('Base Oficial'!H271)))</f>
        <v/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Pendiente</v>
      </c>
      <c r="G272" s="11" t="str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/>
      </c>
      <c r="H272" s="11" t="str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/>
      </c>
      <c r="I272" s="10" t="str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/>
      </c>
      <c r="J272" s="6" t="str">
        <f>IF(F272="Completado", IF(COUNTIFS('Base Exámenes'!$C$5:$C$1000, A272, 'Base Exámenes'!$G$5:$G$1000, "&lt;&gt;")=0, "", _xlfn.MAXIFS('Base Exámenes'!$G$5:$G$1000, 'Base Exámenes'!$C$5:$C$1000, A272)), "")</f>
        <v/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/>
      </c>
      <c r="L272" s="22">
        <f>IF($A272="","",COUNTIF('Base Exámenes'!$C$5:$C$1000, A272))</f>
        <v>0</v>
      </c>
      <c r="M272" s="6" t="str">
        <f>IF($A272="","",IF(COUNTIF('Base Exámenes'!$C$5:$C$1000, A272)&gt;0, "", TRIM('Base Oficial'!H272)))</f>
        <v/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11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46310.643472222226</v>
      </c>
      <c r="H273" s="11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</v>
      </c>
      <c r="I273" s="10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3.51666666666667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22">
        <f>IF($A273="","",COUNTIF('Base Exámenes'!$C$5:$C$1000, A273))</f>
        <v>1</v>
      </c>
      <c r="M273" s="6" t="str">
        <f>IF($A273="","",IF(COUNTIF('Base Exámenes'!$C$5:$C$1000, A273)&gt;0, "", TRIM('Base Oficial'!H273)))</f>
        <v/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11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11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10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22">
        <f>IF($A274="","",COUNTIF('Base Exámenes'!$C$5:$C$1000, A274))</f>
        <v>1</v>
      </c>
      <c r="M274" s="6" t="str">
        <f>IF($A274="","",IF(COUNTIF('Base Exámenes'!$C$5:$C$1000, A274)&gt;0, "", TRIM('Base Oficial'!H274)))</f>
        <v/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11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11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10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22">
        <f>IF($A275="","",COUNTIF('Base Exámenes'!$C$5:$C$1000, A275))</f>
        <v>1</v>
      </c>
      <c r="M275" s="6" t="str">
        <f>IF($A275="","",IF(COUNTIF('Base Exámenes'!$C$5:$C$1000, A275)&gt;0, "", TRIM('Base Oficial'!H275)))</f>
        <v/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11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11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10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22">
        <f>IF($A276="","",COUNTIF('Base Exámenes'!$C$5:$C$1000, A276))</f>
        <v>1</v>
      </c>
      <c r="M276" s="6" t="str">
        <f>IF($A276="","",IF(COUNTIF('Base Exámenes'!$C$5:$C$1000, A276)&gt;0, "", TRIM('Base Oficial'!H276)))</f>
        <v/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11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11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10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22">
        <f>IF($A277="","",COUNTIF('Base Exámenes'!$C$5:$C$1000, A277))</f>
        <v>1</v>
      </c>
      <c r="M277" s="6" t="str">
        <f>IF($A277="","",IF(COUNTIF('Base Exámenes'!$C$5:$C$1000, A277)&gt;0, "", TRIM('Base Oficial'!H277)))</f>
        <v/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11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11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10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22">
        <f>IF($A278="","",COUNTIF('Base Exámenes'!$C$5:$C$1000, A278))</f>
        <v>1</v>
      </c>
      <c r="M278" s="6" t="str">
        <f>IF($A278="","",IF(COUNTIF('Base Exámenes'!$C$5:$C$1000, A278)&gt;0, "", TRIM('Base Oficial'!H278)))</f>
        <v/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11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11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10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22">
        <f>IF($A279="","",COUNTIF('Base Exámenes'!$C$5:$C$1000, A279))</f>
        <v>1</v>
      </c>
      <c r="M279" s="6" t="str">
        <f>IF($A279="","",IF(COUNTIF('Base Exámenes'!$C$5:$C$1000, A279)&gt;0, "", TRIM('Base Oficial'!H279)))</f>
        <v/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11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11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10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22">
        <f>IF($A280="","",COUNTIF('Base Exámenes'!$C$5:$C$1000, A280))</f>
        <v>1</v>
      </c>
      <c r="M280" s="6" t="str">
        <f>IF($A280="","",IF(COUNTIF('Base Exámenes'!$C$5:$C$1000, A280)&gt;0, "", TRIM('Base Oficial'!H280)))</f>
        <v/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11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11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10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22">
        <f>IF($A281="","",COUNTIF('Base Exámenes'!$C$5:$C$1000, A281))</f>
        <v>2</v>
      </c>
      <c r="M281" s="6" t="str">
        <f>IF($A281="","",IF(COUNTIF('Base Exámenes'!$C$5:$C$1000, A281)&gt;0, "", TRIM('Base Oficial'!H281)))</f>
        <v/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11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11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10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22">
        <f>IF($A282="","",COUNTIF('Base Exámenes'!$C$5:$C$1000, A282))</f>
        <v>1</v>
      </c>
      <c r="M282" s="6" t="str">
        <f>IF($A282="","",IF(COUNTIF('Base Exámenes'!$C$5:$C$1000, A282)&gt;0, "", TRIM('Base Oficial'!H282)))</f>
        <v/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11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11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10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22">
        <f>IF($A283="","",COUNTIF('Base Exámenes'!$C$5:$C$1000, A283))</f>
        <v>1</v>
      </c>
      <c r="M283" s="6" t="str">
        <f>IF($A283="","",IF(COUNTIF('Base Exámenes'!$C$5:$C$1000, A283)&gt;0, "", TRIM('Base Oficial'!H283)))</f>
        <v/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11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11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10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22">
        <f>IF($A284="","",COUNTIF('Base Exámenes'!$C$5:$C$1000, A284))</f>
        <v>1</v>
      </c>
      <c r="M284" s="6" t="str">
        <f>IF($A284="","",IF(COUNTIF('Base Exámenes'!$C$5:$C$1000, A284)&gt;0, "", TRIM('Base Oficial'!H284)))</f>
        <v/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11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11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10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22">
        <f>IF($A285="","",COUNTIF('Base Exámenes'!$C$5:$C$1000, A285))</f>
        <v>1</v>
      </c>
      <c r="M285" s="6" t="str">
        <f>IF($A285="","",IF(COUNTIF('Base Exámenes'!$C$5:$C$1000, A285)&gt;0, "", TRIM('Base Oficial'!H285)))</f>
        <v/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11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11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10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22">
        <f>IF($A286="","",COUNTIF('Base Exámenes'!$C$5:$C$1000, A286))</f>
        <v>1</v>
      </c>
      <c r="M286" s="6" t="str">
        <f>IF($A286="","",IF(COUNTIF('Base Exámenes'!$C$5:$C$1000, A286)&gt;0, "", TRIM('Base Oficial'!H286)))</f>
        <v/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11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11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10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22">
        <f>IF($A287="","",COUNTIF('Base Exámenes'!$C$5:$C$1000, A287))</f>
        <v>1</v>
      </c>
      <c r="M287" s="6" t="str">
        <f>IF($A287="","",IF(COUNTIF('Base Exámenes'!$C$5:$C$1000, A287)&gt;0, "", TRIM('Base Oficial'!H287)))</f>
        <v/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11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11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10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22">
        <f>IF($A288="","",COUNTIF('Base Exámenes'!$C$5:$C$1000, A288))</f>
        <v>1</v>
      </c>
      <c r="M288" s="6" t="str">
        <f>IF($A288="","",IF(COUNTIF('Base Exámenes'!$C$5:$C$1000, A288)&gt;0, "", TRIM('Base Oficial'!H288)))</f>
        <v/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11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11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10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22">
        <f>IF($A289="","",COUNTIF('Base Exámenes'!$C$5:$C$1000, A289))</f>
        <v>1</v>
      </c>
      <c r="M289" s="6" t="str">
        <f>IF($A289="","",IF(COUNTIF('Base Exámenes'!$C$5:$C$1000, A289)&gt;0, "", TRIM('Base Oficial'!H289)))</f>
        <v/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11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11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10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22">
        <f>IF($A290="","",COUNTIF('Base Exámenes'!$C$5:$C$1000, A290))</f>
        <v>1</v>
      </c>
      <c r="M290" s="6" t="str">
        <f>IF($A290="","",IF(COUNTIF('Base Exámenes'!$C$5:$C$1000, A290)&gt;0, "", TRIM('Base Oficial'!H290)))</f>
        <v/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11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11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10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22">
        <f>IF($A291="","",COUNTIF('Base Exámenes'!$C$5:$C$1000, A291))</f>
        <v>1</v>
      </c>
      <c r="M291" s="6" t="str">
        <f>IF($A291="","",IF(COUNTIF('Base Exámenes'!$C$5:$C$1000, A291)&gt;0, "", TRIM('Base Oficial'!H291)))</f>
        <v/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11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11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10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22">
        <f>IF($A292="","",COUNTIF('Base Exámenes'!$C$5:$C$1000, A292))</f>
        <v>1</v>
      </c>
      <c r="M292" s="6" t="str">
        <f>IF($A292="","",IF(COUNTIF('Base Exámenes'!$C$5:$C$1000, A292)&gt;0, "", TRIM('Base Oficial'!H292)))</f>
        <v/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11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11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10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22">
        <f>IF($A293="","",COUNTIF('Base Exámenes'!$C$5:$C$1000, A293))</f>
        <v>1</v>
      </c>
      <c r="M293" s="6" t="str">
        <f>IF($A293="","",IF(COUNTIF('Base Exámenes'!$C$5:$C$1000, A293)&gt;0, "", TRIM('Base Oficial'!H293)))</f>
        <v/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11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11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10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22">
        <f>IF($A294="","",COUNTIF('Base Exámenes'!$C$5:$C$1000, A294))</f>
        <v>1</v>
      </c>
      <c r="M294" s="6" t="str">
        <f>IF($A294="","",IF(COUNTIF('Base Exámenes'!$C$5:$C$1000, A294)&gt;0, "", TRIM('Base Oficial'!H294)))</f>
        <v/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11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11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10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22">
        <f>IF($A295="","",COUNTIF('Base Exámenes'!$C$5:$C$1000, A295))</f>
        <v>1</v>
      </c>
      <c r="M295" s="6" t="str">
        <f>IF($A295="","",IF(COUNTIF('Base Exámenes'!$C$5:$C$1000, A295)&gt;0, "", TRIM('Base Oficial'!H295)))</f>
        <v/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11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11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10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22">
        <f>IF($A296="","",COUNTIF('Base Exámenes'!$C$5:$C$1000, A296))</f>
        <v>1</v>
      </c>
      <c r="M296" s="6" t="str">
        <f>IF($A296="","",IF(COUNTIF('Base Exámenes'!$C$5:$C$1000, A296)&gt;0, "", TRIM('Base Oficial'!H296)))</f>
        <v/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11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11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10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22">
        <f>IF($A297="","",COUNTIF('Base Exámenes'!$C$5:$C$1000, A297))</f>
        <v>1</v>
      </c>
      <c r="M297" s="6" t="str">
        <f>IF($A297="","",IF(COUNTIF('Base Exámenes'!$C$5:$C$1000, A297)&gt;0, "", TRIM('Base Oficial'!H297)))</f>
        <v/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11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11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10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22" t="str">
        <f>IF($A298="","",COUNTIF('Base Exámenes'!$C$5:$C$1000, A298))</f>
        <v/>
      </c>
      <c r="M298" s="6" t="str">
        <f>IF($A298="","",IF(COUNTIF('Base Exámenes'!$C$5:$C$1000, A298)&gt;0, "", TRIM('Base Oficial'!H298)))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11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11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10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22" t="str">
        <f>IF($A299="","",COUNTIF('Base Exámenes'!$C$5:$C$1000, A299))</f>
        <v/>
      </c>
      <c r="M299" s="6" t="str">
        <f>IF($A299="","",IF(COUNTIF('Base Exámenes'!$C$5:$C$1000, A299)&gt;0, "", TRIM('Base Oficial'!H299)))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11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11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10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22" t="str">
        <f>IF($A300="","",COUNTIF('Base Exámenes'!$C$5:$C$1000, A300))</f>
        <v/>
      </c>
      <c r="M300" s="6" t="str">
        <f>IF($A300="","",IF(COUNTIF('Base Exámenes'!$C$5:$C$1000, A300)&gt;0, "", TRIM('Base Oficial'!H300)))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11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11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10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22" t="str">
        <f>IF($A301="","",COUNTIF('Base Exámenes'!$C$5:$C$1000, A301))</f>
        <v/>
      </c>
      <c r="M301" s="6" t="str">
        <f>IF($A301="","",IF(COUNTIF('Base Exámenes'!$C$5:$C$1000, A301)&gt;0, "", TRIM('Base Oficial'!H301)))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11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11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10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22" t="str">
        <f>IF($A302="","",COUNTIF('Base Exámenes'!$C$5:$C$1000, A302))</f>
        <v/>
      </c>
      <c r="M302" s="6" t="str">
        <f>IF($A302="","",IF(COUNTIF('Base Exámenes'!$C$5:$C$1000, A302)&gt;0, "", TRIM('Base Oficial'!H302)))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11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11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10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22" t="str">
        <f>IF($A303="","",COUNTIF('Base Exámenes'!$C$5:$C$1000, A303))</f>
        <v/>
      </c>
      <c r="M303" s="6" t="str">
        <f>IF($A303="","",IF(COUNTIF('Base Exámenes'!$C$5:$C$1000, A303)&gt;0, "", TRIM('Base Oficial'!H303)))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11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11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10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22" t="str">
        <f>IF($A304="","",COUNTIF('Base Exámenes'!$C$5:$C$1000, A304))</f>
        <v/>
      </c>
      <c r="M304" s="6" t="str">
        <f>IF($A304="","",IF(COUNTIF('Base Exámenes'!$C$5:$C$1000, A304)&gt;0, "", TRIM('Base Oficial'!H304)))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11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11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10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22" t="str">
        <f>IF($A305="","",COUNTIF('Base Exámenes'!$C$5:$C$1000, A305))</f>
        <v/>
      </c>
      <c r="M305" s="6" t="str">
        <f>IF($A305="","",IF(COUNTIF('Base Exámenes'!$C$5:$C$1000, A305)&gt;0, "", TRIM('Base Oficial'!H305)))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11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11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10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22" t="str">
        <f>IF($A306="","",COUNTIF('Base Exámenes'!$C$5:$C$1000, A306))</f>
        <v/>
      </c>
      <c r="M306" s="6" t="str">
        <f>IF($A306="","",IF(COUNTIF('Base Exámenes'!$C$5:$C$1000, A306)&gt;0, "", TRIM('Base Oficial'!H306)))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11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11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10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22" t="str">
        <f>IF($A307="","",COUNTIF('Base Exámenes'!$C$5:$C$1000, A307))</f>
        <v/>
      </c>
      <c r="M307" s="6" t="str">
        <f>IF($A307="","",IF(COUNTIF('Base Exámenes'!$C$5:$C$1000, A307)&gt;0, "", TRIM('Base Oficial'!H307)))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11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11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10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22" t="str">
        <f>IF($A308="","",COUNTIF('Base Exámenes'!$C$5:$C$1000, A308))</f>
        <v/>
      </c>
      <c r="M308" s="6" t="str">
        <f>IF($A308="","",IF(COUNTIF('Base Exámenes'!$C$5:$C$1000, A308)&gt;0, "", TRIM('Base Oficial'!H308)))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11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11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10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22" t="str">
        <f>IF($A309="","",COUNTIF('Base Exámenes'!$C$5:$C$1000, A309))</f>
        <v/>
      </c>
      <c r="M309" s="6" t="str">
        <f>IF($A309="","",IF(COUNTIF('Base Exámenes'!$C$5:$C$1000, A309)&gt;0, "", TRIM('Base Oficial'!H309)))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11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11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10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22" t="str">
        <f>IF($A310="","",COUNTIF('Base Exámenes'!$C$5:$C$1000, A310))</f>
        <v/>
      </c>
      <c r="M310" s="6" t="str">
        <f>IF($A310="","",IF(COUNTIF('Base Exámenes'!$C$5:$C$1000, A310)&gt;0, "", TRIM('Base Oficial'!H310)))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11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11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10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22" t="str">
        <f>IF($A311="","",COUNTIF('Base Exámenes'!$C$5:$C$1000, A311))</f>
        <v/>
      </c>
      <c r="M311" s="6" t="str">
        <f>IF($A311="","",IF(COUNTIF('Base Exámenes'!$C$5:$C$1000, A311)&gt;0, "", TRIM('Base Oficial'!H311)))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11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11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10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22" t="str">
        <f>IF($A312="","",COUNTIF('Base Exámenes'!$C$5:$C$1000, A312))</f>
        <v/>
      </c>
      <c r="M312" s="6" t="str">
        <f>IF($A312="","",IF(COUNTIF('Base Exámenes'!$C$5:$C$1000, A312)&gt;0, "", TRIM('Base Oficial'!H312)))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11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11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10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22" t="str">
        <f>IF($A313="","",COUNTIF('Base Exámenes'!$C$5:$C$1000, A313))</f>
        <v/>
      </c>
      <c r="M313" s="6" t="str">
        <f>IF($A313="","",IF(COUNTIF('Base Exámenes'!$C$5:$C$1000, A313)&gt;0, "", TRIM('Base Oficial'!H313)))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11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11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10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22" t="str">
        <f>IF($A314="","",COUNTIF('Base Exámenes'!$C$5:$C$1000, A314))</f>
        <v/>
      </c>
      <c r="M314" s="6" t="str">
        <f>IF($A314="","",IF(COUNTIF('Base Exámenes'!$C$5:$C$1000, A314)&gt;0, "", TRIM('Base Oficial'!H314)))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11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11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10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22" t="str">
        <f>IF($A315="","",COUNTIF('Base Exámenes'!$C$5:$C$1000, A315))</f>
        <v/>
      </c>
      <c r="M315" s="6" t="str">
        <f>IF($A315="","",IF(COUNTIF('Base Exámenes'!$C$5:$C$1000, A315)&gt;0, "", TRIM('Base Oficial'!H315)))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11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11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10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22" t="str">
        <f>IF($A316="","",COUNTIF('Base Exámenes'!$C$5:$C$1000, A316))</f>
        <v/>
      </c>
      <c r="M316" s="6" t="str">
        <f>IF($A316="","",IF(COUNTIF('Base Exámenes'!$C$5:$C$1000, A316)&gt;0, "", TRIM('Base Oficial'!H316)))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11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11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10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22" t="str">
        <f>IF($A317="","",COUNTIF('Base Exámenes'!$C$5:$C$1000, A317))</f>
        <v/>
      </c>
      <c r="M317" s="6" t="str">
        <f>IF($A317="","",IF(COUNTIF('Base Exámenes'!$C$5:$C$1000, A317)&gt;0, "", TRIM('Base Oficial'!H317)))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11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11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10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22" t="str">
        <f>IF($A318="","",COUNTIF('Base Exámenes'!$C$5:$C$1000, A318))</f>
        <v/>
      </c>
      <c r="M318" s="6" t="str">
        <f>IF($A318="","",IF(COUNTIF('Base Exámenes'!$C$5:$C$1000, A318)&gt;0, "", TRIM('Base Oficial'!H318)))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11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11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10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22" t="str">
        <f>IF($A319="","",COUNTIF('Base Exámenes'!$C$5:$C$1000, A319))</f>
        <v/>
      </c>
      <c r="M319" s="6" t="str">
        <f>IF($A319="","",IF(COUNTIF('Base Exámenes'!$C$5:$C$1000, A319)&gt;0, "", TRIM('Base Oficial'!H319)))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11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11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10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22" t="str">
        <f>IF($A320="","",COUNTIF('Base Exámenes'!$C$5:$C$1000, A320))</f>
        <v/>
      </c>
      <c r="M320" s="6" t="str">
        <f>IF($A320="","",IF(COUNTIF('Base Exámenes'!$C$5:$C$1000, A320)&gt;0, "", TRIM('Base Oficial'!H320)))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11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11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10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22" t="str">
        <f>IF($A321="","",COUNTIF('Base Exámenes'!$C$5:$C$1000, A321))</f>
        <v/>
      </c>
      <c r="M321" s="6" t="str">
        <f>IF($A321="","",IF(COUNTIF('Base Exámenes'!$C$5:$C$1000, A321)&gt;0, "", TRIM('Base Oficial'!H321)))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11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11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10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22" t="str">
        <f>IF($A322="","",COUNTIF('Base Exámenes'!$C$5:$C$1000, A322))</f>
        <v/>
      </c>
      <c r="M322" s="6" t="str">
        <f>IF($A322="","",IF(COUNTIF('Base Exámenes'!$C$5:$C$1000, A322)&gt;0, "", TRIM('Base Oficial'!H322)))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11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11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10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22" t="str">
        <f>IF($A323="","",COUNTIF('Base Exámenes'!$C$5:$C$1000, A323))</f>
        <v/>
      </c>
      <c r="M323" s="6" t="str">
        <f>IF($A323="","",IF(COUNTIF('Base Exámenes'!$C$5:$C$1000, A323)&gt;0, "", TRIM('Base Oficial'!H323)))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11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11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10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22" t="str">
        <f>IF($A324="","",COUNTIF('Base Exámenes'!$C$5:$C$1000, A324))</f>
        <v/>
      </c>
      <c r="M324" s="6" t="str">
        <f>IF($A324="","",IF(COUNTIF('Base Exámenes'!$C$5:$C$1000, A324)&gt;0, "", TRIM('Base Oficial'!H324)))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11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11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10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22" t="str">
        <f>IF($A325="","",COUNTIF('Base Exámenes'!$C$5:$C$1000, A325))</f>
        <v/>
      </c>
      <c r="M325" s="6" t="str">
        <f>IF($A325="","",IF(COUNTIF('Base Exámenes'!$C$5:$C$1000, A325)&gt;0, "", TRIM('Base Oficial'!H325)))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11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11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10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22" t="str">
        <f>IF($A326="","",COUNTIF('Base Exámenes'!$C$5:$C$1000, A326))</f>
        <v/>
      </c>
      <c r="M326" s="6" t="str">
        <f>IF($A326="","",IF(COUNTIF('Base Exámenes'!$C$5:$C$1000, A326)&gt;0, "", TRIM('Base Oficial'!H326)))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11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11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10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22" t="str">
        <f>IF($A327="","",COUNTIF('Base Exámenes'!$C$5:$C$1000, A327))</f>
        <v/>
      </c>
      <c r="M327" s="6" t="str">
        <f>IF($A327="","",IF(COUNTIF('Base Exámenes'!$C$5:$C$1000, A327)&gt;0, "", TRIM('Base Oficial'!H327)))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11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11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10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22" t="str">
        <f>IF($A328="","",COUNTIF('Base Exámenes'!$C$5:$C$1000, A328))</f>
        <v/>
      </c>
      <c r="M328" s="6" t="str">
        <f>IF($A328="","",IF(COUNTIF('Base Exámenes'!$C$5:$C$1000, A328)&gt;0, "", TRIM('Base Oficial'!H328)))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11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11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10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22" t="str">
        <f>IF($A329="","",COUNTIF('Base Exámenes'!$C$5:$C$1000, A329))</f>
        <v/>
      </c>
      <c r="M329" s="6" t="str">
        <f>IF($A329="","",IF(COUNTIF('Base Exámenes'!$C$5:$C$1000, A329)&gt;0, "", TRIM('Base Oficial'!H329)))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11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11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10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22" t="str">
        <f>IF($A330="","",COUNTIF('Base Exámenes'!$C$5:$C$1000, A330))</f>
        <v/>
      </c>
      <c r="M330" s="6" t="str">
        <f>IF($A330="","",IF(COUNTIF('Base Exámenes'!$C$5:$C$1000, A330)&gt;0, "", TRIM('Base Oficial'!H330)))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11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11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10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22" t="str">
        <f>IF($A331="","",COUNTIF('Base Exámenes'!$C$5:$C$1000, A331))</f>
        <v/>
      </c>
      <c r="M331" s="6" t="str">
        <f>IF($A331="","",IF(COUNTIF('Base Exámenes'!$C$5:$C$1000, A331)&gt;0, "", TRIM('Base Oficial'!H331)))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11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11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10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22" t="str">
        <f>IF($A332="","",COUNTIF('Base Exámenes'!$C$5:$C$1000, A332))</f>
        <v/>
      </c>
      <c r="M332" s="6" t="str">
        <f>IF($A332="","",IF(COUNTIF('Base Exámenes'!$C$5:$C$1000, A332)&gt;0, "", TRIM('Base Oficial'!H332)))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11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11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10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22" t="str">
        <f>IF($A333="","",COUNTIF('Base Exámenes'!$C$5:$C$1000, A333))</f>
        <v/>
      </c>
      <c r="M333" s="6" t="str">
        <f>IF($A333="","",IF(COUNTIF('Base Exámenes'!$C$5:$C$1000, A333)&gt;0, "", TRIM('Base Oficial'!H333)))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11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11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10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22" t="str">
        <f>IF($A334="","",COUNTIF('Base Exámenes'!$C$5:$C$1000, A334))</f>
        <v/>
      </c>
      <c r="M334" s="6" t="str">
        <f>IF($A334="","",IF(COUNTIF('Base Exámenes'!$C$5:$C$1000, A334)&gt;0, "", TRIM('Base Oficial'!H334)))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11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11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10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22" t="str">
        <f>IF($A335="","",COUNTIF('Base Exámenes'!$C$5:$C$1000, A335))</f>
        <v/>
      </c>
      <c r="M335" s="6" t="str">
        <f>IF($A335="","",IF(COUNTIF('Base Exámenes'!$C$5:$C$1000, A335)&gt;0, "", TRIM('Base Oficial'!H335)))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11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11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10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22" t="str">
        <f>IF($A336="","",COUNTIF('Base Exámenes'!$C$5:$C$1000, A336))</f>
        <v/>
      </c>
      <c r="M336" s="6" t="str">
        <f>IF($A336="","",IF(COUNTIF('Base Exámenes'!$C$5:$C$1000, A336)&gt;0, "", TRIM('Base Oficial'!H336)))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11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11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10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22" t="str">
        <f>IF($A337="","",COUNTIF('Base Exámenes'!$C$5:$C$1000, A337))</f>
        <v/>
      </c>
      <c r="M337" s="6" t="str">
        <f>IF($A337="","",IF(COUNTIF('Base Exámenes'!$C$5:$C$1000, A337)&gt;0, "", TRIM('Base Oficial'!H337)))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11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11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10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22" t="str">
        <f>IF($A338="","",COUNTIF('Base Exámenes'!$C$5:$C$1000, A338))</f>
        <v/>
      </c>
      <c r="M338" s="6" t="str">
        <f>IF($A338="","",IF(COUNTIF('Base Exámenes'!$C$5:$C$1000, A338)&gt;0, "", TRIM('Base Oficial'!H338)))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11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11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10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22" t="str">
        <f>IF($A339="","",COUNTIF('Base Exámenes'!$C$5:$C$1000, A339))</f>
        <v/>
      </c>
      <c r="M339" s="6" t="str">
        <f>IF($A339="","",IF(COUNTIF('Base Exámenes'!$C$5:$C$1000, A339)&gt;0, "", TRIM('Base Oficial'!H339)))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11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11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10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22" t="str">
        <f>IF($A340="","",COUNTIF('Base Exámenes'!$C$5:$C$1000, A340))</f>
        <v/>
      </c>
      <c r="M340" s="6" t="str">
        <f>IF($A340="","",IF(COUNTIF('Base Exámenes'!$C$5:$C$1000, A340)&gt;0, "", TRIM('Base Oficial'!H340)))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11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11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10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22" t="str">
        <f>IF($A341="","",COUNTIF('Base Exámenes'!$C$5:$C$1000, A341))</f>
        <v/>
      </c>
      <c r="M341" s="6" t="str">
        <f>IF($A341="","",IF(COUNTIF('Base Exámenes'!$C$5:$C$1000, A341)&gt;0, "", TRIM('Base Oficial'!H341)))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11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11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10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22" t="str">
        <f>IF($A342="","",COUNTIF('Base Exámenes'!$C$5:$C$1000, A342))</f>
        <v/>
      </c>
      <c r="M342" s="6" t="str">
        <f>IF($A342="","",IF(COUNTIF('Base Exámenes'!$C$5:$C$1000, A342)&gt;0, "", TRIM('Base Oficial'!H342)))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11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11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10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22" t="str">
        <f>IF($A343="","",COUNTIF('Base Exámenes'!$C$5:$C$1000, A343))</f>
        <v/>
      </c>
      <c r="M343" s="6" t="str">
        <f>IF($A343="","",IF(COUNTIF('Base Exámenes'!$C$5:$C$1000, A343)&gt;0, "", TRIM('Base Oficial'!H343)))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11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11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10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22" t="str">
        <f>IF($A344="","",COUNTIF('Base Exámenes'!$C$5:$C$1000, A344))</f>
        <v/>
      </c>
      <c r="M344" s="6" t="str">
        <f>IF($A344="","",IF(COUNTIF('Base Exámenes'!$C$5:$C$1000, A344)&gt;0, "", TRIM('Base Oficial'!H344)))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11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11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10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22" t="str">
        <f>IF($A345="","",COUNTIF('Base Exámenes'!$C$5:$C$1000, A345))</f>
        <v/>
      </c>
      <c r="M345" s="6" t="str">
        <f>IF($A345="","",IF(COUNTIF('Base Exámenes'!$C$5:$C$1000, A345)&gt;0, "", TRIM('Base Oficial'!H345)))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11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11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10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22" t="str">
        <f>IF($A346="","",COUNTIF('Base Exámenes'!$C$5:$C$1000, A346))</f>
        <v/>
      </c>
      <c r="M346" s="6" t="str">
        <f>IF($A346="","",IF(COUNTIF('Base Exámenes'!$C$5:$C$1000, A346)&gt;0, "", TRIM('Base Oficial'!H346)))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11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11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10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22" t="str">
        <f>IF($A347="","",COUNTIF('Base Exámenes'!$C$5:$C$1000, A347))</f>
        <v/>
      </c>
      <c r="M347" s="6" t="str">
        <f>IF($A347="","",IF(COUNTIF('Base Exámenes'!$C$5:$C$1000, A347)&gt;0, "", TRIM('Base Oficial'!H347)))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11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11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10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22" t="str">
        <f>IF($A348="","",COUNTIF('Base Exámenes'!$C$5:$C$1000, A348))</f>
        <v/>
      </c>
      <c r="M348" s="6" t="str">
        <f>IF($A348="","",IF(COUNTIF('Base Exámenes'!$C$5:$C$1000, A348)&gt;0, "", TRIM('Base Oficial'!H348)))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11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11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10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22" t="str">
        <f>IF($A349="","",COUNTIF('Base Exámenes'!$C$5:$C$1000, A349))</f>
        <v/>
      </c>
      <c r="M349" s="6" t="str">
        <f>IF($A349="","",IF(COUNTIF('Base Exámenes'!$C$5:$C$1000, A349)&gt;0, "", TRIM('Base Oficial'!H349)))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11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11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10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22" t="str">
        <f>IF($A350="","",COUNTIF('Base Exámenes'!$C$5:$C$1000, A350))</f>
        <v/>
      </c>
      <c r="M350" s="6" t="str">
        <f>IF($A350="","",IF(COUNTIF('Base Exámenes'!$C$5:$C$1000, A350)&gt;0, "", TRIM('Base Oficial'!H350)))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11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11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10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22" t="str">
        <f>IF($A351="","",COUNTIF('Base Exámenes'!$C$5:$C$1000, A351))</f>
        <v/>
      </c>
      <c r="M351" s="6" t="str">
        <f>IF($A351="","",IF(COUNTIF('Base Exámenes'!$C$5:$C$1000, A351)&gt;0, "", TRIM('Base Oficial'!H351)))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11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11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10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22" t="str">
        <f>IF($A352="","",COUNTIF('Base Exámenes'!$C$5:$C$1000, A352))</f>
        <v/>
      </c>
      <c r="M352" s="6" t="str">
        <f>IF($A352="","",IF(COUNTIF('Base Exámenes'!$C$5:$C$1000, A352)&gt;0, "", TRIM('Base Oficial'!H352)))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11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11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10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22" t="str">
        <f>IF($A353="","",COUNTIF('Base Exámenes'!$C$5:$C$1000, A353))</f>
        <v/>
      </c>
      <c r="M353" s="6" t="str">
        <f>IF($A353="","",IF(COUNTIF('Base Exámenes'!$C$5:$C$1000, A353)&gt;0, "", TRIM('Base Oficial'!H353)))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11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11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10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22" t="str">
        <f>IF($A354="","",COUNTIF('Base Exámenes'!$C$5:$C$1000, A354))</f>
        <v/>
      </c>
      <c r="M354" s="6" t="str">
        <f>IF($A354="","",IF(COUNTIF('Base Exámenes'!$C$5:$C$1000, A354)&gt;0, "", TRIM('Base Oficial'!H354)))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11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11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10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22" t="str">
        <f>IF($A355="","",COUNTIF('Base Exámenes'!$C$5:$C$1000, A355))</f>
        <v/>
      </c>
      <c r="M355" s="6" t="str">
        <f>IF($A355="","",IF(COUNTIF('Base Exámenes'!$C$5:$C$1000, A355)&gt;0, "", TRIM('Base Oficial'!H355)))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11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11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10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22" t="str">
        <f>IF($A356="","",COUNTIF('Base Exámenes'!$C$5:$C$1000, A356))</f>
        <v/>
      </c>
      <c r="M356" s="6" t="str">
        <f>IF($A356="","",IF(COUNTIF('Base Exámenes'!$C$5:$C$1000, A356)&gt;0, "", TRIM('Base Oficial'!H356)))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11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11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10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22" t="str">
        <f>IF($A357="","",COUNTIF('Base Exámenes'!$C$5:$C$1000, A357))</f>
        <v/>
      </c>
      <c r="M357" s="6" t="str">
        <f>IF($A357="","",IF(COUNTIF('Base Exámenes'!$C$5:$C$1000, A357)&gt;0, "", TRIM('Base Oficial'!H357)))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11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11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10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22" t="str">
        <f>IF($A358="","",COUNTIF('Base Exámenes'!$C$5:$C$1000, A358))</f>
        <v/>
      </c>
      <c r="M358" s="6" t="str">
        <f>IF($A358="","",IF(COUNTIF('Base Exámenes'!$C$5:$C$1000, A358)&gt;0, "", TRIM('Base Oficial'!H358)))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11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11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10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22" t="str">
        <f>IF($A359="","",COUNTIF('Base Exámenes'!$C$5:$C$1000, A359))</f>
        <v/>
      </c>
      <c r="M359" s="6" t="str">
        <f>IF($A359="","",IF(COUNTIF('Base Exámenes'!$C$5:$C$1000, A359)&gt;0, "", TRIM('Base Oficial'!H359)))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11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11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10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22" t="str">
        <f>IF($A360="","",COUNTIF('Base Exámenes'!$C$5:$C$1000, A360))</f>
        <v/>
      </c>
      <c r="M360" s="6" t="str">
        <f>IF($A360="","",IF(COUNTIF('Base Exámenes'!$C$5:$C$1000, A360)&gt;0, "", TRIM('Base Oficial'!H360)))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11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11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10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22" t="str">
        <f>IF($A361="","",COUNTIF('Base Exámenes'!$C$5:$C$1000, A361))</f>
        <v/>
      </c>
      <c r="M361" s="6" t="str">
        <f>IF($A361="","",IF(COUNTIF('Base Exámenes'!$C$5:$C$1000, A361)&gt;0, "", TRIM('Base Oficial'!H361)))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11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11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10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22" t="str">
        <f>IF($A362="","",COUNTIF('Base Exámenes'!$C$5:$C$1000, A362))</f>
        <v/>
      </c>
      <c r="M362" s="6" t="str">
        <f>IF($A362="","",IF(COUNTIF('Base Exámenes'!$C$5:$C$1000, A362)&gt;0, "", TRIM('Base Oficial'!H362)))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11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11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10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22" t="str">
        <f>IF($A363="","",COUNTIF('Base Exámenes'!$C$5:$C$1000, A363))</f>
        <v/>
      </c>
      <c r="M363" s="6" t="str">
        <f>IF($A363="","",IF(COUNTIF('Base Exámenes'!$C$5:$C$1000, A363)&gt;0, "", TRIM('Base Oficial'!H363)))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11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11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10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22" t="str">
        <f>IF($A364="","",COUNTIF('Base Exámenes'!$C$5:$C$1000, A364))</f>
        <v/>
      </c>
      <c r="M364" s="6" t="str">
        <f>IF($A364="","",IF(COUNTIF('Base Exámenes'!$C$5:$C$1000, A364)&gt;0, "", TRIM('Base Oficial'!H364)))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11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11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10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22" t="str">
        <f>IF($A365="","",COUNTIF('Base Exámenes'!$C$5:$C$1000, A365))</f>
        <v/>
      </c>
      <c r="M365" s="6" t="str">
        <f>IF($A365="","",IF(COUNTIF('Base Exámenes'!$C$5:$C$1000, A365)&gt;0, "", TRIM('Base Oficial'!H365)))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11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11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10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22" t="str">
        <f>IF($A366="","",COUNTIF('Base Exámenes'!$C$5:$C$1000, A366))</f>
        <v/>
      </c>
      <c r="M366" s="6" t="str">
        <f>IF($A366="","",IF(COUNTIF('Base Exámenes'!$C$5:$C$1000, A366)&gt;0, "", TRIM('Base Oficial'!H366)))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11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11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10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22" t="str">
        <f>IF($A367="","",COUNTIF('Base Exámenes'!$C$5:$C$1000, A367))</f>
        <v/>
      </c>
      <c r="M367" s="6" t="str">
        <f>IF($A367="","",IF(COUNTIF('Base Exámenes'!$C$5:$C$1000, A367)&gt;0, "", TRIM('Base Oficial'!H367)))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11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11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10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22" t="str">
        <f>IF($A368="","",COUNTIF('Base Exámenes'!$C$5:$C$1000, A368))</f>
        <v/>
      </c>
      <c r="M368" s="6" t="str">
        <f>IF($A368="","",IF(COUNTIF('Base Exámenes'!$C$5:$C$1000, A368)&gt;0, "", TRIM('Base Oficial'!H368)))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11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11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10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22" t="str">
        <f>IF($A369="","",COUNTIF('Base Exámenes'!$C$5:$C$1000, A369))</f>
        <v/>
      </c>
      <c r="M369" s="6" t="str">
        <f>IF($A369="","",IF(COUNTIF('Base Exámenes'!$C$5:$C$1000, A369)&gt;0, "", TRIM('Base Oficial'!H369)))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11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11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10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22" t="str">
        <f>IF($A370="","",COUNTIF('Base Exámenes'!$C$5:$C$1000, A370))</f>
        <v/>
      </c>
      <c r="M370" s="6" t="str">
        <f>IF($A370="","",IF(COUNTIF('Base Exámenes'!$C$5:$C$1000, A370)&gt;0, "", TRIM('Base Oficial'!H370)))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11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11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10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22" t="str">
        <f>IF($A371="","",COUNTIF('Base Exámenes'!$C$5:$C$1000, A371))</f>
        <v/>
      </c>
      <c r="M371" s="6" t="str">
        <f>IF($A371="","",IF(COUNTIF('Base Exámenes'!$C$5:$C$1000, A371)&gt;0, "", TRIM('Base Oficial'!H371)))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11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11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10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22" t="str">
        <f>IF($A372="","",COUNTIF('Base Exámenes'!$C$5:$C$1000, A372))</f>
        <v/>
      </c>
      <c r="M372" s="6" t="str">
        <f>IF($A372="","",IF(COUNTIF('Base Exámenes'!$C$5:$C$1000, A372)&gt;0, "", TRIM('Base Oficial'!H372)))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11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11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10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22" t="str">
        <f>IF($A373="","",COUNTIF('Base Exámenes'!$C$5:$C$1000, A373))</f>
        <v/>
      </c>
      <c r="M373" s="6" t="str">
        <f>IF($A373="","",IF(COUNTIF('Base Exámenes'!$C$5:$C$1000, A373)&gt;0, "", TRIM('Base Oficial'!H373)))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11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11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10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22" t="str">
        <f>IF($A374="","",COUNTIF('Base Exámenes'!$C$5:$C$1000, A374))</f>
        <v/>
      </c>
      <c r="M374" s="6" t="str">
        <f>IF($A374="","",IF(COUNTIF('Base Exámenes'!$C$5:$C$1000, A374)&gt;0, "", TRIM('Base Oficial'!H374)))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11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11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10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22" t="str">
        <f>IF($A375="","",COUNTIF('Base Exámenes'!$C$5:$C$1000, A375))</f>
        <v/>
      </c>
      <c r="M375" s="6" t="str">
        <f>IF($A375="","",IF(COUNTIF('Base Exámenes'!$C$5:$C$1000, A375)&gt;0, "", TRIM('Base Oficial'!H375)))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11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11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10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22" t="str">
        <f>IF($A376="","",COUNTIF('Base Exámenes'!$C$5:$C$1000, A376))</f>
        <v/>
      </c>
      <c r="M376" s="6" t="str">
        <f>IF($A376="","",IF(COUNTIF('Base Exámenes'!$C$5:$C$1000, A376)&gt;0, "", TRIM('Base Oficial'!H376)))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11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11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10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22" t="str">
        <f>IF($A377="","",COUNTIF('Base Exámenes'!$C$5:$C$1000, A377))</f>
        <v/>
      </c>
      <c r="M377" s="6" t="str">
        <f>IF($A377="","",IF(COUNTIF('Base Exámenes'!$C$5:$C$1000, A377)&gt;0, "", TRIM('Base Oficial'!H377)))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11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11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10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22" t="str">
        <f>IF($A378="","",COUNTIF('Base Exámenes'!$C$5:$C$1000, A378))</f>
        <v/>
      </c>
      <c r="M378" s="6" t="str">
        <f>IF($A378="","",IF(COUNTIF('Base Exámenes'!$C$5:$C$1000, A378)&gt;0, "", TRIM('Base Oficial'!H378)))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11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11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10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22" t="str">
        <f>IF($A379="","",COUNTIF('Base Exámenes'!$C$5:$C$1000, A379))</f>
        <v/>
      </c>
      <c r="M379" s="6" t="str">
        <f>IF($A379="","",IF(COUNTIF('Base Exámenes'!$C$5:$C$1000, A379)&gt;0, "", TRIM('Base Oficial'!H379)))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11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11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10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22" t="str">
        <f>IF($A380="","",COUNTIF('Base Exámenes'!$C$5:$C$1000, A380))</f>
        <v/>
      </c>
      <c r="M380" s="6" t="str">
        <f>IF($A380="","",IF(COUNTIF('Base Exámenes'!$C$5:$C$1000, A380)&gt;0, "", TRIM('Base Oficial'!H380)))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11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11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10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22" t="str">
        <f>IF($A381="","",COUNTIF('Base Exámenes'!$C$5:$C$1000, A381))</f>
        <v/>
      </c>
      <c r="M381" s="6" t="str">
        <f>IF($A381="","",IF(COUNTIF('Base Exámenes'!$C$5:$C$1000, A381)&gt;0, "", TRIM('Base Oficial'!H381)))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11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11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10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22" t="str">
        <f>IF($A382="","",COUNTIF('Base Exámenes'!$C$5:$C$1000, A382))</f>
        <v/>
      </c>
      <c r="M382" s="6" t="str">
        <f>IF($A382="","",IF(COUNTIF('Base Exámenes'!$C$5:$C$1000, A382)&gt;0, "", TRIM('Base Oficial'!H382)))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11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11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10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22" t="str">
        <f>IF($A383="","",COUNTIF('Base Exámenes'!$C$5:$C$1000, A383))</f>
        <v/>
      </c>
      <c r="M383" s="6" t="str">
        <f>IF($A383="","",IF(COUNTIF('Base Exámenes'!$C$5:$C$1000, A383)&gt;0, "", TRIM('Base Oficial'!H383)))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11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11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10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22" t="str">
        <f>IF($A384="","",COUNTIF('Base Exámenes'!$C$5:$C$1000, A384))</f>
        <v/>
      </c>
      <c r="M384" s="6" t="str">
        <f>IF($A384="","",IF(COUNTIF('Base Exámenes'!$C$5:$C$1000, A384)&gt;0, "", TRIM('Base Oficial'!H384)))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11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11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10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22" t="str">
        <f>IF($A385="","",COUNTIF('Base Exámenes'!$C$5:$C$1000, A385))</f>
        <v/>
      </c>
      <c r="M385" s="6" t="str">
        <f>IF($A385="","",IF(COUNTIF('Base Exámenes'!$C$5:$C$1000, A385)&gt;0, "", TRIM('Base Oficial'!H385)))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11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11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10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22" t="str">
        <f>IF($A386="","",COUNTIF('Base Exámenes'!$C$5:$C$1000, A386))</f>
        <v/>
      </c>
      <c r="M386" s="6" t="str">
        <f>IF($A386="","",IF(COUNTIF('Base Exámenes'!$C$5:$C$1000, A386)&gt;0, "", TRIM('Base Oficial'!H386)))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11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11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10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22" t="str">
        <f>IF($A387="","",COUNTIF('Base Exámenes'!$C$5:$C$1000, A387))</f>
        <v/>
      </c>
      <c r="M387" s="6" t="str">
        <f>IF($A387="","",IF(COUNTIF('Base Exámenes'!$C$5:$C$1000, A387)&gt;0, "", TRIM('Base Oficial'!H387)))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11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11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10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22" t="str">
        <f>IF($A388="","",COUNTIF('Base Exámenes'!$C$5:$C$1000, A388))</f>
        <v/>
      </c>
      <c r="M388" s="6" t="str">
        <f>IF($A388="","",IF(COUNTIF('Base Exámenes'!$C$5:$C$1000, A388)&gt;0, "", TRIM('Base Oficial'!H388)))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11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11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10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22" t="str">
        <f>IF($A389="","",COUNTIF('Base Exámenes'!$C$5:$C$1000, A389))</f>
        <v/>
      </c>
      <c r="M389" s="6" t="str">
        <f>IF($A389="","",IF(COUNTIF('Base Exámenes'!$C$5:$C$1000, A389)&gt;0, "", TRIM('Base Oficial'!H389)))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11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11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10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22" t="str">
        <f>IF($A390="","",COUNTIF('Base Exámenes'!$C$5:$C$1000, A390))</f>
        <v/>
      </c>
      <c r="M390" s="6" t="str">
        <f>IF($A390="","",IF(COUNTIF('Base Exámenes'!$C$5:$C$1000, A390)&gt;0, "", TRIM('Base Oficial'!H390)))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11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11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10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22" t="str">
        <f>IF($A391="","",COUNTIF('Base Exámenes'!$C$5:$C$1000, A391))</f>
        <v/>
      </c>
      <c r="M391" s="6" t="str">
        <f>IF($A391="","",IF(COUNTIF('Base Exámenes'!$C$5:$C$1000, A391)&gt;0, "", TRIM('Base Oficial'!H391)))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11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11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10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22" t="str">
        <f>IF($A392="","",COUNTIF('Base Exámenes'!$C$5:$C$1000, A392))</f>
        <v/>
      </c>
      <c r="M392" s="6" t="str">
        <f>IF($A392="","",IF(COUNTIF('Base Exámenes'!$C$5:$C$1000, A392)&gt;0, "", TRIM('Base Oficial'!H392)))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11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11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10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22" t="str">
        <f>IF($A393="","",COUNTIF('Base Exámenes'!$C$5:$C$1000, A393))</f>
        <v/>
      </c>
      <c r="M393" s="6" t="str">
        <f>IF($A393="","",IF(COUNTIF('Base Exámenes'!$C$5:$C$1000, A393)&gt;0, "", TRIM('Base Oficial'!H393)))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11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11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10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22" t="str">
        <f>IF($A394="","",COUNTIF('Base Exámenes'!$C$5:$C$1000, A394))</f>
        <v/>
      </c>
      <c r="M394" s="6" t="str">
        <f>IF($A394="","",IF(COUNTIF('Base Exámenes'!$C$5:$C$1000, A394)&gt;0, "", TRIM('Base Oficial'!H394)))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11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11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10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22" t="str">
        <f>IF($A395="","",COUNTIF('Base Exámenes'!$C$5:$C$1000, A395))</f>
        <v/>
      </c>
      <c r="M395" s="6" t="str">
        <f>IF($A395="","",IF(COUNTIF('Base Exámenes'!$C$5:$C$1000, A395)&gt;0, "", TRIM('Base Oficial'!H395)))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11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11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10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22" t="str">
        <f>IF($A396="","",COUNTIF('Base Exámenes'!$C$5:$C$1000, A396))</f>
        <v/>
      </c>
      <c r="M396" s="6" t="str">
        <f>IF($A396="","",IF(COUNTIF('Base Exámenes'!$C$5:$C$1000, A396)&gt;0, "", TRIM('Base Oficial'!H396)))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11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11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10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22" t="str">
        <f>IF($A397="","",COUNTIF('Base Exámenes'!$C$5:$C$1000, A397))</f>
        <v/>
      </c>
      <c r="M397" s="6" t="str">
        <f>IF($A397="","",IF(COUNTIF('Base Exámenes'!$C$5:$C$1000, A397)&gt;0, "", TRIM('Base Oficial'!H397)))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11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11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10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22" t="str">
        <f>IF($A398="","",COUNTIF('Base Exámenes'!$C$5:$C$1000, A398))</f>
        <v/>
      </c>
      <c r="M398" s="6" t="str">
        <f>IF($A398="","",IF(COUNTIF('Base Exámenes'!$C$5:$C$1000, A398)&gt;0, "", TRIM('Base Oficial'!H398)))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11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11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10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22" t="str">
        <f>IF($A399="","",COUNTIF('Base Exámenes'!$C$5:$C$1000, A399))</f>
        <v/>
      </c>
      <c r="M399" s="6" t="str">
        <f>IF($A399="","",IF(COUNTIF('Base Exámenes'!$C$5:$C$1000, A399)&gt;0, "", TRIM('Base Oficial'!H399)))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11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11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10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22" t="str">
        <f>IF($A400="","",COUNTIF('Base Exámenes'!$C$5:$C$1000, A400))</f>
        <v/>
      </c>
      <c r="M400" s="6" t="str">
        <f>IF($A400="","",IF(COUNTIF('Base Exámenes'!$C$5:$C$1000, A400)&gt;0, "", TRIM('Base Oficial'!H400)))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11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11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10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22" t="str">
        <f>IF($A401="","",COUNTIF('Base Exámenes'!$C$5:$C$1000, A401))</f>
        <v/>
      </c>
      <c r="M401" s="6" t="str">
        <f>IF($A401="","",IF(COUNTIF('Base Exámenes'!$C$5:$C$1000, A401)&gt;0, "", TRIM('Base Oficial'!H401)))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11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11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10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22" t="str">
        <f>IF($A402="","",COUNTIF('Base Exámenes'!$C$5:$C$1000, A402))</f>
        <v/>
      </c>
      <c r="M402" s="6" t="str">
        <f>IF($A402="","",IF(COUNTIF('Base Exámenes'!$C$5:$C$1000, A402)&gt;0, "", TRIM('Base Oficial'!H402)))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11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11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10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22" t="str">
        <f>IF($A403="","",COUNTIF('Base Exámenes'!$C$5:$C$1000, A403))</f>
        <v/>
      </c>
      <c r="M403" s="6" t="str">
        <f>IF($A403="","",IF(COUNTIF('Base Exámenes'!$C$5:$C$1000, A403)&gt;0, "", TRIM('Base Oficial'!H403)))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11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11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10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22" t="str">
        <f>IF($A404="","",COUNTIF('Base Exámenes'!$C$5:$C$1000, A404))</f>
        <v/>
      </c>
      <c r="M404" s="6" t="str">
        <f>IF($A404="","",IF(COUNTIF('Base Exámenes'!$C$5:$C$1000, A404)&gt;0, "", TRIM('Base Oficial'!H404)))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11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11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10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22" t="str">
        <f>IF($A405="","",COUNTIF('Base Exámenes'!$C$5:$C$1000, A405))</f>
        <v/>
      </c>
      <c r="M405" s="6" t="str">
        <f>IF($A405="","",IF(COUNTIF('Base Exámenes'!$C$5:$C$1000, A405)&gt;0, "", TRIM('Base Oficial'!H405)))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11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11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10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22" t="str">
        <f>IF($A406="","",COUNTIF('Base Exámenes'!$C$5:$C$1000, A406))</f>
        <v/>
      </c>
      <c r="M406" s="6" t="str">
        <f>IF($A406="","",IF(COUNTIF('Base Exámenes'!$C$5:$C$1000, A406)&gt;0, "", TRIM('Base Oficial'!H406)))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11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11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10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22" t="str">
        <f>IF($A407="","",COUNTIF('Base Exámenes'!$C$5:$C$1000, A407))</f>
        <v/>
      </c>
      <c r="M407" s="6" t="str">
        <f>IF($A407="","",IF(COUNTIF('Base Exámenes'!$C$5:$C$1000, A407)&gt;0, "", TRIM('Base Oficial'!H407)))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11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11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10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22" t="str">
        <f>IF($A408="","",COUNTIF('Base Exámenes'!$C$5:$C$1000, A408))</f>
        <v/>
      </c>
      <c r="M408" s="6" t="str">
        <f>IF($A408="","",IF(COUNTIF('Base Exámenes'!$C$5:$C$1000, A408)&gt;0, "", TRIM('Base Oficial'!H408)))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11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11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10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22" t="str">
        <f>IF($A409="","",COUNTIF('Base Exámenes'!$C$5:$C$1000, A409))</f>
        <v/>
      </c>
      <c r="M409" s="6" t="str">
        <f>IF($A409="","",IF(COUNTIF('Base Exámenes'!$C$5:$C$1000, A409)&gt;0, "", TRIM('Base Oficial'!H409)))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11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11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10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22" t="str">
        <f>IF($A410="","",COUNTIF('Base Exámenes'!$C$5:$C$1000, A410))</f>
        <v/>
      </c>
      <c r="M410" s="6" t="str">
        <f>IF($A410="","",IF(COUNTIF('Base Exámenes'!$C$5:$C$1000, A410)&gt;0, "", TRIM('Base Oficial'!H410)))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11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11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10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22" t="str">
        <f>IF($A411="","",COUNTIF('Base Exámenes'!$C$5:$C$1000, A411))</f>
        <v/>
      </c>
      <c r="M411" s="6" t="str">
        <f>IF($A411="","",IF(COUNTIF('Base Exámenes'!$C$5:$C$1000, A411)&gt;0, "", TRIM('Base Oficial'!H411)))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11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11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10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22" t="str">
        <f>IF($A412="","",COUNTIF('Base Exámenes'!$C$5:$C$1000, A412))</f>
        <v/>
      </c>
      <c r="M412" s="6" t="str">
        <f>IF($A412="","",IF(COUNTIF('Base Exámenes'!$C$5:$C$1000, A412)&gt;0, "", TRIM('Base Oficial'!H412)))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11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11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10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22" t="str">
        <f>IF($A413="","",COUNTIF('Base Exámenes'!$C$5:$C$1000, A413))</f>
        <v/>
      </c>
      <c r="M413" s="6" t="str">
        <f>IF($A413="","",IF(COUNTIF('Base Exámenes'!$C$5:$C$1000, A413)&gt;0, "", TRIM('Base Oficial'!H413)))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11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11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10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22" t="str">
        <f>IF($A414="","",COUNTIF('Base Exámenes'!$C$5:$C$1000, A414))</f>
        <v/>
      </c>
      <c r="M414" s="6" t="str">
        <f>IF($A414="","",IF(COUNTIF('Base Exámenes'!$C$5:$C$1000, A414)&gt;0, "", TRIM('Base Oficial'!H414)))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11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11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10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22" t="str">
        <f>IF($A415="","",COUNTIF('Base Exámenes'!$C$5:$C$1000, A415))</f>
        <v/>
      </c>
      <c r="M415" s="6" t="str">
        <f>IF($A415="","",IF(COUNTIF('Base Exámenes'!$C$5:$C$1000, A415)&gt;0, "", TRIM('Base Oficial'!H415)))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11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11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10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22" t="str">
        <f>IF($A416="","",COUNTIF('Base Exámenes'!$C$5:$C$1000, A416))</f>
        <v/>
      </c>
      <c r="M416" s="6" t="str">
        <f>IF($A416="","",IF(COUNTIF('Base Exámenes'!$C$5:$C$1000, A416)&gt;0, "", TRIM('Base Oficial'!H416)))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11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11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10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22" t="str">
        <f>IF($A417="","",COUNTIF('Base Exámenes'!$C$5:$C$1000, A417))</f>
        <v/>
      </c>
      <c r="M417" s="6" t="str">
        <f>IF($A417="","",IF(COUNTIF('Base Exámenes'!$C$5:$C$1000, A417)&gt;0, "", TRIM('Base Oficial'!H417)))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11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11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10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22" t="str">
        <f>IF($A418="","",COUNTIF('Base Exámenes'!$C$5:$C$1000, A418))</f>
        <v/>
      </c>
      <c r="M418" s="6" t="str">
        <f>IF($A418="","",IF(COUNTIF('Base Exámenes'!$C$5:$C$1000, A418)&gt;0, "", TRIM('Base Oficial'!H418)))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11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11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10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22" t="str">
        <f>IF($A419="","",COUNTIF('Base Exámenes'!$C$5:$C$1000, A419))</f>
        <v/>
      </c>
      <c r="M419" s="6" t="str">
        <f>IF($A419="","",IF(COUNTIF('Base Exámenes'!$C$5:$C$1000, A419)&gt;0, "", TRIM('Base Oficial'!H419)))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11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11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10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22" t="str">
        <f>IF($A420="","",COUNTIF('Base Exámenes'!$C$5:$C$1000, A420))</f>
        <v/>
      </c>
      <c r="M420" s="6" t="str">
        <f>IF($A420="","",IF(COUNTIF('Base Exámenes'!$C$5:$C$1000, A420)&gt;0, "", TRIM('Base Oficial'!H420)))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11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11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10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22" t="str">
        <f>IF($A421="","",COUNTIF('Base Exámenes'!$C$5:$C$1000, A421))</f>
        <v/>
      </c>
      <c r="M421" s="6" t="str">
        <f>IF($A421="","",IF(COUNTIF('Base Exámenes'!$C$5:$C$1000, A421)&gt;0, "", TRIM('Base Oficial'!H421)))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11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11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10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22" t="str">
        <f>IF($A422="","",COUNTIF('Base Exámenes'!$C$5:$C$1000, A422))</f>
        <v/>
      </c>
      <c r="M422" s="6" t="str">
        <f>IF($A422="","",IF(COUNTIF('Base Exámenes'!$C$5:$C$1000, A422)&gt;0, "", TRIM('Base Oficial'!H422)))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11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11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10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22" t="str">
        <f>IF($A423="","",COUNTIF('Base Exámenes'!$C$5:$C$1000, A423))</f>
        <v/>
      </c>
      <c r="M423" s="6" t="str">
        <f>IF($A423="","",IF(COUNTIF('Base Exámenes'!$C$5:$C$1000, A423)&gt;0, "", TRIM('Base Oficial'!H423)))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11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11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10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22" t="str">
        <f>IF($A424="","",COUNTIF('Base Exámenes'!$C$5:$C$1000, A424))</f>
        <v/>
      </c>
      <c r="M424" s="6" t="str">
        <f>IF($A424="","",IF(COUNTIF('Base Exámenes'!$C$5:$C$1000, A424)&gt;0, "", TRIM('Base Oficial'!H424)))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11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11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10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22" t="str">
        <f>IF($A425="","",COUNTIF('Base Exámenes'!$C$5:$C$1000, A425))</f>
        <v/>
      </c>
      <c r="M425" s="6" t="str">
        <f>IF($A425="","",IF(COUNTIF('Base Exámenes'!$C$5:$C$1000, A425)&gt;0, "", TRIM('Base Oficial'!H425)))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11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11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10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22" t="str">
        <f>IF($A426="","",COUNTIF('Base Exámenes'!$C$5:$C$1000, A426))</f>
        <v/>
      </c>
      <c r="M426" s="6" t="str">
        <f>IF($A426="","",IF(COUNTIF('Base Exámenes'!$C$5:$C$1000, A426)&gt;0, "", TRIM('Base Oficial'!H426)))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11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11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10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22" t="str">
        <f>IF($A427="","",COUNTIF('Base Exámenes'!$C$5:$C$1000, A427))</f>
        <v/>
      </c>
      <c r="M427" s="6" t="str">
        <f>IF($A427="","",IF(COUNTIF('Base Exámenes'!$C$5:$C$1000, A427)&gt;0, "", TRIM('Base Oficial'!H427)))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11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11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10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22" t="str">
        <f>IF($A428="","",COUNTIF('Base Exámenes'!$C$5:$C$1000, A428))</f>
        <v/>
      </c>
      <c r="M428" s="6" t="str">
        <f>IF($A428="","",IF(COUNTIF('Base Exámenes'!$C$5:$C$1000, A428)&gt;0, "", TRIM('Base Oficial'!H428)))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11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11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10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22" t="str">
        <f>IF($A429="","",COUNTIF('Base Exámenes'!$C$5:$C$1000, A429))</f>
        <v/>
      </c>
      <c r="M429" s="6" t="str">
        <f>IF($A429="","",IF(COUNTIF('Base Exámenes'!$C$5:$C$1000, A429)&gt;0, "", TRIM('Base Oficial'!H429)))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11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11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10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22" t="str">
        <f>IF($A430="","",COUNTIF('Base Exámenes'!$C$5:$C$1000, A430))</f>
        <v/>
      </c>
      <c r="M430" s="6" t="str">
        <f>IF($A430="","",IF(COUNTIF('Base Exámenes'!$C$5:$C$1000, A430)&gt;0, "", TRIM('Base Oficial'!H430)))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11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11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10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22" t="str">
        <f>IF($A431="","",COUNTIF('Base Exámenes'!$C$5:$C$1000, A431))</f>
        <v/>
      </c>
      <c r="M431" s="6" t="str">
        <f>IF($A431="","",IF(COUNTIF('Base Exámenes'!$C$5:$C$1000, A431)&gt;0, "", TRIM('Base Oficial'!H431)))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11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11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10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22" t="str">
        <f>IF($A432="","",COUNTIF('Base Exámenes'!$C$5:$C$1000, A432))</f>
        <v/>
      </c>
      <c r="M432" s="6" t="str">
        <f>IF($A432="","",IF(COUNTIF('Base Exámenes'!$C$5:$C$1000, A432)&gt;0, "", TRIM('Base Oficial'!H432)))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11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11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10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22" t="str">
        <f>IF($A433="","",COUNTIF('Base Exámenes'!$C$5:$C$1000, A433))</f>
        <v/>
      </c>
      <c r="M433" s="6" t="str">
        <f>IF($A433="","",IF(COUNTIF('Base Exámenes'!$C$5:$C$1000, A433)&gt;0, "", TRIM('Base Oficial'!H433)))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11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11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10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22" t="str">
        <f>IF($A434="","",COUNTIF('Base Exámenes'!$C$5:$C$1000, A434))</f>
        <v/>
      </c>
      <c r="M434" s="6" t="str">
        <f>IF($A434="","",IF(COUNTIF('Base Exámenes'!$C$5:$C$1000, A434)&gt;0, "", TRIM('Base Oficial'!H434)))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11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11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10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22" t="str">
        <f>IF($A435="","",COUNTIF('Base Exámenes'!$C$5:$C$1000, A435))</f>
        <v/>
      </c>
      <c r="M435" s="6" t="str">
        <f>IF($A435="","",IF(COUNTIF('Base Exámenes'!$C$5:$C$1000, A435)&gt;0, "", TRIM('Base Oficial'!H435)))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11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11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10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22" t="str">
        <f>IF($A436="","",COUNTIF('Base Exámenes'!$C$5:$C$1000, A436))</f>
        <v/>
      </c>
      <c r="M436" s="6" t="str">
        <f>IF($A436="","",IF(COUNTIF('Base Exámenes'!$C$5:$C$1000, A436)&gt;0, "", TRIM('Base Oficial'!H436)))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11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11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10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22" t="str">
        <f>IF($A437="","",COUNTIF('Base Exámenes'!$C$5:$C$1000, A437))</f>
        <v/>
      </c>
      <c r="M437" s="6" t="str">
        <f>IF($A437="","",IF(COUNTIF('Base Exámenes'!$C$5:$C$1000, A437)&gt;0, "", TRIM('Base Oficial'!H437)))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11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11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10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22" t="str">
        <f>IF($A438="","",COUNTIF('Base Exámenes'!$C$5:$C$1000, A438))</f>
        <v/>
      </c>
      <c r="M438" s="6" t="str">
        <f>IF($A438="","",IF(COUNTIF('Base Exámenes'!$C$5:$C$1000, A438)&gt;0, "", TRIM('Base Oficial'!H438)))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11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11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10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22" t="str">
        <f>IF($A439="","",COUNTIF('Base Exámenes'!$C$5:$C$1000, A439))</f>
        <v/>
      </c>
      <c r="M439" s="6" t="str">
        <f>IF($A439="","",IF(COUNTIF('Base Exámenes'!$C$5:$C$1000, A439)&gt;0, "", TRIM('Base Oficial'!H439)))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11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11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10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22" t="str">
        <f>IF($A440="","",COUNTIF('Base Exámenes'!$C$5:$C$1000, A440))</f>
        <v/>
      </c>
      <c r="M440" s="6" t="str">
        <f>IF($A440="","",IF(COUNTIF('Base Exámenes'!$C$5:$C$1000, A440)&gt;0, "", TRIM('Base Oficial'!H440)))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11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11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10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22" t="str">
        <f>IF($A441="","",COUNTIF('Base Exámenes'!$C$5:$C$1000, A441))</f>
        <v/>
      </c>
      <c r="M441" s="6" t="str">
        <f>IF($A441="","",IF(COUNTIF('Base Exámenes'!$C$5:$C$1000, A441)&gt;0, "", TRIM('Base Oficial'!H441)))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11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11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10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22" t="str">
        <f>IF($A442="","",COUNTIF('Base Exámenes'!$C$5:$C$1000, A442))</f>
        <v/>
      </c>
      <c r="M442" s="6" t="str">
        <f>IF($A442="","",IF(COUNTIF('Base Exámenes'!$C$5:$C$1000, A442)&gt;0, "", TRIM('Base Oficial'!H442)))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11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11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10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22" t="str">
        <f>IF($A443="","",COUNTIF('Base Exámenes'!$C$5:$C$1000, A443))</f>
        <v/>
      </c>
      <c r="M443" s="6" t="str">
        <f>IF($A443="","",IF(COUNTIF('Base Exámenes'!$C$5:$C$1000, A443)&gt;0, "", TRIM('Base Oficial'!H443)))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11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11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10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22" t="str">
        <f>IF($A444="","",COUNTIF('Base Exámenes'!$C$5:$C$1000, A444))</f>
        <v/>
      </c>
      <c r="M444" s="6" t="str">
        <f>IF($A444="","",IF(COUNTIF('Base Exámenes'!$C$5:$C$1000, A444)&gt;0, "", TRIM('Base Oficial'!H444)))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11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11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10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22" t="str">
        <f>IF($A445="","",COUNTIF('Base Exámenes'!$C$5:$C$1000, A445))</f>
        <v/>
      </c>
      <c r="M445" s="6" t="str">
        <f>IF($A445="","",IF(COUNTIF('Base Exámenes'!$C$5:$C$1000, A445)&gt;0, "", TRIM('Base Oficial'!H445)))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11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11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10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22" t="str">
        <f>IF($A446="","",COUNTIF('Base Exámenes'!$C$5:$C$1000, A446))</f>
        <v/>
      </c>
      <c r="M446" s="6" t="str">
        <f>IF($A446="","",IF(COUNTIF('Base Exámenes'!$C$5:$C$1000, A446)&gt;0, "", TRIM('Base Oficial'!H446)))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11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11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10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22" t="str">
        <f>IF($A447="","",COUNTIF('Base Exámenes'!$C$5:$C$1000, A447))</f>
        <v/>
      </c>
      <c r="M447" s="6" t="str">
        <f>IF($A447="","",IF(COUNTIF('Base Exámenes'!$C$5:$C$1000, A447)&gt;0, "", TRIM('Base Oficial'!H447)))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11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11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10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22" t="str">
        <f>IF($A448="","",COUNTIF('Base Exámenes'!$C$5:$C$1000, A448))</f>
        <v/>
      </c>
      <c r="M448" s="6" t="str">
        <f>IF($A448="","",IF(COUNTIF('Base Exámenes'!$C$5:$C$1000, A448)&gt;0, "", TRIM('Base Oficial'!H448)))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11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11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10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22" t="str">
        <f>IF($A449="","",COUNTIF('Base Exámenes'!$C$5:$C$1000, A449))</f>
        <v/>
      </c>
      <c r="M449" s="6" t="str">
        <f>IF($A449="","",IF(COUNTIF('Base Exámenes'!$C$5:$C$1000, A449)&gt;0, "", TRIM('Base Oficial'!H449)))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11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11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10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22" t="str">
        <f>IF($A450="","",COUNTIF('Base Exámenes'!$C$5:$C$1000, A450))</f>
        <v/>
      </c>
      <c r="M450" s="6" t="str">
        <f>IF($A450="","",IF(COUNTIF('Base Exámenes'!$C$5:$C$1000, A450)&gt;0, "", TRIM('Base Oficial'!H450)))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11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11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10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22" t="str">
        <f>IF($A451="","",COUNTIF('Base Exámenes'!$C$5:$C$1000, A451))</f>
        <v/>
      </c>
      <c r="M451" s="6" t="str">
        <f>IF($A451="","",IF(COUNTIF('Base Exámenes'!$C$5:$C$1000, A451)&gt;0, "", TRIM('Base Oficial'!H451)))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11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11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10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22" t="str">
        <f>IF($A452="","",COUNTIF('Base Exámenes'!$C$5:$C$1000, A452))</f>
        <v/>
      </c>
      <c r="M452" s="6" t="str">
        <f>IF($A452="","",IF(COUNTIF('Base Exámenes'!$C$5:$C$1000, A452)&gt;0, "", TRIM('Base Oficial'!H452)))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11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11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10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22" t="str">
        <f>IF($A453="","",COUNTIF('Base Exámenes'!$C$5:$C$1000, A453))</f>
        <v/>
      </c>
      <c r="M453" s="6" t="str">
        <f>IF($A453="","",IF(COUNTIF('Base Exámenes'!$C$5:$C$1000, A453)&gt;0, "", TRIM('Base Oficial'!H453)))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11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11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10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22" t="str">
        <f>IF($A454="","",COUNTIF('Base Exámenes'!$C$5:$C$1000, A454))</f>
        <v/>
      </c>
      <c r="M454" s="6" t="str">
        <f>IF($A454="","",IF(COUNTIF('Base Exámenes'!$C$5:$C$1000, A454)&gt;0, "", TRIM('Base Oficial'!H454)))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11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11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10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22" t="str">
        <f>IF($A455="","",COUNTIF('Base Exámenes'!$C$5:$C$1000, A455))</f>
        <v/>
      </c>
      <c r="M455" s="6" t="str">
        <f>IF($A455="","",IF(COUNTIF('Base Exámenes'!$C$5:$C$1000, A455)&gt;0, "", TRIM('Base Oficial'!H455)))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11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11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10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22" t="str">
        <f>IF($A456="","",COUNTIF('Base Exámenes'!$C$5:$C$1000, A456))</f>
        <v/>
      </c>
      <c r="M456" s="6" t="str">
        <f>IF($A456="","",IF(COUNTIF('Base Exámenes'!$C$5:$C$1000, A456)&gt;0, "", TRIM('Base Oficial'!H456)))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11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11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10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22" t="str">
        <f>IF($A457="","",COUNTIF('Base Exámenes'!$C$5:$C$1000, A457))</f>
        <v/>
      </c>
      <c r="M457" s="6" t="str">
        <f>IF($A457="","",IF(COUNTIF('Base Exámenes'!$C$5:$C$1000, A457)&gt;0, "", TRIM('Base Oficial'!H457)))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11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11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10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22" t="str">
        <f>IF($A458="","",COUNTIF('Base Exámenes'!$C$5:$C$1000, A458))</f>
        <v/>
      </c>
      <c r="M458" s="6" t="str">
        <f>IF($A458="","",IF(COUNTIF('Base Exámenes'!$C$5:$C$1000, A458)&gt;0, "", TRIM('Base Oficial'!H458)))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11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11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10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22" t="str">
        <f>IF($A459="","",COUNTIF('Base Exámenes'!$C$5:$C$1000, A459))</f>
        <v/>
      </c>
      <c r="M459" s="6" t="str">
        <f>IF($A459="","",IF(COUNTIF('Base Exámenes'!$C$5:$C$1000, A459)&gt;0, "", TRIM('Base Oficial'!H459)))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11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11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10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22" t="str">
        <f>IF($A460="","",COUNTIF('Base Exámenes'!$C$5:$C$1000, A460))</f>
        <v/>
      </c>
      <c r="M460" s="6" t="str">
        <f>IF($A460="","",IF(COUNTIF('Base Exámenes'!$C$5:$C$1000, A460)&gt;0, "", TRIM('Base Oficial'!H460)))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11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11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10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22" t="str">
        <f>IF($A461="","",COUNTIF('Base Exámenes'!$C$5:$C$1000, A461))</f>
        <v/>
      </c>
      <c r="M461" s="6" t="str">
        <f>IF($A461="","",IF(COUNTIF('Base Exámenes'!$C$5:$C$1000, A461)&gt;0, "", TRIM('Base Oficial'!H461)))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11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11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10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22" t="str">
        <f>IF($A462="","",COUNTIF('Base Exámenes'!$C$5:$C$1000, A462))</f>
        <v/>
      </c>
      <c r="M462" s="6" t="str">
        <f>IF($A462="","",IF(COUNTIF('Base Exámenes'!$C$5:$C$1000, A462)&gt;0, "", TRIM('Base Oficial'!H462)))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11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11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10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22" t="str">
        <f>IF($A463="","",COUNTIF('Base Exámenes'!$C$5:$C$1000, A463))</f>
        <v/>
      </c>
      <c r="M463" s="6" t="str">
        <f>IF($A463="","",IF(COUNTIF('Base Exámenes'!$C$5:$C$1000, A463)&gt;0, "", TRIM('Base Oficial'!H463)))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11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11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10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22" t="str">
        <f>IF($A464="","",COUNTIF('Base Exámenes'!$C$5:$C$1000, A464))</f>
        <v/>
      </c>
      <c r="M464" s="6" t="str">
        <f>IF($A464="","",IF(COUNTIF('Base Exámenes'!$C$5:$C$1000, A464)&gt;0, "", TRIM('Base Oficial'!H464)))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11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11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10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22" t="str">
        <f>IF($A465="","",COUNTIF('Base Exámenes'!$C$5:$C$1000, A465))</f>
        <v/>
      </c>
      <c r="M465" s="6" t="str">
        <f>IF($A465="","",IF(COUNTIF('Base Exámenes'!$C$5:$C$1000, A465)&gt;0, "", TRIM('Base Oficial'!H465)))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11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11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10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22" t="str">
        <f>IF($A466="","",COUNTIF('Base Exámenes'!$C$5:$C$1000, A466))</f>
        <v/>
      </c>
      <c r="M466" s="6" t="str">
        <f>IF($A466="","",IF(COUNTIF('Base Exámenes'!$C$5:$C$1000, A466)&gt;0, "", TRIM('Base Oficial'!H466)))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11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11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10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22" t="str">
        <f>IF($A467="","",COUNTIF('Base Exámenes'!$C$5:$C$1000, A467))</f>
        <v/>
      </c>
      <c r="M467" s="6" t="str">
        <f>IF($A467="","",IF(COUNTIF('Base Exámenes'!$C$5:$C$1000, A467)&gt;0, "", TRIM('Base Oficial'!H467)))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11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11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10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22" t="str">
        <f>IF($A468="","",COUNTIF('Base Exámenes'!$C$5:$C$1000, A468))</f>
        <v/>
      </c>
      <c r="M468" s="6" t="str">
        <f>IF($A468="","",IF(COUNTIF('Base Exámenes'!$C$5:$C$1000, A468)&gt;0, "", TRIM('Base Oficial'!H468)))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11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11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10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22" t="str">
        <f>IF($A469="","",COUNTIF('Base Exámenes'!$C$5:$C$1000, A469))</f>
        <v/>
      </c>
      <c r="M469" s="6" t="str">
        <f>IF($A469="","",IF(COUNTIF('Base Exámenes'!$C$5:$C$1000, A469)&gt;0, "", TRIM('Base Oficial'!H469)))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11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11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10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22" t="str">
        <f>IF($A470="","",COUNTIF('Base Exámenes'!$C$5:$C$1000, A470))</f>
        <v/>
      </c>
      <c r="M470" s="6" t="str">
        <f>IF($A470="","",IF(COUNTIF('Base Exámenes'!$C$5:$C$1000, A470)&gt;0, "", TRIM('Base Oficial'!H470)))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11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11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10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22" t="str">
        <f>IF($A471="","",COUNTIF('Base Exámenes'!$C$5:$C$1000, A471))</f>
        <v/>
      </c>
      <c r="M471" s="6" t="str">
        <f>IF($A471="","",IF(COUNTIF('Base Exámenes'!$C$5:$C$1000, A471)&gt;0, "", TRIM('Base Oficial'!H471)))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11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11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10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22" t="str">
        <f>IF($A472="","",COUNTIF('Base Exámenes'!$C$5:$C$1000, A472))</f>
        <v/>
      </c>
      <c r="M472" s="6" t="str">
        <f>IF($A472="","",IF(COUNTIF('Base Exámenes'!$C$5:$C$1000, A472)&gt;0, "", TRIM('Base Oficial'!H472)))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11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11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10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22" t="str">
        <f>IF($A473="","",COUNTIF('Base Exámenes'!$C$5:$C$1000, A473))</f>
        <v/>
      </c>
      <c r="M473" s="6" t="str">
        <f>IF($A473="","",IF(COUNTIF('Base Exámenes'!$C$5:$C$1000, A473)&gt;0, "", TRIM('Base Oficial'!H473)))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11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11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10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22" t="str">
        <f>IF($A474="","",COUNTIF('Base Exámenes'!$C$5:$C$1000, A474))</f>
        <v/>
      </c>
      <c r="M474" s="6" t="str">
        <f>IF($A474="","",IF(COUNTIF('Base Exámenes'!$C$5:$C$1000, A474)&gt;0, "", TRIM('Base Oficial'!H474)))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11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11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10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22" t="str">
        <f>IF($A475="","",COUNTIF('Base Exámenes'!$C$5:$C$1000, A475))</f>
        <v/>
      </c>
      <c r="M475" s="6" t="str">
        <f>IF($A475="","",IF(COUNTIF('Base Exámenes'!$C$5:$C$1000, A475)&gt;0, "", TRIM('Base Oficial'!H475)))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11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11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10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22" t="str">
        <f>IF($A476="","",COUNTIF('Base Exámenes'!$C$5:$C$1000, A476))</f>
        <v/>
      </c>
      <c r="M476" s="6" t="str">
        <f>IF($A476="","",IF(COUNTIF('Base Exámenes'!$C$5:$C$1000, A476)&gt;0, "", TRIM('Base Oficial'!H476)))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11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11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10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22" t="str">
        <f>IF($A477="","",COUNTIF('Base Exámenes'!$C$5:$C$1000, A477))</f>
        <v/>
      </c>
      <c r="M477" s="6" t="str">
        <f>IF($A477="","",IF(COUNTIF('Base Exámenes'!$C$5:$C$1000, A477)&gt;0, "", TRIM('Base Oficial'!H477)))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11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11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10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22" t="str">
        <f>IF($A478="","",COUNTIF('Base Exámenes'!$C$5:$C$1000, A478))</f>
        <v/>
      </c>
      <c r="M478" s="6" t="str">
        <f>IF($A478="","",IF(COUNTIF('Base Exámenes'!$C$5:$C$1000, A478)&gt;0, "", TRIM('Base Oficial'!H478)))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11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11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10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22" t="str">
        <f>IF($A479="","",COUNTIF('Base Exámenes'!$C$5:$C$1000, A479))</f>
        <v/>
      </c>
      <c r="M479" s="6" t="str">
        <f>IF($A479="","",IF(COUNTIF('Base Exámenes'!$C$5:$C$1000, A479)&gt;0, "", TRIM('Base Oficial'!H479)))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11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11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10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22" t="str">
        <f>IF($A480="","",COUNTIF('Base Exámenes'!$C$5:$C$1000, A480))</f>
        <v/>
      </c>
      <c r="M480" s="6" t="str">
        <f>IF($A480="","",IF(COUNTIF('Base Exámenes'!$C$5:$C$1000, A480)&gt;0, "", TRIM('Base Oficial'!H480)))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11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11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10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22" t="str">
        <f>IF($A481="","",COUNTIF('Base Exámenes'!$C$5:$C$1000, A481))</f>
        <v/>
      </c>
      <c r="M481" s="6" t="str">
        <f>IF($A481="","",IF(COUNTIF('Base Exámenes'!$C$5:$C$1000, A481)&gt;0, "", TRIM('Base Oficial'!H481)))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11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11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10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22" t="str">
        <f>IF($A482="","",COUNTIF('Base Exámenes'!$C$5:$C$1000, A482))</f>
        <v/>
      </c>
      <c r="M482" s="6" t="str">
        <f>IF($A482="","",IF(COUNTIF('Base Exámenes'!$C$5:$C$1000, A482)&gt;0, "", TRIM('Base Oficial'!H482)))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11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11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10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22" t="str">
        <f>IF($A483="","",COUNTIF('Base Exámenes'!$C$5:$C$1000, A483))</f>
        <v/>
      </c>
      <c r="M483" s="6" t="str">
        <f>IF($A483="","",IF(COUNTIF('Base Exámenes'!$C$5:$C$1000, A483)&gt;0, "", TRIM('Base Oficial'!H483)))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11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11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10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22" t="str">
        <f>IF($A484="","",COUNTIF('Base Exámenes'!$C$5:$C$1000, A484))</f>
        <v/>
      </c>
      <c r="M484" s="6" t="str">
        <f>IF($A484="","",IF(COUNTIF('Base Exámenes'!$C$5:$C$1000, A484)&gt;0, "", TRIM('Base Oficial'!H484)))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11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11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10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22" t="str">
        <f>IF($A485="","",COUNTIF('Base Exámenes'!$C$5:$C$1000, A485))</f>
        <v/>
      </c>
      <c r="M485" s="6" t="str">
        <f>IF($A485="","",IF(COUNTIF('Base Exámenes'!$C$5:$C$1000, A485)&gt;0, "", TRIM('Base Oficial'!H485)))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11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11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10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22" t="str">
        <f>IF($A486="","",COUNTIF('Base Exámenes'!$C$5:$C$1000, A486))</f>
        <v/>
      </c>
      <c r="M486" s="6" t="str">
        <f>IF($A486="","",IF(COUNTIF('Base Exámenes'!$C$5:$C$1000, A486)&gt;0, "", TRIM('Base Oficial'!H486)))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11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11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10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22" t="str">
        <f>IF($A487="","",COUNTIF('Base Exámenes'!$C$5:$C$1000, A487))</f>
        <v/>
      </c>
      <c r="M487" s="6" t="str">
        <f>IF($A487="","",IF(COUNTIF('Base Exámenes'!$C$5:$C$1000, A487)&gt;0, "", TRIM('Base Oficial'!H487)))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11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11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10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22" t="str">
        <f>IF($A488="","",COUNTIF('Base Exámenes'!$C$5:$C$1000, A488))</f>
        <v/>
      </c>
      <c r="M488" s="6" t="str">
        <f>IF($A488="","",IF(COUNTIF('Base Exámenes'!$C$5:$C$1000, A488)&gt;0, "", TRIM('Base Oficial'!H488)))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11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11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10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22" t="str">
        <f>IF($A489="","",COUNTIF('Base Exámenes'!$C$5:$C$1000, A489))</f>
        <v/>
      </c>
      <c r="M489" s="6" t="str">
        <f>IF($A489="","",IF(COUNTIF('Base Exámenes'!$C$5:$C$1000, A489)&gt;0, "", TRIM('Base Oficial'!H489)))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11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11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10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22" t="str">
        <f>IF($A490="","",COUNTIF('Base Exámenes'!$C$5:$C$1000, A490))</f>
        <v/>
      </c>
      <c r="M490" s="6" t="str">
        <f>IF($A490="","",IF(COUNTIF('Base Exámenes'!$C$5:$C$1000, A490)&gt;0, "", TRIM('Base Oficial'!H490)))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11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11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10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22" t="str">
        <f>IF($A491="","",COUNTIF('Base Exámenes'!$C$5:$C$1000, A491))</f>
        <v/>
      </c>
      <c r="M491" s="6" t="str">
        <f>IF($A491="","",IF(COUNTIF('Base Exámenes'!$C$5:$C$1000, A491)&gt;0, "", TRIM('Base Oficial'!H491)))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11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11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10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22" t="str">
        <f>IF($A492="","",COUNTIF('Base Exámenes'!$C$5:$C$1000, A492))</f>
        <v/>
      </c>
      <c r="M492" s="6" t="str">
        <f>IF($A492="","",IF(COUNTIF('Base Exámenes'!$C$5:$C$1000, A492)&gt;0, "", TRIM('Base Oficial'!H492)))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11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11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10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22" t="str">
        <f>IF($A493="","",COUNTIF('Base Exámenes'!$C$5:$C$1000, A493))</f>
        <v/>
      </c>
      <c r="M493" s="6" t="str">
        <f>IF($A493="","",IF(COUNTIF('Base Exámenes'!$C$5:$C$1000, A493)&gt;0, "", TRIM('Base Oficial'!H493)))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11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11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10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22" t="str">
        <f>IF($A494="","",COUNTIF('Base Exámenes'!$C$5:$C$1000, A494))</f>
        <v/>
      </c>
      <c r="M494" s="6" t="str">
        <f>IF($A494="","",IF(COUNTIF('Base Exámenes'!$C$5:$C$1000, A494)&gt;0, "", TRIM('Base Oficial'!H494)))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11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11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10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22" t="str">
        <f>IF($A495="","",COUNTIF('Base Exámenes'!$C$5:$C$1000, A495))</f>
        <v/>
      </c>
      <c r="M495" s="6" t="str">
        <f>IF($A495="","",IF(COUNTIF('Base Exámenes'!$C$5:$C$1000, A495)&gt;0, "", TRIM('Base Oficial'!H495)))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11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11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10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22" t="str">
        <f>IF($A496="","",COUNTIF('Base Exámenes'!$C$5:$C$1000, A496))</f>
        <v/>
      </c>
      <c r="M496" s="6" t="str">
        <f>IF($A496="","",IF(COUNTIF('Base Exámenes'!$C$5:$C$1000, A496)&gt;0, "", TRIM('Base Oficial'!H496)))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11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11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10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22" t="str">
        <f>IF($A497="","",COUNTIF('Base Exámenes'!$C$5:$C$1000, A497))</f>
        <v/>
      </c>
      <c r="M497" s="6" t="str">
        <f>IF($A497="","",IF(COUNTIF('Base Exámenes'!$C$5:$C$1000, A497)&gt;0, "", TRIM('Base Oficial'!H497)))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11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11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10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22" t="str">
        <f>IF($A498="","",COUNTIF('Base Exámenes'!$C$5:$C$1000, A498))</f>
        <v/>
      </c>
      <c r="M498" s="6" t="str">
        <f>IF($A498="","",IF(COUNTIF('Base Exámenes'!$C$5:$C$1000, A498)&gt;0, "", TRIM('Base Oficial'!H498)))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11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11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10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22" t="str">
        <f>IF($A499="","",COUNTIF('Base Exámenes'!$C$5:$C$1000, A499))</f>
        <v/>
      </c>
      <c r="M499" s="6" t="str">
        <f>IF($A499="","",IF(COUNTIF('Base Exámenes'!$C$5:$C$1000, A499)&gt;0, "", TRIM('Base Oficial'!H499)))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11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11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10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22" t="str">
        <f>IF($A500="","",COUNTIF('Base Exámenes'!$C$5:$C$1000, A500))</f>
        <v/>
      </c>
      <c r="M500" s="6" t="str">
        <f>IF($A500="","",IF(COUNTIF('Base Exámenes'!$C$5:$C$1000, A500)&gt;0, "", TRIM('Base Oficial'!H500)))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11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11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10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22" t="str">
        <f>IF($A501="","",COUNTIF('Base Exámenes'!$C$5:$C$1000, A501))</f>
        <v/>
      </c>
      <c r="M501" s="6" t="str">
        <f>IF($A501="","",IF(COUNTIF('Base Exámenes'!$C$5:$C$1000, A501)&gt;0, "", TRIM('Base Oficial'!H501)))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11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11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10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22" t="str">
        <f>IF($A502="","",COUNTIF('Base Exámenes'!$C$5:$C$1000, A502))</f>
        <v/>
      </c>
      <c r="M502" s="6" t="str">
        <f>IF($A502="","",IF(COUNTIF('Base Exámenes'!$C$5:$C$1000, A502)&gt;0, "", TRIM('Base Oficial'!H502)))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11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11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10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22" t="str">
        <f>IF($A503="","",COUNTIF('Base Exámenes'!$C$5:$C$1000, A503))</f>
        <v/>
      </c>
      <c r="M503" s="6" t="str">
        <f>IF($A503="","",IF(COUNTIF('Base Exámenes'!$C$5:$C$1000, A503)&gt;0, "", TRIM('Base Oficial'!H503)))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11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11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10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22" t="str">
        <f>IF($A504="","",COUNTIF('Base Exámenes'!$C$5:$C$1000, A504))</f>
        <v/>
      </c>
      <c r="M504" s="6" t="str">
        <f>IF($A504="","",IF(COUNTIF('Base Exámenes'!$C$5:$C$1000, A504)&gt;0, "", TRIM('Base Oficial'!H504)))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11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11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10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22" t="str">
        <f>IF($A505="","",COUNTIF('Base Exámenes'!$C$5:$C$1000, A505))</f>
        <v/>
      </c>
      <c r="M505" s="6" t="str">
        <f>IF($A505="","",IF(COUNTIF('Base Exámenes'!$C$5:$C$1000, A505)&gt;0, "", TRIM('Base Oficial'!H505)))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11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11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10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22" t="str">
        <f>IF($A506="","",COUNTIF('Base Exámenes'!$C$5:$C$1000, A506))</f>
        <v/>
      </c>
      <c r="M506" s="6" t="str">
        <f>IF($A506="","",IF(COUNTIF('Base Exámenes'!$C$5:$C$1000, A506)&gt;0, "", TRIM('Base Oficial'!H506)))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11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11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10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22" t="str">
        <f>IF($A507="","",COUNTIF('Base Exámenes'!$C$5:$C$1000, A507))</f>
        <v/>
      </c>
      <c r="M507" s="6" t="str">
        <f>IF($A507="","",IF(COUNTIF('Base Exámenes'!$C$5:$C$1000, A507)&gt;0, "", TRIM('Base Oficial'!H507)))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11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11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10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22" t="str">
        <f>IF($A508="","",COUNTIF('Base Exámenes'!$C$5:$C$1000, A508))</f>
        <v/>
      </c>
      <c r="M508" s="6" t="str">
        <f>IF($A508="","",IF(COUNTIF('Base Exámenes'!$C$5:$C$1000, A508)&gt;0, "", TRIM('Base Oficial'!H508)))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11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11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10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22" t="str">
        <f>IF($A509="","",COUNTIF('Base Exámenes'!$C$5:$C$1000, A509))</f>
        <v/>
      </c>
      <c r="M509" s="6" t="str">
        <f>IF($A509="","",IF(COUNTIF('Base Exámenes'!$C$5:$C$1000, A509)&gt;0, "", TRIM('Base Oficial'!H509)))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11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11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10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22" t="str">
        <f>IF($A510="","",COUNTIF('Base Exámenes'!$C$5:$C$1000, A510))</f>
        <v/>
      </c>
      <c r="M510" s="6" t="str">
        <f>IF($A510="","",IF(COUNTIF('Base Exámenes'!$C$5:$C$1000, A510)&gt;0, "", TRIM('Base Oficial'!H510)))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11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11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10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22" t="str">
        <f>IF($A511="","",COUNTIF('Base Exámenes'!$C$5:$C$1000, A511))</f>
        <v/>
      </c>
      <c r="M511" s="6" t="str">
        <f>IF($A511="","",IF(COUNTIF('Base Exámenes'!$C$5:$C$1000, A511)&gt;0, "", TRIM('Base Oficial'!H511)))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11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11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10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22" t="str">
        <f>IF($A512="","",COUNTIF('Base Exámenes'!$C$5:$C$1000, A512))</f>
        <v/>
      </c>
      <c r="M512" s="6" t="str">
        <f>IF($A512="","",IF(COUNTIF('Base Exámenes'!$C$5:$C$1000, A512)&gt;0, "", TRIM('Base Oficial'!H512)))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11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11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10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22" t="str">
        <f>IF($A513="","",COUNTIF('Base Exámenes'!$C$5:$C$1000, A513))</f>
        <v/>
      </c>
      <c r="M513" s="6" t="str">
        <f>IF($A513="","",IF(COUNTIF('Base Exámenes'!$C$5:$C$1000, A513)&gt;0, "", TRIM('Base Oficial'!H513)))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11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11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10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22" t="str">
        <f>IF($A514="","",COUNTIF('Base Exámenes'!$C$5:$C$1000, A514))</f>
        <v/>
      </c>
      <c r="M514" s="6" t="str">
        <f>IF($A514="","",IF(COUNTIF('Base Exámenes'!$C$5:$C$1000, A514)&gt;0, "", TRIM('Base Oficial'!H514)))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11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11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10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22" t="str">
        <f>IF($A515="","",COUNTIF('Base Exámenes'!$C$5:$C$1000, A515))</f>
        <v/>
      </c>
      <c r="M515" s="6" t="str">
        <f>IF($A515="","",IF(COUNTIF('Base Exámenes'!$C$5:$C$1000, A515)&gt;0, "", TRIM('Base Oficial'!H515)))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11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11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10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22" t="str">
        <f>IF($A516="","",COUNTIF('Base Exámenes'!$C$5:$C$1000, A516))</f>
        <v/>
      </c>
      <c r="M516" s="6" t="str">
        <f>IF($A516="","",IF(COUNTIF('Base Exámenes'!$C$5:$C$1000, A516)&gt;0, "", TRIM('Base Oficial'!H516)))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11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11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10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22" t="str">
        <f>IF($A517="","",COUNTIF('Base Exámenes'!$C$5:$C$1000, A517))</f>
        <v/>
      </c>
      <c r="M517" s="6" t="str">
        <f>IF($A517="","",IF(COUNTIF('Base Exámenes'!$C$5:$C$1000, A517)&gt;0, "", TRIM('Base Oficial'!H517)))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11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11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10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22" t="str">
        <f>IF($A518="","",COUNTIF('Base Exámenes'!$C$5:$C$1000, A518))</f>
        <v/>
      </c>
      <c r="M518" s="6" t="str">
        <f>IF($A518="","",IF(COUNTIF('Base Exámenes'!$C$5:$C$1000, A518)&gt;0, "", TRIM('Base Oficial'!H518)))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11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11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10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22" t="str">
        <f>IF($A519="","",COUNTIF('Base Exámenes'!$C$5:$C$1000, A519))</f>
        <v/>
      </c>
      <c r="M519" s="6" t="str">
        <f>IF($A519="","",IF(COUNTIF('Base Exámenes'!$C$5:$C$1000, A519)&gt;0, "", TRIM('Base Oficial'!H519)))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11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11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10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22" t="str">
        <f>IF($A520="","",COUNTIF('Base Exámenes'!$C$5:$C$1000, A520))</f>
        <v/>
      </c>
      <c r="M520" s="6" t="str">
        <f>IF($A520="","",IF(COUNTIF('Base Exámenes'!$C$5:$C$1000, A520)&gt;0, "", TRIM('Base Oficial'!H520)))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11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11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10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22" t="str">
        <f>IF($A521="","",COUNTIF('Base Exámenes'!$C$5:$C$1000, A521))</f>
        <v/>
      </c>
      <c r="M521" s="6" t="str">
        <f>IF($A521="","",IF(COUNTIF('Base Exámenes'!$C$5:$C$1000, A521)&gt;0, "", TRIM('Base Oficial'!H521)))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11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11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10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22" t="str">
        <f>IF($A522="","",COUNTIF('Base Exámenes'!$C$5:$C$1000, A522))</f>
        <v/>
      </c>
      <c r="M522" s="6" t="str">
        <f>IF($A522="","",IF(COUNTIF('Base Exámenes'!$C$5:$C$1000, A522)&gt;0, "", TRIM('Base Oficial'!H522)))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11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11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10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22" t="str">
        <f>IF($A523="","",COUNTIF('Base Exámenes'!$C$5:$C$1000, A523))</f>
        <v/>
      </c>
      <c r="M523" s="6" t="str">
        <f>IF($A523="","",IF(COUNTIF('Base Exámenes'!$C$5:$C$1000, A523)&gt;0, "", TRIM('Base Oficial'!H523)))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11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11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10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22" t="str">
        <f>IF($A524="","",COUNTIF('Base Exámenes'!$C$5:$C$1000, A524))</f>
        <v/>
      </c>
      <c r="M524" s="6" t="str">
        <f>IF($A524="","",IF(COUNTIF('Base Exámenes'!$C$5:$C$1000, A524)&gt;0, "", TRIM('Base Oficial'!H524)))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11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11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10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22" t="str">
        <f>IF($A525="","",COUNTIF('Base Exámenes'!$C$5:$C$1000, A525))</f>
        <v/>
      </c>
      <c r="M525" s="6" t="str">
        <f>IF($A525="","",IF(COUNTIF('Base Exámenes'!$C$5:$C$1000, A525)&gt;0, "", TRIM('Base Oficial'!H525)))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11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11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10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22" t="str">
        <f>IF($A526="","",COUNTIF('Base Exámenes'!$C$5:$C$1000, A526))</f>
        <v/>
      </c>
      <c r="M526" s="6" t="str">
        <f>IF($A526="","",IF(COUNTIF('Base Exámenes'!$C$5:$C$1000, A526)&gt;0, "", TRIM('Base Oficial'!H526)))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11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11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10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22" t="str">
        <f>IF($A527="","",COUNTIF('Base Exámenes'!$C$5:$C$1000, A527))</f>
        <v/>
      </c>
      <c r="M527" s="6" t="str">
        <f>IF($A527="","",IF(COUNTIF('Base Exámenes'!$C$5:$C$1000, A527)&gt;0, "", TRIM('Base Oficial'!H527)))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11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11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10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22" t="str">
        <f>IF($A528="","",COUNTIF('Base Exámenes'!$C$5:$C$1000, A528))</f>
        <v/>
      </c>
      <c r="M528" s="6" t="str">
        <f>IF($A528="","",IF(COUNTIF('Base Exámenes'!$C$5:$C$1000, A528)&gt;0, "", TRIM('Base Oficial'!H528)))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11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11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10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22" t="str">
        <f>IF($A529="","",COUNTIF('Base Exámenes'!$C$5:$C$1000, A529))</f>
        <v/>
      </c>
      <c r="M529" s="6" t="str">
        <f>IF($A529="","",IF(COUNTIF('Base Exámenes'!$C$5:$C$1000, A529)&gt;0, "", TRIM('Base Oficial'!H529)))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11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11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10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22" t="str">
        <f>IF($A530="","",COUNTIF('Base Exámenes'!$C$5:$C$1000, A530))</f>
        <v/>
      </c>
      <c r="M530" s="6" t="str">
        <f>IF($A530="","",IF(COUNTIF('Base Exámenes'!$C$5:$C$1000, A530)&gt;0, "", TRIM('Base Oficial'!H530)))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11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11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10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22" t="str">
        <f>IF($A531="","",COUNTIF('Base Exámenes'!$C$5:$C$1000, A531))</f>
        <v/>
      </c>
      <c r="M531" s="6" t="str">
        <f>IF($A531="","",IF(COUNTIF('Base Exámenes'!$C$5:$C$1000, A531)&gt;0, "", TRIM('Base Oficial'!H531)))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11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11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10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22" t="str">
        <f>IF($A532="","",COUNTIF('Base Exámenes'!$C$5:$C$1000, A532))</f>
        <v/>
      </c>
      <c r="M532" s="6" t="str">
        <f>IF($A532="","",IF(COUNTIF('Base Exámenes'!$C$5:$C$1000, A532)&gt;0, "", TRIM('Base Oficial'!H532)))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11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11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10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22" t="str">
        <f>IF($A533="","",COUNTIF('Base Exámenes'!$C$5:$C$1000, A533))</f>
        <v/>
      </c>
      <c r="M533" s="6" t="str">
        <f>IF($A533="","",IF(COUNTIF('Base Exámenes'!$C$5:$C$1000, A533)&gt;0, "", TRIM('Base Oficial'!H533)))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11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11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10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22" t="str">
        <f>IF($A534="","",COUNTIF('Base Exámenes'!$C$5:$C$1000, A534))</f>
        <v/>
      </c>
      <c r="M534" s="6" t="str">
        <f>IF($A534="","",IF(COUNTIF('Base Exámenes'!$C$5:$C$1000, A534)&gt;0, "", TRIM('Base Oficial'!H534)))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11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11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10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22" t="str">
        <f>IF($A535="","",COUNTIF('Base Exámenes'!$C$5:$C$1000, A535))</f>
        <v/>
      </c>
      <c r="M535" s="6" t="str">
        <f>IF($A535="","",IF(COUNTIF('Base Exámenes'!$C$5:$C$1000, A535)&gt;0, "", TRIM('Base Oficial'!H535)))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11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11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10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22" t="str">
        <f>IF($A536="","",COUNTIF('Base Exámenes'!$C$5:$C$1000, A536))</f>
        <v/>
      </c>
      <c r="M536" s="6" t="str">
        <f>IF($A536="","",IF(COUNTIF('Base Exámenes'!$C$5:$C$1000, A536)&gt;0, "", TRIM('Base Oficial'!H536)))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11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11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10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22" t="str">
        <f>IF($A537="","",COUNTIF('Base Exámenes'!$C$5:$C$1000, A537))</f>
        <v/>
      </c>
      <c r="M537" s="6" t="str">
        <f>IF($A537="","",IF(COUNTIF('Base Exámenes'!$C$5:$C$1000, A537)&gt;0, "", TRIM('Base Oficial'!H537)))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11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11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10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22" t="str">
        <f>IF($A538="","",COUNTIF('Base Exámenes'!$C$5:$C$1000, A538))</f>
        <v/>
      </c>
      <c r="M538" s="6" t="str">
        <f>IF($A538="","",IF(COUNTIF('Base Exámenes'!$C$5:$C$1000, A538)&gt;0, "", TRIM('Base Oficial'!H538)))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11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11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10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22" t="str">
        <f>IF($A539="","",COUNTIF('Base Exámenes'!$C$5:$C$1000, A539))</f>
        <v/>
      </c>
      <c r="M539" s="6" t="str">
        <f>IF($A539="","",IF(COUNTIF('Base Exámenes'!$C$5:$C$1000, A539)&gt;0, "", TRIM('Base Oficial'!H539)))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11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11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10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22" t="str">
        <f>IF($A540="","",COUNTIF('Base Exámenes'!$C$5:$C$1000, A540))</f>
        <v/>
      </c>
      <c r="M540" s="6" t="str">
        <f>IF($A540="","",IF(COUNTIF('Base Exámenes'!$C$5:$C$1000, A540)&gt;0, "", TRIM('Base Oficial'!H540)))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11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11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10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22" t="str">
        <f>IF($A541="","",COUNTIF('Base Exámenes'!$C$5:$C$1000, A541))</f>
        <v/>
      </c>
      <c r="M541" s="6" t="str">
        <f>IF($A541="","",IF(COUNTIF('Base Exámenes'!$C$5:$C$1000, A541)&gt;0, "", TRIM('Base Oficial'!H541)))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11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11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10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22" t="str">
        <f>IF($A542="","",COUNTIF('Base Exámenes'!$C$5:$C$1000, A542))</f>
        <v/>
      </c>
      <c r="M542" s="6" t="str">
        <f>IF($A542="","",IF(COUNTIF('Base Exámenes'!$C$5:$C$1000, A542)&gt;0, "", TRIM('Base Oficial'!H542)))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11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11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10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22" t="str">
        <f>IF($A543="","",COUNTIF('Base Exámenes'!$C$5:$C$1000, A543))</f>
        <v/>
      </c>
      <c r="M543" s="6" t="str">
        <f>IF($A543="","",IF(COUNTIF('Base Exámenes'!$C$5:$C$1000, A543)&gt;0, "", TRIM('Base Oficial'!H543)))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11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11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10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22" t="str">
        <f>IF($A544="","",COUNTIF('Base Exámenes'!$C$5:$C$1000, A544))</f>
        <v/>
      </c>
      <c r="M544" s="6" t="str">
        <f>IF($A544="","",IF(COUNTIF('Base Exámenes'!$C$5:$C$1000, A544)&gt;0, "", TRIM('Base Oficial'!H544)))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11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11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10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22" t="str">
        <f>IF($A545="","",COUNTIF('Base Exámenes'!$C$5:$C$1000, A545))</f>
        <v/>
      </c>
      <c r="M545" s="6" t="str">
        <f>IF($A545="","",IF(COUNTIF('Base Exámenes'!$C$5:$C$1000, A545)&gt;0, "", TRIM('Base Oficial'!H545)))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11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11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10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22" t="str">
        <f>IF($A546="","",COUNTIF('Base Exámenes'!$C$5:$C$1000, A546))</f>
        <v/>
      </c>
      <c r="M546" s="6" t="str">
        <f>IF($A546="","",IF(COUNTIF('Base Exámenes'!$C$5:$C$1000, A546)&gt;0, "", TRIM('Base Oficial'!H546)))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11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11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10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22" t="str">
        <f>IF($A547="","",COUNTIF('Base Exámenes'!$C$5:$C$1000, A547))</f>
        <v/>
      </c>
      <c r="M547" s="6" t="str">
        <f>IF($A547="","",IF(COUNTIF('Base Exámenes'!$C$5:$C$1000, A547)&gt;0, "", TRIM('Base Oficial'!H547)))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11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11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10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22" t="str">
        <f>IF($A548="","",COUNTIF('Base Exámenes'!$C$5:$C$1000, A548))</f>
        <v/>
      </c>
      <c r="M548" s="6" t="str">
        <f>IF($A548="","",IF(COUNTIF('Base Exámenes'!$C$5:$C$1000, A548)&gt;0, "", TRIM('Base Oficial'!H548)))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11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11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10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22" t="str">
        <f>IF($A549="","",COUNTIF('Base Exámenes'!$C$5:$C$1000, A549))</f>
        <v/>
      </c>
      <c r="M549" s="6" t="str">
        <f>IF($A549="","",IF(COUNTIF('Base Exámenes'!$C$5:$C$1000, A549)&gt;0, "", TRIM('Base Oficial'!H549)))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11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11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10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22" t="str">
        <f>IF($A550="","",COUNTIF('Base Exámenes'!$C$5:$C$1000, A550))</f>
        <v/>
      </c>
      <c r="M550" s="6" t="str">
        <f>IF($A550="","",IF(COUNTIF('Base Exámenes'!$C$5:$C$1000, A550)&gt;0, "", TRIM('Base Oficial'!H550)))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11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11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10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22" t="str">
        <f>IF($A551="","",COUNTIF('Base Exámenes'!$C$5:$C$1000, A551))</f>
        <v/>
      </c>
      <c r="M551" s="6" t="str">
        <f>IF($A551="","",IF(COUNTIF('Base Exámenes'!$C$5:$C$1000, A551)&gt;0, "", TRIM('Base Oficial'!H551)))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11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11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10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22" t="str">
        <f>IF($A552="","",COUNTIF('Base Exámenes'!$C$5:$C$1000, A552))</f>
        <v/>
      </c>
      <c r="M552" s="6" t="str">
        <f>IF($A552="","",IF(COUNTIF('Base Exámenes'!$C$5:$C$1000, A552)&gt;0, "", TRIM('Base Oficial'!H552)))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11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11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10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22" t="str">
        <f>IF($A553="","",COUNTIF('Base Exámenes'!$C$5:$C$1000, A553))</f>
        <v/>
      </c>
      <c r="M553" s="6" t="str">
        <f>IF($A553="","",IF(COUNTIF('Base Exámenes'!$C$5:$C$1000, A553)&gt;0, "", TRIM('Base Oficial'!H553)))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11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11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10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22" t="str">
        <f>IF($A554="","",COUNTIF('Base Exámenes'!$C$5:$C$1000, A554))</f>
        <v/>
      </c>
      <c r="M554" s="6" t="str">
        <f>IF($A554="","",IF(COUNTIF('Base Exámenes'!$C$5:$C$1000, A554)&gt;0, "", TRIM('Base Oficial'!H554)))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11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11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10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22" t="str">
        <f>IF($A555="","",COUNTIF('Base Exámenes'!$C$5:$C$1000, A555))</f>
        <v/>
      </c>
      <c r="M555" s="6" t="str">
        <f>IF($A555="","",IF(COUNTIF('Base Exámenes'!$C$5:$C$1000, A555)&gt;0, "", TRIM('Base Oficial'!H555)))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11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11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10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22" t="str">
        <f>IF($A556="","",COUNTIF('Base Exámenes'!$C$5:$C$1000, A556))</f>
        <v/>
      </c>
      <c r="M556" s="6" t="str">
        <f>IF($A556="","",IF(COUNTIF('Base Exámenes'!$C$5:$C$1000, A556)&gt;0, "", TRIM('Base Oficial'!H556)))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11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11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10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22" t="str">
        <f>IF($A557="","",COUNTIF('Base Exámenes'!$C$5:$C$1000, A557))</f>
        <v/>
      </c>
      <c r="M557" s="6" t="str">
        <f>IF($A557="","",IF(COUNTIF('Base Exámenes'!$C$5:$C$1000, A557)&gt;0, "", TRIM('Base Oficial'!H557)))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11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11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10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22" t="str">
        <f>IF($A558="","",COUNTIF('Base Exámenes'!$C$5:$C$1000, A558))</f>
        <v/>
      </c>
      <c r="M558" s="6" t="str">
        <f>IF($A558="","",IF(COUNTIF('Base Exámenes'!$C$5:$C$1000, A558)&gt;0, "", TRIM('Base Oficial'!H558)))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11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11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10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22" t="str">
        <f>IF($A559="","",COUNTIF('Base Exámenes'!$C$5:$C$1000, A559))</f>
        <v/>
      </c>
      <c r="M559" s="6" t="str">
        <f>IF($A559="","",IF(COUNTIF('Base Exámenes'!$C$5:$C$1000, A559)&gt;0, "", TRIM('Base Oficial'!H559)))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11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11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10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22" t="str">
        <f>IF($A560="","",COUNTIF('Base Exámenes'!$C$5:$C$1000, A560))</f>
        <v/>
      </c>
      <c r="M560" s="6" t="str">
        <f>IF($A560="","",IF(COUNTIF('Base Exámenes'!$C$5:$C$1000, A560)&gt;0, "", TRIM('Base Oficial'!H560)))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11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11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10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22" t="str">
        <f>IF($A561="","",COUNTIF('Base Exámenes'!$C$5:$C$1000, A561))</f>
        <v/>
      </c>
      <c r="M561" s="6" t="str">
        <f>IF($A561="","",IF(COUNTIF('Base Exámenes'!$C$5:$C$1000, A561)&gt;0, "", TRIM('Base Oficial'!H561)))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11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11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10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22" t="str">
        <f>IF($A562="","",COUNTIF('Base Exámenes'!$C$5:$C$1000, A562))</f>
        <v/>
      </c>
      <c r="M562" s="6" t="str">
        <f>IF($A562="","",IF(COUNTIF('Base Exámenes'!$C$5:$C$1000, A562)&gt;0, "", TRIM('Base Oficial'!H562)))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11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11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10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22" t="str">
        <f>IF($A563="","",COUNTIF('Base Exámenes'!$C$5:$C$1000, A563))</f>
        <v/>
      </c>
      <c r="M563" s="6" t="str">
        <f>IF($A563="","",IF(COUNTIF('Base Exámenes'!$C$5:$C$1000, A563)&gt;0, "", TRIM('Base Oficial'!H563)))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11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11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10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22" t="str">
        <f>IF($A564="","",COUNTIF('Base Exámenes'!$C$5:$C$1000, A564))</f>
        <v/>
      </c>
      <c r="M564" s="6" t="str">
        <f>IF($A564="","",IF(COUNTIF('Base Exámenes'!$C$5:$C$1000, A564)&gt;0, "", TRIM('Base Oficial'!H564)))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11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11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10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22" t="str">
        <f>IF($A565="","",COUNTIF('Base Exámenes'!$C$5:$C$1000, A565))</f>
        <v/>
      </c>
      <c r="M565" s="6" t="str">
        <f>IF($A565="","",IF(COUNTIF('Base Exámenes'!$C$5:$C$1000, A565)&gt;0, "", TRIM('Base Oficial'!H565)))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11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11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10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22" t="str">
        <f>IF($A566="","",COUNTIF('Base Exámenes'!$C$5:$C$1000, A566))</f>
        <v/>
      </c>
      <c r="M566" s="6" t="str">
        <f>IF($A566="","",IF(COUNTIF('Base Exámenes'!$C$5:$C$1000, A566)&gt;0, "", TRIM('Base Oficial'!H566)))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11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11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10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22" t="str">
        <f>IF($A567="","",COUNTIF('Base Exámenes'!$C$5:$C$1000, A567))</f>
        <v/>
      </c>
      <c r="M567" s="6" t="str">
        <f>IF($A567="","",IF(COUNTIF('Base Exámenes'!$C$5:$C$1000, A567)&gt;0, "", TRIM('Base Oficial'!H567)))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11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11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10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22" t="str">
        <f>IF($A568="","",COUNTIF('Base Exámenes'!$C$5:$C$1000, A568))</f>
        <v/>
      </c>
      <c r="M568" s="6" t="str">
        <f>IF($A568="","",IF(COUNTIF('Base Exámenes'!$C$5:$C$1000, A568)&gt;0, "", TRIM('Base Oficial'!H568)))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11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11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10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22" t="str">
        <f>IF($A569="","",COUNTIF('Base Exámenes'!$C$5:$C$1000, A569))</f>
        <v/>
      </c>
      <c r="M569" s="6" t="str">
        <f>IF($A569="","",IF(COUNTIF('Base Exámenes'!$C$5:$C$1000, A569)&gt;0, "", TRIM('Base Oficial'!H569)))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11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11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10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22" t="str">
        <f>IF($A570="","",COUNTIF('Base Exámenes'!$C$5:$C$1000, A570))</f>
        <v/>
      </c>
      <c r="M570" s="6" t="str">
        <f>IF($A570="","",IF(COUNTIF('Base Exámenes'!$C$5:$C$1000, A570)&gt;0, "", TRIM('Base Oficial'!H570)))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11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11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10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22" t="str">
        <f>IF($A571="","",COUNTIF('Base Exámenes'!$C$5:$C$1000, A571))</f>
        <v/>
      </c>
      <c r="M571" s="6" t="str">
        <f>IF($A571="","",IF(COUNTIF('Base Exámenes'!$C$5:$C$1000, A571)&gt;0, "", TRIM('Base Oficial'!H571)))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11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11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10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22" t="str">
        <f>IF($A572="","",COUNTIF('Base Exámenes'!$C$5:$C$1000, A572))</f>
        <v/>
      </c>
      <c r="M572" s="6" t="str">
        <f>IF($A572="","",IF(COUNTIF('Base Exámenes'!$C$5:$C$1000, A572)&gt;0, "", TRIM('Base Oficial'!H572)))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11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11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10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22" t="str">
        <f>IF($A573="","",COUNTIF('Base Exámenes'!$C$5:$C$1000, A573))</f>
        <v/>
      </c>
      <c r="M573" s="6" t="str">
        <f>IF($A573="","",IF(COUNTIF('Base Exámenes'!$C$5:$C$1000, A573)&gt;0, "", TRIM('Base Oficial'!H573)))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11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11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10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22" t="str">
        <f>IF($A574="","",COUNTIF('Base Exámenes'!$C$5:$C$1000, A574))</f>
        <v/>
      </c>
      <c r="M574" s="6" t="str">
        <f>IF($A574="","",IF(COUNTIF('Base Exámenes'!$C$5:$C$1000, A574)&gt;0, "", TRIM('Base Oficial'!H574)))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11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11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10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22" t="str">
        <f>IF($A575="","",COUNTIF('Base Exámenes'!$C$5:$C$1000, A575))</f>
        <v/>
      </c>
      <c r="M575" s="6" t="str">
        <f>IF($A575="","",IF(COUNTIF('Base Exámenes'!$C$5:$C$1000, A575)&gt;0, "", TRIM('Base Oficial'!H575)))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11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11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10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22" t="str">
        <f>IF($A576="","",COUNTIF('Base Exámenes'!$C$5:$C$1000, A576))</f>
        <v/>
      </c>
      <c r="M576" s="6" t="str">
        <f>IF($A576="","",IF(COUNTIF('Base Exámenes'!$C$5:$C$1000, A576)&gt;0, "", TRIM('Base Oficial'!H576)))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11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11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10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22" t="str">
        <f>IF($A577="","",COUNTIF('Base Exámenes'!$C$5:$C$1000, A577))</f>
        <v/>
      </c>
      <c r="M577" s="6" t="str">
        <f>IF($A577="","",IF(COUNTIF('Base Exámenes'!$C$5:$C$1000, A577)&gt;0, "", TRIM('Base Oficial'!H577)))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11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11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10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22" t="str">
        <f>IF($A578="","",COUNTIF('Base Exámenes'!$C$5:$C$1000, A578))</f>
        <v/>
      </c>
      <c r="M578" s="6" t="str">
        <f>IF($A578="","",IF(COUNTIF('Base Exámenes'!$C$5:$C$1000, A578)&gt;0, "", TRIM('Base Oficial'!H578)))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11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11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10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22" t="str">
        <f>IF($A579="","",COUNTIF('Base Exámenes'!$C$5:$C$1000, A579))</f>
        <v/>
      </c>
      <c r="M579" s="6" t="str">
        <f>IF($A579="","",IF(COUNTIF('Base Exámenes'!$C$5:$C$1000, A579)&gt;0, "", TRIM('Base Oficial'!H579)))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11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11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10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22" t="str">
        <f>IF($A580="","",COUNTIF('Base Exámenes'!$C$5:$C$1000, A580))</f>
        <v/>
      </c>
      <c r="M580" s="6" t="str">
        <f>IF($A580="","",IF(COUNTIF('Base Exámenes'!$C$5:$C$1000, A580)&gt;0, "", TRIM('Base Oficial'!H580)))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11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11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10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22" t="str">
        <f>IF($A581="","",COUNTIF('Base Exámenes'!$C$5:$C$1000, A581))</f>
        <v/>
      </c>
      <c r="M581" s="6" t="str">
        <f>IF($A581="","",IF(COUNTIF('Base Exámenes'!$C$5:$C$1000, A581)&gt;0, "", TRIM('Base Oficial'!H581)))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11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11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10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22" t="str">
        <f>IF($A582="","",COUNTIF('Base Exámenes'!$C$5:$C$1000, A582))</f>
        <v/>
      </c>
      <c r="M582" s="6" t="str">
        <f>IF($A582="","",IF(COUNTIF('Base Exámenes'!$C$5:$C$1000, A582)&gt;0, "", TRIM('Base Oficial'!H582)))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11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11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10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22" t="str">
        <f>IF($A583="","",COUNTIF('Base Exámenes'!$C$5:$C$1000, A583))</f>
        <v/>
      </c>
      <c r="M583" s="6" t="str">
        <f>IF($A583="","",IF(COUNTIF('Base Exámenes'!$C$5:$C$1000, A583)&gt;0, "", TRIM('Base Oficial'!H583)))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11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11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10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22" t="str">
        <f>IF($A584="","",COUNTIF('Base Exámenes'!$C$5:$C$1000, A584))</f>
        <v/>
      </c>
      <c r="M584" s="6" t="str">
        <f>IF($A584="","",IF(COUNTIF('Base Exámenes'!$C$5:$C$1000, A584)&gt;0, "", TRIM('Base Oficial'!H584)))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11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11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10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22" t="str">
        <f>IF($A585="","",COUNTIF('Base Exámenes'!$C$5:$C$1000, A585))</f>
        <v/>
      </c>
      <c r="M585" s="6" t="str">
        <f>IF($A585="","",IF(COUNTIF('Base Exámenes'!$C$5:$C$1000, A585)&gt;0, "", TRIM('Base Oficial'!H585)))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11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11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10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22" t="str">
        <f>IF($A586="","",COUNTIF('Base Exámenes'!$C$5:$C$1000, A586))</f>
        <v/>
      </c>
      <c r="M586" s="6" t="str">
        <f>IF($A586="","",IF(COUNTIF('Base Exámenes'!$C$5:$C$1000, A586)&gt;0, "", TRIM('Base Oficial'!H586)))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11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11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10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22" t="str">
        <f>IF($A587="","",COUNTIF('Base Exámenes'!$C$5:$C$1000, A587))</f>
        <v/>
      </c>
      <c r="M587" s="6" t="str">
        <f>IF($A587="","",IF(COUNTIF('Base Exámenes'!$C$5:$C$1000, A587)&gt;0, "", TRIM('Base Oficial'!H587)))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11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11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10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22" t="str">
        <f>IF($A588="","",COUNTIF('Base Exámenes'!$C$5:$C$1000, A588))</f>
        <v/>
      </c>
      <c r="M588" s="6" t="str">
        <f>IF($A588="","",IF(COUNTIF('Base Exámenes'!$C$5:$C$1000, A588)&gt;0, "", TRIM('Base Oficial'!H588)))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11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11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10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22" t="str">
        <f>IF($A589="","",COUNTIF('Base Exámenes'!$C$5:$C$1000, A589))</f>
        <v/>
      </c>
      <c r="M589" s="6" t="str">
        <f>IF($A589="","",IF(COUNTIF('Base Exámenes'!$C$5:$C$1000, A589)&gt;0, "", TRIM('Base Oficial'!H589)))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11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11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10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22" t="str">
        <f>IF($A590="","",COUNTIF('Base Exámenes'!$C$5:$C$1000, A590))</f>
        <v/>
      </c>
      <c r="M590" s="6" t="str">
        <f>IF($A590="","",IF(COUNTIF('Base Exámenes'!$C$5:$C$1000, A590)&gt;0, "", TRIM('Base Oficial'!H590)))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11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11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10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22" t="str">
        <f>IF($A591="","",COUNTIF('Base Exámenes'!$C$5:$C$1000, A591))</f>
        <v/>
      </c>
      <c r="M591" s="6" t="str">
        <f>IF($A591="","",IF(COUNTIF('Base Exámenes'!$C$5:$C$1000, A591)&gt;0, "", TRIM('Base Oficial'!H591)))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11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11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10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22" t="str">
        <f>IF($A592="","",COUNTIF('Base Exámenes'!$C$5:$C$1000, A592))</f>
        <v/>
      </c>
      <c r="M592" s="6" t="str">
        <f>IF($A592="","",IF(COUNTIF('Base Exámenes'!$C$5:$C$1000, A592)&gt;0, "", TRIM('Base Oficial'!H592)))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11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11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10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22" t="str">
        <f>IF($A593="","",COUNTIF('Base Exámenes'!$C$5:$C$1000, A593))</f>
        <v/>
      </c>
      <c r="M593" s="6" t="str">
        <f>IF($A593="","",IF(COUNTIF('Base Exámenes'!$C$5:$C$1000, A593)&gt;0, "", TRIM('Base Oficial'!H593)))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11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11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10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22" t="str">
        <f>IF($A594="","",COUNTIF('Base Exámenes'!$C$5:$C$1000, A594))</f>
        <v/>
      </c>
      <c r="M594" s="6" t="str">
        <f>IF($A594="","",IF(COUNTIF('Base Exámenes'!$C$5:$C$1000, A594)&gt;0, "", TRIM('Base Oficial'!H594)))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11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11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10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22" t="str">
        <f>IF($A595="","",COUNTIF('Base Exámenes'!$C$5:$C$1000, A595))</f>
        <v/>
      </c>
      <c r="M595" s="6" t="str">
        <f>IF($A595="","",IF(COUNTIF('Base Exámenes'!$C$5:$C$1000, A595)&gt;0, "", TRIM('Base Oficial'!H595)))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11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11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10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22" t="str">
        <f>IF($A596="","",COUNTIF('Base Exámenes'!$C$5:$C$1000, A596))</f>
        <v/>
      </c>
      <c r="M596" s="6" t="str">
        <f>IF($A596="","",IF(COUNTIF('Base Exámenes'!$C$5:$C$1000, A596)&gt;0, "", TRIM('Base Oficial'!H596)))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11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11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10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22" t="str">
        <f>IF($A597="","",COUNTIF('Base Exámenes'!$C$5:$C$1000, A597))</f>
        <v/>
      </c>
      <c r="M597" s="6" t="str">
        <f>IF($A597="","",IF(COUNTIF('Base Exámenes'!$C$5:$C$1000, A597)&gt;0, "", TRIM('Base Oficial'!H597)))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11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11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10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22" t="str">
        <f>IF($A598="","",COUNTIF('Base Exámenes'!$C$5:$C$1000, A598))</f>
        <v/>
      </c>
      <c r="M598" s="6" t="str">
        <f>IF($A598="","",IF(COUNTIF('Base Exámenes'!$C$5:$C$1000, A598)&gt;0, "", TRIM('Base Oficial'!H598)))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11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11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10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22" t="str">
        <f>IF($A599="","",COUNTIF('Base Exámenes'!$C$5:$C$1000, A599))</f>
        <v/>
      </c>
      <c r="M599" s="6" t="str">
        <f>IF($A599="","",IF(COUNTIF('Base Exámenes'!$C$5:$C$1000, A599)&gt;0, "", TRIM('Base Oficial'!H599)))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11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11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10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22" t="str">
        <f>IF($A600="","",COUNTIF('Base Exámenes'!$C$5:$C$1000, A600))</f>
        <v/>
      </c>
      <c r="M600" s="6" t="str">
        <f>IF($A600="","",IF(COUNTIF('Base Exámenes'!$C$5:$C$1000, A600)&gt;0, "", TRIM('Base Oficial'!H600)))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11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11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10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22" t="str">
        <f>IF($A601="","",COUNTIF('Base Exámenes'!$C$5:$C$1000, A601))</f>
        <v/>
      </c>
      <c r="M601" s="6" t="str">
        <f>IF($A601="","",IF(COUNTIF('Base Exámenes'!$C$5:$C$1000, A601)&gt;0, "", TRIM('Base Oficial'!H601)))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11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11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10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22" t="str">
        <f>IF($A602="","",COUNTIF('Base Exámenes'!$C$5:$C$1000, A602))</f>
        <v/>
      </c>
      <c r="M602" s="6" t="str">
        <f>IF($A602="","",IF(COUNTIF('Base Exámenes'!$C$5:$C$1000, A602)&gt;0, "", TRIM('Base Oficial'!H602)))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11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11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10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22" t="str">
        <f>IF($A603="","",COUNTIF('Base Exámenes'!$C$5:$C$1000, A603))</f>
        <v/>
      </c>
      <c r="M603" s="6" t="str">
        <f>IF($A603="","",IF(COUNTIF('Base Exámenes'!$C$5:$C$1000, A603)&gt;0, "", TRIM('Base Oficial'!H603)))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11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11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10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22" t="str">
        <f>IF($A604="","",COUNTIF('Base Exámenes'!$C$5:$C$1000, A604))</f>
        <v/>
      </c>
      <c r="M604" s="6" t="str">
        <f>IF($A604="","",IF(COUNTIF('Base Exámenes'!$C$5:$C$1000, A604)&gt;0, "", TRIM('Base Oficial'!H604)))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11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11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10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22" t="str">
        <f>IF($A605="","",COUNTIF('Base Exámenes'!$C$5:$C$1000, A605))</f>
        <v/>
      </c>
      <c r="M605" s="6" t="str">
        <f>IF($A605="","",IF(COUNTIF('Base Exámenes'!$C$5:$C$1000, A605)&gt;0, "", TRIM('Base Oficial'!H605)))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11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11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10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22" t="str">
        <f>IF($A606="","",COUNTIF('Base Exámenes'!$C$5:$C$1000, A606))</f>
        <v/>
      </c>
      <c r="M606" s="6" t="str">
        <f>IF($A606="","",IF(COUNTIF('Base Exámenes'!$C$5:$C$1000, A606)&gt;0, "", TRIM('Base Oficial'!H606)))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11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11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10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22" t="str">
        <f>IF($A607="","",COUNTIF('Base Exámenes'!$C$5:$C$1000, A607))</f>
        <v/>
      </c>
      <c r="M607" s="6" t="str">
        <f>IF($A607="","",IF(COUNTIF('Base Exámenes'!$C$5:$C$1000, A607)&gt;0, "", TRIM('Base Oficial'!H607)))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11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11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10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22" t="str">
        <f>IF($A608="","",COUNTIF('Base Exámenes'!$C$5:$C$1000, A608))</f>
        <v/>
      </c>
      <c r="M608" s="6" t="str">
        <f>IF($A608="","",IF(COUNTIF('Base Exámenes'!$C$5:$C$1000, A608)&gt;0, "", TRIM('Base Oficial'!H608)))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11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11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10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22" t="str">
        <f>IF($A609="","",COUNTIF('Base Exámenes'!$C$5:$C$1000, A609))</f>
        <v/>
      </c>
      <c r="M609" s="6" t="str">
        <f>IF($A609="","",IF(COUNTIF('Base Exámenes'!$C$5:$C$1000, A609)&gt;0, "", TRIM('Base Oficial'!H609)))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11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11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10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22" t="str">
        <f>IF($A610="","",COUNTIF('Base Exámenes'!$C$5:$C$1000, A610))</f>
        <v/>
      </c>
      <c r="M610" s="6" t="str">
        <f>IF($A610="","",IF(COUNTIF('Base Exámenes'!$C$5:$C$1000, A610)&gt;0, "", TRIM('Base Oficial'!H610)))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11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11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10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22" t="str">
        <f>IF($A611="","",COUNTIF('Base Exámenes'!$C$5:$C$1000, A611))</f>
        <v/>
      </c>
      <c r="M611" s="6" t="str">
        <f>IF($A611="","",IF(COUNTIF('Base Exámenes'!$C$5:$C$1000, A611)&gt;0, "", TRIM('Base Oficial'!H611)))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11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11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10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22" t="str">
        <f>IF($A612="","",COUNTIF('Base Exámenes'!$C$5:$C$1000, A612))</f>
        <v/>
      </c>
      <c r="M612" s="6" t="str">
        <f>IF($A612="","",IF(COUNTIF('Base Exámenes'!$C$5:$C$1000, A612)&gt;0, "", TRIM('Base Oficial'!H612)))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11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11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10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22" t="str">
        <f>IF($A613="","",COUNTIF('Base Exámenes'!$C$5:$C$1000, A613))</f>
        <v/>
      </c>
      <c r="M613" s="6" t="str">
        <f>IF($A613="","",IF(COUNTIF('Base Exámenes'!$C$5:$C$1000, A613)&gt;0, "", TRIM('Base Oficial'!H613)))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11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11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10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22" t="str">
        <f>IF($A614="","",COUNTIF('Base Exámenes'!$C$5:$C$1000, A614))</f>
        <v/>
      </c>
      <c r="M614" s="6" t="str">
        <f>IF($A614="","",IF(COUNTIF('Base Exámenes'!$C$5:$C$1000, A614)&gt;0, "", TRIM('Base Oficial'!H614)))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11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11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10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22" t="str">
        <f>IF($A615="","",COUNTIF('Base Exámenes'!$C$5:$C$1000, A615))</f>
        <v/>
      </c>
      <c r="M615" s="6" t="str">
        <f>IF($A615="","",IF(COUNTIF('Base Exámenes'!$C$5:$C$1000, A615)&gt;0, "", TRIM('Base Oficial'!H615)))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11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11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10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22" t="str">
        <f>IF($A616="","",COUNTIF('Base Exámenes'!$C$5:$C$1000, A616))</f>
        <v/>
      </c>
      <c r="M616" s="6" t="str">
        <f>IF($A616="","",IF(COUNTIF('Base Exámenes'!$C$5:$C$1000, A616)&gt;0, "", TRIM('Base Oficial'!H616)))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11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11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10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22" t="str">
        <f>IF($A617="","",COUNTIF('Base Exámenes'!$C$5:$C$1000, A617))</f>
        <v/>
      </c>
      <c r="M617" s="6" t="str">
        <f>IF($A617="","",IF(COUNTIF('Base Exámenes'!$C$5:$C$1000, A617)&gt;0, "", TRIM('Base Oficial'!H617)))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11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11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10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22" t="str">
        <f>IF($A618="","",COUNTIF('Base Exámenes'!$C$5:$C$1000, A618))</f>
        <v/>
      </c>
      <c r="M618" s="6" t="str">
        <f>IF($A618="","",IF(COUNTIF('Base Exámenes'!$C$5:$C$1000, A618)&gt;0, "", TRIM('Base Oficial'!H618)))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11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11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10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22" t="str">
        <f>IF($A619="","",COUNTIF('Base Exámenes'!$C$5:$C$1000, A619))</f>
        <v/>
      </c>
      <c r="M619" s="6" t="str">
        <f>IF($A619="","",IF(COUNTIF('Base Exámenes'!$C$5:$C$1000, A619)&gt;0, "", TRIM('Base Oficial'!H619)))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11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11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10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22" t="str">
        <f>IF($A620="","",COUNTIF('Base Exámenes'!$C$5:$C$1000, A620))</f>
        <v/>
      </c>
      <c r="M620" s="6" t="str">
        <f>IF($A620="","",IF(COUNTIF('Base Exámenes'!$C$5:$C$1000, A620)&gt;0, "", TRIM('Base Oficial'!H620)))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11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11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10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22" t="str">
        <f>IF($A621="","",COUNTIF('Base Exámenes'!$C$5:$C$1000, A621))</f>
        <v/>
      </c>
      <c r="M621" s="6" t="str">
        <f>IF($A621="","",IF(COUNTIF('Base Exámenes'!$C$5:$C$1000, A621)&gt;0, "", TRIM('Base Oficial'!H621)))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11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11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10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22" t="str">
        <f>IF($A622="","",COUNTIF('Base Exámenes'!$C$5:$C$1000, A622))</f>
        <v/>
      </c>
      <c r="M622" s="6" t="str">
        <f>IF($A622="","",IF(COUNTIF('Base Exámenes'!$C$5:$C$1000, A622)&gt;0, "", TRIM('Base Oficial'!H622)))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11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11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10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22" t="str">
        <f>IF($A623="","",COUNTIF('Base Exámenes'!$C$5:$C$1000, A623))</f>
        <v/>
      </c>
      <c r="M623" s="6" t="str">
        <f>IF($A623="","",IF(COUNTIF('Base Exámenes'!$C$5:$C$1000, A623)&gt;0, "", TRIM('Base Oficial'!H623)))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11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11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10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22" t="str">
        <f>IF($A624="","",COUNTIF('Base Exámenes'!$C$5:$C$1000, A624))</f>
        <v/>
      </c>
      <c r="M624" s="6" t="str">
        <f>IF($A624="","",IF(COUNTIF('Base Exámenes'!$C$5:$C$1000, A624)&gt;0, "", TRIM('Base Oficial'!H624)))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11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11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10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22" t="str">
        <f>IF($A625="","",COUNTIF('Base Exámenes'!$C$5:$C$1000, A625))</f>
        <v/>
      </c>
      <c r="M625" s="6" t="str">
        <f>IF($A625="","",IF(COUNTIF('Base Exámenes'!$C$5:$C$1000, A625)&gt;0, "", TRIM('Base Oficial'!H625)))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11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11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10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22" t="str">
        <f>IF($A626="","",COUNTIF('Base Exámenes'!$C$5:$C$1000, A626))</f>
        <v/>
      </c>
      <c r="M626" s="6" t="str">
        <f>IF($A626="","",IF(COUNTIF('Base Exámenes'!$C$5:$C$1000, A626)&gt;0, "", TRIM('Base Oficial'!H626)))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11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11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10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22" t="str">
        <f>IF($A627="","",COUNTIF('Base Exámenes'!$C$5:$C$1000, A627))</f>
        <v/>
      </c>
      <c r="M627" s="6" t="str">
        <f>IF($A627="","",IF(COUNTIF('Base Exámenes'!$C$5:$C$1000, A627)&gt;0, "", TRIM('Base Oficial'!H627)))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11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11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10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22" t="str">
        <f>IF($A628="","",COUNTIF('Base Exámenes'!$C$5:$C$1000, A628))</f>
        <v/>
      </c>
      <c r="M628" s="6" t="str">
        <f>IF($A628="","",IF(COUNTIF('Base Exámenes'!$C$5:$C$1000, A628)&gt;0, "", TRIM('Base Oficial'!H628)))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11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11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10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22" t="str">
        <f>IF($A629="","",COUNTIF('Base Exámenes'!$C$5:$C$1000, A629))</f>
        <v/>
      </c>
      <c r="M629" s="6" t="str">
        <f>IF($A629="","",IF(COUNTIF('Base Exámenes'!$C$5:$C$1000, A629)&gt;0, "", TRIM('Base Oficial'!H629)))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11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11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10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22" t="str">
        <f>IF($A630="","",COUNTIF('Base Exámenes'!$C$5:$C$1000, A630))</f>
        <v/>
      </c>
      <c r="M630" s="6" t="str">
        <f>IF($A630="","",IF(COUNTIF('Base Exámenes'!$C$5:$C$1000, A630)&gt;0, "", TRIM('Base Oficial'!H630)))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11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11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10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22" t="str">
        <f>IF($A631="","",COUNTIF('Base Exámenes'!$C$5:$C$1000, A631))</f>
        <v/>
      </c>
      <c r="M631" s="6" t="str">
        <f>IF($A631="","",IF(COUNTIF('Base Exámenes'!$C$5:$C$1000, A631)&gt;0, "", TRIM('Base Oficial'!H631)))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11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11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10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22" t="str">
        <f>IF($A632="","",COUNTIF('Base Exámenes'!$C$5:$C$1000, A632))</f>
        <v/>
      </c>
      <c r="M632" s="6" t="str">
        <f>IF($A632="","",IF(COUNTIF('Base Exámenes'!$C$5:$C$1000, A632)&gt;0, "", TRIM('Base Oficial'!H632)))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11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11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10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22" t="str">
        <f>IF($A633="","",COUNTIF('Base Exámenes'!$C$5:$C$1000, A633))</f>
        <v/>
      </c>
      <c r="M633" s="6" t="str">
        <f>IF($A633="","",IF(COUNTIF('Base Exámenes'!$C$5:$C$1000, A633)&gt;0, "", TRIM('Base Oficial'!H633)))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11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11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10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22" t="str">
        <f>IF($A634="","",COUNTIF('Base Exámenes'!$C$5:$C$1000, A634))</f>
        <v/>
      </c>
      <c r="M634" s="6" t="str">
        <f>IF($A634="","",IF(COUNTIF('Base Exámenes'!$C$5:$C$1000, A634)&gt;0, "", TRIM('Base Oficial'!H634)))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11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11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10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22" t="str">
        <f>IF($A635="","",COUNTIF('Base Exámenes'!$C$5:$C$1000, A635))</f>
        <v/>
      </c>
      <c r="M635" s="6" t="str">
        <f>IF($A635="","",IF(COUNTIF('Base Exámenes'!$C$5:$C$1000, A635)&gt;0, "", TRIM('Base Oficial'!H635)))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11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11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10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22" t="str">
        <f>IF($A636="","",COUNTIF('Base Exámenes'!$C$5:$C$1000, A636))</f>
        <v/>
      </c>
      <c r="M636" s="6" t="str">
        <f>IF($A636="","",IF(COUNTIF('Base Exámenes'!$C$5:$C$1000, A636)&gt;0, "", TRIM('Base Oficial'!H636)))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11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11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10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22" t="str">
        <f>IF($A637="","",COUNTIF('Base Exámenes'!$C$5:$C$1000, A637))</f>
        <v/>
      </c>
      <c r="M637" s="6" t="str">
        <f>IF($A637="","",IF(COUNTIF('Base Exámenes'!$C$5:$C$1000, A637)&gt;0, "", TRIM('Base Oficial'!H637)))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11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11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10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22" t="str">
        <f>IF($A638="","",COUNTIF('Base Exámenes'!$C$5:$C$1000, A638))</f>
        <v/>
      </c>
      <c r="M638" s="6" t="str">
        <f>IF($A638="","",IF(COUNTIF('Base Exámenes'!$C$5:$C$1000, A638)&gt;0, "", TRIM('Base Oficial'!H638)))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11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11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10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22" t="str">
        <f>IF($A639="","",COUNTIF('Base Exámenes'!$C$5:$C$1000, A639))</f>
        <v/>
      </c>
      <c r="M639" s="6" t="str">
        <f>IF($A639="","",IF(COUNTIF('Base Exámenes'!$C$5:$C$1000, A639)&gt;0, "", TRIM('Base Oficial'!H639)))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11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11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10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22" t="str">
        <f>IF($A640="","",COUNTIF('Base Exámenes'!$C$5:$C$1000, A640))</f>
        <v/>
      </c>
      <c r="M640" s="6" t="str">
        <f>IF($A640="","",IF(COUNTIF('Base Exámenes'!$C$5:$C$1000, A640)&gt;0, "", TRIM('Base Oficial'!H640)))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11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11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10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22" t="str">
        <f>IF($A641="","",COUNTIF('Base Exámenes'!$C$5:$C$1000, A641))</f>
        <v/>
      </c>
      <c r="M641" s="6" t="str">
        <f>IF($A641="","",IF(COUNTIF('Base Exámenes'!$C$5:$C$1000, A641)&gt;0, "", TRIM('Base Oficial'!H641)))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11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11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10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22" t="str">
        <f>IF($A642="","",COUNTIF('Base Exámenes'!$C$5:$C$1000, A642))</f>
        <v/>
      </c>
      <c r="M642" s="6" t="str">
        <f>IF($A642="","",IF(COUNTIF('Base Exámenes'!$C$5:$C$1000, A642)&gt;0, "", TRIM('Base Oficial'!H642)))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11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11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10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22" t="str">
        <f>IF($A643="","",COUNTIF('Base Exámenes'!$C$5:$C$1000, A643))</f>
        <v/>
      </c>
      <c r="M643" s="6" t="str">
        <f>IF($A643="","",IF(COUNTIF('Base Exámenes'!$C$5:$C$1000, A643)&gt;0, "", TRIM('Base Oficial'!H643)))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11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11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10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22" t="str">
        <f>IF($A644="","",COUNTIF('Base Exámenes'!$C$5:$C$1000, A644))</f>
        <v/>
      </c>
      <c r="M644" s="6" t="str">
        <f>IF($A644="","",IF(COUNTIF('Base Exámenes'!$C$5:$C$1000, A644)&gt;0, "", TRIM('Base Oficial'!H644)))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11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11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10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22" t="str">
        <f>IF($A645="","",COUNTIF('Base Exámenes'!$C$5:$C$1000, A645))</f>
        <v/>
      </c>
      <c r="M645" s="6" t="str">
        <f>IF($A645="","",IF(COUNTIF('Base Exámenes'!$C$5:$C$1000, A645)&gt;0, "", TRIM('Base Oficial'!H645)))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11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11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10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22" t="str">
        <f>IF($A646="","",COUNTIF('Base Exámenes'!$C$5:$C$1000, A646))</f>
        <v/>
      </c>
      <c r="M646" s="6" t="str">
        <f>IF($A646="","",IF(COUNTIF('Base Exámenes'!$C$5:$C$1000, A646)&gt;0, "", TRIM('Base Oficial'!H646)))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11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11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10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22" t="str">
        <f>IF($A647="","",COUNTIF('Base Exámenes'!$C$5:$C$1000, A647))</f>
        <v/>
      </c>
      <c r="M647" s="6" t="str">
        <f>IF($A647="","",IF(COUNTIF('Base Exámenes'!$C$5:$C$1000, A647)&gt;0, "", TRIM('Base Oficial'!H647)))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11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11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10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22" t="str">
        <f>IF($A648="","",COUNTIF('Base Exámenes'!$C$5:$C$1000, A648))</f>
        <v/>
      </c>
      <c r="M648" s="6" t="str">
        <f>IF($A648="","",IF(COUNTIF('Base Exámenes'!$C$5:$C$1000, A648)&gt;0, "", TRIM('Base Oficial'!H648)))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11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11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10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22" t="str">
        <f>IF($A649="","",COUNTIF('Base Exámenes'!$C$5:$C$1000, A649))</f>
        <v/>
      </c>
      <c r="M649" s="6" t="str">
        <f>IF($A649="","",IF(COUNTIF('Base Exámenes'!$C$5:$C$1000, A649)&gt;0, "", TRIM('Base Oficial'!H649)))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11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11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10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22" t="str">
        <f>IF($A650="","",COUNTIF('Base Exámenes'!$C$5:$C$1000, A650))</f>
        <v/>
      </c>
      <c r="M650" s="6" t="str">
        <f>IF($A650="","",IF(COUNTIF('Base Exámenes'!$C$5:$C$1000, A650)&gt;0, "", TRIM('Base Oficial'!H650)))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11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11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10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22" t="str">
        <f>IF($A651="","",COUNTIF('Base Exámenes'!$C$5:$C$1000, A651))</f>
        <v/>
      </c>
      <c r="M651" s="6" t="str">
        <f>IF($A651="","",IF(COUNTIF('Base Exámenes'!$C$5:$C$1000, A651)&gt;0, "", TRIM('Base Oficial'!H651)))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11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11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10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22" t="str">
        <f>IF($A652="","",COUNTIF('Base Exámenes'!$C$5:$C$1000, A652))</f>
        <v/>
      </c>
      <c r="M652" s="6" t="str">
        <f>IF($A652="","",IF(COUNTIF('Base Exámenes'!$C$5:$C$1000, A652)&gt;0, "", TRIM('Base Oficial'!H652)))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11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11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10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22" t="str">
        <f>IF($A653="","",COUNTIF('Base Exámenes'!$C$5:$C$1000, A653))</f>
        <v/>
      </c>
      <c r="M653" s="6" t="str">
        <f>IF($A653="","",IF(COUNTIF('Base Exámenes'!$C$5:$C$1000, A653)&gt;0, "", TRIM('Base Oficial'!H653)))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11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11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10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22" t="str">
        <f>IF($A654="","",COUNTIF('Base Exámenes'!$C$5:$C$1000, A654))</f>
        <v/>
      </c>
      <c r="M654" s="6" t="str">
        <f>IF($A654="","",IF(COUNTIF('Base Exámenes'!$C$5:$C$1000, A654)&gt;0, "", TRIM('Base Oficial'!H654)))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11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11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10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22" t="str">
        <f>IF($A655="","",COUNTIF('Base Exámenes'!$C$5:$C$1000, A655))</f>
        <v/>
      </c>
      <c r="M655" s="6" t="str">
        <f>IF($A655="","",IF(COUNTIF('Base Exámenes'!$C$5:$C$1000, A655)&gt;0, "", TRIM('Base Oficial'!H655)))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11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11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10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22" t="str">
        <f>IF($A656="","",COUNTIF('Base Exámenes'!$C$5:$C$1000, A656))</f>
        <v/>
      </c>
      <c r="M656" s="6" t="str">
        <f>IF($A656="","",IF(COUNTIF('Base Exámenes'!$C$5:$C$1000, A656)&gt;0, "", TRIM('Base Oficial'!H656)))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11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11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10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22" t="str">
        <f>IF($A657="","",COUNTIF('Base Exámenes'!$C$5:$C$1000, A657))</f>
        <v/>
      </c>
      <c r="M657" s="6" t="str">
        <f>IF($A657="","",IF(COUNTIF('Base Exámenes'!$C$5:$C$1000, A657)&gt;0, "", TRIM('Base Oficial'!H657)))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11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11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10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22" t="str">
        <f>IF($A658="","",COUNTIF('Base Exámenes'!$C$5:$C$1000, A658))</f>
        <v/>
      </c>
      <c r="M658" s="6" t="str">
        <f>IF($A658="","",IF(COUNTIF('Base Exámenes'!$C$5:$C$1000, A658)&gt;0, "", TRIM('Base Oficial'!H658)))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11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11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10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22" t="str">
        <f>IF($A659="","",COUNTIF('Base Exámenes'!$C$5:$C$1000, A659))</f>
        <v/>
      </c>
      <c r="M659" s="6" t="str">
        <f>IF($A659="","",IF(COUNTIF('Base Exámenes'!$C$5:$C$1000, A659)&gt;0, "", TRIM('Base Oficial'!H659)))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11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11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10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22" t="str">
        <f>IF($A660="","",COUNTIF('Base Exámenes'!$C$5:$C$1000, A660))</f>
        <v/>
      </c>
      <c r="M660" s="6" t="str">
        <f>IF($A660="","",IF(COUNTIF('Base Exámenes'!$C$5:$C$1000, A660)&gt;0, "", TRIM('Base Oficial'!H660)))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11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11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10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22" t="str">
        <f>IF($A661="","",COUNTIF('Base Exámenes'!$C$5:$C$1000, A661))</f>
        <v/>
      </c>
      <c r="M661" s="6" t="str">
        <f>IF($A661="","",IF(COUNTIF('Base Exámenes'!$C$5:$C$1000, A661)&gt;0, "", TRIM('Base Oficial'!H661)))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11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11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10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22" t="str">
        <f>IF($A662="","",COUNTIF('Base Exámenes'!$C$5:$C$1000, A662))</f>
        <v/>
      </c>
      <c r="M662" s="6" t="str">
        <f>IF($A662="","",IF(COUNTIF('Base Exámenes'!$C$5:$C$1000, A662)&gt;0, "", TRIM('Base Oficial'!H662)))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11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11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10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22" t="str">
        <f>IF($A663="","",COUNTIF('Base Exámenes'!$C$5:$C$1000, A663))</f>
        <v/>
      </c>
      <c r="M663" s="6" t="str">
        <f>IF($A663="","",IF(COUNTIF('Base Exámenes'!$C$5:$C$1000, A663)&gt;0, "", TRIM('Base Oficial'!H663)))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11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11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10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22" t="str">
        <f>IF($A664="","",COUNTIF('Base Exámenes'!$C$5:$C$1000, A664))</f>
        <v/>
      </c>
      <c r="M664" s="6" t="str">
        <f>IF($A664="","",IF(COUNTIF('Base Exámenes'!$C$5:$C$1000, A664)&gt;0, "", TRIM('Base Oficial'!H664)))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11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11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10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22" t="str">
        <f>IF($A665="","",COUNTIF('Base Exámenes'!$C$5:$C$1000, A665))</f>
        <v/>
      </c>
      <c r="M665" s="6" t="str">
        <f>IF($A665="","",IF(COUNTIF('Base Exámenes'!$C$5:$C$1000, A665)&gt;0, "", TRIM('Base Oficial'!H665)))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11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11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10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22" t="str">
        <f>IF($A666="","",COUNTIF('Base Exámenes'!$C$5:$C$1000, A666))</f>
        <v/>
      </c>
      <c r="M666" s="6" t="str">
        <f>IF($A666="","",IF(COUNTIF('Base Exámenes'!$C$5:$C$1000, A666)&gt;0, "", TRIM('Base Oficial'!H666)))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11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11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10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22" t="str">
        <f>IF($A667="","",COUNTIF('Base Exámenes'!$C$5:$C$1000, A667))</f>
        <v/>
      </c>
      <c r="M667" s="6" t="str">
        <f>IF($A667="","",IF(COUNTIF('Base Exámenes'!$C$5:$C$1000, A667)&gt;0, "", TRIM('Base Oficial'!H667)))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11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11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10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22" t="str">
        <f>IF($A668="","",COUNTIF('Base Exámenes'!$C$5:$C$1000, A668))</f>
        <v/>
      </c>
      <c r="M668" s="6" t="str">
        <f>IF($A668="","",IF(COUNTIF('Base Exámenes'!$C$5:$C$1000, A668)&gt;0, "", TRIM('Base Oficial'!H668)))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11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11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10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22" t="str">
        <f>IF($A669="","",COUNTIF('Base Exámenes'!$C$5:$C$1000, A669))</f>
        <v/>
      </c>
      <c r="M669" s="6" t="str">
        <f>IF($A669="","",IF(COUNTIF('Base Exámenes'!$C$5:$C$1000, A669)&gt;0, "", TRIM('Base Oficial'!H669)))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11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11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10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22" t="str">
        <f>IF($A670="","",COUNTIF('Base Exámenes'!$C$5:$C$1000, A670))</f>
        <v/>
      </c>
      <c r="M670" s="6" t="str">
        <f>IF($A670="","",IF(COUNTIF('Base Exámenes'!$C$5:$C$1000, A670)&gt;0, "", TRIM('Base Oficial'!H670)))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11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11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10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22" t="str">
        <f>IF($A671="","",COUNTIF('Base Exámenes'!$C$5:$C$1000, A671))</f>
        <v/>
      </c>
      <c r="M671" s="6" t="str">
        <f>IF($A671="","",IF(COUNTIF('Base Exámenes'!$C$5:$C$1000, A671)&gt;0, "", TRIM('Base Oficial'!H671)))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11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11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10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22" t="str">
        <f>IF($A672="","",COUNTIF('Base Exámenes'!$C$5:$C$1000, A672))</f>
        <v/>
      </c>
      <c r="M672" s="6" t="str">
        <f>IF($A672="","",IF(COUNTIF('Base Exámenes'!$C$5:$C$1000, A672)&gt;0, "", TRIM('Base Oficial'!H672)))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11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11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10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22" t="str">
        <f>IF($A673="","",COUNTIF('Base Exámenes'!$C$5:$C$1000, A673))</f>
        <v/>
      </c>
      <c r="M673" s="6" t="str">
        <f>IF($A673="","",IF(COUNTIF('Base Exámenes'!$C$5:$C$1000, A673)&gt;0, "", TRIM('Base Oficial'!H673)))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11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11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10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22" t="str">
        <f>IF($A674="","",COUNTIF('Base Exámenes'!$C$5:$C$1000, A674))</f>
        <v/>
      </c>
      <c r="M674" s="6" t="str">
        <f>IF($A674="","",IF(COUNTIF('Base Exámenes'!$C$5:$C$1000, A674)&gt;0, "", TRIM('Base Oficial'!H674)))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11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11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10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22" t="str">
        <f>IF($A675="","",COUNTIF('Base Exámenes'!$C$5:$C$1000, A675))</f>
        <v/>
      </c>
      <c r="M675" s="6" t="str">
        <f>IF($A675="","",IF(COUNTIF('Base Exámenes'!$C$5:$C$1000, A675)&gt;0, "", TRIM('Base Oficial'!H675)))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11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11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10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22" t="str">
        <f>IF($A676="","",COUNTIF('Base Exámenes'!$C$5:$C$1000, A676))</f>
        <v/>
      </c>
      <c r="M676" s="6" t="str">
        <f>IF($A676="","",IF(COUNTIF('Base Exámenes'!$C$5:$C$1000, A676)&gt;0, "", TRIM('Base Oficial'!H676)))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11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11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10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22" t="str">
        <f>IF($A677="","",COUNTIF('Base Exámenes'!$C$5:$C$1000, A677))</f>
        <v/>
      </c>
      <c r="M677" s="6" t="str">
        <f>IF($A677="","",IF(COUNTIF('Base Exámenes'!$C$5:$C$1000, A677)&gt;0, "", TRIM('Base Oficial'!H677)))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11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11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10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22" t="str">
        <f>IF($A678="","",COUNTIF('Base Exámenes'!$C$5:$C$1000, A678))</f>
        <v/>
      </c>
      <c r="M678" s="6" t="str">
        <f>IF($A678="","",IF(COUNTIF('Base Exámenes'!$C$5:$C$1000, A678)&gt;0, "", TRIM('Base Oficial'!H678)))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11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11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10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22" t="str">
        <f>IF($A679="","",COUNTIF('Base Exámenes'!$C$5:$C$1000, A679))</f>
        <v/>
      </c>
      <c r="M679" s="6" t="str">
        <f>IF($A679="","",IF(COUNTIF('Base Exámenes'!$C$5:$C$1000, A679)&gt;0, "", TRIM('Base Oficial'!H679)))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11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11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10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22" t="str">
        <f>IF($A680="","",COUNTIF('Base Exámenes'!$C$5:$C$1000, A680))</f>
        <v/>
      </c>
      <c r="M680" s="6" t="str">
        <f>IF($A680="","",IF(COUNTIF('Base Exámenes'!$C$5:$C$1000, A680)&gt;0, "", TRIM('Base Oficial'!H680)))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11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11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10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22" t="str">
        <f>IF($A681="","",COUNTIF('Base Exámenes'!$C$5:$C$1000, A681))</f>
        <v/>
      </c>
      <c r="M681" s="6" t="str">
        <f>IF($A681="","",IF(COUNTIF('Base Exámenes'!$C$5:$C$1000, A681)&gt;0, "", TRIM('Base Oficial'!H681)))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11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11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10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22" t="str">
        <f>IF($A682="","",COUNTIF('Base Exámenes'!$C$5:$C$1000, A682))</f>
        <v/>
      </c>
      <c r="M682" s="6" t="str">
        <f>IF($A682="","",IF(COUNTIF('Base Exámenes'!$C$5:$C$1000, A682)&gt;0, "", TRIM('Base Oficial'!H682)))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11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11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10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22" t="str">
        <f>IF($A683="","",COUNTIF('Base Exámenes'!$C$5:$C$1000, A683))</f>
        <v/>
      </c>
      <c r="M683" s="6" t="str">
        <f>IF($A683="","",IF(COUNTIF('Base Exámenes'!$C$5:$C$1000, A683)&gt;0, "", TRIM('Base Oficial'!H683)))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11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11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10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22" t="str">
        <f>IF($A684="","",COUNTIF('Base Exámenes'!$C$5:$C$1000, A684))</f>
        <v/>
      </c>
      <c r="M684" s="6" t="str">
        <f>IF($A684="","",IF(COUNTIF('Base Exámenes'!$C$5:$C$1000, A684)&gt;0, "", TRIM('Base Oficial'!H684)))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11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11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10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22" t="str">
        <f>IF($A685="","",COUNTIF('Base Exámenes'!$C$5:$C$1000, A685))</f>
        <v/>
      </c>
      <c r="M685" s="6" t="str">
        <f>IF($A685="","",IF(COUNTIF('Base Exámenes'!$C$5:$C$1000, A685)&gt;0, "", TRIM('Base Oficial'!H685)))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11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11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10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22" t="str">
        <f>IF($A686="","",COUNTIF('Base Exámenes'!$C$5:$C$1000, A686))</f>
        <v/>
      </c>
      <c r="M686" s="6" t="str">
        <f>IF($A686="","",IF(COUNTIF('Base Exámenes'!$C$5:$C$1000, A686)&gt;0, "", TRIM('Base Oficial'!H686)))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11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11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10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22" t="str">
        <f>IF($A687="","",COUNTIF('Base Exámenes'!$C$5:$C$1000, A687))</f>
        <v/>
      </c>
      <c r="M687" s="6" t="str">
        <f>IF($A687="","",IF(COUNTIF('Base Exámenes'!$C$5:$C$1000, A687)&gt;0, "", TRIM('Base Oficial'!H687)))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11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11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10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22" t="str">
        <f>IF($A688="","",COUNTIF('Base Exámenes'!$C$5:$C$1000, A688))</f>
        <v/>
      </c>
      <c r="M688" s="6" t="str">
        <f>IF($A688="","",IF(COUNTIF('Base Exámenes'!$C$5:$C$1000, A688)&gt;0, "", TRIM('Base Oficial'!H688)))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11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11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10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22" t="str">
        <f>IF($A689="","",COUNTIF('Base Exámenes'!$C$5:$C$1000, A689))</f>
        <v/>
      </c>
      <c r="M689" s="6" t="str">
        <f>IF($A689="","",IF(COUNTIF('Base Exámenes'!$C$5:$C$1000, A689)&gt;0, "", TRIM('Base Oficial'!H689)))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11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11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10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22" t="str">
        <f>IF($A690="","",COUNTIF('Base Exámenes'!$C$5:$C$1000, A690))</f>
        <v/>
      </c>
      <c r="M690" s="6" t="str">
        <f>IF($A690="","",IF(COUNTIF('Base Exámenes'!$C$5:$C$1000, A690)&gt;0, "", TRIM('Base Oficial'!H690)))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11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11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10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22" t="str">
        <f>IF($A691="","",COUNTIF('Base Exámenes'!$C$5:$C$1000, A691))</f>
        <v/>
      </c>
      <c r="M691" s="6" t="str">
        <f>IF($A691="","",IF(COUNTIF('Base Exámenes'!$C$5:$C$1000, A691)&gt;0, "", TRIM('Base Oficial'!H691)))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11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11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10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22" t="str">
        <f>IF($A692="","",COUNTIF('Base Exámenes'!$C$5:$C$1000, A692))</f>
        <v/>
      </c>
      <c r="M692" s="6" t="str">
        <f>IF($A692="","",IF(COUNTIF('Base Exámenes'!$C$5:$C$1000, A692)&gt;0, "", TRIM('Base Oficial'!H692)))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11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11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10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22" t="str">
        <f>IF($A693="","",COUNTIF('Base Exámenes'!$C$5:$C$1000, A693))</f>
        <v/>
      </c>
      <c r="M693" s="6" t="str">
        <f>IF($A693="","",IF(COUNTIF('Base Exámenes'!$C$5:$C$1000, A693)&gt;0, "", TRIM('Base Oficial'!H693)))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11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11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10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22" t="str">
        <f>IF($A694="","",COUNTIF('Base Exámenes'!$C$5:$C$1000, A694))</f>
        <v/>
      </c>
      <c r="M694" s="6" t="str">
        <f>IF($A694="","",IF(COUNTIF('Base Exámenes'!$C$5:$C$1000, A694)&gt;0, "", TRIM('Base Oficial'!H694)))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11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11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10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22" t="str">
        <f>IF($A695="","",COUNTIF('Base Exámenes'!$C$5:$C$1000, A695))</f>
        <v/>
      </c>
      <c r="M695" s="6" t="str">
        <f>IF($A695="","",IF(COUNTIF('Base Exámenes'!$C$5:$C$1000, A695)&gt;0, "", TRIM('Base Oficial'!H695)))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11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11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10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22" t="str">
        <f>IF($A696="","",COUNTIF('Base Exámenes'!$C$5:$C$1000, A696))</f>
        <v/>
      </c>
      <c r="M696" s="6" t="str">
        <f>IF($A696="","",IF(COUNTIF('Base Exámenes'!$C$5:$C$1000, A696)&gt;0, "", TRIM('Base Oficial'!H696)))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11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11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10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22" t="str">
        <f>IF($A697="","",COUNTIF('Base Exámenes'!$C$5:$C$1000, A697))</f>
        <v/>
      </c>
      <c r="M697" s="6" t="str">
        <f>IF($A697="","",IF(COUNTIF('Base Exámenes'!$C$5:$C$1000, A697)&gt;0, "", TRIM('Base Oficial'!H697)))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11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11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10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22" t="str">
        <f>IF($A698="","",COUNTIF('Base Exámenes'!$C$5:$C$1000, A698))</f>
        <v/>
      </c>
      <c r="M698" s="6" t="str">
        <f>IF($A698="","",IF(COUNTIF('Base Exámenes'!$C$5:$C$1000, A698)&gt;0, "", TRIM('Base Oficial'!H698)))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11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11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10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22" t="str">
        <f>IF($A699="","",COUNTIF('Base Exámenes'!$C$5:$C$1000, A699))</f>
        <v/>
      </c>
      <c r="M699" s="6" t="str">
        <f>IF($A699="","",IF(COUNTIF('Base Exámenes'!$C$5:$C$1000, A699)&gt;0, "", TRIM('Base Oficial'!H699)))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11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11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10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22" t="str">
        <f>IF($A700="","",COUNTIF('Base Exámenes'!$C$5:$C$1000, A700))</f>
        <v/>
      </c>
      <c r="M700" s="6" t="str">
        <f>IF($A700="","",IF(COUNTIF('Base Exámenes'!$C$5:$C$1000, A700)&gt;0, "", TRIM('Base Oficial'!H700)))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11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11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10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22" t="str">
        <f>IF($A701="","",COUNTIF('Base Exámenes'!$C$5:$C$1000, A701))</f>
        <v/>
      </c>
      <c r="M701" s="6" t="str">
        <f>IF($A701="","",IF(COUNTIF('Base Exámenes'!$C$5:$C$1000, A701)&gt;0, "", TRIM('Base Oficial'!H701)))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11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11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10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22" t="str">
        <f>IF($A702="","",COUNTIF('Base Exámenes'!$C$5:$C$1000, A702))</f>
        <v/>
      </c>
      <c r="M702" s="6" t="str">
        <f>IF($A702="","",IF(COUNTIF('Base Exámenes'!$C$5:$C$1000, A702)&gt;0, "", TRIM('Base Oficial'!H702)))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11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11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10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22" t="str">
        <f>IF($A703="","",COUNTIF('Base Exámenes'!$C$5:$C$1000, A703))</f>
        <v/>
      </c>
      <c r="M703" s="6" t="str">
        <f>IF($A703="","",IF(COUNTIF('Base Exámenes'!$C$5:$C$1000, A703)&gt;0, "", TRIM('Base Oficial'!H703)))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11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11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10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22" t="str">
        <f>IF($A704="","",COUNTIF('Base Exámenes'!$C$5:$C$1000, A704))</f>
        <v/>
      </c>
      <c r="M704" s="6" t="str">
        <f>IF($A704="","",IF(COUNTIF('Base Exámenes'!$C$5:$C$1000, A704)&gt;0, "", TRIM('Base Oficial'!H704)))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11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11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10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22" t="str">
        <f>IF($A705="","",COUNTIF('Base Exámenes'!$C$5:$C$1000, A705))</f>
        <v/>
      </c>
      <c r="M705" s="6" t="str">
        <f>IF($A705="","",IF(COUNTIF('Base Exámenes'!$C$5:$C$1000, A705)&gt;0, "", TRIM('Base Oficial'!H705)))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11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11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10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22" t="str">
        <f>IF($A706="","",COUNTIF('Base Exámenes'!$C$5:$C$1000, A706))</f>
        <v/>
      </c>
      <c r="M706" s="6" t="str">
        <f>IF($A706="","",IF(COUNTIF('Base Exámenes'!$C$5:$C$1000, A706)&gt;0, "", TRIM('Base Oficial'!H706)))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11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11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10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22" t="str">
        <f>IF($A707="","",COUNTIF('Base Exámenes'!$C$5:$C$1000, A707))</f>
        <v/>
      </c>
      <c r="M707" s="6" t="str">
        <f>IF($A707="","",IF(COUNTIF('Base Exámenes'!$C$5:$C$1000, A707)&gt;0, "", TRIM('Base Oficial'!H707)))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11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11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10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22" t="str">
        <f>IF($A708="","",COUNTIF('Base Exámenes'!$C$5:$C$1000, A708))</f>
        <v/>
      </c>
      <c r="M708" s="6" t="str">
        <f>IF($A708="","",IF(COUNTIF('Base Exámenes'!$C$5:$C$1000, A708)&gt;0, "", TRIM('Base Oficial'!H708)))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11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11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10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22" t="str">
        <f>IF($A709="","",COUNTIF('Base Exámenes'!$C$5:$C$1000, A709))</f>
        <v/>
      </c>
      <c r="M709" s="6" t="str">
        <f>IF($A709="","",IF(COUNTIF('Base Exámenes'!$C$5:$C$1000, A709)&gt;0, "", TRIM('Base Oficial'!H709)))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11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11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10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22" t="str">
        <f>IF($A710="","",COUNTIF('Base Exámenes'!$C$5:$C$1000, A710))</f>
        <v/>
      </c>
      <c r="M710" s="6" t="str">
        <f>IF($A710="","",IF(COUNTIF('Base Exámenes'!$C$5:$C$1000, A710)&gt;0, "", TRIM('Base Oficial'!H710)))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11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11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10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22" t="str">
        <f>IF($A711="","",COUNTIF('Base Exámenes'!$C$5:$C$1000, A711))</f>
        <v/>
      </c>
      <c r="M711" s="6" t="str">
        <f>IF($A711="","",IF(COUNTIF('Base Exámenes'!$C$5:$C$1000, A711)&gt;0, "", TRIM('Base Oficial'!H711)))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11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11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10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22" t="str">
        <f>IF($A712="","",COUNTIF('Base Exámenes'!$C$5:$C$1000, A712))</f>
        <v/>
      </c>
      <c r="M712" s="6" t="str">
        <f>IF($A712="","",IF(COUNTIF('Base Exámenes'!$C$5:$C$1000, A712)&gt;0, "", TRIM('Base Oficial'!H712)))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11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11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10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22" t="str">
        <f>IF($A713="","",COUNTIF('Base Exámenes'!$C$5:$C$1000, A713))</f>
        <v/>
      </c>
      <c r="M713" s="6" t="str">
        <f>IF($A713="","",IF(COUNTIF('Base Exámenes'!$C$5:$C$1000, A713)&gt;0, "", TRIM('Base Oficial'!H713)))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11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11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10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22" t="str">
        <f>IF($A714="","",COUNTIF('Base Exámenes'!$C$5:$C$1000, A714))</f>
        <v/>
      </c>
      <c r="M714" s="6" t="str">
        <f>IF($A714="","",IF(COUNTIF('Base Exámenes'!$C$5:$C$1000, A714)&gt;0, "", TRIM('Base Oficial'!H714)))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11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11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10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22" t="str">
        <f>IF($A715="","",COUNTIF('Base Exámenes'!$C$5:$C$1000, A715))</f>
        <v/>
      </c>
      <c r="M715" s="6" t="str">
        <f>IF($A715="","",IF(COUNTIF('Base Exámenes'!$C$5:$C$1000, A715)&gt;0, "", TRIM('Base Oficial'!H715)))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11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11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10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22" t="str">
        <f>IF($A716="","",COUNTIF('Base Exámenes'!$C$5:$C$1000, A716))</f>
        <v/>
      </c>
      <c r="M716" s="6" t="str">
        <f>IF($A716="","",IF(COUNTIF('Base Exámenes'!$C$5:$C$1000, A716)&gt;0, "", TRIM('Base Oficial'!H716)))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11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11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10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22" t="str">
        <f>IF($A717="","",COUNTIF('Base Exámenes'!$C$5:$C$1000, A717))</f>
        <v/>
      </c>
      <c r="M717" s="6" t="str">
        <f>IF($A717="","",IF(COUNTIF('Base Exámenes'!$C$5:$C$1000, A717)&gt;0, "", TRIM('Base Oficial'!H717)))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11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11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10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22" t="str">
        <f>IF($A718="","",COUNTIF('Base Exámenes'!$C$5:$C$1000, A718))</f>
        <v/>
      </c>
      <c r="M718" s="6" t="str">
        <f>IF($A718="","",IF(COUNTIF('Base Exámenes'!$C$5:$C$1000, A718)&gt;0, "", TRIM('Base Oficial'!H718)))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11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11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10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22" t="str">
        <f>IF($A719="","",COUNTIF('Base Exámenes'!$C$5:$C$1000, A719))</f>
        <v/>
      </c>
      <c r="M719" s="6" t="str">
        <f>IF($A719="","",IF(COUNTIF('Base Exámenes'!$C$5:$C$1000, A719)&gt;0, "", TRIM('Base Oficial'!H719)))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11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11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10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22" t="str">
        <f>IF($A720="","",COUNTIF('Base Exámenes'!$C$5:$C$1000, A720))</f>
        <v/>
      </c>
      <c r="M720" s="6" t="str">
        <f>IF($A720="","",IF(COUNTIF('Base Exámenes'!$C$5:$C$1000, A720)&gt;0, "", TRIM('Base Oficial'!H720)))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11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11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10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22" t="str">
        <f>IF($A721="","",COUNTIF('Base Exámenes'!$C$5:$C$1000, A721))</f>
        <v/>
      </c>
      <c r="M721" s="6" t="str">
        <f>IF($A721="","",IF(COUNTIF('Base Exámenes'!$C$5:$C$1000, A721)&gt;0, "", TRIM('Base Oficial'!H721)))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11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11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10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22" t="str">
        <f>IF($A722="","",COUNTIF('Base Exámenes'!$C$5:$C$1000, A722))</f>
        <v/>
      </c>
      <c r="M722" s="6" t="str">
        <f>IF($A722="","",IF(COUNTIF('Base Exámenes'!$C$5:$C$1000, A722)&gt;0, "", TRIM('Base Oficial'!H722)))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11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11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10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22" t="str">
        <f>IF($A723="","",COUNTIF('Base Exámenes'!$C$5:$C$1000, A723))</f>
        <v/>
      </c>
      <c r="M723" s="6" t="str">
        <f>IF($A723="","",IF(COUNTIF('Base Exámenes'!$C$5:$C$1000, A723)&gt;0, "", TRIM('Base Oficial'!H723)))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11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11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10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22" t="str">
        <f>IF($A724="","",COUNTIF('Base Exámenes'!$C$5:$C$1000, A724))</f>
        <v/>
      </c>
      <c r="M724" s="6" t="str">
        <f>IF($A724="","",IF(COUNTIF('Base Exámenes'!$C$5:$C$1000, A724)&gt;0, "", TRIM('Base Oficial'!H724)))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11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11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10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22" t="str">
        <f>IF($A725="","",COUNTIF('Base Exámenes'!$C$5:$C$1000, A725))</f>
        <v/>
      </c>
      <c r="M725" s="6" t="str">
        <f>IF($A725="","",IF(COUNTIF('Base Exámenes'!$C$5:$C$1000, A725)&gt;0, "", TRIM('Base Oficial'!H725)))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11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11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10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22" t="str">
        <f>IF($A726="","",COUNTIF('Base Exámenes'!$C$5:$C$1000, A726))</f>
        <v/>
      </c>
      <c r="M726" s="6" t="str">
        <f>IF($A726="","",IF(COUNTIF('Base Exámenes'!$C$5:$C$1000, A726)&gt;0, "", TRIM('Base Oficial'!H726)))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11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11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10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22" t="str">
        <f>IF($A727="","",COUNTIF('Base Exámenes'!$C$5:$C$1000, A727))</f>
        <v/>
      </c>
      <c r="M727" s="6" t="str">
        <f>IF($A727="","",IF(COUNTIF('Base Exámenes'!$C$5:$C$1000, A727)&gt;0, "", TRIM('Base Oficial'!H727)))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11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11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10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22" t="str">
        <f>IF($A728="","",COUNTIF('Base Exámenes'!$C$5:$C$1000, A728))</f>
        <v/>
      </c>
      <c r="M728" s="6" t="str">
        <f>IF($A728="","",IF(COUNTIF('Base Exámenes'!$C$5:$C$1000, A728)&gt;0, "", TRIM('Base Oficial'!H728)))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11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11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10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22" t="str">
        <f>IF($A729="","",COUNTIF('Base Exámenes'!$C$5:$C$1000, A729))</f>
        <v/>
      </c>
      <c r="M729" s="6" t="str">
        <f>IF($A729="","",IF(COUNTIF('Base Exámenes'!$C$5:$C$1000, A729)&gt;0, "", TRIM('Base Oficial'!H729)))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11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11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10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22" t="str">
        <f>IF($A730="","",COUNTIF('Base Exámenes'!$C$5:$C$1000, A730))</f>
        <v/>
      </c>
      <c r="M730" s="6" t="str">
        <f>IF($A730="","",IF(COUNTIF('Base Exámenes'!$C$5:$C$1000, A730)&gt;0, "", TRIM('Base Oficial'!H730)))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11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11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10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22" t="str">
        <f>IF($A731="","",COUNTIF('Base Exámenes'!$C$5:$C$1000, A731))</f>
        <v/>
      </c>
      <c r="M731" s="6" t="str">
        <f>IF($A731="","",IF(COUNTIF('Base Exámenes'!$C$5:$C$1000, A731)&gt;0, "", TRIM('Base Oficial'!H731)))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11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11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10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22" t="str">
        <f>IF($A732="","",COUNTIF('Base Exámenes'!$C$5:$C$1000, A732))</f>
        <v/>
      </c>
      <c r="M732" s="6" t="str">
        <f>IF($A732="","",IF(COUNTIF('Base Exámenes'!$C$5:$C$1000, A732)&gt;0, "", TRIM('Base Oficial'!H732)))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11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11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10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22" t="str">
        <f>IF($A733="","",COUNTIF('Base Exámenes'!$C$5:$C$1000, A733))</f>
        <v/>
      </c>
      <c r="M733" s="6" t="str">
        <f>IF($A733="","",IF(COUNTIF('Base Exámenes'!$C$5:$C$1000, A733)&gt;0, "", TRIM('Base Oficial'!H733)))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11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11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10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22" t="str">
        <f>IF($A734="","",COUNTIF('Base Exámenes'!$C$5:$C$1000, A734))</f>
        <v/>
      </c>
      <c r="M734" s="6" t="str">
        <f>IF($A734="","",IF(COUNTIF('Base Exámenes'!$C$5:$C$1000, A734)&gt;0, "", TRIM('Base Oficial'!H734)))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11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11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10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22" t="str">
        <f>IF($A735="","",COUNTIF('Base Exámenes'!$C$5:$C$1000, A735))</f>
        <v/>
      </c>
      <c r="M735" s="6" t="str">
        <f>IF($A735="","",IF(COUNTIF('Base Exámenes'!$C$5:$C$1000, A735)&gt;0, "", TRIM('Base Oficial'!H735)))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11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11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10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22" t="str">
        <f>IF($A736="","",COUNTIF('Base Exámenes'!$C$5:$C$1000, A736))</f>
        <v/>
      </c>
      <c r="M736" s="6" t="str">
        <f>IF($A736="","",IF(COUNTIF('Base Exámenes'!$C$5:$C$1000, A736)&gt;0, "", TRIM('Base Oficial'!H736)))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11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11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10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22" t="str">
        <f>IF($A737="","",COUNTIF('Base Exámenes'!$C$5:$C$1000, A737))</f>
        <v/>
      </c>
      <c r="M737" s="6" t="str">
        <f>IF($A737="","",IF(COUNTIF('Base Exámenes'!$C$5:$C$1000, A737)&gt;0, "", TRIM('Base Oficial'!H737)))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11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11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10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22" t="str">
        <f>IF($A738="","",COUNTIF('Base Exámenes'!$C$5:$C$1000, A738))</f>
        <v/>
      </c>
      <c r="M738" s="6" t="str">
        <f>IF($A738="","",IF(COUNTIF('Base Exámenes'!$C$5:$C$1000, A738)&gt;0, "", TRIM('Base Oficial'!H738)))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11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11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10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22" t="str">
        <f>IF($A739="","",COUNTIF('Base Exámenes'!$C$5:$C$1000, A739))</f>
        <v/>
      </c>
      <c r="M739" s="6" t="str">
        <f>IF($A739="","",IF(COUNTIF('Base Exámenes'!$C$5:$C$1000, A739)&gt;0, "", TRIM('Base Oficial'!H739)))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11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11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10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22" t="str">
        <f>IF($A740="","",COUNTIF('Base Exámenes'!$C$5:$C$1000, A740))</f>
        <v/>
      </c>
      <c r="M740" s="6" t="str">
        <f>IF($A740="","",IF(COUNTIF('Base Exámenes'!$C$5:$C$1000, A740)&gt;0, "", TRIM('Base Oficial'!H740)))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11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11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10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22" t="str">
        <f>IF($A741="","",COUNTIF('Base Exámenes'!$C$5:$C$1000, A741))</f>
        <v/>
      </c>
      <c r="M741" s="6" t="str">
        <f>IF($A741="","",IF(COUNTIF('Base Exámenes'!$C$5:$C$1000, A741)&gt;0, "", TRIM('Base Oficial'!H741)))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11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11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10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22" t="str">
        <f>IF($A742="","",COUNTIF('Base Exámenes'!$C$5:$C$1000, A742))</f>
        <v/>
      </c>
      <c r="M742" s="6" t="str">
        <f>IF($A742="","",IF(COUNTIF('Base Exámenes'!$C$5:$C$1000, A742)&gt;0, "", TRIM('Base Oficial'!H742)))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11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11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10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22" t="str">
        <f>IF($A743="","",COUNTIF('Base Exámenes'!$C$5:$C$1000, A743))</f>
        <v/>
      </c>
      <c r="M743" s="6" t="str">
        <f>IF($A743="","",IF(COUNTIF('Base Exámenes'!$C$5:$C$1000, A743)&gt;0, "", TRIM('Base Oficial'!H743)))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11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11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10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22" t="str">
        <f>IF($A744="","",COUNTIF('Base Exámenes'!$C$5:$C$1000, A744))</f>
        <v/>
      </c>
      <c r="M744" s="6" t="str">
        <f>IF($A744="","",IF(COUNTIF('Base Exámenes'!$C$5:$C$1000, A744)&gt;0, "", TRIM('Base Oficial'!H744)))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11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11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10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22" t="str">
        <f>IF($A745="","",COUNTIF('Base Exámenes'!$C$5:$C$1000, A745))</f>
        <v/>
      </c>
      <c r="M745" s="6" t="str">
        <f>IF($A745="","",IF(COUNTIF('Base Exámenes'!$C$5:$C$1000, A745)&gt;0, "", TRIM('Base Oficial'!H745)))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11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11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10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22" t="str">
        <f>IF($A746="","",COUNTIF('Base Exámenes'!$C$5:$C$1000, A746))</f>
        <v/>
      </c>
      <c r="M746" s="6" t="str">
        <f>IF($A746="","",IF(COUNTIF('Base Exámenes'!$C$5:$C$1000, A746)&gt;0, "", TRIM('Base Oficial'!H746)))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11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11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10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22" t="str">
        <f>IF($A747="","",COUNTIF('Base Exámenes'!$C$5:$C$1000, A747))</f>
        <v/>
      </c>
      <c r="M747" s="6" t="str">
        <f>IF($A747="","",IF(COUNTIF('Base Exámenes'!$C$5:$C$1000, A747)&gt;0, "", TRIM('Base Oficial'!H747)))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11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11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10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22" t="str">
        <f>IF($A748="","",COUNTIF('Base Exámenes'!$C$5:$C$1000, A748))</f>
        <v/>
      </c>
      <c r="M748" s="6" t="str">
        <f>IF($A748="","",IF(COUNTIF('Base Exámenes'!$C$5:$C$1000, A748)&gt;0, "", TRIM('Base Oficial'!H748)))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11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11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10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22" t="str">
        <f>IF($A749="","",COUNTIF('Base Exámenes'!$C$5:$C$1000, A749))</f>
        <v/>
      </c>
      <c r="M749" s="6" t="str">
        <f>IF($A749="","",IF(COUNTIF('Base Exámenes'!$C$5:$C$1000, A749)&gt;0, "", TRIM('Base Oficial'!H749)))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11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11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10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22" t="str">
        <f>IF($A750="","",COUNTIF('Base Exámenes'!$C$5:$C$1000, A750))</f>
        <v/>
      </c>
      <c r="M750" s="6" t="str">
        <f>IF($A750="","",IF(COUNTIF('Base Exámenes'!$C$5:$C$1000, A750)&gt;0, "", TRIM('Base Oficial'!H750)))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11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11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10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22" t="str">
        <f>IF($A751="","",COUNTIF('Base Exámenes'!$C$5:$C$1000, A751))</f>
        <v/>
      </c>
      <c r="M751" s="6" t="str">
        <f>IF($A751="","",IF(COUNTIF('Base Exámenes'!$C$5:$C$1000, A751)&gt;0, "", TRIM('Base Oficial'!H751)))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11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11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10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22" t="str">
        <f>IF($A752="","",COUNTIF('Base Exámenes'!$C$5:$C$1000, A752))</f>
        <v/>
      </c>
      <c r="M752" s="6" t="str">
        <f>IF($A752="","",IF(COUNTIF('Base Exámenes'!$C$5:$C$1000, A752)&gt;0, "", TRIM('Base Oficial'!H752)))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11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11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10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22" t="str">
        <f>IF($A753="","",COUNTIF('Base Exámenes'!$C$5:$C$1000, A753))</f>
        <v/>
      </c>
      <c r="M753" s="6" t="str">
        <f>IF($A753="","",IF(COUNTIF('Base Exámenes'!$C$5:$C$1000, A753)&gt;0, "", TRIM('Base Oficial'!H753)))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11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11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10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22" t="str">
        <f>IF($A754="","",COUNTIF('Base Exámenes'!$C$5:$C$1000, A754))</f>
        <v/>
      </c>
      <c r="M754" s="6" t="str">
        <f>IF($A754="","",IF(COUNTIF('Base Exámenes'!$C$5:$C$1000, A754)&gt;0, "", TRIM('Base Oficial'!H754)))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11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11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10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22" t="str">
        <f>IF($A755="","",COUNTIF('Base Exámenes'!$C$5:$C$1000, A755))</f>
        <v/>
      </c>
      <c r="M755" s="6" t="str">
        <f>IF($A755="","",IF(COUNTIF('Base Exámenes'!$C$5:$C$1000, A755)&gt;0, "", TRIM('Base Oficial'!H755)))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11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11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10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22" t="str">
        <f>IF($A756="","",COUNTIF('Base Exámenes'!$C$5:$C$1000, A756))</f>
        <v/>
      </c>
      <c r="M756" s="6" t="str">
        <f>IF($A756="","",IF(COUNTIF('Base Exámenes'!$C$5:$C$1000, A756)&gt;0, "", TRIM('Base Oficial'!H756)))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11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11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10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22" t="str">
        <f>IF($A757="","",COUNTIF('Base Exámenes'!$C$5:$C$1000, A757))</f>
        <v/>
      </c>
      <c r="M757" s="6" t="str">
        <f>IF($A757="","",IF(COUNTIF('Base Exámenes'!$C$5:$C$1000, A757)&gt;0, "", TRIM('Base Oficial'!H757)))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11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11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10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22" t="str">
        <f>IF($A758="","",COUNTIF('Base Exámenes'!$C$5:$C$1000, A758))</f>
        <v/>
      </c>
      <c r="M758" s="6" t="str">
        <f>IF($A758="","",IF(COUNTIF('Base Exámenes'!$C$5:$C$1000, A758)&gt;0, "", TRIM('Base Oficial'!H758)))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11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11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10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22" t="str">
        <f>IF($A759="","",COUNTIF('Base Exámenes'!$C$5:$C$1000, A759))</f>
        <v/>
      </c>
      <c r="M759" s="6" t="str">
        <f>IF($A759="","",IF(COUNTIF('Base Exámenes'!$C$5:$C$1000, A759)&gt;0, "", TRIM('Base Oficial'!H759)))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11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11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10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22" t="str">
        <f>IF($A760="","",COUNTIF('Base Exámenes'!$C$5:$C$1000, A760))</f>
        <v/>
      </c>
      <c r="M760" s="6" t="str">
        <f>IF($A760="","",IF(COUNTIF('Base Exámenes'!$C$5:$C$1000, A760)&gt;0, "", TRIM('Base Oficial'!H760)))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11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11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10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22" t="str">
        <f>IF($A761="","",COUNTIF('Base Exámenes'!$C$5:$C$1000, A761))</f>
        <v/>
      </c>
      <c r="M761" s="6" t="str">
        <f>IF($A761="","",IF(COUNTIF('Base Exámenes'!$C$5:$C$1000, A761)&gt;0, "", TRIM('Base Oficial'!H761)))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11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11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10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22" t="str">
        <f>IF($A762="","",COUNTIF('Base Exámenes'!$C$5:$C$1000, A762))</f>
        <v/>
      </c>
      <c r="M762" s="6" t="str">
        <f>IF($A762="","",IF(COUNTIF('Base Exámenes'!$C$5:$C$1000, A762)&gt;0, "", TRIM('Base Oficial'!H762)))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11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11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10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22" t="str">
        <f>IF($A763="","",COUNTIF('Base Exámenes'!$C$5:$C$1000, A763))</f>
        <v/>
      </c>
      <c r="M763" s="6" t="str">
        <f>IF($A763="","",IF(COUNTIF('Base Exámenes'!$C$5:$C$1000, A763)&gt;0, "", TRIM('Base Oficial'!H763)))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11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11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10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22" t="str">
        <f>IF($A764="","",COUNTIF('Base Exámenes'!$C$5:$C$1000, A764))</f>
        <v/>
      </c>
      <c r="M764" s="6" t="str">
        <f>IF($A764="","",IF(COUNTIF('Base Exámenes'!$C$5:$C$1000, A764)&gt;0, "", TRIM('Base Oficial'!H764)))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11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11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10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22" t="str">
        <f>IF($A765="","",COUNTIF('Base Exámenes'!$C$5:$C$1000, A765))</f>
        <v/>
      </c>
      <c r="M765" s="6" t="str">
        <f>IF($A765="","",IF(COUNTIF('Base Exámenes'!$C$5:$C$1000, A765)&gt;0, "", TRIM('Base Oficial'!H765)))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11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11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10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22" t="str">
        <f>IF($A766="","",COUNTIF('Base Exámenes'!$C$5:$C$1000, A766))</f>
        <v/>
      </c>
      <c r="M766" s="6" t="str">
        <f>IF($A766="","",IF(COUNTIF('Base Exámenes'!$C$5:$C$1000, A766)&gt;0, "", TRIM('Base Oficial'!H766)))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11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11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10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22" t="str">
        <f>IF($A767="","",COUNTIF('Base Exámenes'!$C$5:$C$1000, A767))</f>
        <v/>
      </c>
      <c r="M767" s="6" t="str">
        <f>IF($A767="","",IF(COUNTIF('Base Exámenes'!$C$5:$C$1000, A767)&gt;0, "", TRIM('Base Oficial'!H767)))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11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11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10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22" t="str">
        <f>IF($A768="","",COUNTIF('Base Exámenes'!$C$5:$C$1000, A768))</f>
        <v/>
      </c>
      <c r="M768" s="6" t="str">
        <f>IF($A768="","",IF(COUNTIF('Base Exámenes'!$C$5:$C$1000, A768)&gt;0, "", TRIM('Base Oficial'!H768)))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11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11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10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22" t="str">
        <f>IF($A769="","",COUNTIF('Base Exámenes'!$C$5:$C$1000, A769))</f>
        <v/>
      </c>
      <c r="M769" s="6" t="str">
        <f>IF($A769="","",IF(COUNTIF('Base Exámenes'!$C$5:$C$1000, A769)&gt;0, "", TRIM('Base Oficial'!H769)))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11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11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10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22" t="str">
        <f>IF($A770="","",COUNTIF('Base Exámenes'!$C$5:$C$1000, A770))</f>
        <v/>
      </c>
      <c r="M770" s="6" t="str">
        <f>IF($A770="","",IF(COUNTIF('Base Exámenes'!$C$5:$C$1000, A770)&gt;0, "", TRIM('Base Oficial'!H770)))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11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11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10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22" t="str">
        <f>IF($A771="","",COUNTIF('Base Exámenes'!$C$5:$C$1000, A771))</f>
        <v/>
      </c>
      <c r="M771" s="6" t="str">
        <f>IF($A771="","",IF(COUNTIF('Base Exámenes'!$C$5:$C$1000, A771)&gt;0, "", TRIM('Base Oficial'!H771)))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11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11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10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22" t="str">
        <f>IF($A772="","",COUNTIF('Base Exámenes'!$C$5:$C$1000, A772))</f>
        <v/>
      </c>
      <c r="M772" s="6" t="str">
        <f>IF($A772="","",IF(COUNTIF('Base Exámenes'!$C$5:$C$1000, A772)&gt;0, "", TRIM('Base Oficial'!H772)))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11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11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10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22" t="str">
        <f>IF($A773="","",COUNTIF('Base Exámenes'!$C$5:$C$1000, A773))</f>
        <v/>
      </c>
      <c r="M773" s="6" t="str">
        <f>IF($A773="","",IF(COUNTIF('Base Exámenes'!$C$5:$C$1000, A773)&gt;0, "", TRIM('Base Oficial'!H773)))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11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11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10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22" t="str">
        <f>IF($A774="","",COUNTIF('Base Exámenes'!$C$5:$C$1000, A774))</f>
        <v/>
      </c>
      <c r="M774" s="6" t="str">
        <f>IF($A774="","",IF(COUNTIF('Base Exámenes'!$C$5:$C$1000, A774)&gt;0, "", TRIM('Base Oficial'!H774)))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11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11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10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22" t="str">
        <f>IF($A775="","",COUNTIF('Base Exámenes'!$C$5:$C$1000, A775))</f>
        <v/>
      </c>
      <c r="M775" s="6" t="str">
        <f>IF($A775="","",IF(COUNTIF('Base Exámenes'!$C$5:$C$1000, A775)&gt;0, "", TRIM('Base Oficial'!H775)))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11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11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10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22" t="str">
        <f>IF($A776="","",COUNTIF('Base Exámenes'!$C$5:$C$1000, A776))</f>
        <v/>
      </c>
      <c r="M776" s="6" t="str">
        <f>IF($A776="","",IF(COUNTIF('Base Exámenes'!$C$5:$C$1000, A776)&gt;0, "", TRIM('Base Oficial'!H776)))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11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11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10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22" t="str">
        <f>IF($A777="","",COUNTIF('Base Exámenes'!$C$5:$C$1000, A777))</f>
        <v/>
      </c>
      <c r="M777" s="6" t="str">
        <f>IF($A777="","",IF(COUNTIF('Base Exámenes'!$C$5:$C$1000, A777)&gt;0, "", TRIM('Base Oficial'!H777)))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11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11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10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22" t="str">
        <f>IF($A778="","",COUNTIF('Base Exámenes'!$C$5:$C$1000, A778))</f>
        <v/>
      </c>
      <c r="M778" s="6" t="str">
        <f>IF($A778="","",IF(COUNTIF('Base Exámenes'!$C$5:$C$1000, A778)&gt;0, "", TRIM('Base Oficial'!H778)))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11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11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10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22" t="str">
        <f>IF($A779="","",COUNTIF('Base Exámenes'!$C$5:$C$1000, A779))</f>
        <v/>
      </c>
      <c r="M779" s="6" t="str">
        <f>IF($A779="","",IF(COUNTIF('Base Exámenes'!$C$5:$C$1000, A779)&gt;0, "", TRIM('Base Oficial'!H779)))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11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11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10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22" t="str">
        <f>IF($A780="","",COUNTIF('Base Exámenes'!$C$5:$C$1000, A780))</f>
        <v/>
      </c>
      <c r="M780" s="6" t="str">
        <f>IF($A780="","",IF(COUNTIF('Base Exámenes'!$C$5:$C$1000, A780)&gt;0, "", TRIM('Base Oficial'!H780)))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11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11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10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22" t="str">
        <f>IF($A781="","",COUNTIF('Base Exámenes'!$C$5:$C$1000, A781))</f>
        <v/>
      </c>
      <c r="M781" s="6" t="str">
        <f>IF($A781="","",IF(COUNTIF('Base Exámenes'!$C$5:$C$1000, A781)&gt;0, "", TRIM('Base Oficial'!H781)))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11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11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10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22" t="str">
        <f>IF($A782="","",COUNTIF('Base Exámenes'!$C$5:$C$1000, A782))</f>
        <v/>
      </c>
      <c r="M782" s="6" t="str">
        <f>IF($A782="","",IF(COUNTIF('Base Exámenes'!$C$5:$C$1000, A782)&gt;0, "", TRIM('Base Oficial'!H782)))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11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11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10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22" t="str">
        <f>IF($A783="","",COUNTIF('Base Exámenes'!$C$5:$C$1000, A783))</f>
        <v/>
      </c>
      <c r="M783" s="6" t="str">
        <f>IF($A783="","",IF(COUNTIF('Base Exámenes'!$C$5:$C$1000, A783)&gt;0, "", TRIM('Base Oficial'!H783)))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11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11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10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22" t="str">
        <f>IF($A784="","",COUNTIF('Base Exámenes'!$C$5:$C$1000, A784))</f>
        <v/>
      </c>
      <c r="M784" s="6" t="str">
        <f>IF($A784="","",IF(COUNTIF('Base Exámenes'!$C$5:$C$1000, A784)&gt;0, "", TRIM('Base Oficial'!H784)))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11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11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10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22" t="str">
        <f>IF($A785="","",COUNTIF('Base Exámenes'!$C$5:$C$1000, A785))</f>
        <v/>
      </c>
      <c r="M785" s="6" t="str">
        <f>IF($A785="","",IF(COUNTIF('Base Exámenes'!$C$5:$C$1000, A785)&gt;0, "", TRIM('Base Oficial'!H785)))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11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11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10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22" t="str">
        <f>IF($A786="","",COUNTIF('Base Exámenes'!$C$5:$C$1000, A786))</f>
        <v/>
      </c>
      <c r="M786" s="6" t="str">
        <f>IF($A786="","",IF(COUNTIF('Base Exámenes'!$C$5:$C$1000, A786)&gt;0, "", TRIM('Base Oficial'!H786)))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11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11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10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22" t="str">
        <f>IF($A787="","",COUNTIF('Base Exámenes'!$C$5:$C$1000, A787))</f>
        <v/>
      </c>
      <c r="M787" s="6" t="str">
        <f>IF($A787="","",IF(COUNTIF('Base Exámenes'!$C$5:$C$1000, A787)&gt;0, "", TRIM('Base Oficial'!H787)))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11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11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10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22" t="str">
        <f>IF($A788="","",COUNTIF('Base Exámenes'!$C$5:$C$1000, A788))</f>
        <v/>
      </c>
      <c r="M788" s="6" t="str">
        <f>IF($A788="","",IF(COUNTIF('Base Exámenes'!$C$5:$C$1000, A788)&gt;0, "", TRIM('Base Oficial'!H788)))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11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11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10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22" t="str">
        <f>IF($A789="","",COUNTIF('Base Exámenes'!$C$5:$C$1000, A789))</f>
        <v/>
      </c>
      <c r="M789" s="6" t="str">
        <f>IF($A789="","",IF(COUNTIF('Base Exámenes'!$C$5:$C$1000, A789)&gt;0, "", TRIM('Base Oficial'!H789)))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11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11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10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22" t="str">
        <f>IF($A790="","",COUNTIF('Base Exámenes'!$C$5:$C$1000, A790))</f>
        <v/>
      </c>
      <c r="M790" s="6" t="str">
        <f>IF($A790="","",IF(COUNTIF('Base Exámenes'!$C$5:$C$1000, A790)&gt;0, "", TRIM('Base Oficial'!H790)))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11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11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10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22" t="str">
        <f>IF($A791="","",COUNTIF('Base Exámenes'!$C$5:$C$1000, A791))</f>
        <v/>
      </c>
      <c r="M791" s="6" t="str">
        <f>IF($A791="","",IF(COUNTIF('Base Exámenes'!$C$5:$C$1000, A791)&gt;0, "", TRIM('Base Oficial'!H791)))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11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11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10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22" t="str">
        <f>IF($A792="","",COUNTIF('Base Exámenes'!$C$5:$C$1000, A792))</f>
        <v/>
      </c>
      <c r="M792" s="6" t="str">
        <f>IF($A792="","",IF(COUNTIF('Base Exámenes'!$C$5:$C$1000, A792)&gt;0, "", TRIM('Base Oficial'!H792)))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11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11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10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22" t="str">
        <f>IF($A793="","",COUNTIF('Base Exámenes'!$C$5:$C$1000, A793))</f>
        <v/>
      </c>
      <c r="M793" s="6" t="str">
        <f>IF($A793="","",IF(COUNTIF('Base Exámenes'!$C$5:$C$1000, A793)&gt;0, "", TRIM('Base Oficial'!H793)))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11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11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10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22" t="str">
        <f>IF($A794="","",COUNTIF('Base Exámenes'!$C$5:$C$1000, A794))</f>
        <v/>
      </c>
      <c r="M794" s="6" t="str">
        <f>IF($A794="","",IF(COUNTIF('Base Exámenes'!$C$5:$C$1000, A794)&gt;0, "", TRIM('Base Oficial'!H794)))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11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11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10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22" t="str">
        <f>IF($A795="","",COUNTIF('Base Exámenes'!$C$5:$C$1000, A795))</f>
        <v/>
      </c>
      <c r="M795" s="6" t="str">
        <f>IF($A795="","",IF(COUNTIF('Base Exámenes'!$C$5:$C$1000, A795)&gt;0, "", TRIM('Base Oficial'!H795)))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11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11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10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22" t="str">
        <f>IF($A796="","",COUNTIF('Base Exámenes'!$C$5:$C$1000, A796))</f>
        <v/>
      </c>
      <c r="M796" s="6" t="str">
        <f>IF($A796="","",IF(COUNTIF('Base Exámenes'!$C$5:$C$1000, A796)&gt;0, "", TRIM('Base Oficial'!H796)))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11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11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10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22" t="str">
        <f>IF($A797="","",COUNTIF('Base Exámenes'!$C$5:$C$1000, A797))</f>
        <v/>
      </c>
      <c r="M797" s="6" t="str">
        <f>IF($A797="","",IF(COUNTIF('Base Exámenes'!$C$5:$C$1000, A797)&gt;0, "", TRIM('Base Oficial'!H797)))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11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11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10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22" t="str">
        <f>IF($A798="","",COUNTIF('Base Exámenes'!$C$5:$C$1000, A798))</f>
        <v/>
      </c>
      <c r="M798" s="6" t="str">
        <f>IF($A798="","",IF(COUNTIF('Base Exámenes'!$C$5:$C$1000, A798)&gt;0, "", TRIM('Base Oficial'!H798)))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11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11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10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22" t="str">
        <f>IF($A799="","",COUNTIF('Base Exámenes'!$C$5:$C$1000, A799))</f>
        <v/>
      </c>
      <c r="M799" s="6" t="str">
        <f>IF($A799="","",IF(COUNTIF('Base Exámenes'!$C$5:$C$1000, A799)&gt;0, "", TRIM('Base Oficial'!H799)))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11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11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10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22" t="str">
        <f>IF($A800="","",COUNTIF('Base Exámenes'!$C$5:$C$1000, A800))</f>
        <v/>
      </c>
      <c r="M800" s="6" t="str">
        <f>IF($A800="","",IF(COUNTIF('Base Exámenes'!$C$5:$C$1000, A800)&gt;0, "", TRIM('Base Oficial'!H800)))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11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11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10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22" t="str">
        <f>IF($A801="","",COUNTIF('Base Exámenes'!$C$5:$C$1000, A801))</f>
        <v/>
      </c>
      <c r="M801" s="6" t="str">
        <f>IF($A801="","",IF(COUNTIF('Base Exámenes'!$C$5:$C$1000, A801)&gt;0, "", TRIM('Base Oficial'!H801)))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11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11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10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22" t="str">
        <f>IF($A802="","",COUNTIF('Base Exámenes'!$C$5:$C$1000, A802))</f>
        <v/>
      </c>
      <c r="M802" s="6" t="str">
        <f>IF($A802="","",IF(COUNTIF('Base Exámenes'!$C$5:$C$1000, A802)&gt;0, "", TRIM('Base Oficial'!H802)))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11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11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10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22" t="str">
        <f>IF($A803="","",COUNTIF('Base Exámenes'!$C$5:$C$1000, A803))</f>
        <v/>
      </c>
      <c r="M803" s="6" t="str">
        <f>IF($A803="","",IF(COUNTIF('Base Exámenes'!$C$5:$C$1000, A803)&gt;0, "", TRIM('Base Oficial'!H803)))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11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11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10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22" t="str">
        <f>IF($A804="","",COUNTIF('Base Exámenes'!$C$5:$C$1000, A804))</f>
        <v/>
      </c>
      <c r="M804" s="6" t="str">
        <f>IF($A804="","",IF(COUNTIF('Base Exámenes'!$C$5:$C$1000, A804)&gt;0, "", TRIM('Base Oficial'!H804)))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11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11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10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22" t="str">
        <f>IF($A805="","",COUNTIF('Base Exámenes'!$C$5:$C$1000, A805))</f>
        <v/>
      </c>
      <c r="M805" s="6" t="str">
        <f>IF($A805="","",IF(COUNTIF('Base Exámenes'!$C$5:$C$1000, A805)&gt;0, "", TRIM('Base Oficial'!H805)))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11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11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10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22" t="str">
        <f>IF($A806="","",COUNTIF('Base Exámenes'!$C$5:$C$1000, A806))</f>
        <v/>
      </c>
      <c r="M806" s="6" t="str">
        <f>IF($A806="","",IF(COUNTIF('Base Exámenes'!$C$5:$C$1000, A806)&gt;0, "", TRIM('Base Oficial'!H806)))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11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11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10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22" t="str">
        <f>IF($A807="","",COUNTIF('Base Exámenes'!$C$5:$C$1000, A807))</f>
        <v/>
      </c>
      <c r="M807" s="6" t="str">
        <f>IF($A807="","",IF(COUNTIF('Base Exámenes'!$C$5:$C$1000, A807)&gt;0, "", TRIM('Base Oficial'!H807)))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11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11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10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22" t="str">
        <f>IF($A808="","",COUNTIF('Base Exámenes'!$C$5:$C$1000, A808))</f>
        <v/>
      </c>
      <c r="M808" s="6" t="str">
        <f>IF($A808="","",IF(COUNTIF('Base Exámenes'!$C$5:$C$1000, A808)&gt;0, "", TRIM('Base Oficial'!H808)))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11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11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10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22" t="str">
        <f>IF($A809="","",COUNTIF('Base Exámenes'!$C$5:$C$1000, A809))</f>
        <v/>
      </c>
      <c r="M809" s="6" t="str">
        <f>IF($A809="","",IF(COUNTIF('Base Exámenes'!$C$5:$C$1000, A809)&gt;0, "", TRIM('Base Oficial'!H809)))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11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11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10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22" t="str">
        <f>IF($A810="","",COUNTIF('Base Exámenes'!$C$5:$C$1000, A810))</f>
        <v/>
      </c>
      <c r="M810" s="6" t="str">
        <f>IF($A810="","",IF(COUNTIF('Base Exámenes'!$C$5:$C$1000, A810)&gt;0, "", TRIM('Base Oficial'!H810)))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11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11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10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22" t="str">
        <f>IF($A811="","",COUNTIF('Base Exámenes'!$C$5:$C$1000, A811))</f>
        <v/>
      </c>
      <c r="M811" s="6" t="str">
        <f>IF($A811="","",IF(COUNTIF('Base Exámenes'!$C$5:$C$1000, A811)&gt;0, "", TRIM('Base Oficial'!H811)))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11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11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10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22" t="str">
        <f>IF($A812="","",COUNTIF('Base Exámenes'!$C$5:$C$1000, A812))</f>
        <v/>
      </c>
      <c r="M812" s="6" t="str">
        <f>IF($A812="","",IF(COUNTIF('Base Exámenes'!$C$5:$C$1000, A812)&gt;0, "", TRIM('Base Oficial'!H812)))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11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11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10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22" t="str">
        <f>IF($A813="","",COUNTIF('Base Exámenes'!$C$5:$C$1000, A813))</f>
        <v/>
      </c>
      <c r="M813" s="6" t="str">
        <f>IF($A813="","",IF(COUNTIF('Base Exámenes'!$C$5:$C$1000, A813)&gt;0, "", TRIM('Base Oficial'!H813)))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11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11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10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22" t="str">
        <f>IF($A814="","",COUNTIF('Base Exámenes'!$C$5:$C$1000, A814))</f>
        <v/>
      </c>
      <c r="M814" s="6" t="str">
        <f>IF($A814="","",IF(COUNTIF('Base Exámenes'!$C$5:$C$1000, A814)&gt;0, "", TRIM('Base Oficial'!H814)))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11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11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10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22" t="str">
        <f>IF($A815="","",COUNTIF('Base Exámenes'!$C$5:$C$1000, A815))</f>
        <v/>
      </c>
      <c r="M815" s="6" t="str">
        <f>IF($A815="","",IF(COUNTIF('Base Exámenes'!$C$5:$C$1000, A815)&gt;0, "", TRIM('Base Oficial'!H815)))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11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11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10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22" t="str">
        <f>IF($A816="","",COUNTIF('Base Exámenes'!$C$5:$C$1000, A816))</f>
        <v/>
      </c>
      <c r="M816" s="6" t="str">
        <f>IF($A816="","",IF(COUNTIF('Base Exámenes'!$C$5:$C$1000, A816)&gt;0, "", TRIM('Base Oficial'!H816)))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11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11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10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22" t="str">
        <f>IF($A817="","",COUNTIF('Base Exámenes'!$C$5:$C$1000, A817))</f>
        <v/>
      </c>
      <c r="M817" s="6" t="str">
        <f>IF($A817="","",IF(COUNTIF('Base Exámenes'!$C$5:$C$1000, A817)&gt;0, "", TRIM('Base Oficial'!H817)))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11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11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10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22" t="str">
        <f>IF($A818="","",COUNTIF('Base Exámenes'!$C$5:$C$1000, A818))</f>
        <v/>
      </c>
      <c r="M818" s="6" t="str">
        <f>IF($A818="","",IF(COUNTIF('Base Exámenes'!$C$5:$C$1000, A818)&gt;0, "", TRIM('Base Oficial'!H818)))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11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11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10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22" t="str">
        <f>IF($A819="","",COUNTIF('Base Exámenes'!$C$5:$C$1000, A819))</f>
        <v/>
      </c>
      <c r="M819" s="6" t="str">
        <f>IF($A819="","",IF(COUNTIF('Base Exámenes'!$C$5:$C$1000, A819)&gt;0, "", TRIM('Base Oficial'!H819)))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11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11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10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22" t="str">
        <f>IF($A820="","",COUNTIF('Base Exámenes'!$C$5:$C$1000, A820))</f>
        <v/>
      </c>
      <c r="M820" s="6" t="str">
        <f>IF($A820="","",IF(COUNTIF('Base Exámenes'!$C$5:$C$1000, A820)&gt;0, "", TRIM('Base Oficial'!H820)))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11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11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10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22" t="str">
        <f>IF($A821="","",COUNTIF('Base Exámenes'!$C$5:$C$1000, A821))</f>
        <v/>
      </c>
      <c r="M821" s="6" t="str">
        <f>IF($A821="","",IF(COUNTIF('Base Exámenes'!$C$5:$C$1000, A821)&gt;0, "", TRIM('Base Oficial'!H821)))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11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11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10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22" t="str">
        <f>IF($A822="","",COUNTIF('Base Exámenes'!$C$5:$C$1000, A822))</f>
        <v/>
      </c>
      <c r="M822" s="6" t="str">
        <f>IF($A822="","",IF(COUNTIF('Base Exámenes'!$C$5:$C$1000, A822)&gt;0, "", TRIM('Base Oficial'!H822)))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11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11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10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22" t="str">
        <f>IF($A823="","",COUNTIF('Base Exámenes'!$C$5:$C$1000, A823))</f>
        <v/>
      </c>
      <c r="M823" s="6" t="str">
        <f>IF($A823="","",IF(COUNTIF('Base Exámenes'!$C$5:$C$1000, A823)&gt;0, "", TRIM('Base Oficial'!H823)))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11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11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10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22" t="str">
        <f>IF($A824="","",COUNTIF('Base Exámenes'!$C$5:$C$1000, A824))</f>
        <v/>
      </c>
      <c r="M824" s="6" t="str">
        <f>IF($A824="","",IF(COUNTIF('Base Exámenes'!$C$5:$C$1000, A824)&gt;0, "", TRIM('Base Oficial'!H824)))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11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11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10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22" t="str">
        <f>IF($A825="","",COUNTIF('Base Exámenes'!$C$5:$C$1000, A825))</f>
        <v/>
      </c>
      <c r="M825" s="6" t="str">
        <f>IF($A825="","",IF(COUNTIF('Base Exámenes'!$C$5:$C$1000, A825)&gt;0, "", TRIM('Base Oficial'!H825)))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11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11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10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22" t="str">
        <f>IF($A826="","",COUNTIF('Base Exámenes'!$C$5:$C$1000, A826))</f>
        <v/>
      </c>
      <c r="M826" s="6" t="str">
        <f>IF($A826="","",IF(COUNTIF('Base Exámenes'!$C$5:$C$1000, A826)&gt;0, "", TRIM('Base Oficial'!H826)))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11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11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10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22" t="str">
        <f>IF($A827="","",COUNTIF('Base Exámenes'!$C$5:$C$1000, A827))</f>
        <v/>
      </c>
      <c r="M827" s="6" t="str">
        <f>IF($A827="","",IF(COUNTIF('Base Exámenes'!$C$5:$C$1000, A827)&gt;0, "", TRIM('Base Oficial'!H827)))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11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11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10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22" t="str">
        <f>IF($A828="","",COUNTIF('Base Exámenes'!$C$5:$C$1000, A828))</f>
        <v/>
      </c>
      <c r="M828" s="6" t="str">
        <f>IF($A828="","",IF(COUNTIF('Base Exámenes'!$C$5:$C$1000, A828)&gt;0, "", TRIM('Base Oficial'!H828)))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11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11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10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22" t="str">
        <f>IF($A829="","",COUNTIF('Base Exámenes'!$C$5:$C$1000, A829))</f>
        <v/>
      </c>
      <c r="M829" s="6" t="str">
        <f>IF($A829="","",IF(COUNTIF('Base Exámenes'!$C$5:$C$1000, A829)&gt;0, "", TRIM('Base Oficial'!H829)))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11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11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10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22" t="str">
        <f>IF($A830="","",COUNTIF('Base Exámenes'!$C$5:$C$1000, A830))</f>
        <v/>
      </c>
      <c r="M830" s="6" t="str">
        <f>IF($A830="","",IF(COUNTIF('Base Exámenes'!$C$5:$C$1000, A830)&gt;0, "", TRIM('Base Oficial'!H830)))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11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11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10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22" t="str">
        <f>IF($A831="","",COUNTIF('Base Exámenes'!$C$5:$C$1000, A831))</f>
        <v/>
      </c>
      <c r="M831" s="6" t="str">
        <f>IF($A831="","",IF(COUNTIF('Base Exámenes'!$C$5:$C$1000, A831)&gt;0, "", TRIM('Base Oficial'!H831)))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11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11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10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22" t="str">
        <f>IF($A832="","",COUNTIF('Base Exámenes'!$C$5:$C$1000, A832))</f>
        <v/>
      </c>
      <c r="M832" s="6" t="str">
        <f>IF($A832="","",IF(COUNTIF('Base Exámenes'!$C$5:$C$1000, A832)&gt;0, "", TRIM('Base Oficial'!H832)))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11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11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10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22" t="str">
        <f>IF($A833="","",COUNTIF('Base Exámenes'!$C$5:$C$1000, A833))</f>
        <v/>
      </c>
      <c r="M833" s="6" t="str">
        <f>IF($A833="","",IF(COUNTIF('Base Exámenes'!$C$5:$C$1000, A833)&gt;0, "", TRIM('Base Oficial'!H833)))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11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11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10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22" t="str">
        <f>IF($A834="","",COUNTIF('Base Exámenes'!$C$5:$C$1000, A834))</f>
        <v/>
      </c>
      <c r="M834" s="6" t="str">
        <f>IF($A834="","",IF(COUNTIF('Base Exámenes'!$C$5:$C$1000, A834)&gt;0, "", TRIM('Base Oficial'!H834)))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11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11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10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22" t="str">
        <f>IF($A835="","",COUNTIF('Base Exámenes'!$C$5:$C$1000, A835))</f>
        <v/>
      </c>
      <c r="M835" s="6" t="str">
        <f>IF($A835="","",IF(COUNTIF('Base Exámenes'!$C$5:$C$1000, A835)&gt;0, "", TRIM('Base Oficial'!H835)))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11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11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10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22" t="str">
        <f>IF($A836="","",COUNTIF('Base Exámenes'!$C$5:$C$1000, A836))</f>
        <v/>
      </c>
      <c r="M836" s="6" t="str">
        <f>IF($A836="","",IF(COUNTIF('Base Exámenes'!$C$5:$C$1000, A836)&gt;0, "", TRIM('Base Oficial'!H836)))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11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11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10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22" t="str">
        <f>IF($A837="","",COUNTIF('Base Exámenes'!$C$5:$C$1000, A837))</f>
        <v/>
      </c>
      <c r="M837" s="6" t="str">
        <f>IF($A837="","",IF(COUNTIF('Base Exámenes'!$C$5:$C$1000, A837)&gt;0, "", TRIM('Base Oficial'!H837)))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11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11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10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22" t="str">
        <f>IF($A838="","",COUNTIF('Base Exámenes'!$C$5:$C$1000, A838))</f>
        <v/>
      </c>
      <c r="M838" s="6" t="str">
        <f>IF($A838="","",IF(COUNTIF('Base Exámenes'!$C$5:$C$1000, A838)&gt;0, "", TRIM('Base Oficial'!H838)))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11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11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10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22" t="str">
        <f>IF($A839="","",COUNTIF('Base Exámenes'!$C$5:$C$1000, A839))</f>
        <v/>
      </c>
      <c r="M839" s="6" t="str">
        <f>IF($A839="","",IF(COUNTIF('Base Exámenes'!$C$5:$C$1000, A839)&gt;0, "", TRIM('Base Oficial'!H839)))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11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11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10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22" t="str">
        <f>IF($A840="","",COUNTIF('Base Exámenes'!$C$5:$C$1000, A840))</f>
        <v/>
      </c>
      <c r="M840" s="6" t="str">
        <f>IF($A840="","",IF(COUNTIF('Base Exámenes'!$C$5:$C$1000, A840)&gt;0, "", TRIM('Base Oficial'!H840)))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11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11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10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22" t="str">
        <f>IF($A841="","",COUNTIF('Base Exámenes'!$C$5:$C$1000, A841))</f>
        <v/>
      </c>
      <c r="M841" s="6" t="str">
        <f>IF($A841="","",IF(COUNTIF('Base Exámenes'!$C$5:$C$1000, A841)&gt;0, "", TRIM('Base Oficial'!H841)))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11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11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10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22" t="str">
        <f>IF($A842="","",COUNTIF('Base Exámenes'!$C$5:$C$1000, A842))</f>
        <v/>
      </c>
      <c r="M842" s="6" t="str">
        <f>IF($A842="","",IF(COUNTIF('Base Exámenes'!$C$5:$C$1000, A842)&gt;0, "", TRIM('Base Oficial'!H842)))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11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11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10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22" t="str">
        <f>IF($A843="","",COUNTIF('Base Exámenes'!$C$5:$C$1000, A843))</f>
        <v/>
      </c>
      <c r="M843" s="6" t="str">
        <f>IF($A843="","",IF(COUNTIF('Base Exámenes'!$C$5:$C$1000, A843)&gt;0, "", TRIM('Base Oficial'!H843)))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11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11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10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22" t="str">
        <f>IF($A844="","",COUNTIF('Base Exámenes'!$C$5:$C$1000, A844))</f>
        <v/>
      </c>
      <c r="M844" s="6" t="str">
        <f>IF($A844="","",IF(COUNTIF('Base Exámenes'!$C$5:$C$1000, A844)&gt;0, "", TRIM('Base Oficial'!H844)))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11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11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10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22" t="str">
        <f>IF($A845="","",COUNTIF('Base Exámenes'!$C$5:$C$1000, A845))</f>
        <v/>
      </c>
      <c r="M845" s="6" t="str">
        <f>IF($A845="","",IF(COUNTIF('Base Exámenes'!$C$5:$C$1000, A845)&gt;0, "", TRIM('Base Oficial'!H845)))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11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11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10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22" t="str">
        <f>IF($A846="","",COUNTIF('Base Exámenes'!$C$5:$C$1000, A846))</f>
        <v/>
      </c>
      <c r="M846" s="6" t="str">
        <f>IF($A846="","",IF(COUNTIF('Base Exámenes'!$C$5:$C$1000, A846)&gt;0, "", TRIM('Base Oficial'!H846)))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11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11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10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22" t="str">
        <f>IF($A847="","",COUNTIF('Base Exámenes'!$C$5:$C$1000, A847))</f>
        <v/>
      </c>
      <c r="M847" s="6" t="str">
        <f>IF($A847="","",IF(COUNTIF('Base Exámenes'!$C$5:$C$1000, A847)&gt;0, "", TRIM('Base Oficial'!H847)))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11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11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10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22" t="str">
        <f>IF($A848="","",COUNTIF('Base Exámenes'!$C$5:$C$1000, A848))</f>
        <v/>
      </c>
      <c r="M848" s="6" t="str">
        <f>IF($A848="","",IF(COUNTIF('Base Exámenes'!$C$5:$C$1000, A848)&gt;0, "", TRIM('Base Oficial'!H848)))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11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11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10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22" t="str">
        <f>IF($A849="","",COUNTIF('Base Exámenes'!$C$5:$C$1000, A849))</f>
        <v/>
      </c>
      <c r="M849" s="6" t="str">
        <f>IF($A849="","",IF(COUNTIF('Base Exámenes'!$C$5:$C$1000, A849)&gt;0, "", TRIM('Base Oficial'!H849)))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11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11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10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22" t="str">
        <f>IF($A850="","",COUNTIF('Base Exámenes'!$C$5:$C$1000, A850))</f>
        <v/>
      </c>
      <c r="M850" s="6" t="str">
        <f>IF($A850="","",IF(COUNTIF('Base Exámenes'!$C$5:$C$1000, A850)&gt;0, "", TRIM('Base Oficial'!H850)))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11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11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10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22" t="str">
        <f>IF($A851="","",COUNTIF('Base Exámenes'!$C$5:$C$1000, A851))</f>
        <v/>
      </c>
      <c r="M851" s="6" t="str">
        <f>IF($A851="","",IF(COUNTIF('Base Exámenes'!$C$5:$C$1000, A851)&gt;0, "", TRIM('Base Oficial'!H851)))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11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11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10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22" t="str">
        <f>IF($A852="","",COUNTIF('Base Exámenes'!$C$5:$C$1000, A852))</f>
        <v/>
      </c>
      <c r="M852" s="6" t="str">
        <f>IF($A852="","",IF(COUNTIF('Base Exámenes'!$C$5:$C$1000, A852)&gt;0, "", TRIM('Base Oficial'!H852)))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11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11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10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22" t="str">
        <f>IF($A853="","",COUNTIF('Base Exámenes'!$C$5:$C$1000, A853))</f>
        <v/>
      </c>
      <c r="M853" s="6" t="str">
        <f>IF($A853="","",IF(COUNTIF('Base Exámenes'!$C$5:$C$1000, A853)&gt;0, "", TRIM('Base Oficial'!H853)))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11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11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10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22" t="str">
        <f>IF($A854="","",COUNTIF('Base Exámenes'!$C$5:$C$1000, A854))</f>
        <v/>
      </c>
      <c r="M854" s="6" t="str">
        <f>IF($A854="","",IF(COUNTIF('Base Exámenes'!$C$5:$C$1000, A854)&gt;0, "", TRIM('Base Oficial'!H854)))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11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11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10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22" t="str">
        <f>IF($A855="","",COUNTIF('Base Exámenes'!$C$5:$C$1000, A855))</f>
        <v/>
      </c>
      <c r="M855" s="6" t="str">
        <f>IF($A855="","",IF(COUNTIF('Base Exámenes'!$C$5:$C$1000, A855)&gt;0, "", TRIM('Base Oficial'!H855)))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11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11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10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22" t="str">
        <f>IF($A856="","",COUNTIF('Base Exámenes'!$C$5:$C$1000, A856))</f>
        <v/>
      </c>
      <c r="M856" s="6" t="str">
        <f>IF($A856="","",IF(COUNTIF('Base Exámenes'!$C$5:$C$1000, A856)&gt;0, "", TRIM('Base Oficial'!H856)))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11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11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10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22" t="str">
        <f>IF($A857="","",COUNTIF('Base Exámenes'!$C$5:$C$1000, A857))</f>
        <v/>
      </c>
      <c r="M857" s="6" t="str">
        <f>IF($A857="","",IF(COUNTIF('Base Exámenes'!$C$5:$C$1000, A857)&gt;0, "", TRIM('Base Oficial'!H857)))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11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11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10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22" t="str">
        <f>IF($A858="","",COUNTIF('Base Exámenes'!$C$5:$C$1000, A858))</f>
        <v/>
      </c>
      <c r="M858" s="6" t="str">
        <f>IF($A858="","",IF(COUNTIF('Base Exámenes'!$C$5:$C$1000, A858)&gt;0, "", TRIM('Base Oficial'!H858)))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11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11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10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22" t="str">
        <f>IF($A859="","",COUNTIF('Base Exámenes'!$C$5:$C$1000, A859))</f>
        <v/>
      </c>
      <c r="M859" s="6" t="str">
        <f>IF($A859="","",IF(COUNTIF('Base Exámenes'!$C$5:$C$1000, A859)&gt;0, "", TRIM('Base Oficial'!H859)))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11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11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10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22" t="str">
        <f>IF($A860="","",COUNTIF('Base Exámenes'!$C$5:$C$1000, A860))</f>
        <v/>
      </c>
      <c r="M860" s="6" t="str">
        <f>IF($A860="","",IF(COUNTIF('Base Exámenes'!$C$5:$C$1000, A860)&gt;0, "", TRIM('Base Oficial'!H860)))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11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11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10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22" t="str">
        <f>IF($A861="","",COUNTIF('Base Exámenes'!$C$5:$C$1000, A861))</f>
        <v/>
      </c>
      <c r="M861" s="6" t="str">
        <f>IF($A861="","",IF(COUNTIF('Base Exámenes'!$C$5:$C$1000, A861)&gt;0, "", TRIM('Base Oficial'!H861)))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11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11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10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22" t="str">
        <f>IF($A862="","",COUNTIF('Base Exámenes'!$C$5:$C$1000, A862))</f>
        <v/>
      </c>
      <c r="M862" s="6" t="str">
        <f>IF($A862="","",IF(COUNTIF('Base Exámenes'!$C$5:$C$1000, A862)&gt;0, "", TRIM('Base Oficial'!H862)))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11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11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10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22" t="str">
        <f>IF($A863="","",COUNTIF('Base Exámenes'!$C$5:$C$1000, A863))</f>
        <v/>
      </c>
      <c r="M863" s="6" t="str">
        <f>IF($A863="","",IF(COUNTIF('Base Exámenes'!$C$5:$C$1000, A863)&gt;0, "", TRIM('Base Oficial'!H863)))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11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11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10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22" t="str">
        <f>IF($A864="","",COUNTIF('Base Exámenes'!$C$5:$C$1000, A864))</f>
        <v/>
      </c>
      <c r="M864" s="6" t="str">
        <f>IF($A864="","",IF(COUNTIF('Base Exámenes'!$C$5:$C$1000, A864)&gt;0, "", TRIM('Base Oficial'!H864)))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11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11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10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22" t="str">
        <f>IF($A865="","",COUNTIF('Base Exámenes'!$C$5:$C$1000, A865))</f>
        <v/>
      </c>
      <c r="M865" s="6" t="str">
        <f>IF($A865="","",IF(COUNTIF('Base Exámenes'!$C$5:$C$1000, A865)&gt;0, "", TRIM('Base Oficial'!H865)))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11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11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10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22" t="str">
        <f>IF($A866="","",COUNTIF('Base Exámenes'!$C$5:$C$1000, A866))</f>
        <v/>
      </c>
      <c r="M866" s="6" t="str">
        <f>IF($A866="","",IF(COUNTIF('Base Exámenes'!$C$5:$C$1000, A866)&gt;0, "", TRIM('Base Oficial'!H866)))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11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11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10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22" t="str">
        <f>IF($A867="","",COUNTIF('Base Exámenes'!$C$5:$C$1000, A867))</f>
        <v/>
      </c>
      <c r="M867" s="6" t="str">
        <f>IF($A867="","",IF(COUNTIF('Base Exámenes'!$C$5:$C$1000, A867)&gt;0, "", TRIM('Base Oficial'!H867)))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11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11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10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22" t="str">
        <f>IF($A868="","",COUNTIF('Base Exámenes'!$C$5:$C$1000, A868))</f>
        <v/>
      </c>
      <c r="M868" s="6" t="str">
        <f>IF($A868="","",IF(COUNTIF('Base Exámenes'!$C$5:$C$1000, A868)&gt;0, "", TRIM('Base Oficial'!H868)))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11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11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10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22" t="str">
        <f>IF($A869="","",COUNTIF('Base Exámenes'!$C$5:$C$1000, A869))</f>
        <v/>
      </c>
      <c r="M869" s="6" t="str">
        <f>IF($A869="","",IF(COUNTIF('Base Exámenes'!$C$5:$C$1000, A869)&gt;0, "", TRIM('Base Oficial'!H869)))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11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11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10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22" t="str">
        <f>IF($A870="","",COUNTIF('Base Exámenes'!$C$5:$C$1000, A870))</f>
        <v/>
      </c>
      <c r="M870" s="6" t="str">
        <f>IF($A870="","",IF(COUNTIF('Base Exámenes'!$C$5:$C$1000, A870)&gt;0, "", TRIM('Base Oficial'!H870)))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11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11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10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22" t="str">
        <f>IF($A871="","",COUNTIF('Base Exámenes'!$C$5:$C$1000, A871))</f>
        <v/>
      </c>
      <c r="M871" s="6" t="str">
        <f>IF($A871="","",IF(COUNTIF('Base Exámenes'!$C$5:$C$1000, A871)&gt;0, "", TRIM('Base Oficial'!H871)))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11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11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10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22" t="str">
        <f>IF($A872="","",COUNTIF('Base Exámenes'!$C$5:$C$1000, A872))</f>
        <v/>
      </c>
      <c r="M872" s="6" t="str">
        <f>IF($A872="","",IF(COUNTIF('Base Exámenes'!$C$5:$C$1000, A872)&gt;0, "", TRIM('Base Oficial'!H872)))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11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11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10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22" t="str">
        <f>IF($A873="","",COUNTIF('Base Exámenes'!$C$5:$C$1000, A873))</f>
        <v/>
      </c>
      <c r="M873" s="6" t="str">
        <f>IF($A873="","",IF(COUNTIF('Base Exámenes'!$C$5:$C$1000, A873)&gt;0, "", TRIM('Base Oficial'!H873)))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11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11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10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22" t="str">
        <f>IF($A874="","",COUNTIF('Base Exámenes'!$C$5:$C$1000, A874))</f>
        <v/>
      </c>
      <c r="M874" s="6" t="str">
        <f>IF($A874="","",IF(COUNTIF('Base Exámenes'!$C$5:$C$1000, A874)&gt;0, "", TRIM('Base Oficial'!H874)))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11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11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10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22" t="str">
        <f>IF($A875="","",COUNTIF('Base Exámenes'!$C$5:$C$1000, A875))</f>
        <v/>
      </c>
      <c r="M875" s="6" t="str">
        <f>IF($A875="","",IF(COUNTIF('Base Exámenes'!$C$5:$C$1000, A875)&gt;0, "", TRIM('Base Oficial'!H875)))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11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11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10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22" t="str">
        <f>IF($A876="","",COUNTIF('Base Exámenes'!$C$5:$C$1000, A876))</f>
        <v/>
      </c>
      <c r="M876" s="6" t="str">
        <f>IF($A876="","",IF(COUNTIF('Base Exámenes'!$C$5:$C$1000, A876)&gt;0, "", TRIM('Base Oficial'!H876)))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11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11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10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22" t="str">
        <f>IF($A877="","",COUNTIF('Base Exámenes'!$C$5:$C$1000, A877))</f>
        <v/>
      </c>
      <c r="M877" s="6" t="str">
        <f>IF($A877="","",IF(COUNTIF('Base Exámenes'!$C$5:$C$1000, A877)&gt;0, "", TRIM('Base Oficial'!H877)))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11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11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10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22" t="str">
        <f>IF($A878="","",COUNTIF('Base Exámenes'!$C$5:$C$1000, A878))</f>
        <v/>
      </c>
      <c r="M878" s="6" t="str">
        <f>IF($A878="","",IF(COUNTIF('Base Exámenes'!$C$5:$C$1000, A878)&gt;0, "", TRIM('Base Oficial'!H878)))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11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11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10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22" t="str">
        <f>IF($A879="","",COUNTIF('Base Exámenes'!$C$5:$C$1000, A879))</f>
        <v/>
      </c>
      <c r="M879" s="6" t="str">
        <f>IF($A879="","",IF(COUNTIF('Base Exámenes'!$C$5:$C$1000, A879)&gt;0, "", TRIM('Base Oficial'!H879)))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11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11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10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22" t="str">
        <f>IF($A880="","",COUNTIF('Base Exámenes'!$C$5:$C$1000, A880))</f>
        <v/>
      </c>
      <c r="M880" s="6" t="str">
        <f>IF($A880="","",IF(COUNTIF('Base Exámenes'!$C$5:$C$1000, A880)&gt;0, "", TRIM('Base Oficial'!H880)))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11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11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10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22" t="str">
        <f>IF($A881="","",COUNTIF('Base Exámenes'!$C$5:$C$1000, A881))</f>
        <v/>
      </c>
      <c r="M881" s="6" t="str">
        <f>IF($A881="","",IF(COUNTIF('Base Exámenes'!$C$5:$C$1000, A881)&gt;0, "", TRIM('Base Oficial'!H881)))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11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11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10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22" t="str">
        <f>IF($A882="","",COUNTIF('Base Exámenes'!$C$5:$C$1000, A882))</f>
        <v/>
      </c>
      <c r="M882" s="6" t="str">
        <f>IF($A882="","",IF(COUNTIF('Base Exámenes'!$C$5:$C$1000, A882)&gt;0, "", TRIM('Base Oficial'!H882)))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11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11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10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22" t="str">
        <f>IF($A883="","",COUNTIF('Base Exámenes'!$C$5:$C$1000, A883))</f>
        <v/>
      </c>
      <c r="M883" s="6" t="str">
        <f>IF($A883="","",IF(COUNTIF('Base Exámenes'!$C$5:$C$1000, A883)&gt;0, "", TRIM('Base Oficial'!H883)))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11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11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10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22" t="str">
        <f>IF($A884="","",COUNTIF('Base Exámenes'!$C$5:$C$1000, A884))</f>
        <v/>
      </c>
      <c r="M884" s="6" t="str">
        <f>IF($A884="","",IF(COUNTIF('Base Exámenes'!$C$5:$C$1000, A884)&gt;0, "", TRIM('Base Oficial'!H884)))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11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11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10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22" t="str">
        <f>IF($A885="","",COUNTIF('Base Exámenes'!$C$5:$C$1000, A885))</f>
        <v/>
      </c>
      <c r="M885" s="6" t="str">
        <f>IF($A885="","",IF(COUNTIF('Base Exámenes'!$C$5:$C$1000, A885)&gt;0, "", TRIM('Base Oficial'!H885)))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11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11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10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22" t="str">
        <f>IF($A886="","",COUNTIF('Base Exámenes'!$C$5:$C$1000, A886))</f>
        <v/>
      </c>
      <c r="M886" s="6" t="str">
        <f>IF($A886="","",IF(COUNTIF('Base Exámenes'!$C$5:$C$1000, A886)&gt;0, "", TRIM('Base Oficial'!H886)))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11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11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10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22" t="str">
        <f>IF($A887="","",COUNTIF('Base Exámenes'!$C$5:$C$1000, A887))</f>
        <v/>
      </c>
      <c r="M887" s="6" t="str">
        <f>IF($A887="","",IF(COUNTIF('Base Exámenes'!$C$5:$C$1000, A887)&gt;0, "", TRIM('Base Oficial'!H887)))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11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11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10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22" t="str">
        <f>IF($A888="","",COUNTIF('Base Exámenes'!$C$5:$C$1000, A888))</f>
        <v/>
      </c>
      <c r="M888" s="6" t="str">
        <f>IF($A888="","",IF(COUNTIF('Base Exámenes'!$C$5:$C$1000, A888)&gt;0, "", TRIM('Base Oficial'!H888)))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11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11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10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22" t="str">
        <f>IF($A889="","",COUNTIF('Base Exámenes'!$C$5:$C$1000, A889))</f>
        <v/>
      </c>
      <c r="M889" s="6" t="str">
        <f>IF($A889="","",IF(COUNTIF('Base Exámenes'!$C$5:$C$1000, A889)&gt;0, "", TRIM('Base Oficial'!H889)))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11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11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10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22" t="str">
        <f>IF($A890="","",COUNTIF('Base Exámenes'!$C$5:$C$1000, A890))</f>
        <v/>
      </c>
      <c r="M890" s="6" t="str">
        <f>IF($A890="","",IF(COUNTIF('Base Exámenes'!$C$5:$C$1000, A890)&gt;0, "", TRIM('Base Oficial'!H890)))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11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11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10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22" t="str">
        <f>IF($A891="","",COUNTIF('Base Exámenes'!$C$5:$C$1000, A891))</f>
        <v/>
      </c>
      <c r="M891" s="6" t="str">
        <f>IF($A891="","",IF(COUNTIF('Base Exámenes'!$C$5:$C$1000, A891)&gt;0, "", TRIM('Base Oficial'!H891)))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11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11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10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22" t="str">
        <f>IF($A892="","",COUNTIF('Base Exámenes'!$C$5:$C$1000, A892))</f>
        <v/>
      </c>
      <c r="M892" s="6" t="str">
        <f>IF($A892="","",IF(COUNTIF('Base Exámenes'!$C$5:$C$1000, A892)&gt;0, "", TRIM('Base Oficial'!H892)))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11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11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10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22" t="str">
        <f>IF($A893="","",COUNTIF('Base Exámenes'!$C$5:$C$1000, A893))</f>
        <v/>
      </c>
      <c r="M893" s="6" t="str">
        <f>IF($A893="","",IF(COUNTIF('Base Exámenes'!$C$5:$C$1000, A893)&gt;0, "", TRIM('Base Oficial'!H893)))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11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11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10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22" t="str">
        <f>IF($A894="","",COUNTIF('Base Exámenes'!$C$5:$C$1000, A894))</f>
        <v/>
      </c>
      <c r="M894" s="6" t="str">
        <f>IF($A894="","",IF(COUNTIF('Base Exámenes'!$C$5:$C$1000, A894)&gt;0, "", TRIM('Base Oficial'!H894)))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11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11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10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22" t="str">
        <f>IF($A895="","",COUNTIF('Base Exámenes'!$C$5:$C$1000, A895))</f>
        <v/>
      </c>
      <c r="M895" s="6" t="str">
        <f>IF($A895="","",IF(COUNTIF('Base Exámenes'!$C$5:$C$1000, A895)&gt;0, "", TRIM('Base Oficial'!H895)))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11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11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10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22" t="str">
        <f>IF($A896="","",COUNTIF('Base Exámenes'!$C$5:$C$1000, A896))</f>
        <v/>
      </c>
      <c r="M896" s="6" t="str">
        <f>IF($A896="","",IF(COUNTIF('Base Exámenes'!$C$5:$C$1000, A896)&gt;0, "", TRIM('Base Oficial'!H896)))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11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11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10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22" t="str">
        <f>IF($A897="","",COUNTIF('Base Exámenes'!$C$5:$C$1000, A897))</f>
        <v/>
      </c>
      <c r="M897" s="6" t="str">
        <f>IF($A897="","",IF(COUNTIF('Base Exámenes'!$C$5:$C$1000, A897)&gt;0, "", TRIM('Base Oficial'!H897)))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11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11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10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22" t="str">
        <f>IF($A898="","",COUNTIF('Base Exámenes'!$C$5:$C$1000, A898))</f>
        <v/>
      </c>
      <c r="M898" s="6" t="str">
        <f>IF($A898="","",IF(COUNTIF('Base Exámenes'!$C$5:$C$1000, A898)&gt;0, "", TRIM('Base Oficial'!H898)))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11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11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10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22" t="str">
        <f>IF($A899="","",COUNTIF('Base Exámenes'!$C$5:$C$1000, A899))</f>
        <v/>
      </c>
      <c r="M899" s="6" t="str">
        <f>IF($A899="","",IF(COUNTIF('Base Exámenes'!$C$5:$C$1000, A899)&gt;0, "", TRIM('Base Oficial'!H899)))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11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11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10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22" t="str">
        <f>IF($A900="","",COUNTIF('Base Exámenes'!$C$5:$C$1000, A900))</f>
        <v/>
      </c>
      <c r="M900" s="6" t="str">
        <f>IF($A900="","",IF(COUNTIF('Base Exámenes'!$C$5:$C$1000, A900)&gt;0, "", TRIM('Base Oficial'!H900)))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11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11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10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22" t="str">
        <f>IF($A901="","",COUNTIF('Base Exámenes'!$C$5:$C$1000, A901))</f>
        <v/>
      </c>
      <c r="M901" s="6" t="str">
        <f>IF($A901="","",IF(COUNTIF('Base Exámenes'!$C$5:$C$1000, A901)&gt;0, "", TRIM('Base Oficial'!H901)))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11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11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10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22" t="str">
        <f>IF($A902="","",COUNTIF('Base Exámenes'!$C$5:$C$1000, A902))</f>
        <v/>
      </c>
      <c r="M902" s="6" t="str">
        <f>IF($A902="","",IF(COUNTIF('Base Exámenes'!$C$5:$C$1000, A902)&gt;0, "", TRIM('Base Oficial'!H902)))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11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11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10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22" t="str">
        <f>IF($A903="","",COUNTIF('Base Exámenes'!$C$5:$C$1000, A903))</f>
        <v/>
      </c>
      <c r="M903" s="6" t="str">
        <f>IF($A903="","",IF(COUNTIF('Base Exámenes'!$C$5:$C$1000, A903)&gt;0, "", TRIM('Base Oficial'!H903)))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11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11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10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22" t="str">
        <f>IF($A904="","",COUNTIF('Base Exámenes'!$C$5:$C$1000, A904))</f>
        <v/>
      </c>
      <c r="M904" s="6" t="str">
        <f>IF($A904="","",IF(COUNTIF('Base Exámenes'!$C$5:$C$1000, A904)&gt;0, "", TRIM('Base Oficial'!H904)))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11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11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10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22" t="str">
        <f>IF($A905="","",COUNTIF('Base Exámenes'!$C$5:$C$1000, A905))</f>
        <v/>
      </c>
      <c r="M905" s="6" t="str">
        <f>IF($A905="","",IF(COUNTIF('Base Exámenes'!$C$5:$C$1000, A905)&gt;0, "", TRIM('Base Oficial'!H905)))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11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11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10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22" t="str">
        <f>IF($A906="","",COUNTIF('Base Exámenes'!$C$5:$C$1000, A906))</f>
        <v/>
      </c>
      <c r="M906" s="6" t="str">
        <f>IF($A906="","",IF(COUNTIF('Base Exámenes'!$C$5:$C$1000, A906)&gt;0, "", TRIM('Base Oficial'!H906)))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11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11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10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22" t="str">
        <f>IF($A907="","",COUNTIF('Base Exámenes'!$C$5:$C$1000, A907))</f>
        <v/>
      </c>
      <c r="M907" s="6" t="str">
        <f>IF($A907="","",IF(COUNTIF('Base Exámenes'!$C$5:$C$1000, A907)&gt;0, "", TRIM('Base Oficial'!H907)))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11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11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10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22" t="str">
        <f>IF($A908="","",COUNTIF('Base Exámenes'!$C$5:$C$1000, A908))</f>
        <v/>
      </c>
      <c r="M908" s="6" t="str">
        <f>IF($A908="","",IF(COUNTIF('Base Exámenes'!$C$5:$C$1000, A908)&gt;0, "", TRIM('Base Oficial'!H908)))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11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11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10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22" t="str">
        <f>IF($A909="","",COUNTIF('Base Exámenes'!$C$5:$C$1000, A909))</f>
        <v/>
      </c>
      <c r="M909" s="6" t="str">
        <f>IF($A909="","",IF(COUNTIF('Base Exámenes'!$C$5:$C$1000, A909)&gt;0, "", TRIM('Base Oficial'!H909)))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11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11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10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22" t="str">
        <f>IF($A910="","",COUNTIF('Base Exámenes'!$C$5:$C$1000, A910))</f>
        <v/>
      </c>
      <c r="M910" s="6" t="str">
        <f>IF($A910="","",IF(COUNTIF('Base Exámenes'!$C$5:$C$1000, A910)&gt;0, "", TRIM('Base Oficial'!H910)))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11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11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10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22" t="str">
        <f>IF($A911="","",COUNTIF('Base Exámenes'!$C$5:$C$1000, A911))</f>
        <v/>
      </c>
      <c r="M911" s="6" t="str">
        <f>IF($A911="","",IF(COUNTIF('Base Exámenes'!$C$5:$C$1000, A911)&gt;0, "", TRIM('Base Oficial'!H911)))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11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11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10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22" t="str">
        <f>IF($A912="","",COUNTIF('Base Exámenes'!$C$5:$C$1000, A912))</f>
        <v/>
      </c>
      <c r="M912" s="6" t="str">
        <f>IF($A912="","",IF(COUNTIF('Base Exámenes'!$C$5:$C$1000, A912)&gt;0, "", TRIM('Base Oficial'!H912)))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11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11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10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22" t="str">
        <f>IF($A913="","",COUNTIF('Base Exámenes'!$C$5:$C$1000, A913))</f>
        <v/>
      </c>
      <c r="M913" s="6" t="str">
        <f>IF($A913="","",IF(COUNTIF('Base Exámenes'!$C$5:$C$1000, A913)&gt;0, "", TRIM('Base Oficial'!H913)))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11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11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10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22" t="str">
        <f>IF($A914="","",COUNTIF('Base Exámenes'!$C$5:$C$1000, A914))</f>
        <v/>
      </c>
      <c r="M914" s="6" t="str">
        <f>IF($A914="","",IF(COUNTIF('Base Exámenes'!$C$5:$C$1000, A914)&gt;0, "", TRIM('Base Oficial'!H914)))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11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11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10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22" t="str">
        <f>IF($A915="","",COUNTIF('Base Exámenes'!$C$5:$C$1000, A915))</f>
        <v/>
      </c>
      <c r="M915" s="6" t="str">
        <f>IF($A915="","",IF(COUNTIF('Base Exámenes'!$C$5:$C$1000, A915)&gt;0, "", TRIM('Base Oficial'!H915)))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11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11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10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22" t="str">
        <f>IF($A916="","",COUNTIF('Base Exámenes'!$C$5:$C$1000, A916))</f>
        <v/>
      </c>
      <c r="M916" s="6" t="str">
        <f>IF($A916="","",IF(COUNTIF('Base Exámenes'!$C$5:$C$1000, A916)&gt;0, "", TRIM('Base Oficial'!H916)))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11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11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10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22" t="str">
        <f>IF($A917="","",COUNTIF('Base Exámenes'!$C$5:$C$1000, A917))</f>
        <v/>
      </c>
      <c r="M917" s="6" t="str">
        <f>IF($A917="","",IF(COUNTIF('Base Exámenes'!$C$5:$C$1000, A917)&gt;0, "", TRIM('Base Oficial'!H917)))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11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11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10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22" t="str">
        <f>IF($A918="","",COUNTIF('Base Exámenes'!$C$5:$C$1000, A918))</f>
        <v/>
      </c>
      <c r="M918" s="6" t="str">
        <f>IF($A918="","",IF(COUNTIF('Base Exámenes'!$C$5:$C$1000, A918)&gt;0, "", TRIM('Base Oficial'!H918)))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11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11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10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22" t="str">
        <f>IF($A919="","",COUNTIF('Base Exámenes'!$C$5:$C$1000, A919))</f>
        <v/>
      </c>
      <c r="M919" s="6" t="str">
        <f>IF($A919="","",IF(COUNTIF('Base Exámenes'!$C$5:$C$1000, A919)&gt;0, "", TRIM('Base Oficial'!H919)))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11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11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10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22" t="str">
        <f>IF($A920="","",COUNTIF('Base Exámenes'!$C$5:$C$1000, A920))</f>
        <v/>
      </c>
      <c r="M920" s="6" t="str">
        <f>IF($A920="","",IF(COUNTIF('Base Exámenes'!$C$5:$C$1000, A920)&gt;0, "", TRIM('Base Oficial'!H920)))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11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11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10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22" t="str">
        <f>IF($A921="","",COUNTIF('Base Exámenes'!$C$5:$C$1000, A921))</f>
        <v/>
      </c>
      <c r="M921" s="6" t="str">
        <f>IF($A921="","",IF(COUNTIF('Base Exámenes'!$C$5:$C$1000, A921)&gt;0, "", TRIM('Base Oficial'!H921)))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11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11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10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22" t="str">
        <f>IF($A922="","",COUNTIF('Base Exámenes'!$C$5:$C$1000, A922))</f>
        <v/>
      </c>
      <c r="M922" s="6" t="str">
        <f>IF($A922="","",IF(COUNTIF('Base Exámenes'!$C$5:$C$1000, A922)&gt;0, "", TRIM('Base Oficial'!H922)))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11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11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10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22" t="str">
        <f>IF($A923="","",COUNTIF('Base Exámenes'!$C$5:$C$1000, A923))</f>
        <v/>
      </c>
      <c r="M923" s="6" t="str">
        <f>IF($A923="","",IF(COUNTIF('Base Exámenes'!$C$5:$C$1000, A923)&gt;0, "", TRIM('Base Oficial'!H923)))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11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11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10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22" t="str">
        <f>IF($A924="","",COUNTIF('Base Exámenes'!$C$5:$C$1000, A924))</f>
        <v/>
      </c>
      <c r="M924" s="6" t="str">
        <f>IF($A924="","",IF(COUNTIF('Base Exámenes'!$C$5:$C$1000, A924)&gt;0, "", TRIM('Base Oficial'!H924)))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11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11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10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22" t="str">
        <f>IF($A925="","",COUNTIF('Base Exámenes'!$C$5:$C$1000, A925))</f>
        <v/>
      </c>
      <c r="M925" s="6" t="str">
        <f>IF($A925="","",IF(COUNTIF('Base Exámenes'!$C$5:$C$1000, A925)&gt;0, "", TRIM('Base Oficial'!H925)))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11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11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10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22" t="str">
        <f>IF($A926="","",COUNTIF('Base Exámenes'!$C$5:$C$1000, A926))</f>
        <v/>
      </c>
      <c r="M926" s="6" t="str">
        <f>IF($A926="","",IF(COUNTIF('Base Exámenes'!$C$5:$C$1000, A926)&gt;0, "", TRIM('Base Oficial'!H926)))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11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11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10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22" t="str">
        <f>IF($A927="","",COUNTIF('Base Exámenes'!$C$5:$C$1000, A927))</f>
        <v/>
      </c>
      <c r="M927" s="6" t="str">
        <f>IF($A927="","",IF(COUNTIF('Base Exámenes'!$C$5:$C$1000, A927)&gt;0, "", TRIM('Base Oficial'!H927)))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11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11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10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22" t="str">
        <f>IF($A928="","",COUNTIF('Base Exámenes'!$C$5:$C$1000, A928))</f>
        <v/>
      </c>
      <c r="M928" s="6" t="str">
        <f>IF($A928="","",IF(COUNTIF('Base Exámenes'!$C$5:$C$1000, A928)&gt;0, "", TRIM('Base Oficial'!H928)))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11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11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10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22" t="str">
        <f>IF($A929="","",COUNTIF('Base Exámenes'!$C$5:$C$1000, A929))</f>
        <v/>
      </c>
      <c r="M929" s="6" t="str">
        <f>IF($A929="","",IF(COUNTIF('Base Exámenes'!$C$5:$C$1000, A929)&gt;0, "", TRIM('Base Oficial'!H929)))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11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11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10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22" t="str">
        <f>IF($A930="","",COUNTIF('Base Exámenes'!$C$5:$C$1000, A930))</f>
        <v/>
      </c>
      <c r="M930" s="6" t="str">
        <f>IF($A930="","",IF(COUNTIF('Base Exámenes'!$C$5:$C$1000, A930)&gt;0, "", TRIM('Base Oficial'!H930)))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11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11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10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22" t="str">
        <f>IF($A931="","",COUNTIF('Base Exámenes'!$C$5:$C$1000, A931))</f>
        <v/>
      </c>
      <c r="M931" s="6" t="str">
        <f>IF($A931="","",IF(COUNTIF('Base Exámenes'!$C$5:$C$1000, A931)&gt;0, "", TRIM('Base Oficial'!H931)))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11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11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10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22" t="str">
        <f>IF($A932="","",COUNTIF('Base Exámenes'!$C$5:$C$1000, A932))</f>
        <v/>
      </c>
      <c r="M932" s="6" t="str">
        <f>IF($A932="","",IF(COUNTIF('Base Exámenes'!$C$5:$C$1000, A932)&gt;0, "", TRIM('Base Oficial'!H932)))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11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11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10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22" t="str">
        <f>IF($A933="","",COUNTIF('Base Exámenes'!$C$5:$C$1000, A933))</f>
        <v/>
      </c>
      <c r="M933" s="6" t="str">
        <f>IF($A933="","",IF(COUNTIF('Base Exámenes'!$C$5:$C$1000, A933)&gt;0, "", TRIM('Base Oficial'!H933)))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11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11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10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22" t="str">
        <f>IF($A934="","",COUNTIF('Base Exámenes'!$C$5:$C$1000, A934))</f>
        <v/>
      </c>
      <c r="M934" s="6" t="str">
        <f>IF($A934="","",IF(COUNTIF('Base Exámenes'!$C$5:$C$1000, A934)&gt;0, "", TRIM('Base Oficial'!H934)))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11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11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10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22" t="str">
        <f>IF($A935="","",COUNTIF('Base Exámenes'!$C$5:$C$1000, A935))</f>
        <v/>
      </c>
      <c r="M935" s="6" t="str">
        <f>IF($A935="","",IF(COUNTIF('Base Exámenes'!$C$5:$C$1000, A935)&gt;0, "", TRIM('Base Oficial'!H935)))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11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11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10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22" t="str">
        <f>IF($A936="","",COUNTIF('Base Exámenes'!$C$5:$C$1000, A936))</f>
        <v/>
      </c>
      <c r="M936" s="6" t="str">
        <f>IF($A936="","",IF(COUNTIF('Base Exámenes'!$C$5:$C$1000, A936)&gt;0, "", TRIM('Base Oficial'!H936)))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11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11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10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22" t="str">
        <f>IF($A937="","",COUNTIF('Base Exámenes'!$C$5:$C$1000, A937))</f>
        <v/>
      </c>
      <c r="M937" s="6" t="str">
        <f>IF($A937="","",IF(COUNTIF('Base Exámenes'!$C$5:$C$1000, A937)&gt;0, "", TRIM('Base Oficial'!H937)))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11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11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10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22" t="str">
        <f>IF($A938="","",COUNTIF('Base Exámenes'!$C$5:$C$1000, A938))</f>
        <v/>
      </c>
      <c r="M938" s="6" t="str">
        <f>IF($A938="","",IF(COUNTIF('Base Exámenes'!$C$5:$C$1000, A938)&gt;0, "", TRIM('Base Oficial'!H938)))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11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11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10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22" t="str">
        <f>IF($A939="","",COUNTIF('Base Exámenes'!$C$5:$C$1000, A939))</f>
        <v/>
      </c>
      <c r="M939" s="6" t="str">
        <f>IF($A939="","",IF(COUNTIF('Base Exámenes'!$C$5:$C$1000, A939)&gt;0, "", TRIM('Base Oficial'!H939)))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11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11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10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22" t="str">
        <f>IF($A940="","",COUNTIF('Base Exámenes'!$C$5:$C$1000, A940))</f>
        <v/>
      </c>
      <c r="M940" s="6" t="str">
        <f>IF($A940="","",IF(COUNTIF('Base Exámenes'!$C$5:$C$1000, A940)&gt;0, "", TRIM('Base Oficial'!H940)))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11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11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10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22" t="str">
        <f>IF($A941="","",COUNTIF('Base Exámenes'!$C$5:$C$1000, A941))</f>
        <v/>
      </c>
      <c r="M941" s="6" t="str">
        <f>IF($A941="","",IF(COUNTIF('Base Exámenes'!$C$5:$C$1000, A941)&gt;0, "", TRIM('Base Oficial'!H941)))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11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11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10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22" t="str">
        <f>IF($A942="","",COUNTIF('Base Exámenes'!$C$5:$C$1000, A942))</f>
        <v/>
      </c>
      <c r="M942" s="6" t="str">
        <f>IF($A942="","",IF(COUNTIF('Base Exámenes'!$C$5:$C$1000, A942)&gt;0, "", TRIM('Base Oficial'!H942)))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11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11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10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22" t="str">
        <f>IF($A943="","",COUNTIF('Base Exámenes'!$C$5:$C$1000, A943))</f>
        <v/>
      </c>
      <c r="M943" s="6" t="str">
        <f>IF($A943="","",IF(COUNTIF('Base Exámenes'!$C$5:$C$1000, A943)&gt;0, "", TRIM('Base Oficial'!H943)))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11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11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10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22" t="str">
        <f>IF($A944="","",COUNTIF('Base Exámenes'!$C$5:$C$1000, A944))</f>
        <v/>
      </c>
      <c r="M944" s="6" t="str">
        <f>IF($A944="","",IF(COUNTIF('Base Exámenes'!$C$5:$C$1000, A944)&gt;0, "", TRIM('Base Oficial'!H944)))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11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11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10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22" t="str">
        <f>IF($A945="","",COUNTIF('Base Exámenes'!$C$5:$C$1000, A945))</f>
        <v/>
      </c>
      <c r="M945" s="6" t="str">
        <f>IF($A945="","",IF(COUNTIF('Base Exámenes'!$C$5:$C$1000, A945)&gt;0, "", TRIM('Base Oficial'!H945)))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11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11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10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22" t="str">
        <f>IF($A946="","",COUNTIF('Base Exámenes'!$C$5:$C$1000, A946))</f>
        <v/>
      </c>
      <c r="M946" s="6" t="str">
        <f>IF($A946="","",IF(COUNTIF('Base Exámenes'!$C$5:$C$1000, A946)&gt;0, "", TRIM('Base Oficial'!H946)))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11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11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10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22" t="str">
        <f>IF($A947="","",COUNTIF('Base Exámenes'!$C$5:$C$1000, A947))</f>
        <v/>
      </c>
      <c r="M947" s="6" t="str">
        <f>IF($A947="","",IF(COUNTIF('Base Exámenes'!$C$5:$C$1000, A947)&gt;0, "", TRIM('Base Oficial'!H947)))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11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11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10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22" t="str">
        <f>IF($A948="","",COUNTIF('Base Exámenes'!$C$5:$C$1000, A948))</f>
        <v/>
      </c>
      <c r="M948" s="6" t="str">
        <f>IF($A948="","",IF(COUNTIF('Base Exámenes'!$C$5:$C$1000, A948)&gt;0, "", TRIM('Base Oficial'!H948)))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11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11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10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22" t="str">
        <f>IF($A949="","",COUNTIF('Base Exámenes'!$C$5:$C$1000, A949))</f>
        <v/>
      </c>
      <c r="M949" s="6" t="str">
        <f>IF($A949="","",IF(COUNTIF('Base Exámenes'!$C$5:$C$1000, A949)&gt;0, "", TRIM('Base Oficial'!H949)))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11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11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10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22" t="str">
        <f>IF($A950="","",COUNTIF('Base Exámenes'!$C$5:$C$1000, A950))</f>
        <v/>
      </c>
      <c r="M950" s="6" t="str">
        <f>IF($A950="","",IF(COUNTIF('Base Exámenes'!$C$5:$C$1000, A950)&gt;0, "", TRIM('Base Oficial'!H950)))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11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11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10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22" t="str">
        <f>IF($A951="","",COUNTIF('Base Exámenes'!$C$5:$C$1000, A951))</f>
        <v/>
      </c>
      <c r="M951" s="6" t="str">
        <f>IF($A951="","",IF(COUNTIF('Base Exámenes'!$C$5:$C$1000, A951)&gt;0, "", TRIM('Base Oficial'!H951)))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11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11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10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22" t="str">
        <f>IF($A952="","",COUNTIF('Base Exámenes'!$C$5:$C$1000, A952))</f>
        <v/>
      </c>
      <c r="M952" s="6" t="str">
        <f>IF($A952="","",IF(COUNTIF('Base Exámenes'!$C$5:$C$1000, A952)&gt;0, "", TRIM('Base Oficial'!H952)))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11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11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10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22" t="str">
        <f>IF($A953="","",COUNTIF('Base Exámenes'!$C$5:$C$1000, A953))</f>
        <v/>
      </c>
      <c r="M953" s="6" t="str">
        <f>IF($A953="","",IF(COUNTIF('Base Exámenes'!$C$5:$C$1000, A953)&gt;0, "", TRIM('Base Oficial'!H953)))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11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11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10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22" t="str">
        <f>IF($A954="","",COUNTIF('Base Exámenes'!$C$5:$C$1000, A954))</f>
        <v/>
      </c>
      <c r="M954" s="6" t="str">
        <f>IF($A954="","",IF(COUNTIF('Base Exámenes'!$C$5:$C$1000, A954)&gt;0, "", TRIM('Base Oficial'!H954)))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11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11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10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22" t="str">
        <f>IF($A955="","",COUNTIF('Base Exámenes'!$C$5:$C$1000, A955))</f>
        <v/>
      </c>
      <c r="M955" s="6" t="str">
        <f>IF($A955="","",IF(COUNTIF('Base Exámenes'!$C$5:$C$1000, A955)&gt;0, "", TRIM('Base Oficial'!H955)))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11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11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10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22" t="str">
        <f>IF($A956="","",COUNTIF('Base Exámenes'!$C$5:$C$1000, A956))</f>
        <v/>
      </c>
      <c r="M956" s="6" t="str">
        <f>IF($A956="","",IF(COUNTIF('Base Exámenes'!$C$5:$C$1000, A956)&gt;0, "", TRIM('Base Oficial'!H956)))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11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11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10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22" t="str">
        <f>IF($A957="","",COUNTIF('Base Exámenes'!$C$5:$C$1000, A957))</f>
        <v/>
      </c>
      <c r="M957" s="6" t="str">
        <f>IF($A957="","",IF(COUNTIF('Base Exámenes'!$C$5:$C$1000, A957)&gt;0, "", TRIM('Base Oficial'!H957)))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11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11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10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22" t="str">
        <f>IF($A958="","",COUNTIF('Base Exámenes'!$C$5:$C$1000, A958))</f>
        <v/>
      </c>
      <c r="M958" s="6" t="str">
        <f>IF($A958="","",IF(COUNTIF('Base Exámenes'!$C$5:$C$1000, A958)&gt;0, "", TRIM('Base Oficial'!H958)))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11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11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10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22" t="str">
        <f>IF($A959="","",COUNTIF('Base Exámenes'!$C$5:$C$1000, A959))</f>
        <v/>
      </c>
      <c r="M959" s="6" t="str">
        <f>IF($A959="","",IF(COUNTIF('Base Exámenes'!$C$5:$C$1000, A959)&gt;0, "", TRIM('Base Oficial'!H959)))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11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11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10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22" t="str">
        <f>IF($A960="","",COUNTIF('Base Exámenes'!$C$5:$C$1000, A960))</f>
        <v/>
      </c>
      <c r="M960" s="6" t="str">
        <f>IF($A960="","",IF(COUNTIF('Base Exámenes'!$C$5:$C$1000, A960)&gt;0, "", TRIM('Base Oficial'!H960)))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11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11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10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22" t="str">
        <f>IF($A961="","",COUNTIF('Base Exámenes'!$C$5:$C$1000, A961))</f>
        <v/>
      </c>
      <c r="M961" s="6" t="str">
        <f>IF($A961="","",IF(COUNTIF('Base Exámenes'!$C$5:$C$1000, A961)&gt;0, "", TRIM('Base Oficial'!H961)))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11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11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10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22" t="str">
        <f>IF($A962="","",COUNTIF('Base Exámenes'!$C$5:$C$1000, A962))</f>
        <v/>
      </c>
      <c r="M962" s="6" t="str">
        <f>IF($A962="","",IF(COUNTIF('Base Exámenes'!$C$5:$C$1000, A962)&gt;0, "", TRIM('Base Oficial'!H962)))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11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11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10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22" t="str">
        <f>IF($A963="","",COUNTIF('Base Exámenes'!$C$5:$C$1000, A963))</f>
        <v/>
      </c>
      <c r="M963" s="6" t="str">
        <f>IF($A963="","",IF(COUNTIF('Base Exámenes'!$C$5:$C$1000, A963)&gt;0, "", TRIM('Base Oficial'!H963)))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11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11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10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22" t="str">
        <f>IF($A964="","",COUNTIF('Base Exámenes'!$C$5:$C$1000, A964))</f>
        <v/>
      </c>
      <c r="M964" s="6" t="str">
        <f>IF($A964="","",IF(COUNTIF('Base Exámenes'!$C$5:$C$1000, A964)&gt;0, "", TRIM('Base Oficial'!H964)))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11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11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10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22" t="str">
        <f>IF($A965="","",COUNTIF('Base Exámenes'!$C$5:$C$1000, A965))</f>
        <v/>
      </c>
      <c r="M965" s="6" t="str">
        <f>IF($A965="","",IF(COUNTIF('Base Exámenes'!$C$5:$C$1000, A965)&gt;0, "", TRIM('Base Oficial'!H965)))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11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11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10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22" t="str">
        <f>IF($A966="","",COUNTIF('Base Exámenes'!$C$5:$C$1000, A966))</f>
        <v/>
      </c>
      <c r="M966" s="6" t="str">
        <f>IF($A966="","",IF(COUNTIF('Base Exámenes'!$C$5:$C$1000, A966)&gt;0, "", TRIM('Base Oficial'!H966)))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11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11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10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22" t="str">
        <f>IF($A967="","",COUNTIF('Base Exámenes'!$C$5:$C$1000, A967))</f>
        <v/>
      </c>
      <c r="M967" s="6" t="str">
        <f>IF($A967="","",IF(COUNTIF('Base Exámenes'!$C$5:$C$1000, A967)&gt;0, "", TRIM('Base Oficial'!H967)))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11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11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10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22" t="str">
        <f>IF($A968="","",COUNTIF('Base Exámenes'!$C$5:$C$1000, A968))</f>
        <v/>
      </c>
      <c r="M968" s="6" t="str">
        <f>IF($A968="","",IF(COUNTIF('Base Exámenes'!$C$5:$C$1000, A968)&gt;0, "", TRIM('Base Oficial'!H968)))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11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11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10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22" t="str">
        <f>IF($A969="","",COUNTIF('Base Exámenes'!$C$5:$C$1000, A969))</f>
        <v/>
      </c>
      <c r="M969" s="6" t="str">
        <f>IF($A969="","",IF(COUNTIF('Base Exámenes'!$C$5:$C$1000, A969)&gt;0, "", TRIM('Base Oficial'!H969)))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11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11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10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22" t="str">
        <f>IF($A970="","",COUNTIF('Base Exámenes'!$C$5:$C$1000, A970))</f>
        <v/>
      </c>
      <c r="M970" s="6" t="str">
        <f>IF($A970="","",IF(COUNTIF('Base Exámenes'!$C$5:$C$1000, A970)&gt;0, "", TRIM('Base Oficial'!H970)))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11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11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10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22" t="str">
        <f>IF($A971="","",COUNTIF('Base Exámenes'!$C$5:$C$1000, A971))</f>
        <v/>
      </c>
      <c r="M971" s="6" t="str">
        <f>IF($A971="","",IF(COUNTIF('Base Exámenes'!$C$5:$C$1000, A971)&gt;0, "", TRIM('Base Oficial'!H971)))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11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11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10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22" t="str">
        <f>IF($A972="","",COUNTIF('Base Exámenes'!$C$5:$C$1000, A972))</f>
        <v/>
      </c>
      <c r="M972" s="6" t="str">
        <f>IF($A972="","",IF(COUNTIF('Base Exámenes'!$C$5:$C$1000, A972)&gt;0, "", TRIM('Base Oficial'!H972)))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11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11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10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22" t="str">
        <f>IF($A973="","",COUNTIF('Base Exámenes'!$C$5:$C$1000, A973))</f>
        <v/>
      </c>
      <c r="M973" s="6" t="str">
        <f>IF($A973="","",IF(COUNTIF('Base Exámenes'!$C$5:$C$1000, A973)&gt;0, "", TRIM('Base Oficial'!H973)))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11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11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10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22" t="str">
        <f>IF($A974="","",COUNTIF('Base Exámenes'!$C$5:$C$1000, A974))</f>
        <v/>
      </c>
      <c r="M974" s="6" t="str">
        <f>IF($A974="","",IF(COUNTIF('Base Exámenes'!$C$5:$C$1000, A974)&gt;0, "", TRIM('Base Oficial'!H974)))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11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11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10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22" t="str">
        <f>IF($A975="","",COUNTIF('Base Exámenes'!$C$5:$C$1000, A975))</f>
        <v/>
      </c>
      <c r="M975" s="6" t="str">
        <f>IF($A975="","",IF(COUNTIF('Base Exámenes'!$C$5:$C$1000, A975)&gt;0, "", TRIM('Base Oficial'!H975)))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11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11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10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22" t="str">
        <f>IF($A976="","",COUNTIF('Base Exámenes'!$C$5:$C$1000, A976))</f>
        <v/>
      </c>
      <c r="M976" s="6" t="str">
        <f>IF($A976="","",IF(COUNTIF('Base Exámenes'!$C$5:$C$1000, A976)&gt;0, "", TRIM('Base Oficial'!H976)))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11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11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10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22" t="str">
        <f>IF($A977="","",COUNTIF('Base Exámenes'!$C$5:$C$1000, A977))</f>
        <v/>
      </c>
      <c r="M977" s="6" t="str">
        <f>IF($A977="","",IF(COUNTIF('Base Exámenes'!$C$5:$C$1000, A977)&gt;0, "", TRIM('Base Oficial'!H977)))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11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11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10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22" t="str">
        <f>IF($A978="","",COUNTIF('Base Exámenes'!$C$5:$C$1000, A978))</f>
        <v/>
      </c>
      <c r="M978" s="6" t="str">
        <f>IF($A978="","",IF(COUNTIF('Base Exámenes'!$C$5:$C$1000, A978)&gt;0, "", TRIM('Base Oficial'!H978)))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11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11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10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22" t="str">
        <f>IF($A979="","",COUNTIF('Base Exámenes'!$C$5:$C$1000, A979))</f>
        <v/>
      </c>
      <c r="M979" s="6" t="str">
        <f>IF($A979="","",IF(COUNTIF('Base Exámenes'!$C$5:$C$1000, A979)&gt;0, "", TRIM('Base Oficial'!H979)))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11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11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10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22" t="str">
        <f>IF($A980="","",COUNTIF('Base Exámenes'!$C$5:$C$1000, A980))</f>
        <v/>
      </c>
      <c r="M980" s="6" t="str">
        <f>IF($A980="","",IF(COUNTIF('Base Exámenes'!$C$5:$C$1000, A980)&gt;0, "", TRIM('Base Oficial'!H980)))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11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11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10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22" t="str">
        <f>IF($A981="","",COUNTIF('Base Exámenes'!$C$5:$C$1000, A981))</f>
        <v/>
      </c>
      <c r="M981" s="6" t="str">
        <f>IF($A981="","",IF(COUNTIF('Base Exámenes'!$C$5:$C$1000, A981)&gt;0, "", TRIM('Base Oficial'!H981)))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11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11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10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22" t="str">
        <f>IF($A982="","",COUNTIF('Base Exámenes'!$C$5:$C$1000, A982))</f>
        <v/>
      </c>
      <c r="M982" s="6" t="str">
        <f>IF($A982="","",IF(COUNTIF('Base Exámenes'!$C$5:$C$1000, A982)&gt;0, "", TRIM('Base Oficial'!H982)))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11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11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10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22" t="str">
        <f>IF($A983="","",COUNTIF('Base Exámenes'!$C$5:$C$1000, A983))</f>
        <v/>
      </c>
      <c r="M983" s="6" t="str">
        <f>IF($A983="","",IF(COUNTIF('Base Exámenes'!$C$5:$C$1000, A983)&gt;0, "", TRIM('Base Oficial'!H983)))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11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11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10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22" t="str">
        <f>IF($A984="","",COUNTIF('Base Exámenes'!$C$5:$C$1000, A984))</f>
        <v/>
      </c>
      <c r="M984" s="6" t="str">
        <f>IF($A984="","",IF(COUNTIF('Base Exámenes'!$C$5:$C$1000, A984)&gt;0, "", TRIM('Base Oficial'!H984)))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11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11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10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22" t="str">
        <f>IF($A985="","",COUNTIF('Base Exámenes'!$C$5:$C$1000, A985))</f>
        <v/>
      </c>
      <c r="M985" s="6" t="str">
        <f>IF($A985="","",IF(COUNTIF('Base Exámenes'!$C$5:$C$1000, A985)&gt;0, "", TRIM('Base Oficial'!H985)))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11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11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10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22" t="str">
        <f>IF($A986="","",COUNTIF('Base Exámenes'!$C$5:$C$1000, A986))</f>
        <v/>
      </c>
      <c r="M986" s="6" t="str">
        <f>IF($A986="","",IF(COUNTIF('Base Exámenes'!$C$5:$C$1000, A986)&gt;0, "", TRIM('Base Oficial'!H986)))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11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11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10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22" t="str">
        <f>IF($A987="","",COUNTIF('Base Exámenes'!$C$5:$C$1000, A987))</f>
        <v/>
      </c>
      <c r="M987" s="6" t="str">
        <f>IF($A987="","",IF(COUNTIF('Base Exámenes'!$C$5:$C$1000, A987)&gt;0, "", TRIM('Base Oficial'!H987)))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11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11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10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22" t="str">
        <f>IF($A988="","",COUNTIF('Base Exámenes'!$C$5:$C$1000, A988))</f>
        <v/>
      </c>
      <c r="M988" s="6" t="str">
        <f>IF($A988="","",IF(COUNTIF('Base Exámenes'!$C$5:$C$1000, A988)&gt;0, "", TRIM('Base Oficial'!H988)))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11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11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10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22" t="str">
        <f>IF($A989="","",COUNTIF('Base Exámenes'!$C$5:$C$1000, A989))</f>
        <v/>
      </c>
      <c r="M989" s="6" t="str">
        <f>IF($A989="","",IF(COUNTIF('Base Exámenes'!$C$5:$C$1000, A989)&gt;0, "", TRIM('Base Oficial'!H989)))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11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11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10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22" t="str">
        <f>IF($A990="","",COUNTIF('Base Exámenes'!$C$5:$C$1000, A990))</f>
        <v/>
      </c>
      <c r="M990" s="6" t="str">
        <f>IF($A990="","",IF(COUNTIF('Base Exámenes'!$C$5:$C$1000, A990)&gt;0, "", TRIM('Base Oficial'!H990)))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11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11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10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22" t="str">
        <f>IF($A991="","",COUNTIF('Base Exámenes'!$C$5:$C$1000, A991))</f>
        <v/>
      </c>
      <c r="M991" s="6" t="str">
        <f>IF($A991="","",IF(COUNTIF('Base Exámenes'!$C$5:$C$1000, A991)&gt;0, "", TRIM('Base Oficial'!H991)))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11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11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10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22" t="str">
        <f>IF($A992="","",COUNTIF('Base Exámenes'!$C$5:$C$1000, A992))</f>
        <v/>
      </c>
      <c r="M992" s="6" t="str">
        <f>IF($A992="","",IF(COUNTIF('Base Exámenes'!$C$5:$C$1000, A992)&gt;0, "", TRIM('Base Oficial'!H992)))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11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11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10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22" t="str">
        <f>IF($A993="","",COUNTIF('Base Exámenes'!$C$5:$C$1000, A993))</f>
        <v/>
      </c>
      <c r="M993" s="6" t="str">
        <f>IF($A993="","",IF(COUNTIF('Base Exámenes'!$C$5:$C$1000, A993)&gt;0, "", TRIM('Base Oficial'!H993)))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11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11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10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22" t="str">
        <f>IF($A994="","",COUNTIF('Base Exámenes'!$C$5:$C$1000, A994))</f>
        <v/>
      </c>
      <c r="M994" s="6" t="str">
        <f>IF($A994="","",IF(COUNTIF('Base Exámenes'!$C$5:$C$1000, A994)&gt;0, "", TRIM('Base Oficial'!H994)))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11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11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10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22" t="str">
        <f>IF($A995="","",COUNTIF('Base Exámenes'!$C$5:$C$1000, A995))</f>
        <v/>
      </c>
      <c r="M995" s="6" t="str">
        <f>IF($A995="","",IF(COUNTIF('Base Exámenes'!$C$5:$C$1000, A995)&gt;0, "", TRIM('Base Oficial'!H995)))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11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11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10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22" t="str">
        <f>IF($A996="","",COUNTIF('Base Exámenes'!$C$5:$C$1000, A996))</f>
        <v/>
      </c>
      <c r="M996" s="6" t="str">
        <f>IF($A996="","",IF(COUNTIF('Base Exámenes'!$C$5:$C$1000, A996)&gt;0, "", TRIM('Base Oficial'!H996)))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11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11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10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22" t="str">
        <f>IF($A997="","",COUNTIF('Base Exámenes'!$C$5:$C$1000, A997))</f>
        <v/>
      </c>
      <c r="M997" s="6" t="str">
        <f>IF($A997="","",IF(COUNTIF('Base Exámenes'!$C$5:$C$1000, A997)&gt;0, "", TRIM('Base Oficial'!H997)))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11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11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10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22" t="str">
        <f>IF($A998="","",COUNTIF('Base Exámenes'!$C$5:$C$1000, A998))</f>
        <v/>
      </c>
      <c r="M998" s="6" t="str">
        <f>IF($A998="","",IF(COUNTIF('Base Exámenes'!$C$5:$C$1000, A998)&gt;0, "", TRIM('Base Oficial'!H998)))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11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11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10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22" t="str">
        <f>IF($A999="","",COUNTIF('Base Exámenes'!$C$5:$C$1000, A999))</f>
        <v/>
      </c>
      <c r="M999" s="6" t="str">
        <f>IF($A999="","",IF(COUNTIF('Base Exámenes'!$C$5:$C$1000, A999)&gt;0, "", TRIM('Base Oficial'!H999)))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11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11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10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22" t="str">
        <f>IF($A1000="","",COUNTIF('Base Exámenes'!$C$5:$C$1000, A1000))</f>
        <v/>
      </c>
      <c r="M1000" s="6" t="str">
        <f>IF($A1000="","",IF(COUNTIF('Base Exámenes'!$C$5:$C$1000, A1000)&gt;0, "", TRIM('Base Oficial'!H1000)))</f>
        <v/>
      </c>
    </row>
  </sheetData>
  <autoFilter ref="A4:M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2" stopIfTrue="1">
      <formula>$F5="Pendiente"</formula>
    </cfRule>
    <cfRule type="expression" priority="4" dxfId="1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52" customWidth="1" style="38" min="1" max="1"/>
    <col width="34" customWidth="1" style="38" min="2" max="2"/>
    <col width="12" customWidth="1" style="38" min="3" max="3"/>
    <col width="13" customWidth="1" style="38" min="4" max="4"/>
    <col width="12" customWidth="1" style="38" min="5" max="5"/>
    <col width="13" customWidth="1" style="38" min="6" max="6"/>
    <col width="12" customWidth="1" style="38" min="7" max="10"/>
    <col width="18" customWidth="1" style="38" min="11" max="12"/>
    <col width="13" customWidth="1" style="38" min="13" max="13"/>
    <col width="14" customWidth="1" style="38" min="14" max="15"/>
  </cols>
  <sheetData>
    <row r="1" ht="21" customHeight="1" s="38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 ht="43.2" customHeight="1" s="38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  <c r="O4" s="3" t="inlineStr">
        <is>
          <t>Justificados (no cuentan)</t>
        </is>
      </c>
    </row>
    <row r="5">
      <c r="A5" s="5" t="str">
        <f>IF(Cálculos!$AE5="","",INDEX('Detalle individual'!$C:$C,Cálculos!$AE5))</f>
        <v>ADMINISTRACION DE BASE DE DATOS</v>
      </c>
      <c r="B5" s="5" t="str">
        <f>IF($A5="","",INDEX('Detalle individual'!$D:$D,Cálculos!$AE5))</f>
        <v>Gerencia de Sistemas</v>
      </c>
      <c r="C5" s="8">
        <f>IF($A5="","",COUNTIFS('Detalle individual'!$C$5:$C$1000, A5, 'Detalle individual'!$F$5:$F$1000, "Completado")+COUNTIFS('Detalle individual'!$C$5:$C$1000, A5, 'Detalle individual'!$F$5:$F$1000, "Pendiente"))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26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11">
        <f>IF($A5="","",IF(D5&gt;0, IFERROR(_xlfn.MINIFS('Detalle individual'!$G$5:$G$1000, 'Detalle individual'!$C$5:$C$1000, A5), ""), ""))</f>
        <v>46300.68533564815</v>
      </c>
      <c r="L5" s="11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  <c r="O5" s="22">
        <f>IF($A5="","",COUNTIF('Detalle individual'!$C$5:$C$1000, A5)-C5)</f>
        <v>0</v>
      </c>
    </row>
    <row r="6">
      <c r="A6" s="5" t="str">
        <f>IF(Cálculos!$AE6="","",INDEX('Detalle individual'!$C:$C,Cálculos!$AE6))</f>
        <v>ADMINISTRACIÓN DE CARTERAS</v>
      </c>
      <c r="B6" s="5" t="str">
        <f>IF($A6="","",INDEX('Detalle individual'!$D:$D,Cálculos!$AE6))</f>
        <v>Gerencia de Operaciones</v>
      </c>
      <c r="C6" s="8">
        <f>IF($A6="","",COUNTIFS('Detalle individual'!$C$5:$C$1000, A6, 'Detalle individual'!$F$5:$F$1000, "Completado")+COUNTIFS('Detalle individual'!$C$5:$C$1000, A6, 'Detalle individual'!$F$5:$F$1000, "Pendiente"))</f>
        <v>5</v>
      </c>
      <c r="D6" s="8">
        <f>IF($A6="","",COUNTIFS('Detalle individual'!$C$5:$C$1000, A6, 'Detalle individual'!$F$5:$F$1000, "Completado"))</f>
        <v>5</v>
      </c>
      <c r="E6" s="8">
        <f>IF($A6="","",C6-D6)</f>
        <v>0</v>
      </c>
      <c r="F6" s="26">
        <f>IF($A6="","",IF(C6&gt;0, D6/C6, 0))</f>
        <v>1</v>
      </c>
      <c r="G6" s="4" t="str">
        <f>IF($A6="","",IF(AND(C6&gt;0, D6=C6), "Completo", "Pendiente"))</f>
        <v>Completo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11">
        <f>IF($A6="","",IF(D6&gt;0, IFERROR(_xlfn.MINIFS('Detalle individual'!$G$5:$G$1000, 'Detalle individual'!$C$5:$C$1000, A6), ""), ""))</f>
        <v>46304.494108796294</v>
      </c>
      <c r="L6" s="11">
        <f>IF($A6="","",IF(D6&gt;0, IFERROR(_xlfn.MAXIFS('Detalle individual'!$H$5:$H$1000, 'Detalle individual'!$C$5:$C$1000, A6), ""), ""))</f>
        <v>46311.675671296296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9.52999999518</v>
      </c>
      <c r="O6" s="22">
        <f>IF($A6="","",COUNTIF('Detalle individual'!$C$5:$C$1000, A6)-C6)</f>
        <v>0</v>
      </c>
    </row>
    <row r="7">
      <c r="A7" s="5" t="str">
        <f>IF(Cálculos!$AE7="","",INDEX('Detalle individual'!$C:$C,Cálculos!$AE7))</f>
        <v>ADMINISTRACION DE RIESGOS</v>
      </c>
      <c r="B7" s="5" t="str">
        <f>IF($A7="","",INDEX('Detalle individual'!$D:$D,Cálculos!$AE7))</f>
        <v>Gerencia General</v>
      </c>
      <c r="C7" s="8">
        <f>IF($A7="","",COUNTIFS('Detalle individual'!$C$5:$C$1000, A7, 'Detalle individual'!$F$5:$F$1000, "Completado")+COUNTIFS('Detalle individual'!$C$5:$C$1000, A7, 'Detalle individual'!$F$5:$F$1000, "Pendiente"))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26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11">
        <f>IF($A7="","",IF(D7&gt;0, IFERROR(_xlfn.MINIFS('Detalle individual'!$G$5:$G$1000, 'Detalle individual'!$C$5:$C$1000, A7), ""), ""))</f>
        <v>46296.43667824074</v>
      </c>
      <c r="L7" s="11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  <c r="O7" s="22">
        <f>IF($A7="","",COUNTIF('Detalle individual'!$C$5:$C$1000, A7)-C7)</f>
        <v>0</v>
      </c>
    </row>
    <row r="8">
      <c r="A8" s="5" t="str">
        <f>IF(Cálculos!$AE8="","",INDEX('Detalle individual'!$C:$C,Cálculos!$AE8))</f>
        <v>AGENCIA CENTRAL</v>
      </c>
      <c r="B8" s="5" t="str">
        <f>IF($A8="","",INDEX('Detalle individual'!$D:$D,Cálculos!$AE8))</f>
        <v>Gerencia de Negocios</v>
      </c>
      <c r="C8" s="8">
        <f>IF($A8="","",COUNTIFS('Detalle individual'!$C$5:$C$1000, A8, 'Detalle individual'!$F$5:$F$1000, "Completado")+COUNTIFS('Detalle individual'!$C$5:$C$1000, A8, 'Detalle individual'!$F$5:$F$1000, "Pendiente"))</f>
        <v>16</v>
      </c>
      <c r="D8" s="8">
        <f>IF($A8="","",COUNTIFS('Detalle individual'!$C$5:$C$1000, A8, 'Detalle individual'!$F$5:$F$1000, "Completado"))</f>
        <v>14</v>
      </c>
      <c r="E8" s="8">
        <f>IF($A8="","",C8-D8)</f>
        <v>2</v>
      </c>
      <c r="F8" s="26">
        <f>IF($A8="","",IF(C8&gt;0, D8/C8, 0))</f>
        <v>0.875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96.4285714285714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11">
        <f>IF($A8="","",IF(D8&gt;0, IFERROR(_xlfn.MINIFS('Detalle individual'!$G$5:$G$1000, 'Detalle individual'!$C$5:$C$1000, A8), ""), ""))</f>
        <v>46302.469988425924</v>
      </c>
      <c r="L8" s="11">
        <f>IF($A8="","",IF(D8&gt;0, IFERROR(_xlfn.MAXIFS('Detalle individual'!$H$5:$H$1000, 'Detalle individual'!$C$5:$C$1000, A8), ""), ""))</f>
        <v>46311.50697916667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17.960714283581</v>
      </c>
      <c r="O8" s="22">
        <f>IF($A8="","",COUNTIF('Detalle individual'!$C$5:$C$1000, A8)-C8)</f>
        <v>2</v>
      </c>
    </row>
    <row r="9">
      <c r="A9" s="5" t="str">
        <f>IF(Cálculos!$AE9="","",INDEX('Detalle individual'!$C:$C,Cálculos!$AE9))</f>
        <v>AGENCIA COLEGIO MEDICO</v>
      </c>
      <c r="B9" s="5" t="str">
        <f>IF($A9="","",INDEX('Detalle individual'!$D:$D,Cálculos!$AE9))</f>
        <v>Gerencia de Negocios</v>
      </c>
      <c r="C9" s="8">
        <f>IF($A9="","",COUNTIFS('Detalle individual'!$C$5:$C$1000, A9, 'Detalle individual'!$F$5:$F$1000, "Completado")+COUNTIFS('Detalle individual'!$C$5:$C$1000, A9, 'Detalle individual'!$F$5:$F$1000, "Pendiente"))</f>
        <v>11</v>
      </c>
      <c r="D9" s="8">
        <f>IF($A9="","",COUNTIFS('Detalle individual'!$C$5:$C$1000, A9, 'Detalle individual'!$F$5:$F$1000, "Completado"))</f>
        <v>11</v>
      </c>
      <c r="E9" s="8">
        <f>IF($A9="","",C9-D9)</f>
        <v>0</v>
      </c>
      <c r="F9" s="26">
        <f>IF($A9="","",IF(C9&gt;0, D9/C9, 0))</f>
        <v>1</v>
      </c>
      <c r="G9" s="4" t="str">
        <f>IF($A9="","",IF(AND(C9&gt;0, D9=C9), "Completo", "Pendiente"))</f>
        <v>Completo</v>
      </c>
      <c r="H9" s="7">
        <f>IF($A9="","",IF(D9&gt;0, IFERROR(AVERAGEIFS('Detalle individual'!$J$5:$J$1000, 'Detalle individual'!$C$5:$C$1000, A9), ""), ""))</f>
        <v>97.2727272727273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11">
        <f>IF($A9="","",IF(D9&gt;0, IFERROR(_xlfn.MINIFS('Detalle individual'!$G$5:$G$1000, 'Detalle individual'!$C$5:$C$1000, A9), ""), ""))</f>
        <v>46296.47090277778</v>
      </c>
      <c r="L9" s="11">
        <f>IF($A9="","",IF(D9&gt;0, IFERROR(_xlfn.MAXIFS('Detalle individual'!$H$5:$H$1000, 'Detalle individual'!$C$5:$C$1000, A9), ""), ""))</f>
        <v>46310.516377314816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9.56969696936667</v>
      </c>
      <c r="O9" s="22">
        <f>IF($A9="","",COUNTIF('Detalle individual'!$C$5:$C$1000, A9)-C9)</f>
        <v>1</v>
      </c>
    </row>
    <row r="10">
      <c r="A10" s="5" t="str">
        <f>IF(Cálculos!$AE10="","",INDEX('Detalle individual'!$C:$C,Cálculos!$AE10))</f>
        <v>AGENCIA COLONIA MEDICA</v>
      </c>
      <c r="B10" s="5" t="str">
        <f>IF($A10="","",INDEX('Detalle individual'!$D:$D,Cálculos!$AE10))</f>
        <v>Gerencia de Negocios</v>
      </c>
      <c r="C10" s="8">
        <f>IF($A10="","",COUNTIFS('Detalle individual'!$C$5:$C$1000, A10, 'Detalle individual'!$F$5:$F$1000, "Completado")+COUNTIFS('Detalle individual'!$C$5:$C$1000, A10, 'Detalle individual'!$F$5:$F$1000, "Pendiente"))</f>
        <v>16</v>
      </c>
      <c r="D10" s="8">
        <f>IF($A10="","",COUNTIFS('Detalle individual'!$C$5:$C$1000, A10, 'Detalle individual'!$F$5:$F$1000, "Completado"))</f>
        <v>15</v>
      </c>
      <c r="E10" s="8">
        <f>IF($A10="","",C10-D10)</f>
        <v>1</v>
      </c>
      <c r="F10" s="26">
        <f>IF($A10="","",IF(C10&gt;0, D10/C10, 0))</f>
        <v>0.9375</v>
      </c>
      <c r="G10" s="4" t="str">
        <f>IF($A10="","",IF(AND(C10&gt;0, D10=C10), "Completo", "Pendiente"))</f>
        <v>Pendiente</v>
      </c>
      <c r="H10" s="7">
        <f>IF($A10="","",IF(D10&gt;0, IFERROR(AVERAGEIFS('Detalle individual'!$J$5:$J$1000, 'Detalle individual'!$C$5:$C$1000, A10), ""), ""))</f>
        <v>98.3333333333333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11">
        <f>IF($A10="","",IF(D10&gt;0, IFERROR(_xlfn.MINIFS('Detalle individual'!$G$5:$G$1000, 'Detalle individual'!$C$5:$C$1000, A10), ""), ""))</f>
        <v>46297.711550925924</v>
      </c>
      <c r="L10" s="11">
        <f>IF($A10="","",IF(D10&gt;0, IFERROR(_xlfn.MAXIFS('Detalle individual'!$H$5:$H$1000, 'Detalle individual'!$C$5:$C$1000, A10), ""), ""))</f>
        <v>46310.54554398148</v>
      </c>
      <c r="M10" s="7">
        <f>IF($A10="","",IF(D10&gt;0, IFERROR(_xlfn.MINIFS('Detalle individual'!$I$5:$I$1000, 'Detalle individual'!$C$5:$C$1000, A10), ""), ""))</f>
        <v>1.6</v>
      </c>
      <c r="N10" s="7">
        <f>IF($A10="","",IF(D10&gt;0, IFERROR(AVERAGEIFS('Detalle individual'!$I$5:$I$1000, 'Detalle individual'!$C$5:$C$1000, A10), ""), ""))</f>
        <v>18.8411111124922</v>
      </c>
      <c r="O10" s="22">
        <f>IF($A10="","",COUNTIF('Detalle individual'!$C$5:$C$1000, A10)-C10)</f>
        <v>0</v>
      </c>
    </row>
    <row r="11">
      <c r="A11" s="5" t="str">
        <f>IF(Cálculos!$AE11="","",INDEX('Detalle individual'!$C:$C,Cálculos!$AE11))</f>
        <v>AGENCIA MERLIOT</v>
      </c>
      <c r="B11" s="5" t="str">
        <f>IF($A11="","",INDEX('Detalle individual'!$D:$D,Cálculos!$AE11))</f>
        <v>Gerencia de Negocios</v>
      </c>
      <c r="C11" s="8">
        <f>IF($A11="","",COUNTIFS('Detalle individual'!$C$5:$C$1000, A11, 'Detalle individual'!$F$5:$F$1000, "Completado")+COUNTIFS('Detalle individual'!$C$5:$C$1000, A11, 'Detalle individual'!$F$5:$F$1000, "Pendiente"))</f>
        <v>13</v>
      </c>
      <c r="D11" s="8">
        <f>IF($A11="","",COUNTIFS('Detalle individual'!$C$5:$C$1000, A11, 'Detalle individual'!$F$5:$F$1000, "Completado"))</f>
        <v>13</v>
      </c>
      <c r="E11" s="8">
        <f>IF($A11="","",C11-D11)</f>
        <v>0</v>
      </c>
      <c r="F11" s="26">
        <f>IF($A11="","",IF(C11&gt;0, D11/C11, 0))</f>
        <v>1</v>
      </c>
      <c r="G11" s="4" t="str">
        <f>IF($A11="","",IF(AND(C11&gt;0, D11=C11), "Completo", "Pendiente"))</f>
        <v>Completo</v>
      </c>
      <c r="H11" s="7">
        <f>IF($A11="","",IF(D11&gt;0, IFERROR(AVERAGEIFS('Detalle individual'!$J$5:$J$1000, 'Detalle individual'!$C$5:$C$1000, A11), ""), ""))</f>
        <v>95.7692307692308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11">
        <f>IF($A11="","",IF(D11&gt;0, IFERROR(_xlfn.MINIFS('Detalle individual'!$G$5:$G$1000, 'Detalle individual'!$C$5:$C$1000, A11), ""), ""))</f>
        <v>46296.54665509259</v>
      </c>
      <c r="L11" s="11">
        <f>IF($A11="","",IF(D11&gt;0, IFERROR(_xlfn.MAXIFS('Detalle individual'!$H$5:$H$1000, 'Detalle individual'!$C$5:$C$1000, A11), ""), ""))</f>
        <v>46310.52479166666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8.75641025641026</v>
      </c>
      <c r="O11" s="22">
        <f>IF($A11="","",COUNTIF('Detalle individual'!$C$5:$C$1000, A11)-C11)</f>
        <v>0</v>
      </c>
    </row>
    <row r="12">
      <c r="A12" s="5" t="str">
        <f>IF(Cálculos!$AE12="","",INDEX('Detalle individual'!$C:$C,Cálculos!$AE12))</f>
        <v>AGENCIA PLAZA MUNDO</v>
      </c>
      <c r="B12" s="5" t="str">
        <f>IF($A12="","",INDEX('Detalle individual'!$D:$D,Cálculos!$AE12))</f>
        <v>Gerencia de Negocios</v>
      </c>
      <c r="C12" s="8">
        <f>IF($A12="","",COUNTIFS('Detalle individual'!$C$5:$C$1000, A12, 'Detalle individual'!$F$5:$F$1000, "Completado")+COUNTIFS('Detalle individual'!$C$5:$C$1000, A12, 'Detalle individual'!$F$5:$F$1000, "Pendiente"))</f>
        <v>8</v>
      </c>
      <c r="D12" s="8">
        <f>IF($A12="","",COUNTIFS('Detalle individual'!$C$5:$C$1000, A12, 'Detalle individual'!$F$5:$F$1000, "Completado"))</f>
        <v>8</v>
      </c>
      <c r="E12" s="8">
        <f>IF($A12="","",C12-D12)</f>
        <v>0</v>
      </c>
      <c r="F12" s="26">
        <f>IF($A12="","",IF(C12&gt;0, D12/C12, 0))</f>
        <v>1</v>
      </c>
      <c r="G12" s="4" t="str">
        <f>IF($A12="","",IF(AND(C12&gt;0, D12=C12), "Completo", "Pendiente"))</f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11">
        <f>IF($A12="","",IF(D12&gt;0, IFERROR(_xlfn.MINIFS('Detalle individual'!$G$5:$G$1000, 'Detalle individual'!$C$5:$C$1000, A12), ""), ""))</f>
        <v>46307.40015046296</v>
      </c>
      <c r="L12" s="11">
        <f>IF($A12="","",IF(D12&gt;0, IFERROR(_xlfn.MAXIFS('Detalle individual'!$H$5:$H$1000, 'Detalle individual'!$C$5:$C$1000, A12), ""), ""))</f>
        <v>46310.64591435185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6.27708333321042</v>
      </c>
      <c r="O12" s="22">
        <f>IF($A12="","",COUNTIF('Detalle individual'!$C$5:$C$1000, A12)-C12)</f>
        <v>0</v>
      </c>
    </row>
    <row r="13">
      <c r="A13" s="5" t="str">
        <f>IF(Cálculos!$AE13="","",INDEX('Detalle individual'!$C:$C,Cálculos!$AE13))</f>
        <v>AGENCIA SAN MIGUEL</v>
      </c>
      <c r="B13" s="5" t="str">
        <f>IF($A13="","",INDEX('Detalle individual'!$D:$D,Cálculos!$AE13))</f>
        <v>Gerencia de Negocios</v>
      </c>
      <c r="C13" s="8">
        <f>IF($A13="","",COUNTIFS('Detalle individual'!$C$5:$C$1000, A13, 'Detalle individual'!$F$5:$F$1000, "Completado")+COUNTIFS('Detalle individual'!$C$5:$C$1000, A13, 'Detalle individual'!$F$5:$F$1000, "Pendiente"))</f>
        <v>7</v>
      </c>
      <c r="D13" s="8">
        <f>IF($A13="","",COUNTIFS('Detalle individual'!$C$5:$C$1000, A13, 'Detalle individual'!$F$5:$F$1000, "Completado"))</f>
        <v>7</v>
      </c>
      <c r="E13" s="8">
        <f>IF($A13="","",C13-D13)</f>
        <v>0</v>
      </c>
      <c r="F13" s="26">
        <f>IF($A13="","",IF(C13&gt;0, D13/C13, 0))</f>
        <v>1</v>
      </c>
      <c r="G13" s="4" t="str">
        <f>IF($A13="","",IF(AND(C13&gt;0, D13=C13), "Completo", "Pendiente"))</f>
        <v>Completo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11">
        <f>IF($A13="","",IF(D13&gt;0, IFERROR(_xlfn.MINIFS('Detalle individual'!$G$5:$G$1000, 'Detalle individual'!$C$5:$C$1000, A13), ""), ""))</f>
        <v>46296.43491898148</v>
      </c>
      <c r="L13" s="11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  <c r="O13" s="22">
        <f>IF($A13="","",COUNTIF('Detalle individual'!$C$5:$C$1000, A13)-C13)</f>
        <v>1</v>
      </c>
    </row>
    <row r="14">
      <c r="A14" s="5" t="str">
        <f>IF(Cálculos!$AE14="","",INDEX('Detalle individual'!$C:$C,Cálculos!$AE14))</f>
        <v>AGENCIA SANTA ANA</v>
      </c>
      <c r="B14" s="5" t="str">
        <f>IF($A14="","",INDEX('Detalle individual'!$D:$D,Cálculos!$AE14))</f>
        <v>Gerencia de Negocios</v>
      </c>
      <c r="C14" s="8">
        <f>IF($A14="","",COUNTIFS('Detalle individual'!$C$5:$C$1000, A14, 'Detalle individual'!$F$5:$F$1000, "Completado")+COUNTIFS('Detalle individual'!$C$5:$C$1000, A14, 'Detalle individual'!$F$5:$F$1000, "Pendiente"))</f>
        <v>8</v>
      </c>
      <c r="D14" s="8">
        <f>IF($A14="","",COUNTIFS('Detalle individual'!$C$5:$C$1000, A14, 'Detalle individual'!$F$5:$F$1000, "Completado"))</f>
        <v>8</v>
      </c>
      <c r="E14" s="8">
        <f>IF($A14="","",C14-D14)</f>
        <v>0</v>
      </c>
      <c r="F14" s="26">
        <f>IF($A14="","",IF(C14&gt;0, D14/C14, 0))</f>
        <v>1</v>
      </c>
      <c r="G14" s="4" t="str">
        <f>IF($A14="","",IF(AND(C14&gt;0, D14=C14), "Completo", "Pendiente"))</f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11">
        <f>IF($A14="","",IF(D14&gt;0, IFERROR(_xlfn.MINIFS('Detalle individual'!$G$5:$G$1000, 'Detalle individual'!$C$5:$C$1000, A14), ""), ""))</f>
        <v>46309.336597222224</v>
      </c>
      <c r="L14" s="11">
        <f>IF($A14="","",IF(D14&gt;0, IFERROR(_xlfn.MAXIFS('Detalle individual'!$H$5:$H$1000, 'Detalle individual'!$C$5:$C$1000, A14), ""), ""))</f>
        <v>46311.49398148148</v>
      </c>
      <c r="M14" s="7">
        <f>IF($A14="","",IF(D14&gt;0, IFERROR(_xlfn.MINIFS('Detalle individual'!$I$5:$I$1000, 'Detalle individual'!$C$5:$C$1000, A14), ""), ""))</f>
        <v>2.28333333333333</v>
      </c>
      <c r="N14" s="7">
        <f>IF($A14="","",IF(D14&gt;0, IFERROR(AVERAGEIFS('Detalle individual'!$I$5:$I$1000, 'Detalle individual'!$C$5:$C$1000, A14), ""), ""))</f>
        <v>7.99375</v>
      </c>
      <c r="O14" s="22">
        <f>IF($A14="","",COUNTIF('Detalle individual'!$C$5:$C$1000, A14)-C14)</f>
        <v>0</v>
      </c>
    </row>
    <row r="15">
      <c r="A15" s="5" t="str">
        <f>IF(Cálculos!$AE15="","",INDEX('Detalle individual'!$C:$C,Cálculos!$AE15))</f>
        <v>AGENCIA SONSONATE</v>
      </c>
      <c r="B15" s="5" t="str">
        <f>IF($A15="","",INDEX('Detalle individual'!$D:$D,Cálculos!$AE15))</f>
        <v>Gerencia de Negocios</v>
      </c>
      <c r="C15" s="8">
        <f>IF($A15="","",COUNTIFS('Detalle individual'!$C$5:$C$1000, A15, 'Detalle individual'!$F$5:$F$1000, "Completado")+COUNTIFS('Detalle individual'!$C$5:$C$1000, A15, 'Detalle individual'!$F$5:$F$1000, "Pendiente"))</f>
        <v>7</v>
      </c>
      <c r="D15" s="8">
        <f>IF($A15="","",COUNTIFS('Detalle individual'!$C$5:$C$1000, A15, 'Detalle individual'!$F$5:$F$1000, "Completado"))</f>
        <v>7</v>
      </c>
      <c r="E15" s="8">
        <f>IF($A15="","",C15-D15)</f>
        <v>0</v>
      </c>
      <c r="F15" s="26">
        <f>IF($A15="","",IF(C15&gt;0, D15/C15, 0))</f>
        <v>1</v>
      </c>
      <c r="G15" s="4" t="str">
        <f>IF($A15="","",IF(AND(C15&gt;0, D15=C15), "Completo", "Pendiente"))</f>
        <v>Completo</v>
      </c>
      <c r="H15" s="7">
        <f>IF($A15="","",IF(D15&gt;0, IFERROR(AVERAGEIFS('Detalle individual'!$J$5:$J$1000, 'Detalle individual'!$C$5:$C$1000, A15), ""), ""))</f>
        <v>97.1428571428571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11">
        <f>IF($A15="","",IF(D15&gt;0, IFERROR(_xlfn.MINIFS('Detalle individual'!$G$5:$G$1000, 'Detalle individual'!$C$5:$C$1000, A15), ""), ""))</f>
        <v>46308.43619212963</v>
      </c>
      <c r="L15" s="11">
        <f>IF($A15="","",IF(D15&gt;0, IFERROR(_xlfn.MAXIFS('Detalle individual'!$H$5:$H$1000, 'Detalle individual'!$C$5:$C$1000, A15), ""), ""))</f>
        <v>46311.571493055555</v>
      </c>
      <c r="M15" s="7">
        <f>IF($A15="","",IF(D15&gt;0, IFERROR(_xlfn.MINIFS('Detalle individual'!$I$5:$I$1000, 'Detalle individual'!$C$5:$C$1000, A15), ""), ""))</f>
        <v>1.51666666666667</v>
      </c>
      <c r="N15" s="7">
        <f>IF($A15="","",IF(D15&gt;0, IFERROR(AVERAGEIFS('Detalle individual'!$I$5:$I$1000, 'Detalle individual'!$C$5:$C$1000, A15), ""), ""))</f>
        <v>9.95714285714286</v>
      </c>
      <c r="O15" s="22">
        <f>IF($A15="","",COUNTIF('Detalle individual'!$C$5:$C$1000, A15)-C15)</f>
        <v>0</v>
      </c>
    </row>
    <row r="16">
      <c r="A16" s="5" t="str">
        <f>IF(Cálculos!$AE16="","",INDEX('Detalle individual'!$C:$C,Cálculos!$AE16))</f>
        <v>AGENCIA USULUTAN</v>
      </c>
      <c r="B16" s="5" t="str">
        <f>IF($A16="","",INDEX('Detalle individual'!$D:$D,Cálculos!$AE16))</f>
        <v>Gerencia de Negocios</v>
      </c>
      <c r="C16" s="8">
        <f>IF($A16="","",COUNTIFS('Detalle individual'!$C$5:$C$1000, A16, 'Detalle individual'!$F$5:$F$1000, "Completado")+COUNTIFS('Detalle individual'!$C$5:$C$1000, A16, 'Detalle individual'!$F$5:$F$1000, "Pendiente"))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26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11">
        <f>IF($A16="","",IF(D16&gt;0, IFERROR(_xlfn.MINIFS('Detalle individual'!$G$5:$G$1000, 'Detalle individual'!$C$5:$C$1000, A16), ""), ""))</f>
        <v>46301.42581018519</v>
      </c>
      <c r="L16" s="11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  <c r="O16" s="22">
        <f>IF($A16="","",COUNTIF('Detalle individual'!$C$5:$C$1000, A16)-C16)</f>
        <v>0</v>
      </c>
    </row>
    <row r="17">
      <c r="A17" s="5" t="str">
        <f>IF(Cálculos!$AE17="","",INDEX('Detalle individual'!$C:$C,Cálculos!$AE17))</f>
        <v>CLINICA EMPRESARIAL</v>
      </c>
      <c r="B17" s="5" t="str">
        <f>IF($A17="","",INDEX('Detalle individual'!$D:$D,Cálculos!$AE17))</f>
        <v>Gerencia Administrativa</v>
      </c>
      <c r="C17" s="8">
        <f>IF($A17="","",COUNTIFS('Detalle individual'!$C$5:$C$1000, A17, 'Detalle individual'!$F$5:$F$1000, "Completado")+COUNTIFS('Detalle individual'!$C$5:$C$1000, A17, 'Detalle individual'!$F$5:$F$1000, "Pendiente"))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26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11">
        <f>IF($A17="","",IF(D17&gt;0, IFERROR(_xlfn.MINIFS('Detalle individual'!$G$5:$G$1000, 'Detalle individual'!$C$5:$C$1000, A17), ""), ""))</f>
        <v>46305.40681712963</v>
      </c>
      <c r="L17" s="11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  <c r="O17" s="22">
        <f>IF($A17="","",COUNTIF('Detalle individual'!$C$5:$C$1000, A17)-C17)</f>
        <v>0</v>
      </c>
    </row>
    <row r="18">
      <c r="A18" s="5" t="str">
        <f>IF(Cálculos!$AE18="","",INDEX('Detalle individual'!$C:$C,Cálculos!$AE18))</f>
        <v>CONSEJO DE ADMINISTRACION</v>
      </c>
      <c r="B18" s="5" t="str">
        <f>IF($A18="","",INDEX('Detalle individual'!$D:$D,Cálculos!$AE18))</f>
        <v>Consejo de Administración</v>
      </c>
      <c r="C18" s="8">
        <f>IF($A18="","",COUNTIFS('Detalle individual'!$C$5:$C$1000, A18, 'Detalle individual'!$F$5:$F$1000, "Completado")+COUNTIFS('Detalle individual'!$C$5:$C$1000, A18, 'Detalle individual'!$F$5:$F$1000, "Pendiente"))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26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11">
        <f>IF($A18="","",IF(D18&gt;0, IFERROR(_xlfn.MINIFS('Detalle individual'!$G$5:$G$1000, 'Detalle individual'!$C$5:$C$1000, A18), ""), ""))</f>
        <v>46300.65247685185</v>
      </c>
      <c r="L18" s="11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  <c r="O18" s="22">
        <f>IF($A18="","",COUNTIF('Detalle individual'!$C$5:$C$1000, A18)-C18)</f>
        <v>0</v>
      </c>
    </row>
    <row r="19">
      <c r="A19" s="5" t="str">
        <f>IF(Cálculos!$AE19="","",INDEX('Detalle individual'!$C:$C,Cálculos!$AE19))</f>
        <v>DEPARTAMENTO COMERCIAL DE TARJETA DE CREDITO Y DEBITO</v>
      </c>
      <c r="B19" s="5" t="str">
        <f>IF($A19="","",INDEX('Detalle individual'!$D:$D,Cálculos!$AE19))</f>
        <v>Gerencia de Negocios</v>
      </c>
      <c r="C19" s="8">
        <f>IF($A19="","",COUNTIFS('Detalle individual'!$C$5:$C$1000, A19, 'Detalle individual'!$F$5:$F$1000, "Completado")+COUNTIFS('Detalle individual'!$C$5:$C$1000, A19, 'Detalle individual'!$F$5:$F$1000, "Pendiente"))</f>
        <v>7</v>
      </c>
      <c r="D19" s="8">
        <f>IF($A19="","",COUNTIFS('Detalle individual'!$C$5:$C$1000, A19, 'Detalle individual'!$F$5:$F$1000, "Completado"))</f>
        <v>7</v>
      </c>
      <c r="E19" s="8">
        <f>IF($A19="","",C19-D19)</f>
        <v>0</v>
      </c>
      <c r="F19" s="26">
        <f>IF($A19="","",IF(C19&gt;0, D19/C19, 0))</f>
        <v>1</v>
      </c>
      <c r="G19" s="4" t="str">
        <f>IF($A19="","",IF(AND(C19&gt;0, D19=C19), "Completo", "Pendiente"))</f>
        <v>Completo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11">
        <f>IF($A19="","",IF(D19&gt;0, IFERROR(_xlfn.MINIFS('Detalle individual'!$G$5:$G$1000, 'Detalle individual'!$C$5:$C$1000, A19), ""), ""))</f>
        <v>46297.7059375</v>
      </c>
      <c r="L19" s="11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  <c r="O19" s="22">
        <f>IF($A19="","",COUNTIF('Detalle individual'!$C$5:$C$1000, A19)-C19)</f>
        <v>1</v>
      </c>
    </row>
    <row r="20">
      <c r="A20" s="5" t="str">
        <f>IF(Cálculos!$AE20="","",INDEX('Detalle individual'!$C:$C,Cálculos!$AE20))</f>
        <v>DEPARTAMENTO DE ANALISIS Y PROGRAMACIÓN</v>
      </c>
      <c r="B20" s="5" t="str">
        <f>IF($A20="","",INDEX('Detalle individual'!$D:$D,Cálculos!$AE20))</f>
        <v>Gerencia de Sistemas</v>
      </c>
      <c r="C20" s="8">
        <f>IF($A20="","",COUNTIFS('Detalle individual'!$C$5:$C$1000, A20, 'Detalle individual'!$F$5:$F$1000, "Completado")+COUNTIFS('Detalle individual'!$C$5:$C$1000, A20, 'Detalle individual'!$F$5:$F$1000, "Pendiente"))</f>
        <v>11</v>
      </c>
      <c r="D20" s="8">
        <f>IF($A20="","",COUNTIFS('Detalle individual'!$C$5:$C$1000, A20, 'Detalle individual'!$F$5:$F$1000, "Completado"))</f>
        <v>11</v>
      </c>
      <c r="E20" s="8">
        <f>IF($A20="","",C20-D20)</f>
        <v>0</v>
      </c>
      <c r="F20" s="26">
        <f>IF($A20="","",IF(C20&gt;0, D20/C20, 0))</f>
        <v>1</v>
      </c>
      <c r="G20" s="4" t="str">
        <f>IF($A20="","",IF(AND(C20&gt;0, D20=C20), "Completo", "Pendiente"))</f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11">
        <f>IF($A20="","",IF(D20&gt;0, IFERROR(_xlfn.MINIFS('Detalle individual'!$G$5:$G$1000, 'Detalle individual'!$C$5:$C$1000, A20), ""), ""))</f>
        <v>46296.56962962963</v>
      </c>
      <c r="L20" s="11">
        <f>IF($A20="","",IF(D20&gt;0, IFERROR(_xlfn.MAXIFS('Detalle individual'!$H$5:$H$1000, 'Detalle individual'!$C$5:$C$1000, A20), ""), ""))</f>
        <v>46310.69614583333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15.3106060606061</v>
      </c>
      <c r="O20" s="22">
        <f>IF($A20="","",COUNTIF('Detalle individual'!$C$5:$C$1000, A20)-C20)</f>
        <v>0</v>
      </c>
    </row>
    <row r="21">
      <c r="A21" s="5" t="str">
        <f>IF(Cálculos!$AE21="","",INDEX('Detalle individual'!$C:$C,Cálculos!$AE21))</f>
        <v>DEPARTAMENTO DE ATENCION A ASOCIADO Y CLIENTE</v>
      </c>
      <c r="B21" s="5" t="str">
        <f>IF($A21="","",INDEX('Detalle individual'!$D:$D,Cálculos!$AE21))</f>
        <v>Gerencia de Negocios</v>
      </c>
      <c r="C21" s="8">
        <f>IF($A21="","",COUNTIFS('Detalle individual'!$C$5:$C$1000, A21, 'Detalle individual'!$F$5:$F$1000, "Completado")+COUNTIFS('Detalle individual'!$C$5:$C$1000, A21, 'Detalle individual'!$F$5:$F$1000, "Pendiente"))</f>
        <v>7</v>
      </c>
      <c r="D21" s="8">
        <f>IF($A21="","",COUNTIFS('Detalle individual'!$C$5:$C$1000, A21, 'Detalle individual'!$F$5:$F$1000, "Completado"))</f>
        <v>7</v>
      </c>
      <c r="E21" s="8">
        <f>IF($A21="","",C21-D21)</f>
        <v>0</v>
      </c>
      <c r="F21" s="26">
        <f>IF($A21="","",IF(C21&gt;0, D21/C21, 0))</f>
        <v>1</v>
      </c>
      <c r="G21" s="4" t="str">
        <f>IF($A21="","",IF(AND(C21&gt;0, D21=C21), "Completo", "Pendiente"))</f>
        <v>Completo</v>
      </c>
      <c r="H21" s="7">
        <f>IF($A21="","",IF(D21&gt;0, IFERROR(AVERAGEIFS('Detalle individual'!$J$5:$J$1000, 'Detalle individual'!$C$5:$C$1000, A21), ""), ""))</f>
        <v>95.7142857142857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11">
        <f>IF($A21="","",IF(D21&gt;0, IFERROR(_xlfn.MINIFS('Detalle individual'!$G$5:$G$1000, 'Detalle individual'!$C$5:$C$1000, A21), ""), ""))</f>
        <v>46301.48449074074</v>
      </c>
      <c r="L21" s="11">
        <f>IF($A21="","",IF(D21&gt;0, IFERROR(_xlfn.MAXIFS('Detalle individual'!$H$5:$H$1000, 'Detalle individual'!$C$5:$C$1000, A21), ""), ""))</f>
        <v>46310.70625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10.0047619019524</v>
      </c>
      <c r="O21" s="22">
        <f>IF($A21="","",COUNTIF('Detalle individual'!$C$5:$C$1000, A21)-C21)</f>
        <v>0</v>
      </c>
    </row>
    <row r="22">
      <c r="A22" s="5" t="str">
        <f>IF(Cálculos!$AE22="","",INDEX('Detalle individual'!$C:$C,Cálculos!$AE22))</f>
        <v>DEPARTAMENTO DE AUDITORIA INTERNA</v>
      </c>
      <c r="B22" s="5" t="str">
        <f>IF($A22="","",INDEX('Detalle individual'!$D:$D,Cálculos!$AE22))</f>
        <v>Auditoría Interna</v>
      </c>
      <c r="C22" s="8">
        <f>IF($A22="","",COUNTIFS('Detalle individual'!$C$5:$C$1000, A22, 'Detalle individual'!$F$5:$F$1000, "Completado")+COUNTIFS('Detalle individual'!$C$5:$C$1000, A22, 'Detalle individual'!$F$5:$F$1000, "Pendiente"))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26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11">
        <f>IF($A22="","",IF(D22&gt;0, IFERROR(_xlfn.MINIFS('Detalle individual'!$G$5:$G$1000, 'Detalle individual'!$C$5:$C$1000, A22), ""), ""))</f>
        <v>46296.61756944445</v>
      </c>
      <c r="L22" s="11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  <c r="O22" s="22">
        <f>IF($A22="","",COUNTIF('Detalle individual'!$C$5:$C$1000, A22)-C22)</f>
        <v>0</v>
      </c>
    </row>
    <row r="23">
      <c r="A23" s="5" t="str">
        <f>IF(Cálculos!$AE23="","",INDEX('Detalle individual'!$C:$C,Cálculos!$AE23))</f>
        <v>DEPARTAMENTO DE CONTABILIDAD</v>
      </c>
      <c r="B23" s="5" t="str">
        <f>IF($A23="","",INDEX('Detalle individual'!$D:$D,Cálculos!$AE23))</f>
        <v>Gerencia de Finanzas y Planificación</v>
      </c>
      <c r="C23" s="8">
        <f>IF($A23="","",COUNTIFS('Detalle individual'!$C$5:$C$1000, A23, 'Detalle individual'!$F$5:$F$1000, "Completado")+COUNTIFS('Detalle individual'!$C$5:$C$1000, A23, 'Detalle individual'!$F$5:$F$1000, "Pendiente"))</f>
        <v>13</v>
      </c>
      <c r="D23" s="8">
        <f>IF($A23="","",COUNTIFS('Detalle individual'!$C$5:$C$1000, A23, 'Detalle individual'!$F$5:$F$1000, "Completado"))</f>
        <v>13</v>
      </c>
      <c r="E23" s="8">
        <f>IF($A23="","",C23-D23)</f>
        <v>0</v>
      </c>
      <c r="F23" s="26">
        <f>IF($A23="","",IF(C23&gt;0, D23/C23, 0))</f>
        <v>1</v>
      </c>
      <c r="G23" s="4" t="str">
        <f>IF($A23="","",IF(AND(C23&gt;0, D23=C23), "Completo", "Pendiente"))</f>
        <v>Completo</v>
      </c>
      <c r="H23" s="7">
        <f>IF($A23="","",IF(D23&gt;0, IFERROR(AVERAGEIFS('Detalle individual'!$J$5:$J$1000, 'Detalle individual'!$C$5:$C$1000, A23), ""), ""))</f>
        <v>98.0769230769231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11">
        <f>IF($A23="","",IF(D23&gt;0, IFERROR(_xlfn.MINIFS('Detalle individual'!$G$5:$G$1000, 'Detalle individual'!$C$5:$C$1000, A23), ""), ""))</f>
        <v>46296.61537037037</v>
      </c>
      <c r="L23" s="11">
        <f>IF($A23="","",IF(D23&gt;0, IFERROR(_xlfn.MAXIFS('Detalle individual'!$H$5:$H$1000, 'Detalle individual'!$C$5:$C$1000, A23), ""), ""))</f>
        <v>46310.569606481484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8.13076923255897</v>
      </c>
      <c r="O23" s="22">
        <f>IF($A23="","",COUNTIF('Detalle individual'!$C$5:$C$1000, A23)-C23)</f>
        <v>0</v>
      </c>
    </row>
    <row r="24">
      <c r="A24" s="5" t="str">
        <f>IF(Cálculos!$AE24="","",INDEX('Detalle individual'!$C:$C,Cálculos!$AE24))</f>
        <v>DEPARTAMENTO DE CREDITOS</v>
      </c>
      <c r="B24" s="5" t="str">
        <f>IF($A24="","",INDEX('Detalle individual'!$D:$D,Cálculos!$AE24))</f>
        <v>Gerencia de Negocios</v>
      </c>
      <c r="C24" s="8">
        <f>IF($A24="","",COUNTIFS('Detalle individual'!$C$5:$C$1000, A24, 'Detalle individual'!$F$5:$F$1000, "Completado")+COUNTIFS('Detalle individual'!$C$5:$C$1000, A24, 'Detalle individual'!$F$5:$F$1000, "Pendiente"))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26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11">
        <f>IF($A24="","",IF(D24&gt;0, IFERROR(_xlfn.MINIFS('Detalle individual'!$G$5:$G$1000, 'Detalle individual'!$C$5:$C$1000, A24), ""), ""))</f>
        <v>46297.64716435185</v>
      </c>
      <c r="L24" s="11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  <c r="O24" s="22">
        <f>IF($A24="","",COUNTIF('Detalle individual'!$C$5:$C$1000, A24)-C24)</f>
        <v>0</v>
      </c>
    </row>
    <row r="25">
      <c r="A25" s="5" t="str">
        <f>IF(Cálculos!$AE25="","",INDEX('Detalle individual'!$C:$C,Cálculos!$AE25))</f>
        <v>DEPARTAMENTO DE CUSTODIA DE GARANTÍA Y VALORES</v>
      </c>
      <c r="B25" s="5" t="str">
        <f>IF($A25="","",INDEX('Detalle individual'!$D:$D,Cálculos!$AE25))</f>
        <v>Gerencia Administrativa</v>
      </c>
      <c r="C25" s="8">
        <f>IF($A25="","",COUNTIFS('Detalle individual'!$C$5:$C$1000, A25, 'Detalle individual'!$F$5:$F$1000, "Completado")+COUNTIFS('Detalle individual'!$C$5:$C$1000, A25, 'Detalle individual'!$F$5:$F$1000, "Pendiente"))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26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11">
        <f>IF($A25="","",IF(D25&gt;0, IFERROR(_xlfn.MINIFS('Detalle individual'!$G$5:$G$1000, 'Detalle individual'!$C$5:$C$1000, A25), ""), ""))</f>
        <v>46298.500914351855</v>
      </c>
      <c r="L25" s="11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  <c r="O25" s="22">
        <f>IF($A25="","",COUNTIF('Detalle individual'!$C$5:$C$1000, A25)-C25)</f>
        <v>0</v>
      </c>
    </row>
    <row r="26">
      <c r="A26" s="5" t="str">
        <f>IF(Cálculos!$AE26="","",INDEX('Detalle individual'!$C:$C,Cálculos!$AE26))</f>
        <v>DEPARTAMENTO DE DEPOSITOS</v>
      </c>
      <c r="B26" s="5" t="str">
        <f>IF($A26="","",INDEX('Detalle individual'!$D:$D,Cálculos!$AE26))</f>
        <v>Gerencia de Operaciones</v>
      </c>
      <c r="C26" s="8">
        <f>IF($A26="","",COUNTIFS('Detalle individual'!$C$5:$C$1000, A26, 'Detalle individual'!$F$5:$F$1000, "Completado")+COUNTIFS('Detalle individual'!$C$5:$C$1000, A26, 'Detalle individual'!$F$5:$F$1000, "Pendiente"))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26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11">
        <f>IF($A26="","",IF(D26&gt;0, IFERROR(_xlfn.MINIFS('Detalle individual'!$G$5:$G$1000, 'Detalle individual'!$C$5:$C$1000, A26), ""), ""))</f>
        <v>46296.56951388889</v>
      </c>
      <c r="L26" s="11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  <c r="O26" s="22">
        <f>IF($A26="","",COUNTIF('Detalle individual'!$C$5:$C$1000, A26)-C26)</f>
        <v>0</v>
      </c>
    </row>
    <row r="27">
      <c r="A27" s="5" t="str">
        <f>IF(Cálculos!$AE27="","",INDEX('Detalle individual'!$C:$C,Cálculos!$AE27))</f>
        <v>DEPARTAMENTO DE EDUCACION Y RESPONSABILIDAD SOCIAL</v>
      </c>
      <c r="B27" s="5" t="str">
        <f>IF($A27="","",INDEX('Detalle individual'!$D:$D,Cálculos!$AE27))</f>
        <v>Gerencia Administrativa</v>
      </c>
      <c r="C27" s="8">
        <f>IF($A27="","",COUNTIFS('Detalle individual'!$C$5:$C$1000, A27, 'Detalle individual'!$F$5:$F$1000, "Completado")+COUNTIFS('Detalle individual'!$C$5:$C$1000, A27, 'Detalle individual'!$F$5:$F$1000, "Pendiente"))</f>
        <v>3</v>
      </c>
      <c r="D27" s="8">
        <f>IF($A27="","",COUNTIFS('Detalle individual'!$C$5:$C$1000, A27, 'Detalle individual'!$F$5:$F$1000, "Completado"))</f>
        <v>3</v>
      </c>
      <c r="E27" s="8">
        <f>IF($A27="","",C27-D27)</f>
        <v>0</v>
      </c>
      <c r="F27" s="26">
        <f>IF($A27="","",IF(C27&gt;0, D27/C27, 0))</f>
        <v>1</v>
      </c>
      <c r="G27" s="4" t="str">
        <f>IF($A27="","",IF(AND(C27&gt;0, D27=C27), "Completo", "Pendiente"))</f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11">
        <f>IF($A27="","",IF(D27&gt;0, IFERROR(_xlfn.MINIFS('Detalle individual'!$G$5:$G$1000, 'Detalle individual'!$C$5:$C$1000, A27), ""), ""))</f>
        <v>46301.62170138889</v>
      </c>
      <c r="L27" s="11">
        <f>IF($A27="","",IF(D27&gt;0, IFERROR(_xlfn.MAXIFS('Detalle individual'!$H$5:$H$1000, 'Detalle individual'!$C$5:$C$1000, A27), ""), ""))</f>
        <v>46310.511469907404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14.1055555555556</v>
      </c>
      <c r="O27" s="22">
        <f>IF($A27="","",COUNTIF('Detalle individual'!$C$5:$C$1000, A27)-C27)</f>
        <v>0</v>
      </c>
    </row>
    <row r="28">
      <c r="A28" s="5" t="str">
        <f>IF(Cálculos!$AE28="","",INDEX('Detalle individual'!$C:$C,Cálculos!$AE28))</f>
        <v>DEPARTAMENTO DE MERCADEO</v>
      </c>
      <c r="B28" s="5" t="str">
        <f>IF($A28="","",INDEX('Detalle individual'!$D:$D,Cálculos!$AE28))</f>
        <v>Gerencia de Negocios</v>
      </c>
      <c r="C28" s="8">
        <f>IF($A28="","",COUNTIFS('Detalle individual'!$C$5:$C$1000, A28, 'Detalle individual'!$F$5:$F$1000, "Completado")+COUNTIFS('Detalle individual'!$C$5:$C$1000, A28, 'Detalle individual'!$F$5:$F$1000, "Pendiente"))</f>
        <v>7</v>
      </c>
      <c r="D28" s="8">
        <f>IF($A28="","",COUNTIFS('Detalle individual'!$C$5:$C$1000, A28, 'Detalle individual'!$F$5:$F$1000, "Completado"))</f>
        <v>6</v>
      </c>
      <c r="E28" s="8">
        <f>IF($A28="","",C28-D28)</f>
        <v>1</v>
      </c>
      <c r="F28" s="26">
        <f>IF($A28="","",IF(C28&gt;0, D28/C28, 0))</f>
        <v>0.857142857142857</v>
      </c>
      <c r="G28" s="4" t="str">
        <f>IF($A28="","",IF(AND(C28&gt;0, D28=C28), "Completo", "Pendiente"))</f>
        <v>Pendiente</v>
      </c>
      <c r="H28" s="7">
        <f>IF($A28="","",IF(D28&gt;0, IFERROR(AVERAGEIFS('Detalle individual'!$J$5:$J$1000, 'Detalle individual'!$C$5:$C$1000, A28), ""), ""))</f>
        <v>95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11">
        <f>IF($A28="","",IF(D28&gt;0, IFERROR(_xlfn.MINIFS('Detalle individual'!$G$5:$G$1000, 'Detalle individual'!$C$5:$C$1000, A28), ""), ""))</f>
        <v>46301.61615740741</v>
      </c>
      <c r="L28" s="11">
        <f>IF($A28="","",IF(D28&gt;0, IFERROR(_xlfn.MAXIFS('Detalle individual'!$H$5:$H$1000, 'Detalle individual'!$C$5:$C$1000, A28), ""), ""))</f>
        <v>46311.45481481482</v>
      </c>
      <c r="M28" s="7">
        <f>IF($A28="","",IF(D28&gt;0, IFERROR(_xlfn.MINIFS('Detalle individual'!$I$5:$I$1000, 'Detalle individual'!$C$5:$C$1000, A28), ""), ""))</f>
        <v>3.41666666666667</v>
      </c>
      <c r="N28" s="7">
        <f>IF($A28="","",IF(D28&gt;0, IFERROR(AVERAGEIFS('Detalle individual'!$I$5:$I$1000, 'Detalle individual'!$C$5:$C$1000, A28), ""), ""))</f>
        <v>22.9444444444444</v>
      </c>
      <c r="O28" s="22">
        <f>IF($A28="","",COUNTIF('Detalle individual'!$C$5:$C$1000, A28)-C28)</f>
        <v>0</v>
      </c>
    </row>
    <row r="29">
      <c r="A29" s="5" t="str">
        <f>IF(Cálculos!$AE29="","",INDEX('Detalle individual'!$C:$C,Cálculos!$AE29))</f>
        <v>DEPARTAMENTO DE OPERACIONES Y SOPORTE TECNICO</v>
      </c>
      <c r="B29" s="5" t="str">
        <f>IF($A29="","",INDEX('Detalle individual'!$D:$D,Cálculos!$AE29))</f>
        <v>Gerencia de Sistemas</v>
      </c>
      <c r="C29" s="8">
        <f>IF($A29="","",COUNTIFS('Detalle individual'!$C$5:$C$1000, A29, 'Detalle individual'!$F$5:$F$1000, "Completado")+COUNTIFS('Detalle individual'!$C$5:$C$1000, A29, 'Detalle individual'!$F$5:$F$1000, "Pendiente"))</f>
        <v>6</v>
      </c>
      <c r="D29" s="8">
        <f>IF($A29="","",COUNTIFS('Detalle individual'!$C$5:$C$1000, A29, 'Detalle individual'!$F$5:$F$1000, "Completado"))</f>
        <v>6</v>
      </c>
      <c r="E29" s="8">
        <f>IF($A29="","",C29-D29)</f>
        <v>0</v>
      </c>
      <c r="F29" s="26">
        <f>IF($A29="","",IF(C29&gt;0, D29/C29, 0))</f>
        <v>1</v>
      </c>
      <c r="G29" s="4" t="str">
        <f>IF($A29="","",IF(AND(C29&gt;0, D29=C29), "Completo", "Pendiente"))</f>
        <v>Completo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11">
        <f>IF($A29="","",IF(D29&gt;0, IFERROR(_xlfn.MINIFS('Detalle individual'!$G$5:$G$1000, 'Detalle individual'!$C$5:$C$1000, A29), ""), ""))</f>
        <v>46300.46083333333</v>
      </c>
      <c r="L29" s="11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  <c r="O29" s="22">
        <f>IF($A29="","",COUNTIF('Detalle individual'!$C$5:$C$1000, A29)-C29)</f>
        <v>1</v>
      </c>
    </row>
    <row r="30">
      <c r="A30" s="5" t="str">
        <f>IF(Cálculos!$AE30="","",INDEX('Detalle individual'!$C:$C,Cálculos!$AE30))</f>
        <v>DEPARTAMENTO DE PLANIFICACIÓN Y ANALISIS</v>
      </c>
      <c r="B30" s="5" t="str">
        <f>IF($A30="","",INDEX('Detalle individual'!$D:$D,Cálculos!$AE30))</f>
        <v>Gerencia de Finanzas y Planificación</v>
      </c>
      <c r="C30" s="8">
        <f>IF($A30="","",COUNTIFS('Detalle individual'!$C$5:$C$1000, A30, 'Detalle individual'!$F$5:$F$1000, "Completado")+COUNTIFS('Detalle individual'!$C$5:$C$1000, A30, 'Detalle individual'!$F$5:$F$1000, "Pendiente"))</f>
        <v>3</v>
      </c>
      <c r="D30" s="8">
        <f>IF($A30="","",COUNTIFS('Detalle individual'!$C$5:$C$1000, A30, 'Detalle individual'!$F$5:$F$1000, "Completado"))</f>
        <v>3</v>
      </c>
      <c r="E30" s="8">
        <f>IF($A30="","",C30-D30)</f>
        <v>0</v>
      </c>
      <c r="F30" s="26">
        <f>IF($A30="","",IF(C30&gt;0, D30/C30, 0))</f>
        <v>1</v>
      </c>
      <c r="G30" s="4" t="str">
        <f>IF($A30="","",IF(AND(C30&gt;0, D30=C30), "Completo", "Pendiente"))</f>
        <v>Completo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11">
        <f>IF($A30="","",IF(D30&gt;0, IFERROR(_xlfn.MINIFS('Detalle individual'!$G$5:$G$1000, 'Detalle individual'!$C$5:$C$1000, A30), ""), ""))</f>
        <v>46305.5291087963</v>
      </c>
      <c r="L30" s="11">
        <f>IF($A30="","",IF(D30&gt;0, IFERROR(_xlfn.MAXIFS('Detalle individual'!$H$5:$H$1000, 'Detalle individual'!$C$5:$C$1000, A30), ""), ""))</f>
        <v>46311.627291666664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7.74999999359444</v>
      </c>
      <c r="O30" s="22">
        <f>IF($A30="","",COUNTIF('Detalle individual'!$C$5:$C$1000, A30)-C30)</f>
        <v>0</v>
      </c>
    </row>
    <row r="31">
      <c r="A31" s="5" t="str">
        <f>IF(Cálculos!$AE31="","",INDEX('Detalle individual'!$C:$C,Cálculos!$AE31))</f>
        <v>DEPARTAMENTO DE PROCESOS</v>
      </c>
      <c r="B31" s="5" t="str">
        <f>IF($A31="","",INDEX('Detalle individual'!$D:$D,Cálculos!$AE31))</f>
        <v>Gerencia General</v>
      </c>
      <c r="C31" s="8">
        <f>IF($A31="","",COUNTIFS('Detalle individual'!$C$5:$C$1000, A31, 'Detalle individual'!$F$5:$F$1000, "Completado")+COUNTIFS('Detalle individual'!$C$5:$C$1000, A31, 'Detalle individual'!$F$5:$F$1000, "Pendiente"))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26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11">
        <f>IF($A31="","",IF(D31&gt;0, IFERROR(_xlfn.MINIFS('Detalle individual'!$G$5:$G$1000, 'Detalle individual'!$C$5:$C$1000, A31), ""), ""))</f>
        <v>46296.436574074076</v>
      </c>
      <c r="L31" s="11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  <c r="O31" s="22">
        <f>IF($A31="","",COUNTIF('Detalle individual'!$C$5:$C$1000, A31)-C31)</f>
        <v>0</v>
      </c>
    </row>
    <row r="32">
      <c r="A32" s="5" t="str">
        <f>IF(Cálculos!$AE32="","",INDEX('Detalle individual'!$C:$C,Cálculos!$AE32))</f>
        <v>DEPARTAMENTO DE SEGURIDAD</v>
      </c>
      <c r="B32" s="5" t="str">
        <f>IF($A32="","",INDEX('Detalle individual'!$D:$D,Cálculos!$AE32))</f>
        <v>Gerencia Administrativa</v>
      </c>
      <c r="C32" s="8">
        <f>IF($A32="","",COUNTIFS('Detalle individual'!$C$5:$C$1000, A32, 'Detalle individual'!$F$5:$F$1000, "Completado")+COUNTIFS('Detalle individual'!$C$5:$C$1000, A32, 'Detalle individual'!$F$5:$F$1000, "Pendiente"))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26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11">
        <f>IF($A32="","",IF(D32&gt;0, IFERROR(_xlfn.MINIFS('Detalle individual'!$G$5:$G$1000, 'Detalle individual'!$C$5:$C$1000, A32), ""), ""))</f>
        <v>46296.454039351855</v>
      </c>
      <c r="L32" s="11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  <c r="O32" s="22">
        <f>IF($A32="","",COUNTIF('Detalle individual'!$C$5:$C$1000, A32)-C32)</f>
        <v>0</v>
      </c>
    </row>
    <row r="33">
      <c r="A33" s="5" t="str">
        <f>IF(Cálculos!$AE33="","",INDEX('Detalle individual'!$C:$C,Cálculos!$AE33))</f>
        <v>DEPARTAMENTO DE SEGUROS</v>
      </c>
      <c r="B33" s="5" t="str">
        <f>IF($A33="","",INDEX('Detalle individual'!$D:$D,Cálculos!$AE33))</f>
        <v>Gerencia de Negocios</v>
      </c>
      <c r="C33" s="8">
        <f>IF($A33="","",COUNTIFS('Detalle individual'!$C$5:$C$1000, A33, 'Detalle individual'!$F$5:$F$1000, "Completado")+COUNTIFS('Detalle individual'!$C$5:$C$1000, A33, 'Detalle individual'!$F$5:$F$1000, "Pendiente"))</f>
        <v>10</v>
      </c>
      <c r="D33" s="8">
        <f>IF($A33="","",COUNTIFS('Detalle individual'!$C$5:$C$1000, A33, 'Detalle individual'!$F$5:$F$1000, "Completado"))</f>
        <v>10</v>
      </c>
      <c r="E33" s="8">
        <f>IF($A33="","",C33-D33)</f>
        <v>0</v>
      </c>
      <c r="F33" s="26">
        <f>IF($A33="","",IF(C33&gt;0, D33/C33, 0))</f>
        <v>1</v>
      </c>
      <c r="G33" s="4" t="str">
        <f>IF($A33="","",IF(AND(C33&gt;0, D33=C33), "Completo", "Pendiente"))</f>
        <v>Completo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11">
        <f>IF($A33="","",IF(D33&gt;0, IFERROR(_xlfn.MINIFS('Detalle individual'!$G$5:$G$1000, 'Detalle individual'!$C$5:$C$1000, A33), ""), ""))</f>
        <v>46296.426412037035</v>
      </c>
      <c r="L33" s="11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  <c r="O33" s="22">
        <f>IF($A33="","",COUNTIF('Detalle individual'!$C$5:$C$1000, A33)-C33)</f>
        <v>1</v>
      </c>
    </row>
    <row r="34">
      <c r="A34" s="5" t="str">
        <f>IF(Cálculos!$AE34="","",INDEX('Detalle individual'!$C:$C,Cálculos!$AE34))</f>
        <v>DEPARTAMENTO DE SERVICIOS GENERALES</v>
      </c>
      <c r="B34" s="5" t="str">
        <f>IF($A34="","",INDEX('Detalle individual'!$D:$D,Cálculos!$AE34))</f>
        <v>Gerencia Administrativa</v>
      </c>
      <c r="C34" s="8">
        <f>IF($A34="","",COUNTIFS('Detalle individual'!$C$5:$C$1000, A34, 'Detalle individual'!$F$5:$F$1000, "Completado")+COUNTIFS('Detalle individual'!$C$5:$C$1000, A34, 'Detalle individual'!$F$5:$F$1000, "Pendiente"))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26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11">
        <f>IF($A34="","",IF(D34&gt;0, IFERROR(_xlfn.MINIFS('Detalle individual'!$G$5:$G$1000, 'Detalle individual'!$C$5:$C$1000, A34), ""), ""))</f>
        <v>46297.771944444445</v>
      </c>
      <c r="L34" s="11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  <c r="O34" s="22">
        <f>IF($A34="","",COUNTIF('Detalle individual'!$C$5:$C$1000, A34)-C34)</f>
        <v>0</v>
      </c>
    </row>
    <row r="35">
      <c r="A35" s="5" t="str">
        <f>IF(Cálculos!$AE35="","",INDEX('Detalle individual'!$C:$C,Cálculos!$AE35))</f>
        <v>DEPARTAMENTO DE SOLUCIONES FINANCIERAS</v>
      </c>
      <c r="B35" s="5" t="str">
        <f>IF($A35="","",INDEX('Detalle individual'!$D:$D,Cálculos!$AE35))</f>
        <v>Gerencia de Operaciones</v>
      </c>
      <c r="C35" s="8">
        <f>IF($A35="","",COUNTIFS('Detalle individual'!$C$5:$C$1000, A35, 'Detalle individual'!$F$5:$F$1000, "Completado")+COUNTIFS('Detalle individual'!$C$5:$C$1000, A35, 'Detalle individual'!$F$5:$F$1000, "Pendiente"))</f>
        <v>9</v>
      </c>
      <c r="D35" s="8">
        <f>IF($A35="","",COUNTIFS('Detalle individual'!$C$5:$C$1000, A35, 'Detalle individual'!$F$5:$F$1000, "Completado"))</f>
        <v>9</v>
      </c>
      <c r="E35" s="8">
        <f>IF($A35="","",C35-D35)</f>
        <v>0</v>
      </c>
      <c r="F35" s="26">
        <f>IF($A35="","",IF(C35&gt;0, D35/C35, 0))</f>
        <v>1</v>
      </c>
      <c r="G35" s="4" t="str">
        <f>IF($A35="","",IF(AND(C35&gt;0, D35=C35), "Completo", "Pendiente"))</f>
        <v>Completo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11">
        <f>IF($A35="","",IF(D35&gt;0, IFERROR(_xlfn.MINIFS('Detalle individual'!$G$5:$G$1000, 'Detalle individual'!$C$5:$C$1000, A35), ""), ""))</f>
        <v>46304.373240740744</v>
      </c>
      <c r="L35" s="11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  <c r="O35" s="22">
        <f>IF($A35="","",COUNTIF('Detalle individual'!$C$5:$C$1000, A35)-C35)</f>
        <v>1</v>
      </c>
    </row>
    <row r="36">
      <c r="A36" s="5" t="str">
        <f>IF(Cálculos!$AE36="","",INDEX('Detalle individual'!$C:$C,Cálculos!$AE36))</f>
        <v>DEPARTAMENTO DE TALENTO HUMANO</v>
      </c>
      <c r="B36" s="5" t="str">
        <f>IF($A36="","",INDEX('Detalle individual'!$D:$D,Cálculos!$AE36))</f>
        <v>Gerencia Administrativa</v>
      </c>
      <c r="C36" s="8">
        <f>IF($A36="","",COUNTIFS('Detalle individual'!$C$5:$C$1000, A36, 'Detalle individual'!$F$5:$F$1000, "Completado")+COUNTIFS('Detalle individual'!$C$5:$C$1000, A36, 'Detalle individual'!$F$5:$F$1000, "Pendiente"))</f>
        <v>2</v>
      </c>
      <c r="D36" s="8">
        <f>IF($A36="","",COUNTIFS('Detalle individual'!$C$5:$C$1000, A36, 'Detalle individual'!$F$5:$F$1000, "Completado"))</f>
        <v>2</v>
      </c>
      <c r="E36" s="8">
        <f>IF($A36="","",C36-D36)</f>
        <v>0</v>
      </c>
      <c r="F36" s="26">
        <f>IF($A36="","",IF(C36&gt;0, D36/C36, 0))</f>
        <v>1</v>
      </c>
      <c r="G36" s="4" t="str">
        <f>IF($A36="","",IF(AND(C36&gt;0, D36=C36), "Completo", "Pendiente"))</f>
        <v>Completo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11">
        <f>IF($A36="","",IF(D36&gt;0, IFERROR(_xlfn.MINIFS('Detalle individual'!$G$5:$G$1000, 'Detalle individual'!$C$5:$C$1000, A36), ""), ""))</f>
        <v>46304.40207175926</v>
      </c>
      <c r="L36" s="11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  <c r="O36" s="22">
        <f>IF($A36="","",COUNTIF('Detalle individual'!$C$5:$C$1000, A36)-C36)</f>
        <v>1</v>
      </c>
    </row>
    <row r="37">
      <c r="A37" s="5" t="str">
        <f>IF(Cálculos!$AE37="","",INDEX('Detalle individual'!$C:$C,Cálculos!$AE37))</f>
        <v>DEPARTAMENTO DE TARJETA DE CREDITO Y DEBITO</v>
      </c>
      <c r="B37" s="5" t="str">
        <f>IF($A37="","",INDEX('Detalle individual'!$D:$D,Cálculos!$AE37))</f>
        <v>Gerencia de Operaciones</v>
      </c>
      <c r="C37" s="8">
        <f>IF($A37="","",COUNTIFS('Detalle individual'!$C$5:$C$1000, A37, 'Detalle individual'!$F$5:$F$1000, "Completado")+COUNTIFS('Detalle individual'!$C$5:$C$1000, A37, 'Detalle individual'!$F$5:$F$1000, "Pendiente"))</f>
        <v>5</v>
      </c>
      <c r="D37" s="8">
        <f>IF($A37="","",COUNTIFS('Detalle individual'!$C$5:$C$1000, A37, 'Detalle individual'!$F$5:$F$1000, "Completado"))</f>
        <v>5</v>
      </c>
      <c r="E37" s="8">
        <f>IF($A37="","",C37-D37)</f>
        <v>0</v>
      </c>
      <c r="F37" s="26">
        <f>IF($A37="","",IF(C37&gt;0, D37/C37, 0))</f>
        <v>1</v>
      </c>
      <c r="G37" s="4" t="str">
        <f>IF($A37="","",IF(AND(C37&gt;0, D37=C37), "Completo", "Pendiente"))</f>
        <v>Completo</v>
      </c>
      <c r="H37" s="7">
        <f>IF($A37="","",IF(D37&gt;0, IFERROR(AVERAGEIFS('Detalle individual'!$J$5:$J$1000, 'Detalle individual'!$C$5:$C$1000, A37), ""), ""))</f>
        <v>99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11">
        <f>IF($A37="","",IF(D37&gt;0, IFERROR(_xlfn.MINIFS('Detalle individual'!$G$5:$G$1000, 'Detalle individual'!$C$5:$C$1000, A37), ""), ""))</f>
        <v>46296.646261574075</v>
      </c>
      <c r="L37" s="11">
        <f>IF($A37="","",IF(D37&gt;0, IFERROR(_xlfn.MAXIFS('Detalle individual'!$H$5:$H$1000, 'Detalle individual'!$C$5:$C$1000, A37), ""), ""))</f>
        <v>46311.516226851854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7.50666666666667</v>
      </c>
      <c r="O37" s="22">
        <f>IF($A37="","",COUNTIF('Detalle individual'!$C$5:$C$1000, A37)-C37)</f>
        <v>1</v>
      </c>
    </row>
    <row r="38">
      <c r="A38" s="5" t="str">
        <f>IF(Cálculos!$AE38="","",INDEX('Detalle individual'!$C:$C,Cálculos!$AE38))</f>
        <v>DEPARTAMENTO LEGAL</v>
      </c>
      <c r="B38" s="5" t="str">
        <f>IF($A38="","",INDEX('Detalle individual'!$D:$D,Cálculos!$AE38))</f>
        <v>Gerencia Legal y Cumplimiento Normativo</v>
      </c>
      <c r="C38" s="8">
        <f>IF($A38="","",COUNTIFS('Detalle individual'!$C$5:$C$1000, A38, 'Detalle individual'!$F$5:$F$1000, "Completado")+COUNTIFS('Detalle individual'!$C$5:$C$1000, A38, 'Detalle individual'!$F$5:$F$1000, "Pendiente"))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26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11">
        <f>IF($A38="","",IF(D38&gt;0, IFERROR(_xlfn.MINIFS('Detalle individual'!$G$5:$G$1000, 'Detalle individual'!$C$5:$C$1000, A38), ""), ""))</f>
        <v>46300.62287037037</v>
      </c>
      <c r="L38" s="11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  <c r="O38" s="22">
        <f>IF($A38="","",COUNTIF('Detalle individual'!$C$5:$C$1000, A38)-C38)</f>
        <v>0</v>
      </c>
    </row>
    <row r="39">
      <c r="A39" s="5" t="str">
        <f>IF(Cálculos!$AE39="","",INDEX('Detalle individual'!$C:$C,Cálculos!$AE39))</f>
        <v>GERENCIA ADMINISTRATIVA</v>
      </c>
      <c r="B39" s="5" t="str">
        <f>IF($A39="","",INDEX('Detalle individual'!$D:$D,Cálculos!$AE39))</f>
        <v>Gerencia Administrativa</v>
      </c>
      <c r="C39" s="8">
        <f>IF($A39="","",COUNTIFS('Detalle individual'!$C$5:$C$1000, A39, 'Detalle individual'!$F$5:$F$1000, "Completado")+COUNTIFS('Detalle individual'!$C$5:$C$1000, A39, 'Detalle individual'!$F$5:$F$1000, "Pendiente"))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26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11">
        <f>IF($A39="","",IF(D39&gt;0, IFERROR(_xlfn.MINIFS('Detalle individual'!$G$5:$G$1000, 'Detalle individual'!$C$5:$C$1000, A39), ""), ""))</f>
        <v>46297.636770833335</v>
      </c>
      <c r="L39" s="11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  <c r="O39" s="22">
        <f>IF($A39="","",COUNTIF('Detalle individual'!$C$5:$C$1000, A39)-C39)</f>
        <v>0</v>
      </c>
    </row>
    <row r="40">
      <c r="A40" s="5" t="str">
        <f>IF(Cálculos!$AE40="","",INDEX('Detalle individual'!$C:$C,Cálculos!$AE40))</f>
        <v>GERENCIA DE FINANZAS Y PLANIFICACIÓN</v>
      </c>
      <c r="B40" s="5" t="str">
        <f>IF($A40="","",INDEX('Detalle individual'!$D:$D,Cálculos!$AE40))</f>
        <v>Gerencia de Finanzas y Planificación</v>
      </c>
      <c r="C40" s="8">
        <f>IF($A40="","",COUNTIFS('Detalle individual'!$C$5:$C$1000, A40, 'Detalle individual'!$F$5:$F$1000, "Completado")+COUNTIFS('Detalle individual'!$C$5:$C$1000, A40, 'Detalle individual'!$F$5:$F$1000, "Pendiente"))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26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11">
        <f>IF($A40="","",IF(D40&gt;0, IFERROR(_xlfn.MINIFS('Detalle individual'!$G$5:$G$1000, 'Detalle individual'!$C$5:$C$1000, A40), ""), ""))</f>
        <v>46296.42706018518</v>
      </c>
      <c r="L40" s="11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  <c r="O40" s="22">
        <f>IF($A40="","",COUNTIF('Detalle individual'!$C$5:$C$1000, A40)-C40)</f>
        <v>0</v>
      </c>
    </row>
    <row r="41">
      <c r="A41" s="5" t="str">
        <f>IF(Cálculos!$AE41="","",INDEX('Detalle individual'!$C:$C,Cálculos!$AE41))</f>
        <v>GERENCIA DE NEGOCIOS</v>
      </c>
      <c r="B41" s="5" t="str">
        <f>IF($A41="","",INDEX('Detalle individual'!$D:$D,Cálculos!$AE41))</f>
        <v>Gerencia de Negocios</v>
      </c>
      <c r="C41" s="8">
        <f>IF($A41="","",COUNTIFS('Detalle individual'!$C$5:$C$1000, A41, 'Detalle individual'!$F$5:$F$1000, "Completado")+COUNTIFS('Detalle individual'!$C$5:$C$1000, A41, 'Detalle individual'!$F$5:$F$1000, "Pendiente"))</f>
        <v>4</v>
      </c>
      <c r="D41" s="8">
        <f>IF($A41="","",COUNTIFS('Detalle individual'!$C$5:$C$1000, A41, 'Detalle individual'!$F$5:$F$1000, "Completado"))</f>
        <v>4</v>
      </c>
      <c r="E41" s="8">
        <f>IF($A41="","",C41-D41)</f>
        <v>0</v>
      </c>
      <c r="F41" s="26">
        <f>IF($A41="","",IF(C41&gt;0, D41/C41, 0))</f>
        <v>1</v>
      </c>
      <c r="G41" s="4" t="str">
        <f>IF($A41="","",IF(AND(C41&gt;0, D41=C41), "Completo", "Pendiente"))</f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11">
        <f>IF($A41="","",IF(D41&gt;0, IFERROR(_xlfn.MINIFS('Detalle individual'!$G$5:$G$1000, 'Detalle individual'!$C$5:$C$1000, A41), ""), ""))</f>
        <v>46296.45108796296</v>
      </c>
      <c r="L41" s="11">
        <f>IF($A41="","",IF(D41&gt;0, IFERROR(_xlfn.MAXIFS('Detalle individual'!$H$5:$H$1000, 'Detalle individual'!$C$5:$C$1000, A41), ""), ""))</f>
        <v>46310.61981481482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7.79583333333333</v>
      </c>
      <c r="O41" s="22">
        <f>IF($A41="","",COUNTIF('Detalle individual'!$C$5:$C$1000, A41)-C41)</f>
        <v>0</v>
      </c>
    </row>
    <row r="42">
      <c r="A42" s="5" t="str">
        <f>IF(Cálculos!$AE42="","",INDEX('Detalle individual'!$C:$C,Cálculos!$AE42))</f>
        <v>GERENCIA DE OPERACIONES</v>
      </c>
      <c r="B42" s="5" t="str">
        <f>IF($A42="","",INDEX('Detalle individual'!$D:$D,Cálculos!$AE42))</f>
        <v>Gerencia de Operaciones</v>
      </c>
      <c r="C42" s="8">
        <f>IF($A42="","",COUNTIFS('Detalle individual'!$C$5:$C$1000, A42, 'Detalle individual'!$F$5:$F$1000, "Completado")+COUNTIFS('Detalle individual'!$C$5:$C$1000, A42, 'Detalle individual'!$F$5:$F$1000, "Pendiente"))</f>
        <v>1</v>
      </c>
      <c r="D42" s="8">
        <f>IF($A42="","",COUNTIFS('Detalle individual'!$C$5:$C$1000, A42, 'Detalle individual'!$F$5:$F$1000, "Completado"))</f>
        <v>0</v>
      </c>
      <c r="E42" s="8">
        <f>IF($A42="","",C42-D42)</f>
        <v>1</v>
      </c>
      <c r="F42" s="26">
        <f>IF($A42="","",IF(C42&gt;0, D42/C42, 0))</f>
        <v>0</v>
      </c>
      <c r="G42" s="4" t="str">
        <f>IF($A42="","",IF(AND(C42&gt;0, D42=C42), "Completo", "Pendiente"))</f>
        <v>Pendiente</v>
      </c>
      <c r="H42" s="7" t="str">
        <f>IF($A42="","",IF(D42&gt;0, IFERROR(AVERAGEIFS('Detalle individual'!$J$5:$J$1000, 'Detalle individual'!$C$5:$C$1000, A42), ""), ""))</f>
        <v/>
      </c>
      <c r="I42" s="6" t="str">
        <f>IF($A42="","",IF(D42&gt;0, IFERROR(_xlfn.MAXIFS('Detalle individual'!$J$5:$J$1000, 'Detalle individual'!$C$5:$C$1000, A42), ""), ""))</f>
        <v/>
      </c>
      <c r="J42" s="6" t="str">
        <f>IF($A42="","",IF(D42&gt;0, IFERROR(_xlfn.MINIFS('Detalle individual'!$J$5:$J$1000, 'Detalle individual'!$C$5:$C$1000, A42), ""), ""))</f>
        <v/>
      </c>
      <c r="K42" s="11" t="str">
        <f>IF($A42="","",IF(D42&gt;0, IFERROR(_xlfn.MINIFS('Detalle individual'!$G$5:$G$1000, 'Detalle individual'!$C$5:$C$1000, A42), ""), ""))</f>
        <v/>
      </c>
      <c r="L42" s="11" t="str">
        <f>IF($A42="","",IF(D42&gt;0, IFERROR(_xlfn.MAXIFS('Detalle individual'!$H$5:$H$1000, 'Detalle individual'!$C$5:$C$1000, A42), ""), ""))</f>
        <v/>
      </c>
      <c r="M42" s="7" t="str">
        <f>IF($A42="","",IF(D42&gt;0, IFERROR(_xlfn.MINIFS('Detalle individual'!$I$5:$I$1000, 'Detalle individual'!$C$5:$C$1000, A42), ""), ""))</f>
        <v/>
      </c>
      <c r="N42" s="7" t="str">
        <f>IF($A42="","",IF(D42&gt;0, IFERROR(AVERAGEIFS('Detalle individual'!$I$5:$I$1000, 'Detalle individual'!$C$5:$C$1000, A42), ""), ""))</f>
        <v/>
      </c>
      <c r="O42" s="22">
        <f>IF($A42="","",COUNTIF('Detalle individual'!$C$5:$C$1000, A42)-C42)</f>
        <v>0</v>
      </c>
    </row>
    <row r="43">
      <c r="A43" s="5" t="str">
        <f>IF(Cálculos!$AE43="","",INDEX('Detalle individual'!$C:$C,Cálculos!$AE43))</f>
        <v>GERENCIA DE SISTEMAS</v>
      </c>
      <c r="B43" s="5" t="str">
        <f>IF($A43="","",INDEX('Detalle individual'!$D:$D,Cálculos!$AE43))</f>
        <v>Gerencia de Sistemas</v>
      </c>
      <c r="C43" s="8">
        <f>IF($A43="","",COUNTIFS('Detalle individual'!$C$5:$C$1000, A43, 'Detalle individual'!$F$5:$F$1000, "Completado")+COUNTIFS('Detalle individual'!$C$5:$C$1000, A43, 'Detalle individual'!$F$5:$F$1000, "Pendiente"))</f>
        <v>4</v>
      </c>
      <c r="D43" s="8">
        <f>IF($A43="","",COUNTIFS('Detalle individual'!$C$5:$C$1000, A43, 'Detalle individual'!$F$5:$F$1000, "Completado"))</f>
        <v>4</v>
      </c>
      <c r="E43" s="8">
        <f>IF($A43="","",C43-D43)</f>
        <v>0</v>
      </c>
      <c r="F43" s="26">
        <f>IF($A43="","",IF(C43&gt;0, D43/C43, 0))</f>
        <v>1</v>
      </c>
      <c r="G43" s="4" t="str">
        <f>IF($A43="","",IF(AND(C43&gt;0, D43=C43), "Completo", "Pendiente"))</f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11">
        <f>IF($A43="","",IF(D43&gt;0, IFERROR(_xlfn.MINIFS('Detalle individual'!$G$5:$G$1000, 'Detalle individual'!$C$5:$C$1000, A43), ""), ""))</f>
        <v>46300.582349537035</v>
      </c>
      <c r="L43" s="11">
        <f>IF($A43="","",IF(D43&gt;0, IFERROR(_xlfn.MAXIFS('Detalle individual'!$H$5:$H$1000, 'Detalle individual'!$C$5:$C$1000, A43), ""), ""))</f>
        <v>46310.696747685186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4.99166666666667</v>
      </c>
      <c r="O43" s="22">
        <f>IF($A43="","",COUNTIF('Detalle individual'!$C$5:$C$1000, A43)-C43)</f>
        <v>0</v>
      </c>
    </row>
    <row r="44">
      <c r="A44" s="5" t="str">
        <f>IF(Cálculos!$AE44="","",INDEX('Detalle individual'!$C:$C,Cálculos!$AE44))</f>
        <v>GERENCIA GENERAL</v>
      </c>
      <c r="B44" s="5" t="str">
        <f>IF($A44="","",INDEX('Detalle individual'!$D:$D,Cálculos!$AE44))</f>
        <v>Gerencia General</v>
      </c>
      <c r="C44" s="8">
        <f>IF($A44="","",COUNTIFS('Detalle individual'!$C$5:$C$1000, A44, 'Detalle individual'!$F$5:$F$1000, "Completado")+COUNTIFS('Detalle individual'!$C$5:$C$1000, A44, 'Detalle individual'!$F$5:$F$1000, "Pendiente"))</f>
        <v>2</v>
      </c>
      <c r="D44" s="8">
        <f>IF($A44="","",COUNTIFS('Detalle individual'!$C$5:$C$1000, A44, 'Detalle individual'!$F$5:$F$1000, "Completado"))</f>
        <v>2</v>
      </c>
      <c r="E44" s="8">
        <f>IF($A44="","",C44-D44)</f>
        <v>0</v>
      </c>
      <c r="F44" s="26">
        <f>IF($A44="","",IF(C44&gt;0, D44/C44, 0))</f>
        <v>1</v>
      </c>
      <c r="G44" s="4" t="str">
        <f>IF($A44="","",IF(AND(C44&gt;0, D44=C44),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11">
        <f>IF($A44="","",IF(D44&gt;0, IFERROR(_xlfn.MINIFS('Detalle individual'!$G$5:$G$1000, 'Detalle individual'!$C$5:$C$1000, A44), ""), ""))</f>
        <v>46305.40667824074</v>
      </c>
      <c r="L44" s="11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  <c r="O44" s="22">
        <f>IF($A44="","",COUNTIF('Detalle individual'!$C$5:$C$1000, A44)-C44)</f>
        <v>0</v>
      </c>
    </row>
    <row r="45">
      <c r="A45" s="5" t="str">
        <f>IF(Cálculos!$AE45="","",INDEX('Detalle individual'!$C:$C,Cálculos!$AE45))</f>
        <v>GERENCIA LEGAL Y DE CUMPLIMIENTO NORMATIVO</v>
      </c>
      <c r="B45" s="5" t="str">
        <f>IF($A45="","",INDEX('Detalle individual'!$D:$D,Cálculos!$AE45))</f>
        <v>Gerencia Legal y Cumplimiento Normativo</v>
      </c>
      <c r="C45" s="8">
        <f>IF($A45="","",COUNTIFS('Detalle individual'!$C$5:$C$1000, A45, 'Detalle individual'!$F$5:$F$1000, "Completado")+COUNTIFS('Detalle individual'!$C$5:$C$1000, A45, 'Detalle individual'!$F$5:$F$1000, "Pendiente"))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26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11">
        <f>IF($A45="","",IF(D45&gt;0, IFERROR(_xlfn.MINIFS('Detalle individual'!$G$5:$G$1000, 'Detalle individual'!$C$5:$C$1000, A45), ""), ""))</f>
        <v>46304.69274305556</v>
      </c>
      <c r="L45" s="11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  <c r="O45" s="22">
        <f>IF($A45="","",COUNTIF('Detalle individual'!$C$5:$C$1000, A45)-C45)</f>
        <v>0</v>
      </c>
    </row>
    <row r="46">
      <c r="A46" s="5" t="str">
        <f>IF(Cálculos!$AE46="","",INDEX('Detalle individual'!$C:$C,Cálculos!$AE46))</f>
        <v>OFICIALIA DE CUMPLIMIENTO</v>
      </c>
      <c r="B46" s="5" t="str">
        <f>IF($A46="","",INDEX('Detalle individual'!$D:$D,Cálculos!$AE46))</f>
        <v>Gerencia de Oficialía de Cumplimiento</v>
      </c>
      <c r="C46" s="8">
        <f>IF($A46="","",COUNTIFS('Detalle individual'!$C$5:$C$1000, A46, 'Detalle individual'!$F$5:$F$1000, "Completado")+COUNTIFS('Detalle individual'!$C$5:$C$1000, A46, 'Detalle individual'!$F$5:$F$1000, "Pendiente"))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26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11">
        <f>IF($A46="","",IF(D46&gt;0, IFERROR(_xlfn.MINIFS('Detalle individual'!$G$5:$G$1000, 'Detalle individual'!$C$5:$C$1000, A46), ""), ""))</f>
        <v>46296.47011574074</v>
      </c>
      <c r="L46" s="11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  <c r="O46" s="22">
        <f>IF($A46="","",COUNTIF('Detalle individual'!$C$5:$C$1000, A46)-C46)</f>
        <v>0</v>
      </c>
    </row>
    <row r="47">
      <c r="A47" s="5" t="str">
        <f>IF(Cálculos!$AE47="","",INDEX('Detalle individual'!$C:$C,Cálculos!$AE47))</f>
        <v>OFICIALIA DE SEGURIDAD DE LA INFORMACION</v>
      </c>
      <c r="B47" s="5" t="str">
        <f>IF($A47="","",INDEX('Detalle individual'!$D:$D,Cálculos!$AE47))</f>
        <v>Gerencia General</v>
      </c>
      <c r="C47" s="8">
        <f>IF($A47="","",COUNTIFS('Detalle individual'!$C$5:$C$1000, A47, 'Detalle individual'!$F$5:$F$1000, "Completado")+COUNTIFS('Detalle individual'!$C$5:$C$1000, A47, 'Detalle individual'!$F$5:$F$1000, "Pendiente"))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26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11">
        <f>IF($A47="","",IF(D47&gt;0, IFERROR(_xlfn.MINIFS('Detalle individual'!$G$5:$G$1000, 'Detalle individual'!$C$5:$C$1000, A47), ""), ""))</f>
        <v>46296.44081018519</v>
      </c>
      <c r="L47" s="11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  <c r="O47" s="22">
        <f>IF($A47="","",COUNTIF('Detalle individual'!$C$5:$C$1000, A47)-C47)</f>
        <v>0</v>
      </c>
    </row>
    <row r="48">
      <c r="A48" s="5" t="str">
        <f>IF(Cálculos!$AE48="","",INDEX('Detalle individual'!$C:$C,Cálculos!$AE48))</f>
        <v>SUB GERENCIA DE CANALES</v>
      </c>
      <c r="B48" s="5" t="str">
        <f>IF($A48="","",INDEX('Detalle individual'!$D:$D,Cálculos!$AE48))</f>
        <v>Gerencia de Negocios</v>
      </c>
      <c r="C48" s="8">
        <f>IF($A48="","",COUNTIFS('Detalle individual'!$C$5:$C$1000, A48, 'Detalle individual'!$F$5:$F$1000, "Completado")+COUNTIFS('Detalle individual'!$C$5:$C$1000, A48, 'Detalle individual'!$F$5:$F$1000, "Pendiente"))</f>
        <v>7</v>
      </c>
      <c r="D48" s="8">
        <f>IF($A48="","",COUNTIFS('Detalle individual'!$C$5:$C$1000, A48, 'Detalle individual'!$F$5:$F$1000, "Completado"))</f>
        <v>7</v>
      </c>
      <c r="E48" s="8">
        <f>IF($A48="","",C48-D48)</f>
        <v>0</v>
      </c>
      <c r="F48" s="26">
        <f>IF($A48="","",IF(C48&gt;0, D48/C48, 0))</f>
        <v>1</v>
      </c>
      <c r="G48" s="4" t="str">
        <f>IF($A48="","",IF(AND(C48&gt;0, D48=C48),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11">
        <f>IF($A48="","",IF(D48&gt;0, IFERROR(_xlfn.MINIFS('Detalle individual'!$G$5:$G$1000, 'Detalle individual'!$C$5:$C$1000, A48), ""), ""))</f>
        <v>46300.40697916667</v>
      </c>
      <c r="L48" s="11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  <c r="O48" s="22">
        <f>IF($A48="","",COUNTIF('Detalle individual'!$C$5:$C$1000, A48)-C48)</f>
        <v>0</v>
      </c>
    </row>
    <row r="49">
      <c r="A49" s="5" t="str">
        <f>IF(Cálculos!$AE49="","",INDEX('Detalle individual'!$C:$C,Cálculos!$AE49))</f>
        <v/>
      </c>
      <c r="B49" s="5" t="str">
        <f>IF($A49="","",INDEX('Detalle individual'!$D:$D,Cálculos!$AE49))</f>
        <v/>
      </c>
      <c r="C49" s="8" t="str">
        <f>IF($A49="","",COUNTIFS('Detalle individual'!$C$5:$C$1000, A49, 'Detalle individual'!$F$5:$F$1000, "Completado")+COUNTIFS('Detalle individual'!$C$5:$C$1000, A49, 'Detalle individual'!$F$5:$F$1000, "Pendiente"))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26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11" t="str">
        <f>IF($A49="","",IF(D49&gt;0, IFERROR(_xlfn.MINIFS('Detalle individual'!$G$5:$G$1000, 'Detalle individual'!$C$5:$C$1000, A49), ""), ""))</f>
        <v/>
      </c>
      <c r="L49" s="11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22" t="str">
        <f>IF($A49="","",COUNTIF('Detalle individual'!$C$5:$C$1000, A49)-C49)</f>
        <v/>
      </c>
    </row>
    <row r="50">
      <c r="A50" s="5" t="str">
        <f>IF(Cálculos!$AE50="","",INDEX('Detalle individual'!$C:$C,Cálculos!$AE50))</f>
        <v/>
      </c>
      <c r="B50" s="5" t="str">
        <f>IF($A50="","",INDEX('Detalle individual'!$D:$D,Cálculos!$AE50))</f>
        <v/>
      </c>
      <c r="C50" s="8" t="str">
        <f>IF($A50="","",COUNTIFS('Detalle individual'!$C$5:$C$1000, A50, 'Detalle individual'!$F$5:$F$1000, "Completado")+COUNTIFS('Detalle individual'!$C$5:$C$1000, A50, 'Detalle individual'!$F$5:$F$1000, "Pendiente"))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26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11" t="str">
        <f>IF($A50="","",IF(D50&gt;0, IFERROR(_xlfn.MINIFS('Detalle individual'!$G$5:$G$1000, 'Detalle individual'!$C$5:$C$1000, A50), ""), ""))</f>
        <v/>
      </c>
      <c r="L50" s="11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22" t="str">
        <f>IF($A50="","",COUNTIF('Detalle individual'!$C$5:$C$1000, A50)-C50)</f>
        <v/>
      </c>
    </row>
    <row r="51">
      <c r="A51" s="5" t="str">
        <f>IF(Cálculos!$AE51="","",INDEX('Detalle individual'!$C:$C,Cálculos!$AE51))</f>
        <v/>
      </c>
      <c r="B51" s="5" t="str">
        <f>IF($A51="","",INDEX('Detalle individual'!$D:$D,Cálculos!$AE51))</f>
        <v/>
      </c>
      <c r="C51" s="8" t="str">
        <f>IF($A51="","",COUNTIFS('Detalle individual'!$C$5:$C$1000, A51, 'Detalle individual'!$F$5:$F$1000, "Completado")+COUNTIFS('Detalle individual'!$C$5:$C$1000, A51, 'Detalle individual'!$F$5:$F$1000, "Pendiente"))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26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11" t="str">
        <f>IF($A51="","",IF(D51&gt;0, IFERROR(_xlfn.MINIFS('Detalle individual'!$G$5:$G$1000, 'Detalle individual'!$C$5:$C$1000, A51), ""), ""))</f>
        <v/>
      </c>
      <c r="L51" s="11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22" t="str">
        <f>IF($A51="","",COUNTIF('Detalle individual'!$C$5:$C$1000, A51)-C51)</f>
        <v/>
      </c>
    </row>
    <row r="52">
      <c r="A52" s="5" t="str">
        <f>IF(Cálculos!$AE52="","",INDEX('Detalle individual'!$C:$C,Cálculos!$AE52))</f>
        <v/>
      </c>
      <c r="B52" s="5" t="str">
        <f>IF($A52="","",INDEX('Detalle individual'!$D:$D,Cálculos!$AE52))</f>
        <v/>
      </c>
      <c r="C52" s="8" t="str">
        <f>IF($A52="","",COUNTIFS('Detalle individual'!$C$5:$C$1000, A52, 'Detalle individual'!$F$5:$F$1000, "Completado")+COUNTIFS('Detalle individual'!$C$5:$C$1000, A52, 'Detalle individual'!$F$5:$F$1000, "Pendiente"))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26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11" t="str">
        <f>IF($A52="","",IF(D52&gt;0, IFERROR(_xlfn.MINIFS('Detalle individual'!$G$5:$G$1000, 'Detalle individual'!$C$5:$C$1000, A52), ""), ""))</f>
        <v/>
      </c>
      <c r="L52" s="11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22" t="str">
        <f>IF($A52="","",COUNTIF('Detalle individual'!$C$5:$C$1000, A52)-C52)</f>
        <v/>
      </c>
    </row>
    <row r="53">
      <c r="A53" s="5" t="str">
        <f>IF(Cálculos!$AE53="","",INDEX('Detalle individual'!$C:$C,Cálculos!$AE53))</f>
        <v/>
      </c>
      <c r="B53" s="5" t="str">
        <f>IF($A53="","",INDEX('Detalle individual'!$D:$D,Cálculos!$AE53))</f>
        <v/>
      </c>
      <c r="C53" s="8" t="str">
        <f>IF($A53="","",COUNTIFS('Detalle individual'!$C$5:$C$1000, A53, 'Detalle individual'!$F$5:$F$1000, "Completado")+COUNTIFS('Detalle individual'!$C$5:$C$1000, A53, 'Detalle individual'!$F$5:$F$1000, "Pendiente"))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26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11" t="str">
        <f>IF($A53="","",IF(D53&gt;0, IFERROR(_xlfn.MINIFS('Detalle individual'!$G$5:$G$1000, 'Detalle individual'!$C$5:$C$1000, A53), ""), ""))</f>
        <v/>
      </c>
      <c r="L53" s="11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22" t="str">
        <f>IF($A53="","",COUNTIF('Detalle individual'!$C$5:$C$1000, A53)-C53)</f>
        <v/>
      </c>
    </row>
    <row r="54">
      <c r="A54" s="5" t="str">
        <f>IF(Cálculos!$AE54="","",INDEX('Detalle individual'!$C:$C,Cálculos!$AE54))</f>
        <v/>
      </c>
      <c r="B54" s="5" t="str">
        <f>IF($A54="","",INDEX('Detalle individual'!$D:$D,Cálculos!$AE54))</f>
        <v/>
      </c>
      <c r="C54" s="8" t="str">
        <f>IF($A54="","",COUNTIFS('Detalle individual'!$C$5:$C$1000, A54, 'Detalle individual'!$F$5:$F$1000, "Completado")+COUNTIFS('Detalle individual'!$C$5:$C$1000, A54, 'Detalle individual'!$F$5:$F$1000, "Pendiente"))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26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11" t="str">
        <f>IF($A54="","",IF(D54&gt;0, IFERROR(_xlfn.MINIFS('Detalle individual'!$G$5:$G$1000, 'Detalle individual'!$C$5:$C$1000, A54), ""), ""))</f>
        <v/>
      </c>
      <c r="L54" s="11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22" t="str">
        <f>IF($A54="","",COUNTIF('Detalle individual'!$C$5:$C$1000, A54)-C54)</f>
        <v/>
      </c>
    </row>
    <row r="55">
      <c r="A55" s="5" t="str">
        <f>IF(Cálculos!$AE55="","",INDEX('Detalle individual'!$C:$C,Cálculos!$AE55))</f>
        <v/>
      </c>
      <c r="B55" s="5" t="str">
        <f>IF($A55="","",INDEX('Detalle individual'!$D:$D,Cálculos!$AE55))</f>
        <v/>
      </c>
      <c r="C55" s="8" t="str">
        <f>IF($A55="","",COUNTIFS('Detalle individual'!$C$5:$C$1000, A55, 'Detalle individual'!$F$5:$F$1000, "Completado")+COUNTIFS('Detalle individual'!$C$5:$C$1000, A55, 'Detalle individual'!$F$5:$F$1000, "Pendiente"))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26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11" t="str">
        <f>IF($A55="","",IF(D55&gt;0, IFERROR(_xlfn.MINIFS('Detalle individual'!$G$5:$G$1000, 'Detalle individual'!$C$5:$C$1000, A55), ""), ""))</f>
        <v/>
      </c>
      <c r="L55" s="11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22" t="str">
        <f>IF($A55="","",COUNTIF('Detalle individual'!$C$5:$C$1000, A55)-C55)</f>
        <v/>
      </c>
    </row>
    <row r="56">
      <c r="A56" s="5" t="str">
        <f>IF(Cálculos!$AE56="","",INDEX('Detalle individual'!$C:$C,Cálculos!$AE56))</f>
        <v/>
      </c>
      <c r="B56" s="5" t="str">
        <f>IF($A56="","",INDEX('Detalle individual'!$D:$D,Cálculos!$AE56))</f>
        <v/>
      </c>
      <c r="C56" s="8" t="str">
        <f>IF($A56="","",COUNTIFS('Detalle individual'!$C$5:$C$1000, A56, 'Detalle individual'!$F$5:$F$1000, "Completado")+COUNTIFS('Detalle individual'!$C$5:$C$1000, A56, 'Detalle individual'!$F$5:$F$1000, "Pendiente"))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26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11" t="str">
        <f>IF($A56="","",IF(D56&gt;0, IFERROR(_xlfn.MINIFS('Detalle individual'!$G$5:$G$1000, 'Detalle individual'!$C$5:$C$1000, A56), ""), ""))</f>
        <v/>
      </c>
      <c r="L56" s="11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22" t="str">
        <f>IF($A56="","",COUNTIF('Detalle individual'!$C$5:$C$1000, A56)-C56)</f>
        <v/>
      </c>
    </row>
    <row r="57">
      <c r="A57" s="5" t="str">
        <f>IF(Cálculos!$AE57="","",INDEX('Detalle individual'!$C:$C,Cálculos!$AE57))</f>
        <v/>
      </c>
      <c r="B57" s="5" t="str">
        <f>IF($A57="","",INDEX('Detalle individual'!$D:$D,Cálculos!$AE57))</f>
        <v/>
      </c>
      <c r="C57" s="8" t="str">
        <f>IF($A57="","",COUNTIFS('Detalle individual'!$C$5:$C$1000, A57, 'Detalle individual'!$F$5:$F$1000, "Completado")+COUNTIFS('Detalle individual'!$C$5:$C$1000, A57, 'Detalle individual'!$F$5:$F$1000, "Pendiente"))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26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11" t="str">
        <f>IF($A57="","",IF(D57&gt;0, IFERROR(_xlfn.MINIFS('Detalle individual'!$G$5:$G$1000, 'Detalle individual'!$C$5:$C$1000, A57), ""), ""))</f>
        <v/>
      </c>
      <c r="L57" s="11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22" t="str">
        <f>IF($A57="","",COUNTIF('Detalle individual'!$C$5:$C$1000, A57)-C57)</f>
        <v/>
      </c>
    </row>
    <row r="58">
      <c r="A58" s="5" t="str">
        <f>IF(Cálculos!$AE58="","",INDEX('Detalle individual'!$C:$C,Cálculos!$AE58))</f>
        <v/>
      </c>
      <c r="B58" s="5" t="str">
        <f>IF($A58="","",INDEX('Detalle individual'!$D:$D,Cálculos!$AE58))</f>
        <v/>
      </c>
      <c r="C58" s="8" t="str">
        <f>IF($A58="","",COUNTIFS('Detalle individual'!$C$5:$C$1000, A58, 'Detalle individual'!$F$5:$F$1000, "Completado")+COUNTIFS('Detalle individual'!$C$5:$C$1000, A58, 'Detalle individual'!$F$5:$F$1000, "Pendiente"))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26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11" t="str">
        <f>IF($A58="","",IF(D58&gt;0, IFERROR(_xlfn.MINIFS('Detalle individual'!$G$5:$G$1000, 'Detalle individual'!$C$5:$C$1000, A58), ""), ""))</f>
        <v/>
      </c>
      <c r="L58" s="11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22" t="str">
        <f>IF($A58="","",COUNTIF('Detalle individual'!$C$5:$C$1000, A58)-C58)</f>
        <v/>
      </c>
    </row>
    <row r="59">
      <c r="A59" s="5" t="str">
        <f>IF(Cálculos!$AE59="","",INDEX('Detalle individual'!$C:$C,Cálculos!$AE59))</f>
        <v/>
      </c>
      <c r="B59" s="5" t="str">
        <f>IF($A59="","",INDEX('Detalle individual'!$D:$D,Cálculos!$AE59))</f>
        <v/>
      </c>
      <c r="C59" s="8" t="str">
        <f>IF($A59="","",COUNTIFS('Detalle individual'!$C$5:$C$1000, A59, 'Detalle individual'!$F$5:$F$1000, "Completado")+COUNTIFS('Detalle individual'!$C$5:$C$1000, A59, 'Detalle individual'!$F$5:$F$1000, "Pendiente"))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26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11" t="str">
        <f>IF($A59="","",IF(D59&gt;0, IFERROR(_xlfn.MINIFS('Detalle individual'!$G$5:$G$1000, 'Detalle individual'!$C$5:$C$1000, A59), ""), ""))</f>
        <v/>
      </c>
      <c r="L59" s="11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22" t="str">
        <f>IF($A59="","",COUNTIF('Detalle individual'!$C$5:$C$1000, A59)-C59)</f>
        <v/>
      </c>
    </row>
    <row r="60">
      <c r="A60" s="5" t="str">
        <f>IF(Cálculos!$AE60="","",INDEX('Detalle individual'!$C:$C,Cálculos!$AE60))</f>
        <v/>
      </c>
      <c r="B60" s="5" t="str">
        <f>IF($A60="","",INDEX('Detalle individual'!$D:$D,Cálculos!$AE60))</f>
        <v/>
      </c>
      <c r="C60" s="8" t="str">
        <f>IF($A60="","",COUNTIFS('Detalle individual'!$C$5:$C$1000, A60, 'Detalle individual'!$F$5:$F$1000, "Completado")+COUNTIFS('Detalle individual'!$C$5:$C$1000, A60, 'Detalle individual'!$F$5:$F$1000, "Pendiente"))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26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11" t="str">
        <f>IF($A60="","",IF(D60&gt;0, IFERROR(_xlfn.MINIFS('Detalle individual'!$G$5:$G$1000, 'Detalle individual'!$C$5:$C$1000, A60), ""), ""))</f>
        <v/>
      </c>
      <c r="L60" s="11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22" t="str">
        <f>IF($A60="","",COUNTIF('Detalle individual'!$C$5:$C$1000, A60)-C60)</f>
        <v/>
      </c>
    </row>
    <row r="61">
      <c r="A61" s="5" t="str">
        <f>IF(Cálculos!$AE61="","",INDEX('Detalle individual'!$C:$C,Cálculos!$AE61))</f>
        <v/>
      </c>
      <c r="B61" s="5" t="str">
        <f>IF($A61="","",INDEX('Detalle individual'!$D:$D,Cálculos!$AE61))</f>
        <v/>
      </c>
      <c r="C61" s="8" t="str">
        <f>IF($A61="","",COUNTIFS('Detalle individual'!$C$5:$C$1000, A61, 'Detalle individual'!$F$5:$F$1000, "Completado")+COUNTIFS('Detalle individual'!$C$5:$C$1000, A61, 'Detalle individual'!$F$5:$F$1000, "Pendiente"))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26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11" t="str">
        <f>IF($A61="","",IF(D61&gt;0, IFERROR(_xlfn.MINIFS('Detalle individual'!$G$5:$G$1000, 'Detalle individual'!$C$5:$C$1000, A61), ""), ""))</f>
        <v/>
      </c>
      <c r="L61" s="11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22" t="str">
        <f>IF($A61="","",COUNTIF('Detalle individual'!$C$5:$C$1000, A61)-C61)</f>
        <v/>
      </c>
    </row>
    <row r="62">
      <c r="A62" s="5" t="str">
        <f>IF(Cálculos!$AE62="","",INDEX('Detalle individual'!$C:$C,Cálculos!$AE62))</f>
        <v/>
      </c>
      <c r="B62" s="5" t="str">
        <f>IF($A62="","",INDEX('Detalle individual'!$D:$D,Cálculos!$AE62))</f>
        <v/>
      </c>
      <c r="C62" s="8" t="str">
        <f>IF($A62="","",COUNTIFS('Detalle individual'!$C$5:$C$1000, A62, 'Detalle individual'!$F$5:$F$1000, "Completado")+COUNTIFS('Detalle individual'!$C$5:$C$1000, A62, 'Detalle individual'!$F$5:$F$1000, "Pendiente"))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26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11" t="str">
        <f>IF($A62="","",IF(D62&gt;0, IFERROR(_xlfn.MINIFS('Detalle individual'!$G$5:$G$1000, 'Detalle individual'!$C$5:$C$1000, A62), ""), ""))</f>
        <v/>
      </c>
      <c r="L62" s="11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22" t="str">
        <f>IF($A62="","",COUNTIF('Detalle individual'!$C$5:$C$1000, A62)-C62)</f>
        <v/>
      </c>
    </row>
    <row r="63">
      <c r="A63" s="5" t="str">
        <f>IF(Cálculos!$AE63="","",INDEX('Detalle individual'!$C:$C,Cálculos!$AE63))</f>
        <v/>
      </c>
      <c r="B63" s="5" t="str">
        <f>IF($A63="","",INDEX('Detalle individual'!$D:$D,Cálculos!$AE63))</f>
        <v/>
      </c>
      <c r="C63" s="8" t="str">
        <f>IF($A63="","",COUNTIFS('Detalle individual'!$C$5:$C$1000, A63, 'Detalle individual'!$F$5:$F$1000, "Completado")+COUNTIFS('Detalle individual'!$C$5:$C$1000, A63, 'Detalle individual'!$F$5:$F$1000, "Pendiente"))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26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11" t="str">
        <f>IF($A63="","",IF(D63&gt;0, IFERROR(_xlfn.MINIFS('Detalle individual'!$G$5:$G$1000, 'Detalle individual'!$C$5:$C$1000, A63), ""), ""))</f>
        <v/>
      </c>
      <c r="L63" s="11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22" t="str">
        <f>IF($A63="","",COUNTIF('Detalle individual'!$C$5:$C$1000, A63)-C63)</f>
        <v/>
      </c>
    </row>
    <row r="64">
      <c r="A64" s="5" t="str">
        <f>IF(Cálculos!$AE64="","",INDEX('Detalle individual'!$C:$C,Cálculos!$AE64))</f>
        <v/>
      </c>
      <c r="B64" s="5" t="str">
        <f>IF($A64="","",INDEX('Detalle individual'!$D:$D,Cálculos!$AE64))</f>
        <v/>
      </c>
      <c r="C64" s="8" t="str">
        <f>IF($A64="","",COUNTIFS('Detalle individual'!$C$5:$C$1000, A64, 'Detalle individual'!$F$5:$F$1000, "Completado")+COUNTIFS('Detalle individual'!$C$5:$C$1000, A64, 'Detalle individual'!$F$5:$F$1000, "Pendiente"))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26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11" t="str">
        <f>IF($A64="","",IF(D64&gt;0, IFERROR(_xlfn.MINIFS('Detalle individual'!$G$5:$G$1000, 'Detalle individual'!$C$5:$C$1000, A64), ""), ""))</f>
        <v/>
      </c>
      <c r="L64" s="11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22" t="str">
        <f>IF($A64="","",COUNTIF('Detalle individual'!$C$5:$C$1000, A64)-C64)</f>
        <v/>
      </c>
    </row>
    <row r="65">
      <c r="A65" s="5" t="str">
        <f>IF(Cálculos!$AE65="","",INDEX('Detalle individual'!$C:$C,Cálculos!$AE65))</f>
        <v/>
      </c>
      <c r="B65" s="5" t="str">
        <f>IF($A65="","",INDEX('Detalle individual'!$D:$D,Cálculos!$AE65))</f>
        <v/>
      </c>
      <c r="C65" s="8" t="str">
        <f>IF($A65="","",COUNTIFS('Detalle individual'!$C$5:$C$1000, A65, 'Detalle individual'!$F$5:$F$1000, "Completado")+COUNTIFS('Detalle individual'!$C$5:$C$1000, A65, 'Detalle individual'!$F$5:$F$1000, "Pendiente"))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26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11" t="str">
        <f>IF($A65="","",IF(D65&gt;0, IFERROR(_xlfn.MINIFS('Detalle individual'!$G$5:$G$1000, 'Detalle individual'!$C$5:$C$1000, A65), ""), ""))</f>
        <v/>
      </c>
      <c r="L65" s="11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22" t="str">
        <f>IF($A65="","",COUNTIF('Detalle individual'!$C$5:$C$1000, A65)-C65)</f>
        <v/>
      </c>
    </row>
    <row r="66">
      <c r="A66" s="5" t="str">
        <f>IF(Cálculos!$AE66="","",INDEX('Detalle individual'!$C:$C,Cálculos!$AE66))</f>
        <v/>
      </c>
      <c r="B66" s="5" t="str">
        <f>IF($A66="","",INDEX('Detalle individual'!$D:$D,Cálculos!$AE66))</f>
        <v/>
      </c>
      <c r="C66" s="8" t="str">
        <f>IF($A66="","",COUNTIFS('Detalle individual'!$C$5:$C$1000, A66, 'Detalle individual'!$F$5:$F$1000, "Completado")+COUNTIFS('Detalle individual'!$C$5:$C$1000, A66, 'Detalle individual'!$F$5:$F$1000, "Pendiente"))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26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11" t="str">
        <f>IF($A66="","",IF(D66&gt;0, IFERROR(_xlfn.MINIFS('Detalle individual'!$G$5:$G$1000, 'Detalle individual'!$C$5:$C$1000, A66), ""), ""))</f>
        <v/>
      </c>
      <c r="L66" s="11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22" t="str">
        <f>IF($A66="","",COUNTIF('Detalle individual'!$C$5:$C$1000, A66)-C66)</f>
        <v/>
      </c>
    </row>
    <row r="67">
      <c r="A67" s="5" t="str">
        <f>IF(Cálculos!$AE67="","",INDEX('Detalle individual'!$C:$C,Cálculos!$AE67))</f>
        <v/>
      </c>
      <c r="B67" s="5" t="str">
        <f>IF($A67="","",INDEX('Detalle individual'!$D:$D,Cálculos!$AE67))</f>
        <v/>
      </c>
      <c r="C67" s="8" t="str">
        <f>IF($A67="","",COUNTIFS('Detalle individual'!$C$5:$C$1000, A67, 'Detalle individual'!$F$5:$F$1000, "Completado")+COUNTIFS('Detalle individual'!$C$5:$C$1000, A67, 'Detalle individual'!$F$5:$F$1000, "Pendiente"))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26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11" t="str">
        <f>IF($A67="","",IF(D67&gt;0, IFERROR(_xlfn.MINIFS('Detalle individual'!$G$5:$G$1000, 'Detalle individual'!$C$5:$C$1000, A67), ""), ""))</f>
        <v/>
      </c>
      <c r="L67" s="11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22" t="str">
        <f>IF($A67="","",COUNTIF('Detalle individual'!$C$5:$C$1000, A67)-C67)</f>
        <v/>
      </c>
    </row>
    <row r="68">
      <c r="A68" s="5" t="str">
        <f>IF(Cálculos!$AE68="","",INDEX('Detalle individual'!$C:$C,Cálculos!$AE68))</f>
        <v/>
      </c>
      <c r="B68" s="5" t="str">
        <f>IF($A68="","",INDEX('Detalle individual'!$D:$D,Cálculos!$AE68))</f>
        <v/>
      </c>
      <c r="C68" s="8" t="str">
        <f>IF($A68="","",COUNTIFS('Detalle individual'!$C$5:$C$1000, A68, 'Detalle individual'!$F$5:$F$1000, "Completado")+COUNTIFS('Detalle individual'!$C$5:$C$1000, A68, 'Detalle individual'!$F$5:$F$1000, "Pendiente"))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26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11" t="str">
        <f>IF($A68="","",IF(D68&gt;0, IFERROR(_xlfn.MINIFS('Detalle individual'!$G$5:$G$1000, 'Detalle individual'!$C$5:$C$1000, A68), ""), ""))</f>
        <v/>
      </c>
      <c r="L68" s="11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22" t="str">
        <f>IF($A68="","",COUNTIF('Detalle individual'!$C$5:$C$1000, A68)-C68)</f>
        <v/>
      </c>
    </row>
    <row r="69">
      <c r="A69" s="5" t="str">
        <f>IF(Cálculos!$AE69="","",INDEX('Detalle individual'!$C:$C,Cálculos!$AE69))</f>
        <v/>
      </c>
      <c r="B69" s="5" t="str">
        <f>IF($A69="","",INDEX('Detalle individual'!$D:$D,Cálculos!$AE69))</f>
        <v/>
      </c>
      <c r="C69" s="8" t="str">
        <f>IF($A69="","",COUNTIFS('Detalle individual'!$C$5:$C$1000, A69, 'Detalle individual'!$F$5:$F$1000, "Completado")+COUNTIFS('Detalle individual'!$C$5:$C$1000, A69, 'Detalle individual'!$F$5:$F$1000, "Pendiente"))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26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11" t="str">
        <f>IF($A69="","",IF(D69&gt;0, IFERROR(_xlfn.MINIFS('Detalle individual'!$G$5:$G$1000, 'Detalle individual'!$C$5:$C$1000, A69), ""), ""))</f>
        <v/>
      </c>
      <c r="L69" s="11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22" t="str">
        <f>IF($A69="","",COUNTIF('Detalle individual'!$C$5:$C$1000, A69)-C69)</f>
        <v/>
      </c>
    </row>
    <row r="70">
      <c r="A70" s="5" t="str">
        <f>IF(Cálculos!$AE70="","",INDEX('Detalle individual'!$C:$C,Cálculos!$AE70))</f>
        <v/>
      </c>
      <c r="B70" s="5" t="str">
        <f>IF($A70="","",INDEX('Detalle individual'!$D:$D,Cálculos!$AE70))</f>
        <v/>
      </c>
      <c r="C70" s="8" t="str">
        <f>IF($A70="","",COUNTIFS('Detalle individual'!$C$5:$C$1000, A70, 'Detalle individual'!$F$5:$F$1000, "Completado")+COUNTIFS('Detalle individual'!$C$5:$C$1000, A70, 'Detalle individual'!$F$5:$F$1000, "Pendiente"))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26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11" t="str">
        <f>IF($A70="","",IF(D70&gt;0, IFERROR(_xlfn.MINIFS('Detalle individual'!$G$5:$G$1000, 'Detalle individual'!$C$5:$C$1000, A70), ""), ""))</f>
        <v/>
      </c>
      <c r="L70" s="11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22" t="str">
        <f>IF($A70="","",COUNTIF('Detalle individual'!$C$5:$C$1000, A70)-C70)</f>
        <v/>
      </c>
    </row>
    <row r="71">
      <c r="A71" s="5" t="str">
        <f>IF(Cálculos!$AE71="","",INDEX('Detalle individual'!$C:$C,Cálculos!$AE71))</f>
        <v/>
      </c>
      <c r="B71" s="5" t="str">
        <f>IF($A71="","",INDEX('Detalle individual'!$D:$D,Cálculos!$AE71))</f>
        <v/>
      </c>
      <c r="C71" s="8" t="str">
        <f>IF($A71="","",COUNTIFS('Detalle individual'!$C$5:$C$1000, A71, 'Detalle individual'!$F$5:$F$1000, "Completado")+COUNTIFS('Detalle individual'!$C$5:$C$1000, A71, 'Detalle individual'!$F$5:$F$1000, "Pendiente"))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26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11" t="str">
        <f>IF($A71="","",IF(D71&gt;0, IFERROR(_xlfn.MINIFS('Detalle individual'!$G$5:$G$1000, 'Detalle individual'!$C$5:$C$1000, A71), ""), ""))</f>
        <v/>
      </c>
      <c r="L71" s="11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22" t="str">
        <f>IF($A71="","",COUNTIF('Detalle individual'!$C$5:$C$1000, A71)-C71)</f>
        <v/>
      </c>
    </row>
    <row r="72">
      <c r="A72" s="5" t="str">
        <f>IF(Cálculos!$AE72="","",INDEX('Detalle individual'!$C:$C,Cálculos!$AE72))</f>
        <v/>
      </c>
      <c r="B72" s="5" t="str">
        <f>IF($A72="","",INDEX('Detalle individual'!$D:$D,Cálculos!$AE72))</f>
        <v/>
      </c>
      <c r="C72" s="8" t="str">
        <f>IF($A72="","",COUNTIFS('Detalle individual'!$C$5:$C$1000, A72, 'Detalle individual'!$F$5:$F$1000, "Completado")+COUNTIFS('Detalle individual'!$C$5:$C$1000, A72, 'Detalle individual'!$F$5:$F$1000, "Pendiente"))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26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11" t="str">
        <f>IF($A72="","",IF(D72&gt;0, IFERROR(_xlfn.MINIFS('Detalle individual'!$G$5:$G$1000, 'Detalle individual'!$C$5:$C$1000, A72), ""), ""))</f>
        <v/>
      </c>
      <c r="L72" s="11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22" t="str">
        <f>IF($A72="","",COUNTIF('Detalle individual'!$C$5:$C$1000, A72)-C72)</f>
        <v/>
      </c>
    </row>
    <row r="73">
      <c r="A73" s="5" t="str">
        <f>IF(Cálculos!$AE73="","",INDEX('Detalle individual'!$C:$C,Cálculos!$AE73))</f>
        <v/>
      </c>
      <c r="B73" s="5" t="str">
        <f>IF($A73="","",INDEX('Detalle individual'!$D:$D,Cálculos!$AE73))</f>
        <v/>
      </c>
      <c r="C73" s="8" t="str">
        <f>IF($A73="","",COUNTIFS('Detalle individual'!$C$5:$C$1000, A73, 'Detalle individual'!$F$5:$F$1000, "Completado")+COUNTIFS('Detalle individual'!$C$5:$C$1000, A73, 'Detalle individual'!$F$5:$F$1000, "Pendiente"))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26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11" t="str">
        <f>IF($A73="","",IF(D73&gt;0, IFERROR(_xlfn.MINIFS('Detalle individual'!$G$5:$G$1000, 'Detalle individual'!$C$5:$C$1000, A73), ""), ""))</f>
        <v/>
      </c>
      <c r="L73" s="11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22" t="str">
        <f>IF($A73="","",COUNTIF('Detalle individual'!$C$5:$C$1000, A73)-C73)</f>
        <v/>
      </c>
    </row>
    <row r="74">
      <c r="A74" s="5" t="str">
        <f>IF(Cálculos!$AE74="","",INDEX('Detalle individual'!$C:$C,Cálculos!$AE74))</f>
        <v/>
      </c>
      <c r="B74" s="5" t="str">
        <f>IF($A74="","",INDEX('Detalle individual'!$D:$D,Cálculos!$AE74))</f>
        <v/>
      </c>
      <c r="C74" s="8" t="str">
        <f>IF($A74="","",COUNTIFS('Detalle individual'!$C$5:$C$1000, A74, 'Detalle individual'!$F$5:$F$1000, "Completado")+COUNTIFS('Detalle individual'!$C$5:$C$1000, A74, 'Detalle individual'!$F$5:$F$1000, "Pendiente"))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26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11" t="str">
        <f>IF($A74="","",IF(D74&gt;0, IFERROR(_xlfn.MINIFS('Detalle individual'!$G$5:$G$1000, 'Detalle individual'!$C$5:$C$1000, A74), ""), ""))</f>
        <v/>
      </c>
      <c r="L74" s="11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22" t="str">
        <f>IF($A74="","",COUNTIF('Detalle individual'!$C$5:$C$1000, A74)-C74)</f>
        <v/>
      </c>
    </row>
    <row r="75">
      <c r="A75" s="5" t="str">
        <f>IF(Cálculos!$AE75="","",INDEX('Detalle individual'!$C:$C,Cálculos!$AE75))</f>
        <v/>
      </c>
      <c r="B75" s="5" t="str">
        <f>IF($A75="","",INDEX('Detalle individual'!$D:$D,Cálculos!$AE75))</f>
        <v/>
      </c>
      <c r="C75" s="8" t="str">
        <f>IF($A75="","",COUNTIFS('Detalle individual'!$C$5:$C$1000, A75, 'Detalle individual'!$F$5:$F$1000, "Completado")+COUNTIFS('Detalle individual'!$C$5:$C$1000, A75, 'Detalle individual'!$F$5:$F$1000, "Pendiente"))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26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11" t="str">
        <f>IF($A75="","",IF(D75&gt;0, IFERROR(_xlfn.MINIFS('Detalle individual'!$G$5:$G$1000, 'Detalle individual'!$C$5:$C$1000, A75), ""), ""))</f>
        <v/>
      </c>
      <c r="L75" s="11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22" t="str">
        <f>IF($A75="","",COUNTIF('Detalle individual'!$C$5:$C$1000, A75)-C75)</f>
        <v/>
      </c>
    </row>
    <row r="76">
      <c r="A76" s="5" t="str">
        <f>IF(Cálculos!$AE76="","",INDEX('Detalle individual'!$C:$C,Cálculos!$AE76))</f>
        <v/>
      </c>
      <c r="B76" s="5" t="str">
        <f>IF($A76="","",INDEX('Detalle individual'!$D:$D,Cálculos!$AE76))</f>
        <v/>
      </c>
      <c r="C76" s="8" t="str">
        <f>IF($A76="","",COUNTIFS('Detalle individual'!$C$5:$C$1000, A76, 'Detalle individual'!$F$5:$F$1000, "Completado")+COUNTIFS('Detalle individual'!$C$5:$C$1000, A76, 'Detalle individual'!$F$5:$F$1000, "Pendiente"))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26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11" t="str">
        <f>IF($A76="","",IF(D76&gt;0, IFERROR(_xlfn.MINIFS('Detalle individual'!$G$5:$G$1000, 'Detalle individual'!$C$5:$C$1000, A76), ""), ""))</f>
        <v/>
      </c>
      <c r="L76" s="11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22" t="str">
        <f>IF($A76="","",COUNTIF('Detalle individual'!$C$5:$C$1000, A76)-C76)</f>
        <v/>
      </c>
    </row>
    <row r="77">
      <c r="A77" s="5" t="str">
        <f>IF(Cálculos!$AE77="","",INDEX('Detalle individual'!$C:$C,Cálculos!$AE77))</f>
        <v/>
      </c>
      <c r="B77" s="5" t="str">
        <f>IF($A77="","",INDEX('Detalle individual'!$D:$D,Cálculos!$AE77))</f>
        <v/>
      </c>
      <c r="C77" s="8" t="str">
        <f>IF($A77="","",COUNTIFS('Detalle individual'!$C$5:$C$1000, A77, 'Detalle individual'!$F$5:$F$1000, "Completado")+COUNTIFS('Detalle individual'!$C$5:$C$1000, A77, 'Detalle individual'!$F$5:$F$1000, "Pendiente"))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26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11" t="str">
        <f>IF($A77="","",IF(D77&gt;0, IFERROR(_xlfn.MINIFS('Detalle individual'!$G$5:$G$1000, 'Detalle individual'!$C$5:$C$1000, A77), ""), ""))</f>
        <v/>
      </c>
      <c r="L77" s="11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22" t="str">
        <f>IF($A77="","",COUNTIF('Detalle individual'!$C$5:$C$1000, A77)-C77)</f>
        <v/>
      </c>
    </row>
    <row r="78">
      <c r="A78" s="5" t="str">
        <f>IF(Cálculos!$AE78="","",INDEX('Detalle individual'!$C:$C,Cálculos!$AE78))</f>
        <v/>
      </c>
      <c r="B78" s="5" t="str">
        <f>IF($A78="","",INDEX('Detalle individual'!$D:$D,Cálculos!$AE78))</f>
        <v/>
      </c>
      <c r="C78" s="8" t="str">
        <f>IF($A78="","",COUNTIFS('Detalle individual'!$C$5:$C$1000, A78, 'Detalle individual'!$F$5:$F$1000, "Completado")+COUNTIFS('Detalle individual'!$C$5:$C$1000, A78, 'Detalle individual'!$F$5:$F$1000, "Pendiente"))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26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11" t="str">
        <f>IF($A78="","",IF(D78&gt;0, IFERROR(_xlfn.MINIFS('Detalle individual'!$G$5:$G$1000, 'Detalle individual'!$C$5:$C$1000, A78), ""), ""))</f>
        <v/>
      </c>
      <c r="L78" s="11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22" t="str">
        <f>IF($A78="","",COUNTIF('Detalle individual'!$C$5:$C$1000, A78)-C78)</f>
        <v/>
      </c>
    </row>
    <row r="79">
      <c r="A79" s="5" t="str">
        <f>IF(Cálculos!$AE79="","",INDEX('Detalle individual'!$C:$C,Cálculos!$AE79))</f>
        <v/>
      </c>
      <c r="B79" s="5" t="str">
        <f>IF($A79="","",INDEX('Detalle individual'!$D:$D,Cálculos!$AE79))</f>
        <v/>
      </c>
      <c r="C79" s="8" t="str">
        <f>IF($A79="","",COUNTIFS('Detalle individual'!$C$5:$C$1000, A79, 'Detalle individual'!$F$5:$F$1000, "Completado")+COUNTIFS('Detalle individual'!$C$5:$C$1000, A79, 'Detalle individual'!$F$5:$F$1000, "Pendiente"))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26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11" t="str">
        <f>IF($A79="","",IF(D79&gt;0, IFERROR(_xlfn.MINIFS('Detalle individual'!$G$5:$G$1000, 'Detalle individual'!$C$5:$C$1000, A79), ""), ""))</f>
        <v/>
      </c>
      <c r="L79" s="11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22" t="str">
        <f>IF($A79="","",COUNTIF('Detalle individual'!$C$5:$C$1000, A79)-C79)</f>
        <v/>
      </c>
    </row>
    <row r="80">
      <c r="A80" s="5" t="str">
        <f>IF(Cálculos!$AE80="","",INDEX('Detalle individual'!$C:$C,Cálculos!$AE80))</f>
        <v/>
      </c>
      <c r="B80" s="5" t="str">
        <f>IF($A80="","",INDEX('Detalle individual'!$D:$D,Cálculos!$AE80))</f>
        <v/>
      </c>
      <c r="C80" s="8" t="str">
        <f>IF($A80="","",COUNTIFS('Detalle individual'!$C$5:$C$1000, A80, 'Detalle individual'!$F$5:$F$1000, "Completado")+COUNTIFS('Detalle individual'!$C$5:$C$1000, A80, 'Detalle individual'!$F$5:$F$1000, "Pendiente"))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26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11" t="str">
        <f>IF($A80="","",IF(D80&gt;0, IFERROR(_xlfn.MINIFS('Detalle individual'!$G$5:$G$1000, 'Detalle individual'!$C$5:$C$1000, A80), ""), ""))</f>
        <v/>
      </c>
      <c r="L80" s="11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22" t="str">
        <f>IF($A80="","",COUNTIF('Detalle individual'!$C$5:$C$1000, A80)-C80)</f>
        <v/>
      </c>
    </row>
    <row r="81">
      <c r="A81" s="5" t="str">
        <f>IF(Cálculos!$AE81="","",INDEX('Detalle individual'!$C:$C,Cálculos!$AE81))</f>
        <v/>
      </c>
      <c r="B81" s="5" t="str">
        <f>IF($A81="","",INDEX('Detalle individual'!$D:$D,Cálculos!$AE81))</f>
        <v/>
      </c>
      <c r="C81" s="8" t="str">
        <f>IF($A81="","",COUNTIFS('Detalle individual'!$C$5:$C$1000, A81, 'Detalle individual'!$F$5:$F$1000, "Completado")+COUNTIFS('Detalle individual'!$C$5:$C$1000, A81, 'Detalle individual'!$F$5:$F$1000, "Pendiente"))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26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11" t="str">
        <f>IF($A81="","",IF(D81&gt;0, IFERROR(_xlfn.MINIFS('Detalle individual'!$G$5:$G$1000, 'Detalle individual'!$C$5:$C$1000, A81), ""), ""))</f>
        <v/>
      </c>
      <c r="L81" s="11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22" t="str">
        <f>IF($A81="","",COUNTIF('Detalle individual'!$C$5:$C$1000, A81)-C81)</f>
        <v/>
      </c>
    </row>
    <row r="82">
      <c r="A82" s="5" t="str">
        <f>IF(Cálculos!$AE82="","",INDEX('Detalle individual'!$C:$C,Cálculos!$AE82))</f>
        <v/>
      </c>
      <c r="B82" s="5" t="str">
        <f>IF($A82="","",INDEX('Detalle individual'!$D:$D,Cálculos!$AE82))</f>
        <v/>
      </c>
      <c r="C82" s="8" t="str">
        <f>IF($A82="","",COUNTIFS('Detalle individual'!$C$5:$C$1000, A82, 'Detalle individual'!$F$5:$F$1000, "Completado")+COUNTIFS('Detalle individual'!$C$5:$C$1000, A82, 'Detalle individual'!$F$5:$F$1000, "Pendiente"))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26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11" t="str">
        <f>IF($A82="","",IF(D82&gt;0, IFERROR(_xlfn.MINIFS('Detalle individual'!$G$5:$G$1000, 'Detalle individual'!$C$5:$C$1000, A82), ""), ""))</f>
        <v/>
      </c>
      <c r="L82" s="11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22" t="str">
        <f>IF($A82="","",COUNTIF('Detalle individual'!$C$5:$C$1000, A82)-C82)</f>
        <v/>
      </c>
    </row>
    <row r="83">
      <c r="A83" s="5" t="str">
        <f>IF(Cálculos!$AE83="","",INDEX('Detalle individual'!$C:$C,Cálculos!$AE83))</f>
        <v/>
      </c>
      <c r="B83" s="5" t="str">
        <f>IF($A83="","",INDEX('Detalle individual'!$D:$D,Cálculos!$AE83))</f>
        <v/>
      </c>
      <c r="C83" s="8" t="str">
        <f>IF($A83="","",COUNTIFS('Detalle individual'!$C$5:$C$1000, A83, 'Detalle individual'!$F$5:$F$1000, "Completado")+COUNTIFS('Detalle individual'!$C$5:$C$1000, A83, 'Detalle individual'!$F$5:$F$1000, "Pendiente"))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26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11" t="str">
        <f>IF($A83="","",IF(D83&gt;0, IFERROR(_xlfn.MINIFS('Detalle individual'!$G$5:$G$1000, 'Detalle individual'!$C$5:$C$1000, A83), ""), ""))</f>
        <v/>
      </c>
      <c r="L83" s="11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22" t="str">
        <f>IF($A83="","",COUNTIF('Detalle individual'!$C$5:$C$1000, A83)-C83)</f>
        <v/>
      </c>
    </row>
    <row r="84">
      <c r="A84" s="5" t="str">
        <f>IF(Cálculos!$AE84="","",INDEX('Detalle individual'!$C:$C,Cálculos!$AE84))</f>
        <v/>
      </c>
      <c r="B84" s="5" t="str">
        <f>IF($A84="","",INDEX('Detalle individual'!$D:$D,Cálculos!$AE84))</f>
        <v/>
      </c>
      <c r="C84" s="8" t="str">
        <f>IF($A84="","",COUNTIFS('Detalle individual'!$C$5:$C$1000, A84, 'Detalle individual'!$F$5:$F$1000, "Completado")+COUNTIFS('Detalle individual'!$C$5:$C$1000, A84, 'Detalle individual'!$F$5:$F$1000, "Pendiente"))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26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11" t="str">
        <f>IF($A84="","",IF(D84&gt;0, IFERROR(_xlfn.MINIFS('Detalle individual'!$G$5:$G$1000, 'Detalle individual'!$C$5:$C$1000, A84), ""), ""))</f>
        <v/>
      </c>
      <c r="L84" s="11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22" t="str">
        <f>IF($A84="","",COUNTIF('Detalle individual'!$C$5:$C$1000, A84)-C84)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42" customWidth="1" style="38" min="1" max="1"/>
    <col width="12" customWidth="1" style="38" min="2" max="2"/>
    <col width="13" customWidth="1" style="38" min="3" max="3"/>
    <col width="12" customWidth="1" style="38" min="4" max="4"/>
    <col width="13" customWidth="1" style="38" min="5" max="5"/>
    <col width="12" customWidth="1" style="38" min="6" max="9"/>
    <col width="18" customWidth="1" style="38" min="10" max="11"/>
    <col width="13" customWidth="1" style="38" min="12" max="12"/>
    <col width="14" customWidth="1" style="38" min="13" max="14"/>
  </cols>
  <sheetData>
    <row r="1" ht="21" customHeight="1" s="38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 ht="43.2" customHeight="1" s="38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  <c r="N4" s="3" t="inlineStr">
        <is>
          <t>Justificados (no cuentan)</t>
        </is>
      </c>
    </row>
    <row r="5">
      <c r="A5" s="5" t="str">
        <f>IF(Cálculos!$AF5="","",INDEX('Detalle individual'!$D:$D,Cálculos!$AF5))</f>
        <v>Auditoría Interna</v>
      </c>
      <c r="B5" s="8">
        <f>IF($A5="","",COUNTIFS('Detalle individual'!$D$5:$D$1000, A5, 'Detalle individual'!$F$5:$F$1000, "Completado")+COUNTIFS('Detalle individual'!$D$5:$D$1000, A5, 'Detalle individual'!$F$5:$F$1000, "Pendiente"))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26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11">
        <f>IF($A5="","",IF(C5&gt;0, IFERROR(_xlfn.MINIFS('Detalle individual'!$G$5:$G$1000, 'Detalle individual'!$D$5:$D$1000, A5), ""), ""))</f>
        <v>46296.61756944445</v>
      </c>
      <c r="K5" s="11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  <c r="N5" s="22">
        <f>IF($A5="","",COUNTIF('Detalle individual'!$D$5:$D$1000, A5)-B5)</f>
        <v>0</v>
      </c>
    </row>
    <row r="6">
      <c r="A6" s="5" t="str">
        <f>IF(Cálculos!$AF6="","",INDEX('Detalle individual'!$D:$D,Cálculos!$AF6))</f>
        <v>Consejo de Administración</v>
      </c>
      <c r="B6" s="8">
        <f>IF($A6="","",COUNTIFS('Detalle individual'!$D$5:$D$1000, A6, 'Detalle individual'!$F$5:$F$1000, "Completado")+COUNTIFS('Detalle individual'!$D$5:$D$1000, A6, 'Detalle individual'!$F$5:$F$1000, "Pendiente"))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26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11">
        <f>IF($A6="","",IF(C6&gt;0, IFERROR(_xlfn.MINIFS('Detalle individual'!$G$5:$G$1000, 'Detalle individual'!$D$5:$D$1000, A6), ""), ""))</f>
        <v>46300.65247685185</v>
      </c>
      <c r="K6" s="11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  <c r="N6" s="22">
        <f>IF($A6="","",COUNTIF('Detalle individual'!$D$5:$D$1000, A6)-B6)</f>
        <v>0</v>
      </c>
    </row>
    <row r="7">
      <c r="A7" s="5" t="str">
        <f>IF(Cálculos!$AF7="","",INDEX('Detalle individual'!$D:$D,Cálculos!$AF7))</f>
        <v>Gerencia Administrativa</v>
      </c>
      <c r="B7" s="8">
        <f>IF($A7="","",COUNTIFS('Detalle individual'!$D$5:$D$1000, A7, 'Detalle individual'!$F$5:$F$1000, "Completado")+COUNTIFS('Detalle individual'!$D$5:$D$1000, A7, 'Detalle individual'!$F$5:$F$1000, "Pendiente"))</f>
        <v>34</v>
      </c>
      <c r="C7" s="8">
        <f>IF($A7="","",COUNTIFS('Detalle individual'!$D$5:$D$1000, A7, 'Detalle individual'!$F$5:$F$1000, "Completado"))</f>
        <v>34</v>
      </c>
      <c r="D7" s="8">
        <f>IF($A7="","",B7-C7)</f>
        <v>0</v>
      </c>
      <c r="E7" s="26">
        <f>IF($A7="","",IF(B7&gt;0, C7/B7, 0))</f>
        <v>1</v>
      </c>
      <c r="F7" s="4" t="str">
        <f>IF($A7="","",IF(AND(B7&gt;0, C7=B7), "Completo", "Pendiente"))</f>
        <v>Completo</v>
      </c>
      <c r="G7" s="7">
        <f>IF($A7="","",IF(C7&gt;0, IFERROR(AVERAGEIFS('Detalle individual'!$J$5:$J$1000, 'Detalle individual'!$D$5:$D$1000, A7), ""), ""))</f>
        <v>94.2647058823529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11">
        <f>IF($A7="","",IF(C7&gt;0, IFERROR(_xlfn.MINIFS('Detalle individual'!$G$5:$G$1000, 'Detalle individual'!$D$5:$D$1000, A7), ""), ""))</f>
        <v>46296.454039351855</v>
      </c>
      <c r="K7" s="11">
        <f>IF($A7="","",IF(C7&gt;0, IFERROR(_xlfn.MAXIFS('Detalle individual'!$H$5:$H$1000, 'Detalle individual'!$D$5:$D$1000, A7), ""), ""))</f>
        <v>46310.511469907404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10.5544117641814</v>
      </c>
      <c r="N7" s="22">
        <f>IF($A7="","",COUNTIF('Detalle individual'!$D$5:$D$1000, A7)-B7)</f>
        <v>1</v>
      </c>
    </row>
    <row r="8">
      <c r="A8" s="5" t="str">
        <f>IF(Cálculos!$AF8="","",INDEX('Detalle individual'!$D:$D,Cálculos!$AF8))</f>
        <v>Gerencia de Finanzas y Planificación</v>
      </c>
      <c r="B8" s="8">
        <f>IF($A8="","",COUNTIFS('Detalle individual'!$D$5:$D$1000, A8, 'Detalle individual'!$F$5:$F$1000, "Completado")+COUNTIFS('Detalle individual'!$D$5:$D$1000, A8, 'Detalle individual'!$F$5:$F$1000, "Pendiente"))</f>
        <v>18</v>
      </c>
      <c r="C8" s="8">
        <f>IF($A8="","",COUNTIFS('Detalle individual'!$D$5:$D$1000, A8, 'Detalle individual'!$F$5:$F$1000, "Completado"))</f>
        <v>18</v>
      </c>
      <c r="D8" s="8">
        <f>IF($A8="","",B8-C8)</f>
        <v>0</v>
      </c>
      <c r="E8" s="26">
        <f>IF($A8="","",IF(B8&gt;0, C8/B8, 0))</f>
        <v>1</v>
      </c>
      <c r="F8" s="4" t="str">
        <f>IF($A8="","",IF(AND(B8&gt;0, C8=B8), "Completo", "Pendiente"))</f>
        <v>Completo</v>
      </c>
      <c r="G8" s="7">
        <f>IF($A8="","",IF(C8&gt;0, IFERROR(AVERAGEIFS('Detalle individual'!$J$5:$J$1000, 'Detalle individual'!$D$5:$D$1000, A8), ""), ""))</f>
        <v>98.6111111111111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11">
        <f>IF($A8="","",IF(C8&gt;0, IFERROR(_xlfn.MINIFS('Detalle individual'!$G$5:$G$1000, 'Detalle individual'!$D$5:$D$1000, A8), ""), ""))</f>
        <v>46296.42706018518</v>
      </c>
      <c r="K8" s="11">
        <f>IF($A8="","",IF(C8&gt;0, IFERROR(_xlfn.MAXIFS('Detalle individual'!$H$5:$H$1000, 'Detalle individual'!$D$5:$D$1000, A8), ""), ""))</f>
        <v>46311.627291666664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7.61203703726204</v>
      </c>
      <c r="N8" s="22">
        <f>IF($A8="","",COUNTIF('Detalle individual'!$D$5:$D$1000, A8)-B8)</f>
        <v>0</v>
      </c>
    </row>
    <row r="9">
      <c r="A9" s="5" t="str">
        <f>IF(Cálculos!$AF9="","",INDEX('Detalle individual'!$D:$D,Cálculos!$AF9))</f>
        <v>Gerencia de Negocios</v>
      </c>
      <c r="B9" s="8">
        <f>IF($A9="","",COUNTIFS('Detalle individual'!$D$5:$D$1000, A9, 'Detalle individual'!$F$5:$F$1000, "Completado")+COUNTIFS('Detalle individual'!$D$5:$D$1000, A9, 'Detalle individual'!$F$5:$F$1000, "Pendiente"))</f>
        <v>148</v>
      </c>
      <c r="C9" s="8">
        <f>IF($A9="","",COUNTIFS('Detalle individual'!$D$5:$D$1000, A9, 'Detalle individual'!$F$5:$F$1000, "Completado"))</f>
        <v>144</v>
      </c>
      <c r="D9" s="8">
        <f>IF($A9="","",B9-C9)</f>
        <v>4</v>
      </c>
      <c r="E9" s="26">
        <f>IF($A9="","",IF(B9&gt;0, C9/B9, 0))</f>
        <v>0.972972972972973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96.9791666666667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11">
        <f>IF($A9="","",IF(C9&gt;0, IFERROR(_xlfn.MINIFS('Detalle individual'!$G$5:$G$1000, 'Detalle individual'!$D$5:$D$1000, A9), ""), ""))</f>
        <v>46296.426412037035</v>
      </c>
      <c r="K9" s="11">
        <f>IF($A9="","",IF(C9&gt;0, IFERROR(_xlfn.MAXIFS('Detalle individual'!$H$5:$H$1000, 'Detalle individual'!$D$5:$D$1000, A9), ""), ""))</f>
        <v>46311.571493055555</v>
      </c>
      <c r="L9" s="7">
        <f>IF($A9="","",IF(C9&gt;0, IFERROR(_xlfn.MINIFS('Detalle individual'!$I$5:$I$1000, 'Detalle individual'!$D$5:$D$1000, A9), ""), ""))</f>
        <v>1.51666666666667</v>
      </c>
      <c r="M9" s="7">
        <f>IF($A9="","",IF(C9&gt;0, IFERROR(AVERAGEIFS('Detalle individual'!$I$5:$I$1000, 'Detalle individual'!$D$5:$D$1000, A9), ""), ""))</f>
        <v>12.3254629629835</v>
      </c>
      <c r="N9" s="22">
        <f>IF($A9="","",COUNTIF('Detalle individual'!$D$5:$D$1000, A9)-B9)</f>
        <v>6</v>
      </c>
    </row>
    <row r="10">
      <c r="A10" s="5" t="str">
        <f>IF(Cálculos!$AF10="","",INDEX('Detalle individual'!$D:$D,Cálculos!$AF10))</f>
        <v>Gerencia de Oficialía de Cumplimiento</v>
      </c>
      <c r="B10" s="8">
        <f>IF($A10="","",COUNTIFS('Detalle individual'!$D$5:$D$1000, A10, 'Detalle individual'!$F$5:$F$1000, "Completado")+COUNTIFS('Detalle individual'!$D$5:$D$1000, A10, 'Detalle individual'!$F$5:$F$1000, "Pendiente"))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26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11">
        <f>IF($A10="","",IF(C10&gt;0, IFERROR(_xlfn.MINIFS('Detalle individual'!$G$5:$G$1000, 'Detalle individual'!$D$5:$D$1000, A10), ""), ""))</f>
        <v>46296.47011574074</v>
      </c>
      <c r="K10" s="11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  <c r="N10" s="22">
        <f>IF($A10="","",COUNTIF('Detalle individual'!$D$5:$D$1000, A10)-B10)</f>
        <v>0</v>
      </c>
    </row>
    <row r="11">
      <c r="A11" s="5" t="str">
        <f>IF(Cálculos!$AF11="","",INDEX('Detalle individual'!$D:$D,Cálculos!$AF11))</f>
        <v>Gerencia de Operaciones</v>
      </c>
      <c r="B11" s="8">
        <f>IF($A11="","",COUNTIFS('Detalle individual'!$D$5:$D$1000, A11, 'Detalle individual'!$F$5:$F$1000, "Completado")+COUNTIFS('Detalle individual'!$D$5:$D$1000, A11, 'Detalle individual'!$F$5:$F$1000, "Pendiente"))</f>
        <v>24</v>
      </c>
      <c r="C11" s="8">
        <f>IF($A11="","",COUNTIFS('Detalle individual'!$D$5:$D$1000, A11, 'Detalle individual'!$F$5:$F$1000, "Completado"))</f>
        <v>23</v>
      </c>
      <c r="D11" s="8">
        <f>IF($A11="","",B11-C11)</f>
        <v>1</v>
      </c>
      <c r="E11" s="26">
        <f>IF($A11="","",IF(B11&gt;0, C11/B11, 0))</f>
        <v>0.958333333333333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94.7826086956522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11">
        <f>IF($A11="","",IF(C11&gt;0, IFERROR(_xlfn.MINIFS('Detalle individual'!$G$5:$G$1000, 'Detalle individual'!$D$5:$D$1000, A11), ""), ""))</f>
        <v>46296.56951388889</v>
      </c>
      <c r="K11" s="11">
        <f>IF($A11="","",IF(C11&gt;0, IFERROR(_xlfn.MAXIFS('Detalle individual'!$H$5:$H$1000, 'Detalle individual'!$D$5:$D$1000, A11), ""), ""))</f>
        <v>46311.675671296296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9.17173912938696</v>
      </c>
      <c r="N11" s="22">
        <f>IF($A11="","",COUNTIF('Detalle individual'!$D$5:$D$1000, A11)-B11)</f>
        <v>2</v>
      </c>
    </row>
    <row r="12">
      <c r="A12" s="5" t="str">
        <f>IF(Cálculos!$AF12="","",INDEX('Detalle individual'!$D:$D,Cálculos!$AF12))</f>
        <v>Gerencia de Sistemas</v>
      </c>
      <c r="B12" s="8">
        <f>IF($A12="","",COUNTIFS('Detalle individual'!$D$5:$D$1000, A12, 'Detalle individual'!$F$5:$F$1000, "Completado")+COUNTIFS('Detalle individual'!$D$5:$D$1000, A12, 'Detalle individual'!$F$5:$F$1000, "Pendiente"))</f>
        <v>22</v>
      </c>
      <c r="C12" s="8">
        <f>IF($A12="","",COUNTIFS('Detalle individual'!$D$5:$D$1000, A12, 'Detalle individual'!$F$5:$F$1000, "Completado"))</f>
        <v>22</v>
      </c>
      <c r="D12" s="8">
        <f>IF($A12="","",B12-C12)</f>
        <v>0</v>
      </c>
      <c r="E12" s="26">
        <f>IF($A12="","",IF(B12&gt;0, C12/B12, 0))</f>
        <v>1</v>
      </c>
      <c r="F12" s="4" t="str">
        <f>IF($A12="","",IF(AND(B12&gt;0, C12=B12), "Completo", "Pendiente"))</f>
        <v>Completo</v>
      </c>
      <c r="G12" s="7">
        <f>IF($A12="","",IF(C12&gt;0, IFERROR(AVERAGEIFS('Detalle individual'!$J$5:$J$1000, 'Detalle individual'!$D$5:$D$1000, A12), ""), ""))</f>
        <v>99.5454545454546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11">
        <f>IF($A12="","",IF(C12&gt;0, IFERROR(_xlfn.MINIFS('Detalle individual'!$G$5:$G$1000, 'Detalle individual'!$D$5:$D$1000, A12), ""), ""))</f>
        <v>46296.56962962963</v>
      </c>
      <c r="K12" s="11">
        <f>IF($A12="","",IF(C12&gt;0, IFERROR(_xlfn.MAXIFS('Detalle individual'!$H$5:$H$1000, 'Detalle individual'!$D$5:$D$1000, A12), ""), ""))</f>
        <v>46310.696747685186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13.7780303030303</v>
      </c>
      <c r="N12" s="22">
        <f>IF($A12="","",COUNTIF('Detalle individual'!$D$5:$D$1000, A12)-B12)</f>
        <v>1</v>
      </c>
    </row>
    <row r="13">
      <c r="A13" s="5" t="str">
        <f>IF(Cálculos!$AF13="","",INDEX('Detalle individual'!$D:$D,Cálculos!$AF13))</f>
        <v>Gerencia General</v>
      </c>
      <c r="B13" s="8">
        <f>IF($A13="","",COUNTIFS('Detalle individual'!$D$5:$D$1000, A13, 'Detalle individual'!$F$5:$F$1000, "Completado")+COUNTIFS('Detalle individual'!$D$5:$D$1000, A13, 'Detalle individual'!$F$5:$F$1000, "Pendiente"))</f>
        <v>13</v>
      </c>
      <c r="C13" s="8">
        <f>IF($A13="","",COUNTIFS('Detalle individual'!$D$5:$D$1000, A13, 'Detalle individual'!$F$5:$F$1000, "Completado"))</f>
        <v>13</v>
      </c>
      <c r="D13" s="8">
        <f>IF($A13="","",B13-C13)</f>
        <v>0</v>
      </c>
      <c r="E13" s="26">
        <f>IF($A13="","",IF(B13&gt;0, C13/B13, 0))</f>
        <v>1</v>
      </c>
      <c r="F13" s="4" t="str">
        <f>IF($A13="","",IF(AND(B13&gt;0, C13=B13),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11">
        <f>IF($A13="","",IF(C13&gt;0, IFERROR(_xlfn.MINIFS('Detalle individual'!$G$5:$G$1000, 'Detalle individual'!$D$5:$D$1000, A13), ""), ""))</f>
        <v>46296.436574074076</v>
      </c>
      <c r="K13" s="11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  <c r="N13" s="22">
        <f>IF($A13="","",COUNTIF('Detalle individual'!$D$5:$D$1000, A13)-B13)</f>
        <v>0</v>
      </c>
    </row>
    <row r="14">
      <c r="A14" s="5" t="str">
        <f>IF(Cálculos!$AF14="","",INDEX('Detalle individual'!$D:$D,Cálculos!$AF14))</f>
        <v>Gerencia Legal y Cumplimiento Normativo</v>
      </c>
      <c r="B14" s="8">
        <f>IF($A14="","",COUNTIFS('Detalle individual'!$D$5:$D$1000, A14, 'Detalle individual'!$F$5:$F$1000, "Completado")+COUNTIFS('Detalle individual'!$D$5:$D$1000, A14, 'Detalle individual'!$F$5:$F$1000, "Pendiente"))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26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11">
        <f>IF($A14="","",IF(C14&gt;0, IFERROR(_xlfn.MINIFS('Detalle individual'!$G$5:$G$1000, 'Detalle individual'!$D$5:$D$1000, A14), ""), ""))</f>
        <v>46300.62287037037</v>
      </c>
      <c r="K14" s="11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  <c r="N14" s="22">
        <f>IF($A14="","",COUNTIF('Detalle individual'!$D$5:$D$1000, A14)-B14)</f>
        <v>0</v>
      </c>
    </row>
    <row r="15">
      <c r="A15" s="5" t="str">
        <f>IF(Cálculos!$AF15="","",INDEX('Detalle individual'!$D:$D,Cálculos!$AF15))</f>
        <v/>
      </c>
      <c r="B15" s="8" t="str">
        <f>IF($A15="","",COUNTIFS('Detalle individual'!$D$5:$D$1000, A15, 'Detalle individual'!$F$5:$F$1000, "Completado")+COUNTIFS('Detalle individual'!$D$5:$D$1000, A15, 'Detalle individual'!$F$5:$F$1000, "Pendiente"))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26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11" t="str">
        <f>IF($A15="","",IF(C15&gt;0, IFERROR(_xlfn.MINIFS('Detalle individual'!$G$5:$G$1000, 'Detalle individual'!$D$5:$D$1000, A15), ""), ""))</f>
        <v/>
      </c>
      <c r="K15" s="11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22" t="str">
        <f>IF($A15="","",COUNTIF('Detalle individual'!$D$5:$D$1000, A15)-B15)</f>
        <v/>
      </c>
    </row>
    <row r="16">
      <c r="A16" s="5" t="str">
        <f>IF(Cálculos!$AF16="","",INDEX('Detalle individual'!$D:$D,Cálculos!$AF16))</f>
        <v/>
      </c>
      <c r="B16" s="8" t="str">
        <f>IF($A16="","",COUNTIFS('Detalle individual'!$D$5:$D$1000, A16, 'Detalle individual'!$F$5:$F$1000, "Completado")+COUNTIFS('Detalle individual'!$D$5:$D$1000, A16, 'Detalle individual'!$F$5:$F$1000, "Pendiente"))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26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11" t="str">
        <f>IF($A16="","",IF(C16&gt;0, IFERROR(_xlfn.MINIFS('Detalle individual'!$G$5:$G$1000, 'Detalle individual'!$D$5:$D$1000, A16), ""), ""))</f>
        <v/>
      </c>
      <c r="K16" s="11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22" t="str">
        <f>IF($A16="","",COUNTIF('Detalle individual'!$D$5:$D$1000, A16)-B16)</f>
        <v/>
      </c>
    </row>
    <row r="17">
      <c r="A17" s="5" t="str">
        <f>IF(Cálculos!$AF17="","",INDEX('Detalle individual'!$D:$D,Cálculos!$AF17))</f>
        <v/>
      </c>
      <c r="B17" s="8" t="str">
        <f>IF($A17="","",COUNTIFS('Detalle individual'!$D$5:$D$1000, A17, 'Detalle individual'!$F$5:$F$1000, "Completado")+COUNTIFS('Detalle individual'!$D$5:$D$1000, A17, 'Detalle individual'!$F$5:$F$1000, "Pendiente"))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26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11" t="str">
        <f>IF($A17="","",IF(C17&gt;0, IFERROR(_xlfn.MINIFS('Detalle individual'!$G$5:$G$1000, 'Detalle individual'!$D$5:$D$1000, A17), ""), ""))</f>
        <v/>
      </c>
      <c r="K17" s="11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22" t="str">
        <f>IF($A17="","",COUNTIF('Detalle individual'!$D$5:$D$1000, A17)-B17)</f>
        <v/>
      </c>
    </row>
    <row r="18">
      <c r="A18" s="5" t="str">
        <f>IF(Cálculos!$AF18="","",INDEX('Detalle individual'!$D:$D,Cálculos!$AF18))</f>
        <v/>
      </c>
      <c r="B18" s="8" t="str">
        <f>IF($A18="","",COUNTIFS('Detalle individual'!$D$5:$D$1000, A18, 'Detalle individual'!$F$5:$F$1000, "Completado")+COUNTIFS('Detalle individual'!$D$5:$D$1000, A18, 'Detalle individual'!$F$5:$F$1000, "Pendiente"))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26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11" t="str">
        <f>IF($A18="","",IF(C18&gt;0, IFERROR(_xlfn.MINIFS('Detalle individual'!$G$5:$G$1000, 'Detalle individual'!$D$5:$D$1000, A18), ""), ""))</f>
        <v/>
      </c>
      <c r="K18" s="11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22" t="str">
        <f>IF($A18="","",COUNTIF('Detalle individual'!$D$5:$D$1000, A18)-B18)</f>
        <v/>
      </c>
    </row>
    <row r="19">
      <c r="A19" s="5" t="str">
        <f>IF(Cálculos!$AF19="","",INDEX('Detalle individual'!$D:$D,Cálculos!$AF19))</f>
        <v/>
      </c>
      <c r="B19" s="8" t="str">
        <f>IF($A19="","",COUNTIFS('Detalle individual'!$D$5:$D$1000, A19, 'Detalle individual'!$F$5:$F$1000, "Completado")+COUNTIFS('Detalle individual'!$D$5:$D$1000, A19, 'Detalle individual'!$F$5:$F$1000, "Pendiente"))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26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11" t="str">
        <f>IF($A19="","",IF(C19&gt;0, IFERROR(_xlfn.MINIFS('Detalle individual'!$G$5:$G$1000, 'Detalle individual'!$D$5:$D$1000, A19), ""), ""))</f>
        <v/>
      </c>
      <c r="K19" s="11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22" t="str">
        <f>IF($A19="","",COUNTIF('Detalle individual'!$D$5:$D$1000, A19)-B19)</f>
        <v/>
      </c>
    </row>
    <row r="20">
      <c r="A20" s="5" t="str">
        <f>IF(Cálculos!$AF20="","",INDEX('Detalle individual'!$D:$D,Cálculos!$AF20))</f>
        <v/>
      </c>
      <c r="B20" s="8" t="str">
        <f>IF($A20="","",COUNTIFS('Detalle individual'!$D$5:$D$1000, A20, 'Detalle individual'!$F$5:$F$1000, "Completado")+COUNTIFS('Detalle individual'!$D$5:$D$1000, A20, 'Detalle individual'!$F$5:$F$1000, "Pendiente"))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26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11" t="str">
        <f>IF($A20="","",IF(C20&gt;0, IFERROR(_xlfn.MINIFS('Detalle individual'!$G$5:$G$1000, 'Detalle individual'!$D$5:$D$1000, A20), ""), ""))</f>
        <v/>
      </c>
      <c r="K20" s="11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22" t="str">
        <f>IF($A20="","",COUNTIF('Detalle individual'!$D$5:$D$1000, A20)-B20)</f>
        <v/>
      </c>
    </row>
    <row r="21">
      <c r="A21" s="5" t="str">
        <f>IF(Cálculos!$AF21="","",INDEX('Detalle individual'!$D:$D,Cálculos!$AF21))</f>
        <v/>
      </c>
      <c r="B21" s="8" t="str">
        <f>IF($A21="","",COUNTIFS('Detalle individual'!$D$5:$D$1000, A21, 'Detalle individual'!$F$5:$F$1000, "Completado")+COUNTIFS('Detalle individual'!$D$5:$D$1000, A21, 'Detalle individual'!$F$5:$F$1000, "Pendiente"))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26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11" t="str">
        <f>IF($A21="","",IF(C21&gt;0, IFERROR(_xlfn.MINIFS('Detalle individual'!$G$5:$G$1000, 'Detalle individual'!$D$5:$D$1000, A21), ""), ""))</f>
        <v/>
      </c>
      <c r="K21" s="11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22" t="str">
        <f>IF($A21="","",COUNTIF('Detalle individual'!$D$5:$D$1000, A21)-B21)</f>
        <v/>
      </c>
    </row>
    <row r="22">
      <c r="A22" s="5" t="str">
        <f>IF(Cálculos!$AF22="","",INDEX('Detalle individual'!$D:$D,Cálculos!$AF22))</f>
        <v/>
      </c>
      <c r="B22" s="8" t="str">
        <f>IF($A22="","",COUNTIFS('Detalle individual'!$D$5:$D$1000, A22, 'Detalle individual'!$F$5:$F$1000, "Completado")+COUNTIFS('Detalle individual'!$D$5:$D$1000, A22, 'Detalle individual'!$F$5:$F$1000, "Pendiente"))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26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11" t="str">
        <f>IF($A22="","",IF(C22&gt;0, IFERROR(_xlfn.MINIFS('Detalle individual'!$G$5:$G$1000, 'Detalle individual'!$D$5:$D$1000, A22), ""), ""))</f>
        <v/>
      </c>
      <c r="K22" s="11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22" t="str">
        <f>IF($A22="","",COUNTIF('Detalle individual'!$D$5:$D$1000, A22)-B22)</f>
        <v/>
      </c>
    </row>
    <row r="23">
      <c r="A23" s="5" t="str">
        <f>IF(Cálculos!$AF23="","",INDEX('Detalle individual'!$D:$D,Cálculos!$AF23))</f>
        <v/>
      </c>
      <c r="B23" s="8" t="str">
        <f>IF($A23="","",COUNTIFS('Detalle individual'!$D$5:$D$1000, A23, 'Detalle individual'!$F$5:$F$1000, "Completado")+COUNTIFS('Detalle individual'!$D$5:$D$1000, A23, 'Detalle individual'!$F$5:$F$1000, "Pendiente"))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26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11" t="str">
        <f>IF($A23="","",IF(C23&gt;0, IFERROR(_xlfn.MINIFS('Detalle individual'!$G$5:$G$1000, 'Detalle individual'!$D$5:$D$1000, A23), ""), ""))</f>
        <v/>
      </c>
      <c r="K23" s="11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22" t="str">
        <f>IF($A23="","",COUNTIF('Detalle individual'!$D$5:$D$1000, A23)-B23)</f>
        <v/>
      </c>
    </row>
    <row r="24">
      <c r="A24" s="5" t="str">
        <f>IF(Cálculos!$AF24="","",INDEX('Detalle individual'!$D:$D,Cálculos!$AF24))</f>
        <v/>
      </c>
      <c r="B24" s="8" t="str">
        <f>IF($A24="","",COUNTIFS('Detalle individual'!$D$5:$D$1000, A24, 'Detalle individual'!$F$5:$F$1000, "Completado")+COUNTIFS('Detalle individual'!$D$5:$D$1000, A24, 'Detalle individual'!$F$5:$F$1000, "Pendiente"))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26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11" t="str">
        <f>IF($A24="","",IF(C24&gt;0, IFERROR(_xlfn.MINIFS('Detalle individual'!$G$5:$G$1000, 'Detalle individual'!$D$5:$D$1000, A24), ""), ""))</f>
        <v/>
      </c>
      <c r="K24" s="11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22" t="str">
        <f>IF($A24="","",COUNTIF('Detalle individual'!$D$5:$D$1000, A24)-B24)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F4E78"/>
    <outlinePr summaryBelow="1" summaryRight="1"/>
    <pageSetUpPr/>
  </sheetPr>
  <dimension ref="B1:R93"/>
  <sheetViews>
    <sheetView showGridLines="0" zoomScale="90" workbookViewId="0">
      <pane ySplit="6" topLeftCell="A7" activePane="bottomLeft" state="frozen"/>
      <selection pane="bottomLeft" activeCell="T15" sqref="T15"/>
    </sheetView>
  </sheetViews>
  <sheetFormatPr baseColWidth="10" defaultColWidth="8.88671875" defaultRowHeight="14.4"/>
  <cols>
    <col width="2" customWidth="1" style="38" min="1" max="1"/>
    <col width="5" customWidth="1" style="38" min="2" max="2"/>
    <col width="14" customWidth="1" style="38" min="3" max="6"/>
    <col width="12" customWidth="1" style="38" min="7" max="9"/>
    <col width="11" customWidth="1" style="38" min="10" max="10"/>
    <col width="12" customWidth="1" style="38" min="11" max="11"/>
    <col width="11" customWidth="1" style="38" min="12" max="14"/>
    <col width="10" customWidth="1" style="38" min="15" max="15"/>
    <col width="13" customWidth="1" style="38" min="16" max="16"/>
    <col hidden="1" width="4" customWidth="1" style="38" min="18" max="18"/>
  </cols>
  <sheetData>
    <row r="1" ht="34.05" customHeight="1" s="38">
      <c r="B1" s="50" t="inlineStr">
        <is>
          <t>DASHBOARD GERENCIAL</t>
        </is>
      </c>
    </row>
    <row r="2" ht="22.05" customHeight="1" s="38">
      <c r="B2" s="41" t="inlineStr">
        <is>
          <t>Seleccione una gerencia en la celda amarilla para ver sus indicadores y el avance de cada departamento</t>
        </is>
      </c>
    </row>
    <row r="3" ht="7.95" customHeight="1" s="38"/>
    <row r="4">
      <c r="B4" s="63" t="inlineStr">
        <is>
          <t>GERENCIA SELECCIONADA</t>
        </is>
      </c>
    </row>
    <row r="5" ht="25.95" customHeight="1" s="38">
      <c r="B5" s="80" t="inlineStr">
        <is>
          <t>Todas las gerencias</t>
        </is>
      </c>
      <c r="C5" s="81" t="n"/>
      <c r="D5" s="81" t="n"/>
      <c r="E5" s="81" t="n"/>
      <c r="F5" s="82" t="n"/>
      <c r="H5" s="79" t="str">
        <f>HYPERLINK("#'Estado por Colaborador'!A1","Ver la lista de colaboradores pendientes y completados  →")</f>
        <v>Ver la lista de colaboradores pendientes y completados  →</v>
      </c>
    </row>
    <row r="6" ht="10.05" customHeight="1" s="38"/>
    <row r="7">
      <c r="C7" s="129" t="inlineStr">
        <is>
          <t>PERSONAL ESPERADO</t>
        </is>
      </c>
      <c r="D7" s="130" t="n"/>
      <c r="E7" s="131" t="n"/>
      <c r="F7" s="77" t="inlineStr">
        <is>
          <t>COMPLETADOS</t>
        </is>
      </c>
      <c r="G7" s="66" t="n"/>
      <c r="H7" s="67" t="n"/>
      <c r="I7" s="83" t="inlineStr">
        <is>
          <t>PENDIENTES</t>
        </is>
      </c>
      <c r="J7" s="58" t="n"/>
      <c r="K7" s="59" t="n"/>
      <c r="L7" s="129" t="inlineStr">
        <is>
          <t>% CUMPLIMIENTO</t>
        </is>
      </c>
      <c r="M7" s="130" t="n"/>
      <c r="N7" s="131" t="n"/>
      <c r="O7" s="129" t="inlineStr">
        <is>
          <t>NOTA PROMEDIO</t>
        </is>
      </c>
      <c r="P7" s="131" t="n"/>
    </row>
    <row r="8" ht="22.05" customHeight="1" s="38">
      <c r="C8" s="132">
        <f>IF($B$5="Todas las gerencias",SUM('Consolidado por Gerencia'!$B$5:$B$24),SUMIF('Consolidado por Gerencia'!$A$5:$A$24,$B$5,'Consolidado por Gerencia'!$B$5:$B$24))</f>
        <v>283</v>
      </c>
      <c r="E8" s="43" t="n"/>
      <c r="F8" s="133">
        <f>IF($B$5="Todas las gerencias",SUM('Consolidado por Gerencia'!$C$5:$C$24),SUMIF('Consolidado por Gerencia'!$A$5:$A$24,$B$5,'Consolidado por Gerencia'!$C$5:$C$24))</f>
        <v>278</v>
      </c>
      <c r="H8" s="43" t="n"/>
      <c r="I8" s="134">
        <f>C8-F8</f>
        <v>5</v>
      </c>
      <c r="K8" s="43" t="n"/>
      <c r="L8" s="135">
        <f>IF(C8&gt;0,F8/C8,0)</f>
        <v>0.982332155477032</v>
      </c>
      <c r="N8" s="43" t="n"/>
      <c r="O8" s="136">
        <f>IFERROR(IF($B$5="Todas las gerencias",AVERAGE('Detalle individual'!$J$5:$J$1000),AVERAGEIFS('Detalle individual'!$J$5:$J$1000,'Detalle individual'!$D$5:$D$1000,$B$5)),"-")</f>
        <v>96.9314079422383</v>
      </c>
      <c r="P8" s="43" t="n"/>
    </row>
    <row r="9" ht="22.05" customHeight="1" s="38">
      <c r="C9" s="44" t="n"/>
      <c r="E9" s="43" t="n"/>
      <c r="F9" s="44" t="n"/>
      <c r="H9" s="43" t="n"/>
      <c r="I9" s="44" t="n"/>
      <c r="K9" s="43" t="n"/>
      <c r="L9" s="44" t="n"/>
      <c r="N9" s="43" t="n"/>
      <c r="O9" s="44" t="n"/>
      <c r="P9" s="43" t="n"/>
    </row>
    <row r="10">
      <c r="C10" s="137" t="n"/>
      <c r="D10" s="138" t="n"/>
      <c r="E10" s="139" t="n"/>
      <c r="F10" s="137" t="n"/>
      <c r="G10" s="138" t="n"/>
      <c r="H10" s="139" t="n"/>
      <c r="I10" s="137" t="n"/>
      <c r="J10" s="138" t="n"/>
      <c r="K10" s="139" t="n"/>
      <c r="L10" s="137" t="n"/>
      <c r="M10" s="138" t="n"/>
      <c r="N10" s="139" t="n"/>
      <c r="O10" s="140" t="n"/>
      <c r="P10" s="139" t="n"/>
    </row>
    <row r="11" ht="12" customHeight="1" s="38"/>
    <row r="12">
      <c r="B12" s="78" t="inlineStr">
        <is>
          <t>AVANCE POR DEPARTAMENTO (ordenado de mayor a menor cumplimiento)</t>
        </is>
      </c>
      <c r="C12" s="70" t="n"/>
      <c r="D12" s="70" t="n"/>
      <c r="E12" s="70" t="n"/>
      <c r="F12" s="70" t="n"/>
      <c r="G12" s="70" t="n"/>
      <c r="H12" s="70" t="n"/>
      <c r="I12" s="70" t="n"/>
      <c r="J12" s="70" t="n"/>
      <c r="K12" s="70" t="n"/>
      <c r="L12" s="70" t="n"/>
      <c r="M12" s="70" t="n"/>
      <c r="N12" s="70" t="n"/>
      <c r="O12" s="70" t="n"/>
      <c r="P12" s="70" t="n"/>
    </row>
    <row r="13" ht="30" customHeight="1" s="38">
      <c r="B13" s="75" t="inlineStr">
        <is>
          <t>#</t>
        </is>
      </c>
      <c r="C13" s="75" t="inlineStr">
        <is>
          <t>Departamento / Agencia</t>
        </is>
      </c>
      <c r="G13" s="75" t="inlineStr">
        <is>
          <t>Gerencia</t>
        </is>
      </c>
      <c r="J13" s="75" t="inlineStr">
        <is>
          <t>Esperado</t>
        </is>
      </c>
      <c r="K13" s="75" t="inlineStr">
        <is>
          <t>Completados</t>
        </is>
      </c>
      <c r="L13" s="75" t="inlineStr">
        <is>
          <t>Pendientes</t>
        </is>
      </c>
      <c r="M13" s="75" t="inlineStr">
        <is>
          <t>% Cumplimiento</t>
        </is>
      </c>
      <c r="O13" s="75" t="inlineStr">
        <is>
          <t>Nota prom.</t>
        </is>
      </c>
      <c r="P13" s="75" t="inlineStr">
        <is>
          <t>Estado</t>
        </is>
      </c>
    </row>
    <row r="14" ht="18" customHeight="1" s="38">
      <c r="B14" s="13">
        <f>IF($R14="","",1)</f>
        <v>1</v>
      </c>
      <c r="C14" s="72" t="str">
        <f>IF($R14="","",INDEX(Cálculos!$O:$O,$R14))</f>
        <v>DEPARTAMENTO DE SERVICIOS GENERALES</v>
      </c>
      <c r="G14" s="72" t="str">
        <f>IF($R14="","",INDEX(Cálculos!$P:$P,$R14))</f>
        <v>Gerencia Administrativa</v>
      </c>
      <c r="J14" s="13">
        <f>IF($R14="","",INDEX(Cálculos!$Q:$Q,$R14))</f>
        <v>17</v>
      </c>
      <c r="K14" s="13">
        <f>IF($R14="","",INDEX(Cálculos!$M:$M,$R14))</f>
        <v>17</v>
      </c>
      <c r="L14" s="13">
        <f>IF($R14="","",INDEX(Cálculos!$N:$N,$R14))</f>
        <v>0</v>
      </c>
      <c r="M14" s="74">
        <f>IF($R14="","",INDEX(Cálculos!$R:$R,$R14))</f>
        <v>1</v>
      </c>
      <c r="O14" s="15">
        <f>IF($R14="","",INDEX(Cálculos!$S:$S,$R14))</f>
        <v>89.7058823529412</v>
      </c>
      <c r="P14" s="13" t="str">
        <f>IF($R14="","",IF(M14&gt;=1,"Completo","Pendiente"))</f>
        <v>Completo</v>
      </c>
      <c r="R14">
        <f>IFERROR(SMALL(Cálculos!$T$30:$T$109,1),"")</f>
        <v>30</v>
      </c>
    </row>
    <row r="15" ht="18" customHeight="1" s="38">
      <c r="B15" s="13">
        <f>IF($R15="","",2)</f>
        <v>2</v>
      </c>
      <c r="C15" s="72" t="str">
        <f>IF($R15="","",INDEX(Cálculos!$O:$O,$R15))</f>
        <v>AGENCIA MERLIOT</v>
      </c>
      <c r="G15" s="72" t="str">
        <f>IF($R15="","",INDEX(Cálculos!$P:$P,$R15))</f>
        <v>Gerencia de Negocios</v>
      </c>
      <c r="J15" s="13">
        <f>IF($R15="","",INDEX(Cálculos!$Q:$Q,$R15))</f>
        <v>13</v>
      </c>
      <c r="K15" s="13">
        <f>IF($R15="","",INDEX(Cálculos!$M:$M,$R15))</f>
        <v>13</v>
      </c>
      <c r="L15" s="13">
        <f>IF($R15="","",INDEX(Cálculos!$N:$N,$R15))</f>
        <v>0</v>
      </c>
      <c r="M15" s="74">
        <f>IF($R15="","",INDEX(Cálculos!$R:$R,$R15))</f>
        <v>1</v>
      </c>
      <c r="O15" s="15">
        <f>IF($R15="","",INDEX(Cálculos!$S:$S,$R15))</f>
        <v>95.7692307692308</v>
      </c>
      <c r="P15" s="13" t="str">
        <f>IF($R15="","",IF(M15&gt;=1,"Completo","Pendiente"))</f>
        <v>Completo</v>
      </c>
      <c r="R15">
        <f>IFERROR(SMALL(Cálculos!$T$30:$T$109,2),"")</f>
        <v>31</v>
      </c>
    </row>
    <row r="16" ht="18" customHeight="1" s="38">
      <c r="B16" s="13">
        <f>IF($R16="","",3)</f>
        <v>3</v>
      </c>
      <c r="C16" s="72" t="str">
        <f>IF($R16="","",INDEX(Cálculos!$O:$O,$R16))</f>
        <v>DEPARTAMENTO DE CONTABILIDAD</v>
      </c>
      <c r="G16" s="72" t="str">
        <f>IF($R16="","",INDEX(Cálculos!$P:$P,$R16))</f>
        <v>Gerencia de Finanzas y Planificación</v>
      </c>
      <c r="J16" s="13">
        <f>IF($R16="","",INDEX(Cálculos!$Q:$Q,$R16))</f>
        <v>13</v>
      </c>
      <c r="K16" s="13">
        <f>IF($R16="","",INDEX(Cálculos!$M:$M,$R16))</f>
        <v>13</v>
      </c>
      <c r="L16" s="13">
        <f>IF($R16="","",INDEX(Cálculos!$N:$N,$R16))</f>
        <v>0</v>
      </c>
      <c r="M16" s="74">
        <f>IF($R16="","",INDEX(Cálculos!$R:$R,$R16))</f>
        <v>1</v>
      </c>
      <c r="O16" s="15">
        <f>IF($R16="","",INDEX(Cálculos!$S:$S,$R16))</f>
        <v>98.0769230769231</v>
      </c>
      <c r="P16" s="13" t="str">
        <f>IF($R16="","",IF(M16&gt;=1,"Completo","Pendiente"))</f>
        <v>Completo</v>
      </c>
      <c r="R16">
        <f>IFERROR(SMALL(Cálculos!$T$30:$T$109,3),"")</f>
        <v>32</v>
      </c>
    </row>
    <row r="17" ht="18" customHeight="1" s="38">
      <c r="B17" s="13">
        <f>IF($R17="","",4)</f>
        <v>4</v>
      </c>
      <c r="C17" s="72" t="str">
        <f>IF($R17="","",INDEX(Cálculos!$O:$O,$R17))</f>
        <v>DEPARTAMENTO DE CREDITOS</v>
      </c>
      <c r="G17" s="72" t="str">
        <f>IF($R17="","",INDEX(Cálculos!$P:$P,$R17))</f>
        <v>Gerencia de Negocios</v>
      </c>
      <c r="J17" s="13">
        <f>IF($R17="","",INDEX(Cálculos!$Q:$Q,$R17))</f>
        <v>13</v>
      </c>
      <c r="K17" s="13">
        <f>IF($R17="","",INDEX(Cálculos!$M:$M,$R17))</f>
        <v>13</v>
      </c>
      <c r="L17" s="13">
        <f>IF($R17="","",INDEX(Cálculos!$N:$N,$R17))</f>
        <v>0</v>
      </c>
      <c r="M17" s="74">
        <f>IF($R17="","",INDEX(Cálculos!$R:$R,$R17))</f>
        <v>1</v>
      </c>
      <c r="O17" s="15">
        <f>IF($R17="","",INDEX(Cálculos!$S:$S,$R17))</f>
        <v>98.4615384615385</v>
      </c>
      <c r="P17" s="13" t="str">
        <f>IF($R17="","",IF(M17&gt;=1,"Completo","Pendiente"))</f>
        <v>Completo</v>
      </c>
      <c r="R17">
        <f>IFERROR(SMALL(Cálculos!$T$30:$T$109,4),"")</f>
        <v>33</v>
      </c>
    </row>
    <row r="18" ht="18" customHeight="1" s="38">
      <c r="B18" s="13">
        <f>IF($R18="","",5)</f>
        <v>5</v>
      </c>
      <c r="C18" s="72" t="str">
        <f>IF($R18="","",INDEX(Cálculos!$O:$O,$R18))</f>
        <v>AGENCIA COLEGIO MEDICO</v>
      </c>
      <c r="G18" s="72" t="str">
        <f>IF($R18="","",INDEX(Cálculos!$P:$P,$R18))</f>
        <v>Gerencia de Negocios</v>
      </c>
      <c r="J18" s="13">
        <f>IF($R18="","",INDEX(Cálculos!$Q:$Q,$R18))</f>
        <v>11</v>
      </c>
      <c r="K18" s="13">
        <f>IF($R18="","",INDEX(Cálculos!$M:$M,$R18))</f>
        <v>11</v>
      </c>
      <c r="L18" s="13">
        <f>IF($R18="","",INDEX(Cálculos!$N:$N,$R18))</f>
        <v>0</v>
      </c>
      <c r="M18" s="74">
        <f>IF($R18="","",INDEX(Cálculos!$R:$R,$R18))</f>
        <v>1</v>
      </c>
      <c r="O18" s="15">
        <f>IF($R18="","",INDEX(Cálculos!$S:$S,$R18))</f>
        <v>97.2727272727273</v>
      </c>
      <c r="P18" s="13" t="str">
        <f>IF($R18="","",IF(M18&gt;=1,"Completo","Pendiente"))</f>
        <v>Completo</v>
      </c>
      <c r="R18">
        <f>IFERROR(SMALL(Cálculos!$T$30:$T$109,5),"")</f>
        <v>34</v>
      </c>
    </row>
    <row r="19" ht="18" customHeight="1" s="38">
      <c r="B19" s="13">
        <f>IF($R19="","",6)</f>
        <v>6</v>
      </c>
      <c r="C19" s="72" t="str">
        <f>IF($R19="","",INDEX(Cálculos!$O:$O,$R19))</f>
        <v>DEPARTAMENTO DE ANALISIS Y PROGRAMACIÓN</v>
      </c>
      <c r="G19" s="72" t="str">
        <f>IF($R19="","",INDEX(Cálculos!$P:$P,$R19))</f>
        <v>Gerencia de Sistemas</v>
      </c>
      <c r="J19" s="13">
        <f>IF($R19="","",INDEX(Cálculos!$Q:$Q,$R19))</f>
        <v>11</v>
      </c>
      <c r="K19" s="13">
        <f>IF($R19="","",INDEX(Cálculos!$M:$M,$R19))</f>
        <v>11</v>
      </c>
      <c r="L19" s="13">
        <f>IF($R19="","",INDEX(Cálculos!$N:$N,$R19))</f>
        <v>0</v>
      </c>
      <c r="M19" s="74">
        <f>IF($R19="","",INDEX(Cálculos!$R:$R,$R19))</f>
        <v>1</v>
      </c>
      <c r="O19" s="15">
        <f>IF($R19="","",INDEX(Cálculos!$S:$S,$R19))</f>
        <v>100</v>
      </c>
      <c r="P19" s="13" t="str">
        <f>IF($R19="","",IF(M19&gt;=1,"Completo","Pendiente"))</f>
        <v>Completo</v>
      </c>
      <c r="R19">
        <f>IFERROR(SMALL(Cálculos!$T$30:$T$109,6),"")</f>
        <v>35</v>
      </c>
    </row>
    <row r="20" ht="18" customHeight="1" s="38">
      <c r="B20" s="13">
        <f>IF($R20="","",7)</f>
        <v>7</v>
      </c>
      <c r="C20" s="72" t="str">
        <f>IF($R20="","",INDEX(Cálculos!$O:$O,$R20))</f>
        <v>DEPARTAMENTO DE SEGUROS</v>
      </c>
      <c r="G20" s="72" t="str">
        <f>IF($R20="","",INDEX(Cálculos!$P:$P,$R20))</f>
        <v>Gerencia de Negocios</v>
      </c>
      <c r="J20" s="13">
        <f>IF($R20="","",INDEX(Cálculos!$Q:$Q,$R20))</f>
        <v>10</v>
      </c>
      <c r="K20" s="13">
        <f>IF($R20="","",INDEX(Cálculos!$M:$M,$R20))</f>
        <v>10</v>
      </c>
      <c r="L20" s="13">
        <f>IF($R20="","",INDEX(Cálculos!$N:$N,$R20))</f>
        <v>0</v>
      </c>
      <c r="M20" s="74">
        <f>IF($R20="","",INDEX(Cálculos!$R:$R,$R20))</f>
        <v>1</v>
      </c>
      <c r="O20" s="15">
        <f>IF($R20="","",INDEX(Cálculos!$S:$S,$R20))</f>
        <v>97</v>
      </c>
      <c r="P20" s="13" t="str">
        <f>IF($R20="","",IF(M20&gt;=1,"Completo","Pendiente"))</f>
        <v>Completo</v>
      </c>
      <c r="R20">
        <f>IFERROR(SMALL(Cálculos!$T$30:$T$109,7),"")</f>
        <v>36</v>
      </c>
    </row>
    <row r="21" ht="18" customHeight="1" s="38">
      <c r="B21" s="13">
        <f>IF($R21="","",8)</f>
        <v>8</v>
      </c>
      <c r="C21" s="72" t="str">
        <f>IF($R21="","",INDEX(Cálculos!$O:$O,$R21))</f>
        <v>DEPARTAMENTO DE SOLUCIONES FINANCIERAS</v>
      </c>
      <c r="G21" s="72" t="str">
        <f>IF($R21="","",INDEX(Cálculos!$P:$P,$R21))</f>
        <v>Gerencia de Operaciones</v>
      </c>
      <c r="J21" s="13">
        <f>IF($R21="","",INDEX(Cálculos!$Q:$Q,$R21))</f>
        <v>9</v>
      </c>
      <c r="K21" s="13">
        <f>IF($R21="","",INDEX(Cálculos!$M:$M,$R21))</f>
        <v>9</v>
      </c>
      <c r="L21" s="13">
        <f>IF($R21="","",INDEX(Cálculos!$N:$N,$R21))</f>
        <v>0</v>
      </c>
      <c r="M21" s="74">
        <f>IF($R21="","",INDEX(Cálculos!$R:$R,$R21))</f>
        <v>1</v>
      </c>
      <c r="O21" s="15">
        <f>IF($R21="","",INDEX(Cálculos!$S:$S,$R21))</f>
        <v>87.7777777777778</v>
      </c>
      <c r="P21" s="13" t="str">
        <f>IF($R21="","",IF(M21&gt;=1,"Completo","Pendiente"))</f>
        <v>Completo</v>
      </c>
      <c r="R21">
        <f>IFERROR(SMALL(Cálculos!$T$30:$T$109,8),"")</f>
        <v>37</v>
      </c>
    </row>
    <row r="22" ht="18" customHeight="1" s="38">
      <c r="B22" s="13">
        <f>IF($R22="","",9)</f>
        <v>9</v>
      </c>
      <c r="C22" s="72" t="str">
        <f>IF($R22="","",INDEX(Cálculos!$O:$O,$R22))</f>
        <v>AGENCIA PLAZA MUNDO</v>
      </c>
      <c r="G22" s="72" t="str">
        <f>IF($R22="","",INDEX(Cálculos!$P:$P,$R22))</f>
        <v>Gerencia de Negocios</v>
      </c>
      <c r="J22" s="13">
        <f>IF($R22="","",INDEX(Cálculos!$Q:$Q,$R22))</f>
        <v>8</v>
      </c>
      <c r="K22" s="13">
        <f>IF($R22="","",INDEX(Cálculos!$M:$M,$R22))</f>
        <v>8</v>
      </c>
      <c r="L22" s="13">
        <f>IF($R22="","",INDEX(Cálculos!$N:$N,$R22))</f>
        <v>0</v>
      </c>
      <c r="M22" s="74">
        <f>IF($R22="","",INDEX(Cálculos!$R:$R,$R22))</f>
        <v>1</v>
      </c>
      <c r="O22" s="15">
        <f>IF($R22="","",INDEX(Cálculos!$S:$S,$R22))</f>
        <v>98.75</v>
      </c>
      <c r="P22" s="13" t="str">
        <f>IF($R22="","",IF(M22&gt;=1,"Completo","Pendiente"))</f>
        <v>Completo</v>
      </c>
      <c r="R22">
        <f>IFERROR(SMALL(Cálculos!$T$30:$T$109,9),"")</f>
        <v>38</v>
      </c>
    </row>
    <row r="23" ht="18" customHeight="1" s="38">
      <c r="B23" s="13">
        <f>IF($R23="","",10)</f>
        <v>10</v>
      </c>
      <c r="C23" s="72" t="str">
        <f>IF($R23="","",INDEX(Cálculos!$O:$O,$R23))</f>
        <v>AGENCIA SANTA ANA</v>
      </c>
      <c r="G23" s="72" t="str">
        <f>IF($R23="","",INDEX(Cálculos!$P:$P,$R23))</f>
        <v>Gerencia de Negocios</v>
      </c>
      <c r="J23" s="13">
        <f>IF($R23="","",INDEX(Cálculos!$Q:$Q,$R23))</f>
        <v>8</v>
      </c>
      <c r="K23" s="13">
        <f>IF($R23="","",INDEX(Cálculos!$M:$M,$R23))</f>
        <v>8</v>
      </c>
      <c r="L23" s="13">
        <f>IF($R23="","",INDEX(Cálculos!$N:$N,$R23))</f>
        <v>0</v>
      </c>
      <c r="M23" s="74">
        <f>IF($R23="","",INDEX(Cálculos!$R:$R,$R23))</f>
        <v>1</v>
      </c>
      <c r="O23" s="15">
        <f>IF($R23="","",INDEX(Cálculos!$S:$S,$R23))</f>
        <v>97.5</v>
      </c>
      <c r="P23" s="13" t="str">
        <f>IF($R23="","",IF(M23&gt;=1,"Completo","Pendiente"))</f>
        <v>Completo</v>
      </c>
      <c r="R23">
        <f>IFERROR(SMALL(Cálculos!$T$30:$T$109,10),"")</f>
        <v>39</v>
      </c>
    </row>
    <row r="24" ht="18" customHeight="1" s="38">
      <c r="B24" s="13">
        <f>IF($R24="","",11)</f>
        <v>11</v>
      </c>
      <c r="C24" s="72" t="str">
        <f>IF($R24="","",INDEX(Cálculos!$O:$O,$R24))</f>
        <v>DEPARTAMENTO LEGAL</v>
      </c>
      <c r="G24" s="72" t="str">
        <f>IF($R24="","",INDEX(Cálculos!$P:$P,$R24))</f>
        <v>Gerencia Legal y Cumplimiento Normativo</v>
      </c>
      <c r="J24" s="13">
        <f>IF($R24="","",INDEX(Cálculos!$Q:$Q,$R24))</f>
        <v>8</v>
      </c>
      <c r="K24" s="13">
        <f>IF($R24="","",INDEX(Cálculos!$M:$M,$R24))</f>
        <v>8</v>
      </c>
      <c r="L24" s="13">
        <f>IF($R24="","",INDEX(Cálculos!$N:$N,$R24))</f>
        <v>0</v>
      </c>
      <c r="M24" s="74">
        <f>IF($R24="","",INDEX(Cálculos!$R:$R,$R24))</f>
        <v>1</v>
      </c>
      <c r="O24" s="15">
        <f>IF($R24="","",INDEX(Cálculos!$S:$S,$R24))</f>
        <v>97.5</v>
      </c>
      <c r="P24" s="13" t="str">
        <f>IF($R24="","",IF(M24&gt;=1,"Completo","Pendiente"))</f>
        <v>Completo</v>
      </c>
      <c r="R24">
        <f>IFERROR(SMALL(Cálculos!$T$30:$T$109,11),"")</f>
        <v>40</v>
      </c>
    </row>
    <row r="25" ht="18" customHeight="1" s="38">
      <c r="B25" s="13">
        <f>IF($R25="","",12)</f>
        <v>12</v>
      </c>
      <c r="C25" s="72" t="str">
        <f>IF($R25="","",INDEX(Cálculos!$O:$O,$R25))</f>
        <v>AGENCIA SAN MIGUEL</v>
      </c>
      <c r="G25" s="72" t="str">
        <f>IF($R25="","",INDEX(Cálculos!$P:$P,$R25))</f>
        <v>Gerencia de Negocios</v>
      </c>
      <c r="J25" s="13">
        <f>IF($R25="","",INDEX(Cálculos!$Q:$Q,$R25))</f>
        <v>7</v>
      </c>
      <c r="K25" s="13">
        <f>IF($R25="","",INDEX(Cálculos!$M:$M,$R25))</f>
        <v>7</v>
      </c>
      <c r="L25" s="13">
        <f>IF($R25="","",INDEX(Cálculos!$N:$N,$R25))</f>
        <v>0</v>
      </c>
      <c r="M25" s="74">
        <f>IF($R25="","",INDEX(Cálculos!$R:$R,$R25))</f>
        <v>1</v>
      </c>
      <c r="O25" s="15">
        <f>IF($R25="","",INDEX(Cálculos!$S:$S,$R25))</f>
        <v>98.5714285714286</v>
      </c>
      <c r="P25" s="13" t="str">
        <f>IF($R25="","",IF(M25&gt;=1,"Completo","Pendiente"))</f>
        <v>Completo</v>
      </c>
      <c r="R25">
        <f>IFERROR(SMALL(Cálculos!$T$30:$T$109,12),"")</f>
        <v>41</v>
      </c>
    </row>
    <row r="26" ht="18" customHeight="1" s="38">
      <c r="B26" s="13">
        <f>IF($R26="","",13)</f>
        <v>13</v>
      </c>
      <c r="C26" s="72" t="str">
        <f>IF($R26="","",INDEX(Cálculos!$O:$O,$R26))</f>
        <v>AGENCIA SONSONATE</v>
      </c>
      <c r="G26" s="72" t="str">
        <f>IF($R26="","",INDEX(Cálculos!$P:$P,$R26))</f>
        <v>Gerencia de Negocios</v>
      </c>
      <c r="J26" s="13">
        <f>IF($R26="","",INDEX(Cálculos!$Q:$Q,$R26))</f>
        <v>7</v>
      </c>
      <c r="K26" s="13">
        <f>IF($R26="","",INDEX(Cálculos!$M:$M,$R26))</f>
        <v>7</v>
      </c>
      <c r="L26" s="13">
        <f>IF($R26="","",INDEX(Cálculos!$N:$N,$R26))</f>
        <v>0</v>
      </c>
      <c r="M26" s="74">
        <f>IF($R26="","",INDEX(Cálculos!$R:$R,$R26))</f>
        <v>1</v>
      </c>
      <c r="O26" s="15">
        <f>IF($R26="","",INDEX(Cálculos!$S:$S,$R26))</f>
        <v>97.1428571428571</v>
      </c>
      <c r="P26" s="13" t="str">
        <f>IF($R26="","",IF(M26&gt;=1,"Completo","Pendiente"))</f>
        <v>Completo</v>
      </c>
      <c r="R26">
        <f>IFERROR(SMALL(Cálculos!$T$30:$T$109,13),"")</f>
        <v>42</v>
      </c>
    </row>
    <row r="27" ht="18" customHeight="1" s="38">
      <c r="B27" s="13">
        <f>IF($R27="","",14)</f>
        <v>14</v>
      </c>
      <c r="C27" s="72" t="str">
        <f>IF($R27="","",INDEX(Cálculos!$O:$O,$R27))</f>
        <v>AGENCIA USULUTAN</v>
      </c>
      <c r="G27" s="72" t="str">
        <f>IF($R27="","",INDEX(Cálculos!$P:$P,$R27))</f>
        <v>Gerencia de Negocios</v>
      </c>
      <c r="J27" s="13">
        <f>IF($R27="","",INDEX(Cálculos!$Q:$Q,$R27))</f>
        <v>7</v>
      </c>
      <c r="K27" s="13">
        <f>IF($R27="","",INDEX(Cálculos!$M:$M,$R27))</f>
        <v>7</v>
      </c>
      <c r="L27" s="13">
        <f>IF($R27="","",INDEX(Cálculos!$N:$N,$R27))</f>
        <v>0</v>
      </c>
      <c r="M27" s="74">
        <f>IF($R27="","",INDEX(Cálculos!$R:$R,$R27))</f>
        <v>1</v>
      </c>
      <c r="O27" s="15">
        <f>IF($R27="","",INDEX(Cálculos!$S:$S,$R27))</f>
        <v>100</v>
      </c>
      <c r="P27" s="13" t="str">
        <f>IF($R27="","",IF(M27&gt;=1,"Completo","Pendiente"))</f>
        <v>Completo</v>
      </c>
      <c r="R27">
        <f>IFERROR(SMALL(Cálculos!$T$30:$T$109,14),"")</f>
        <v>43</v>
      </c>
    </row>
    <row r="28" ht="18" customHeight="1" s="38">
      <c r="B28" s="13">
        <f>IF($R28="","",15)</f>
        <v>15</v>
      </c>
      <c r="C28" s="72" t="str">
        <f>IF($R28="","",INDEX(Cálculos!$O:$O,$R28))</f>
        <v>DEPARTAMENTO COMERCIAL DE TARJETA DE CREDITO Y DEBITO</v>
      </c>
      <c r="G28" s="72" t="str">
        <f>IF($R28="","",INDEX(Cálculos!$P:$P,$R28))</f>
        <v>Gerencia de Negocios</v>
      </c>
      <c r="J28" s="13">
        <f>IF($R28="","",INDEX(Cálculos!$Q:$Q,$R28))</f>
        <v>7</v>
      </c>
      <c r="K28" s="13">
        <f>IF($R28="","",INDEX(Cálculos!$M:$M,$R28))</f>
        <v>7</v>
      </c>
      <c r="L28" s="13">
        <f>IF($R28="","",INDEX(Cálculos!$N:$N,$R28))</f>
        <v>0</v>
      </c>
      <c r="M28" s="74">
        <f>IF($R28="","",INDEX(Cálculos!$R:$R,$R28))</f>
        <v>1</v>
      </c>
      <c r="O28" s="15">
        <f>IF($R28="","",INDEX(Cálculos!$S:$S,$R28))</f>
        <v>86.4285714285714</v>
      </c>
      <c r="P28" s="13" t="str">
        <f>IF($R28="","",IF(M28&gt;=1,"Completo","Pendiente"))</f>
        <v>Completo</v>
      </c>
      <c r="R28">
        <f>IFERROR(SMALL(Cálculos!$T$30:$T$109,15),"")</f>
        <v>44</v>
      </c>
    </row>
    <row r="29" ht="18" customHeight="1" s="38">
      <c r="B29" s="13">
        <f>IF($R29="","",16)</f>
        <v>16</v>
      </c>
      <c r="C29" s="72" t="str">
        <f>IF($R29="","",INDEX(Cálculos!$O:$O,$R29))</f>
        <v>DEPARTAMENTO DE ATENCION A ASOCIADO Y CLIENTE</v>
      </c>
      <c r="G29" s="72" t="str">
        <f>IF($R29="","",INDEX(Cálculos!$P:$P,$R29))</f>
        <v>Gerencia de Negocios</v>
      </c>
      <c r="J29" s="13">
        <f>IF($R29="","",INDEX(Cálculos!$Q:$Q,$R29))</f>
        <v>7</v>
      </c>
      <c r="K29" s="13">
        <f>IF($R29="","",INDEX(Cálculos!$M:$M,$R29))</f>
        <v>7</v>
      </c>
      <c r="L29" s="13">
        <f>IF($R29="","",INDEX(Cálculos!$N:$N,$R29))</f>
        <v>0</v>
      </c>
      <c r="M29" s="74">
        <f>IF($R29="","",INDEX(Cálculos!$R:$R,$R29))</f>
        <v>1</v>
      </c>
      <c r="O29" s="15">
        <f>IF($R29="","",INDEX(Cálculos!$S:$S,$R29))</f>
        <v>95.7142857142857</v>
      </c>
      <c r="P29" s="13" t="str">
        <f>IF($R29="","",IF(M29&gt;=1,"Completo","Pendiente"))</f>
        <v>Completo</v>
      </c>
      <c r="R29">
        <f>IFERROR(SMALL(Cálculos!$T$30:$T$109,16),"")</f>
        <v>45</v>
      </c>
    </row>
    <row r="30" ht="18" customHeight="1" s="38">
      <c r="B30" s="13">
        <f>IF($R30="","",17)</f>
        <v>17</v>
      </c>
      <c r="C30" s="72" t="str">
        <f>IF($R30="","",INDEX(Cálculos!$O:$O,$R30))</f>
        <v>DEPARTAMENTO DE AUDITORIA INTERNA</v>
      </c>
      <c r="G30" s="72" t="str">
        <f>IF($R30="","",INDEX(Cálculos!$P:$P,$R30))</f>
        <v>Auditoría Interna</v>
      </c>
      <c r="J30" s="13">
        <f>IF($R30="","",INDEX(Cálculos!$Q:$Q,$R30))</f>
        <v>7</v>
      </c>
      <c r="K30" s="13">
        <f>IF($R30="","",INDEX(Cálculos!$M:$M,$R30))</f>
        <v>7</v>
      </c>
      <c r="L30" s="13">
        <f>IF($R30="","",INDEX(Cálculos!$N:$N,$R30))</f>
        <v>0</v>
      </c>
      <c r="M30" s="74">
        <f>IF($R30="","",INDEX(Cálculos!$R:$R,$R30))</f>
        <v>1</v>
      </c>
      <c r="O30" s="15">
        <f>IF($R30="","",INDEX(Cálculos!$S:$S,$R30))</f>
        <v>97.1428571428571</v>
      </c>
      <c r="P30" s="13" t="str">
        <f>IF($R30="","",IF(M30&gt;=1,"Completo","Pendiente"))</f>
        <v>Completo</v>
      </c>
      <c r="R30">
        <f>IFERROR(SMALL(Cálculos!$T$30:$T$109,17),"")</f>
        <v>46</v>
      </c>
    </row>
    <row r="31" ht="18" customHeight="1" s="38">
      <c r="B31" s="13">
        <f>IF($R31="","",18)</f>
        <v>18</v>
      </c>
      <c r="C31" s="72" t="str">
        <f>IF($R31="","",INDEX(Cálculos!$O:$O,$R31))</f>
        <v>OFICIALIA DE CUMPLIMIENTO</v>
      </c>
      <c r="G31" s="72" t="str">
        <f>IF($R31="","",INDEX(Cálculos!$P:$P,$R31))</f>
        <v>Gerencia de Oficialía de Cumplimiento</v>
      </c>
      <c r="J31" s="13">
        <f>IF($R31="","",INDEX(Cálculos!$Q:$Q,$R31))</f>
        <v>7</v>
      </c>
      <c r="K31" s="13">
        <f>IF($R31="","",INDEX(Cálculos!$M:$M,$R31))</f>
        <v>7</v>
      </c>
      <c r="L31" s="13">
        <f>IF($R31="","",INDEX(Cálculos!$N:$N,$R31))</f>
        <v>0</v>
      </c>
      <c r="M31" s="74">
        <f>IF($R31="","",INDEX(Cálculos!$R:$R,$R31))</f>
        <v>1</v>
      </c>
      <c r="O31" s="15">
        <f>IF($R31="","",INDEX(Cálculos!$S:$S,$R31))</f>
        <v>100</v>
      </c>
      <c r="P31" s="13" t="str">
        <f>IF($R31="","",IF(M31&gt;=1,"Completo","Pendiente"))</f>
        <v>Completo</v>
      </c>
      <c r="R31">
        <f>IFERROR(SMALL(Cálculos!$T$30:$T$109,18),"")</f>
        <v>47</v>
      </c>
    </row>
    <row r="32" ht="18" customHeight="1" s="38">
      <c r="B32" s="13">
        <f>IF($R32="","",19)</f>
        <v>19</v>
      </c>
      <c r="C32" s="72" t="str">
        <f>IF($R32="","",INDEX(Cálculos!$O:$O,$R32))</f>
        <v>SUB GERENCIA DE CANALES</v>
      </c>
      <c r="G32" s="72" t="str">
        <f>IF($R32="","",INDEX(Cálculos!$P:$P,$R32))</f>
        <v>Gerencia de Negocios</v>
      </c>
      <c r="J32" s="13">
        <f>IF($R32="","",INDEX(Cálculos!$Q:$Q,$R32))</f>
        <v>7</v>
      </c>
      <c r="K32" s="13">
        <f>IF($R32="","",INDEX(Cálculos!$M:$M,$R32))</f>
        <v>7</v>
      </c>
      <c r="L32" s="13">
        <f>IF($R32="","",INDEX(Cálculos!$N:$N,$R32))</f>
        <v>0</v>
      </c>
      <c r="M32" s="74">
        <f>IF($R32="","",INDEX(Cálculos!$R:$R,$R32))</f>
        <v>1</v>
      </c>
      <c r="O32" s="15">
        <f>IF($R32="","",INDEX(Cálculos!$S:$S,$R32))</f>
        <v>98.5714285714286</v>
      </c>
      <c r="P32" s="13" t="str">
        <f>IF($R32="","",IF(M32&gt;=1,"Completo","Pendiente"))</f>
        <v>Completo</v>
      </c>
      <c r="R32">
        <f>IFERROR(SMALL(Cálculos!$T$30:$T$109,19),"")</f>
        <v>48</v>
      </c>
    </row>
    <row r="33" ht="18" customHeight="1" s="38">
      <c r="B33" s="13">
        <f>IF($R33="","",20)</f>
        <v>20</v>
      </c>
      <c r="C33" s="72" t="str">
        <f>IF($R33="","",INDEX(Cálculos!$O:$O,$R33))</f>
        <v>DEPARTAMENTO DE CUSTODIA DE GARANTÍA Y VALORES</v>
      </c>
      <c r="G33" s="72" t="str">
        <f>IF($R33="","",INDEX(Cálculos!$P:$P,$R33))</f>
        <v>Gerencia Administrativa</v>
      </c>
      <c r="J33" s="13">
        <f>IF($R33="","",INDEX(Cálculos!$Q:$Q,$R33))</f>
        <v>6</v>
      </c>
      <c r="K33" s="13">
        <f>IF($R33="","",INDEX(Cálculos!$M:$M,$R33))</f>
        <v>6</v>
      </c>
      <c r="L33" s="13">
        <f>IF($R33="","",INDEX(Cálculos!$N:$N,$R33))</f>
        <v>0</v>
      </c>
      <c r="M33" s="74">
        <f>IF($R33="","",INDEX(Cálculos!$R:$R,$R33))</f>
        <v>1</v>
      </c>
      <c r="O33" s="15">
        <f>IF($R33="","",INDEX(Cálculos!$S:$S,$R33))</f>
        <v>100</v>
      </c>
      <c r="P33" s="13" t="str">
        <f>IF($R33="","",IF(M33&gt;=1,"Completo","Pendiente"))</f>
        <v>Completo</v>
      </c>
      <c r="R33">
        <f>IFERROR(SMALL(Cálculos!$T$30:$T$109,20),"")</f>
        <v>49</v>
      </c>
    </row>
    <row r="34" ht="18" customHeight="1" s="38">
      <c r="B34" s="13">
        <f>IF($R34="","",21)</f>
        <v>21</v>
      </c>
      <c r="C34" s="72" t="str">
        <f>IF($R34="","",INDEX(Cálculos!$O:$O,$R34))</f>
        <v>DEPARTAMENTO DE OPERACIONES Y SOPORTE TECNICO</v>
      </c>
      <c r="G34" s="72" t="str">
        <f>IF($R34="","",INDEX(Cálculos!$P:$P,$R34))</f>
        <v>Gerencia de Sistemas</v>
      </c>
      <c r="J34" s="13">
        <f>IF($R34="","",INDEX(Cálculos!$Q:$Q,$R34))</f>
        <v>6</v>
      </c>
      <c r="K34" s="13">
        <f>IF($R34="","",INDEX(Cálculos!$M:$M,$R34))</f>
        <v>6</v>
      </c>
      <c r="L34" s="13">
        <f>IF($R34="","",INDEX(Cálculos!$N:$N,$R34))</f>
        <v>0</v>
      </c>
      <c r="M34" s="74">
        <f>IF($R34="","",INDEX(Cálculos!$R:$R,$R34))</f>
        <v>1</v>
      </c>
      <c r="O34" s="15">
        <f>IF($R34="","",INDEX(Cálculos!$S:$S,$R34))</f>
        <v>100</v>
      </c>
      <c r="P34" s="13" t="str">
        <f>IF($R34="","",IF(M34&gt;=1,"Completo","Pendiente"))</f>
        <v>Completo</v>
      </c>
      <c r="R34">
        <f>IFERROR(SMALL(Cálculos!$T$30:$T$109,21),"")</f>
        <v>50</v>
      </c>
    </row>
    <row r="35" ht="18" customHeight="1" s="38">
      <c r="B35" s="13">
        <f>IF($R35="","",22)</f>
        <v>22</v>
      </c>
      <c r="C35" s="72" t="str">
        <f>IF($R35="","",INDEX(Cálculos!$O:$O,$R35))</f>
        <v>ADMINISTRACIÓN DE CARTERAS</v>
      </c>
      <c r="G35" s="72" t="str">
        <f>IF($R35="","",INDEX(Cálculos!$P:$P,$R35))</f>
        <v>Gerencia de Operaciones</v>
      </c>
      <c r="J35" s="13">
        <f>IF($R35="","",INDEX(Cálculos!$Q:$Q,$R35))</f>
        <v>5</v>
      </c>
      <c r="K35" s="13">
        <f>IF($R35="","",INDEX(Cálculos!$M:$M,$R35))</f>
        <v>5</v>
      </c>
      <c r="L35" s="13">
        <f>IF($R35="","",INDEX(Cálculos!$N:$N,$R35))</f>
        <v>0</v>
      </c>
      <c r="M35" s="74">
        <f>IF($R35="","",INDEX(Cálculos!$R:$R,$R35))</f>
        <v>1</v>
      </c>
      <c r="O35" s="15">
        <f>IF($R35="","",INDEX(Cálculos!$S:$S,$R35))</f>
        <v>100</v>
      </c>
      <c r="P35" s="13" t="str">
        <f>IF($R35="","",IF(M35&gt;=1,"Completo","Pendiente"))</f>
        <v>Completo</v>
      </c>
      <c r="R35">
        <f>IFERROR(SMALL(Cálculos!$T$30:$T$109,22),"")</f>
        <v>51</v>
      </c>
    </row>
    <row r="36" ht="18" customHeight="1" s="38">
      <c r="B36" s="13">
        <f>IF($R36="","",23)</f>
        <v>23</v>
      </c>
      <c r="C36" s="72" t="str">
        <f>IF($R36="","",INDEX(Cálculos!$O:$O,$R36))</f>
        <v>DEPARTAMENTO DE TARJETA DE CREDITO Y DEBITO</v>
      </c>
      <c r="G36" s="72" t="str">
        <f>IF($R36="","",INDEX(Cálculos!$P:$P,$R36))</f>
        <v>Gerencia de Operaciones</v>
      </c>
      <c r="J36" s="13">
        <f>IF($R36="","",INDEX(Cálculos!$Q:$Q,$R36))</f>
        <v>5</v>
      </c>
      <c r="K36" s="13">
        <f>IF($R36="","",INDEX(Cálculos!$M:$M,$R36))</f>
        <v>5</v>
      </c>
      <c r="L36" s="13">
        <f>IF($R36="","",INDEX(Cálculos!$N:$N,$R36))</f>
        <v>0</v>
      </c>
      <c r="M36" s="74">
        <f>IF($R36="","",INDEX(Cálculos!$R:$R,$R36))</f>
        <v>1</v>
      </c>
      <c r="O36" s="15">
        <f>IF($R36="","",INDEX(Cálculos!$S:$S,$R36))</f>
        <v>99</v>
      </c>
      <c r="P36" s="13" t="str">
        <f>IF($R36="","",IF(M36&gt;=1,"Completo","Pendiente"))</f>
        <v>Completo</v>
      </c>
      <c r="R36">
        <f>IFERROR(SMALL(Cálculos!$T$30:$T$109,23),"")</f>
        <v>52</v>
      </c>
    </row>
    <row r="37" ht="18" customHeight="1" s="38">
      <c r="B37" s="13">
        <f>IF($R37="","",24)</f>
        <v>24</v>
      </c>
      <c r="C37" s="72" t="str">
        <f>IF($R37="","",INDEX(Cálculos!$O:$O,$R37))</f>
        <v>ADMINISTRACION DE RIESGOS</v>
      </c>
      <c r="G37" s="72" t="str">
        <f>IF($R37="","",INDEX(Cálculos!$P:$P,$R37))</f>
        <v>Gerencia General</v>
      </c>
      <c r="J37" s="13">
        <f>IF($R37="","",INDEX(Cálculos!$Q:$Q,$R37))</f>
        <v>4</v>
      </c>
      <c r="K37" s="13">
        <f>IF($R37="","",INDEX(Cálculos!$M:$M,$R37))</f>
        <v>4</v>
      </c>
      <c r="L37" s="13">
        <f>IF($R37="","",INDEX(Cálculos!$N:$N,$R37))</f>
        <v>0</v>
      </c>
      <c r="M37" s="74">
        <f>IF($R37="","",INDEX(Cálculos!$R:$R,$R37))</f>
        <v>1</v>
      </c>
      <c r="O37" s="15">
        <f>IF($R37="","",INDEX(Cálculos!$S:$S,$R37))</f>
        <v>100</v>
      </c>
      <c r="P37" s="13" t="str">
        <f>IF($R37="","",IF(M37&gt;=1,"Completo","Pendiente"))</f>
        <v>Completo</v>
      </c>
      <c r="R37">
        <f>IFERROR(SMALL(Cálculos!$T$30:$T$109,24),"")</f>
        <v>53</v>
      </c>
    </row>
    <row r="38" ht="18" customHeight="1" s="38">
      <c r="B38" s="13">
        <f>IF($R38="","",25)</f>
        <v>25</v>
      </c>
      <c r="C38" s="72" t="str">
        <f>IF($R38="","",INDEX(Cálculos!$O:$O,$R38))</f>
        <v>DEPARTAMENTO DE DEPOSITOS</v>
      </c>
      <c r="G38" s="72" t="str">
        <f>IF($R38="","",INDEX(Cálculos!$P:$P,$R38))</f>
        <v>Gerencia de Operaciones</v>
      </c>
      <c r="J38" s="13">
        <f>IF($R38="","",INDEX(Cálculos!$Q:$Q,$R38))</f>
        <v>4</v>
      </c>
      <c r="K38" s="13">
        <f>IF($R38="","",INDEX(Cálculos!$M:$M,$R38))</f>
        <v>4</v>
      </c>
      <c r="L38" s="13">
        <f>IF($R38="","",INDEX(Cálculos!$N:$N,$R38))</f>
        <v>0</v>
      </c>
      <c r="M38" s="74">
        <f>IF($R38="","",INDEX(Cálculos!$R:$R,$R38))</f>
        <v>1</v>
      </c>
      <c r="O38" s="15">
        <f>IF($R38="","",INDEX(Cálculos!$S:$S,$R38))</f>
        <v>98.75</v>
      </c>
      <c r="P38" s="13" t="str">
        <f>IF($R38="","",IF(M38&gt;=1,"Completo","Pendiente"))</f>
        <v>Completo</v>
      </c>
      <c r="R38">
        <f>IFERROR(SMALL(Cálculos!$T$30:$T$109,25),"")</f>
        <v>54</v>
      </c>
    </row>
    <row r="39" ht="18" customHeight="1" s="38">
      <c r="B39" s="13">
        <f>IF($R39="","",26)</f>
        <v>26</v>
      </c>
      <c r="C39" s="72" t="str">
        <f>IF($R39="","",INDEX(Cálculos!$O:$O,$R39))</f>
        <v>GERENCIA DE NEGOCIOS</v>
      </c>
      <c r="G39" s="72" t="str">
        <f>IF($R39="","",INDEX(Cálculos!$P:$P,$R39))</f>
        <v>Gerencia de Negocios</v>
      </c>
      <c r="J39" s="13">
        <f>IF($R39="","",INDEX(Cálculos!$Q:$Q,$R39))</f>
        <v>4</v>
      </c>
      <c r="K39" s="13">
        <f>IF($R39="","",INDEX(Cálculos!$M:$M,$R39))</f>
        <v>4</v>
      </c>
      <c r="L39" s="13">
        <f>IF($R39="","",INDEX(Cálculos!$N:$N,$R39))</f>
        <v>0</v>
      </c>
      <c r="M39" s="74">
        <f>IF($R39="","",INDEX(Cálculos!$R:$R,$R39))</f>
        <v>1</v>
      </c>
      <c r="O39" s="15">
        <f>IF($R39="","",INDEX(Cálculos!$S:$S,$R39))</f>
        <v>100</v>
      </c>
      <c r="P39" s="13" t="str">
        <f>IF($R39="","",IF(M39&gt;=1,"Completo","Pendiente"))</f>
        <v>Completo</v>
      </c>
      <c r="R39">
        <f>IFERROR(SMALL(Cálculos!$T$30:$T$109,26),"")</f>
        <v>55</v>
      </c>
    </row>
    <row r="40" ht="18" customHeight="1" s="38">
      <c r="B40" s="13">
        <f>IF($R40="","",27)</f>
        <v>27</v>
      </c>
      <c r="C40" s="72" t="str">
        <f>IF($R40="","",INDEX(Cálculos!$O:$O,$R40))</f>
        <v>GERENCIA DE SISTEMAS</v>
      </c>
      <c r="G40" s="72" t="str">
        <f>IF($R40="","",INDEX(Cálculos!$P:$P,$R40))</f>
        <v>Gerencia de Sistemas</v>
      </c>
      <c r="J40" s="13">
        <f>IF($R40="","",INDEX(Cálculos!$Q:$Q,$R40))</f>
        <v>4</v>
      </c>
      <c r="K40" s="13">
        <f>IF($R40="","",INDEX(Cálculos!$M:$M,$R40))</f>
        <v>4</v>
      </c>
      <c r="L40" s="13">
        <f>IF($R40="","",INDEX(Cálculos!$N:$N,$R40))</f>
        <v>0</v>
      </c>
      <c r="M40" s="74">
        <f>IF($R40="","",INDEX(Cálculos!$R:$R,$R40))</f>
        <v>1</v>
      </c>
      <c r="O40" s="15">
        <f>IF($R40="","",INDEX(Cálculos!$S:$S,$R40))</f>
        <v>98.75</v>
      </c>
      <c r="P40" s="13" t="str">
        <f>IF($R40="","",IF(M40&gt;=1,"Completo","Pendiente"))</f>
        <v>Completo</v>
      </c>
      <c r="R40">
        <f>IFERROR(SMALL(Cálculos!$T$30:$T$109,27),"")</f>
        <v>56</v>
      </c>
    </row>
    <row r="41" ht="18" customHeight="1" s="38">
      <c r="B41" s="13">
        <f>IF($R41="","",28)</f>
        <v>28</v>
      </c>
      <c r="C41" s="72" t="str">
        <f>IF($R41="","",INDEX(Cálculos!$O:$O,$R41))</f>
        <v>OFICIALIA DE SEGURIDAD DE LA INFORMACION</v>
      </c>
      <c r="G41" s="72" t="str">
        <f>IF($R41="","",INDEX(Cálculos!$P:$P,$R41))</f>
        <v>Gerencia General</v>
      </c>
      <c r="J41" s="13">
        <f>IF($R41="","",INDEX(Cálculos!$Q:$Q,$R41))</f>
        <v>4</v>
      </c>
      <c r="K41" s="13">
        <f>IF($R41="","",INDEX(Cálculos!$M:$M,$R41))</f>
        <v>4</v>
      </c>
      <c r="L41" s="13">
        <f>IF($R41="","",INDEX(Cálculos!$N:$N,$R41))</f>
        <v>0</v>
      </c>
      <c r="M41" s="74">
        <f>IF($R41="","",INDEX(Cálculos!$R:$R,$R41))</f>
        <v>1</v>
      </c>
      <c r="O41" s="15">
        <f>IF($R41="","",INDEX(Cálculos!$S:$S,$R41))</f>
        <v>96.25</v>
      </c>
      <c r="P41" s="13" t="str">
        <f>IF($R41="","",IF(M41&gt;=1,"Completo","Pendiente"))</f>
        <v>Completo</v>
      </c>
      <c r="R41">
        <f>IFERROR(SMALL(Cálculos!$T$30:$T$109,28),"")</f>
        <v>57</v>
      </c>
    </row>
    <row r="42" ht="18" customHeight="1" s="38">
      <c r="B42" s="13">
        <f>IF($R42="","",29)</f>
        <v>29</v>
      </c>
      <c r="C42" s="72" t="str">
        <f>IF($R42="","",INDEX(Cálculos!$O:$O,$R42))</f>
        <v>DEPARTAMENTO DE EDUCACION Y RESPONSABILIDAD SOCIAL</v>
      </c>
      <c r="G42" s="72" t="str">
        <f>IF($R42="","",INDEX(Cálculos!$P:$P,$R42))</f>
        <v>Gerencia Administrativa</v>
      </c>
      <c r="J42" s="13">
        <f>IF($R42="","",INDEX(Cálculos!$Q:$Q,$R42))</f>
        <v>3</v>
      </c>
      <c r="K42" s="13">
        <f>IF($R42="","",INDEX(Cálculos!$M:$M,$R42))</f>
        <v>3</v>
      </c>
      <c r="L42" s="13">
        <f>IF($R42="","",INDEX(Cálculos!$N:$N,$R42))</f>
        <v>0</v>
      </c>
      <c r="M42" s="74">
        <f>IF($R42="","",INDEX(Cálculos!$R:$R,$R42))</f>
        <v>1</v>
      </c>
      <c r="O42" s="15">
        <f>IF($R42="","",INDEX(Cálculos!$S:$S,$R42))</f>
        <v>100</v>
      </c>
      <c r="P42" s="13" t="str">
        <f>IF($R42="","",IF(M42&gt;=1,"Completo","Pendiente"))</f>
        <v>Completo</v>
      </c>
      <c r="R42">
        <f>IFERROR(SMALL(Cálculos!$T$30:$T$109,29),"")</f>
        <v>58</v>
      </c>
    </row>
    <row r="43" ht="18" customHeight="1" s="38">
      <c r="B43" s="13">
        <f>IF($R43="","",30)</f>
        <v>30</v>
      </c>
      <c r="C43" s="72" t="str">
        <f>IF($R43="","",INDEX(Cálculos!$O:$O,$R43))</f>
        <v>DEPARTAMENTO DE PLANIFICACIÓN Y ANALISIS</v>
      </c>
      <c r="G43" s="72" t="str">
        <f>IF($R43="","",INDEX(Cálculos!$P:$P,$R43))</f>
        <v>Gerencia de Finanzas y Planificación</v>
      </c>
      <c r="J43" s="13">
        <f>IF($R43="","",INDEX(Cálculos!$Q:$Q,$R43))</f>
        <v>3</v>
      </c>
      <c r="K43" s="13">
        <f>IF($R43="","",INDEX(Cálculos!$M:$M,$R43))</f>
        <v>3</v>
      </c>
      <c r="L43" s="13">
        <f>IF($R43="","",INDEX(Cálculos!$N:$N,$R43))</f>
        <v>0</v>
      </c>
      <c r="M43" s="74">
        <f>IF($R43="","",INDEX(Cálculos!$R:$R,$R43))</f>
        <v>1</v>
      </c>
      <c r="O43" s="15">
        <f>IF($R43="","",INDEX(Cálculos!$S:$S,$R43))</f>
        <v>100</v>
      </c>
      <c r="P43" s="13" t="str">
        <f>IF($R43="","",IF(M43&gt;=1,"Completo","Pendiente"))</f>
        <v>Completo</v>
      </c>
      <c r="R43">
        <f>IFERROR(SMALL(Cálculos!$T$30:$T$109,30),"")</f>
        <v>59</v>
      </c>
    </row>
    <row r="44" ht="18" customHeight="1" s="38">
      <c r="B44" s="13">
        <f>IF($R44="","",31)</f>
        <v>31</v>
      </c>
      <c r="C44" s="72" t="str">
        <f>IF($R44="","",INDEX(Cálculos!$O:$O,$R44))</f>
        <v>DEPARTAMENTO DE PROCESOS</v>
      </c>
      <c r="G44" s="72" t="str">
        <f>IF($R44="","",INDEX(Cálculos!$P:$P,$R44))</f>
        <v>Gerencia General</v>
      </c>
      <c r="J44" s="13">
        <f>IF($R44="","",INDEX(Cálculos!$Q:$Q,$R44))</f>
        <v>3</v>
      </c>
      <c r="K44" s="13">
        <f>IF($R44="","",INDEX(Cálculos!$M:$M,$R44))</f>
        <v>3</v>
      </c>
      <c r="L44" s="13">
        <f>IF($R44="","",INDEX(Cálculos!$N:$N,$R44))</f>
        <v>0</v>
      </c>
      <c r="M44" s="74">
        <f>IF($R44="","",INDEX(Cálculos!$R:$R,$R44))</f>
        <v>1</v>
      </c>
      <c r="O44" s="15">
        <f>IF($R44="","",INDEX(Cálculos!$S:$S,$R44))</f>
        <v>100</v>
      </c>
      <c r="P44" s="13" t="str">
        <f>IF($R44="","",IF(M44&gt;=1,"Completo","Pendiente"))</f>
        <v>Completo</v>
      </c>
      <c r="R44">
        <f>IFERROR(SMALL(Cálculos!$T$30:$T$109,31),"")</f>
        <v>60</v>
      </c>
    </row>
    <row r="45" ht="18" customHeight="1" s="38">
      <c r="B45" s="13">
        <f>IF($R45="","",32)</f>
        <v>32</v>
      </c>
      <c r="C45" s="72" t="str">
        <f>IF($R45="","",INDEX(Cálculos!$O:$O,$R45))</f>
        <v>CLINICA EMPRESARIAL</v>
      </c>
      <c r="G45" s="72" t="str">
        <f>IF($R45="","",INDEX(Cálculos!$P:$P,$R45))</f>
        <v>Gerencia Administrativa</v>
      </c>
      <c r="J45" s="13">
        <f>IF($R45="","",INDEX(Cálculos!$Q:$Q,$R45))</f>
        <v>2</v>
      </c>
      <c r="K45" s="13">
        <f>IF($R45="","",INDEX(Cálculos!$M:$M,$R45))</f>
        <v>2</v>
      </c>
      <c r="L45" s="13">
        <f>IF($R45="","",INDEX(Cálculos!$N:$N,$R45))</f>
        <v>0</v>
      </c>
      <c r="M45" s="74">
        <f>IF($R45="","",INDEX(Cálculos!$R:$R,$R45))</f>
        <v>1</v>
      </c>
      <c r="O45" s="15">
        <f>IF($R45="","",INDEX(Cálculos!$S:$S,$R45))</f>
        <v>100</v>
      </c>
      <c r="P45" s="13" t="str">
        <f>IF($R45="","",IF(M45&gt;=1,"Completo","Pendiente"))</f>
        <v>Completo</v>
      </c>
      <c r="R45">
        <f>IFERROR(SMALL(Cálculos!$T$30:$T$109,32),"")</f>
        <v>61</v>
      </c>
    </row>
    <row r="46" ht="18" customHeight="1" s="38">
      <c r="B46" s="13">
        <f>IF($R46="","",33)</f>
        <v>33</v>
      </c>
      <c r="C46" s="72" t="str">
        <f>IF($R46="","",INDEX(Cálculos!$O:$O,$R46))</f>
        <v>DEPARTAMENTO DE SEGURIDAD</v>
      </c>
      <c r="G46" s="72" t="str">
        <f>IF($R46="","",INDEX(Cálculos!$P:$P,$R46))</f>
        <v>Gerencia Administrativa</v>
      </c>
      <c r="J46" s="13">
        <f>IF($R46="","",INDEX(Cálculos!$Q:$Q,$R46))</f>
        <v>2</v>
      </c>
      <c r="K46" s="13">
        <f>IF($R46="","",INDEX(Cálculos!$M:$M,$R46))</f>
        <v>2</v>
      </c>
      <c r="L46" s="13">
        <f>IF($R46="","",INDEX(Cálculos!$N:$N,$R46))</f>
        <v>0</v>
      </c>
      <c r="M46" s="74">
        <f>IF($R46="","",INDEX(Cálculos!$R:$R,$R46))</f>
        <v>1</v>
      </c>
      <c r="O46" s="15">
        <f>IF($R46="","",INDEX(Cálculos!$S:$S,$R46))</f>
        <v>95</v>
      </c>
      <c r="P46" s="13" t="str">
        <f>IF($R46="","",IF(M46&gt;=1,"Completo","Pendiente"))</f>
        <v>Completo</v>
      </c>
      <c r="R46">
        <f>IFERROR(SMALL(Cálculos!$T$30:$T$109,33),"")</f>
        <v>62</v>
      </c>
    </row>
    <row r="47" ht="18" customHeight="1" s="38">
      <c r="B47" s="13">
        <f>IF($R47="","",34)</f>
        <v>34</v>
      </c>
      <c r="C47" s="72" t="str">
        <f>IF($R47="","",INDEX(Cálculos!$O:$O,$R47))</f>
        <v>DEPARTAMENTO DE TALENTO HUMANO</v>
      </c>
      <c r="G47" s="72" t="str">
        <f>IF($R47="","",INDEX(Cálculos!$P:$P,$R47))</f>
        <v>Gerencia Administrativa</v>
      </c>
      <c r="J47" s="13">
        <f>IF($R47="","",INDEX(Cálculos!$Q:$Q,$R47))</f>
        <v>2</v>
      </c>
      <c r="K47" s="13">
        <f>IF($R47="","",INDEX(Cálculos!$M:$M,$R47))</f>
        <v>2</v>
      </c>
      <c r="L47" s="13">
        <f>IF($R47="","",INDEX(Cálculos!$N:$N,$R47))</f>
        <v>0</v>
      </c>
      <c r="M47" s="74">
        <f>IF($R47="","",INDEX(Cálculos!$R:$R,$R47))</f>
        <v>1</v>
      </c>
      <c r="O47" s="15">
        <f>IF($R47="","",INDEX(Cálculos!$S:$S,$R47))</f>
        <v>95</v>
      </c>
      <c r="P47" s="13" t="str">
        <f>IF($R47="","",IF(M47&gt;=1,"Completo","Pendiente"))</f>
        <v>Completo</v>
      </c>
      <c r="R47">
        <f>IFERROR(SMALL(Cálculos!$T$30:$T$109,34),"")</f>
        <v>63</v>
      </c>
    </row>
    <row r="48" ht="18" customHeight="1" s="38">
      <c r="B48" s="13">
        <f>IF($R48="","",35)</f>
        <v>35</v>
      </c>
      <c r="C48" s="72" t="str">
        <f>IF($R48="","",INDEX(Cálculos!$O:$O,$R48))</f>
        <v>GERENCIA ADMINISTRATIVA</v>
      </c>
      <c r="G48" s="72" t="str">
        <f>IF($R48="","",INDEX(Cálculos!$P:$P,$R48))</f>
        <v>Gerencia Administrativa</v>
      </c>
      <c r="J48" s="13">
        <f>IF($R48="","",INDEX(Cálculos!$Q:$Q,$R48))</f>
        <v>2</v>
      </c>
      <c r="K48" s="13">
        <f>IF($R48="","",INDEX(Cálculos!$M:$M,$R48))</f>
        <v>2</v>
      </c>
      <c r="L48" s="13">
        <f>IF($R48="","",INDEX(Cálculos!$N:$N,$R48))</f>
        <v>0</v>
      </c>
      <c r="M48" s="74">
        <f>IF($R48="","",INDEX(Cálculos!$R:$R,$R48))</f>
        <v>1</v>
      </c>
      <c r="O48" s="15">
        <f>IF($R48="","",INDEX(Cálculos!$S:$S,$R48))</f>
        <v>100</v>
      </c>
      <c r="P48" s="13" t="str">
        <f>IF($R48="","",IF(M48&gt;=1,"Completo","Pendiente"))</f>
        <v>Completo</v>
      </c>
      <c r="R48">
        <f>IFERROR(SMALL(Cálculos!$T$30:$T$109,35),"")</f>
        <v>64</v>
      </c>
    </row>
    <row r="49" ht="18" customHeight="1" s="38">
      <c r="B49" s="13">
        <f>IF($R49="","",36)</f>
        <v>36</v>
      </c>
      <c r="C49" s="72" t="str">
        <f>IF($R49="","",INDEX(Cálculos!$O:$O,$R49))</f>
        <v>GERENCIA DE FINANZAS Y PLANIFICACIÓN</v>
      </c>
      <c r="G49" s="72" t="str">
        <f>IF($R49="","",INDEX(Cálculos!$P:$P,$R49))</f>
        <v>Gerencia de Finanzas y Planificación</v>
      </c>
      <c r="J49" s="13">
        <f>IF($R49="","",INDEX(Cálculos!$Q:$Q,$R49))</f>
        <v>2</v>
      </c>
      <c r="K49" s="13">
        <f>IF($R49="","",INDEX(Cálculos!$M:$M,$R49))</f>
        <v>2</v>
      </c>
      <c r="L49" s="13">
        <f>IF($R49="","",INDEX(Cálculos!$N:$N,$R49))</f>
        <v>0</v>
      </c>
      <c r="M49" s="74">
        <f>IF($R49="","",INDEX(Cálculos!$R:$R,$R49))</f>
        <v>1</v>
      </c>
      <c r="O49" s="15">
        <f>IF($R49="","",INDEX(Cálculos!$S:$S,$R49))</f>
        <v>100</v>
      </c>
      <c r="P49" s="13" t="str">
        <f>IF($R49="","",IF(M49&gt;=1,"Completo","Pendiente"))</f>
        <v>Completo</v>
      </c>
      <c r="R49">
        <f>IFERROR(SMALL(Cálculos!$T$30:$T$109,36),"")</f>
        <v>65</v>
      </c>
    </row>
    <row r="50" ht="18" customHeight="1" s="38">
      <c r="B50" s="13">
        <f>IF($R50="","",37)</f>
        <v>37</v>
      </c>
      <c r="C50" s="72" t="str">
        <f>IF($R50="","",INDEX(Cálculos!$O:$O,$R50))</f>
        <v>GERENCIA GENERAL</v>
      </c>
      <c r="G50" s="72" t="str">
        <f>IF($R50="","",INDEX(Cálculos!$P:$P,$R50))</f>
        <v>Gerencia General</v>
      </c>
      <c r="J50" s="13">
        <f>IF($R50="","",INDEX(Cálculos!$Q:$Q,$R50))</f>
        <v>2</v>
      </c>
      <c r="K50" s="13">
        <f>IF($R50="","",INDEX(Cálculos!$M:$M,$R50))</f>
        <v>2</v>
      </c>
      <c r="L50" s="13">
        <f>IF($R50="","",INDEX(Cálculos!$N:$N,$R50))</f>
        <v>0</v>
      </c>
      <c r="M50" s="74">
        <f>IF($R50="","",INDEX(Cálculos!$R:$R,$R50))</f>
        <v>1</v>
      </c>
      <c r="O50" s="15">
        <f>IF($R50="","",INDEX(Cálculos!$S:$S,$R50))</f>
        <v>100</v>
      </c>
      <c r="P50" s="13" t="str">
        <f>IF($R50="","",IF(M50&gt;=1,"Completo","Pendiente"))</f>
        <v>Completo</v>
      </c>
      <c r="R50">
        <f>IFERROR(SMALL(Cálculos!$T$30:$T$109,37),"")</f>
        <v>66</v>
      </c>
    </row>
    <row r="51" ht="18" customHeight="1" s="38">
      <c r="B51" s="13">
        <f>IF($R51="","",38)</f>
        <v>38</v>
      </c>
      <c r="C51" s="72" t="str">
        <f>IF($R51="","",INDEX(Cálculos!$O:$O,$R51))</f>
        <v>ADMINISTRACION DE BASE DE DATOS</v>
      </c>
      <c r="G51" s="72" t="str">
        <f>IF($R51="","",INDEX(Cálculos!$P:$P,$R51))</f>
        <v>Gerencia de Sistemas</v>
      </c>
      <c r="J51" s="13">
        <f>IF($R51="","",INDEX(Cálculos!$Q:$Q,$R51))</f>
        <v>1</v>
      </c>
      <c r="K51" s="13">
        <f>IF($R51="","",INDEX(Cálculos!$M:$M,$R51))</f>
        <v>1</v>
      </c>
      <c r="L51" s="13">
        <f>IF($R51="","",INDEX(Cálculos!$N:$N,$R51))</f>
        <v>0</v>
      </c>
      <c r="M51" s="74">
        <f>IF($R51="","",INDEX(Cálculos!$R:$R,$R51))</f>
        <v>1</v>
      </c>
      <c r="O51" s="15">
        <f>IF($R51="","",INDEX(Cálculos!$S:$S,$R51))</f>
        <v>95</v>
      </c>
      <c r="P51" s="13" t="str">
        <f>IF($R51="","",IF(M51&gt;=1,"Completo","Pendiente"))</f>
        <v>Completo</v>
      </c>
      <c r="R51">
        <f>IFERROR(SMALL(Cálculos!$T$30:$T$109,38),"")</f>
        <v>67</v>
      </c>
    </row>
    <row r="52" ht="18" customHeight="1" s="38">
      <c r="B52" s="13">
        <f>IF($R52="","",39)</f>
        <v>39</v>
      </c>
      <c r="C52" s="72" t="str">
        <f>IF($R52="","",INDEX(Cálculos!$O:$O,$R52))</f>
        <v>CONSEJO DE ADMINISTRACION</v>
      </c>
      <c r="G52" s="72" t="str">
        <f>IF($R52="","",INDEX(Cálculos!$P:$P,$R52))</f>
        <v>Consejo de Administración</v>
      </c>
      <c r="J52" s="13">
        <f>IF($R52="","",INDEX(Cálculos!$Q:$Q,$R52))</f>
        <v>1</v>
      </c>
      <c r="K52" s="13">
        <f>IF($R52="","",INDEX(Cálculos!$M:$M,$R52))</f>
        <v>1</v>
      </c>
      <c r="L52" s="13">
        <f>IF($R52="","",INDEX(Cálculos!$N:$N,$R52))</f>
        <v>0</v>
      </c>
      <c r="M52" s="74">
        <f>IF($R52="","",INDEX(Cálculos!$R:$R,$R52))</f>
        <v>1</v>
      </c>
      <c r="O52" s="15">
        <f>IF($R52="","",INDEX(Cálculos!$S:$S,$R52))</f>
        <v>90</v>
      </c>
      <c r="P52" s="13" t="str">
        <f>IF($R52="","",IF(M52&gt;=1,"Completo","Pendiente"))</f>
        <v>Completo</v>
      </c>
      <c r="R52">
        <f>IFERROR(SMALL(Cálculos!$T$30:$T$109,39),"")</f>
        <v>68</v>
      </c>
    </row>
    <row r="53" ht="18" customHeight="1" s="38">
      <c r="B53" s="13">
        <f>IF($R53="","",40)</f>
        <v>40</v>
      </c>
      <c r="C53" s="72" t="str">
        <f>IF($R53="","",INDEX(Cálculos!$O:$O,$R53))</f>
        <v>GERENCIA LEGAL Y DE CUMPLIMIENTO NORMATIVO</v>
      </c>
      <c r="G53" s="72" t="str">
        <f>IF($R53="","",INDEX(Cálculos!$P:$P,$R53))</f>
        <v>Gerencia Legal y Cumplimiento Normativo</v>
      </c>
      <c r="J53" s="13">
        <f>IF($R53="","",INDEX(Cálculos!$Q:$Q,$R53))</f>
        <v>1</v>
      </c>
      <c r="K53" s="13">
        <f>IF($R53="","",INDEX(Cálculos!$M:$M,$R53))</f>
        <v>1</v>
      </c>
      <c r="L53" s="13">
        <f>IF($R53="","",INDEX(Cálculos!$N:$N,$R53))</f>
        <v>0</v>
      </c>
      <c r="M53" s="74">
        <f>IF($R53="","",INDEX(Cálculos!$R:$R,$R53))</f>
        <v>1</v>
      </c>
      <c r="O53" s="15">
        <f>IF($R53="","",INDEX(Cálculos!$S:$S,$R53))</f>
        <v>100</v>
      </c>
      <c r="P53" s="13" t="str">
        <f>IF($R53="","",IF(M53&gt;=1,"Completo","Pendiente"))</f>
        <v>Completo</v>
      </c>
      <c r="R53">
        <f>IFERROR(SMALL(Cálculos!$T$30:$T$109,40),"")</f>
        <v>69</v>
      </c>
    </row>
    <row r="54" ht="18" customHeight="1" s="38">
      <c r="B54" s="13">
        <f>IF($R54="","",41)</f>
        <v>41</v>
      </c>
      <c r="C54" s="72" t="str">
        <f>IF($R54="","",INDEX(Cálculos!$O:$O,$R54))</f>
        <v>AGENCIA COLONIA MEDICA</v>
      </c>
      <c r="G54" s="72" t="str">
        <f>IF($R54="","",INDEX(Cálculos!$P:$P,$R54))</f>
        <v>Gerencia de Negocios</v>
      </c>
      <c r="J54" s="13">
        <f>IF($R54="","",INDEX(Cálculos!$Q:$Q,$R54))</f>
        <v>16</v>
      </c>
      <c r="K54" s="13">
        <f>IF($R54="","",INDEX(Cálculos!$M:$M,$R54))</f>
        <v>15</v>
      </c>
      <c r="L54" s="13">
        <f>IF($R54="","",INDEX(Cálculos!$N:$N,$R54))</f>
        <v>1</v>
      </c>
      <c r="M54" s="74">
        <f>IF($R54="","",INDEX(Cálculos!$R:$R,$R54))</f>
        <v>0.9375</v>
      </c>
      <c r="O54" s="15">
        <f>IF($R54="","",INDEX(Cálculos!$S:$S,$R54))</f>
        <v>98.3333333333333</v>
      </c>
      <c r="P54" s="13" t="str">
        <f>IF($R54="","",IF(M54&gt;=1,"Completo","Pendiente"))</f>
        <v>Pendiente</v>
      </c>
      <c r="R54">
        <f>IFERROR(SMALL(Cálculos!$T$30:$T$109,41),"")</f>
        <v>70</v>
      </c>
    </row>
    <row r="55" ht="18" customHeight="1" s="38">
      <c r="B55" s="13">
        <f>IF($R55="","",42)</f>
        <v>42</v>
      </c>
      <c r="C55" s="72" t="str">
        <f>IF($R55="","",INDEX(Cálculos!$O:$O,$R55))</f>
        <v>AGENCIA CENTRAL</v>
      </c>
      <c r="G55" s="72" t="str">
        <f>IF($R55="","",INDEX(Cálculos!$P:$P,$R55))</f>
        <v>Gerencia de Negocios</v>
      </c>
      <c r="J55" s="13">
        <f>IF($R55="","",INDEX(Cálculos!$Q:$Q,$R55))</f>
        <v>16</v>
      </c>
      <c r="K55" s="13">
        <f>IF($R55="","",INDEX(Cálculos!$M:$M,$R55))</f>
        <v>14</v>
      </c>
      <c r="L55" s="13">
        <f>IF($R55="","",INDEX(Cálculos!$N:$N,$R55))</f>
        <v>2</v>
      </c>
      <c r="M55" s="74">
        <f>IF($R55="","",INDEX(Cálculos!$R:$R,$R55))</f>
        <v>0.875</v>
      </c>
      <c r="O55" s="15">
        <f>IF($R55="","",INDEX(Cálculos!$S:$S,$R55))</f>
        <v>96.4285714285714</v>
      </c>
      <c r="P55" s="13" t="str">
        <f>IF($R55="","",IF(M55&gt;=1,"Completo","Pendiente"))</f>
        <v>Pendiente</v>
      </c>
      <c r="R55">
        <f>IFERROR(SMALL(Cálculos!$T$30:$T$109,42),"")</f>
        <v>71</v>
      </c>
    </row>
    <row r="56" ht="18" customHeight="1" s="38">
      <c r="B56" s="13">
        <f>IF($R56="","",43)</f>
        <v>43</v>
      </c>
      <c r="C56" s="72" t="str">
        <f>IF($R56="","",INDEX(Cálculos!$O:$O,$R56))</f>
        <v>DEPARTAMENTO DE MERCADEO</v>
      </c>
      <c r="G56" s="72" t="str">
        <f>IF($R56="","",INDEX(Cálculos!$P:$P,$R56))</f>
        <v>Gerencia de Negocios</v>
      </c>
      <c r="J56" s="13">
        <f>IF($R56="","",INDEX(Cálculos!$Q:$Q,$R56))</f>
        <v>7</v>
      </c>
      <c r="K56" s="13">
        <f>IF($R56="","",INDEX(Cálculos!$M:$M,$R56))</f>
        <v>6</v>
      </c>
      <c r="L56" s="13">
        <f>IF($R56="","",INDEX(Cálculos!$N:$N,$R56))</f>
        <v>1</v>
      </c>
      <c r="M56" s="74">
        <f>IF($R56="","",INDEX(Cálculos!$R:$R,$R56))</f>
        <v>0.857142857142857</v>
      </c>
      <c r="O56" s="15">
        <f>IF($R56="","",INDEX(Cálculos!$S:$S,$R56))</f>
        <v>95</v>
      </c>
      <c r="P56" s="13" t="str">
        <f>IF($R56="","",IF(M56&gt;=1,"Completo","Pendiente"))</f>
        <v>Pendiente</v>
      </c>
      <c r="R56">
        <f>IFERROR(SMALL(Cálculos!$T$30:$T$109,43),"")</f>
        <v>72</v>
      </c>
    </row>
    <row r="57" ht="18" customHeight="1" s="38">
      <c r="B57" s="13">
        <f>IF($R57="","",44)</f>
        <v>44</v>
      </c>
      <c r="C57" s="72" t="str">
        <f>IF($R57="","",INDEX(Cálculos!$O:$O,$R57))</f>
        <v>GERENCIA DE OPERACIONES</v>
      </c>
      <c r="G57" s="72" t="str">
        <f>IF($R57="","",INDEX(Cálculos!$P:$P,$R57))</f>
        <v>Gerencia de Operaciones</v>
      </c>
      <c r="J57" s="13">
        <f>IF($R57="","",INDEX(Cálculos!$Q:$Q,$R57))</f>
        <v>1</v>
      </c>
      <c r="K57" s="13">
        <f>IF($R57="","",INDEX(Cálculos!$M:$M,$R57))</f>
        <v>0</v>
      </c>
      <c r="L57" s="13">
        <f>IF($R57="","",INDEX(Cálculos!$N:$N,$R57))</f>
        <v>1</v>
      </c>
      <c r="M57" s="74">
        <f>IF($R57="","",INDEX(Cálculos!$R:$R,$R57))</f>
        <v>0</v>
      </c>
      <c r="O57" s="15" t="str">
        <f>IF($R57="","",INDEX(Cálculos!$S:$S,$R57))</f>
        <v/>
      </c>
      <c r="P57" s="13" t="str">
        <f>IF($R57="","",IF(M57&gt;=1,"Completo","Pendiente"))</f>
        <v>Pendiente</v>
      </c>
      <c r="R57">
        <f>IFERROR(SMALL(Cálculos!$T$30:$T$109,44),"")</f>
        <v>73</v>
      </c>
    </row>
    <row r="58" ht="18" customHeight="1" s="38">
      <c r="B58" s="13" t="str">
        <f>IF($R58="","",45)</f>
        <v/>
      </c>
      <c r="C58" s="72" t="str">
        <f>IF($R58="","",INDEX(Cálculos!$O:$O,$R58))</f>
        <v/>
      </c>
      <c r="G58" s="72" t="str">
        <f>IF($R58="","",INDEX(Cálculos!$P:$P,$R58))</f>
        <v/>
      </c>
      <c r="J58" s="13" t="str">
        <f>IF($R58="","",INDEX(Cálculos!$Q:$Q,$R58))</f>
        <v/>
      </c>
      <c r="K58" s="13" t="str">
        <f>IF($R58="","",INDEX(Cálculos!$M:$M,$R58))</f>
        <v/>
      </c>
      <c r="L58" s="13" t="str">
        <f>IF($R58="","",INDEX(Cálculos!$N:$N,$R58))</f>
        <v/>
      </c>
      <c r="M58" s="74" t="str">
        <f>IF($R58="","",INDEX(Cálculos!$R:$R,$R58))</f>
        <v/>
      </c>
      <c r="O58" s="15" t="str">
        <f>IF($R58="","",INDEX(Cálculos!$S:$S,$R58))</f>
        <v/>
      </c>
      <c r="P58" s="13" t="str">
        <f>IF($R58="","",IF(M58&gt;=1,"Completo","Pendiente"))</f>
        <v/>
      </c>
      <c r="R58" t="str">
        <f>IFERROR(SMALL(Cálculos!$T$30:$T$109,45),"")</f>
        <v/>
      </c>
    </row>
    <row r="59" ht="18" customHeight="1" s="38">
      <c r="B59" s="13" t="str">
        <f>IF($R59="","",46)</f>
        <v/>
      </c>
      <c r="C59" s="72" t="str">
        <f>IF($R59="","",INDEX(Cálculos!$O:$O,$R59))</f>
        <v/>
      </c>
      <c r="G59" s="72" t="str">
        <f>IF($R59="","",INDEX(Cálculos!$P:$P,$R59))</f>
        <v/>
      </c>
      <c r="J59" s="13" t="str">
        <f>IF($R59="","",INDEX(Cálculos!$Q:$Q,$R59))</f>
        <v/>
      </c>
      <c r="K59" s="13" t="str">
        <f>IF($R59="","",INDEX(Cálculos!$M:$M,$R59))</f>
        <v/>
      </c>
      <c r="L59" s="13" t="str">
        <f>IF($R59="","",INDEX(Cálculos!$N:$N,$R59))</f>
        <v/>
      </c>
      <c r="M59" s="74" t="str">
        <f>IF($R59="","",INDEX(Cálculos!$R:$R,$R59))</f>
        <v/>
      </c>
      <c r="O59" s="15" t="str">
        <f>IF($R59="","",INDEX(Cálculos!$S:$S,$R59))</f>
        <v/>
      </c>
      <c r="P59" s="13" t="str">
        <f>IF($R59="","",IF(M59&gt;=1,"Completo","Pendiente"))</f>
        <v/>
      </c>
      <c r="R59" t="str">
        <f>IFERROR(SMALL(Cálculos!$T$30:$T$109,46),"")</f>
        <v/>
      </c>
    </row>
    <row r="60" ht="18" customHeight="1" s="38">
      <c r="B60" s="13" t="str">
        <f>IF($R60="","",47)</f>
        <v/>
      </c>
      <c r="C60" s="72" t="str">
        <f>IF($R60="","",INDEX(Cálculos!$O:$O,$R60))</f>
        <v/>
      </c>
      <c r="G60" s="72" t="str">
        <f>IF($R60="","",INDEX(Cálculos!$P:$P,$R60))</f>
        <v/>
      </c>
      <c r="J60" s="13" t="str">
        <f>IF($R60="","",INDEX(Cálculos!$Q:$Q,$R60))</f>
        <v/>
      </c>
      <c r="K60" s="13" t="str">
        <f>IF($R60="","",INDEX(Cálculos!$M:$M,$R60))</f>
        <v/>
      </c>
      <c r="L60" s="13" t="str">
        <f>IF($R60="","",INDEX(Cálculos!$N:$N,$R60))</f>
        <v/>
      </c>
      <c r="M60" s="74" t="str">
        <f>IF($R60="","",INDEX(Cálculos!$R:$R,$R60))</f>
        <v/>
      </c>
      <c r="O60" s="15" t="str">
        <f>IF($R60="","",INDEX(Cálculos!$S:$S,$R60))</f>
        <v/>
      </c>
      <c r="P60" s="13" t="str">
        <f>IF($R60="","",IF(M60&gt;=1,"Completo","Pendiente"))</f>
        <v/>
      </c>
      <c r="R60" t="str">
        <f>IFERROR(SMALL(Cálculos!$T$30:$T$109,47),"")</f>
        <v/>
      </c>
    </row>
    <row r="61" ht="18" customHeight="1" s="38">
      <c r="B61" s="13" t="str">
        <f>IF($R61="","",48)</f>
        <v/>
      </c>
      <c r="C61" s="72" t="str">
        <f>IF($R61="","",INDEX(Cálculos!$O:$O,$R61))</f>
        <v/>
      </c>
      <c r="G61" s="72" t="str">
        <f>IF($R61="","",INDEX(Cálculos!$P:$P,$R61))</f>
        <v/>
      </c>
      <c r="J61" s="13" t="str">
        <f>IF($R61="","",INDEX(Cálculos!$Q:$Q,$R61))</f>
        <v/>
      </c>
      <c r="K61" s="13" t="str">
        <f>IF($R61="","",INDEX(Cálculos!$M:$M,$R61))</f>
        <v/>
      </c>
      <c r="L61" s="13" t="str">
        <f>IF($R61="","",INDEX(Cálculos!$N:$N,$R61))</f>
        <v/>
      </c>
      <c r="M61" s="74" t="str">
        <f>IF($R61="","",INDEX(Cálculos!$R:$R,$R61))</f>
        <v/>
      </c>
      <c r="O61" s="15" t="str">
        <f>IF($R61="","",INDEX(Cálculos!$S:$S,$R61))</f>
        <v/>
      </c>
      <c r="P61" s="13" t="str">
        <f>IF($R61="","",IF(M61&gt;=1,"Completo","Pendiente"))</f>
        <v/>
      </c>
      <c r="R61" t="str">
        <f>IFERROR(SMALL(Cálculos!$T$30:$T$109,48),"")</f>
        <v/>
      </c>
    </row>
    <row r="62" ht="18" customHeight="1" s="38">
      <c r="B62" s="13" t="str">
        <f>IF($R62="","",49)</f>
        <v/>
      </c>
      <c r="C62" s="72" t="str">
        <f>IF($R62="","",INDEX(Cálculos!$O:$O,$R62))</f>
        <v/>
      </c>
      <c r="G62" s="72" t="str">
        <f>IF($R62="","",INDEX(Cálculos!$P:$P,$R62))</f>
        <v/>
      </c>
      <c r="J62" s="13" t="str">
        <f>IF($R62="","",INDEX(Cálculos!$Q:$Q,$R62))</f>
        <v/>
      </c>
      <c r="K62" s="13" t="str">
        <f>IF($R62="","",INDEX(Cálculos!$M:$M,$R62))</f>
        <v/>
      </c>
      <c r="L62" s="13" t="str">
        <f>IF($R62="","",INDEX(Cálculos!$N:$N,$R62))</f>
        <v/>
      </c>
      <c r="M62" s="74" t="str">
        <f>IF($R62="","",INDEX(Cálculos!$R:$R,$R62))</f>
        <v/>
      </c>
      <c r="O62" s="15" t="str">
        <f>IF($R62="","",INDEX(Cálculos!$S:$S,$R62))</f>
        <v/>
      </c>
      <c r="P62" s="13" t="str">
        <f>IF($R62="","",IF(M62&gt;=1,"Completo","Pendiente"))</f>
        <v/>
      </c>
      <c r="R62" t="str">
        <f>IFERROR(SMALL(Cálculos!$T$30:$T$109,49),"")</f>
        <v/>
      </c>
    </row>
    <row r="63" ht="18" customHeight="1" s="38">
      <c r="B63" s="13" t="str">
        <f>IF($R63="","",50)</f>
        <v/>
      </c>
      <c r="C63" s="72" t="str">
        <f>IF($R63="","",INDEX(Cálculos!$O:$O,$R63))</f>
        <v/>
      </c>
      <c r="G63" s="72" t="str">
        <f>IF($R63="","",INDEX(Cálculos!$P:$P,$R63))</f>
        <v/>
      </c>
      <c r="J63" s="13" t="str">
        <f>IF($R63="","",INDEX(Cálculos!$Q:$Q,$R63))</f>
        <v/>
      </c>
      <c r="K63" s="13" t="str">
        <f>IF($R63="","",INDEX(Cálculos!$M:$M,$R63))</f>
        <v/>
      </c>
      <c r="L63" s="13" t="str">
        <f>IF($R63="","",INDEX(Cálculos!$N:$N,$R63))</f>
        <v/>
      </c>
      <c r="M63" s="74" t="str">
        <f>IF($R63="","",INDEX(Cálculos!$R:$R,$R63))</f>
        <v/>
      </c>
      <c r="O63" s="15" t="str">
        <f>IF($R63="","",INDEX(Cálculos!$S:$S,$R63))</f>
        <v/>
      </c>
      <c r="P63" s="13" t="str">
        <f>IF($R63="","",IF(M63&gt;=1,"Completo","Pendiente"))</f>
        <v/>
      </c>
      <c r="R63" t="str">
        <f>IFERROR(SMALL(Cálculos!$T$30:$T$109,50),"")</f>
        <v/>
      </c>
    </row>
    <row r="64" ht="18" customHeight="1" s="38">
      <c r="B64" s="13" t="str">
        <f>IF($R64="","",51)</f>
        <v/>
      </c>
      <c r="C64" s="72" t="str">
        <f>IF($R64="","",INDEX(Cálculos!$O:$O,$R64))</f>
        <v/>
      </c>
      <c r="G64" s="72" t="str">
        <f>IF($R64="","",INDEX(Cálculos!$P:$P,$R64))</f>
        <v/>
      </c>
      <c r="J64" s="13" t="str">
        <f>IF($R64="","",INDEX(Cálculos!$Q:$Q,$R64))</f>
        <v/>
      </c>
      <c r="K64" s="13" t="str">
        <f>IF($R64="","",INDEX(Cálculos!$M:$M,$R64))</f>
        <v/>
      </c>
      <c r="L64" s="13" t="str">
        <f>IF($R64="","",INDEX(Cálculos!$N:$N,$R64))</f>
        <v/>
      </c>
      <c r="M64" s="74" t="str">
        <f>IF($R64="","",INDEX(Cálculos!$R:$R,$R64))</f>
        <v/>
      </c>
      <c r="O64" s="15" t="str">
        <f>IF($R64="","",INDEX(Cálculos!$S:$S,$R64))</f>
        <v/>
      </c>
      <c r="P64" s="13" t="str">
        <f>IF($R64="","",IF(M64&gt;=1,"Completo","Pendiente"))</f>
        <v/>
      </c>
      <c r="R64" t="str">
        <f>IFERROR(SMALL(Cálculos!$T$30:$T$109,51),"")</f>
        <v/>
      </c>
    </row>
    <row r="65" ht="18" customHeight="1" s="38">
      <c r="B65" s="13" t="str">
        <f>IF($R65="","",52)</f>
        <v/>
      </c>
      <c r="C65" s="72" t="str">
        <f>IF($R65="","",INDEX(Cálculos!$O:$O,$R65))</f>
        <v/>
      </c>
      <c r="G65" s="72" t="str">
        <f>IF($R65="","",INDEX(Cálculos!$P:$P,$R65))</f>
        <v/>
      </c>
      <c r="J65" s="13" t="str">
        <f>IF($R65="","",INDEX(Cálculos!$Q:$Q,$R65))</f>
        <v/>
      </c>
      <c r="K65" s="13" t="str">
        <f>IF($R65="","",INDEX(Cálculos!$M:$M,$R65))</f>
        <v/>
      </c>
      <c r="L65" s="13" t="str">
        <f>IF($R65="","",INDEX(Cálculos!$N:$N,$R65))</f>
        <v/>
      </c>
      <c r="M65" s="74" t="str">
        <f>IF($R65="","",INDEX(Cálculos!$R:$R,$R65))</f>
        <v/>
      </c>
      <c r="O65" s="15" t="str">
        <f>IF($R65="","",INDEX(Cálculos!$S:$S,$R65))</f>
        <v/>
      </c>
      <c r="P65" s="13" t="str">
        <f>IF($R65="","",IF(M65&gt;=1,"Completo","Pendiente"))</f>
        <v/>
      </c>
      <c r="R65" t="str">
        <f>IFERROR(SMALL(Cálculos!$T$30:$T$109,52),"")</f>
        <v/>
      </c>
    </row>
    <row r="66" ht="18" customHeight="1" s="38">
      <c r="B66" s="13" t="str">
        <f>IF($R66="","",53)</f>
        <v/>
      </c>
      <c r="C66" s="72" t="str">
        <f>IF($R66="","",INDEX(Cálculos!$O:$O,$R66))</f>
        <v/>
      </c>
      <c r="G66" s="72" t="str">
        <f>IF($R66="","",INDEX(Cálculos!$P:$P,$R66))</f>
        <v/>
      </c>
      <c r="J66" s="13" t="str">
        <f>IF($R66="","",INDEX(Cálculos!$Q:$Q,$R66))</f>
        <v/>
      </c>
      <c r="K66" s="13" t="str">
        <f>IF($R66="","",INDEX(Cálculos!$M:$M,$R66))</f>
        <v/>
      </c>
      <c r="L66" s="13" t="str">
        <f>IF($R66="","",INDEX(Cálculos!$N:$N,$R66))</f>
        <v/>
      </c>
      <c r="M66" s="74" t="str">
        <f>IF($R66="","",INDEX(Cálculos!$R:$R,$R66))</f>
        <v/>
      </c>
      <c r="O66" s="15" t="str">
        <f>IF($R66="","",INDEX(Cálculos!$S:$S,$R66))</f>
        <v/>
      </c>
      <c r="P66" s="13" t="str">
        <f>IF($R66="","",IF(M66&gt;=1,"Completo","Pendiente"))</f>
        <v/>
      </c>
      <c r="R66" t="str">
        <f>IFERROR(SMALL(Cálculos!$T$30:$T$109,53),"")</f>
        <v/>
      </c>
    </row>
    <row r="67" ht="18" customHeight="1" s="38">
      <c r="B67" s="13" t="str">
        <f>IF($R67="","",54)</f>
        <v/>
      </c>
      <c r="C67" s="72" t="str">
        <f>IF($R67="","",INDEX(Cálculos!$O:$O,$R67))</f>
        <v/>
      </c>
      <c r="G67" s="72" t="str">
        <f>IF($R67="","",INDEX(Cálculos!$P:$P,$R67))</f>
        <v/>
      </c>
      <c r="J67" s="13" t="str">
        <f>IF($R67="","",INDEX(Cálculos!$Q:$Q,$R67))</f>
        <v/>
      </c>
      <c r="K67" s="13" t="str">
        <f>IF($R67="","",INDEX(Cálculos!$M:$M,$R67))</f>
        <v/>
      </c>
      <c r="L67" s="13" t="str">
        <f>IF($R67="","",INDEX(Cálculos!$N:$N,$R67))</f>
        <v/>
      </c>
      <c r="M67" s="74" t="str">
        <f>IF($R67="","",INDEX(Cálculos!$R:$R,$R67))</f>
        <v/>
      </c>
      <c r="O67" s="15" t="str">
        <f>IF($R67="","",INDEX(Cálculos!$S:$S,$R67))</f>
        <v/>
      </c>
      <c r="P67" s="13" t="str">
        <f>IF($R67="","",IF(M67&gt;=1,"Completo","Pendiente"))</f>
        <v/>
      </c>
      <c r="R67" t="str">
        <f>IFERROR(SMALL(Cálculos!$T$30:$T$109,54),"")</f>
        <v/>
      </c>
    </row>
    <row r="68" ht="18" customHeight="1" s="38">
      <c r="B68" s="13" t="str">
        <f>IF($R68="","",55)</f>
        <v/>
      </c>
      <c r="C68" s="72" t="str">
        <f>IF($R68="","",INDEX(Cálculos!$O:$O,$R68))</f>
        <v/>
      </c>
      <c r="G68" s="72" t="str">
        <f>IF($R68="","",INDEX(Cálculos!$P:$P,$R68))</f>
        <v/>
      </c>
      <c r="J68" s="13" t="str">
        <f>IF($R68="","",INDEX(Cálculos!$Q:$Q,$R68))</f>
        <v/>
      </c>
      <c r="K68" s="13" t="str">
        <f>IF($R68="","",INDEX(Cálculos!$M:$M,$R68))</f>
        <v/>
      </c>
      <c r="L68" s="13" t="str">
        <f>IF($R68="","",INDEX(Cálculos!$N:$N,$R68))</f>
        <v/>
      </c>
      <c r="M68" s="74" t="str">
        <f>IF($R68="","",INDEX(Cálculos!$R:$R,$R68))</f>
        <v/>
      </c>
      <c r="O68" s="15" t="str">
        <f>IF($R68="","",INDEX(Cálculos!$S:$S,$R68))</f>
        <v/>
      </c>
      <c r="P68" s="13" t="str">
        <f>IF($R68="","",IF(M68&gt;=1,"Completo","Pendiente"))</f>
        <v/>
      </c>
      <c r="R68" t="str">
        <f>IFERROR(SMALL(Cálculos!$T$30:$T$109,55),"")</f>
        <v/>
      </c>
    </row>
    <row r="69" ht="18" customHeight="1" s="38">
      <c r="B69" s="13" t="str">
        <f>IF($R69="","",56)</f>
        <v/>
      </c>
      <c r="C69" s="72" t="str">
        <f>IF($R69="","",INDEX(Cálculos!$O:$O,$R69))</f>
        <v/>
      </c>
      <c r="G69" s="72" t="str">
        <f>IF($R69="","",INDEX(Cálculos!$P:$P,$R69))</f>
        <v/>
      </c>
      <c r="J69" s="13" t="str">
        <f>IF($R69="","",INDEX(Cálculos!$Q:$Q,$R69))</f>
        <v/>
      </c>
      <c r="K69" s="13" t="str">
        <f>IF($R69="","",INDEX(Cálculos!$M:$M,$R69))</f>
        <v/>
      </c>
      <c r="L69" s="13" t="str">
        <f>IF($R69="","",INDEX(Cálculos!$N:$N,$R69))</f>
        <v/>
      </c>
      <c r="M69" s="74" t="str">
        <f>IF($R69="","",INDEX(Cálculos!$R:$R,$R69))</f>
        <v/>
      </c>
      <c r="O69" s="15" t="str">
        <f>IF($R69="","",INDEX(Cálculos!$S:$S,$R69))</f>
        <v/>
      </c>
      <c r="P69" s="13" t="str">
        <f>IF($R69="","",IF(M69&gt;=1,"Completo","Pendiente"))</f>
        <v/>
      </c>
      <c r="R69" t="str">
        <f>IFERROR(SMALL(Cálculos!$T$30:$T$109,56),"")</f>
        <v/>
      </c>
    </row>
    <row r="70" ht="18" customHeight="1" s="38">
      <c r="B70" s="13" t="str">
        <f>IF($R70="","",57)</f>
        <v/>
      </c>
      <c r="C70" s="72" t="str">
        <f>IF($R70="","",INDEX(Cálculos!$O:$O,$R70))</f>
        <v/>
      </c>
      <c r="G70" s="72" t="str">
        <f>IF($R70="","",INDEX(Cálculos!$P:$P,$R70))</f>
        <v/>
      </c>
      <c r="J70" s="13" t="str">
        <f>IF($R70="","",INDEX(Cálculos!$Q:$Q,$R70))</f>
        <v/>
      </c>
      <c r="K70" s="13" t="str">
        <f>IF($R70="","",INDEX(Cálculos!$M:$M,$R70))</f>
        <v/>
      </c>
      <c r="L70" s="13" t="str">
        <f>IF($R70="","",INDEX(Cálculos!$N:$N,$R70))</f>
        <v/>
      </c>
      <c r="M70" s="74" t="str">
        <f>IF($R70="","",INDEX(Cálculos!$R:$R,$R70))</f>
        <v/>
      </c>
      <c r="O70" s="15" t="str">
        <f>IF($R70="","",INDEX(Cálculos!$S:$S,$R70))</f>
        <v/>
      </c>
      <c r="P70" s="13" t="str">
        <f>IF($R70="","",IF(M70&gt;=1,"Completo","Pendiente"))</f>
        <v/>
      </c>
      <c r="R70" t="str">
        <f>IFERROR(SMALL(Cálculos!$T$30:$T$109,57),"")</f>
        <v/>
      </c>
    </row>
    <row r="71" ht="18" customHeight="1" s="38">
      <c r="B71" s="13" t="str">
        <f>IF($R71="","",58)</f>
        <v/>
      </c>
      <c r="C71" s="72" t="str">
        <f>IF($R71="","",INDEX(Cálculos!$O:$O,$R71))</f>
        <v/>
      </c>
      <c r="G71" s="72" t="str">
        <f>IF($R71="","",INDEX(Cálculos!$P:$P,$R71))</f>
        <v/>
      </c>
      <c r="J71" s="13" t="str">
        <f>IF($R71="","",INDEX(Cálculos!$Q:$Q,$R71))</f>
        <v/>
      </c>
      <c r="K71" s="13" t="str">
        <f>IF($R71="","",INDEX(Cálculos!$M:$M,$R71))</f>
        <v/>
      </c>
      <c r="L71" s="13" t="str">
        <f>IF($R71="","",INDEX(Cálculos!$N:$N,$R71))</f>
        <v/>
      </c>
      <c r="M71" s="74" t="str">
        <f>IF($R71="","",INDEX(Cálculos!$R:$R,$R71))</f>
        <v/>
      </c>
      <c r="O71" s="15" t="str">
        <f>IF($R71="","",INDEX(Cálculos!$S:$S,$R71))</f>
        <v/>
      </c>
      <c r="P71" s="13" t="str">
        <f>IF($R71="","",IF(M71&gt;=1,"Completo","Pendiente"))</f>
        <v/>
      </c>
      <c r="R71" t="str">
        <f>IFERROR(SMALL(Cálculos!$T$30:$T$109,58),"")</f>
        <v/>
      </c>
    </row>
    <row r="72" ht="18" customHeight="1" s="38">
      <c r="B72" s="13" t="str">
        <f>IF($R72="","",59)</f>
        <v/>
      </c>
      <c r="C72" s="72" t="str">
        <f>IF($R72="","",INDEX(Cálculos!$O:$O,$R72))</f>
        <v/>
      </c>
      <c r="G72" s="72" t="str">
        <f>IF($R72="","",INDEX(Cálculos!$P:$P,$R72))</f>
        <v/>
      </c>
      <c r="J72" s="13" t="str">
        <f>IF($R72="","",INDEX(Cálculos!$Q:$Q,$R72))</f>
        <v/>
      </c>
      <c r="K72" s="13" t="str">
        <f>IF($R72="","",INDEX(Cálculos!$M:$M,$R72))</f>
        <v/>
      </c>
      <c r="L72" s="13" t="str">
        <f>IF($R72="","",INDEX(Cálculos!$N:$N,$R72))</f>
        <v/>
      </c>
      <c r="M72" s="74" t="str">
        <f>IF($R72="","",INDEX(Cálculos!$R:$R,$R72))</f>
        <v/>
      </c>
      <c r="O72" s="15" t="str">
        <f>IF($R72="","",INDEX(Cálculos!$S:$S,$R72))</f>
        <v/>
      </c>
      <c r="P72" s="13" t="str">
        <f>IF($R72="","",IF(M72&gt;=1,"Completo","Pendiente"))</f>
        <v/>
      </c>
      <c r="R72" t="str">
        <f>IFERROR(SMALL(Cálculos!$T$30:$T$109,59),"")</f>
        <v/>
      </c>
    </row>
    <row r="73" ht="18" customHeight="1" s="38">
      <c r="B73" s="13" t="str">
        <f>IF($R73="","",60)</f>
        <v/>
      </c>
      <c r="C73" s="72" t="str">
        <f>IF($R73="","",INDEX(Cálculos!$O:$O,$R73))</f>
        <v/>
      </c>
      <c r="G73" s="72" t="str">
        <f>IF($R73="","",INDEX(Cálculos!$P:$P,$R73))</f>
        <v/>
      </c>
      <c r="J73" s="13" t="str">
        <f>IF($R73="","",INDEX(Cálculos!$Q:$Q,$R73))</f>
        <v/>
      </c>
      <c r="K73" s="13" t="str">
        <f>IF($R73="","",INDEX(Cálculos!$M:$M,$R73))</f>
        <v/>
      </c>
      <c r="L73" s="13" t="str">
        <f>IF($R73="","",INDEX(Cálculos!$N:$N,$R73))</f>
        <v/>
      </c>
      <c r="M73" s="74" t="str">
        <f>IF($R73="","",INDEX(Cálculos!$R:$R,$R73))</f>
        <v/>
      </c>
      <c r="O73" s="15" t="str">
        <f>IF($R73="","",INDEX(Cálculos!$S:$S,$R73))</f>
        <v/>
      </c>
      <c r="P73" s="13" t="str">
        <f>IF($R73="","",IF(M73&gt;=1,"Completo","Pendiente"))</f>
        <v/>
      </c>
      <c r="R73" t="str">
        <f>IFERROR(SMALL(Cálculos!$T$30:$T$109,60),"")</f>
        <v/>
      </c>
    </row>
    <row r="74" ht="18" customHeight="1" s="38">
      <c r="B74" s="13" t="str">
        <f>IF($R74="","",61)</f>
        <v/>
      </c>
      <c r="C74" s="72" t="str">
        <f>IF($R74="","",INDEX(Cálculos!$O:$O,$R74))</f>
        <v/>
      </c>
      <c r="G74" s="72" t="str">
        <f>IF($R74="","",INDEX(Cálculos!$P:$P,$R74))</f>
        <v/>
      </c>
      <c r="J74" s="13" t="str">
        <f>IF($R74="","",INDEX(Cálculos!$Q:$Q,$R74))</f>
        <v/>
      </c>
      <c r="K74" s="13" t="str">
        <f>IF($R74="","",INDEX(Cálculos!$M:$M,$R74))</f>
        <v/>
      </c>
      <c r="L74" s="13" t="str">
        <f>IF($R74="","",INDEX(Cálculos!$N:$N,$R74))</f>
        <v/>
      </c>
      <c r="M74" s="74" t="str">
        <f>IF($R74="","",INDEX(Cálculos!$R:$R,$R74))</f>
        <v/>
      </c>
      <c r="O74" s="15" t="str">
        <f>IF($R74="","",INDEX(Cálculos!$S:$S,$R74))</f>
        <v/>
      </c>
      <c r="P74" s="13" t="str">
        <f>IF($R74="","",IF(M74&gt;=1,"Completo","Pendiente"))</f>
        <v/>
      </c>
      <c r="R74" t="str">
        <f>IFERROR(SMALL(Cálculos!$T$30:$T$109,61),"")</f>
        <v/>
      </c>
    </row>
    <row r="75" ht="18" customHeight="1" s="38">
      <c r="B75" s="13" t="str">
        <f>IF($R75="","",62)</f>
        <v/>
      </c>
      <c r="C75" s="72" t="str">
        <f>IF($R75="","",INDEX(Cálculos!$O:$O,$R75))</f>
        <v/>
      </c>
      <c r="G75" s="72" t="str">
        <f>IF($R75="","",INDEX(Cálculos!$P:$P,$R75))</f>
        <v/>
      </c>
      <c r="J75" s="13" t="str">
        <f>IF($R75="","",INDEX(Cálculos!$Q:$Q,$R75))</f>
        <v/>
      </c>
      <c r="K75" s="13" t="str">
        <f>IF($R75="","",INDEX(Cálculos!$M:$M,$R75))</f>
        <v/>
      </c>
      <c r="L75" s="13" t="str">
        <f>IF($R75="","",INDEX(Cálculos!$N:$N,$R75))</f>
        <v/>
      </c>
      <c r="M75" s="74" t="str">
        <f>IF($R75="","",INDEX(Cálculos!$R:$R,$R75))</f>
        <v/>
      </c>
      <c r="O75" s="15" t="str">
        <f>IF($R75="","",INDEX(Cálculos!$S:$S,$R75))</f>
        <v/>
      </c>
      <c r="P75" s="13" t="str">
        <f>IF($R75="","",IF(M75&gt;=1,"Completo","Pendiente"))</f>
        <v/>
      </c>
      <c r="R75" t="str">
        <f>IFERROR(SMALL(Cálculos!$T$30:$T$109,62),"")</f>
        <v/>
      </c>
    </row>
    <row r="76" ht="18" customHeight="1" s="38">
      <c r="B76" s="13" t="str">
        <f>IF($R76="","",63)</f>
        <v/>
      </c>
      <c r="C76" s="72" t="str">
        <f>IF($R76="","",INDEX(Cálculos!$O:$O,$R76))</f>
        <v/>
      </c>
      <c r="G76" s="72" t="str">
        <f>IF($R76="","",INDEX(Cálculos!$P:$P,$R76))</f>
        <v/>
      </c>
      <c r="J76" s="13" t="str">
        <f>IF($R76="","",INDEX(Cálculos!$Q:$Q,$R76))</f>
        <v/>
      </c>
      <c r="K76" s="13" t="str">
        <f>IF($R76="","",INDEX(Cálculos!$M:$M,$R76))</f>
        <v/>
      </c>
      <c r="L76" s="13" t="str">
        <f>IF($R76="","",INDEX(Cálculos!$N:$N,$R76))</f>
        <v/>
      </c>
      <c r="M76" s="74" t="str">
        <f>IF($R76="","",INDEX(Cálculos!$R:$R,$R76))</f>
        <v/>
      </c>
      <c r="O76" s="15" t="str">
        <f>IF($R76="","",INDEX(Cálculos!$S:$S,$R76))</f>
        <v/>
      </c>
      <c r="P76" s="13" t="str">
        <f>IF($R76="","",IF(M76&gt;=1,"Completo","Pendiente"))</f>
        <v/>
      </c>
      <c r="R76" t="str">
        <f>IFERROR(SMALL(Cálculos!$T$30:$T$109,63),"")</f>
        <v/>
      </c>
    </row>
    <row r="77" ht="18" customHeight="1" s="38">
      <c r="B77" s="13" t="str">
        <f>IF($R77="","",64)</f>
        <v/>
      </c>
      <c r="C77" s="72" t="str">
        <f>IF($R77="","",INDEX(Cálculos!$O:$O,$R77))</f>
        <v/>
      </c>
      <c r="G77" s="72" t="str">
        <f>IF($R77="","",INDEX(Cálculos!$P:$P,$R77))</f>
        <v/>
      </c>
      <c r="J77" s="13" t="str">
        <f>IF($R77="","",INDEX(Cálculos!$Q:$Q,$R77))</f>
        <v/>
      </c>
      <c r="K77" s="13" t="str">
        <f>IF($R77="","",INDEX(Cálculos!$M:$M,$R77))</f>
        <v/>
      </c>
      <c r="L77" s="13" t="str">
        <f>IF($R77="","",INDEX(Cálculos!$N:$N,$R77))</f>
        <v/>
      </c>
      <c r="M77" s="74" t="str">
        <f>IF($R77="","",INDEX(Cálculos!$R:$R,$R77))</f>
        <v/>
      </c>
      <c r="O77" s="15" t="str">
        <f>IF($R77="","",INDEX(Cálculos!$S:$S,$R77))</f>
        <v/>
      </c>
      <c r="P77" s="13" t="str">
        <f>IF($R77="","",IF(M77&gt;=1,"Completo","Pendiente"))</f>
        <v/>
      </c>
      <c r="R77" t="str">
        <f>IFERROR(SMALL(Cálculos!$T$30:$T$109,64),"")</f>
        <v/>
      </c>
    </row>
    <row r="78" ht="18" customHeight="1" s="38">
      <c r="B78" s="13" t="str">
        <f>IF($R78="","",65)</f>
        <v/>
      </c>
      <c r="C78" s="72" t="str">
        <f>IF($R78="","",INDEX(Cálculos!$O:$O,$R78))</f>
        <v/>
      </c>
      <c r="G78" s="72" t="str">
        <f>IF($R78="","",INDEX(Cálculos!$P:$P,$R78))</f>
        <v/>
      </c>
      <c r="J78" s="13" t="str">
        <f>IF($R78="","",INDEX(Cálculos!$Q:$Q,$R78))</f>
        <v/>
      </c>
      <c r="K78" s="13" t="str">
        <f>IF($R78="","",INDEX(Cálculos!$M:$M,$R78))</f>
        <v/>
      </c>
      <c r="L78" s="13" t="str">
        <f>IF($R78="","",INDEX(Cálculos!$N:$N,$R78))</f>
        <v/>
      </c>
      <c r="M78" s="74" t="str">
        <f>IF($R78="","",INDEX(Cálculos!$R:$R,$R78))</f>
        <v/>
      </c>
      <c r="O78" s="15" t="str">
        <f>IF($R78="","",INDEX(Cálculos!$S:$S,$R78))</f>
        <v/>
      </c>
      <c r="P78" s="13" t="str">
        <f>IF($R78="","",IF(M78&gt;=1,"Completo","Pendiente"))</f>
        <v/>
      </c>
      <c r="R78" t="str">
        <f>IFERROR(SMALL(Cálculos!$T$30:$T$109,65),"")</f>
        <v/>
      </c>
    </row>
    <row r="79" ht="18" customHeight="1" s="38">
      <c r="B79" s="13" t="str">
        <f>IF($R79="","",66)</f>
        <v/>
      </c>
      <c r="C79" s="72" t="str">
        <f>IF($R79="","",INDEX(Cálculos!$O:$O,$R79))</f>
        <v/>
      </c>
      <c r="G79" s="72" t="str">
        <f>IF($R79="","",INDEX(Cálculos!$P:$P,$R79))</f>
        <v/>
      </c>
      <c r="J79" s="13" t="str">
        <f>IF($R79="","",INDEX(Cálculos!$Q:$Q,$R79))</f>
        <v/>
      </c>
      <c r="K79" s="13" t="str">
        <f>IF($R79="","",INDEX(Cálculos!$M:$M,$R79))</f>
        <v/>
      </c>
      <c r="L79" s="13" t="str">
        <f>IF($R79="","",INDEX(Cálculos!$N:$N,$R79))</f>
        <v/>
      </c>
      <c r="M79" s="74" t="str">
        <f>IF($R79="","",INDEX(Cálculos!$R:$R,$R79))</f>
        <v/>
      </c>
      <c r="O79" s="15" t="str">
        <f>IF($R79="","",INDEX(Cálculos!$S:$S,$R79))</f>
        <v/>
      </c>
      <c r="P79" s="13" t="str">
        <f>IF($R79="","",IF(M79&gt;=1,"Completo","Pendiente"))</f>
        <v/>
      </c>
      <c r="R79" t="str">
        <f>IFERROR(SMALL(Cálculos!$T$30:$T$109,66),"")</f>
        <v/>
      </c>
    </row>
    <row r="80" ht="18" customHeight="1" s="38">
      <c r="B80" s="13" t="str">
        <f>IF($R80="","",67)</f>
        <v/>
      </c>
      <c r="C80" s="72" t="str">
        <f>IF($R80="","",INDEX(Cálculos!$O:$O,$R80))</f>
        <v/>
      </c>
      <c r="G80" s="72" t="str">
        <f>IF($R80="","",INDEX(Cálculos!$P:$P,$R80))</f>
        <v/>
      </c>
      <c r="J80" s="13" t="str">
        <f>IF($R80="","",INDEX(Cálculos!$Q:$Q,$R80))</f>
        <v/>
      </c>
      <c r="K80" s="13" t="str">
        <f>IF($R80="","",INDEX(Cálculos!$M:$M,$R80))</f>
        <v/>
      </c>
      <c r="L80" s="13" t="str">
        <f>IF($R80="","",INDEX(Cálculos!$N:$N,$R80))</f>
        <v/>
      </c>
      <c r="M80" s="74" t="str">
        <f>IF($R80="","",INDEX(Cálculos!$R:$R,$R80))</f>
        <v/>
      </c>
      <c r="O80" s="15" t="str">
        <f>IF($R80="","",INDEX(Cálculos!$S:$S,$R80))</f>
        <v/>
      </c>
      <c r="P80" s="13" t="str">
        <f>IF($R80="","",IF(M80&gt;=1,"Completo","Pendiente"))</f>
        <v/>
      </c>
      <c r="R80" t="str">
        <f>IFERROR(SMALL(Cálculos!$T$30:$T$109,67),"")</f>
        <v/>
      </c>
    </row>
    <row r="81" ht="18" customHeight="1" s="38">
      <c r="B81" s="13" t="str">
        <f>IF($R81="","",68)</f>
        <v/>
      </c>
      <c r="C81" s="72" t="str">
        <f>IF($R81="","",INDEX(Cálculos!$O:$O,$R81))</f>
        <v/>
      </c>
      <c r="G81" s="72" t="str">
        <f>IF($R81="","",INDEX(Cálculos!$P:$P,$R81))</f>
        <v/>
      </c>
      <c r="J81" s="13" t="str">
        <f>IF($R81="","",INDEX(Cálculos!$Q:$Q,$R81))</f>
        <v/>
      </c>
      <c r="K81" s="13" t="str">
        <f>IF($R81="","",INDEX(Cálculos!$M:$M,$R81))</f>
        <v/>
      </c>
      <c r="L81" s="13" t="str">
        <f>IF($R81="","",INDEX(Cálculos!$N:$N,$R81))</f>
        <v/>
      </c>
      <c r="M81" s="74" t="str">
        <f>IF($R81="","",INDEX(Cálculos!$R:$R,$R81))</f>
        <v/>
      </c>
      <c r="O81" s="15" t="str">
        <f>IF($R81="","",INDEX(Cálculos!$S:$S,$R81))</f>
        <v/>
      </c>
      <c r="P81" s="13" t="str">
        <f>IF($R81="","",IF(M81&gt;=1,"Completo","Pendiente"))</f>
        <v/>
      </c>
      <c r="R81" t="str">
        <f>IFERROR(SMALL(Cálculos!$T$30:$T$109,68),"")</f>
        <v/>
      </c>
    </row>
    <row r="82" ht="18" customHeight="1" s="38">
      <c r="B82" s="13" t="str">
        <f>IF($R82="","",69)</f>
        <v/>
      </c>
      <c r="C82" s="72" t="str">
        <f>IF($R82="","",INDEX(Cálculos!$O:$O,$R82))</f>
        <v/>
      </c>
      <c r="G82" s="72" t="str">
        <f>IF($R82="","",INDEX(Cálculos!$P:$P,$R82))</f>
        <v/>
      </c>
      <c r="J82" s="13" t="str">
        <f>IF($R82="","",INDEX(Cálculos!$Q:$Q,$R82))</f>
        <v/>
      </c>
      <c r="K82" s="13" t="str">
        <f>IF($R82="","",INDEX(Cálculos!$M:$M,$R82))</f>
        <v/>
      </c>
      <c r="L82" s="13" t="str">
        <f>IF($R82="","",INDEX(Cálculos!$N:$N,$R82))</f>
        <v/>
      </c>
      <c r="M82" s="74" t="str">
        <f>IF($R82="","",INDEX(Cálculos!$R:$R,$R82))</f>
        <v/>
      </c>
      <c r="O82" s="15" t="str">
        <f>IF($R82="","",INDEX(Cálculos!$S:$S,$R82))</f>
        <v/>
      </c>
      <c r="P82" s="13" t="str">
        <f>IF($R82="","",IF(M82&gt;=1,"Completo","Pendiente"))</f>
        <v/>
      </c>
      <c r="R82" t="str">
        <f>IFERROR(SMALL(Cálculos!$T$30:$T$109,69),"")</f>
        <v/>
      </c>
    </row>
    <row r="83" ht="18" customHeight="1" s="38">
      <c r="B83" s="13" t="str">
        <f>IF($R83="","",70)</f>
        <v/>
      </c>
      <c r="C83" s="72" t="str">
        <f>IF($R83="","",INDEX(Cálculos!$O:$O,$R83))</f>
        <v/>
      </c>
      <c r="G83" s="72" t="str">
        <f>IF($R83="","",INDEX(Cálculos!$P:$P,$R83))</f>
        <v/>
      </c>
      <c r="J83" s="13" t="str">
        <f>IF($R83="","",INDEX(Cálculos!$Q:$Q,$R83))</f>
        <v/>
      </c>
      <c r="K83" s="13" t="str">
        <f>IF($R83="","",INDEX(Cálculos!$M:$M,$R83))</f>
        <v/>
      </c>
      <c r="L83" s="13" t="str">
        <f>IF($R83="","",INDEX(Cálculos!$N:$N,$R83))</f>
        <v/>
      </c>
      <c r="M83" s="74" t="str">
        <f>IF($R83="","",INDEX(Cálculos!$R:$R,$R83))</f>
        <v/>
      </c>
      <c r="O83" s="15" t="str">
        <f>IF($R83="","",INDEX(Cálculos!$S:$S,$R83))</f>
        <v/>
      </c>
      <c r="P83" s="13" t="str">
        <f>IF($R83="","",IF(M83&gt;=1,"Completo","Pendiente"))</f>
        <v/>
      </c>
      <c r="R83" t="str">
        <f>IFERROR(SMALL(Cálculos!$T$30:$T$109,70),"")</f>
        <v/>
      </c>
    </row>
    <row r="84" ht="18" customHeight="1" s="38">
      <c r="B84" s="13" t="str">
        <f>IF($R84="","",71)</f>
        <v/>
      </c>
      <c r="C84" s="72" t="str">
        <f>IF($R84="","",INDEX(Cálculos!$O:$O,$R84))</f>
        <v/>
      </c>
      <c r="G84" s="72" t="str">
        <f>IF($R84="","",INDEX(Cálculos!$P:$P,$R84))</f>
        <v/>
      </c>
      <c r="J84" s="13" t="str">
        <f>IF($R84="","",INDEX(Cálculos!$Q:$Q,$R84))</f>
        <v/>
      </c>
      <c r="K84" s="13" t="str">
        <f>IF($R84="","",INDEX(Cálculos!$M:$M,$R84))</f>
        <v/>
      </c>
      <c r="L84" s="13" t="str">
        <f>IF($R84="","",INDEX(Cálculos!$N:$N,$R84))</f>
        <v/>
      </c>
      <c r="M84" s="74" t="str">
        <f>IF($R84="","",INDEX(Cálculos!$R:$R,$R84))</f>
        <v/>
      </c>
      <c r="O84" s="15" t="str">
        <f>IF($R84="","",INDEX(Cálculos!$S:$S,$R84))</f>
        <v/>
      </c>
      <c r="P84" s="13" t="str">
        <f>IF($R84="","",IF(M84&gt;=1,"Completo","Pendiente"))</f>
        <v/>
      </c>
      <c r="R84" t="str">
        <f>IFERROR(SMALL(Cálculos!$T$30:$T$109,71),"")</f>
        <v/>
      </c>
    </row>
    <row r="85" ht="18" customHeight="1" s="38">
      <c r="B85" s="13" t="str">
        <f>IF($R85="","",72)</f>
        <v/>
      </c>
      <c r="C85" s="72" t="str">
        <f>IF($R85="","",INDEX(Cálculos!$O:$O,$R85))</f>
        <v/>
      </c>
      <c r="G85" s="72" t="str">
        <f>IF($R85="","",INDEX(Cálculos!$P:$P,$R85))</f>
        <v/>
      </c>
      <c r="J85" s="13" t="str">
        <f>IF($R85="","",INDEX(Cálculos!$Q:$Q,$R85))</f>
        <v/>
      </c>
      <c r="K85" s="13" t="str">
        <f>IF($R85="","",INDEX(Cálculos!$M:$M,$R85))</f>
        <v/>
      </c>
      <c r="L85" s="13" t="str">
        <f>IF($R85="","",INDEX(Cálculos!$N:$N,$R85))</f>
        <v/>
      </c>
      <c r="M85" s="74" t="str">
        <f>IF($R85="","",INDEX(Cálculos!$R:$R,$R85))</f>
        <v/>
      </c>
      <c r="O85" s="15" t="str">
        <f>IF($R85="","",INDEX(Cálculos!$S:$S,$R85))</f>
        <v/>
      </c>
      <c r="P85" s="13" t="str">
        <f>IF($R85="","",IF(M85&gt;=1,"Completo","Pendiente"))</f>
        <v/>
      </c>
      <c r="R85" t="str">
        <f>IFERROR(SMALL(Cálculos!$T$30:$T$109,72),"")</f>
        <v/>
      </c>
    </row>
    <row r="86" ht="18" customHeight="1" s="38">
      <c r="B86" s="13" t="str">
        <f>IF($R86="","",73)</f>
        <v/>
      </c>
      <c r="C86" s="72" t="str">
        <f>IF($R86="","",INDEX(Cálculos!$O:$O,$R86))</f>
        <v/>
      </c>
      <c r="G86" s="72" t="str">
        <f>IF($R86="","",INDEX(Cálculos!$P:$P,$R86))</f>
        <v/>
      </c>
      <c r="J86" s="13" t="str">
        <f>IF($R86="","",INDEX(Cálculos!$Q:$Q,$R86))</f>
        <v/>
      </c>
      <c r="K86" s="13" t="str">
        <f>IF($R86="","",INDEX(Cálculos!$M:$M,$R86))</f>
        <v/>
      </c>
      <c r="L86" s="13" t="str">
        <f>IF($R86="","",INDEX(Cálculos!$N:$N,$R86))</f>
        <v/>
      </c>
      <c r="M86" s="74" t="str">
        <f>IF($R86="","",INDEX(Cálculos!$R:$R,$R86))</f>
        <v/>
      </c>
      <c r="O86" s="15" t="str">
        <f>IF($R86="","",INDEX(Cálculos!$S:$S,$R86))</f>
        <v/>
      </c>
      <c r="P86" s="13" t="str">
        <f>IF($R86="","",IF(M86&gt;=1,"Completo","Pendiente"))</f>
        <v/>
      </c>
      <c r="R86" t="str">
        <f>IFERROR(SMALL(Cálculos!$T$30:$T$109,73),"")</f>
        <v/>
      </c>
    </row>
    <row r="87" ht="18" customHeight="1" s="38">
      <c r="B87" s="13" t="str">
        <f>IF($R87="","",74)</f>
        <v/>
      </c>
      <c r="C87" s="72" t="str">
        <f>IF($R87="","",INDEX(Cálculos!$O:$O,$R87))</f>
        <v/>
      </c>
      <c r="G87" s="72" t="str">
        <f>IF($R87="","",INDEX(Cálculos!$P:$P,$R87))</f>
        <v/>
      </c>
      <c r="J87" s="13" t="str">
        <f>IF($R87="","",INDEX(Cálculos!$Q:$Q,$R87))</f>
        <v/>
      </c>
      <c r="K87" s="13" t="str">
        <f>IF($R87="","",INDEX(Cálculos!$M:$M,$R87))</f>
        <v/>
      </c>
      <c r="L87" s="13" t="str">
        <f>IF($R87="","",INDEX(Cálculos!$N:$N,$R87))</f>
        <v/>
      </c>
      <c r="M87" s="74" t="str">
        <f>IF($R87="","",INDEX(Cálculos!$R:$R,$R87))</f>
        <v/>
      </c>
      <c r="O87" s="15" t="str">
        <f>IF($R87="","",INDEX(Cálculos!$S:$S,$R87))</f>
        <v/>
      </c>
      <c r="P87" s="13" t="str">
        <f>IF($R87="","",IF(M87&gt;=1,"Completo","Pendiente"))</f>
        <v/>
      </c>
      <c r="R87" t="str">
        <f>IFERROR(SMALL(Cálculos!$T$30:$T$109,74),"")</f>
        <v/>
      </c>
    </row>
    <row r="88" ht="18" customHeight="1" s="38">
      <c r="B88" s="13" t="str">
        <f>IF($R88="","",75)</f>
        <v/>
      </c>
      <c r="C88" s="72" t="str">
        <f>IF($R88="","",INDEX(Cálculos!$O:$O,$R88))</f>
        <v/>
      </c>
      <c r="G88" s="72" t="str">
        <f>IF($R88="","",INDEX(Cálculos!$P:$P,$R88))</f>
        <v/>
      </c>
      <c r="J88" s="13" t="str">
        <f>IF($R88="","",INDEX(Cálculos!$Q:$Q,$R88))</f>
        <v/>
      </c>
      <c r="K88" s="13" t="str">
        <f>IF($R88="","",INDEX(Cálculos!$M:$M,$R88))</f>
        <v/>
      </c>
      <c r="L88" s="13" t="str">
        <f>IF($R88="","",INDEX(Cálculos!$N:$N,$R88))</f>
        <v/>
      </c>
      <c r="M88" s="74" t="str">
        <f>IF($R88="","",INDEX(Cálculos!$R:$R,$R88))</f>
        <v/>
      </c>
      <c r="O88" s="15" t="str">
        <f>IF($R88="","",INDEX(Cálculos!$S:$S,$R88))</f>
        <v/>
      </c>
      <c r="P88" s="13" t="str">
        <f>IF($R88="","",IF(M88&gt;=1,"Completo","Pendiente"))</f>
        <v/>
      </c>
      <c r="R88" t="str">
        <f>IFERROR(SMALL(Cálculos!$T$30:$T$109,75),"")</f>
        <v/>
      </c>
    </row>
    <row r="89" ht="18" customHeight="1" s="38">
      <c r="B89" s="13" t="str">
        <f>IF($R89="","",76)</f>
        <v/>
      </c>
      <c r="C89" s="72" t="str">
        <f>IF($R89="","",INDEX(Cálculos!$O:$O,$R89))</f>
        <v/>
      </c>
      <c r="G89" s="72" t="str">
        <f>IF($R89="","",INDEX(Cálculos!$P:$P,$R89))</f>
        <v/>
      </c>
      <c r="J89" s="13" t="str">
        <f>IF($R89="","",INDEX(Cálculos!$Q:$Q,$R89))</f>
        <v/>
      </c>
      <c r="K89" s="13" t="str">
        <f>IF($R89="","",INDEX(Cálculos!$M:$M,$R89))</f>
        <v/>
      </c>
      <c r="L89" s="13" t="str">
        <f>IF($R89="","",INDEX(Cálculos!$N:$N,$R89))</f>
        <v/>
      </c>
      <c r="M89" s="74" t="str">
        <f>IF($R89="","",INDEX(Cálculos!$R:$R,$R89))</f>
        <v/>
      </c>
      <c r="O89" s="15" t="str">
        <f>IF($R89="","",INDEX(Cálculos!$S:$S,$R89))</f>
        <v/>
      </c>
      <c r="P89" s="13" t="str">
        <f>IF($R89="","",IF(M89&gt;=1,"Completo","Pendiente"))</f>
        <v/>
      </c>
      <c r="R89" t="str">
        <f>IFERROR(SMALL(Cálculos!$T$30:$T$109,76),"")</f>
        <v/>
      </c>
    </row>
    <row r="90" ht="18" customHeight="1" s="38">
      <c r="B90" s="13" t="str">
        <f>IF($R90="","",77)</f>
        <v/>
      </c>
      <c r="C90" s="72" t="str">
        <f>IF($R90="","",INDEX(Cálculos!$O:$O,$R90))</f>
        <v/>
      </c>
      <c r="G90" s="72" t="str">
        <f>IF($R90="","",INDEX(Cálculos!$P:$P,$R90))</f>
        <v/>
      </c>
      <c r="J90" s="13" t="str">
        <f>IF($R90="","",INDEX(Cálculos!$Q:$Q,$R90))</f>
        <v/>
      </c>
      <c r="K90" s="13" t="str">
        <f>IF($R90="","",INDEX(Cálculos!$M:$M,$R90))</f>
        <v/>
      </c>
      <c r="L90" s="13" t="str">
        <f>IF($R90="","",INDEX(Cálculos!$N:$N,$R90))</f>
        <v/>
      </c>
      <c r="M90" s="74" t="str">
        <f>IF($R90="","",INDEX(Cálculos!$R:$R,$R90))</f>
        <v/>
      </c>
      <c r="O90" s="15" t="str">
        <f>IF($R90="","",INDEX(Cálculos!$S:$S,$R90))</f>
        <v/>
      </c>
      <c r="P90" s="13" t="str">
        <f>IF($R90="","",IF(M90&gt;=1,"Completo","Pendiente"))</f>
        <v/>
      </c>
      <c r="R90" t="str">
        <f>IFERROR(SMALL(Cálculos!$T$30:$T$109,77),"")</f>
        <v/>
      </c>
    </row>
    <row r="91" ht="18" customHeight="1" s="38">
      <c r="B91" s="13" t="str">
        <f>IF($R91="","",78)</f>
        <v/>
      </c>
      <c r="C91" s="72" t="str">
        <f>IF($R91="","",INDEX(Cálculos!$O:$O,$R91))</f>
        <v/>
      </c>
      <c r="G91" s="72" t="str">
        <f>IF($R91="","",INDEX(Cálculos!$P:$P,$R91))</f>
        <v/>
      </c>
      <c r="J91" s="13" t="str">
        <f>IF($R91="","",INDEX(Cálculos!$Q:$Q,$R91))</f>
        <v/>
      </c>
      <c r="K91" s="13" t="str">
        <f>IF($R91="","",INDEX(Cálculos!$M:$M,$R91))</f>
        <v/>
      </c>
      <c r="L91" s="13" t="str">
        <f>IF($R91="","",INDEX(Cálculos!$N:$N,$R91))</f>
        <v/>
      </c>
      <c r="M91" s="74" t="str">
        <f>IF($R91="","",INDEX(Cálculos!$R:$R,$R91))</f>
        <v/>
      </c>
      <c r="O91" s="15" t="str">
        <f>IF($R91="","",INDEX(Cálculos!$S:$S,$R91))</f>
        <v/>
      </c>
      <c r="P91" s="13" t="str">
        <f>IF($R91="","",IF(M91&gt;=1,"Completo","Pendiente"))</f>
        <v/>
      </c>
      <c r="R91" t="str">
        <f>IFERROR(SMALL(Cálculos!$T$30:$T$109,78),"")</f>
        <v/>
      </c>
    </row>
    <row r="92" ht="18" customHeight="1" s="38">
      <c r="B92" s="13" t="str">
        <f>IF($R92="","",79)</f>
        <v/>
      </c>
      <c r="C92" s="72" t="str">
        <f>IF($R92="","",INDEX(Cálculos!$O:$O,$R92))</f>
        <v/>
      </c>
      <c r="G92" s="72" t="str">
        <f>IF($R92="","",INDEX(Cálculos!$P:$P,$R92))</f>
        <v/>
      </c>
      <c r="J92" s="13" t="str">
        <f>IF($R92="","",INDEX(Cálculos!$Q:$Q,$R92))</f>
        <v/>
      </c>
      <c r="K92" s="13" t="str">
        <f>IF($R92="","",INDEX(Cálculos!$M:$M,$R92))</f>
        <v/>
      </c>
      <c r="L92" s="13" t="str">
        <f>IF($R92="","",INDEX(Cálculos!$N:$N,$R92))</f>
        <v/>
      </c>
      <c r="M92" s="74" t="str">
        <f>IF($R92="","",INDEX(Cálculos!$R:$R,$R92))</f>
        <v/>
      </c>
      <c r="O92" s="15" t="str">
        <f>IF($R92="","",INDEX(Cálculos!$S:$S,$R92))</f>
        <v/>
      </c>
      <c r="P92" s="13" t="str">
        <f>IF($R92="","",IF(M92&gt;=1,"Completo","Pendiente"))</f>
        <v/>
      </c>
      <c r="R92" t="str">
        <f>IFERROR(SMALL(Cálculos!$T$30:$T$109,79),"")</f>
        <v/>
      </c>
    </row>
    <row r="93" ht="18" customHeight="1" s="38">
      <c r="B93" s="13" t="str">
        <f>IF($R93="","",80)</f>
        <v/>
      </c>
      <c r="C93" s="72" t="str">
        <f>IF($R93="","",INDEX(Cálculos!$O:$O,$R93))</f>
        <v/>
      </c>
      <c r="G93" s="72" t="str">
        <f>IF($R93="","",INDEX(Cálculos!$P:$P,$R93))</f>
        <v/>
      </c>
      <c r="J93" s="13" t="str">
        <f>IF($R93="","",INDEX(Cálculos!$Q:$Q,$R93))</f>
        <v/>
      </c>
      <c r="K93" s="13" t="str">
        <f>IF($R93="","",INDEX(Cálculos!$M:$M,$R93))</f>
        <v/>
      </c>
      <c r="L93" s="13" t="str">
        <f>IF($R93="","",INDEX(Cálculos!$N:$N,$R93))</f>
        <v/>
      </c>
      <c r="M93" s="74" t="str">
        <f>IF($R93="","",INDEX(Cálculos!$R:$R,$R93))</f>
        <v/>
      </c>
      <c r="O93" s="15" t="str">
        <f>IF($R93="","",INDEX(Cálculos!$S:$S,$R93))</f>
        <v/>
      </c>
      <c r="P93" s="13" t="str">
        <f>IF($R93="","",IF(M93&gt;=1,"Completo","Pendiente"))</f>
        <v/>
      </c>
      <c r="R93" t="str">
        <f>IFERROR(SMALL(Cálculos!$T$30:$T$109,80),"")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32:F32"/>
    <mergeCell ref="C81:F81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C78:F78"/>
    <mergeCell ref="G89:I89"/>
    <mergeCell ref="M35:N35"/>
    <mergeCell ref="C87:F87"/>
    <mergeCell ref="G65:I65"/>
    <mergeCell ref="M54:N54"/>
    <mergeCell ref="G79:I79"/>
    <mergeCell ref="C62:F62"/>
    <mergeCell ref="G73:I73"/>
    <mergeCell ref="M90:N90"/>
    <mergeCell ref="G88:I88"/>
    <mergeCell ref="C15:F15"/>
    <mergeCell ref="G26:I26"/>
    <mergeCell ref="C24:F24"/>
    <mergeCell ref="C7:E7"/>
    <mergeCell ref="C89:F89"/>
    <mergeCell ref="G63:I63"/>
    <mergeCell ref="M74:N74"/>
    <mergeCell ref="M16:N16"/>
    <mergeCell ref="G16:I16"/>
    <mergeCell ref="M25:N25"/>
    <mergeCell ref="I10:K10"/>
    <mergeCell ref="C64:F64"/>
    <mergeCell ref="C79:F79"/>
    <mergeCell ref="G90:I90"/>
    <mergeCell ref="G50:I5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M93:N93"/>
    <mergeCell ref="G82:I82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M78:N78"/>
    <mergeCell ref="C34:F34"/>
    <mergeCell ref="G45:I45"/>
    <mergeCell ref="C86:F86"/>
    <mergeCell ref="C68:F68"/>
    <mergeCell ref="G20:I20"/>
    <mergeCell ref="M31:N31"/>
    <mergeCell ref="G29:I29"/>
    <mergeCell ref="C58:F58"/>
    <mergeCell ref="M75:N75"/>
    <mergeCell ref="M40:N40"/>
    <mergeCell ref="G47:I47"/>
    <mergeCell ref="C45:F45"/>
    <mergeCell ref="M15:N15"/>
    <mergeCell ref="G84:I84"/>
    <mergeCell ref="M81:N81"/>
    <mergeCell ref="G22:I22"/>
    <mergeCell ref="G44:I44"/>
    <mergeCell ref="M37:N37"/>
    <mergeCell ref="C20:F20"/>
    <mergeCell ref="G31:I31"/>
    <mergeCell ref="G46:I46"/>
    <mergeCell ref="M89:N89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84:F84"/>
    <mergeCell ref="C44:F44"/>
    <mergeCell ref="C22:F22"/>
    <mergeCell ref="C31:F31"/>
    <mergeCell ref="C80:F80"/>
    <mergeCell ref="M29:N29"/>
    <mergeCell ref="G70:I70"/>
    <mergeCell ref="M23:N23"/>
    <mergeCell ref="M38:N38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56:N56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M80:N80"/>
    <mergeCell ref="C16:F16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72:N72"/>
    <mergeCell ref="M14:N14"/>
    <mergeCell ref="G39:I39"/>
    <mergeCell ref="G61:I61"/>
    <mergeCell ref="C59:F59"/>
    <mergeCell ref="G48:I48"/>
    <mergeCell ref="M87:N87"/>
  </mergeCells>
  <conditionalFormatting sqref="B14:P93">
    <cfRule type="expression" priority="4" dxfId="6">
      <formula>AND($R14&lt;&gt;"",MOD(ROW(),2)=0)</formula>
    </cfRule>
    <cfRule type="expression" priority="5" dxfId="5">
      <formula>$R14&lt;&gt;""</formula>
    </cfRule>
  </conditionalFormatting>
  <conditionalFormatting sqref="M14:M93">
    <cfRule type="dataBar" priority="6">
      <dataBar>
        <cfvo type="num" val="0"/>
        <cfvo type="num" val="1"/>
        <color rgb="FF5B9BD5"/>
      </dataBar>
    </cfRule>
  </conditionalFormatting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2" stopIfTrue="1">
      <formula>$P14="Pendiente"</formula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OFFSET(Cálculos!$V$5,0,0,COUNTIF(Cálculos!$V$5:$V$25,"?*"),1)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F4E78"/>
    <outlinePr summaryBelow="1" summaryRight="1"/>
    <pageSetUpPr/>
  </sheetPr>
  <dimension ref="B1:P13"/>
  <sheetViews>
    <sheetView showGridLines="0" topLeftCell="A3" zoomScale="90" workbookViewId="0">
      <selection activeCell="H11" sqref="H11:J12"/>
    </sheetView>
  </sheetViews>
  <sheetFormatPr baseColWidth="10" defaultColWidth="8.88671875" defaultRowHeight="14.4"/>
  <cols>
    <col width="2" customWidth="1" style="38" min="1" max="1"/>
    <col width="10.44140625" customWidth="1" style="38" min="2" max="16"/>
    <col width="2" customWidth="1" style="38" min="17" max="17"/>
  </cols>
  <sheetData>
    <row r="1" ht="34.05" customHeight="1" s="38">
      <c r="B1" s="50" t="inlineStr">
        <is>
          <t>DASHBOARD EJECUTIVO DE CUMPLIMIENTO</t>
        </is>
      </c>
    </row>
    <row r="2" ht="22.05" customHeight="1" s="38">
      <c r="B2" s="41" t="inlineStr">
        <is>
          <t>Evaluación de Gestión Integral de Riesgos · avance institucional y por gerencia</t>
        </is>
      </c>
    </row>
    <row r="3">
      <c r="B3" s="63" t="inlineStr">
        <is>
          <t>Datos actualizados al:</t>
        </is>
      </c>
      <c r="E3" s="61">
        <f>MAX('Detalle individual'!$H$5:$H$1000)</f>
        <v>46311.675671296296</v>
      </c>
      <c r="H3" s="52" t="str">
        <f>IF(COUNT(Cálculos!$AF$5:$AF$24)&gt;10,"⚠ Hay gerencias nuevas: pida actualizar los gráficos (las tablas ya están al día)",IF(COUNT(Cálculos!$AE$5:$AE$84)&gt;44,"⚠ Hay departamentos nuevos: pida actualizar los gráficos (las tablas ya están al día)",""))</f>
        <v/>
      </c>
    </row>
    <row r="4" ht="7.95" customHeight="1" s="38"/>
    <row r="5">
      <c r="B5" s="141" t="inlineStr">
        <is>
          <t>PERSONAL ESPERADO</t>
        </is>
      </c>
      <c r="C5" s="130" t="n"/>
      <c r="D5" s="131" t="n"/>
      <c r="E5" s="65" t="inlineStr">
        <is>
          <t>COMPLETADOS</t>
        </is>
      </c>
      <c r="F5" s="66" t="n"/>
      <c r="G5" s="67" t="n"/>
      <c r="H5" s="57" t="inlineStr">
        <is>
          <t>PENDIENTES</t>
        </is>
      </c>
      <c r="I5" s="58" t="n"/>
      <c r="J5" s="59" t="n"/>
      <c r="K5" s="141" t="inlineStr">
        <is>
          <t>% CUMPLIMIENTO</t>
        </is>
      </c>
      <c r="L5" s="130" t="n"/>
      <c r="M5" s="131" t="n"/>
      <c r="N5" s="141" t="inlineStr">
        <is>
          <t>NOTA PROMEDIO</t>
        </is>
      </c>
      <c r="O5" s="130" t="n"/>
      <c r="P5" s="131" t="n"/>
    </row>
    <row r="6" ht="22.05" customHeight="1" s="38">
      <c r="B6" s="132">
        <f>SUM('Consolidado por Gerencia'!$B$5:$B$24)</f>
        <v>283</v>
      </c>
      <c r="D6" s="43" t="n"/>
      <c r="E6" s="133">
        <f>SUM('Consolidado por Gerencia'!$C$5:$C$24)</f>
        <v>278</v>
      </c>
      <c r="G6" s="43" t="n"/>
      <c r="H6" s="134">
        <f>SUM('Consolidado por Gerencia'!$D$5:$D$24)</f>
        <v>5</v>
      </c>
      <c r="J6" s="43" t="n"/>
      <c r="K6" s="135">
        <f>IF(B6&gt;0,E6/B6,0)</f>
        <v>0.982332155477032</v>
      </c>
      <c r="M6" s="43" t="n"/>
      <c r="N6" s="136">
        <f>IFERROR(AVERAGE('Detalle individual'!$J$5:$J$1000),"-")</f>
        <v>96.9314079422383</v>
      </c>
      <c r="P6" s="43" t="n"/>
    </row>
    <row r="7" ht="22.05" customHeight="1" s="38">
      <c r="B7" s="44" t="n"/>
      <c r="D7" s="43" t="n"/>
      <c r="E7" s="44" t="n"/>
      <c r="G7" s="43" t="n"/>
      <c r="H7" s="44" t="n"/>
      <c r="J7" s="43" t="n"/>
      <c r="K7" s="44" t="n"/>
      <c r="M7" s="43" t="n"/>
      <c r="N7" s="44" t="n"/>
      <c r="P7" s="43" t="n"/>
    </row>
    <row r="8" customFormat="1" s="122">
      <c r="B8" s="142" t="str">
        <f>"Excluye "&amp;SUM('Consolidado por Gerencia'!$N$5:$N$24)&amp;" con situación especial"</f>
        <v>Excluye 10 con situación especial</v>
      </c>
      <c r="C8" s="138" t="n"/>
      <c r="D8" s="139" t="n"/>
      <c r="E8" s="142" t="inlineStr">
        <is>
          <t>Exámenes realizados</t>
        </is>
      </c>
      <c r="F8" s="138" t="n"/>
      <c r="G8" s="139" t="n"/>
      <c r="H8" s="142" t="inlineStr">
        <is>
          <t>Aún sin realizar</t>
        </is>
      </c>
      <c r="I8" s="138" t="n"/>
      <c r="J8" s="139" t="n"/>
      <c r="K8" s="142" t="inlineStr">
        <is>
          <t>Meta institucional: 100%</t>
        </is>
      </c>
      <c r="L8" s="138" t="n"/>
      <c r="M8" s="139" t="n"/>
      <c r="N8" s="142" t="inlineStr">
        <is>
          <t>Sobre 100 puntos</t>
        </is>
      </c>
      <c r="O8" s="138" t="n"/>
      <c r="P8" s="139" t="n"/>
    </row>
    <row r="9" ht="19.95" customHeight="1" s="38">
      <c r="B9" s="53" t="inlineStr">
        <is>
          <t>TOTAL DE LA BASE OFICIAL Y CASOS ESPECIALES (no cuentan en el % de cumplimiento)</t>
        </is>
      </c>
    </row>
    <row r="10" customFormat="1" s="122">
      <c r="B10" s="107" t="inlineStr">
        <is>
          <t>TOTAL BASE OFICIAL</t>
        </is>
      </c>
      <c r="C10" s="130" t="n"/>
      <c r="D10" s="131" t="n"/>
      <c r="E10" s="110" t="inlineStr">
        <is>
          <t>VACACIONES</t>
        </is>
      </c>
      <c r="F10" s="143" t="n"/>
      <c r="G10" s="144" t="n"/>
      <c r="H10" s="113" t="inlineStr">
        <is>
          <t>INCAPACIDAD</t>
        </is>
      </c>
      <c r="I10" s="145" t="n"/>
      <c r="J10" s="146" t="n"/>
      <c r="K10" s="116" t="inlineStr">
        <is>
          <t>INCAPACIDAD POR MATERNIDAD</t>
        </is>
      </c>
      <c r="L10" s="147" t="n"/>
      <c r="M10" s="148" t="n"/>
      <c r="N10" s="119" t="inlineStr">
        <is>
          <t>RENUNCIA</t>
        </is>
      </c>
      <c r="O10" s="149" t="n"/>
      <c r="P10" s="150" t="n"/>
    </row>
    <row r="11" ht="22.05" customHeight="1" s="38">
      <c r="B11" s="55">
        <f>COUNTIF('Detalle individual'!$A$5:$A$1000,"?*")</f>
        <v>293</v>
      </c>
      <c r="D11" s="43" t="n"/>
      <c r="E11" s="68">
        <f>Cálculos!AV7</f>
        <v>4</v>
      </c>
      <c r="G11" s="43" t="n"/>
      <c r="H11" s="56">
        <f>Cálculos!AV8</f>
        <v>1</v>
      </c>
      <c r="J11" s="43" t="n"/>
      <c r="K11" s="60">
        <f>Cálculos!AV9</f>
        <v>2</v>
      </c>
      <c r="M11" s="43" t="n"/>
      <c r="N11" s="42">
        <f>Cálculos!AV10</f>
        <v>3</v>
      </c>
      <c r="P11" s="43" t="n"/>
    </row>
    <row r="12" ht="22.05" customHeight="1" s="38">
      <c r="B12" s="44" t="n"/>
      <c r="D12" s="43" t="n"/>
      <c r="E12" s="44" t="n"/>
      <c r="G12" s="43" t="n"/>
      <c r="H12" s="44" t="n"/>
      <c r="J12" s="43" t="n"/>
      <c r="K12" s="44" t="n"/>
      <c r="M12" s="43" t="n"/>
      <c r="N12" s="44" t="n"/>
      <c r="P12" s="43" t="n"/>
    </row>
    <row r="13" customFormat="1" s="122">
      <c r="B13" s="123" t="str">
        <f>"Esperados "&amp;B6&amp;" + "&amp;SUM(Cálculos!$AV$7:$AV$10)&amp;" casos especiales"</f>
        <v>Esperados 283 + 10 casos especiales</v>
      </c>
      <c r="C13" s="138" t="n"/>
      <c r="D13" s="139" t="n"/>
      <c r="E13" s="123" t="inlineStr">
        <is>
          <t>No cuenta en el %</t>
        </is>
      </c>
      <c r="F13" s="138" t="n"/>
      <c r="G13" s="139" t="n"/>
      <c r="H13" s="123" t="inlineStr">
        <is>
          <t>No cuenta en el %</t>
        </is>
      </c>
      <c r="I13" s="138" t="n"/>
      <c r="J13" s="139" t="n"/>
      <c r="K13" s="123" t="inlineStr">
        <is>
          <t>No cuenta en el %</t>
        </is>
      </c>
      <c r="L13" s="138" t="n"/>
      <c r="M13" s="139" t="n"/>
      <c r="N13" s="123" t="inlineStr">
        <is>
          <t>No cuenta en el %</t>
        </is>
      </c>
      <c r="O13" s="138" t="n"/>
      <c r="P13" s="139" t="n"/>
    </row>
    <row r="14" ht="10.05" customHeight="1" s="38"/>
  </sheetData>
  <mergeCells count="36">
    <mergeCell ref="N6:P7"/>
    <mergeCell ref="E10:G10"/>
    <mergeCell ref="B2:P2"/>
    <mergeCell ref="E13:G13"/>
    <mergeCell ref="N11:P12"/>
    <mergeCell ref="B8:D8"/>
    <mergeCell ref="N5:P5"/>
    <mergeCell ref="B13:D13"/>
    <mergeCell ref="B1:P1"/>
    <mergeCell ref="N8:P8"/>
    <mergeCell ref="K6:M7"/>
    <mergeCell ref="B10:D10"/>
    <mergeCell ref="K8:M8"/>
    <mergeCell ref="N10:P10"/>
    <mergeCell ref="H13:J13"/>
    <mergeCell ref="N13:P13"/>
    <mergeCell ref="H3:P3"/>
    <mergeCell ref="B9:P9"/>
    <mergeCell ref="H6:J7"/>
    <mergeCell ref="B5:D5"/>
    <mergeCell ref="B11:D12"/>
    <mergeCell ref="H11:J12"/>
    <mergeCell ref="K10:M10"/>
    <mergeCell ref="K13:M13"/>
    <mergeCell ref="H5:J5"/>
    <mergeCell ref="H8:J8"/>
    <mergeCell ref="K11:M12"/>
    <mergeCell ref="E3:G3"/>
    <mergeCell ref="E6:G7"/>
    <mergeCell ref="B3:D3"/>
    <mergeCell ref="H10:J10"/>
    <mergeCell ref="B6:D7"/>
    <mergeCell ref="E5:G5"/>
    <mergeCell ref="K5:M5"/>
    <mergeCell ref="E11:G12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F4E78"/>
    <outlinePr summaryBelow="1" summaryRight="1"/>
    <pageSetUpPr/>
  </sheetPr>
  <dimension ref="B1:M77"/>
  <sheetViews>
    <sheetView showGridLines="0" topLeftCell="A2" zoomScale="90" workbookViewId="0">
      <selection activeCell="F52" sqref="F52"/>
    </sheetView>
  </sheetViews>
  <sheetFormatPr baseColWidth="10" defaultColWidth="8.88671875" defaultRowHeight="14.4"/>
  <cols>
    <col width="2" customWidth="1" style="38" min="1" max="1"/>
    <col width="12.44140625" customWidth="1" style="38" min="2" max="13"/>
  </cols>
  <sheetData>
    <row r="1" ht="34.05" customHeight="1" s="38">
      <c r="B1" s="50" t="inlineStr">
        <is>
          <t>DASHBOARD DE ESTADOS DEL PERSONAL</t>
        </is>
      </c>
    </row>
    <row r="2" ht="22.05" customHeight="1" s="38">
      <c r="B2" s="41" t="inlineStr">
        <is>
          <t>Completados, pendientes y personal con situación especial (vacaciones, incapacidad, maternidad, renuncia)</t>
        </is>
      </c>
    </row>
    <row r="3" ht="10.05" customHeight="1" s="38"/>
    <row r="4" ht="25.95" customHeight="1" s="38">
      <c r="B4" s="151" t="inlineStr">
        <is>
          <t>COMPLETADO</t>
        </is>
      </c>
      <c r="C4" s="131" t="n"/>
      <c r="D4" s="98" t="inlineStr">
        <is>
          <t>PENDIENTE</t>
        </is>
      </c>
      <c r="E4" s="59" t="n"/>
      <c r="F4" s="152" t="inlineStr">
        <is>
          <t>VACACIONES</t>
        </is>
      </c>
      <c r="G4" s="144" t="n"/>
      <c r="H4" s="88" t="inlineStr">
        <is>
          <t>INCAPACIDAD</t>
        </is>
      </c>
      <c r="I4" s="89" t="n"/>
      <c r="J4" s="153" t="inlineStr">
        <is>
          <t>INCAPACIDAD POR MATERNIDAD</t>
        </is>
      </c>
      <c r="K4" s="148" t="n"/>
      <c r="L4" s="154" t="inlineStr">
        <is>
          <t>RENUNCIA</t>
        </is>
      </c>
      <c r="M4" s="150" t="n"/>
    </row>
    <row r="5" ht="22.05" customHeight="1" s="38">
      <c r="B5" s="155">
        <f>Cálculos!AV5</f>
        <v>278</v>
      </c>
      <c r="C5" s="43" t="n"/>
      <c r="D5" s="156">
        <f>Cálculos!AV6</f>
        <v>5</v>
      </c>
      <c r="E5" s="43" t="n"/>
      <c r="F5" s="157">
        <f>Cálculos!AV7</f>
        <v>4</v>
      </c>
      <c r="G5" s="43" t="n"/>
      <c r="H5" s="158">
        <f>Cálculos!AV8</f>
        <v>1</v>
      </c>
      <c r="I5" s="43" t="n"/>
      <c r="J5" s="159">
        <f>Cálculos!AV9</f>
        <v>2</v>
      </c>
      <c r="K5" s="43" t="n"/>
      <c r="L5" s="160">
        <f>Cálculos!AV10</f>
        <v>3</v>
      </c>
      <c r="M5" s="43" t="n"/>
    </row>
    <row r="6" ht="22.05" customHeight="1" s="38">
      <c r="B6" s="44" t="n"/>
      <c r="C6" s="43" t="n"/>
      <c r="D6" s="44" t="n"/>
      <c r="E6" s="43" t="n"/>
      <c r="F6" s="44" t="n"/>
      <c r="G6" s="43" t="n"/>
      <c r="H6" s="44" t="n"/>
      <c r="I6" s="43" t="n"/>
      <c r="J6" s="44" t="n"/>
      <c r="K6" s="43" t="n"/>
      <c r="L6" s="44" t="n"/>
      <c r="M6" s="43" t="n"/>
    </row>
    <row r="7">
      <c r="B7" s="161">
        <f>IF(SUM(Cálculos!$AV$5:$AV$10)&gt;0,Cálculos!AV5/SUM(Cálculos!$AV$5:$AV$10),0)</f>
        <v>0.948805460750853</v>
      </c>
      <c r="C7" s="139" t="n"/>
      <c r="D7" s="161">
        <f>IF(SUM(Cálculos!$AV$5:$AV$10)&gt;0,Cálculos!AV6/SUM(Cálculos!$AV$5:$AV$10),0)</f>
        <v>0.0170648464163823</v>
      </c>
      <c r="E7" s="139" t="n"/>
      <c r="F7" s="161">
        <f>IF(SUM(Cálculos!$AV$5:$AV$10)&gt;0,Cálculos!AV7/SUM(Cálculos!$AV$5:$AV$10),0)</f>
        <v>0.0136518771331058</v>
      </c>
      <c r="G7" s="139" t="n"/>
      <c r="H7" s="161">
        <f>IF(SUM(Cálculos!$AV$5:$AV$10)&gt;0,Cálculos!AV8/SUM(Cálculos!$AV$5:$AV$10),0)</f>
        <v>0.00341296928327645</v>
      </c>
      <c r="I7" s="139" t="n"/>
      <c r="J7" s="161">
        <f>IF(SUM(Cálculos!$AV$5:$AV$10)&gt;0,Cálculos!AV9/SUM(Cálculos!$AV$5:$AV$10),0)</f>
        <v>0.0068259385665529</v>
      </c>
      <c r="K7" s="139" t="n"/>
      <c r="L7" s="161">
        <f>IF(SUM(Cálculos!$AV$5:$AV$10)&gt;0,Cálculos!AV10/SUM(Cálculos!$AV$5:$AV$10),0)</f>
        <v>0.0102389078498294</v>
      </c>
      <c r="M7" s="139" t="n"/>
    </row>
    <row r="77">
      <c r="B77" s="102" t="inlineStr">
        <is>
          <t>Nota: el personal con situación especial que no ha realizado el examen no cuenta en el % de cumplimiento. La situación se asigna en 'Base Oficial', columna H.</t>
        </is>
      </c>
    </row>
  </sheetData>
  <mergeCells count="21">
    <mergeCell ref="F4:G4"/>
    <mergeCell ref="B2:M2"/>
    <mergeCell ref="L7:M7"/>
    <mergeCell ref="B7:C7"/>
    <mergeCell ref="H4:I4"/>
    <mergeCell ref="B1:M1"/>
    <mergeCell ref="F7:G7"/>
    <mergeCell ref="B5:C6"/>
    <mergeCell ref="D5:E6"/>
    <mergeCell ref="H5:I6"/>
    <mergeCell ref="J5:K6"/>
    <mergeCell ref="J4:K4"/>
    <mergeCell ref="D7:E7"/>
    <mergeCell ref="L4:M4"/>
    <mergeCell ref="H7:I7"/>
    <mergeCell ref="J7:K7"/>
    <mergeCell ref="D4:E4"/>
    <mergeCell ref="F5:G6"/>
    <mergeCell ref="L5:M6"/>
    <mergeCell ref="B4:C4"/>
    <mergeCell ref="B77:M7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F4E78"/>
    <outlinePr summaryBelow="1" summaryRight="1"/>
    <pageSetUpPr/>
  </sheetPr>
  <dimension ref="B1:P3"/>
  <sheetViews>
    <sheetView showGridLines="0" zoomScale="90" workbookViewId="0">
      <selection activeCell="A1" sqref="A1"/>
    </sheetView>
  </sheetViews>
  <sheetFormatPr baseColWidth="10" defaultColWidth="8.88671875" defaultRowHeight="14.4"/>
  <cols>
    <col width="2" customWidth="1" style="38" min="1" max="1"/>
    <col width="10.44140625" customWidth="1" style="38" min="2" max="16"/>
  </cols>
  <sheetData>
    <row r="1" ht="34.05" customHeight="1" s="38">
      <c r="B1" s="50" t="inlineStr">
        <is>
          <t>CUMPLIMIENTO POR DEPARTAMENTO / AGENCIA</t>
        </is>
      </c>
    </row>
    <row r="2" ht="22.05" customHeight="1" s="38">
      <c r="B2" s="41" t="inlineStr">
        <is>
          <t>Ordenado de mayor a menor % de cumplimiento · la barra muestra completados (azul) y pendientes (gris)</t>
        </is>
      </c>
    </row>
    <row r="3">
      <c r="B3" s="103" t="str">
        <f>IF(COUNT(Cálculos!$AE$5:$AE$84)&gt;44,"⚠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F4E78"/>
    <outlinePr summaryBelow="1" summaryRight="1"/>
    <pageSetUpPr/>
  </sheetPr>
  <dimension ref="B1:K1004"/>
  <sheetViews>
    <sheetView showGridLines="0" zoomScale="90" workbookViewId="0">
      <pane ySplit="8" topLeftCell="A9" activePane="bottomLeft" state="frozen"/>
      <selection pane="bottomLeft" activeCell="A12" sqref="A12:XFD12"/>
    </sheetView>
  </sheetViews>
  <sheetFormatPr baseColWidth="10" defaultColWidth="8.88671875" defaultRowHeight="14.4"/>
  <cols>
    <col width="2" customWidth="1" style="38" min="1" max="1"/>
    <col width="6" customWidth="1" style="38" min="2" max="2"/>
    <col width="9" customWidth="1" style="38" min="3" max="3"/>
    <col width="38" customWidth="1" style="38" min="4" max="4"/>
    <col width="46" customWidth="1" style="38" min="5" max="5"/>
    <col width="42" customWidth="1" style="38" min="6" max="6"/>
    <col width="32" customWidth="1" style="38" min="7" max="7"/>
    <col width="14" customWidth="1" style="38" min="8" max="8"/>
    <col width="18" customWidth="1" style="38" min="9" max="9"/>
    <col width="9" customWidth="1" style="38" min="10" max="10"/>
    <col hidden="1" width="4" customWidth="1" style="38" min="11" max="11"/>
  </cols>
  <sheetData>
    <row r="1" ht="34.05" customHeight="1" s="38">
      <c r="B1" s="50" t="inlineStr">
        <is>
          <t>ESTADO DE LA EVALUACIÓN POR COLABORADOR</t>
        </is>
      </c>
    </row>
    <row r="2" ht="22.05" customHeight="1" s="38">
      <c r="B2" s="41" t="inlineStr">
        <is>
          <t>Use los filtros amarillos para ver quién completó y quién tiene pendiente el examen</t>
        </is>
      </c>
    </row>
    <row r="3" ht="7.95" customHeight="1" s="38"/>
    <row r="4" ht="22.05" customHeight="1" s="38">
      <c r="B4" s="106" t="inlineStr">
        <is>
          <t>Gerencia:</t>
        </is>
      </c>
      <c r="D4" s="104" t="inlineStr">
        <is>
          <t>Todas las gerencias</t>
        </is>
      </c>
      <c r="E4" s="105" t="n"/>
      <c r="G4" s="16" t="inlineStr">
        <is>
          <t>Colaboradores mostrados</t>
        </is>
      </c>
      <c r="H4" s="17">
        <f>COUNT(K9:K1004)</f>
        <v>293</v>
      </c>
    </row>
    <row r="5" ht="22.05" customHeight="1" s="38">
      <c r="B5" s="106" t="inlineStr">
        <is>
          <t>Departamento:</t>
        </is>
      </c>
      <c r="D5" s="104" t="inlineStr">
        <is>
          <t>Todos los departamentos</t>
        </is>
      </c>
      <c r="E5" s="105" t="n"/>
      <c r="G5" s="16" t="inlineStr">
        <is>
          <t>Completados</t>
        </is>
      </c>
      <c r="H5" s="18">
        <f>COUNTIF(H9:H1004,"Completado")</f>
        <v>278</v>
      </c>
    </row>
    <row r="6" ht="22.05" customHeight="1" s="38">
      <c r="B6" s="106" t="inlineStr">
        <is>
          <t>Estado:</t>
        </is>
      </c>
      <c r="D6" s="104" t="inlineStr">
        <is>
          <t>Todos</t>
        </is>
      </c>
      <c r="E6" s="105" t="n"/>
      <c r="G6" s="16" t="inlineStr">
        <is>
          <t>Pendientes</t>
        </is>
      </c>
      <c r="H6" s="19">
        <f>COUNTIF(H9:H1004,"Pendiente")</f>
        <v>5</v>
      </c>
    </row>
    <row r="7" ht="22.05" customHeight="1" s="38">
      <c r="G7" s="16" t="inlineStr">
        <is>
          <t>Con situación especial</t>
        </is>
      </c>
      <c r="H7" s="31">
        <f>H4-H5-H6</f>
        <v>10</v>
      </c>
    </row>
    <row r="8" ht="30" customHeight="1" s="38">
      <c r="B8" s="75" t="inlineStr">
        <is>
          <t>#</t>
        </is>
      </c>
      <c r="C8" s="75" t="inlineStr">
        <is>
          <t>Código</t>
        </is>
      </c>
      <c r="D8" s="75" t="inlineStr">
        <is>
          <t>Nombre del colaborador</t>
        </is>
      </c>
      <c r="E8" s="75" t="inlineStr">
        <is>
          <t>Cargo</t>
        </is>
      </c>
      <c r="F8" s="75" t="inlineStr">
        <is>
          <t>Departamento / Agencia</t>
        </is>
      </c>
      <c r="G8" s="75" t="inlineStr">
        <is>
          <t>Gerencia</t>
        </is>
      </c>
      <c r="H8" s="75" t="inlineStr">
        <is>
          <t>Estado</t>
        </is>
      </c>
      <c r="I8" s="75" t="inlineStr">
        <is>
          <t>Fecha de finalización</t>
        </is>
      </c>
      <c r="J8" s="75" t="inlineStr">
        <is>
          <t>Nota</t>
        </is>
      </c>
    </row>
    <row r="9">
      <c r="B9" s="13">
        <f>IF($K9="","",1)</f>
        <v>1</v>
      </c>
      <c r="C9" s="13" t="str">
        <f>IF($K9="","",INDEX('Detalle individual'!$A:$A,$K9))</f>
        <v>234</v>
      </c>
      <c r="D9" s="72" t="str">
        <f>IF($K9="","",TRIM(INDEX('Detalle individual'!$B:$B,$K9)))</f>
        <v>LETICIA ESMERALDA ROSA</v>
      </c>
      <c r="E9" s="72" t="str">
        <f>IF($K9="","",TRIM(INDEX('Detalle individual'!$E:$E,$K9)))</f>
        <v>EJECUTIVO DE NEGOCIOS</v>
      </c>
      <c r="F9" s="72" t="str">
        <f>IF($K9="","",TRIM(INDEX('Detalle individual'!$C:$C,$K9)))</f>
        <v>AGENCIA CENTRAL</v>
      </c>
      <c r="G9" s="72" t="str">
        <f>IF($K9="","",INDEX('Detalle individual'!$D:$D,$K9))</f>
        <v>Gerencia de Negocios</v>
      </c>
      <c r="H9" s="13" t="str">
        <f>IF($K9="","",INDEX('Detalle individual'!$F:$F,$K9))</f>
        <v>Pendiente</v>
      </c>
      <c r="I9" s="20" t="str">
        <f>IF($K9="","",IF(INDEX('Detalle individual'!$F:$F,$K9)="Completado",INDEX('Detalle individual'!$H:$H,$K9),""))</f>
        <v/>
      </c>
      <c r="J9" s="21" t="str">
        <f>IF($K9="","",IF(INDEX('Detalle individual'!$F:$F,$K9)="Completado",INDEX('Detalle individual'!$J:$J,$K9),""))</f>
        <v/>
      </c>
      <c r="K9">
        <f>IFERROR(MOD(SMALL(Cálculos!$Z$5:$Z$1000,1),10000),"")</f>
        <v>193</v>
      </c>
    </row>
    <row r="10">
      <c r="B10" s="13">
        <f>IF($K10="","",2)</f>
        <v>2</v>
      </c>
      <c r="C10" s="13" t="str">
        <f>IF($K10="","",INDEX('Detalle individual'!$A:$A,$K10))</f>
        <v>253</v>
      </c>
      <c r="D10" s="72" t="str">
        <f>IF($K10="","",TRIM(INDEX('Detalle individual'!$B:$B,$K10)))</f>
        <v>ELSY GUADALUPE COREA AGUILUZ</v>
      </c>
      <c r="E10" s="72" t="str">
        <f>IF($K10="","",TRIM(INDEX('Detalle individual'!$E:$E,$K10)))</f>
        <v>EJECUTIVO DE NEGOCIOS</v>
      </c>
      <c r="F10" s="72" t="str">
        <f>IF($K10="","",TRIM(INDEX('Detalle individual'!$C:$C,$K10)))</f>
        <v>AGENCIA CENTRAL</v>
      </c>
      <c r="G10" s="72" t="str">
        <f>IF($K10="","",INDEX('Detalle individual'!$D:$D,$K10))</f>
        <v>Gerencia de Negocios</v>
      </c>
      <c r="H10" s="13" t="str">
        <f>IF($K10="","",INDEX('Detalle individual'!$F:$F,$K10))</f>
        <v>Pendiente</v>
      </c>
      <c r="I10" s="20" t="str">
        <f>IF($K10="","",IF(INDEX('Detalle individual'!$F:$F,$K10)="Completado",INDEX('Detalle individual'!$H:$H,$K10),""))</f>
        <v/>
      </c>
      <c r="J10" s="21" t="str">
        <f>IF($K10="","",IF(INDEX('Detalle individual'!$F:$F,$K10)="Completado",INDEX('Detalle individual'!$J:$J,$K10),""))</f>
        <v/>
      </c>
      <c r="K10">
        <f>IFERROR(MOD(SMALL(Cálculos!$Z$5:$Z$1000,2),10000),"")</f>
        <v>194</v>
      </c>
    </row>
    <row r="11">
      <c r="B11" s="13">
        <f>IF($K11="","",3)</f>
        <v>3</v>
      </c>
      <c r="C11" s="13" t="str">
        <f>IF($K11="","",INDEX('Detalle individual'!$A:$A,$K11))</f>
        <v>933</v>
      </c>
      <c r="D11" s="72" t="str">
        <f>IF($K11="","",TRIM(INDEX('Detalle individual'!$B:$B,$K11)))</f>
        <v>JACQUELINE GUADALUPE CEA ALVARADO</v>
      </c>
      <c r="E11" s="72" t="str">
        <f>IF($K11="","",TRIM(INDEX('Detalle individual'!$E:$E,$K11)))</f>
        <v>EJECUTIVO DE NEGOCIOS</v>
      </c>
      <c r="F11" s="72" t="str">
        <f>IF($K11="","",TRIM(INDEX('Detalle individual'!$C:$C,$K11)))</f>
        <v>AGENCIA COLONIA MEDICA</v>
      </c>
      <c r="G11" s="72" t="str">
        <f>IF($K11="","",INDEX('Detalle individual'!$D:$D,$K11))</f>
        <v>Gerencia de Negocios</v>
      </c>
      <c r="H11" s="13" t="str">
        <f>IF($K11="","",INDEX('Detalle individual'!$F:$F,$K11))</f>
        <v>Pendiente</v>
      </c>
      <c r="I11" s="20" t="str">
        <f>IF($K11="","",IF(INDEX('Detalle individual'!$F:$F,$K11)="Completado",INDEX('Detalle individual'!$H:$H,$K11),""))</f>
        <v/>
      </c>
      <c r="J11" s="21" t="str">
        <f>IF($K11="","",IF(INDEX('Detalle individual'!$F:$F,$K11)="Completado",INDEX('Detalle individual'!$J:$J,$K11),""))</f>
        <v/>
      </c>
      <c r="K11">
        <f>IFERROR(MOD(SMALL(Cálculos!$Z$5:$Z$1000,3),10000),"")</f>
        <v>272</v>
      </c>
    </row>
    <row r="12">
      <c r="B12" s="13">
        <f>IF($K12="","",4)</f>
        <v>4</v>
      </c>
      <c r="C12" s="13" t="str">
        <f>IF($K12="","",INDEX('Detalle individual'!$A:$A,$K12))</f>
        <v>723</v>
      </c>
      <c r="D12" s="72" t="str">
        <f>IF($K12="","",TRIM(INDEX('Detalle individual'!$B:$B,$K12)))</f>
        <v>LUIS FAUSTONY VASQUEZ CIENFUEGOS</v>
      </c>
      <c r="E12" s="72" t="str">
        <f>IF($K12="","",TRIM(INDEX('Detalle individual'!$E:$E,$K12)))</f>
        <v>GESTOR DE DOCUMENTOS</v>
      </c>
      <c r="F12" s="72" t="str">
        <f>IF($K12="","",TRIM(INDEX('Detalle individual'!$C:$C,$K12)))</f>
        <v>DEPARTAMENTO DE MERCADEO</v>
      </c>
      <c r="G12" s="72" t="str">
        <f>IF($K12="","",INDEX('Detalle individual'!$D:$D,$K12))</f>
        <v>Gerencia de Negocios</v>
      </c>
      <c r="H12" s="13" t="str">
        <f>IF($K12="","",INDEX('Detalle individual'!$F:$F,$K12))</f>
        <v>Pendiente</v>
      </c>
      <c r="I12" s="20" t="str">
        <f>IF($K12="","",IF(INDEX('Detalle individual'!$F:$F,$K12)="Completado",INDEX('Detalle individual'!$H:$H,$K12),""))</f>
        <v/>
      </c>
      <c r="J12" s="21" t="str">
        <f>IF($K12="","",IF(INDEX('Detalle individual'!$F:$F,$K12)="Completado",INDEX('Detalle individual'!$J:$J,$K12),""))</f>
        <v/>
      </c>
      <c r="K12">
        <f>IFERROR(MOD(SMALL(Cálculos!$Z$5:$Z$1000,4),10000),"")</f>
        <v>148</v>
      </c>
    </row>
    <row r="13">
      <c r="B13" s="13">
        <f>IF($K13="","",5)</f>
        <v>5</v>
      </c>
      <c r="C13" s="13" t="str">
        <f>IF($K13="","",INDEX('Detalle individual'!$A:$A,$K13))</f>
        <v>41</v>
      </c>
      <c r="D13" s="72" t="str">
        <f>IF($K13="","",TRIM(INDEX('Detalle individual'!$B:$B,$K13)))</f>
        <v>ROQUE RAFAEL REYES ESPINAL</v>
      </c>
      <c r="E13" s="72" t="str">
        <f>IF($K13="","",TRIM(INDEX('Detalle individual'!$E:$E,$K13)))</f>
        <v>GERENTE DE OPERACIONES</v>
      </c>
      <c r="F13" s="72" t="str">
        <f>IF($K13="","",TRIM(INDEX('Detalle individual'!$C:$C,$K13)))</f>
        <v>GERENCIA DE OPERACIONES</v>
      </c>
      <c r="G13" s="72" t="str">
        <f>IF($K13="","",INDEX('Detalle individual'!$D:$D,$K13))</f>
        <v>Gerencia de Operaciones</v>
      </c>
      <c r="H13" s="13" t="str">
        <f>IF($K13="","",INDEX('Detalle individual'!$F:$F,$K13))</f>
        <v>Pendiente</v>
      </c>
      <c r="I13" s="20" t="str">
        <f>IF($K13="","",IF(INDEX('Detalle individual'!$F:$F,$K13)="Completado",INDEX('Detalle individual'!$H:$H,$K13),""))</f>
        <v/>
      </c>
      <c r="J13" s="21" t="str">
        <f>IF($K13="","",IF(INDEX('Detalle individual'!$F:$F,$K13)="Completado",INDEX('Detalle individual'!$J:$J,$K13),""))</f>
        <v/>
      </c>
      <c r="K13">
        <f>IFERROR(MOD(SMALL(Cálculos!$Z$5:$Z$1000,5),10000),"")</f>
        <v>7</v>
      </c>
    </row>
    <row r="14">
      <c r="B14" s="13">
        <f>IF($K14="","",6)</f>
        <v>6</v>
      </c>
      <c r="C14" s="13" t="str">
        <f>IF($K14="","",INDEX('Detalle individual'!$A:$A,$K14))</f>
        <v>440</v>
      </c>
      <c r="D14" s="72" t="str">
        <f>IF($K14="","",TRIM(INDEX('Detalle individual'!$B:$B,$K14)))</f>
        <v>KARLA MERCEDES DELEON DELGADO</v>
      </c>
      <c r="E14" s="72" t="str">
        <f>IF($K14="","",TRIM(INDEX('Detalle individual'!$E:$E,$K14)))</f>
        <v>JEFE DE AGENCIA</v>
      </c>
      <c r="F14" s="72" t="str">
        <f>IF($K14="","",TRIM(INDEX('Detalle individual'!$C:$C,$K14)))</f>
        <v>AGENCIA CENTRAL</v>
      </c>
      <c r="G14" s="72" t="str">
        <f>IF($K14="","",INDEX('Detalle individual'!$D:$D,$K14))</f>
        <v>Gerencia de Negocios</v>
      </c>
      <c r="H14" s="13" t="str">
        <f>IF($K14="","",INDEX('Detalle individual'!$F:$F,$K14))</f>
        <v>Vacaciones</v>
      </c>
      <c r="I14" s="20" t="str">
        <f>IF($K14="","",IF(INDEX('Detalle individual'!$F:$F,$K14)="Completado",INDEX('Detalle individual'!$H:$H,$K14),""))</f>
        <v/>
      </c>
      <c r="J14" s="21" t="str">
        <f>IF($K14="","",IF(INDEX('Detalle individual'!$F:$F,$K14)="Completado",INDEX('Detalle individual'!$J:$J,$K14),""))</f>
        <v/>
      </c>
      <c r="K14">
        <f>IFERROR(MOD(SMALL(Cálculos!$Z$5:$Z$1000,6),10000),"")</f>
        <v>196</v>
      </c>
    </row>
    <row r="15">
      <c r="B15" s="13">
        <f>IF($K15="","",7)</f>
        <v>7</v>
      </c>
      <c r="C15" s="13" t="str">
        <f>IF($K15="","",INDEX('Detalle individual'!$A:$A,$K15))</f>
        <v>739</v>
      </c>
      <c r="D15" s="72" t="str">
        <f>IF($K15="","",TRIM(INDEX('Detalle individual'!$B:$B,$K15)))</f>
        <v>JOHANA PATRICIA LUNA RAMOS</v>
      </c>
      <c r="E15" s="72" t="str">
        <f>IF($K15="","",TRIM(INDEX('Detalle individual'!$E:$E,$K15)))</f>
        <v>CAJERO</v>
      </c>
      <c r="F15" s="72" t="str">
        <f>IF($K15="","",TRIM(INDEX('Detalle individual'!$C:$C,$K15)))</f>
        <v>AGENCIA CENTRAL</v>
      </c>
      <c r="G15" s="72" t="str">
        <f>IF($K15="","",INDEX('Detalle individual'!$D:$D,$K15))</f>
        <v>Gerencia de Negocios</v>
      </c>
      <c r="H15" s="13" t="str">
        <f>IF($K15="","",INDEX('Detalle individual'!$F:$F,$K15))</f>
        <v>Incapacidad por maternidad</v>
      </c>
      <c r="I15" s="20" t="str">
        <f>IF($K15="","",IF(INDEX('Detalle individual'!$F:$F,$K15)="Completado",INDEX('Detalle individual'!$H:$H,$K15),""))</f>
        <v/>
      </c>
      <c r="J15" s="21" t="str">
        <f>IF($K15="","",IF(INDEX('Detalle individual'!$F:$F,$K15)="Completado",INDEX('Detalle individual'!$J:$J,$K15),""))</f>
        <v/>
      </c>
      <c r="K15">
        <f>IFERROR(MOD(SMALL(Cálculos!$Z$5:$Z$1000,7),10000),"")</f>
        <v>198</v>
      </c>
    </row>
    <row r="16">
      <c r="B16" s="13">
        <f>IF($K16="","",8)</f>
        <v>8</v>
      </c>
      <c r="C16" s="13" t="str">
        <f>IF($K16="","",INDEX('Detalle individual'!$A:$A,$K16))</f>
        <v>466</v>
      </c>
      <c r="D16" s="72" t="str">
        <f>IF($K16="","",TRIM(INDEX('Detalle individual'!$B:$B,$K16)))</f>
        <v>DORIS ELISA HERNANDEZ</v>
      </c>
      <c r="E16" s="72" t="str">
        <f>IF($K16="","",TRIM(INDEX('Detalle individual'!$E:$E,$K16)))</f>
        <v>SERVICIOS VARIOS</v>
      </c>
      <c r="F16" s="72" t="str">
        <f>IF($K16="","",TRIM(INDEX('Detalle individual'!$C:$C,$K16)))</f>
        <v>AGENCIA COLEGIO MEDICO</v>
      </c>
      <c r="G16" s="72" t="str">
        <f>IF($K16="","",INDEX('Detalle individual'!$D:$D,$K16))</f>
        <v>Gerencia de Negocios</v>
      </c>
      <c r="H16" s="13" t="str">
        <f>IF($K16="","",INDEX('Detalle individual'!$F:$F,$K16))</f>
        <v>Vacaciones</v>
      </c>
      <c r="I16" s="20" t="str">
        <f>IF($K16="","",IF(INDEX('Detalle individual'!$F:$F,$K16)="Completado",INDEX('Detalle individual'!$H:$H,$K16),""))</f>
        <v/>
      </c>
      <c r="J16" s="21" t="str">
        <f>IF($K16="","",IF(INDEX('Detalle individual'!$F:$F,$K16)="Completado",INDEX('Detalle individual'!$J:$J,$K16),""))</f>
        <v/>
      </c>
      <c r="K16">
        <f>IFERROR(MOD(SMALL(Cálculos!$Z$5:$Z$1000,8),10000),"")</f>
        <v>213</v>
      </c>
    </row>
    <row r="17">
      <c r="B17" s="13">
        <f>IF($K17="","",9)</f>
        <v>9</v>
      </c>
      <c r="C17" s="13" t="str">
        <f>IF($K17="","",INDEX('Detalle individual'!$A:$A,$K17))</f>
        <v>861</v>
      </c>
      <c r="D17" s="72" t="str">
        <f>IF($K17="","",TRIM(INDEX('Detalle individual'!$B:$B,$K17)))</f>
        <v>SANDRA MARINA BERRIOS SANTOS</v>
      </c>
      <c r="E17" s="72" t="str">
        <f>IF($K17="","",TRIM(INDEX('Detalle individual'!$E:$E,$K17)))</f>
        <v>CAJERO</v>
      </c>
      <c r="F17" s="72" t="str">
        <f>IF($K17="","",TRIM(INDEX('Detalle individual'!$C:$C,$K17)))</f>
        <v>AGENCIA SAN MIGUEL</v>
      </c>
      <c r="G17" s="72" t="str">
        <f>IF($K17="","",INDEX('Detalle individual'!$D:$D,$K17))</f>
        <v>Gerencia de Negocios</v>
      </c>
      <c r="H17" s="13" t="str">
        <f>IF($K17="","",INDEX('Detalle individual'!$F:$F,$K17))</f>
        <v>Incapacidad por maternidad</v>
      </c>
      <c r="I17" s="20" t="str">
        <f>IF($K17="","",IF(INDEX('Detalle individual'!$F:$F,$K17)="Completado",INDEX('Detalle individual'!$H:$H,$K17),""))</f>
        <v/>
      </c>
      <c r="J17" s="21" t="str">
        <f>IF($K17="","",IF(INDEX('Detalle individual'!$F:$F,$K17)="Completado",INDEX('Detalle individual'!$J:$J,$K17),""))</f>
        <v/>
      </c>
      <c r="K17">
        <f>IFERROR(MOD(SMALL(Cálculos!$Z$5:$Z$1000,9),10000),"")</f>
        <v>228</v>
      </c>
    </row>
    <row r="18">
      <c r="B18" s="13">
        <f>IF($K18="","",10)</f>
        <v>10</v>
      </c>
      <c r="C18" s="13" t="str">
        <f>IF($K18="","",INDEX('Detalle individual'!$A:$A,$K18))</f>
        <v>835</v>
      </c>
      <c r="D18" s="72" t="str">
        <f>IF($K18="","",TRIM(INDEX('Detalle individual'!$B:$B,$K18)))</f>
        <v>LUIS ALBERTO MEJIA DELGADO</v>
      </c>
      <c r="E18" s="72" t="str">
        <f>IF($K18="","",TRIM(INDEX('Detalle individual'!$E:$E,$K18)))</f>
        <v>EJECUTIVO DE NEGOCIOS</v>
      </c>
      <c r="F18" s="72" t="str">
        <f>IF($K18="","",TRIM(INDEX('Detalle individual'!$C:$C,$K18)))</f>
        <v>DEPARTAMENTO COMERCIAL DE TARJETA DE CREDITO Y DEBITO</v>
      </c>
      <c r="G18" s="72" t="str">
        <f>IF($K18="","",INDEX('Detalle individual'!$D:$D,$K18))</f>
        <v>Gerencia de Negocios</v>
      </c>
      <c r="H18" s="13" t="str">
        <f>IF($K18="","",INDEX('Detalle individual'!$F:$F,$K18))</f>
        <v>Renuncia</v>
      </c>
      <c r="I18" s="20" t="str">
        <f>IF($K18="","",IF(INDEX('Detalle individual'!$F:$F,$K18)="Completado",INDEX('Detalle individual'!$H:$H,$K18),""))</f>
        <v/>
      </c>
      <c r="J18" s="21" t="str">
        <f>IF($K18="","",IF(INDEX('Detalle individual'!$F:$F,$K18)="Completado",INDEX('Detalle individual'!$J:$J,$K18),""))</f>
        <v/>
      </c>
      <c r="K18">
        <f>IFERROR(MOD(SMALL(Cálculos!$Z$5:$Z$1000,10),10000),"")</f>
        <v>182</v>
      </c>
    </row>
    <row r="19">
      <c r="B19" s="13">
        <f>IF($K19="","",11)</f>
        <v>11</v>
      </c>
      <c r="C19" s="13" t="str">
        <f>IF($K19="","",INDEX('Detalle individual'!$A:$A,$K19))</f>
        <v>90</v>
      </c>
      <c r="D19" s="72" t="str">
        <f>IF($K19="","",TRIM(INDEX('Detalle individual'!$B:$B,$K19)))</f>
        <v>HUGO MARVIN SERRANO SARAVIA</v>
      </c>
      <c r="E19" s="72" t="str">
        <f>IF($K19="","",TRIM(INDEX('Detalle individual'!$E:$E,$K19)))</f>
        <v>OPERADOR DE SISTEMAS</v>
      </c>
      <c r="F19" s="72" t="str">
        <f>IF($K19="","",TRIM(INDEX('Detalle individual'!$C:$C,$K19)))</f>
        <v>DEPARTAMENTO DE OPERACIONES Y SOPORTE TECNICO</v>
      </c>
      <c r="G19" s="72" t="str">
        <f>IF($K19="","",INDEX('Detalle individual'!$D:$D,$K19))</f>
        <v>Gerencia de Sistemas</v>
      </c>
      <c r="H19" s="13" t="str">
        <f>IF($K19="","",INDEX('Detalle individual'!$F:$F,$K19))</f>
        <v>Vacaciones</v>
      </c>
      <c r="I19" s="20" t="str">
        <f>IF($K19="","",IF(INDEX('Detalle individual'!$F:$F,$K19)="Completado",INDEX('Detalle individual'!$H:$H,$K19),""))</f>
        <v/>
      </c>
      <c r="J19" s="21" t="str">
        <f>IF($K19="","",IF(INDEX('Detalle individual'!$F:$F,$K19)="Completado",INDEX('Detalle individual'!$J:$J,$K19),""))</f>
        <v/>
      </c>
      <c r="K19">
        <f>IFERROR(MOD(SMALL(Cálculos!$Z$5:$Z$1000,11),10000),"")</f>
        <v>104</v>
      </c>
    </row>
    <row r="20">
      <c r="B20" s="13">
        <f>IF($K20="","",12)</f>
        <v>12</v>
      </c>
      <c r="C20" s="13" t="str">
        <f>IF($K20="","",INDEX('Detalle individual'!$A:$A,$K20))</f>
        <v>802</v>
      </c>
      <c r="D20" s="72" t="str">
        <f>IF($K20="","",TRIM(INDEX('Detalle individual'!$B:$B,$K20)))</f>
        <v>ERIKA VANESSA ALEMAN MIJANGO</v>
      </c>
      <c r="E20" s="72" t="str">
        <f>IF($K20="","",TRIM(INDEX('Detalle individual'!$E:$E,$K20)))</f>
        <v>EJECUTIVO DE VENTA DE SEGUROS</v>
      </c>
      <c r="F20" s="72" t="str">
        <f>IF($K20="","",TRIM(INDEX('Detalle individual'!$C:$C,$K20)))</f>
        <v>DEPARTAMENTO DE SEGUROS</v>
      </c>
      <c r="G20" s="72" t="str">
        <f>IF($K20="","",INDEX('Detalle individual'!$D:$D,$K20))</f>
        <v>Gerencia de Negocios</v>
      </c>
      <c r="H20" s="13" t="str">
        <f>IF($K20="","",INDEX('Detalle individual'!$F:$F,$K20))</f>
        <v>Renuncia</v>
      </c>
      <c r="I20" s="20" t="str">
        <f>IF($K20="","",IF(INDEX('Detalle individual'!$F:$F,$K20)="Completado",INDEX('Detalle individual'!$H:$H,$K20),""))</f>
        <v/>
      </c>
      <c r="J20" s="21" t="str">
        <f>IF($K20="","",IF(INDEX('Detalle individual'!$F:$F,$K20)="Completado",INDEX('Detalle individual'!$J:$J,$K20),""))</f>
        <v/>
      </c>
      <c r="K20">
        <f>IFERROR(MOD(SMALL(Cálculos!$Z$5:$Z$1000,12),10000),"")</f>
        <v>172</v>
      </c>
    </row>
    <row r="21">
      <c r="B21" s="13">
        <f>IF($K21="","",13)</f>
        <v>13</v>
      </c>
      <c r="C21" s="13" t="str">
        <f>IF($K21="","",INDEX('Detalle individual'!$A:$A,$K21))</f>
        <v>885</v>
      </c>
      <c r="D21" s="72" t="str">
        <f>IF($K21="","",TRIM(INDEX('Detalle individual'!$B:$B,$K21)))</f>
        <v>ALBA BEATRIZ MELENDEZ PRUDENCIO</v>
      </c>
      <c r="E21" s="72" t="str">
        <f>IF($K21="","",TRIM(INDEX('Detalle individual'!$E:$E,$K21)))</f>
        <v>ASISTENTE DE RECUPERACION JUDICIAL Y CARTERA CASTIGADA</v>
      </c>
      <c r="F21" s="72" t="str">
        <f>IF($K21="","",TRIM(INDEX('Detalle individual'!$C:$C,$K21)))</f>
        <v>DEPARTAMENTO DE SOLUCIONES FINANCIERAS</v>
      </c>
      <c r="G21" s="72" t="str">
        <f>IF($K21="","",INDEX('Detalle individual'!$D:$D,$K21))</f>
        <v>Gerencia de Operaciones</v>
      </c>
      <c r="H21" s="13" t="str">
        <f>IF($K21="","",INDEX('Detalle individual'!$F:$F,$K21))</f>
        <v>Renuncia</v>
      </c>
      <c r="I21" s="20" t="str">
        <f>IF($K21="","",IF(INDEX('Detalle individual'!$F:$F,$K21)="Completado",INDEX('Detalle individual'!$H:$H,$K21),""))</f>
        <v/>
      </c>
      <c r="J21" s="21" t="str">
        <f>IF($K21="","",IF(INDEX('Detalle individual'!$F:$F,$K21)="Completado",INDEX('Detalle individual'!$J:$J,$K21),""))</f>
        <v/>
      </c>
      <c r="K21">
        <f>IFERROR(MOD(SMALL(Cálculos!$Z$5:$Z$1000,13),10000),"")</f>
        <v>68</v>
      </c>
    </row>
    <row r="22">
      <c r="B22" s="13">
        <f>IF($K22="","",14)</f>
        <v>14</v>
      </c>
      <c r="C22" s="13" t="str">
        <f>IF($K22="","",INDEX('Detalle individual'!$A:$A,$K22))</f>
        <v>65</v>
      </c>
      <c r="D22" s="72" t="str">
        <f>IF($K22="","",TRIM(INDEX('Detalle individual'!$B:$B,$K22)))</f>
        <v>DORA ALICIA CASTILLO</v>
      </c>
      <c r="E22" s="72" t="str">
        <f>IF($K22="","",TRIM(INDEX('Detalle individual'!$E:$E,$K22)))</f>
        <v>JEFE DE TALENTO HUMANO</v>
      </c>
      <c r="F22" s="72" t="str">
        <f>IF($K22="","",TRIM(INDEX('Detalle individual'!$C:$C,$K22)))</f>
        <v>DEPARTAMENTO DE TALENTO HUMANO</v>
      </c>
      <c r="G22" s="72" t="str">
        <f>IF($K22="","",INDEX('Detalle individual'!$D:$D,$K22))</f>
        <v>Gerencia Administrativa</v>
      </c>
      <c r="H22" s="13" t="str">
        <f>IF($K22="","",INDEX('Detalle individual'!$F:$F,$K22))</f>
        <v>Vacaciones</v>
      </c>
      <c r="I22" s="20" t="str">
        <f>IF($K22="","",IF(INDEX('Detalle individual'!$F:$F,$K22)="Completado",INDEX('Detalle individual'!$H:$H,$K22),""))</f>
        <v/>
      </c>
      <c r="J22" s="21" t="str">
        <f>IF($K22="","",IF(INDEX('Detalle individual'!$F:$F,$K22)="Completado",INDEX('Detalle individual'!$J:$J,$K22),""))</f>
        <v/>
      </c>
      <c r="K22">
        <f>IFERROR(MOD(SMALL(Cálculos!$Z$5:$Z$1000,14),10000),"")</f>
        <v>49</v>
      </c>
    </row>
    <row r="23">
      <c r="B23" s="13">
        <f>IF($K23="","",15)</f>
        <v>15</v>
      </c>
      <c r="C23" s="13" t="str">
        <f>IF($K23="","",INDEX('Detalle individual'!$A:$A,$K23))</f>
        <v>399</v>
      </c>
      <c r="D23" s="72" t="str">
        <f>IF($K23="","",TRIM(INDEX('Detalle individual'!$B:$B,$K23)))</f>
        <v>GEOVANNI LIZAMA PORTILLO</v>
      </c>
      <c r="E23" s="72" t="str">
        <f>IF($K23="","",TRIM(INDEX('Detalle individual'!$E:$E,$K23)))</f>
        <v>JEFE DE TARJETA DE CREDITO Y DEBITO</v>
      </c>
      <c r="F23" s="72" t="str">
        <f>IF($K23="","",TRIM(INDEX('Detalle individual'!$C:$C,$K23)))</f>
        <v>DEPARTAMENTO DE TARJETA DE CREDITO Y DEBITO</v>
      </c>
      <c r="G23" s="72" t="str">
        <f>IF($K23="","",INDEX('Detalle individual'!$D:$D,$K23))</f>
        <v>Gerencia de Operaciones</v>
      </c>
      <c r="H23" s="13" t="str">
        <f>IF($K23="","",INDEX('Detalle individual'!$F:$F,$K23))</f>
        <v>Incapacidad</v>
      </c>
      <c r="I23" s="20" t="str">
        <f>IF($K23="","",IF(INDEX('Detalle individual'!$F:$F,$K23)="Completado",INDEX('Detalle individual'!$H:$H,$K23),""))</f>
        <v/>
      </c>
      <c r="J23" s="21" t="str">
        <f>IF($K23="","",IF(INDEX('Detalle individual'!$F:$F,$K23)="Completado",INDEX('Detalle individual'!$J:$J,$K23),""))</f>
        <v/>
      </c>
      <c r="K23">
        <f>IFERROR(MOD(SMALL(Cálculos!$Z$5:$Z$1000,15),10000),"")</f>
        <v>70</v>
      </c>
    </row>
    <row r="24">
      <c r="B24" s="13">
        <f>IF($K24="","",16)</f>
        <v>16</v>
      </c>
      <c r="C24" s="13" t="str">
        <f>IF($K24="","",INDEX('Detalle individual'!$A:$A,$K24))</f>
        <v>409</v>
      </c>
      <c r="D24" s="72" t="str">
        <f>IF($K24="","",TRIM(INDEX('Detalle individual'!$B:$B,$K24)))</f>
        <v>PEDRO ERNESTO MORÁN RAMÍREZ</v>
      </c>
      <c r="E24" s="72" t="str">
        <f>IF($K24="","",TRIM(INDEX('Detalle individual'!$E:$E,$K24)))</f>
        <v>ADMINISTRADOR DE BASE DE DATOS</v>
      </c>
      <c r="F24" s="72" t="str">
        <f>IF($K24="","",TRIM(INDEX('Detalle individual'!$C:$C,$K24)))</f>
        <v>ADMINISTRACION DE BASE DE DATOS</v>
      </c>
      <c r="G24" s="72" t="str">
        <f>IF($K24="","",INDEX('Detalle individual'!$D:$D,$K24))</f>
        <v>Gerencia de Sistemas</v>
      </c>
      <c r="H24" s="13" t="str">
        <f>IF($K24="","",INDEX('Detalle individual'!$F:$F,$K24))</f>
        <v>Completado</v>
      </c>
      <c r="I24" s="20">
        <f>IF($K24="","",IF(INDEX('Detalle individual'!$F:$F,$K24)="Completado",INDEX('Detalle individual'!$H:$H,$K24),""))</f>
        <v>46300.696018518516</v>
      </c>
      <c r="J24" s="21">
        <f>IF($K24="","",IF(INDEX('Detalle individual'!$F:$F,$K24)="Completado",INDEX('Detalle individual'!$J:$J,$K24),""))</f>
        <v>95</v>
      </c>
      <c r="K24">
        <f>IFERROR(MOD(SMALL(Cálculos!$Z$5:$Z$1000,16),10000),"")</f>
        <v>122</v>
      </c>
    </row>
    <row r="25">
      <c r="B25" s="13">
        <f>IF($K25="","",17)</f>
        <v>17</v>
      </c>
      <c r="C25" s="13" t="str">
        <f>IF($K25="","",INDEX('Detalle individual'!$A:$A,$K25))</f>
        <v>16</v>
      </c>
      <c r="D25" s="72" t="str">
        <f>IF($K25="","",TRIM(INDEX('Detalle individual'!$B:$B,$K25)))</f>
        <v>YANETH MARLENY LANDAVERDE MORALES</v>
      </c>
      <c r="E25" s="72" t="str">
        <f>IF($K25="","",TRIM(INDEX('Detalle individual'!$E:$E,$K25)))</f>
        <v>JEFE DE ADMINISTRACION DE CARTERA</v>
      </c>
      <c r="F25" s="72" t="str">
        <f>IF($K25="","",TRIM(INDEX('Detalle individual'!$C:$C,$K25)))</f>
        <v>ADMINISTRACIÓN DE CARTERAS</v>
      </c>
      <c r="G25" s="72" t="str">
        <f>IF($K25="","",INDEX('Detalle individual'!$D:$D,$K25))</f>
        <v>Gerencia de Operaciones</v>
      </c>
      <c r="H25" s="13" t="str">
        <f>IF($K25="","",INDEX('Detalle individual'!$F:$F,$K25))</f>
        <v>Completado</v>
      </c>
      <c r="I25" s="20">
        <f>IF($K25="","",IF(INDEX('Detalle individual'!$F:$F,$K25)="Completado",INDEX('Detalle individual'!$H:$H,$K25),""))</f>
        <v>46307.675532407404</v>
      </c>
      <c r="J25" s="21">
        <f>IF($K25="","",IF(INDEX('Detalle individual'!$F:$F,$K25)="Completado",INDEX('Detalle individual'!$J:$J,$K25),""))</f>
        <v>100</v>
      </c>
      <c r="K25">
        <f>IFERROR(MOD(SMALL(Cálculos!$Z$5:$Z$1000,17),10000),"")</f>
        <v>79</v>
      </c>
    </row>
    <row r="26">
      <c r="B26" s="13">
        <f>IF($K26="","",18)</f>
        <v>18</v>
      </c>
      <c r="C26" s="13" t="str">
        <f>IF($K26="","",INDEX('Detalle individual'!$A:$A,$K26))</f>
        <v>477</v>
      </c>
      <c r="D26" s="72" t="str">
        <f>IF($K26="","",TRIM(INDEX('Detalle individual'!$B:$B,$K26)))</f>
        <v>GEMA YESENIA VILLALOBOS HERNANDEZ</v>
      </c>
      <c r="E26" s="72" t="str">
        <f>IF($K26="","",TRIM(INDEX('Detalle individual'!$E:$E,$K26)))</f>
        <v>ANALISTA DE CARTERAS</v>
      </c>
      <c r="F26" s="72" t="str">
        <f>IF($K26="","",TRIM(INDEX('Detalle individual'!$C:$C,$K26)))</f>
        <v>ADMINISTRACIÓN DE CARTERAS</v>
      </c>
      <c r="G26" s="72" t="str">
        <f>IF($K26="","",INDEX('Detalle individual'!$D:$D,$K26))</f>
        <v>Gerencia de Operaciones</v>
      </c>
      <c r="H26" s="13" t="str">
        <f>IF($K26="","",INDEX('Detalle individual'!$F:$F,$K26))</f>
        <v>Completado</v>
      </c>
      <c r="I26" s="20">
        <f>IF($K26="","",IF(INDEX('Detalle individual'!$F:$F,$K26)="Completado",INDEX('Detalle individual'!$H:$H,$K26),""))</f>
        <v>46307.65584490741</v>
      </c>
      <c r="J26" s="21">
        <f>IF($K26="","",IF(INDEX('Detalle individual'!$F:$F,$K26)="Completado",INDEX('Detalle individual'!$J:$J,$K26),""))</f>
        <v>100</v>
      </c>
      <c r="K26">
        <f>IFERROR(MOD(SMALL(Cálculos!$Z$5:$Z$1000,18),10000),"")</f>
        <v>80</v>
      </c>
    </row>
    <row r="27">
      <c r="B27" s="13">
        <f>IF($K27="","",19)</f>
        <v>19</v>
      </c>
      <c r="C27" s="13" t="str">
        <f>IF($K27="","",INDEX('Detalle individual'!$A:$A,$K27))</f>
        <v>572</v>
      </c>
      <c r="D27" s="72" t="str">
        <f>IF($K27="","",TRIM(INDEX('Detalle individual'!$B:$B,$K27)))</f>
        <v>PAMELA GIOVANNA AGUILAR SERBELLON</v>
      </c>
      <c r="E27" s="72" t="str">
        <f>IF($K27="","",TRIM(INDEX('Detalle individual'!$E:$E,$K27)))</f>
        <v>GESTOR DE COBROS Y PAGOS DE SEGUROS</v>
      </c>
      <c r="F27" s="72" t="str">
        <f>IF($K27="","",TRIM(INDEX('Detalle individual'!$C:$C,$K27)))</f>
        <v>ADMINISTRACIÓN DE CARTERAS</v>
      </c>
      <c r="G27" s="72" t="str">
        <f>IF($K27="","",INDEX('Detalle individual'!$D:$D,$K27))</f>
        <v>Gerencia de Operaciones</v>
      </c>
      <c r="H27" s="13" t="str">
        <f>IF($K27="","",INDEX('Detalle individual'!$F:$F,$K27))</f>
        <v>Completado</v>
      </c>
      <c r="I27" s="20">
        <f>IF($K27="","",IF(INDEX('Detalle individual'!$F:$F,$K27)="Completado",INDEX('Detalle individual'!$H:$H,$K27),""))</f>
        <v>46304.51201388889</v>
      </c>
      <c r="J27" s="21">
        <f>IF($K27="","",IF(INDEX('Detalle individual'!$F:$F,$K27)="Completado",INDEX('Detalle individual'!$J:$J,$K27),""))</f>
        <v>100</v>
      </c>
      <c r="K27">
        <f>IFERROR(MOD(SMALL(Cálculos!$Z$5:$Z$1000,19),10000),"")</f>
        <v>81</v>
      </c>
    </row>
    <row r="28">
      <c r="B28" s="13">
        <f>IF($K28="","",20)</f>
        <v>20</v>
      </c>
      <c r="C28" s="13" t="str">
        <f>IF($K28="","",INDEX('Detalle individual'!$A:$A,$K28))</f>
        <v>732</v>
      </c>
      <c r="D28" s="72" t="str">
        <f>IF($K28="","",TRIM(INDEX('Detalle individual'!$B:$B,$K28)))</f>
        <v>RICARDO JOSUE CACAO ROVELO</v>
      </c>
      <c r="E28" s="72" t="str">
        <f>IF($K28="","",TRIM(INDEX('Detalle individual'!$E:$E,$K28)))</f>
        <v>ANALISTA DE CARTERAS</v>
      </c>
      <c r="F28" s="72" t="str">
        <f>IF($K28="","",TRIM(INDEX('Detalle individual'!$C:$C,$K28)))</f>
        <v>ADMINISTRACIÓN DE CARTERAS</v>
      </c>
      <c r="G28" s="72" t="str">
        <f>IF($K28="","",INDEX('Detalle individual'!$D:$D,$K28))</f>
        <v>Gerencia de Operaciones</v>
      </c>
      <c r="H28" s="13" t="str">
        <f>IF($K28="","",INDEX('Detalle individual'!$F:$F,$K28))</f>
        <v>Completado</v>
      </c>
      <c r="I28" s="20">
        <f>IF($K28="","",IF(INDEX('Detalle individual'!$F:$F,$K28)="Completado",INDEX('Detalle individual'!$H:$H,$K28),""))</f>
        <v>46311.675671296296</v>
      </c>
      <c r="J28" s="21">
        <f>IF($K28="","",IF(INDEX('Detalle individual'!$F:$F,$K28)="Completado",INDEX('Detalle individual'!$J:$J,$K28),""))</f>
        <v>100</v>
      </c>
      <c r="K28">
        <f>IFERROR(MOD(SMALL(Cálculos!$Z$5:$Z$1000,20),10000),"")</f>
        <v>82</v>
      </c>
    </row>
    <row r="29">
      <c r="B29" s="13">
        <f>IF($K29="","",21)</f>
        <v>21</v>
      </c>
      <c r="C29" s="13" t="str">
        <f>IF($K29="","",INDEX('Detalle individual'!$A:$A,$K29))</f>
        <v>931</v>
      </c>
      <c r="D29" s="72" t="str">
        <f>IF($K29="","",TRIM(INDEX('Detalle individual'!$B:$B,$K29)))</f>
        <v>LOYDA ARACELY RAMOS CAÑENGUEZ</v>
      </c>
      <c r="E29" s="72" t="str">
        <f>IF($K29="","",TRIM(INDEX('Detalle individual'!$E:$E,$K29)))</f>
        <v>ANALISTA DE PRESTAMOS</v>
      </c>
      <c r="F29" s="72" t="str">
        <f>IF($K29="","",TRIM(INDEX('Detalle individual'!$C:$C,$K29)))</f>
        <v>ADMINISTRACIÓN DE CARTERAS</v>
      </c>
      <c r="G29" s="72" t="str">
        <f>IF($K29="","",INDEX('Detalle individual'!$D:$D,$K29))</f>
        <v>Gerencia de Operaciones</v>
      </c>
      <c r="H29" s="13" t="str">
        <f>IF($K29="","",INDEX('Detalle individual'!$F:$F,$K29))</f>
        <v>Completado</v>
      </c>
      <c r="I29" s="20">
        <f>IF($K29="","",IF(INDEX('Detalle individual'!$F:$F,$K29)="Completado",INDEX('Detalle individual'!$H:$H,$K29),""))</f>
        <v>46304.56716435185</v>
      </c>
      <c r="J29" s="21">
        <f>IF($K29="","",IF(INDEX('Detalle individual'!$F:$F,$K29)="Completado",INDEX('Detalle individual'!$J:$J,$K29),""))</f>
        <v>100</v>
      </c>
      <c r="K29">
        <f>IFERROR(MOD(SMALL(Cálculos!$Z$5:$Z$1000,21),10000),"")</f>
        <v>83</v>
      </c>
    </row>
    <row r="30">
      <c r="B30" s="13">
        <f>IF($K30="","",22)</f>
        <v>22</v>
      </c>
      <c r="C30" s="13" t="str">
        <f>IF($K30="","",INDEX('Detalle individual'!$A:$A,$K30))</f>
        <v>290</v>
      </c>
      <c r="D30" s="72" t="str">
        <f>IF($K30="","",TRIM(INDEX('Detalle individual'!$B:$B,$K30)))</f>
        <v>MELVIN ENRIQUE PORTILLO VALLE</v>
      </c>
      <c r="E30" s="72" t="str">
        <f>IF($K30="","",TRIM(INDEX('Detalle individual'!$E:$E,$K30)))</f>
        <v>ANALISTA DE RIESGOS FINANCIEROS</v>
      </c>
      <c r="F30" s="72" t="str">
        <f>IF($K30="","",TRIM(INDEX('Detalle individual'!$C:$C,$K30)))</f>
        <v>ADMINISTRACION DE RIESGOS</v>
      </c>
      <c r="G30" s="72" t="str">
        <f>IF($K30="","",INDEX('Detalle individual'!$D:$D,$K30))</f>
        <v>Gerencia General</v>
      </c>
      <c r="H30" s="13" t="str">
        <f>IF($K30="","",INDEX('Detalle individual'!$F:$F,$K30))</f>
        <v>Completado</v>
      </c>
      <c r="I30" s="20">
        <f>IF($K30="","",IF(INDEX('Detalle individual'!$F:$F,$K30)="Completado",INDEX('Detalle individual'!$H:$H,$K30),""))</f>
        <v>46304.40962962963</v>
      </c>
      <c r="J30" s="21">
        <f>IF($K30="","",IF(INDEX('Detalle individual'!$F:$F,$K30)="Completado",INDEX('Detalle individual'!$J:$J,$K30),""))</f>
        <v>100</v>
      </c>
      <c r="K30">
        <f>IFERROR(MOD(SMALL(Cálculos!$Z$5:$Z$1000,22),10000),"")</f>
        <v>14</v>
      </c>
    </row>
    <row r="31">
      <c r="B31" s="13">
        <f>IF($K31="","",23)</f>
        <v>23</v>
      </c>
      <c r="C31" s="13" t="str">
        <f>IF($K31="","",INDEX('Detalle individual'!$A:$A,$K31))</f>
        <v>408</v>
      </c>
      <c r="D31" s="72" t="str">
        <f>IF($K31="","",TRIM(INDEX('Detalle individual'!$B:$B,$K31)))</f>
        <v>SARA PATRICIA GONZALEZ JIMENEZ</v>
      </c>
      <c r="E31" s="72" t="str">
        <f>IF($K31="","",TRIM(INDEX('Detalle individual'!$E:$E,$K31)))</f>
        <v>ASISTENTE TECNICO DE RIESGOS</v>
      </c>
      <c r="F31" s="72" t="str">
        <f>IF($K31="","",TRIM(INDEX('Detalle individual'!$C:$C,$K31)))</f>
        <v>ADMINISTRACION DE RIESGOS</v>
      </c>
      <c r="G31" s="72" t="str">
        <f>IF($K31="","",INDEX('Detalle individual'!$D:$D,$K31))</f>
        <v>Gerencia General</v>
      </c>
      <c r="H31" s="13" t="str">
        <f>IF($K31="","",INDEX('Detalle individual'!$F:$F,$K31))</f>
        <v>Completado</v>
      </c>
      <c r="I31" s="20">
        <f>IF($K31="","",IF(INDEX('Detalle individual'!$F:$F,$K31)="Completado",INDEX('Detalle individual'!$H:$H,$K31),""))</f>
        <v>46296.438796296294</v>
      </c>
      <c r="J31" s="21">
        <f>IF($K31="","",IF(INDEX('Detalle individual'!$F:$F,$K31)="Completado",INDEX('Detalle individual'!$J:$J,$K31),""))</f>
        <v>100</v>
      </c>
      <c r="K31">
        <f>IFERROR(MOD(SMALL(Cálculos!$Z$5:$Z$1000,23),10000),"")</f>
        <v>15</v>
      </c>
    </row>
    <row r="32">
      <c r="B32" s="13">
        <f>IF($K32="","",24)</f>
        <v>24</v>
      </c>
      <c r="C32" s="13" t="str">
        <f>IF($K32="","",INDEX('Detalle individual'!$A:$A,$K32))</f>
        <v>433</v>
      </c>
      <c r="D32" s="72" t="str">
        <f>IF($K32="","",TRIM(INDEX('Detalle individual'!$B:$B,$K32)))</f>
        <v>SILVIA IVETH MARTINEZ RAMIREZ</v>
      </c>
      <c r="E32" s="72" t="str">
        <f>IF($K32="","",TRIM(INDEX('Detalle individual'!$E:$E,$K32)))</f>
        <v>ANALISTA DE RIESGO OPERACIONAL</v>
      </c>
      <c r="F32" s="72" t="str">
        <f>IF($K32="","",TRIM(INDEX('Detalle individual'!$C:$C,$K32)))</f>
        <v>ADMINISTRACION DE RIESGOS</v>
      </c>
      <c r="G32" s="72" t="str">
        <f>IF($K32="","",INDEX('Detalle individual'!$D:$D,$K32))</f>
        <v>Gerencia General</v>
      </c>
      <c r="H32" s="13" t="str">
        <f>IF($K32="","",INDEX('Detalle individual'!$F:$F,$K32))</f>
        <v>Completado</v>
      </c>
      <c r="I32" s="20">
        <f>IF($K32="","",IF(INDEX('Detalle individual'!$F:$F,$K32)="Completado",INDEX('Detalle individual'!$H:$H,$K32),""))</f>
        <v>46300.6309837963</v>
      </c>
      <c r="J32" s="21">
        <f>IF($K32="","",IF(INDEX('Detalle individual'!$F:$F,$K32)="Completado",INDEX('Detalle individual'!$J:$J,$K32),""))</f>
        <v>100</v>
      </c>
      <c r="K32">
        <f>IFERROR(MOD(SMALL(Cálculos!$Z$5:$Z$1000,24),10000),"")</f>
        <v>16</v>
      </c>
    </row>
    <row r="33">
      <c r="B33" s="13">
        <f>IF($K33="","",25)</f>
        <v>25</v>
      </c>
      <c r="C33" s="13" t="str">
        <f>IF($K33="","",INDEX('Detalle individual'!$A:$A,$K33))</f>
        <v>928</v>
      </c>
      <c r="D33" s="72" t="str">
        <f>IF($K33="","",TRIM(INDEX('Detalle individual'!$B:$B,$K33)))</f>
        <v>HENRRY DANIEL ESCAMILLA ZALDAÑA</v>
      </c>
      <c r="E33" s="72" t="str">
        <f>IF($K33="","",TRIM(INDEX('Detalle individual'!$E:$E,$K33)))</f>
        <v>JEFE DE ADMINISTRACION DE RIESGOS</v>
      </c>
      <c r="F33" s="72" t="str">
        <f>IF($K33="","",TRIM(INDEX('Detalle individual'!$C:$C,$K33)))</f>
        <v>ADMINISTRACION DE RIESGOS</v>
      </c>
      <c r="G33" s="72" t="str">
        <f>IF($K33="","",INDEX('Detalle individual'!$D:$D,$K33))</f>
        <v>Gerencia General</v>
      </c>
      <c r="H33" s="13" t="str">
        <f>IF($K33="","",INDEX('Detalle individual'!$F:$F,$K33))</f>
        <v>Completado</v>
      </c>
      <c r="I33" s="20">
        <f>IF($K33="","",IF(INDEX('Detalle individual'!$F:$F,$K33)="Completado",INDEX('Detalle individual'!$H:$H,$K33),""))</f>
        <v>46305.39865740741</v>
      </c>
      <c r="J33" s="21">
        <f>IF($K33="","",IF(INDEX('Detalle individual'!$F:$F,$K33)="Completado",INDEX('Detalle individual'!$J:$J,$K33),""))</f>
        <v>100</v>
      </c>
      <c r="K33">
        <f>IFERROR(MOD(SMALL(Cálculos!$Z$5:$Z$1000,25),10000),"")</f>
        <v>17</v>
      </c>
    </row>
    <row r="34">
      <c r="B34" s="13">
        <f>IF($K34="","",26)</f>
        <v>26</v>
      </c>
      <c r="C34" s="13" t="str">
        <f>IF($K34="","",INDEX('Detalle individual'!$A:$A,$K34))</f>
        <v>33</v>
      </c>
      <c r="D34" s="72" t="str">
        <f>IF($K34="","",TRIM(INDEX('Detalle individual'!$B:$B,$K34)))</f>
        <v>CAROLINA ELIZABETH RAMIREZ PONCE</v>
      </c>
      <c r="E34" s="72" t="str">
        <f>IF($K34="","",TRIM(INDEX('Detalle individual'!$E:$E,$K34)))</f>
        <v>SUBJEFE DE AGENCIA</v>
      </c>
      <c r="F34" s="72" t="str">
        <f>IF($K34="","",TRIM(INDEX('Detalle individual'!$C:$C,$K34)))</f>
        <v>AGENCIA CENTRAL</v>
      </c>
      <c r="G34" s="72" t="str">
        <f>IF($K34="","",INDEX('Detalle individual'!$D:$D,$K34))</f>
        <v>Gerencia de Negocios</v>
      </c>
      <c r="H34" s="13" t="str">
        <f>IF($K34="","",INDEX('Detalle individual'!$F:$F,$K34))</f>
        <v>Completado</v>
      </c>
      <c r="I34" s="20">
        <f>IF($K34="","",IF(INDEX('Detalle individual'!$F:$F,$K34)="Completado",INDEX('Detalle individual'!$H:$H,$K34),""))</f>
        <v>46308.61247685185</v>
      </c>
      <c r="J34" s="21">
        <f>IF($K34="","",IF(INDEX('Detalle individual'!$F:$F,$K34)="Completado",INDEX('Detalle individual'!$J:$J,$K34),""))</f>
        <v>100</v>
      </c>
      <c r="K34">
        <f>IFERROR(MOD(SMALL(Cálculos!$Z$5:$Z$1000,26),10000),"")</f>
        <v>191</v>
      </c>
    </row>
    <row r="35">
      <c r="B35" s="13">
        <f>IF($K35="","",27)</f>
        <v>27</v>
      </c>
      <c r="C35" s="13" t="str">
        <f>IF($K35="","",INDEX('Detalle individual'!$A:$A,$K35))</f>
        <v>49</v>
      </c>
      <c r="D35" s="72" t="str">
        <f>IF($K35="","",TRIM(INDEX('Detalle individual'!$B:$B,$K35)))</f>
        <v>GRISELDA DEL CARMEN DOMINGUEZ MERINO</v>
      </c>
      <c r="E35" s="72" t="str">
        <f>IF($K35="","",TRIM(INDEX('Detalle individual'!$E:$E,$K35)))</f>
        <v>EJECUTIVO DE NEGOCIOS</v>
      </c>
      <c r="F35" s="72" t="str">
        <f>IF($K35="","",TRIM(INDEX('Detalle individual'!$C:$C,$K35)))</f>
        <v>AGENCIA CENTRAL</v>
      </c>
      <c r="G35" s="72" t="str">
        <f>IF($K35="","",INDEX('Detalle individual'!$D:$D,$K35))</f>
        <v>Gerencia de Negocios</v>
      </c>
      <c r="H35" s="13" t="str">
        <f>IF($K35="","",INDEX('Detalle individual'!$F:$F,$K35))</f>
        <v>Completado</v>
      </c>
      <c r="I35" s="20">
        <f>IF($K35="","",IF(INDEX('Detalle individual'!$F:$F,$K35)="Completado",INDEX('Detalle individual'!$H:$H,$K35),""))</f>
        <v>46310.66540509259</v>
      </c>
      <c r="J35" s="21">
        <f>IF($K35="","",IF(INDEX('Detalle individual'!$F:$F,$K35)="Completado",INDEX('Detalle individual'!$J:$J,$K35),""))</f>
        <v>100</v>
      </c>
      <c r="K35">
        <f>IFERROR(MOD(SMALL(Cálculos!$Z$5:$Z$1000,27),10000),"")</f>
        <v>192</v>
      </c>
    </row>
    <row r="36">
      <c r="B36" s="13">
        <f>IF($K36="","",28)</f>
        <v>28</v>
      </c>
      <c r="C36" s="13" t="str">
        <f>IF($K36="","",INDEX('Detalle individual'!$A:$A,$K36))</f>
        <v>385</v>
      </c>
      <c r="D36" s="72" t="str">
        <f>IF($K36="","",TRIM(INDEX('Detalle individual'!$B:$B,$K36)))</f>
        <v>BLANCA ARACELY MORENO HERNANDEZ</v>
      </c>
      <c r="E36" s="72" t="str">
        <f>IF($K36="","",TRIM(INDEX('Detalle individual'!$E:$E,$K36)))</f>
        <v>AUXILIAR DE OPERACIONES Y ATENCION EN AGENCIA</v>
      </c>
      <c r="F36" s="72" t="str">
        <f>IF($K36="","",TRIM(INDEX('Detalle individual'!$C:$C,$K36)))</f>
        <v>AGENCIA CENTRAL</v>
      </c>
      <c r="G36" s="72" t="str">
        <f>IF($K36="","",INDEX('Detalle individual'!$D:$D,$K36))</f>
        <v>Gerencia de Negocios</v>
      </c>
      <c r="H36" s="13" t="str">
        <f>IF($K36="","",INDEX('Detalle individual'!$F:$F,$K36))</f>
        <v>Completado</v>
      </c>
      <c r="I36" s="20">
        <f>IF($K36="","",IF(INDEX('Detalle individual'!$F:$F,$K36)="Completado",INDEX('Detalle individual'!$H:$H,$K36),""))</f>
        <v>46311.50697916667</v>
      </c>
      <c r="J36" s="21">
        <f>IF($K36="","",IF(INDEX('Detalle individual'!$F:$F,$K36)="Completado",INDEX('Detalle individual'!$J:$J,$K36),""))</f>
        <v>100</v>
      </c>
      <c r="K36">
        <f>IFERROR(MOD(SMALL(Cálculos!$Z$5:$Z$1000,28),10000),"")</f>
        <v>195</v>
      </c>
    </row>
    <row r="37">
      <c r="B37" s="13">
        <f>IF($K37="","",29)</f>
        <v>29</v>
      </c>
      <c r="C37" s="13" t="str">
        <f>IF($K37="","",INDEX('Detalle individual'!$A:$A,$K37))</f>
        <v>542</v>
      </c>
      <c r="D37" s="72" t="str">
        <f>IF($K37="","",TRIM(INDEX('Detalle individual'!$B:$B,$K37)))</f>
        <v>ANA SILVIA ROQUE SANCHEZ</v>
      </c>
      <c r="E37" s="72" t="str">
        <f>IF($K37="","",TRIM(INDEX('Detalle individual'!$E:$E,$K37)))</f>
        <v>EJECUTIVA DE SEGUROS</v>
      </c>
      <c r="F37" s="72" t="str">
        <f>IF($K37="","",TRIM(INDEX('Detalle individual'!$C:$C,$K37)))</f>
        <v>AGENCIA CENTRAL</v>
      </c>
      <c r="G37" s="72" t="str">
        <f>IF($K37="","",INDEX('Detalle individual'!$D:$D,$K37))</f>
        <v>Gerencia de Negocios</v>
      </c>
      <c r="H37" s="13" t="str">
        <f>IF($K37="","",INDEX('Detalle individual'!$F:$F,$K37))</f>
        <v>Completado</v>
      </c>
      <c r="I37" s="20">
        <f>IF($K37="","",IF(INDEX('Detalle individual'!$F:$F,$K37)="Completado",INDEX('Detalle individual'!$H:$H,$K37),""))</f>
        <v>46302.67400462963</v>
      </c>
      <c r="J37" s="21">
        <f>IF($K37="","",IF(INDEX('Detalle individual'!$F:$F,$K37)="Completado",INDEX('Detalle individual'!$J:$J,$K37),""))</f>
        <v>95</v>
      </c>
      <c r="K37">
        <f>IFERROR(MOD(SMALL(Cálculos!$Z$5:$Z$1000,29),10000),"")</f>
        <v>197</v>
      </c>
    </row>
    <row r="38">
      <c r="B38" s="13">
        <f>IF($K38="","",30)</f>
        <v>30</v>
      </c>
      <c r="C38" s="13" t="str">
        <f>IF($K38="","",INDEX('Detalle individual'!$A:$A,$K38))</f>
        <v>757</v>
      </c>
      <c r="D38" s="72" t="str">
        <f>IF($K38="","",TRIM(INDEX('Detalle individual'!$B:$B,$K38)))</f>
        <v>MARIA DE LOS ANGELES OSORIO GIL</v>
      </c>
      <c r="E38" s="72" t="str">
        <f>IF($K38="","",TRIM(INDEX('Detalle individual'!$E:$E,$K38)))</f>
        <v>CAJERO</v>
      </c>
      <c r="F38" s="72" t="str">
        <f>IF($K38="","",TRIM(INDEX('Detalle individual'!$C:$C,$K38)))</f>
        <v>AGENCIA CENTRAL</v>
      </c>
      <c r="G38" s="72" t="str">
        <f>IF($K38="","",INDEX('Detalle individual'!$D:$D,$K38))</f>
        <v>Gerencia de Negocios</v>
      </c>
      <c r="H38" s="13" t="str">
        <f>IF($K38="","",INDEX('Detalle individual'!$F:$F,$K38))</f>
        <v>Completado</v>
      </c>
      <c r="I38" s="20">
        <f>IF($K38="","",IF(INDEX('Detalle individual'!$F:$F,$K38)="Completado",INDEX('Detalle individual'!$H:$H,$K38),""))</f>
        <v>46303.443460648145</v>
      </c>
      <c r="J38" s="21">
        <f>IF($K38="","",IF(INDEX('Detalle individual'!$F:$F,$K38)="Completado",INDEX('Detalle individual'!$J:$J,$K38),""))</f>
        <v>100</v>
      </c>
      <c r="K38">
        <f>IFERROR(MOD(SMALL(Cálculos!$Z$5:$Z$1000,30),10000),"")</f>
        <v>199</v>
      </c>
    </row>
    <row r="39">
      <c r="B39" s="13">
        <f>IF($K39="","",31)</f>
        <v>31</v>
      </c>
      <c r="C39" s="13" t="str">
        <f>IF($K39="","",INDEX('Detalle individual'!$A:$A,$K39))</f>
        <v>768</v>
      </c>
      <c r="D39" s="72" t="str">
        <f>IF($K39="","",TRIM(INDEX('Detalle individual'!$B:$B,$K39)))</f>
        <v>KATHERINE MICHELLE LOPEZ LOPEZ</v>
      </c>
      <c r="E39" s="72" t="str">
        <f>IF($K39="","",TRIM(INDEX('Detalle individual'!$E:$E,$K39)))</f>
        <v>AUXILIAR DE OPERACIONES Y ATENCION EN AGENCIA</v>
      </c>
      <c r="F39" s="72" t="str">
        <f>IF($K39="","",TRIM(INDEX('Detalle individual'!$C:$C,$K39)))</f>
        <v>AGENCIA CENTRAL</v>
      </c>
      <c r="G39" s="72" t="str">
        <f>IF($K39="","",INDEX('Detalle individual'!$D:$D,$K39))</f>
        <v>Gerencia de Negocios</v>
      </c>
      <c r="H39" s="13" t="str">
        <f>IF($K39="","",INDEX('Detalle individual'!$F:$F,$K39))</f>
        <v>Completado</v>
      </c>
      <c r="I39" s="20">
        <f>IF($K39="","",IF(INDEX('Detalle individual'!$F:$F,$K39)="Completado",INDEX('Detalle individual'!$H:$H,$K39),""))</f>
        <v>46310.65997685185</v>
      </c>
      <c r="J39" s="21">
        <f>IF($K39="","",IF(INDEX('Detalle individual'!$F:$F,$K39)="Completado",INDEX('Detalle individual'!$J:$J,$K39),""))</f>
        <v>100</v>
      </c>
      <c r="K39">
        <f>IFERROR(MOD(SMALL(Cálculos!$Z$5:$Z$1000,31),10000),"")</f>
        <v>200</v>
      </c>
    </row>
    <row r="40">
      <c r="B40" s="13">
        <f>IF($K40="","",32)</f>
        <v>32</v>
      </c>
      <c r="C40" s="13" t="str">
        <f>IF($K40="","",INDEX('Detalle individual'!$A:$A,$K40))</f>
        <v>848</v>
      </c>
      <c r="D40" s="72" t="str">
        <f>IF($K40="","",TRIM(INDEX('Detalle individual'!$B:$B,$K40)))</f>
        <v>JAZMIN ABIGAIL VASQUEZ AVELAR</v>
      </c>
      <c r="E40" s="72" t="str">
        <f>IF($K40="","",TRIM(INDEX('Detalle individual'!$E:$E,$K40)))</f>
        <v>CAJERO</v>
      </c>
      <c r="F40" s="72" t="str">
        <f>IF($K40="","",TRIM(INDEX('Detalle individual'!$C:$C,$K40)))</f>
        <v>AGENCIA CENTRAL</v>
      </c>
      <c r="G40" s="72" t="str">
        <f>IF($K40="","",INDEX('Detalle individual'!$D:$D,$K40))</f>
        <v>Gerencia de Negocios</v>
      </c>
      <c r="H40" s="13" t="str">
        <f>IF($K40="","",INDEX('Detalle individual'!$F:$F,$K40))</f>
        <v>Completado</v>
      </c>
      <c r="I40" s="20">
        <f>IF($K40="","",IF(INDEX('Detalle individual'!$F:$F,$K40)="Completado",INDEX('Detalle individual'!$H:$H,$K40),""))</f>
        <v>46311.484826388885</v>
      </c>
      <c r="J40" s="21">
        <f>IF($K40="","",IF(INDEX('Detalle individual'!$F:$F,$K40)="Completado",INDEX('Detalle individual'!$J:$J,$K40),""))</f>
        <v>100</v>
      </c>
      <c r="K40">
        <f>IFERROR(MOD(SMALL(Cálculos!$Z$5:$Z$1000,32),10000),"")</f>
        <v>201</v>
      </c>
    </row>
    <row r="41">
      <c r="B41" s="13">
        <f>IF($K41="","",33)</f>
        <v>33</v>
      </c>
      <c r="C41" s="13" t="str">
        <f>IF($K41="","",INDEX('Detalle individual'!$A:$A,$K41))</f>
        <v>857</v>
      </c>
      <c r="D41" s="72" t="str">
        <f>IF($K41="","",TRIM(INDEX('Detalle individual'!$B:$B,$K41)))</f>
        <v>ESTHER ABIGAIL FLORES GRANDE</v>
      </c>
      <c r="E41" s="72" t="str">
        <f>IF($K41="","",TRIM(INDEX('Detalle individual'!$E:$E,$K41)))</f>
        <v>AUXILIAR DE OPERACIONES Y ATENCION EN AGENCIA</v>
      </c>
      <c r="F41" s="72" t="str">
        <f>IF($K41="","",TRIM(INDEX('Detalle individual'!$C:$C,$K41)))</f>
        <v>AGENCIA CENTRAL</v>
      </c>
      <c r="G41" s="72" t="str">
        <f>IF($K41="","",INDEX('Detalle individual'!$D:$D,$K41))</f>
        <v>Gerencia de Negocios</v>
      </c>
      <c r="H41" s="13" t="str">
        <f>IF($K41="","",INDEX('Detalle individual'!$F:$F,$K41))</f>
        <v>Completado</v>
      </c>
      <c r="I41" s="20">
        <f>IF($K41="","",IF(INDEX('Detalle individual'!$F:$F,$K41)="Completado",INDEX('Detalle individual'!$H:$H,$K41),""))</f>
        <v>46310.55657407407</v>
      </c>
      <c r="J41" s="21">
        <f>IF($K41="","",IF(INDEX('Detalle individual'!$F:$F,$K41)="Completado",INDEX('Detalle individual'!$J:$J,$K41),""))</f>
        <v>100</v>
      </c>
      <c r="K41">
        <f>IFERROR(MOD(SMALL(Cálculos!$Z$5:$Z$1000,33),10000),"")</f>
        <v>202</v>
      </c>
    </row>
    <row r="42">
      <c r="B42" s="13">
        <f>IF($K42="","",34)</f>
        <v>34</v>
      </c>
      <c r="C42" s="13" t="str">
        <f>IF($K42="","",INDEX('Detalle individual'!$A:$A,$K42))</f>
        <v>953</v>
      </c>
      <c r="D42" s="72" t="str">
        <f>IF($K42="","",TRIM(INDEX('Detalle individual'!$B:$B,$K42)))</f>
        <v>JESUS ADRIAN MENA AVALOS</v>
      </c>
      <c r="E42" s="72" t="str">
        <f>IF($K42="","",TRIM(INDEX('Detalle individual'!$E:$E,$K42)))</f>
        <v>CAJERO</v>
      </c>
      <c r="F42" s="72" t="str">
        <f>IF($K42="","",TRIM(INDEX('Detalle individual'!$C:$C,$K42)))</f>
        <v>AGENCIA CENTRAL</v>
      </c>
      <c r="G42" s="72" t="str">
        <f>IF($K42="","",INDEX('Detalle individual'!$D:$D,$K42))</f>
        <v>Gerencia de Negocios</v>
      </c>
      <c r="H42" s="13" t="str">
        <f>IF($K42="","",INDEX('Detalle individual'!$F:$F,$K42))</f>
        <v>Completado</v>
      </c>
      <c r="I42" s="20">
        <f>IF($K42="","",IF(INDEX('Detalle individual'!$F:$F,$K42)="Completado",INDEX('Detalle individual'!$H:$H,$K42),""))</f>
        <v>46302.62670138889</v>
      </c>
      <c r="J42" s="21">
        <f>IF($K42="","",IF(INDEX('Detalle individual'!$F:$F,$K42)="Completado",INDEX('Detalle individual'!$J:$J,$K42),""))</f>
        <v>100</v>
      </c>
      <c r="K42">
        <f>IFERROR(MOD(SMALL(Cálculos!$Z$5:$Z$1000,34),10000),"")</f>
        <v>203</v>
      </c>
    </row>
    <row r="43">
      <c r="B43" s="13">
        <f>IF($K43="","",35)</f>
        <v>35</v>
      </c>
      <c r="C43" s="13" t="str">
        <f>IF($K43="","",INDEX('Detalle individual'!$A:$A,$K43))</f>
        <v>956</v>
      </c>
      <c r="D43" s="72" t="str">
        <f>IF($K43="","",TRIM(INDEX('Detalle individual'!$B:$B,$K43)))</f>
        <v>ANGELA GABRIELA REYES MOLINA</v>
      </c>
      <c r="E43" s="72" t="str">
        <f>IF($K43="","",TRIM(INDEX('Detalle individual'!$E:$E,$K43)))</f>
        <v>CAJERO</v>
      </c>
      <c r="F43" s="72" t="str">
        <f>IF($K43="","",TRIM(INDEX('Detalle individual'!$C:$C,$K43)))</f>
        <v>AGENCIA CENTRAL</v>
      </c>
      <c r="G43" s="72" t="str">
        <f>IF($K43="","",INDEX('Detalle individual'!$D:$D,$K43))</f>
        <v>Gerencia de Negocios</v>
      </c>
      <c r="H43" s="13" t="str">
        <f>IF($K43="","",INDEX('Detalle individual'!$F:$F,$K43))</f>
        <v>Completado</v>
      </c>
      <c r="I43" s="20">
        <f>IF($K43="","",IF(INDEX('Detalle individual'!$F:$F,$K43)="Completado",INDEX('Detalle individual'!$H:$H,$K43),""))</f>
        <v>46309.366736111115</v>
      </c>
      <c r="J43" s="21">
        <f>IF($K43="","",IF(INDEX('Detalle individual'!$F:$F,$K43)="Completado",INDEX('Detalle individual'!$J:$J,$K43),""))</f>
        <v>100</v>
      </c>
      <c r="K43">
        <f>IFERROR(MOD(SMALL(Cálculos!$Z$5:$Z$1000,35),10000),"")</f>
        <v>204</v>
      </c>
    </row>
    <row r="44">
      <c r="B44" s="13">
        <f>IF($K44="","",36)</f>
        <v>36</v>
      </c>
      <c r="C44" s="13" t="str">
        <f>IF($K44="","",INDEX('Detalle individual'!$A:$A,$K44))</f>
        <v>958</v>
      </c>
      <c r="D44" s="72" t="str">
        <f>IF($K44="","",TRIM(INDEX('Detalle individual'!$B:$B,$K44)))</f>
        <v>ALEXANDRA DANIELA PINEDA JIMENEZ</v>
      </c>
      <c r="E44" s="72" t="str">
        <f>IF($K44="","",TRIM(INDEX('Detalle individual'!$E:$E,$K44)))</f>
        <v>AUXILIAR DE ATENCION A ASOCIADOS</v>
      </c>
      <c r="F44" s="72" t="str">
        <f>IF($K44="","",TRIM(INDEX('Detalle individual'!$C:$C,$K44)))</f>
        <v>AGENCIA CENTRAL</v>
      </c>
      <c r="G44" s="72" t="str">
        <f>IF($K44="","",INDEX('Detalle individual'!$D:$D,$K44))</f>
        <v>Gerencia de Negocios</v>
      </c>
      <c r="H44" s="13" t="str">
        <f>IF($K44="","",INDEX('Detalle individual'!$F:$F,$K44))</f>
        <v>Completado</v>
      </c>
      <c r="I44" s="20">
        <f>IF($K44="","",IF(INDEX('Detalle individual'!$F:$F,$K44)="Completado",INDEX('Detalle individual'!$H:$H,$K44),""))</f>
        <v>46305.39554398148</v>
      </c>
      <c r="J44" s="21">
        <f>IF($K44="","",IF(INDEX('Detalle individual'!$F:$F,$K44)="Completado",INDEX('Detalle individual'!$J:$J,$K44),""))</f>
        <v>75</v>
      </c>
      <c r="K44">
        <f>IFERROR(MOD(SMALL(Cálculos!$Z$5:$Z$1000,36),10000),"")</f>
        <v>205</v>
      </c>
    </row>
    <row r="45">
      <c r="B45" s="13">
        <f>IF($K45="","",37)</f>
        <v>37</v>
      </c>
      <c r="C45" s="13" t="str">
        <f>IF($K45="","",INDEX('Detalle individual'!$A:$A,$K45))</f>
        <v>960</v>
      </c>
      <c r="D45" s="72" t="str">
        <f>IF($K45="","",TRIM(INDEX('Detalle individual'!$B:$B,$K45)))</f>
        <v>LORENA DEL CARMEN MEJIA HERRERA</v>
      </c>
      <c r="E45" s="72" t="str">
        <f>IF($K45="","",TRIM(INDEX('Detalle individual'!$E:$E,$K45)))</f>
        <v>CAJERO</v>
      </c>
      <c r="F45" s="72" t="str">
        <f>IF($K45="","",TRIM(INDEX('Detalle individual'!$C:$C,$K45)))</f>
        <v>AGENCIA CENTRAL</v>
      </c>
      <c r="G45" s="72" t="str">
        <f>IF($K45="","",INDEX('Detalle individual'!$D:$D,$K45))</f>
        <v>Gerencia de Negocios</v>
      </c>
      <c r="H45" s="13" t="str">
        <f>IF($K45="","",INDEX('Detalle individual'!$F:$F,$K45))</f>
        <v>Completado</v>
      </c>
      <c r="I45" s="20">
        <f>IF($K45="","",IF(INDEX('Detalle individual'!$F:$F,$K45)="Completado",INDEX('Detalle individual'!$H:$H,$K45),""))</f>
        <v>46302.48327546296</v>
      </c>
      <c r="J45" s="21">
        <f>IF($K45="","",IF(INDEX('Detalle individual'!$F:$F,$K45)="Completado",INDEX('Detalle individual'!$J:$J,$K45),""))</f>
        <v>100</v>
      </c>
      <c r="K45">
        <f>IFERROR(MOD(SMALL(Cálculos!$Z$5:$Z$1000,37),10000),"")</f>
        <v>206</v>
      </c>
    </row>
    <row r="46">
      <c r="B46" s="13">
        <f>IF($K46="","",38)</f>
        <v>38</v>
      </c>
      <c r="C46" s="13" t="str">
        <f>IF($K46="","",INDEX('Detalle individual'!$A:$A,$K46))</f>
        <v>974</v>
      </c>
      <c r="D46" s="72" t="str">
        <f>IF($K46="","",TRIM(INDEX('Detalle individual'!$B:$B,$K46)))</f>
        <v>LEIDY VANESSA GUZMAN SERVELLON</v>
      </c>
      <c r="E46" s="72" t="str">
        <f>IF($K46="","",TRIM(INDEX('Detalle individual'!$E:$E,$K46)))</f>
        <v>CAJERO</v>
      </c>
      <c r="F46" s="72" t="str">
        <f>IF($K46="","",TRIM(INDEX('Detalle individual'!$C:$C,$K46)))</f>
        <v>AGENCIA CENTRAL</v>
      </c>
      <c r="G46" s="72" t="str">
        <f>IF($K46="","",INDEX('Detalle individual'!$D:$D,$K46))</f>
        <v>Gerencia de Negocios</v>
      </c>
      <c r="H46" s="13" t="str">
        <f>IF($K46="","",INDEX('Detalle individual'!$F:$F,$K46))</f>
        <v>Completado</v>
      </c>
      <c r="I46" s="20">
        <f>IF($K46="","",IF(INDEX('Detalle individual'!$F:$F,$K46)="Completado",INDEX('Detalle individual'!$H:$H,$K46),""))</f>
        <v>46311.477488425924</v>
      </c>
      <c r="J46" s="21">
        <f>IF($K46="","",IF(INDEX('Detalle individual'!$F:$F,$K46)="Completado",INDEX('Detalle individual'!$J:$J,$K46),""))</f>
        <v>80</v>
      </c>
      <c r="K46">
        <f>IFERROR(MOD(SMALL(Cálculos!$Z$5:$Z$1000,38),10000),"")</f>
        <v>207</v>
      </c>
    </row>
    <row r="47">
      <c r="B47" s="13">
        <f>IF($K47="","",39)</f>
        <v>39</v>
      </c>
      <c r="C47" s="13" t="str">
        <f>IF($K47="","",INDEX('Detalle individual'!$A:$A,$K47))</f>
        <v>976</v>
      </c>
      <c r="D47" s="72" t="str">
        <f>IF($K47="","",TRIM(INDEX('Detalle individual'!$B:$B,$K47)))</f>
        <v>KEVIN ARTURO ANDRADE PALACIOS</v>
      </c>
      <c r="E47" s="72" t="str">
        <f>IF($K47="","",TRIM(INDEX('Detalle individual'!$E:$E,$K47)))</f>
        <v>CAJERO</v>
      </c>
      <c r="F47" s="72" t="str">
        <f>IF($K47="","",TRIM(INDEX('Detalle individual'!$C:$C,$K47)))</f>
        <v>AGENCIA CENTRAL</v>
      </c>
      <c r="G47" s="72" t="str">
        <f>IF($K47="","",INDEX('Detalle individual'!$D:$D,$K47))</f>
        <v>Gerencia de Negocios</v>
      </c>
      <c r="H47" s="13" t="str">
        <f>IF($K47="","",INDEX('Detalle individual'!$F:$F,$K47))</f>
        <v>Completado</v>
      </c>
      <c r="I47" s="20">
        <f>IF($K47="","",IF(INDEX('Detalle individual'!$F:$F,$K47)="Completado",INDEX('Detalle individual'!$H:$H,$K47),""))</f>
        <v>46302.59866898148</v>
      </c>
      <c r="J47" s="21">
        <f>IF($K47="","",IF(INDEX('Detalle individual'!$F:$F,$K47)="Completado",INDEX('Detalle individual'!$J:$J,$K47),""))</f>
        <v>100</v>
      </c>
      <c r="K47">
        <f>IFERROR(MOD(SMALL(Cálculos!$Z$5:$Z$1000,39),10000),"")</f>
        <v>208</v>
      </c>
    </row>
    <row r="48">
      <c r="B48" s="13">
        <f>IF($K48="","",40)</f>
        <v>40</v>
      </c>
      <c r="C48" s="13" t="str">
        <f>IF($K48="","",INDEX('Detalle individual'!$A:$A,$K48))</f>
        <v>26</v>
      </c>
      <c r="D48" s="72" t="str">
        <f>IF($K48="","",TRIM(INDEX('Detalle individual'!$B:$B,$K48)))</f>
        <v>FLOR IMELDA VILLALOBOS ARDON</v>
      </c>
      <c r="E48" s="72" t="str">
        <f>IF($K48="","",TRIM(INDEX('Detalle individual'!$E:$E,$K48)))</f>
        <v>EJECUTIVO DE NEGOCIOS</v>
      </c>
      <c r="F48" s="72" t="str">
        <f>IF($K48="","",TRIM(INDEX('Detalle individual'!$C:$C,$K48)))</f>
        <v>AGENCIA COLEGIO MEDICO</v>
      </c>
      <c r="G48" s="72" t="str">
        <f>IF($K48="","",INDEX('Detalle individual'!$D:$D,$K48))</f>
        <v>Gerencia de Negocios</v>
      </c>
      <c r="H48" s="13" t="str">
        <f>IF($K48="","",INDEX('Detalle individual'!$F:$F,$K48))</f>
        <v>Completado</v>
      </c>
      <c r="I48" s="20">
        <f>IF($K48="","",IF(INDEX('Detalle individual'!$F:$F,$K48)="Completado",INDEX('Detalle individual'!$H:$H,$K48),""))</f>
        <v>46310.516377314816</v>
      </c>
      <c r="J48" s="21">
        <f>IF($K48="","",IF(INDEX('Detalle individual'!$F:$F,$K48)="Completado",INDEX('Detalle individual'!$J:$J,$K48),""))</f>
        <v>100</v>
      </c>
      <c r="K48">
        <f>IFERROR(MOD(SMALL(Cálculos!$Z$5:$Z$1000,40),10000),"")</f>
        <v>209</v>
      </c>
    </row>
    <row r="49">
      <c r="B49" s="13">
        <f>IF($K49="","",41)</f>
        <v>41</v>
      </c>
      <c r="C49" s="13" t="str">
        <f>IF($K49="","",INDEX('Detalle individual'!$A:$A,$K49))</f>
        <v>29</v>
      </c>
      <c r="D49" s="72" t="str">
        <f>IF($K49="","",TRIM(INDEX('Detalle individual'!$B:$B,$K49)))</f>
        <v>YANIRA ELIZABETH ORTEGA MIRANDA</v>
      </c>
      <c r="E49" s="72" t="str">
        <f>IF($K49="","",TRIM(INDEX('Detalle individual'!$E:$E,$K49)))</f>
        <v>SUBJEFE DE AGENCIA</v>
      </c>
      <c r="F49" s="72" t="str">
        <f>IF($K49="","",TRIM(INDEX('Detalle individual'!$C:$C,$K49)))</f>
        <v>AGENCIA COLEGIO MEDICO</v>
      </c>
      <c r="G49" s="72" t="str">
        <f>IF($K49="","",INDEX('Detalle individual'!$D:$D,$K49))</f>
        <v>Gerencia de Negocios</v>
      </c>
      <c r="H49" s="13" t="str">
        <f>IF($K49="","",INDEX('Detalle individual'!$F:$F,$K49))</f>
        <v>Completado</v>
      </c>
      <c r="I49" s="20">
        <f>IF($K49="","",IF(INDEX('Detalle individual'!$F:$F,$K49)="Completado",INDEX('Detalle individual'!$H:$H,$K49),""))</f>
        <v>46305.43096064815</v>
      </c>
      <c r="J49" s="21">
        <f>IF($K49="","",IF(INDEX('Detalle individual'!$F:$F,$K49)="Completado",INDEX('Detalle individual'!$J:$J,$K49),""))</f>
        <v>100</v>
      </c>
      <c r="K49">
        <f>IFERROR(MOD(SMALL(Cálculos!$Z$5:$Z$1000,41),10000),"")</f>
        <v>210</v>
      </c>
    </row>
    <row r="50">
      <c r="B50" s="13">
        <f>IF($K50="","",42)</f>
        <v>42</v>
      </c>
      <c r="C50" s="13" t="str">
        <f>IF($K50="","",INDEX('Detalle individual'!$A:$A,$K50))</f>
        <v>190</v>
      </c>
      <c r="D50" s="72" t="str">
        <f>IF($K50="","",TRIM(INDEX('Detalle individual'!$B:$B,$K50)))</f>
        <v>MERCI ANTONIA CERON MEJIA</v>
      </c>
      <c r="E50" s="72" t="str">
        <f>IF($K50="","",TRIM(INDEX('Detalle individual'!$E:$E,$K50)))</f>
        <v>EJECUTIVO DE NEGOCIOS</v>
      </c>
      <c r="F50" s="72" t="str">
        <f>IF($K50="","",TRIM(INDEX('Detalle individual'!$C:$C,$K50)))</f>
        <v>AGENCIA COLEGIO MEDICO</v>
      </c>
      <c r="G50" s="72" t="str">
        <f>IF($K50="","",INDEX('Detalle individual'!$D:$D,$K50))</f>
        <v>Gerencia de Negocios</v>
      </c>
      <c r="H50" s="13" t="str">
        <f>IF($K50="","",INDEX('Detalle individual'!$F:$F,$K50))</f>
        <v>Completado</v>
      </c>
      <c r="I50" s="20">
        <f>IF($K50="","",IF(INDEX('Detalle individual'!$F:$F,$K50)="Completado",INDEX('Detalle individual'!$H:$H,$K50),""))</f>
        <v>46305.513344907406</v>
      </c>
      <c r="J50" s="21">
        <f>IF($K50="","",IF(INDEX('Detalle individual'!$F:$F,$K50)="Completado",INDEX('Detalle individual'!$J:$J,$K50),""))</f>
        <v>100</v>
      </c>
      <c r="K50">
        <f>IFERROR(MOD(SMALL(Cálculos!$Z$5:$Z$1000,42),10000),"")</f>
        <v>211</v>
      </c>
    </row>
    <row r="51">
      <c r="B51" s="13">
        <f>IF($K51="","",43)</f>
        <v>43</v>
      </c>
      <c r="C51" s="13" t="str">
        <f>IF($K51="","",INDEX('Detalle individual'!$A:$A,$K51))</f>
        <v>360</v>
      </c>
      <c r="D51" s="72" t="str">
        <f>IF($K51="","",TRIM(INDEX('Detalle individual'!$B:$B,$K51)))</f>
        <v>PATRICIA ESMERALDA PORTILLO CESPEDES</v>
      </c>
      <c r="E51" s="72" t="str">
        <f>IF($K51="","",TRIM(INDEX('Detalle individual'!$E:$E,$K51)))</f>
        <v>JEFE DE AGENCIA</v>
      </c>
      <c r="F51" s="72" t="str">
        <f>IF($K51="","",TRIM(INDEX('Detalle individual'!$C:$C,$K51)))</f>
        <v>AGENCIA COLEGIO MEDICO</v>
      </c>
      <c r="G51" s="72" t="str">
        <f>IF($K51="","",INDEX('Detalle individual'!$D:$D,$K51))</f>
        <v>Gerencia de Negocios</v>
      </c>
      <c r="H51" s="13" t="str">
        <f>IF($K51="","",INDEX('Detalle individual'!$F:$F,$K51))</f>
        <v>Completado</v>
      </c>
      <c r="I51" s="20">
        <f>IF($K51="","",IF(INDEX('Detalle individual'!$F:$F,$K51)="Completado",INDEX('Detalle individual'!$H:$H,$K51),""))</f>
        <v>46296.47634259259</v>
      </c>
      <c r="J51" s="21">
        <f>IF($K51="","",IF(INDEX('Detalle individual'!$F:$F,$K51)="Completado",INDEX('Detalle individual'!$J:$J,$K51),""))</f>
        <v>100</v>
      </c>
      <c r="K51">
        <f>IFERROR(MOD(SMALL(Cálculos!$Z$5:$Z$1000,43),10000),"")</f>
        <v>212</v>
      </c>
    </row>
    <row r="52">
      <c r="B52" s="13">
        <f>IF($K52="","",44)</f>
        <v>44</v>
      </c>
      <c r="C52" s="13" t="str">
        <f>IF($K52="","",INDEX('Detalle individual'!$A:$A,$K52))</f>
        <v>536</v>
      </c>
      <c r="D52" s="72" t="str">
        <f>IF($K52="","",TRIM(INDEX('Detalle individual'!$B:$B,$K52)))</f>
        <v>MARTHA ESPERANZA VALTEZ GARCIA</v>
      </c>
      <c r="E52" s="72" t="str">
        <f>IF($K52="","",TRIM(INDEX('Detalle individual'!$E:$E,$K52)))</f>
        <v>CAJERO</v>
      </c>
      <c r="F52" s="72" t="str">
        <f>IF($K52="","",TRIM(INDEX('Detalle individual'!$C:$C,$K52)))</f>
        <v>AGENCIA COLEGIO MEDICO</v>
      </c>
      <c r="G52" s="72" t="str">
        <f>IF($K52="","",INDEX('Detalle individual'!$D:$D,$K52))</f>
        <v>Gerencia de Negocios</v>
      </c>
      <c r="H52" s="13" t="str">
        <f>IF($K52="","",INDEX('Detalle individual'!$F:$F,$K52))</f>
        <v>Completado</v>
      </c>
      <c r="I52" s="20">
        <f>IF($K52="","",IF(INDEX('Detalle individual'!$F:$F,$K52)="Completado",INDEX('Detalle individual'!$H:$H,$K52),""))</f>
        <v>46305.51391203704</v>
      </c>
      <c r="J52" s="21">
        <f>IF($K52="","",IF(INDEX('Detalle individual'!$F:$F,$K52)="Completado",INDEX('Detalle individual'!$J:$J,$K52),""))</f>
        <v>100</v>
      </c>
      <c r="K52">
        <f>IFERROR(MOD(SMALL(Cálculos!$Z$5:$Z$1000,44),10000),"")</f>
        <v>214</v>
      </c>
    </row>
    <row r="53">
      <c r="B53" s="13">
        <f>IF($K53="","",45)</f>
        <v>45</v>
      </c>
      <c r="C53" s="13" t="str">
        <f>IF($K53="","",INDEX('Detalle individual'!$A:$A,$K53))</f>
        <v>543</v>
      </c>
      <c r="D53" s="72" t="str">
        <f>IF($K53="","",TRIM(INDEX('Detalle individual'!$B:$B,$K53)))</f>
        <v>CLAUDIA ELENA GUARDADO VARELA</v>
      </c>
      <c r="E53" s="72" t="str">
        <f>IF($K53="","",TRIM(INDEX('Detalle individual'!$E:$E,$K53)))</f>
        <v>EJECUTIVA DE SEGUROS</v>
      </c>
      <c r="F53" s="72" t="str">
        <f>IF($K53="","",TRIM(INDEX('Detalle individual'!$C:$C,$K53)))</f>
        <v>AGENCIA COLEGIO MEDICO</v>
      </c>
      <c r="G53" s="72" t="str">
        <f>IF($K53="","",INDEX('Detalle individual'!$D:$D,$K53))</f>
        <v>Gerencia de Negocios</v>
      </c>
      <c r="H53" s="13" t="str">
        <f>IF($K53="","",INDEX('Detalle individual'!$F:$F,$K53))</f>
        <v>Completado</v>
      </c>
      <c r="I53" s="20">
        <f>IF($K53="","",IF(INDEX('Detalle individual'!$F:$F,$K53)="Completado",INDEX('Detalle individual'!$H:$H,$K53),""))</f>
        <v>46305.407002314816</v>
      </c>
      <c r="J53" s="21">
        <f>IF($K53="","",IF(INDEX('Detalle individual'!$F:$F,$K53)="Completado",INDEX('Detalle individual'!$J:$J,$K53),""))</f>
        <v>100</v>
      </c>
      <c r="K53">
        <f>IFERROR(MOD(SMALL(Cálculos!$Z$5:$Z$1000,45),10000),"")</f>
        <v>215</v>
      </c>
    </row>
    <row r="54">
      <c r="B54" s="13">
        <f>IF($K54="","",46)</f>
        <v>46</v>
      </c>
      <c r="C54" s="13" t="str">
        <f>IF($K54="","",INDEX('Detalle individual'!$A:$A,$K54))</f>
        <v>811</v>
      </c>
      <c r="D54" s="72" t="str">
        <f>IF($K54="","",TRIM(INDEX('Detalle individual'!$B:$B,$K54)))</f>
        <v>JACQUELINE ADRIANA CHAVEZ SARAVIA</v>
      </c>
      <c r="E54" s="72" t="str">
        <f>IF($K54="","",TRIM(INDEX('Detalle individual'!$E:$E,$K54)))</f>
        <v>CAJERO</v>
      </c>
      <c r="F54" s="72" t="str">
        <f>IF($K54="","",TRIM(INDEX('Detalle individual'!$C:$C,$K54)))</f>
        <v>AGENCIA COLEGIO MEDICO</v>
      </c>
      <c r="G54" s="72" t="str">
        <f>IF($K54="","",INDEX('Detalle individual'!$D:$D,$K54))</f>
        <v>Gerencia de Negocios</v>
      </c>
      <c r="H54" s="13" t="str">
        <f>IF($K54="","",INDEX('Detalle individual'!$F:$F,$K54))</f>
        <v>Completado</v>
      </c>
      <c r="I54" s="20">
        <f>IF($K54="","",IF(INDEX('Detalle individual'!$F:$F,$K54)="Completado",INDEX('Detalle individual'!$H:$H,$K54),""))</f>
        <v>46305.465902777774</v>
      </c>
      <c r="J54" s="21">
        <f>IF($K54="","",IF(INDEX('Detalle individual'!$F:$F,$K54)="Completado",INDEX('Detalle individual'!$J:$J,$K54),""))</f>
        <v>90</v>
      </c>
      <c r="K54">
        <f>IFERROR(MOD(SMALL(Cálculos!$Z$5:$Z$1000,46),10000),"")</f>
        <v>216</v>
      </c>
    </row>
    <row r="55">
      <c r="B55" s="13">
        <f>IF($K55="","",47)</f>
        <v>47</v>
      </c>
      <c r="C55" s="13" t="str">
        <f>IF($K55="","",INDEX('Detalle individual'!$A:$A,$K55))</f>
        <v>841</v>
      </c>
      <c r="D55" s="72" t="str">
        <f>IF($K55="","",TRIM(INDEX('Detalle individual'!$B:$B,$K55)))</f>
        <v>KRISSIA ANDREA DOMINGUEZ OSORIO</v>
      </c>
      <c r="E55" s="72" t="str">
        <f>IF($K55="","",TRIM(INDEX('Detalle individual'!$E:$E,$K55)))</f>
        <v>CAJERO</v>
      </c>
      <c r="F55" s="72" t="str">
        <f>IF($K55="","",TRIM(INDEX('Detalle individual'!$C:$C,$K55)))</f>
        <v>AGENCIA COLEGIO MEDICO</v>
      </c>
      <c r="G55" s="72" t="str">
        <f>IF($K55="","",INDEX('Detalle individual'!$D:$D,$K55))</f>
        <v>Gerencia de Negocios</v>
      </c>
      <c r="H55" s="13" t="str">
        <f>IF($K55="","",INDEX('Detalle individual'!$F:$F,$K55))</f>
        <v>Completado</v>
      </c>
      <c r="I55" s="20">
        <f>IF($K55="","",IF(INDEX('Detalle individual'!$F:$F,$K55)="Completado",INDEX('Detalle individual'!$H:$H,$K55),""))</f>
        <v>46305.39891203704</v>
      </c>
      <c r="J55" s="21">
        <f>IF($K55="","",IF(INDEX('Detalle individual'!$F:$F,$K55)="Completado",INDEX('Detalle individual'!$J:$J,$K55),""))</f>
        <v>100</v>
      </c>
      <c r="K55">
        <f>IFERROR(MOD(SMALL(Cálculos!$Z$5:$Z$1000,47),10000),"")</f>
        <v>217</v>
      </c>
    </row>
    <row r="56">
      <c r="B56" s="13">
        <f>IF($K56="","",48)</f>
        <v>48</v>
      </c>
      <c r="C56" s="13" t="str">
        <f>IF($K56="","",INDEX('Detalle individual'!$A:$A,$K56))</f>
        <v>890</v>
      </c>
      <c r="D56" s="72" t="str">
        <f>IF($K56="","",TRIM(INDEX('Detalle individual'!$B:$B,$K56)))</f>
        <v>WILBER ERNESTO DIAZ GONZALEZ</v>
      </c>
      <c r="E56" s="72" t="str">
        <f>IF($K56="","",TRIM(INDEX('Detalle individual'!$E:$E,$K56)))</f>
        <v>CAJERO</v>
      </c>
      <c r="F56" s="72" t="str">
        <f>IF($K56="","",TRIM(INDEX('Detalle individual'!$C:$C,$K56)))</f>
        <v>AGENCIA COLEGIO MEDICO</v>
      </c>
      <c r="G56" s="72" t="str">
        <f>IF($K56="","",INDEX('Detalle individual'!$D:$D,$K56))</f>
        <v>Gerencia de Negocios</v>
      </c>
      <c r="H56" s="13" t="str">
        <f>IF($K56="","",INDEX('Detalle individual'!$F:$F,$K56))</f>
        <v>Completado</v>
      </c>
      <c r="I56" s="20">
        <f>IF($K56="","",IF(INDEX('Detalle individual'!$F:$F,$K56)="Completado",INDEX('Detalle individual'!$H:$H,$K56),""))</f>
        <v>46307.43005787037</v>
      </c>
      <c r="J56" s="21">
        <f>IF($K56="","",IF(INDEX('Detalle individual'!$F:$F,$K56)="Completado",INDEX('Detalle individual'!$J:$J,$K56),""))</f>
        <v>90</v>
      </c>
      <c r="K56">
        <f>IFERROR(MOD(SMALL(Cálculos!$Z$5:$Z$1000,48),10000),"")</f>
        <v>218</v>
      </c>
    </row>
    <row r="57">
      <c r="B57" s="13">
        <f>IF($K57="","",49)</f>
        <v>49</v>
      </c>
      <c r="C57" s="13" t="str">
        <f>IF($K57="","",INDEX('Detalle individual'!$A:$A,$K57))</f>
        <v>971</v>
      </c>
      <c r="D57" s="72" t="str">
        <f>IF($K57="","",TRIM(INDEX('Detalle individual'!$B:$B,$K57)))</f>
        <v>JAQUELIN JAZMIN ROMERO FLORES</v>
      </c>
      <c r="E57" s="72" t="str">
        <f>IF($K57="","",TRIM(INDEX('Detalle individual'!$E:$E,$K57)))</f>
        <v>CAJERO</v>
      </c>
      <c r="F57" s="72" t="str">
        <f>IF($K57="","",TRIM(INDEX('Detalle individual'!$C:$C,$K57)))</f>
        <v>AGENCIA COLEGIO MEDICO</v>
      </c>
      <c r="G57" s="72" t="str">
        <f>IF($K57="","",INDEX('Detalle individual'!$D:$D,$K57))</f>
        <v>Gerencia de Negocios</v>
      </c>
      <c r="H57" s="13" t="str">
        <f>IF($K57="","",INDEX('Detalle individual'!$F:$F,$K57))</f>
        <v>Completado</v>
      </c>
      <c r="I57" s="20">
        <f>IF($K57="","",IF(INDEX('Detalle individual'!$F:$F,$K57)="Completado",INDEX('Detalle individual'!$H:$H,$K57),""))</f>
        <v>46305.44142361111</v>
      </c>
      <c r="J57" s="21">
        <f>IF($K57="","",IF(INDEX('Detalle individual'!$F:$F,$K57)="Completado",INDEX('Detalle individual'!$J:$J,$K57),""))</f>
        <v>100</v>
      </c>
      <c r="K57">
        <f>IFERROR(MOD(SMALL(Cálculos!$Z$5:$Z$1000,49),10000),"")</f>
        <v>219</v>
      </c>
    </row>
    <row r="58">
      <c r="B58" s="13">
        <f>IF($K58="","",50)</f>
        <v>50</v>
      </c>
      <c r="C58" s="13" t="str">
        <f>IF($K58="","",INDEX('Detalle individual'!$A:$A,$K58))</f>
        <v>975</v>
      </c>
      <c r="D58" s="72" t="str">
        <f>IF($K58="","",TRIM(INDEX('Detalle individual'!$B:$B,$K58)))</f>
        <v>GABRIELA CONCEPCION GARCIA GUTIERREZ</v>
      </c>
      <c r="E58" s="72" t="str">
        <f>IF($K58="","",TRIM(INDEX('Detalle individual'!$E:$E,$K58)))</f>
        <v>AUXILIAR DE ATENCION AL ASOCIADO EN AGENCIA</v>
      </c>
      <c r="F58" s="72" t="str">
        <f>IF($K58="","",TRIM(INDEX('Detalle individual'!$C:$C,$K58)))</f>
        <v>AGENCIA COLEGIO MEDICO</v>
      </c>
      <c r="G58" s="72" t="str">
        <f>IF($K58="","",INDEX('Detalle individual'!$D:$D,$K58))</f>
        <v>Gerencia de Negocios</v>
      </c>
      <c r="H58" s="13" t="str">
        <f>IF($K58="","",INDEX('Detalle individual'!$F:$F,$K58))</f>
        <v>Completado</v>
      </c>
      <c r="I58" s="20">
        <f>IF($K58="","",IF(INDEX('Detalle individual'!$F:$F,$K58)="Completado",INDEX('Detalle individual'!$H:$H,$K58),""))</f>
        <v>46305.4796412037</v>
      </c>
      <c r="J58" s="21">
        <f>IF($K58="","",IF(INDEX('Detalle individual'!$F:$F,$K58)="Completado",INDEX('Detalle individual'!$J:$J,$K58),""))</f>
        <v>90</v>
      </c>
      <c r="K58">
        <f>IFERROR(MOD(SMALL(Cálculos!$Z$5:$Z$1000,50),10000),"")</f>
        <v>220</v>
      </c>
    </row>
    <row r="59">
      <c r="B59" s="13">
        <f>IF($K59="","",51)</f>
        <v>51</v>
      </c>
      <c r="C59" s="13" t="str">
        <f>IF($K59="","",INDEX('Detalle individual'!$A:$A,$K59))</f>
        <v>19</v>
      </c>
      <c r="D59" s="72" t="str">
        <f>IF($K59="","",TRIM(INDEX('Detalle individual'!$B:$B,$K59)))</f>
        <v>ANA MARGARITA SERRANO RUBIO</v>
      </c>
      <c r="E59" s="72" t="str">
        <f>IF($K59="","",TRIM(INDEX('Detalle individual'!$E:$E,$K59)))</f>
        <v>CAJERO</v>
      </c>
      <c r="F59" s="72" t="str">
        <f>IF($K59="","",TRIM(INDEX('Detalle individual'!$C:$C,$K59)))</f>
        <v>AGENCIA COLONIA MEDICA</v>
      </c>
      <c r="G59" s="72" t="str">
        <f>IF($K59="","",INDEX('Detalle individual'!$D:$D,$K59))</f>
        <v>Gerencia de Negocios</v>
      </c>
      <c r="H59" s="13" t="str">
        <f>IF($K59="","",INDEX('Detalle individual'!$F:$F,$K59))</f>
        <v>Completado</v>
      </c>
      <c r="I59" s="20">
        <f>IF($K59="","",IF(INDEX('Detalle individual'!$F:$F,$K59)="Completado",INDEX('Detalle individual'!$H:$H,$K59),""))</f>
        <v>46310.54141203704</v>
      </c>
      <c r="J59" s="21">
        <f>IF($K59="","",IF(INDEX('Detalle individual'!$F:$F,$K59)="Completado",INDEX('Detalle individual'!$J:$J,$K59),""))</f>
        <v>100</v>
      </c>
      <c r="K59">
        <f>IFERROR(MOD(SMALL(Cálculos!$Z$5:$Z$1000,51),10000),"")</f>
        <v>257</v>
      </c>
    </row>
    <row r="60">
      <c r="B60" s="13">
        <f>IF($K60="","",52)</f>
        <v>52</v>
      </c>
      <c r="C60" s="13" t="str">
        <f>IF($K60="","",INDEX('Detalle individual'!$A:$A,$K60))</f>
        <v>89</v>
      </c>
      <c r="D60" s="72" t="str">
        <f>IF($K60="","",TRIM(INDEX('Detalle individual'!$B:$B,$K60)))</f>
        <v>PATRICIA JEANNETTE FLORES MARTINEZ</v>
      </c>
      <c r="E60" s="72" t="str">
        <f>IF($K60="","",TRIM(INDEX('Detalle individual'!$E:$E,$K60)))</f>
        <v>AUXILIAR DE OPERACIONES Y ATENCION EN AGENCIA</v>
      </c>
      <c r="F60" s="72" t="str">
        <f>IF($K60="","",TRIM(INDEX('Detalle individual'!$C:$C,$K60)))</f>
        <v>AGENCIA COLONIA MEDICA</v>
      </c>
      <c r="G60" s="72" t="str">
        <f>IF($K60="","",INDEX('Detalle individual'!$D:$D,$K60))</f>
        <v>Gerencia de Negocios</v>
      </c>
      <c r="H60" s="13" t="str">
        <f>IF($K60="","",INDEX('Detalle individual'!$F:$F,$K60))</f>
        <v>Completado</v>
      </c>
      <c r="I60" s="20">
        <f>IF($K60="","",IF(INDEX('Detalle individual'!$F:$F,$K60)="Completado",INDEX('Detalle individual'!$H:$H,$K60),""))</f>
        <v>46302.64712962963</v>
      </c>
      <c r="J60" s="21">
        <f>IF($K60="","",IF(INDEX('Detalle individual'!$F:$F,$K60)="Completado",INDEX('Detalle individual'!$J:$J,$K60),""))</f>
        <v>100</v>
      </c>
      <c r="K60">
        <f>IFERROR(MOD(SMALL(Cálculos!$Z$5:$Z$1000,52),10000),"")</f>
        <v>258</v>
      </c>
    </row>
    <row r="61">
      <c r="B61" s="13">
        <f>IF($K61="","",53)</f>
        <v>53</v>
      </c>
      <c r="C61" s="13" t="str">
        <f>IF($K61="","",INDEX('Detalle individual'!$A:$A,$K61))</f>
        <v>179</v>
      </c>
      <c r="D61" s="72" t="str">
        <f>IF($K61="","",TRIM(INDEX('Detalle individual'!$B:$B,$K61)))</f>
        <v>JULIO RAFAEL FLORES HENRIQUEZ</v>
      </c>
      <c r="E61" s="72" t="str">
        <f>IF($K61="","",TRIM(INDEX('Detalle individual'!$E:$E,$K61)))</f>
        <v>JEFE DE AGENCIA</v>
      </c>
      <c r="F61" s="72" t="str">
        <f>IF($K61="","",TRIM(INDEX('Detalle individual'!$C:$C,$K61)))</f>
        <v>AGENCIA COLONIA MEDICA</v>
      </c>
      <c r="G61" s="72" t="str">
        <f>IF($K61="","",INDEX('Detalle individual'!$D:$D,$K61))</f>
        <v>Gerencia de Negocios</v>
      </c>
      <c r="H61" s="13" t="str">
        <f>IF($K61="","",INDEX('Detalle individual'!$F:$F,$K61))</f>
        <v>Completado</v>
      </c>
      <c r="I61" s="20">
        <f>IF($K61="","",IF(INDEX('Detalle individual'!$F:$F,$K61)="Completado",INDEX('Detalle individual'!$H:$H,$K61),""))</f>
        <v>46309.36565972222</v>
      </c>
      <c r="J61" s="21">
        <f>IF($K61="","",IF(INDEX('Detalle individual'!$F:$F,$K61)="Completado",INDEX('Detalle individual'!$J:$J,$K61),""))</f>
        <v>100</v>
      </c>
      <c r="K61">
        <f>IFERROR(MOD(SMALL(Cálculos!$Z$5:$Z$1000,53),10000),"")</f>
        <v>259</v>
      </c>
    </row>
    <row r="62">
      <c r="B62" s="13">
        <f>IF($K62="","",54)</f>
        <v>54</v>
      </c>
      <c r="C62" s="13" t="str">
        <f>IF($K62="","",INDEX('Detalle individual'!$A:$A,$K62))</f>
        <v>308</v>
      </c>
      <c r="D62" s="72" t="str">
        <f>IF($K62="","",TRIM(INDEX('Detalle individual'!$B:$B,$K62)))</f>
        <v>JENNIFFER IVETTE MORALES PEREZ</v>
      </c>
      <c r="E62" s="72" t="str">
        <f>IF($K62="","",TRIM(INDEX('Detalle individual'!$E:$E,$K62)))</f>
        <v>EJECUTIVO DE NEGOCIOS</v>
      </c>
      <c r="F62" s="72" t="str">
        <f>IF($K62="","",TRIM(INDEX('Detalle individual'!$C:$C,$K62)))</f>
        <v>AGENCIA COLONIA MEDICA</v>
      </c>
      <c r="G62" s="72" t="str">
        <f>IF($K62="","",INDEX('Detalle individual'!$D:$D,$K62))</f>
        <v>Gerencia de Negocios</v>
      </c>
      <c r="H62" s="13" t="str">
        <f>IF($K62="","",INDEX('Detalle individual'!$F:$F,$K62))</f>
        <v>Completado</v>
      </c>
      <c r="I62" s="20">
        <f>IF($K62="","",IF(INDEX('Detalle individual'!$F:$F,$K62)="Completado",INDEX('Detalle individual'!$H:$H,$K62),""))</f>
        <v>46297.714895833335</v>
      </c>
      <c r="J62" s="21">
        <f>IF($K62="","",IF(INDEX('Detalle individual'!$F:$F,$K62)="Completado",INDEX('Detalle individual'!$J:$J,$K62),""))</f>
        <v>95</v>
      </c>
      <c r="K62">
        <f>IFERROR(MOD(SMALL(Cálculos!$Z$5:$Z$1000,54),10000),"")</f>
        <v>260</v>
      </c>
    </row>
    <row r="63">
      <c r="B63" s="13">
        <f>IF($K63="","",55)</f>
        <v>55</v>
      </c>
      <c r="C63" s="13" t="str">
        <f>IF($K63="","",INDEX('Detalle individual'!$A:$A,$K63))</f>
        <v>412</v>
      </c>
      <c r="D63" s="72" t="str">
        <f>IF($K63="","",TRIM(INDEX('Detalle individual'!$B:$B,$K63)))</f>
        <v>CARMEN DE JESÚS GONZÁLEZ BLANCO</v>
      </c>
      <c r="E63" s="72" t="str">
        <f>IF($K63="","",TRIM(INDEX('Detalle individual'!$E:$E,$K63)))</f>
        <v>EJECUTIVA DE SEGUROS</v>
      </c>
      <c r="F63" s="72" t="str">
        <f>IF($K63="","",TRIM(INDEX('Detalle individual'!$C:$C,$K63)))</f>
        <v>AGENCIA COLONIA MEDICA</v>
      </c>
      <c r="G63" s="72" t="str">
        <f>IF($K63="","",INDEX('Detalle individual'!$D:$D,$K63))</f>
        <v>Gerencia de Negocios</v>
      </c>
      <c r="H63" s="13" t="str">
        <f>IF($K63="","",INDEX('Detalle individual'!$F:$F,$K63))</f>
        <v>Completado</v>
      </c>
      <c r="I63" s="20">
        <f>IF($K63="","",IF(INDEX('Detalle individual'!$F:$F,$K63)="Completado",INDEX('Detalle individual'!$H:$H,$K63),""))</f>
        <v>46302.63581018519</v>
      </c>
      <c r="J63" s="21">
        <f>IF($K63="","",IF(INDEX('Detalle individual'!$F:$F,$K63)="Completado",INDEX('Detalle individual'!$J:$J,$K63),""))</f>
        <v>100</v>
      </c>
      <c r="K63">
        <f>IFERROR(MOD(SMALL(Cálculos!$Z$5:$Z$1000,55),10000),"")</f>
        <v>261</v>
      </c>
    </row>
    <row r="64">
      <c r="B64" s="13">
        <f>IF($K64="","",56)</f>
        <v>56</v>
      </c>
      <c r="C64" s="13" t="str">
        <f>IF($K64="","",INDEX('Detalle individual'!$A:$A,$K64))</f>
        <v>624</v>
      </c>
      <c r="D64" s="72" t="str">
        <f>IF($K64="","",TRIM(INDEX('Detalle individual'!$B:$B,$K64)))</f>
        <v>JULIO ENRIQUE CAMPOS ANDRADE</v>
      </c>
      <c r="E64" s="72" t="str">
        <f>IF($K64="","",TRIM(INDEX('Detalle individual'!$E:$E,$K64)))</f>
        <v>EJECUTIVO DE NEGOCIOS</v>
      </c>
      <c r="F64" s="72" t="str">
        <f>IF($K64="","",TRIM(INDEX('Detalle individual'!$C:$C,$K64)))</f>
        <v>AGENCIA COLONIA MEDICA</v>
      </c>
      <c r="G64" s="72" t="str">
        <f>IF($K64="","",INDEX('Detalle individual'!$D:$D,$K64))</f>
        <v>Gerencia de Negocios</v>
      </c>
      <c r="H64" s="13" t="str">
        <f>IF($K64="","",INDEX('Detalle individual'!$F:$F,$K64))</f>
        <v>Completado</v>
      </c>
      <c r="I64" s="20">
        <f>IF($K64="","",IF(INDEX('Detalle individual'!$F:$F,$K64)="Completado",INDEX('Detalle individual'!$H:$H,$K64),""))</f>
        <v>46310.516701388886</v>
      </c>
      <c r="J64" s="21">
        <f>IF($K64="","",IF(INDEX('Detalle individual'!$F:$F,$K64)="Completado",INDEX('Detalle individual'!$J:$J,$K64),""))</f>
        <v>90</v>
      </c>
      <c r="K64">
        <f>IFERROR(MOD(SMALL(Cálculos!$Z$5:$Z$1000,56),10000),"")</f>
        <v>262</v>
      </c>
    </row>
    <row r="65">
      <c r="B65" s="13">
        <f>IF($K65="","",57)</f>
        <v>57</v>
      </c>
      <c r="C65" s="13" t="str">
        <f>IF($K65="","",INDEX('Detalle individual'!$A:$A,$K65))</f>
        <v>674</v>
      </c>
      <c r="D65" s="72" t="str">
        <f>IF($K65="","",TRIM(INDEX('Detalle individual'!$B:$B,$K65)))</f>
        <v>ALFREDO ARMANDO RAMOS ESCOBAR</v>
      </c>
      <c r="E65" s="72" t="str">
        <f>IF($K65="","",TRIM(INDEX('Detalle individual'!$E:$E,$K65)))</f>
        <v>CAJERO</v>
      </c>
      <c r="F65" s="72" t="str">
        <f>IF($K65="","",TRIM(INDEX('Detalle individual'!$C:$C,$K65)))</f>
        <v>AGENCIA COLONIA MEDICA</v>
      </c>
      <c r="G65" s="72" t="str">
        <f>IF($K65="","",INDEX('Detalle individual'!$D:$D,$K65))</f>
        <v>Gerencia de Negocios</v>
      </c>
      <c r="H65" s="13" t="str">
        <f>IF($K65="","",INDEX('Detalle individual'!$F:$F,$K65))</f>
        <v>Completado</v>
      </c>
      <c r="I65" s="20">
        <f>IF($K65="","",IF(INDEX('Detalle individual'!$F:$F,$K65)="Completado",INDEX('Detalle individual'!$H:$H,$K65),""))</f>
        <v>46310.535219907404</v>
      </c>
      <c r="J65" s="21">
        <f>IF($K65="","",IF(INDEX('Detalle individual'!$F:$F,$K65)="Completado",INDEX('Detalle individual'!$J:$J,$K65),""))</f>
        <v>100</v>
      </c>
      <c r="K65">
        <f>IFERROR(MOD(SMALL(Cálculos!$Z$5:$Z$1000,57),10000),"")</f>
        <v>263</v>
      </c>
    </row>
    <row r="66">
      <c r="B66" s="13">
        <f>IF($K66="","",58)</f>
        <v>58</v>
      </c>
      <c r="C66" s="13" t="str">
        <f>IF($K66="","",INDEX('Detalle individual'!$A:$A,$K66))</f>
        <v>722</v>
      </c>
      <c r="D66" s="72" t="str">
        <f>IF($K66="","",TRIM(INDEX('Detalle individual'!$B:$B,$K66)))</f>
        <v>INGRID PAOLA CORADO HERNANDEZ</v>
      </c>
      <c r="E66" s="72" t="str">
        <f>IF($K66="","",TRIM(INDEX('Detalle individual'!$E:$E,$K66)))</f>
        <v>CAJERO</v>
      </c>
      <c r="F66" s="72" t="str">
        <f>IF($K66="","",TRIM(INDEX('Detalle individual'!$C:$C,$K66)))</f>
        <v>AGENCIA COLONIA MEDICA</v>
      </c>
      <c r="G66" s="72" t="str">
        <f>IF($K66="","",INDEX('Detalle individual'!$D:$D,$K66))</f>
        <v>Gerencia de Negocios</v>
      </c>
      <c r="H66" s="13" t="str">
        <f>IF($K66="","",INDEX('Detalle individual'!$F:$F,$K66))</f>
        <v>Completado</v>
      </c>
      <c r="I66" s="20">
        <f>IF($K66="","",IF(INDEX('Detalle individual'!$F:$F,$K66)="Completado",INDEX('Detalle individual'!$H:$H,$K66),""))</f>
        <v>46308.57957175926</v>
      </c>
      <c r="J66" s="21">
        <f>IF($K66="","",IF(INDEX('Detalle individual'!$F:$F,$K66)="Completado",INDEX('Detalle individual'!$J:$J,$K66),""))</f>
        <v>90</v>
      </c>
      <c r="K66">
        <f>IFERROR(MOD(SMALL(Cálculos!$Z$5:$Z$1000,58),10000),"")</f>
        <v>264</v>
      </c>
    </row>
    <row r="67">
      <c r="B67" s="13">
        <f>IF($K67="","",59)</f>
        <v>59</v>
      </c>
      <c r="C67" s="13" t="str">
        <f>IF($K67="","",INDEX('Detalle individual'!$A:$A,$K67))</f>
        <v>728</v>
      </c>
      <c r="D67" s="72" t="str">
        <f>IF($K67="","",TRIM(INDEX('Detalle individual'!$B:$B,$K67)))</f>
        <v>DIANA MARISOL BATRES BARAHONA</v>
      </c>
      <c r="E67" s="72" t="str">
        <f>IF($K67="","",TRIM(INDEX('Detalle individual'!$E:$E,$K67)))</f>
        <v>SUBJEFE DE AGENCIA</v>
      </c>
      <c r="F67" s="72" t="str">
        <f>IF($K67="","",TRIM(INDEX('Detalle individual'!$C:$C,$K67)))</f>
        <v>AGENCIA COLONIA MEDICA</v>
      </c>
      <c r="G67" s="72" t="str">
        <f>IF($K67="","",INDEX('Detalle individual'!$D:$D,$K67))</f>
        <v>Gerencia de Negocios</v>
      </c>
      <c r="H67" s="13" t="str">
        <f>IF($K67="","",INDEX('Detalle individual'!$F:$F,$K67))</f>
        <v>Completado</v>
      </c>
      <c r="I67" s="20">
        <f>IF($K67="","",IF(INDEX('Detalle individual'!$F:$F,$K67)="Completado",INDEX('Detalle individual'!$H:$H,$K67),""))</f>
        <v>46300.68400462963</v>
      </c>
      <c r="J67" s="21">
        <f>IF($K67="","",IF(INDEX('Detalle individual'!$F:$F,$K67)="Completado",INDEX('Detalle individual'!$J:$J,$K67),""))</f>
        <v>100</v>
      </c>
      <c r="K67">
        <f>IFERROR(MOD(SMALL(Cálculos!$Z$5:$Z$1000,59),10000),"")</f>
        <v>265</v>
      </c>
    </row>
    <row r="68">
      <c r="B68" s="13">
        <f>IF($K68="","",60)</f>
        <v>60</v>
      </c>
      <c r="C68" s="13" t="str">
        <f>IF($K68="","",INDEX('Detalle individual'!$A:$A,$K68))</f>
        <v>735</v>
      </c>
      <c r="D68" s="72" t="str">
        <f>IF($K68="","",TRIM(INDEX('Detalle individual'!$B:$B,$K68)))</f>
        <v>YHANA MILET VALLE HERNANDEZ</v>
      </c>
      <c r="E68" s="72" t="str">
        <f>IF($K68="","",TRIM(INDEX('Detalle individual'!$E:$E,$K68)))</f>
        <v>CAJERO</v>
      </c>
      <c r="F68" s="72" t="str">
        <f>IF($K68="","",TRIM(INDEX('Detalle individual'!$C:$C,$K68)))</f>
        <v>AGENCIA COLONIA MEDICA</v>
      </c>
      <c r="G68" s="72" t="str">
        <f>IF($K68="","",INDEX('Detalle individual'!$D:$D,$K68))</f>
        <v>Gerencia de Negocios</v>
      </c>
      <c r="H68" s="13" t="str">
        <f>IF($K68="","",INDEX('Detalle individual'!$F:$F,$K68))</f>
        <v>Completado</v>
      </c>
      <c r="I68" s="20">
        <f>IF($K68="","",IF(INDEX('Detalle individual'!$F:$F,$K68)="Completado",INDEX('Detalle individual'!$H:$H,$K68),""))</f>
        <v>46310.531226851854</v>
      </c>
      <c r="J68" s="21">
        <f>IF($K68="","",IF(INDEX('Detalle individual'!$F:$F,$K68)="Completado",INDEX('Detalle individual'!$J:$J,$K68),""))</f>
        <v>100</v>
      </c>
      <c r="K68">
        <f>IFERROR(MOD(SMALL(Cálculos!$Z$5:$Z$1000,60),10000),"")</f>
        <v>266</v>
      </c>
    </row>
    <row r="69">
      <c r="B69" s="13">
        <f>IF($K69="","",61)</f>
        <v>61</v>
      </c>
      <c r="C69" s="13" t="str">
        <f>IF($K69="","",INDEX('Detalle individual'!$A:$A,$K69))</f>
        <v>801</v>
      </c>
      <c r="D69" s="72" t="str">
        <f>IF($K69="","",TRIM(INDEX('Detalle individual'!$B:$B,$K69)))</f>
        <v>ZULMA BEATRIZ RIVAS RIVERA</v>
      </c>
      <c r="E69" s="72" t="str">
        <f>IF($K69="","",TRIM(INDEX('Detalle individual'!$E:$E,$K69)))</f>
        <v>CAJERO</v>
      </c>
      <c r="F69" s="72" t="str">
        <f>IF($K69="","",TRIM(INDEX('Detalle individual'!$C:$C,$K69)))</f>
        <v>AGENCIA COLONIA MEDICA</v>
      </c>
      <c r="G69" s="72" t="str">
        <f>IF($K69="","",INDEX('Detalle individual'!$D:$D,$K69))</f>
        <v>Gerencia de Negocios</v>
      </c>
      <c r="H69" s="13" t="str">
        <f>IF($K69="","",INDEX('Detalle individual'!$F:$F,$K69))</f>
        <v>Completado</v>
      </c>
      <c r="I69" s="20">
        <f>IF($K69="","",IF(INDEX('Detalle individual'!$F:$F,$K69)="Completado",INDEX('Detalle individual'!$H:$H,$K69),""))</f>
        <v>46300.688368055555</v>
      </c>
      <c r="J69" s="21">
        <f>IF($K69="","",IF(INDEX('Detalle individual'!$F:$F,$K69)="Completado",INDEX('Detalle individual'!$J:$J,$K69),""))</f>
        <v>100</v>
      </c>
      <c r="K69">
        <f>IFERROR(MOD(SMALL(Cálculos!$Z$5:$Z$1000,61),10000),"")</f>
        <v>267</v>
      </c>
    </row>
    <row r="70">
      <c r="B70" s="13">
        <f>IF($K70="","",62)</f>
        <v>62</v>
      </c>
      <c r="C70" s="13" t="str">
        <f>IF($K70="","",INDEX('Detalle individual'!$A:$A,$K70))</f>
        <v>855</v>
      </c>
      <c r="D70" s="72" t="str">
        <f>IF($K70="","",TRIM(INDEX('Detalle individual'!$B:$B,$K70)))</f>
        <v>STEFFANY MARIELOS MIRO HERNANDEZ</v>
      </c>
      <c r="E70" s="72" t="str">
        <f>IF($K70="","",TRIM(INDEX('Detalle individual'!$E:$E,$K70)))</f>
        <v>CAJERO</v>
      </c>
      <c r="F70" s="72" t="str">
        <f>IF($K70="","",TRIM(INDEX('Detalle individual'!$C:$C,$K70)))</f>
        <v>AGENCIA COLONIA MEDICA</v>
      </c>
      <c r="G70" s="72" t="str">
        <f>IF($K70="","",INDEX('Detalle individual'!$D:$D,$K70))</f>
        <v>Gerencia de Negocios</v>
      </c>
      <c r="H70" s="13" t="str">
        <f>IF($K70="","",INDEX('Detalle individual'!$F:$F,$K70))</f>
        <v>Completado</v>
      </c>
      <c r="I70" s="20">
        <f>IF($K70="","",IF(INDEX('Detalle individual'!$F:$F,$K70)="Completado",INDEX('Detalle individual'!$H:$H,$K70),""))</f>
        <v>46310.52695601852</v>
      </c>
      <c r="J70" s="21">
        <f>IF($K70="","",IF(INDEX('Detalle individual'!$F:$F,$K70)="Completado",INDEX('Detalle individual'!$J:$J,$K70),""))</f>
        <v>100</v>
      </c>
      <c r="K70">
        <f>IFERROR(MOD(SMALL(Cálculos!$Z$5:$Z$1000,62),10000),"")</f>
        <v>268</v>
      </c>
    </row>
    <row r="71">
      <c r="B71" s="13">
        <f>IF($K71="","",63)</f>
        <v>63</v>
      </c>
      <c r="C71" s="13" t="str">
        <f>IF($K71="","",INDEX('Detalle individual'!$A:$A,$K71))</f>
        <v>873</v>
      </c>
      <c r="D71" s="72" t="str">
        <f>IF($K71="","",TRIM(INDEX('Detalle individual'!$B:$B,$K71)))</f>
        <v>FLOR DE MARIA ROSALES SORTO</v>
      </c>
      <c r="E71" s="72" t="str">
        <f>IF($K71="","",TRIM(INDEX('Detalle individual'!$E:$E,$K71)))</f>
        <v>CAJERO</v>
      </c>
      <c r="F71" s="72" t="str">
        <f>IF($K71="","",TRIM(INDEX('Detalle individual'!$C:$C,$K71)))</f>
        <v>AGENCIA COLONIA MEDICA</v>
      </c>
      <c r="G71" s="72" t="str">
        <f>IF($K71="","",INDEX('Detalle individual'!$D:$D,$K71))</f>
        <v>Gerencia de Negocios</v>
      </c>
      <c r="H71" s="13" t="str">
        <f>IF($K71="","",INDEX('Detalle individual'!$F:$F,$K71))</f>
        <v>Completado</v>
      </c>
      <c r="I71" s="20">
        <f>IF($K71="","",IF(INDEX('Detalle individual'!$F:$F,$K71)="Completado",INDEX('Detalle individual'!$H:$H,$K71),""))</f>
        <v>46310.52071759259</v>
      </c>
      <c r="J71" s="21">
        <f>IF($K71="","",IF(INDEX('Detalle individual'!$F:$F,$K71)="Completado",INDEX('Detalle individual'!$J:$J,$K71),""))</f>
        <v>100</v>
      </c>
      <c r="K71">
        <f>IFERROR(MOD(SMALL(Cálculos!$Z$5:$Z$1000,63),10000),"")</f>
        <v>269</v>
      </c>
    </row>
    <row r="72">
      <c r="B72" s="13">
        <f>IF($K72="","",64)</f>
        <v>64</v>
      </c>
      <c r="C72" s="13" t="str">
        <f>IF($K72="","",INDEX('Detalle individual'!$A:$A,$K72))</f>
        <v>891</v>
      </c>
      <c r="D72" s="72" t="str">
        <f>IF($K72="","",TRIM(INDEX('Detalle individual'!$B:$B,$K72)))</f>
        <v>YESENIA LISSETH BARAHONA VALLE</v>
      </c>
      <c r="E72" s="72" t="str">
        <f>IF($K72="","",TRIM(INDEX('Detalle individual'!$E:$E,$K72)))</f>
        <v>AUXILIAR DE ATENCION AL ASOCIADO EN AGENCIA</v>
      </c>
      <c r="F72" s="72" t="str">
        <f>IF($K72="","",TRIM(INDEX('Detalle individual'!$C:$C,$K72)))</f>
        <v>AGENCIA COLONIA MEDICA</v>
      </c>
      <c r="G72" s="72" t="str">
        <f>IF($K72="","",INDEX('Detalle individual'!$D:$D,$K72))</f>
        <v>Gerencia de Negocios</v>
      </c>
      <c r="H72" s="13" t="str">
        <f>IF($K72="","",INDEX('Detalle individual'!$F:$F,$K72))</f>
        <v>Completado</v>
      </c>
      <c r="I72" s="20">
        <f>IF($K72="","",IF(INDEX('Detalle individual'!$F:$F,$K72)="Completado",INDEX('Detalle individual'!$H:$H,$K72),""))</f>
        <v>46310.54554398148</v>
      </c>
      <c r="J72" s="21">
        <f>IF($K72="","",IF(INDEX('Detalle individual'!$F:$F,$K72)="Completado",INDEX('Detalle individual'!$J:$J,$K72),""))</f>
        <v>100</v>
      </c>
      <c r="K72">
        <f>IFERROR(MOD(SMALL(Cálculos!$Z$5:$Z$1000,64),10000),"")</f>
        <v>270</v>
      </c>
    </row>
    <row r="73">
      <c r="B73" s="13">
        <f>IF($K73="","",65)</f>
        <v>65</v>
      </c>
      <c r="C73" s="13" t="str">
        <f>IF($K73="","",INDEX('Detalle individual'!$A:$A,$K73))</f>
        <v>913</v>
      </c>
      <c r="D73" s="72" t="str">
        <f>IF($K73="","",TRIM(INDEX('Detalle individual'!$B:$B,$K73)))</f>
        <v>FLOR DEL CARMEN GONZALEZ HERNANDEZ</v>
      </c>
      <c r="E73" s="72" t="str">
        <f>IF($K73="","",TRIM(INDEX('Detalle individual'!$E:$E,$K73)))</f>
        <v>SERVICIOS VARIOS</v>
      </c>
      <c r="F73" s="72" t="str">
        <f>IF($K73="","",TRIM(INDEX('Detalle individual'!$C:$C,$K73)))</f>
        <v>AGENCIA COLONIA MEDICA</v>
      </c>
      <c r="G73" s="72" t="str">
        <f>IF($K73="","",INDEX('Detalle individual'!$D:$D,$K73))</f>
        <v>Gerencia de Negocios</v>
      </c>
      <c r="H73" s="13" t="str">
        <f>IF($K73="","",INDEX('Detalle individual'!$F:$F,$K73))</f>
        <v>Completado</v>
      </c>
      <c r="I73" s="20">
        <f>IF($K73="","",IF(INDEX('Detalle individual'!$F:$F,$K73)="Completado",INDEX('Detalle individual'!$H:$H,$K73),""))</f>
        <v>46310.53796296296</v>
      </c>
      <c r="J73" s="21">
        <f>IF($K73="","",IF(INDEX('Detalle individual'!$F:$F,$K73)="Completado",INDEX('Detalle individual'!$J:$J,$K73),""))</f>
        <v>100</v>
      </c>
      <c r="K73">
        <f>IFERROR(MOD(SMALL(Cálculos!$Z$5:$Z$1000,65),10000),"")</f>
        <v>271</v>
      </c>
    </row>
    <row r="74">
      <c r="B74" s="13">
        <f>IF($K74="","",66)</f>
        <v>66</v>
      </c>
      <c r="C74" s="13" t="str">
        <f>IF($K74="","",INDEX('Detalle individual'!$A:$A,$K74))</f>
        <v>159</v>
      </c>
      <c r="D74" s="72" t="str">
        <f>IF($K74="","",TRIM(INDEX('Detalle individual'!$B:$B,$K74)))</f>
        <v>PATRICIA GUADALUPE GUARDADO OSEGUEDA</v>
      </c>
      <c r="E74" s="72" t="str">
        <f>IF($K74="","",TRIM(INDEX('Detalle individual'!$E:$E,$K74)))</f>
        <v>EJECUTIVO DE NEGOCIOS</v>
      </c>
      <c r="F74" s="72" t="str">
        <f>IF($K74="","",TRIM(INDEX('Detalle individual'!$C:$C,$K74)))</f>
        <v>AGENCIA MERLIOT</v>
      </c>
      <c r="G74" s="72" t="str">
        <f>IF($K74="","",INDEX('Detalle individual'!$D:$D,$K74))</f>
        <v>Gerencia de Negocios</v>
      </c>
      <c r="H74" s="13" t="str">
        <f>IF($K74="","",INDEX('Detalle individual'!$F:$F,$K74))</f>
        <v>Completado</v>
      </c>
      <c r="I74" s="20">
        <f>IF($K74="","",IF(INDEX('Detalle individual'!$F:$F,$K74)="Completado",INDEX('Detalle individual'!$H:$H,$K74),""))</f>
        <v>46303.39640046296</v>
      </c>
      <c r="J74" s="21">
        <f>IF($K74="","",IF(INDEX('Detalle individual'!$F:$F,$K74)="Completado",INDEX('Detalle individual'!$J:$J,$K74),""))</f>
        <v>100</v>
      </c>
      <c r="K74">
        <f>IFERROR(MOD(SMALL(Cálculos!$Z$5:$Z$1000,66),10000),"")</f>
        <v>244</v>
      </c>
    </row>
    <row r="75">
      <c r="B75" s="13">
        <f>IF($K75="","",67)</f>
        <v>67</v>
      </c>
      <c r="C75" s="13" t="str">
        <f>IF($K75="","",INDEX('Detalle individual'!$A:$A,$K75))</f>
        <v>251</v>
      </c>
      <c r="D75" s="72" t="str">
        <f>IF($K75="","",TRIM(INDEX('Detalle individual'!$B:$B,$K75)))</f>
        <v>NURIA LISSETH AGUILAR AGUILAR</v>
      </c>
      <c r="E75" s="72" t="str">
        <f>IF($K75="","",TRIM(INDEX('Detalle individual'!$E:$E,$K75)))</f>
        <v>EJECUTIVO DE NEGOCIOS</v>
      </c>
      <c r="F75" s="72" t="str">
        <f>IF($K75="","",TRIM(INDEX('Detalle individual'!$C:$C,$K75)))</f>
        <v>AGENCIA MERLIOT</v>
      </c>
      <c r="G75" s="72" t="str">
        <f>IF($K75="","",INDEX('Detalle individual'!$D:$D,$K75))</f>
        <v>Gerencia de Negocios</v>
      </c>
      <c r="H75" s="13" t="str">
        <f>IF($K75="","",INDEX('Detalle individual'!$F:$F,$K75))</f>
        <v>Completado</v>
      </c>
      <c r="I75" s="20">
        <f>IF($K75="","",IF(INDEX('Detalle individual'!$F:$F,$K75)="Completado",INDEX('Detalle individual'!$H:$H,$K75),""))</f>
        <v>46303.46199074074</v>
      </c>
      <c r="J75" s="21">
        <f>IF($K75="","",IF(INDEX('Detalle individual'!$F:$F,$K75)="Completado",INDEX('Detalle individual'!$J:$J,$K75),""))</f>
        <v>100</v>
      </c>
      <c r="K75">
        <f>IFERROR(MOD(SMALL(Cálculos!$Z$5:$Z$1000,67),10000),"")</f>
        <v>245</v>
      </c>
    </row>
    <row r="76">
      <c r="B76" s="13">
        <f>IF($K76="","",68)</f>
        <v>68</v>
      </c>
      <c r="C76" s="13" t="str">
        <f>IF($K76="","",INDEX('Detalle individual'!$A:$A,$K76))</f>
        <v>343</v>
      </c>
      <c r="D76" s="72" t="str">
        <f>IF($K76="","",TRIM(INDEX('Detalle individual'!$B:$B,$K76)))</f>
        <v>FATIMA BERENICE MEDINA ESCALANTE</v>
      </c>
      <c r="E76" s="72" t="str">
        <f>IF($K76="","",TRIM(INDEX('Detalle individual'!$E:$E,$K76)))</f>
        <v>JEFE DE AGENCIA</v>
      </c>
      <c r="F76" s="72" t="str">
        <f>IF($K76="","",TRIM(INDEX('Detalle individual'!$C:$C,$K76)))</f>
        <v>AGENCIA MERLIOT</v>
      </c>
      <c r="G76" s="72" t="str">
        <f>IF($K76="","",INDEX('Detalle individual'!$D:$D,$K76))</f>
        <v>Gerencia de Negocios</v>
      </c>
      <c r="H76" s="13" t="str">
        <f>IF($K76="","",INDEX('Detalle individual'!$F:$F,$K76))</f>
        <v>Completado</v>
      </c>
      <c r="I76" s="20">
        <f>IF($K76="","",IF(INDEX('Detalle individual'!$F:$F,$K76)="Completado",INDEX('Detalle individual'!$H:$H,$K76),""))</f>
        <v>46302.70259259259</v>
      </c>
      <c r="J76" s="21">
        <f>IF($K76="","",IF(INDEX('Detalle individual'!$F:$F,$K76)="Completado",INDEX('Detalle individual'!$J:$J,$K76),""))</f>
        <v>100</v>
      </c>
      <c r="K76">
        <f>IFERROR(MOD(SMALL(Cálculos!$Z$5:$Z$1000,68),10000),"")</f>
        <v>246</v>
      </c>
    </row>
    <row r="77">
      <c r="B77" s="13">
        <f>IF($K77="","",69)</f>
        <v>69</v>
      </c>
      <c r="C77" s="13" t="str">
        <f>IF($K77="","",INDEX('Detalle individual'!$A:$A,$K77))</f>
        <v>657</v>
      </c>
      <c r="D77" s="72" t="str">
        <f>IF($K77="","",TRIM(INDEX('Detalle individual'!$B:$B,$K77)))</f>
        <v>CLELIA DESIREE CAMPOS COSS</v>
      </c>
      <c r="E77" s="72" t="str">
        <f>IF($K77="","",TRIM(INDEX('Detalle individual'!$E:$E,$K77)))</f>
        <v>SERVICIOS VARIOS</v>
      </c>
      <c r="F77" s="72" t="str">
        <f>IF($K77="","",TRIM(INDEX('Detalle individual'!$C:$C,$K77)))</f>
        <v>AGENCIA MERLIOT</v>
      </c>
      <c r="G77" s="72" t="str">
        <f>IF($K77="","",INDEX('Detalle individual'!$D:$D,$K77))</f>
        <v>Gerencia de Negocios</v>
      </c>
      <c r="H77" s="13" t="str">
        <f>IF($K77="","",INDEX('Detalle individual'!$F:$F,$K77))</f>
        <v>Completado</v>
      </c>
      <c r="I77" s="20">
        <f>IF($K77="","",IF(INDEX('Detalle individual'!$F:$F,$K77)="Completado",INDEX('Detalle individual'!$H:$H,$K77),""))</f>
        <v>46310.52479166666</v>
      </c>
      <c r="J77" s="21">
        <f>IF($K77="","",IF(INDEX('Detalle individual'!$F:$F,$K77)="Completado",INDEX('Detalle individual'!$J:$J,$K77),""))</f>
        <v>100</v>
      </c>
      <c r="K77">
        <f>IFERROR(MOD(SMALL(Cálculos!$Z$5:$Z$1000,69),10000),"")</f>
        <v>247</v>
      </c>
    </row>
    <row r="78">
      <c r="B78" s="13">
        <f>IF($K78="","",70)</f>
        <v>70</v>
      </c>
      <c r="C78" s="13" t="str">
        <f>IF($K78="","",INDEX('Detalle individual'!$A:$A,$K78))</f>
        <v>671</v>
      </c>
      <c r="D78" s="72" t="str">
        <f>IF($K78="","",TRIM(INDEX('Detalle individual'!$B:$B,$K78)))</f>
        <v>MILTON ALEXANDER CUELLAR GARCIA</v>
      </c>
      <c r="E78" s="72" t="str">
        <f>IF($K78="","",TRIM(INDEX('Detalle individual'!$E:$E,$K78)))</f>
        <v>CAJERO</v>
      </c>
      <c r="F78" s="72" t="str">
        <f>IF($K78="","",TRIM(INDEX('Detalle individual'!$C:$C,$K78)))</f>
        <v>AGENCIA MERLIOT</v>
      </c>
      <c r="G78" s="72" t="str">
        <f>IF($K78="","",INDEX('Detalle individual'!$D:$D,$K78))</f>
        <v>Gerencia de Negocios</v>
      </c>
      <c r="H78" s="13" t="str">
        <f>IF($K78="","",INDEX('Detalle individual'!$F:$F,$K78))</f>
        <v>Completado</v>
      </c>
      <c r="I78" s="20">
        <f>IF($K78="","",IF(INDEX('Detalle individual'!$F:$F,$K78)="Completado",INDEX('Detalle individual'!$H:$H,$K78),""))</f>
        <v>46296.55247685185</v>
      </c>
      <c r="J78" s="21">
        <f>IF($K78="","",IF(INDEX('Detalle individual'!$F:$F,$K78)="Completado",INDEX('Detalle individual'!$J:$J,$K78),""))</f>
        <v>70</v>
      </c>
      <c r="K78">
        <f>IFERROR(MOD(SMALL(Cálculos!$Z$5:$Z$1000,70),10000),"")</f>
        <v>248</v>
      </c>
    </row>
    <row r="79">
      <c r="B79" s="13">
        <f>IF($K79="","",71)</f>
        <v>71</v>
      </c>
      <c r="C79" s="13" t="str">
        <f>IF($K79="","",INDEX('Detalle individual'!$A:$A,$K79))</f>
        <v>700</v>
      </c>
      <c r="D79" s="72" t="str">
        <f>IF($K79="","",TRIM(INDEX('Detalle individual'!$B:$B,$K79)))</f>
        <v>JENNIFFER MIREYA AYALA ZEPEDA</v>
      </c>
      <c r="E79" s="72" t="str">
        <f>IF($K79="","",TRIM(INDEX('Detalle individual'!$E:$E,$K79)))</f>
        <v>SUBJEFE DE AGENCIA</v>
      </c>
      <c r="F79" s="72" t="str">
        <f>IF($K79="","",TRIM(INDEX('Detalle individual'!$C:$C,$K79)))</f>
        <v>AGENCIA MERLIOT</v>
      </c>
      <c r="G79" s="72" t="str">
        <f>IF($K79="","",INDEX('Detalle individual'!$D:$D,$K79))</f>
        <v>Gerencia de Negocios</v>
      </c>
      <c r="H79" s="13" t="str">
        <f>IF($K79="","",INDEX('Detalle individual'!$F:$F,$K79))</f>
        <v>Completado</v>
      </c>
      <c r="I79" s="20">
        <f>IF($K79="","",IF(INDEX('Detalle individual'!$F:$F,$K79)="Completado",INDEX('Detalle individual'!$H:$H,$K79),""))</f>
        <v>46302.561886574076</v>
      </c>
      <c r="J79" s="21">
        <f>IF($K79="","",IF(INDEX('Detalle individual'!$F:$F,$K79)="Completado",INDEX('Detalle individual'!$J:$J,$K79),""))</f>
        <v>100</v>
      </c>
      <c r="K79">
        <f>IFERROR(MOD(SMALL(Cálculos!$Z$5:$Z$1000,71),10000),"")</f>
        <v>249</v>
      </c>
    </row>
    <row r="80">
      <c r="B80" s="13">
        <f>IF($K80="","",72)</f>
        <v>72</v>
      </c>
      <c r="C80" s="13" t="str">
        <f>IF($K80="","",INDEX('Detalle individual'!$A:$A,$K80))</f>
        <v>827</v>
      </c>
      <c r="D80" s="72" t="str">
        <f>IF($K80="","",TRIM(INDEX('Detalle individual'!$B:$B,$K80)))</f>
        <v>KELLY IDALIA CHAVEZ ABREGO</v>
      </c>
      <c r="E80" s="72" t="str">
        <f>IF($K80="","",TRIM(INDEX('Detalle individual'!$E:$E,$K80)))</f>
        <v>CAJERO</v>
      </c>
      <c r="F80" s="72" t="str">
        <f>IF($K80="","",TRIM(INDEX('Detalle individual'!$C:$C,$K80)))</f>
        <v>AGENCIA MERLIOT</v>
      </c>
      <c r="G80" s="72" t="str">
        <f>IF($K80="","",INDEX('Detalle individual'!$D:$D,$K80))</f>
        <v>Gerencia de Negocios</v>
      </c>
      <c r="H80" s="13" t="str">
        <f>IF($K80="","",INDEX('Detalle individual'!$F:$F,$K80))</f>
        <v>Completado</v>
      </c>
      <c r="I80" s="20">
        <f>IF($K80="","",IF(INDEX('Detalle individual'!$F:$F,$K80)="Completado",INDEX('Detalle individual'!$H:$H,$K80),""))</f>
        <v>46302.58609953704</v>
      </c>
      <c r="J80" s="21">
        <f>IF($K80="","",IF(INDEX('Detalle individual'!$F:$F,$K80)="Completado",INDEX('Detalle individual'!$J:$J,$K80),""))</f>
        <v>100</v>
      </c>
      <c r="K80">
        <f>IFERROR(MOD(SMALL(Cálculos!$Z$5:$Z$1000,72),10000),"")</f>
        <v>250</v>
      </c>
    </row>
    <row r="81">
      <c r="B81" s="13">
        <f>IF($K81="","",73)</f>
        <v>73</v>
      </c>
      <c r="C81" s="13" t="str">
        <f>IF($K81="","",INDEX('Detalle individual'!$A:$A,$K81))</f>
        <v>892</v>
      </c>
      <c r="D81" s="72" t="str">
        <f>IF($K81="","",TRIM(INDEX('Detalle individual'!$B:$B,$K81)))</f>
        <v>DIANA VANESSA RODRIGUEZ SORIANO</v>
      </c>
      <c r="E81" s="72" t="str">
        <f>IF($K81="","",TRIM(INDEX('Detalle individual'!$E:$E,$K81)))</f>
        <v>EJECUTIVA DE SEGUROS</v>
      </c>
      <c r="F81" s="72" t="str">
        <f>IF($K81="","",TRIM(INDEX('Detalle individual'!$C:$C,$K81)))</f>
        <v>AGENCIA MERLIOT</v>
      </c>
      <c r="G81" s="72" t="str">
        <f>IF($K81="","",INDEX('Detalle individual'!$D:$D,$K81))</f>
        <v>Gerencia de Negocios</v>
      </c>
      <c r="H81" s="13" t="str">
        <f>IF($K81="","",INDEX('Detalle individual'!$F:$F,$K81))</f>
        <v>Completado</v>
      </c>
      <c r="I81" s="20">
        <f>IF($K81="","",IF(INDEX('Detalle individual'!$F:$F,$K81)="Completado",INDEX('Detalle individual'!$H:$H,$K81),""))</f>
        <v>46303.39013888889</v>
      </c>
      <c r="J81" s="21">
        <f>IF($K81="","",IF(INDEX('Detalle individual'!$F:$F,$K81)="Completado",INDEX('Detalle individual'!$J:$J,$K81),""))</f>
        <v>100</v>
      </c>
      <c r="K81">
        <f>IFERROR(MOD(SMALL(Cálculos!$Z$5:$Z$1000,73),10000),"")</f>
        <v>251</v>
      </c>
    </row>
    <row r="82">
      <c r="B82" s="13">
        <f>IF($K82="","",74)</f>
        <v>74</v>
      </c>
      <c r="C82" s="13" t="str">
        <f>IF($K82="","",INDEX('Detalle individual'!$A:$A,$K82))</f>
        <v>909</v>
      </c>
      <c r="D82" s="72" t="str">
        <f>IF($K82="","",TRIM(INDEX('Detalle individual'!$B:$B,$K82)))</f>
        <v>GLADYS LISETH HERNANDEZ CRUZ</v>
      </c>
      <c r="E82" s="72" t="str">
        <f>IF($K82="","",TRIM(INDEX('Detalle individual'!$E:$E,$K82)))</f>
        <v>CAJERO</v>
      </c>
      <c r="F82" s="72" t="str">
        <f>IF($K82="","",TRIM(INDEX('Detalle individual'!$C:$C,$K82)))</f>
        <v>AGENCIA MERLIOT</v>
      </c>
      <c r="G82" s="72" t="str">
        <f>IF($K82="","",INDEX('Detalle individual'!$D:$D,$K82))</f>
        <v>Gerencia de Negocios</v>
      </c>
      <c r="H82" s="13" t="str">
        <f>IF($K82="","",INDEX('Detalle individual'!$F:$F,$K82))</f>
        <v>Completado</v>
      </c>
      <c r="I82" s="20">
        <f>IF($K82="","",IF(INDEX('Detalle individual'!$F:$F,$K82)="Completado",INDEX('Detalle individual'!$H:$H,$K82),""))</f>
        <v>46302.70457175926</v>
      </c>
      <c r="J82" s="21">
        <f>IF($K82="","",IF(INDEX('Detalle individual'!$F:$F,$K82)="Completado",INDEX('Detalle individual'!$J:$J,$K82),""))</f>
        <v>100</v>
      </c>
      <c r="K82">
        <f>IFERROR(MOD(SMALL(Cálculos!$Z$5:$Z$1000,74),10000),"")</f>
        <v>252</v>
      </c>
    </row>
    <row r="83">
      <c r="B83" s="13">
        <f>IF($K83="","",75)</f>
        <v>75</v>
      </c>
      <c r="C83" s="13" t="str">
        <f>IF($K83="","",INDEX('Detalle individual'!$A:$A,$K83))</f>
        <v>922</v>
      </c>
      <c r="D83" s="72" t="str">
        <f>IF($K83="","",TRIM(INDEX('Detalle individual'!$B:$B,$K83)))</f>
        <v>MADELINE ADRIANA GOMEZ GARCIA</v>
      </c>
      <c r="E83" s="72" t="str">
        <f>IF($K83="","",TRIM(INDEX('Detalle individual'!$E:$E,$K83)))</f>
        <v>CAJERO</v>
      </c>
      <c r="F83" s="72" t="str">
        <f>IF($K83="","",TRIM(INDEX('Detalle individual'!$C:$C,$K83)))</f>
        <v>AGENCIA MERLIOT</v>
      </c>
      <c r="G83" s="72" t="str">
        <f>IF($K83="","",INDEX('Detalle individual'!$D:$D,$K83))</f>
        <v>Gerencia de Negocios</v>
      </c>
      <c r="H83" s="13" t="str">
        <f>IF($K83="","",INDEX('Detalle individual'!$F:$F,$K83))</f>
        <v>Completado</v>
      </c>
      <c r="I83" s="20">
        <f>IF($K83="","",IF(INDEX('Detalle individual'!$F:$F,$K83)="Completado",INDEX('Detalle individual'!$H:$H,$K83),""))</f>
        <v>46302.57753472222</v>
      </c>
      <c r="J83" s="21">
        <f>IF($K83="","",IF(INDEX('Detalle individual'!$F:$F,$K83)="Completado",INDEX('Detalle individual'!$J:$J,$K83),""))</f>
        <v>100</v>
      </c>
      <c r="K83">
        <f>IFERROR(MOD(SMALL(Cálculos!$Z$5:$Z$1000,75),10000),"")</f>
        <v>253</v>
      </c>
    </row>
    <row r="84">
      <c r="B84" s="13">
        <f>IF($K84="","",76)</f>
        <v>76</v>
      </c>
      <c r="C84" s="13" t="str">
        <f>IF($K84="","",INDEX('Detalle individual'!$A:$A,$K84))</f>
        <v>936</v>
      </c>
      <c r="D84" s="72" t="str">
        <f>IF($K84="","",TRIM(INDEX('Detalle individual'!$B:$B,$K84)))</f>
        <v>MARISELA GUADALUPE MEJIA CRUZ</v>
      </c>
      <c r="E84" s="72" t="str">
        <f>IF($K84="","",TRIM(INDEX('Detalle individual'!$E:$E,$K84)))</f>
        <v>CAJERO</v>
      </c>
      <c r="F84" s="72" t="str">
        <f>IF($K84="","",TRIM(INDEX('Detalle individual'!$C:$C,$K84)))</f>
        <v>AGENCIA MERLIOT</v>
      </c>
      <c r="G84" s="72" t="str">
        <f>IF($K84="","",INDEX('Detalle individual'!$D:$D,$K84))</f>
        <v>Gerencia de Negocios</v>
      </c>
      <c r="H84" s="13" t="str">
        <f>IF($K84="","",INDEX('Detalle individual'!$F:$F,$K84))</f>
        <v>Completado</v>
      </c>
      <c r="I84" s="20">
        <f>IF($K84="","",IF(INDEX('Detalle individual'!$F:$F,$K84)="Completado",INDEX('Detalle individual'!$H:$H,$K84),""))</f>
        <v>46302.637037037035</v>
      </c>
      <c r="J84" s="21">
        <f>IF($K84="","",IF(INDEX('Detalle individual'!$F:$F,$K84)="Completado",INDEX('Detalle individual'!$J:$J,$K84),""))</f>
        <v>100</v>
      </c>
      <c r="K84">
        <f>IFERROR(MOD(SMALL(Cálculos!$Z$5:$Z$1000,76),10000),"")</f>
        <v>254</v>
      </c>
    </row>
    <row r="85">
      <c r="B85" s="13">
        <f>IF($K85="","",77)</f>
        <v>77</v>
      </c>
      <c r="C85" s="13" t="str">
        <f>IF($K85="","",INDEX('Detalle individual'!$A:$A,$K85))</f>
        <v>944</v>
      </c>
      <c r="D85" s="72" t="str">
        <f>IF($K85="","",TRIM(INDEX('Detalle individual'!$B:$B,$K85)))</f>
        <v>JOSSELYN IVONNE GARCIA HERNANDEZ</v>
      </c>
      <c r="E85" s="72" t="str">
        <f>IF($K85="","",TRIM(INDEX('Detalle individual'!$E:$E,$K85)))</f>
        <v>AUXILIAR DE ATENCION A ASOCIADOS</v>
      </c>
      <c r="F85" s="72" t="str">
        <f>IF($K85="","",TRIM(INDEX('Detalle individual'!$C:$C,$K85)))</f>
        <v>AGENCIA MERLIOT</v>
      </c>
      <c r="G85" s="72" t="str">
        <f>IF($K85="","",INDEX('Detalle individual'!$D:$D,$K85))</f>
        <v>Gerencia de Negocios</v>
      </c>
      <c r="H85" s="13" t="str">
        <f>IF($K85="","",INDEX('Detalle individual'!$F:$F,$K85))</f>
        <v>Completado</v>
      </c>
      <c r="I85" s="20">
        <f>IF($K85="","",IF(INDEX('Detalle individual'!$F:$F,$K85)="Completado",INDEX('Detalle individual'!$H:$H,$K85),""))</f>
        <v>46296.67511574074</v>
      </c>
      <c r="J85" s="21">
        <f>IF($K85="","",IF(INDEX('Detalle individual'!$F:$F,$K85)="Completado",INDEX('Detalle individual'!$J:$J,$K85),""))</f>
        <v>75</v>
      </c>
      <c r="K85">
        <f>IFERROR(MOD(SMALL(Cálculos!$Z$5:$Z$1000,77),10000),"")</f>
        <v>255</v>
      </c>
    </row>
    <row r="86">
      <c r="B86" s="13">
        <f>IF($K86="","",78)</f>
        <v>78</v>
      </c>
      <c r="C86" s="13" t="str">
        <f>IF($K86="","",INDEX('Detalle individual'!$A:$A,$K86))</f>
        <v>967</v>
      </c>
      <c r="D86" s="72" t="str">
        <f>IF($K86="","",TRIM(INDEX('Detalle individual'!$B:$B,$K86)))</f>
        <v>MAVERICK JOSSIMAR GONZALEZ MUÑOZ</v>
      </c>
      <c r="E86" s="72" t="str">
        <f>IF($K86="","",TRIM(INDEX('Detalle individual'!$E:$E,$K86)))</f>
        <v>CAJERO</v>
      </c>
      <c r="F86" s="72" t="str">
        <f>IF($K86="","",TRIM(INDEX('Detalle individual'!$C:$C,$K86)))</f>
        <v>AGENCIA MERLIOT</v>
      </c>
      <c r="G86" s="72" t="str">
        <f>IF($K86="","",INDEX('Detalle individual'!$D:$D,$K86))</f>
        <v>Gerencia de Negocios</v>
      </c>
      <c r="H86" s="13" t="str">
        <f>IF($K86="","",INDEX('Detalle individual'!$F:$F,$K86))</f>
        <v>Completado</v>
      </c>
      <c r="I86" s="20">
        <f>IF($K86="","",IF(INDEX('Detalle individual'!$F:$F,$K86)="Completado",INDEX('Detalle individual'!$H:$H,$K86),""))</f>
        <v>46302.58998842593</v>
      </c>
      <c r="J86" s="21">
        <f>IF($K86="","",IF(INDEX('Detalle individual'!$F:$F,$K86)="Completado",INDEX('Detalle individual'!$J:$J,$K86),""))</f>
        <v>100</v>
      </c>
      <c r="K86">
        <f>IFERROR(MOD(SMALL(Cálculos!$Z$5:$Z$1000,78),10000),"")</f>
        <v>256</v>
      </c>
    </row>
    <row r="87">
      <c r="B87" s="13">
        <f>IF($K87="","",79)</f>
        <v>79</v>
      </c>
      <c r="C87" s="13" t="str">
        <f>IF($K87="","",INDEX('Detalle individual'!$A:$A,$K87))</f>
        <v>59</v>
      </c>
      <c r="D87" s="72" t="str">
        <f>IF($K87="","",TRIM(INDEX('Detalle individual'!$B:$B,$K87)))</f>
        <v>ZOILA AYDEE LARIOS</v>
      </c>
      <c r="E87" s="72" t="str">
        <f>IF($K87="","",TRIM(INDEX('Detalle individual'!$E:$E,$K87)))</f>
        <v>SERVICIOS VARIOS</v>
      </c>
      <c r="F87" s="72" t="str">
        <f>IF($K87="","",TRIM(INDEX('Detalle individual'!$C:$C,$K87)))</f>
        <v>AGENCIA PLAZA MUNDO</v>
      </c>
      <c r="G87" s="72" t="str">
        <f>IF($K87="","",INDEX('Detalle individual'!$D:$D,$K87))</f>
        <v>Gerencia de Negocios</v>
      </c>
      <c r="H87" s="13" t="str">
        <f>IF($K87="","",INDEX('Detalle individual'!$F:$F,$K87))</f>
        <v>Completado</v>
      </c>
      <c r="I87" s="20">
        <f>IF($K87="","",IF(INDEX('Detalle individual'!$F:$F,$K87)="Completado",INDEX('Detalle individual'!$H:$H,$K87),""))</f>
        <v>46310.64591435185</v>
      </c>
      <c r="J87" s="21">
        <f>IF($K87="","",IF(INDEX('Detalle individual'!$F:$F,$K87)="Completado",INDEX('Detalle individual'!$J:$J,$K87),""))</f>
        <v>100</v>
      </c>
      <c r="K87">
        <f>IFERROR(MOD(SMALL(Cálculos!$Z$5:$Z$1000,79),10000),"")</f>
        <v>273</v>
      </c>
    </row>
    <row r="88">
      <c r="B88" s="13">
        <f>IF($K88="","",80)</f>
        <v>80</v>
      </c>
      <c r="C88" s="13" t="str">
        <f>IF($K88="","",INDEX('Detalle individual'!$A:$A,$K88))</f>
        <v>331</v>
      </c>
      <c r="D88" s="72" t="str">
        <f>IF($K88="","",TRIM(INDEX('Detalle individual'!$B:$B,$K88)))</f>
        <v>NORMA ARACELY GUILLEN</v>
      </c>
      <c r="E88" s="72" t="str">
        <f>IF($K88="","",TRIM(INDEX('Detalle individual'!$E:$E,$K88)))</f>
        <v>SUBJEFE DE AGENCIA</v>
      </c>
      <c r="F88" s="72" t="str">
        <f>IF($K88="","",TRIM(INDEX('Detalle individual'!$C:$C,$K88)))</f>
        <v>AGENCIA PLAZA MUNDO</v>
      </c>
      <c r="G88" s="72" t="str">
        <f>IF($K88="","",INDEX('Detalle individual'!$D:$D,$K88))</f>
        <v>Gerencia de Negocios</v>
      </c>
      <c r="H88" s="13" t="str">
        <f>IF($K88="","",INDEX('Detalle individual'!$F:$F,$K88))</f>
        <v>Completado</v>
      </c>
      <c r="I88" s="20">
        <f>IF($K88="","",IF(INDEX('Detalle individual'!$F:$F,$K88)="Completado",INDEX('Detalle individual'!$H:$H,$K88),""))</f>
        <v>46307.440046296295</v>
      </c>
      <c r="J88" s="21">
        <f>IF($K88="","",IF(INDEX('Detalle individual'!$F:$F,$K88)="Completado",INDEX('Detalle individual'!$J:$J,$K88),""))</f>
        <v>100</v>
      </c>
      <c r="K88">
        <f>IFERROR(MOD(SMALL(Cálculos!$Z$5:$Z$1000,80),10000),"")</f>
        <v>274</v>
      </c>
    </row>
    <row r="89">
      <c r="B89" s="13">
        <f>IF($K89="","",81)</f>
        <v>81</v>
      </c>
      <c r="C89" s="13" t="str">
        <f>IF($K89="","",INDEX('Detalle individual'!$A:$A,$K89))</f>
        <v>535</v>
      </c>
      <c r="D89" s="72" t="str">
        <f>IF($K89="","",TRIM(INDEX('Detalle individual'!$B:$B,$K89)))</f>
        <v>ROSARIO DEL CARMEN PEREZ LOPEZ</v>
      </c>
      <c r="E89" s="72" t="str">
        <f>IF($K89="","",TRIM(INDEX('Detalle individual'!$E:$E,$K89)))</f>
        <v>JEFE DE AGENCIA</v>
      </c>
      <c r="F89" s="72" t="str">
        <f>IF($K89="","",TRIM(INDEX('Detalle individual'!$C:$C,$K89)))</f>
        <v>AGENCIA PLAZA MUNDO</v>
      </c>
      <c r="G89" s="72" t="str">
        <f>IF($K89="","",INDEX('Detalle individual'!$D:$D,$K89))</f>
        <v>Gerencia de Negocios</v>
      </c>
      <c r="H89" s="13" t="str">
        <f>IF($K89="","",INDEX('Detalle individual'!$F:$F,$K89))</f>
        <v>Completado</v>
      </c>
      <c r="I89" s="20">
        <f>IF($K89="","",IF(INDEX('Detalle individual'!$F:$F,$K89)="Completado",INDEX('Detalle individual'!$H:$H,$K89),""))</f>
        <v>46307.40383101852</v>
      </c>
      <c r="J89" s="21">
        <f>IF($K89="","",IF(INDEX('Detalle individual'!$F:$F,$K89)="Completado",INDEX('Detalle individual'!$J:$J,$K89),""))</f>
        <v>100</v>
      </c>
      <c r="K89">
        <f>IFERROR(MOD(SMALL(Cálculos!$Z$5:$Z$1000,81),10000),"")</f>
        <v>275</v>
      </c>
    </row>
    <row r="90">
      <c r="B90" s="13">
        <f>IF($K90="","",82)</f>
        <v>82</v>
      </c>
      <c r="C90" s="13" t="str">
        <f>IF($K90="","",INDEX('Detalle individual'!$A:$A,$K90))</f>
        <v>616</v>
      </c>
      <c r="D90" s="72" t="str">
        <f>IF($K90="","",TRIM(INDEX('Detalle individual'!$B:$B,$K90)))</f>
        <v>GABRIELA JEANNETTE BOLAÑOS HERRERA</v>
      </c>
      <c r="E90" s="72" t="str">
        <f>IF($K90="","",TRIM(INDEX('Detalle individual'!$E:$E,$K90)))</f>
        <v>EJECUTIVA DE SEGUROS</v>
      </c>
      <c r="F90" s="72" t="str">
        <f>IF($K90="","",TRIM(INDEX('Detalle individual'!$C:$C,$K90)))</f>
        <v>AGENCIA PLAZA MUNDO</v>
      </c>
      <c r="G90" s="72" t="str">
        <f>IF($K90="","",INDEX('Detalle individual'!$D:$D,$K90))</f>
        <v>Gerencia de Negocios</v>
      </c>
      <c r="H90" s="13" t="str">
        <f>IF($K90="","",INDEX('Detalle individual'!$F:$F,$K90))</f>
        <v>Completado</v>
      </c>
      <c r="I90" s="20">
        <f>IF($K90="","",IF(INDEX('Detalle individual'!$F:$F,$K90)="Completado",INDEX('Detalle individual'!$H:$H,$K90),""))</f>
        <v>46308.41873842593</v>
      </c>
      <c r="J90" s="21">
        <f>IF($K90="","",IF(INDEX('Detalle individual'!$F:$F,$K90)="Completado",INDEX('Detalle individual'!$J:$J,$K90),""))</f>
        <v>100</v>
      </c>
      <c r="K90">
        <f>IFERROR(MOD(SMALL(Cálculos!$Z$5:$Z$1000,82),10000),"")</f>
        <v>276</v>
      </c>
    </row>
    <row r="91">
      <c r="B91" s="13">
        <f>IF($K91="","",83)</f>
        <v>83</v>
      </c>
      <c r="C91" s="13" t="str">
        <f>IF($K91="","",INDEX('Detalle individual'!$A:$A,$K91))</f>
        <v>675</v>
      </c>
      <c r="D91" s="72" t="str">
        <f>IF($K91="","",TRIM(INDEX('Detalle individual'!$B:$B,$K91)))</f>
        <v>NANCY CAROLINA FUENTES SORTO</v>
      </c>
      <c r="E91" s="72" t="str">
        <f>IF($K91="","",TRIM(INDEX('Detalle individual'!$E:$E,$K91)))</f>
        <v>CAJERO</v>
      </c>
      <c r="F91" s="72" t="str">
        <f>IF($K91="","",TRIM(INDEX('Detalle individual'!$C:$C,$K91)))</f>
        <v>AGENCIA PLAZA MUNDO</v>
      </c>
      <c r="G91" s="72" t="str">
        <f>IF($K91="","",INDEX('Detalle individual'!$D:$D,$K91))</f>
        <v>Gerencia de Negocios</v>
      </c>
      <c r="H91" s="13" t="str">
        <f>IF($K91="","",INDEX('Detalle individual'!$F:$F,$K91))</f>
        <v>Completado</v>
      </c>
      <c r="I91" s="20">
        <f>IF($K91="","",IF(INDEX('Detalle individual'!$F:$F,$K91)="Completado",INDEX('Detalle individual'!$H:$H,$K91),""))</f>
        <v>46309.394328703704</v>
      </c>
      <c r="J91" s="21">
        <f>IF($K91="","",IF(INDEX('Detalle individual'!$F:$F,$K91)="Completado",INDEX('Detalle individual'!$J:$J,$K91),""))</f>
        <v>90</v>
      </c>
      <c r="K91">
        <f>IFERROR(MOD(SMALL(Cálculos!$Z$5:$Z$1000,83),10000),"")</f>
        <v>277</v>
      </c>
    </row>
    <row r="92">
      <c r="B92" s="13">
        <f>IF($K92="","",84)</f>
        <v>84</v>
      </c>
      <c r="C92" s="13" t="str">
        <f>IF($K92="","",INDEX('Detalle individual'!$A:$A,$K92))</f>
        <v>748</v>
      </c>
      <c r="D92" s="72" t="str">
        <f>IF($K92="","",TRIM(INDEX('Detalle individual'!$B:$B,$K92)))</f>
        <v>WALTER ALBERTO BARAHONA DIAZ</v>
      </c>
      <c r="E92" s="72" t="str">
        <f>IF($K92="","",TRIM(INDEX('Detalle individual'!$E:$E,$K92)))</f>
        <v>CAJERO</v>
      </c>
      <c r="F92" s="72" t="str">
        <f>IF($K92="","",TRIM(INDEX('Detalle individual'!$C:$C,$K92)))</f>
        <v>AGENCIA PLAZA MUNDO</v>
      </c>
      <c r="G92" s="72" t="str">
        <f>IF($K92="","",INDEX('Detalle individual'!$D:$D,$K92))</f>
        <v>Gerencia de Negocios</v>
      </c>
      <c r="H92" s="13" t="str">
        <f>IF($K92="","",INDEX('Detalle individual'!$F:$F,$K92))</f>
        <v>Completado</v>
      </c>
      <c r="I92" s="20">
        <f>IF($K92="","",IF(INDEX('Detalle individual'!$F:$F,$K92)="Completado",INDEX('Detalle individual'!$H:$H,$K92),""))</f>
        <v>46309.40075231482</v>
      </c>
      <c r="J92" s="21">
        <f>IF($K92="","",IF(INDEX('Detalle individual'!$F:$F,$K92)="Completado",INDEX('Detalle individual'!$J:$J,$K92),""))</f>
        <v>100</v>
      </c>
      <c r="K92">
        <f>IFERROR(MOD(SMALL(Cálculos!$Z$5:$Z$1000,84),10000),"")</f>
        <v>278</v>
      </c>
    </row>
    <row r="93">
      <c r="B93" s="13">
        <f>IF($K93="","",85)</f>
        <v>85</v>
      </c>
      <c r="C93" s="13" t="str">
        <f>IF($K93="","",INDEX('Detalle individual'!$A:$A,$K93))</f>
        <v>876</v>
      </c>
      <c r="D93" s="72" t="str">
        <f>IF($K93="","",TRIM(INDEX('Detalle individual'!$B:$B,$K93)))</f>
        <v>PAOLA JEANNETTE ROMERO HERNANDEZ</v>
      </c>
      <c r="E93" s="72" t="str">
        <f>IF($K93="","",TRIM(INDEX('Detalle individual'!$E:$E,$K93)))</f>
        <v>CAJERO</v>
      </c>
      <c r="F93" s="72" t="str">
        <f>IF($K93="","",TRIM(INDEX('Detalle individual'!$C:$C,$K93)))</f>
        <v>AGENCIA PLAZA MUNDO</v>
      </c>
      <c r="G93" s="72" t="str">
        <f>IF($K93="","",INDEX('Detalle individual'!$D:$D,$K93))</f>
        <v>Gerencia de Negocios</v>
      </c>
      <c r="H93" s="13" t="str">
        <f>IF($K93="","",INDEX('Detalle individual'!$F:$F,$K93))</f>
        <v>Completado</v>
      </c>
      <c r="I93" s="20">
        <f>IF($K93="","",IF(INDEX('Detalle individual'!$F:$F,$K93)="Completado",INDEX('Detalle individual'!$H:$H,$K93),""))</f>
        <v>46309.408229166664</v>
      </c>
      <c r="J93" s="21">
        <f>IF($K93="","",IF(INDEX('Detalle individual'!$F:$F,$K93)="Completado",INDEX('Detalle individual'!$J:$J,$K93),""))</f>
        <v>100</v>
      </c>
      <c r="K93">
        <f>IFERROR(MOD(SMALL(Cálculos!$Z$5:$Z$1000,85),10000),"")</f>
        <v>279</v>
      </c>
    </row>
    <row r="94">
      <c r="B94" s="13">
        <f>IF($K94="","",86)</f>
        <v>86</v>
      </c>
      <c r="C94" s="13" t="str">
        <f>IF($K94="","",INDEX('Detalle individual'!$A:$A,$K94))</f>
        <v>955</v>
      </c>
      <c r="D94" s="72" t="str">
        <f>IF($K94="","",TRIM(INDEX('Detalle individual'!$B:$B,$K94)))</f>
        <v>ERIKA IVETH MANCIA HERNANDEZ</v>
      </c>
      <c r="E94" s="72" t="str">
        <f>IF($K94="","",TRIM(INDEX('Detalle individual'!$E:$E,$K94)))</f>
        <v>CAJERO</v>
      </c>
      <c r="F94" s="72" t="str">
        <f>IF($K94="","",TRIM(INDEX('Detalle individual'!$C:$C,$K94)))</f>
        <v>AGENCIA PLAZA MUNDO</v>
      </c>
      <c r="G94" s="72" t="str">
        <f>IF($K94="","",INDEX('Detalle individual'!$D:$D,$K94))</f>
        <v>Gerencia de Negocios</v>
      </c>
      <c r="H94" s="13" t="str">
        <f>IF($K94="","",INDEX('Detalle individual'!$F:$F,$K94))</f>
        <v>Completado</v>
      </c>
      <c r="I94" s="20">
        <f>IF($K94="","",IF(INDEX('Detalle individual'!$F:$F,$K94)="Completado",INDEX('Detalle individual'!$H:$H,$K94),""))</f>
        <v>46309.404699074075</v>
      </c>
      <c r="J94" s="21">
        <f>IF($K94="","",IF(INDEX('Detalle individual'!$F:$F,$K94)="Completado",INDEX('Detalle individual'!$J:$J,$K94),""))</f>
        <v>100</v>
      </c>
      <c r="K94">
        <f>IFERROR(MOD(SMALL(Cálculos!$Z$5:$Z$1000,86),10000),"")</f>
        <v>280</v>
      </c>
    </row>
    <row r="95">
      <c r="B95" s="13">
        <f>IF($K95="","",87)</f>
        <v>87</v>
      </c>
      <c r="C95" s="13" t="str">
        <f>IF($K95="","",INDEX('Detalle individual'!$A:$A,$K95))</f>
        <v>197</v>
      </c>
      <c r="D95" s="72" t="str">
        <f>IF($K95="","",TRIM(INDEX('Detalle individual'!$B:$B,$K95)))</f>
        <v>THELMA ESPERANZA FIGUEROA SORTO</v>
      </c>
      <c r="E95" s="72" t="str">
        <f>IF($K95="","",TRIM(INDEX('Detalle individual'!$E:$E,$K95)))</f>
        <v>EJECUTIVO DE NEGOCIOS</v>
      </c>
      <c r="F95" s="72" t="str">
        <f>IF($K95="","",TRIM(INDEX('Detalle individual'!$C:$C,$K95)))</f>
        <v>AGENCIA SAN MIGUEL</v>
      </c>
      <c r="G95" s="72" t="str">
        <f>IF($K95="","",INDEX('Detalle individual'!$D:$D,$K95))</f>
        <v>Gerencia de Negocios</v>
      </c>
      <c r="H95" s="13" t="str">
        <f>IF($K95="","",INDEX('Detalle individual'!$F:$F,$K95))</f>
        <v>Completado</v>
      </c>
      <c r="I95" s="20">
        <f>IF($K95="","",IF(INDEX('Detalle individual'!$F:$F,$K95)="Completado",INDEX('Detalle individual'!$H:$H,$K95),""))</f>
        <v>46296.44064814815</v>
      </c>
      <c r="J95" s="21">
        <f>IF($K95="","",IF(INDEX('Detalle individual'!$F:$F,$K95)="Completado",INDEX('Detalle individual'!$J:$J,$K95),""))</f>
        <v>100</v>
      </c>
      <c r="K95">
        <f>IFERROR(MOD(SMALL(Cálculos!$Z$5:$Z$1000,87),10000),"")</f>
        <v>221</v>
      </c>
    </row>
    <row r="96">
      <c r="B96" s="13">
        <f>IF($K96="","",88)</f>
        <v>88</v>
      </c>
      <c r="C96" s="13" t="str">
        <f>IF($K96="","",INDEX('Detalle individual'!$A:$A,$K96))</f>
        <v>200</v>
      </c>
      <c r="D96" s="72" t="str">
        <f>IF($K96="","",TRIM(INDEX('Detalle individual'!$B:$B,$K96)))</f>
        <v>JOSE MANUEL SERRANO ROVIRA</v>
      </c>
      <c r="E96" s="72" t="str">
        <f>IF($K96="","",TRIM(INDEX('Detalle individual'!$E:$E,$K96)))</f>
        <v>JEFE DE AGENCIA</v>
      </c>
      <c r="F96" s="72" t="str">
        <f>IF($K96="","",TRIM(INDEX('Detalle individual'!$C:$C,$K96)))</f>
        <v>AGENCIA SAN MIGUEL</v>
      </c>
      <c r="G96" s="72" t="str">
        <f>IF($K96="","",INDEX('Detalle individual'!$D:$D,$K96))</f>
        <v>Gerencia de Negocios</v>
      </c>
      <c r="H96" s="13" t="str">
        <f>IF($K96="","",INDEX('Detalle individual'!$F:$F,$K96))</f>
        <v>Completado</v>
      </c>
      <c r="I96" s="20">
        <f>IF($K96="","",IF(INDEX('Detalle individual'!$F:$F,$K96)="Completado",INDEX('Detalle individual'!$H:$H,$K96),""))</f>
        <v>46296.49199074074</v>
      </c>
      <c r="J96" s="21">
        <f>IF($K96="","",IF(INDEX('Detalle individual'!$F:$F,$K96)="Completado",INDEX('Detalle individual'!$J:$J,$K96),""))</f>
        <v>90</v>
      </c>
      <c r="K96">
        <f>IFERROR(MOD(SMALL(Cálculos!$Z$5:$Z$1000,88),10000),"")</f>
        <v>222</v>
      </c>
    </row>
    <row r="97">
      <c r="B97" s="13">
        <f>IF($K97="","",89)</f>
        <v>89</v>
      </c>
      <c r="C97" s="13" t="str">
        <f>IF($K97="","",INDEX('Detalle individual'!$A:$A,$K97))</f>
        <v>390</v>
      </c>
      <c r="D97" s="72" t="str">
        <f>IF($K97="","",TRIM(INDEX('Detalle individual'!$B:$B,$K97)))</f>
        <v>MARTHA LORENA GONZALEZ GONZALEZ</v>
      </c>
      <c r="E97" s="72" t="str">
        <f>IF($K97="","",TRIM(INDEX('Detalle individual'!$E:$E,$K97)))</f>
        <v>AUXILIAR DE OPERACIONES Y ATENCION EN AGENCIA</v>
      </c>
      <c r="F97" s="72" t="str">
        <f>IF($K97="","",TRIM(INDEX('Detalle individual'!$C:$C,$K97)))</f>
        <v>AGENCIA SAN MIGUEL</v>
      </c>
      <c r="G97" s="72" t="str">
        <f>IF($K97="","",INDEX('Detalle individual'!$D:$D,$K97))</f>
        <v>Gerencia de Negocios</v>
      </c>
      <c r="H97" s="13" t="str">
        <f>IF($K97="","",INDEX('Detalle individual'!$F:$F,$K97))</f>
        <v>Completado</v>
      </c>
      <c r="I97" s="20">
        <f>IF($K97="","",IF(INDEX('Detalle individual'!$F:$F,$K97)="Completado",INDEX('Detalle individual'!$H:$H,$K97),""))</f>
        <v>46296.44844907407</v>
      </c>
      <c r="J97" s="21">
        <f>IF($K97="","",IF(INDEX('Detalle individual'!$F:$F,$K97)="Completado",INDEX('Detalle individual'!$J:$J,$K97),""))</f>
        <v>100</v>
      </c>
      <c r="K97">
        <f>IFERROR(MOD(SMALL(Cálculos!$Z$5:$Z$1000,89),10000),"")</f>
        <v>223</v>
      </c>
    </row>
    <row r="98">
      <c r="B98" s="13">
        <f>IF($K98="","",90)</f>
        <v>90</v>
      </c>
      <c r="C98" s="13" t="str">
        <f>IF($K98="","",INDEX('Detalle individual'!$A:$A,$K98))</f>
        <v>545</v>
      </c>
      <c r="D98" s="72" t="str">
        <f>IF($K98="","",TRIM(INDEX('Detalle individual'!$B:$B,$K98)))</f>
        <v>LEIBY NATHALY ROMERO VANEGAS</v>
      </c>
      <c r="E98" s="72" t="str">
        <f>IF($K98="","",TRIM(INDEX('Detalle individual'!$E:$E,$K98)))</f>
        <v>SUBJEFE DE AGENCIA</v>
      </c>
      <c r="F98" s="72" t="str">
        <f>IF($K98="","",TRIM(INDEX('Detalle individual'!$C:$C,$K98)))</f>
        <v>AGENCIA SAN MIGUEL</v>
      </c>
      <c r="G98" s="72" t="str">
        <f>IF($K98="","",INDEX('Detalle individual'!$D:$D,$K98))</f>
        <v>Gerencia de Negocios</v>
      </c>
      <c r="H98" s="13" t="str">
        <f>IF($K98="","",INDEX('Detalle individual'!$F:$F,$K98))</f>
        <v>Completado</v>
      </c>
      <c r="I98" s="20">
        <f>IF($K98="","",IF(INDEX('Detalle individual'!$F:$F,$K98)="Completado",INDEX('Detalle individual'!$H:$H,$K98),""))</f>
        <v>46296.45449074074</v>
      </c>
      <c r="J98" s="21">
        <f>IF($K98="","",IF(INDEX('Detalle individual'!$F:$F,$K98)="Completado",INDEX('Detalle individual'!$J:$J,$K98),""))</f>
        <v>100</v>
      </c>
      <c r="K98">
        <f>IFERROR(MOD(SMALL(Cálculos!$Z$5:$Z$1000,90),10000),"")</f>
        <v>224</v>
      </c>
    </row>
    <row r="99">
      <c r="B99" s="13">
        <f>IF($K99="","",91)</f>
        <v>91</v>
      </c>
      <c r="C99" s="13" t="str">
        <f>IF($K99="","",INDEX('Detalle individual'!$A:$A,$K99))</f>
        <v>776</v>
      </c>
      <c r="D99" s="72" t="str">
        <f>IF($K99="","",TRIM(INDEX('Detalle individual'!$B:$B,$K99)))</f>
        <v>DIEGO GERARDO GUANDIQUE TORRES</v>
      </c>
      <c r="E99" s="72" t="str">
        <f>IF($K99="","",TRIM(INDEX('Detalle individual'!$E:$E,$K99)))</f>
        <v>CAJERO</v>
      </c>
      <c r="F99" s="72" t="str">
        <f>IF($K99="","",TRIM(INDEX('Detalle individual'!$C:$C,$K99)))</f>
        <v>AGENCIA SAN MIGUEL</v>
      </c>
      <c r="G99" s="72" t="str">
        <f>IF($K99="","",INDEX('Detalle individual'!$D:$D,$K99))</f>
        <v>Gerencia de Negocios</v>
      </c>
      <c r="H99" s="13" t="str">
        <f>IF($K99="","",INDEX('Detalle individual'!$F:$F,$K99))</f>
        <v>Completado</v>
      </c>
      <c r="I99" s="20">
        <f>IF($K99="","",IF(INDEX('Detalle individual'!$F:$F,$K99)="Completado",INDEX('Detalle individual'!$H:$H,$K99),""))</f>
        <v>46296.44540509259</v>
      </c>
      <c r="J99" s="21">
        <f>IF($K99="","",IF(INDEX('Detalle individual'!$F:$F,$K99)="Completado",INDEX('Detalle individual'!$J:$J,$K99),""))</f>
        <v>100</v>
      </c>
      <c r="K99">
        <f>IFERROR(MOD(SMALL(Cálculos!$Z$5:$Z$1000,91),10000),"")</f>
        <v>225</v>
      </c>
    </row>
    <row r="100">
      <c r="B100" s="13">
        <f>IF($K100="","",92)</f>
        <v>92</v>
      </c>
      <c r="C100" s="13" t="str">
        <f>IF($K100="","",INDEX('Detalle individual'!$A:$A,$K100))</f>
        <v>777</v>
      </c>
      <c r="D100" s="72" t="str">
        <f>IF($K100="","",TRIM(INDEX('Detalle individual'!$B:$B,$K100)))</f>
        <v>MARCELINA YAMILETH LOPEZ VASQUEZ</v>
      </c>
      <c r="E100" s="72" t="str">
        <f>IF($K100="","",TRIM(INDEX('Detalle individual'!$E:$E,$K100)))</f>
        <v>CAJERO</v>
      </c>
      <c r="F100" s="72" t="str">
        <f>IF($K100="","",TRIM(INDEX('Detalle individual'!$C:$C,$K100)))</f>
        <v>AGENCIA SAN MIGUEL</v>
      </c>
      <c r="G100" s="72" t="str">
        <f>IF($K100="","",INDEX('Detalle individual'!$D:$D,$K100))</f>
        <v>Gerencia de Negocios</v>
      </c>
      <c r="H100" s="13" t="str">
        <f>IF($K100="","",INDEX('Detalle individual'!$F:$F,$K100))</f>
        <v>Completado</v>
      </c>
      <c r="I100" s="20">
        <f>IF($K100="","",IF(INDEX('Detalle individual'!$F:$F,$K100)="Completado",INDEX('Detalle individual'!$H:$H,$K100),""))</f>
        <v>46296.45806712963</v>
      </c>
      <c r="J100" s="21">
        <f>IF($K100="","",IF(INDEX('Detalle individual'!$F:$F,$K100)="Completado",INDEX('Detalle individual'!$J:$J,$K100),""))</f>
        <v>100</v>
      </c>
      <c r="K100">
        <f>IFERROR(MOD(SMALL(Cálculos!$Z$5:$Z$1000,92),10000),"")</f>
        <v>226</v>
      </c>
    </row>
    <row r="101">
      <c r="B101" s="13">
        <f>IF($K101="","",93)</f>
        <v>93</v>
      </c>
      <c r="C101" s="13" t="str">
        <f>IF($K101="","",INDEX('Detalle individual'!$A:$A,$K101))</f>
        <v>807</v>
      </c>
      <c r="D101" s="72" t="str">
        <f>IF($K101="","",TRIM(INDEX('Detalle individual'!$B:$B,$K101)))</f>
        <v>MARCELA GUADALUPE CRESPO BENAVIDEZ</v>
      </c>
      <c r="E101" s="72" t="str">
        <f>IF($K101="","",TRIM(INDEX('Detalle individual'!$E:$E,$K101)))</f>
        <v>EJECUTIVA DE SEGUROS</v>
      </c>
      <c r="F101" s="72" t="str">
        <f>IF($K101="","",TRIM(INDEX('Detalle individual'!$C:$C,$K101)))</f>
        <v>AGENCIA SAN MIGUEL</v>
      </c>
      <c r="G101" s="72" t="str">
        <f>IF($K101="","",INDEX('Detalle individual'!$D:$D,$K101))</f>
        <v>Gerencia de Negocios</v>
      </c>
      <c r="H101" s="13" t="str">
        <f>IF($K101="","",INDEX('Detalle individual'!$F:$F,$K101))</f>
        <v>Completado</v>
      </c>
      <c r="I101" s="20">
        <f>IF($K101="","",IF(INDEX('Detalle individual'!$F:$F,$K101)="Completado",INDEX('Detalle individual'!$H:$H,$K101),""))</f>
        <v>46296.45224537037</v>
      </c>
      <c r="J101" s="21">
        <f>IF($K101="","",IF(INDEX('Detalle individual'!$F:$F,$K101)="Completado",INDEX('Detalle individual'!$J:$J,$K101),""))</f>
        <v>100</v>
      </c>
      <c r="K101">
        <f>IFERROR(MOD(SMALL(Cálculos!$Z$5:$Z$1000,93),10000),"")</f>
        <v>227</v>
      </c>
    </row>
    <row r="102">
      <c r="B102" s="13">
        <f>IF($K102="","",94)</f>
        <v>94</v>
      </c>
      <c r="C102" s="13" t="str">
        <f>IF($K102="","",INDEX('Detalle individual'!$A:$A,$K102))</f>
        <v>168</v>
      </c>
      <c r="D102" s="72" t="str">
        <f>IF($K102="","",TRIM(INDEX('Detalle individual'!$B:$B,$K102)))</f>
        <v>ANA MARIA GIRON</v>
      </c>
      <c r="E102" s="72" t="str">
        <f>IF($K102="","",TRIM(INDEX('Detalle individual'!$E:$E,$K102)))</f>
        <v>EJECUTIVO DE NEGOCIOS</v>
      </c>
      <c r="F102" s="72" t="str">
        <f>IF($K102="","",TRIM(INDEX('Detalle individual'!$C:$C,$K102)))</f>
        <v>AGENCIA SANTA ANA</v>
      </c>
      <c r="G102" s="72" t="str">
        <f>IF($K102="","",INDEX('Detalle individual'!$D:$D,$K102))</f>
        <v>Gerencia de Negocios</v>
      </c>
      <c r="H102" s="13" t="str">
        <f>IF($K102="","",INDEX('Detalle individual'!$F:$F,$K102))</f>
        <v>Completado</v>
      </c>
      <c r="I102" s="20">
        <f>IF($K102="","",IF(INDEX('Detalle individual'!$F:$F,$K102)="Completado",INDEX('Detalle individual'!$H:$H,$K102),""))</f>
        <v>46311.49398148148</v>
      </c>
      <c r="J102" s="21">
        <f>IF($K102="","",IF(INDEX('Detalle individual'!$F:$F,$K102)="Completado",INDEX('Detalle individual'!$J:$J,$K102),""))</f>
        <v>100</v>
      </c>
      <c r="K102">
        <f>IFERROR(MOD(SMALL(Cálculos!$Z$5:$Z$1000,94),10000),"")</f>
        <v>229</v>
      </c>
    </row>
    <row r="103">
      <c r="B103" s="13">
        <f>IF($K103="","",95)</f>
        <v>95</v>
      </c>
      <c r="C103" s="13" t="str">
        <f>IF($K103="","",INDEX('Detalle individual'!$A:$A,$K103))</f>
        <v>295</v>
      </c>
      <c r="D103" s="72" t="str">
        <f>IF($K103="","",TRIM(INDEX('Detalle individual'!$B:$B,$K103)))</f>
        <v>GLENDA MARAYA SALAZAR GONZALEZ</v>
      </c>
      <c r="E103" s="72" t="str">
        <f>IF($K103="","",TRIM(INDEX('Detalle individual'!$E:$E,$K103)))</f>
        <v>JEFE DE AGENCIA</v>
      </c>
      <c r="F103" s="72" t="str">
        <f>IF($K103="","",TRIM(INDEX('Detalle individual'!$C:$C,$K103)))</f>
        <v>AGENCIA SANTA ANA</v>
      </c>
      <c r="G103" s="72" t="str">
        <f>IF($K103="","",INDEX('Detalle individual'!$D:$D,$K103))</f>
        <v>Gerencia de Negocios</v>
      </c>
      <c r="H103" s="13" t="str">
        <f>IF($K103="","",INDEX('Detalle individual'!$F:$F,$K103))</f>
        <v>Completado</v>
      </c>
      <c r="I103" s="20">
        <f>IF($K103="","",IF(INDEX('Detalle individual'!$F:$F,$K103)="Completado",INDEX('Detalle individual'!$H:$H,$K103),""))</f>
        <v>46309.339270833334</v>
      </c>
      <c r="J103" s="21">
        <f>IF($K103="","",IF(INDEX('Detalle individual'!$F:$F,$K103)="Completado",INDEX('Detalle individual'!$J:$J,$K103),""))</f>
        <v>100</v>
      </c>
      <c r="K103">
        <f>IFERROR(MOD(SMALL(Cálculos!$Z$5:$Z$1000,95),10000),"")</f>
        <v>230</v>
      </c>
    </row>
    <row r="104">
      <c r="B104" s="13">
        <f>IF($K104="","",96)</f>
        <v>96</v>
      </c>
      <c r="C104" s="13" t="str">
        <f>IF($K104="","",INDEX('Detalle individual'!$A:$A,$K104))</f>
        <v>312</v>
      </c>
      <c r="D104" s="72" t="str">
        <f>IF($K104="","",TRIM(INDEX('Detalle individual'!$B:$B,$K104)))</f>
        <v>JEANNETTE ANGELINNE HERNANDEZ MEJIA</v>
      </c>
      <c r="E104" s="72" t="str">
        <f>IF($K104="","",TRIM(INDEX('Detalle individual'!$E:$E,$K104)))</f>
        <v>SUBJEFE DE AGENCIA</v>
      </c>
      <c r="F104" s="72" t="str">
        <f>IF($K104="","",TRIM(INDEX('Detalle individual'!$C:$C,$K104)))</f>
        <v>AGENCIA SANTA ANA</v>
      </c>
      <c r="G104" s="72" t="str">
        <f>IF($K104="","",INDEX('Detalle individual'!$D:$D,$K104))</f>
        <v>Gerencia de Negocios</v>
      </c>
      <c r="H104" s="13" t="str">
        <f>IF($K104="","",INDEX('Detalle individual'!$F:$F,$K104))</f>
        <v>Completado</v>
      </c>
      <c r="I104" s="20">
        <f>IF($K104="","",IF(INDEX('Detalle individual'!$F:$F,$K104)="Completado",INDEX('Detalle individual'!$H:$H,$K104),""))</f>
        <v>46309.46179398148</v>
      </c>
      <c r="J104" s="21">
        <f>IF($K104="","",IF(INDEX('Detalle individual'!$F:$F,$K104)="Completado",INDEX('Detalle individual'!$J:$J,$K104),""))</f>
        <v>100</v>
      </c>
      <c r="K104">
        <f>IFERROR(MOD(SMALL(Cálculos!$Z$5:$Z$1000,96),10000),"")</f>
        <v>231</v>
      </c>
    </row>
    <row r="105">
      <c r="B105" s="13">
        <f>IF($K105="","",97)</f>
        <v>97</v>
      </c>
      <c r="C105" s="13" t="str">
        <f>IF($K105="","",INDEX('Detalle individual'!$A:$A,$K105))</f>
        <v>747</v>
      </c>
      <c r="D105" s="72" t="str">
        <f>IF($K105="","",TRIM(INDEX('Detalle individual'!$B:$B,$K105)))</f>
        <v>IRVIN ADEMIR PERAZA MOLINA</v>
      </c>
      <c r="E105" s="72" t="str">
        <f>IF($K105="","",TRIM(INDEX('Detalle individual'!$E:$E,$K105)))</f>
        <v>EJECUTIVO DE SEGUROS</v>
      </c>
      <c r="F105" s="72" t="str">
        <f>IF($K105="","",TRIM(INDEX('Detalle individual'!$C:$C,$K105)))</f>
        <v>AGENCIA SANTA ANA</v>
      </c>
      <c r="G105" s="72" t="str">
        <f>IF($K105="","",INDEX('Detalle individual'!$D:$D,$K105))</f>
        <v>Gerencia de Negocios</v>
      </c>
      <c r="H105" s="13" t="str">
        <f>IF($K105="","",INDEX('Detalle individual'!$F:$F,$K105))</f>
        <v>Completado</v>
      </c>
      <c r="I105" s="20">
        <f>IF($K105="","",IF(INDEX('Detalle individual'!$F:$F,$K105)="Completado",INDEX('Detalle individual'!$H:$H,$K105),""))</f>
        <v>46311.456400462965</v>
      </c>
      <c r="J105" s="21">
        <f>IF($K105="","",IF(INDEX('Detalle individual'!$F:$F,$K105)="Completado",INDEX('Detalle individual'!$J:$J,$K105),""))</f>
        <v>100</v>
      </c>
      <c r="K105">
        <f>IFERROR(MOD(SMALL(Cálculos!$Z$5:$Z$1000,97),10000),"")</f>
        <v>232</v>
      </c>
    </row>
    <row r="106">
      <c r="B106" s="13">
        <f>IF($K106="","",98)</f>
        <v>98</v>
      </c>
      <c r="C106" s="13" t="str">
        <f>IF($K106="","",INDEX('Detalle individual'!$A:$A,$K106))</f>
        <v>818</v>
      </c>
      <c r="D106" s="72" t="str">
        <f>IF($K106="","",TRIM(INDEX('Detalle individual'!$B:$B,$K106)))</f>
        <v>ANDREA YAMILETH ESCOBAR CHICA</v>
      </c>
      <c r="E106" s="72" t="str">
        <f>IF($K106="","",TRIM(INDEX('Detalle individual'!$E:$E,$K106)))</f>
        <v>CAJERO</v>
      </c>
      <c r="F106" s="72" t="str">
        <f>IF($K106="","",TRIM(INDEX('Detalle individual'!$C:$C,$K106)))</f>
        <v>AGENCIA SANTA ANA</v>
      </c>
      <c r="G106" s="72" t="str">
        <f>IF($K106="","",INDEX('Detalle individual'!$D:$D,$K106))</f>
        <v>Gerencia de Negocios</v>
      </c>
      <c r="H106" s="13" t="str">
        <f>IF($K106="","",INDEX('Detalle individual'!$F:$F,$K106))</f>
        <v>Completado</v>
      </c>
      <c r="I106" s="20">
        <f>IF($K106="","",IF(INDEX('Detalle individual'!$F:$F,$K106)="Completado",INDEX('Detalle individual'!$H:$H,$K106),""))</f>
        <v>46309.62991898148</v>
      </c>
      <c r="J106" s="21">
        <f>IF($K106="","",IF(INDEX('Detalle individual'!$F:$F,$K106)="Completado",INDEX('Detalle individual'!$J:$J,$K106),""))</f>
        <v>90</v>
      </c>
      <c r="K106">
        <f>IFERROR(MOD(SMALL(Cálculos!$Z$5:$Z$1000,98),10000),"")</f>
        <v>233</v>
      </c>
    </row>
    <row r="107">
      <c r="B107" s="13">
        <f>IF($K107="","",99)</f>
        <v>99</v>
      </c>
      <c r="C107" s="13" t="str">
        <f>IF($K107="","",INDEX('Detalle individual'!$A:$A,$K107))</f>
        <v>840</v>
      </c>
      <c r="D107" s="72" t="str">
        <f>IF($K107="","",TRIM(INDEX('Detalle individual'!$B:$B,$K107)))</f>
        <v>SOFIA AZMINIA MENA ARGUETA</v>
      </c>
      <c r="E107" s="72" t="str">
        <f>IF($K107="","",TRIM(INDEX('Detalle individual'!$E:$E,$K107)))</f>
        <v>CAJERO</v>
      </c>
      <c r="F107" s="72" t="str">
        <f>IF($K107="","",TRIM(INDEX('Detalle individual'!$C:$C,$K107)))</f>
        <v>AGENCIA SANTA ANA</v>
      </c>
      <c r="G107" s="72" t="str">
        <f>IF($K107="","",INDEX('Detalle individual'!$D:$D,$K107))</f>
        <v>Gerencia de Negocios</v>
      </c>
      <c r="H107" s="13" t="str">
        <f>IF($K107="","",INDEX('Detalle individual'!$F:$F,$K107))</f>
        <v>Completado</v>
      </c>
      <c r="I107" s="20">
        <f>IF($K107="","",IF(INDEX('Detalle individual'!$F:$F,$K107)="Completado",INDEX('Detalle individual'!$H:$H,$K107),""))</f>
        <v>46311.4675</v>
      </c>
      <c r="J107" s="21">
        <f>IF($K107="","",IF(INDEX('Detalle individual'!$F:$F,$K107)="Completado",INDEX('Detalle individual'!$J:$J,$K107),""))</f>
        <v>100</v>
      </c>
      <c r="K107">
        <f>IFERROR(MOD(SMALL(Cálculos!$Z$5:$Z$1000,99),10000),"")</f>
        <v>234</v>
      </c>
    </row>
    <row r="108">
      <c r="B108" s="13">
        <f>IF($K108="","",100)</f>
        <v>100</v>
      </c>
      <c r="C108" s="13" t="str">
        <f>IF($K108="","",INDEX('Detalle individual'!$A:$A,$K108))</f>
        <v>910</v>
      </c>
      <c r="D108" s="72" t="str">
        <f>IF($K108="","",TRIM(INDEX('Detalle individual'!$B:$B,$K108)))</f>
        <v>JOSE CRISTOBAL LOPEZ ESQUIVEL</v>
      </c>
      <c r="E108" s="72" t="str">
        <f>IF($K108="","",TRIM(INDEX('Detalle individual'!$E:$E,$K108)))</f>
        <v>MENSAJERO</v>
      </c>
      <c r="F108" s="72" t="str">
        <f>IF($K108="","",TRIM(INDEX('Detalle individual'!$C:$C,$K108)))</f>
        <v>AGENCIA SANTA ANA</v>
      </c>
      <c r="G108" s="72" t="str">
        <f>IF($K108="","",INDEX('Detalle individual'!$D:$D,$K108))</f>
        <v>Gerencia de Negocios</v>
      </c>
      <c r="H108" s="13" t="str">
        <f>IF($K108="","",INDEX('Detalle individual'!$F:$F,$K108))</f>
        <v>Completado</v>
      </c>
      <c r="I108" s="20">
        <f>IF($K108="","",IF(INDEX('Detalle individual'!$F:$F,$K108)="Completado",INDEX('Detalle individual'!$H:$H,$K108),""))</f>
        <v>46311.47555555555</v>
      </c>
      <c r="J108" s="21">
        <f>IF($K108="","",IF(INDEX('Detalle individual'!$F:$F,$K108)="Completado",INDEX('Detalle individual'!$J:$J,$K108),""))</f>
        <v>100</v>
      </c>
      <c r="K108">
        <f>IFERROR(MOD(SMALL(Cálculos!$Z$5:$Z$1000,100),10000),"")</f>
        <v>235</v>
      </c>
    </row>
    <row r="109">
      <c r="B109" s="13">
        <f>IF($K109="","",101)</f>
        <v>101</v>
      </c>
      <c r="C109" s="13" t="str">
        <f>IF($K109="","",INDEX('Detalle individual'!$A:$A,$K109))</f>
        <v>954</v>
      </c>
      <c r="D109" s="72" t="str">
        <f>IF($K109="","",TRIM(INDEX('Detalle individual'!$B:$B,$K109)))</f>
        <v>LUIS GERARDO DUEÑAS VALLE</v>
      </c>
      <c r="E109" s="72" t="str">
        <f>IF($K109="","",TRIM(INDEX('Detalle individual'!$E:$E,$K109)))</f>
        <v>CAJERO</v>
      </c>
      <c r="F109" s="72" t="str">
        <f>IF($K109="","",TRIM(INDEX('Detalle individual'!$C:$C,$K109)))</f>
        <v>AGENCIA SANTA ANA</v>
      </c>
      <c r="G109" s="72" t="str">
        <f>IF($K109="","",INDEX('Detalle individual'!$D:$D,$K109))</f>
        <v>Gerencia de Negocios</v>
      </c>
      <c r="H109" s="13" t="str">
        <f>IF($K109="","",INDEX('Detalle individual'!$F:$F,$K109))</f>
        <v>Completado</v>
      </c>
      <c r="I109" s="20">
        <f>IF($K109="","",IF(INDEX('Detalle individual'!$F:$F,$K109)="Completado",INDEX('Detalle individual'!$H:$H,$K109),""))</f>
        <v>46309.63957175926</v>
      </c>
      <c r="J109" s="21">
        <f>IF($K109="","",IF(INDEX('Detalle individual'!$F:$F,$K109)="Completado",INDEX('Detalle individual'!$J:$J,$K109),""))</f>
        <v>90</v>
      </c>
      <c r="K109">
        <f>IFERROR(MOD(SMALL(Cálculos!$Z$5:$Z$1000,101),10000),"")</f>
        <v>236</v>
      </c>
    </row>
    <row r="110">
      <c r="B110" s="13">
        <f>IF($K110="","",102)</f>
        <v>102</v>
      </c>
      <c r="C110" s="13" t="str">
        <f>IF($K110="","",INDEX('Detalle individual'!$A:$A,$K110))</f>
        <v>287</v>
      </c>
      <c r="D110" s="72" t="str">
        <f>IF($K110="","",TRIM(INDEX('Detalle individual'!$B:$B,$K110)))</f>
        <v>MARIA ANGELICA ESCOBAR RENDEROS</v>
      </c>
      <c r="E110" s="72" t="str">
        <f>IF($K110="","",TRIM(INDEX('Detalle individual'!$E:$E,$K110)))</f>
        <v>JEFE DE AGENCIA</v>
      </c>
      <c r="F110" s="72" t="str">
        <f>IF($K110="","",TRIM(INDEX('Detalle individual'!$C:$C,$K110)))</f>
        <v>AGENCIA SONSONATE</v>
      </c>
      <c r="G110" s="72" t="str">
        <f>IF($K110="","",INDEX('Detalle individual'!$D:$D,$K110))</f>
        <v>Gerencia de Negocios</v>
      </c>
      <c r="H110" s="13" t="str">
        <f>IF($K110="","",INDEX('Detalle individual'!$F:$F,$K110))</f>
        <v>Completado</v>
      </c>
      <c r="I110" s="20">
        <f>IF($K110="","",IF(INDEX('Detalle individual'!$F:$F,$K110)="Completado",INDEX('Detalle individual'!$H:$H,$K110),""))</f>
        <v>46310.63381944445</v>
      </c>
      <c r="J110" s="21">
        <f>IF($K110="","",IF(INDEX('Detalle individual'!$F:$F,$K110)="Completado",INDEX('Detalle individual'!$J:$J,$K110),""))</f>
        <v>100</v>
      </c>
      <c r="K110">
        <f>IFERROR(MOD(SMALL(Cálculos!$Z$5:$Z$1000,102),10000),"")</f>
        <v>237</v>
      </c>
    </row>
    <row r="111">
      <c r="B111" s="13">
        <f>IF($K111="","",103)</f>
        <v>103</v>
      </c>
      <c r="C111" s="13" t="str">
        <f>IF($K111="","",INDEX('Detalle individual'!$A:$A,$K111))</f>
        <v>448</v>
      </c>
      <c r="D111" s="72" t="str">
        <f>IF($K111="","",TRIM(INDEX('Detalle individual'!$B:$B,$K111)))</f>
        <v>JOSE ALEXANDER TORRES PEREZ</v>
      </c>
      <c r="E111" s="72" t="str">
        <f>IF($K111="","",TRIM(INDEX('Detalle individual'!$E:$E,$K111)))</f>
        <v>MENSAJERO</v>
      </c>
      <c r="F111" s="72" t="str">
        <f>IF($K111="","",TRIM(INDEX('Detalle individual'!$C:$C,$K111)))</f>
        <v>AGENCIA SONSONATE</v>
      </c>
      <c r="G111" s="72" t="str">
        <f>IF($K111="","",INDEX('Detalle individual'!$D:$D,$K111))</f>
        <v>Gerencia de Negocios</v>
      </c>
      <c r="H111" s="13" t="str">
        <f>IF($K111="","",INDEX('Detalle individual'!$F:$F,$K111))</f>
        <v>Completado</v>
      </c>
      <c r="I111" s="20">
        <f>IF($K111="","",IF(INDEX('Detalle individual'!$F:$F,$K111)="Completado",INDEX('Detalle individual'!$H:$H,$K111),""))</f>
        <v>46311.41554398148</v>
      </c>
      <c r="J111" s="21">
        <f>IF($K111="","",IF(INDEX('Detalle individual'!$F:$F,$K111)="Completado",INDEX('Detalle individual'!$J:$J,$K111),""))</f>
        <v>100</v>
      </c>
      <c r="K111">
        <f>IFERROR(MOD(SMALL(Cálculos!$Z$5:$Z$1000,103),10000),"")</f>
        <v>238</v>
      </c>
    </row>
    <row r="112">
      <c r="B112" s="13">
        <f>IF($K112="","",104)</f>
        <v>104</v>
      </c>
      <c r="C112" s="13" t="str">
        <f>IF($K112="","",INDEX('Detalle individual'!$A:$A,$K112))</f>
        <v>526</v>
      </c>
      <c r="D112" s="72" t="str">
        <f>IF($K112="","",TRIM(INDEX('Detalle individual'!$B:$B,$K112)))</f>
        <v>XIOMARA BEATRIZ MARTINEZ SERMEÑO</v>
      </c>
      <c r="E112" s="72" t="str">
        <f>IF($K112="","",TRIM(INDEX('Detalle individual'!$E:$E,$K112)))</f>
        <v>SUBJEFE DE AGENCIA</v>
      </c>
      <c r="F112" s="72" t="str">
        <f>IF($K112="","",TRIM(INDEX('Detalle individual'!$C:$C,$K112)))</f>
        <v>AGENCIA SONSONATE</v>
      </c>
      <c r="G112" s="72" t="str">
        <f>IF($K112="","",INDEX('Detalle individual'!$D:$D,$K112))</f>
        <v>Gerencia de Negocios</v>
      </c>
      <c r="H112" s="13" t="str">
        <f>IF($K112="","",INDEX('Detalle individual'!$F:$F,$K112))</f>
        <v>Completado</v>
      </c>
      <c r="I112" s="20">
        <f>IF($K112="","",IF(INDEX('Detalle individual'!$F:$F,$K112)="Completado",INDEX('Detalle individual'!$H:$H,$K112),""))</f>
        <v>46310.63746527778</v>
      </c>
      <c r="J112" s="21">
        <f>IF($K112="","",IF(INDEX('Detalle individual'!$F:$F,$K112)="Completado",INDEX('Detalle individual'!$J:$J,$K112),""))</f>
        <v>100</v>
      </c>
      <c r="K112">
        <f>IFERROR(MOD(SMALL(Cálculos!$Z$5:$Z$1000,104),10000),"")</f>
        <v>239</v>
      </c>
    </row>
    <row r="113">
      <c r="B113" s="13">
        <f>IF($K113="","",105)</f>
        <v>105</v>
      </c>
      <c r="C113" s="13" t="str">
        <f>IF($K113="","",INDEX('Detalle individual'!$A:$A,$K113))</f>
        <v>559</v>
      </c>
      <c r="D113" s="72" t="str">
        <f>IF($K113="","",TRIM(INDEX('Detalle individual'!$B:$B,$K113)))</f>
        <v>JOSUE ALEXANDER PEREZ HENRIQUEZ</v>
      </c>
      <c r="E113" s="72" t="str">
        <f>IF($K113="","",TRIM(INDEX('Detalle individual'!$E:$E,$K113)))</f>
        <v>EJECUTIVO DE NEGOCIOS</v>
      </c>
      <c r="F113" s="72" t="str">
        <f>IF($K113="","",TRIM(INDEX('Detalle individual'!$C:$C,$K113)))</f>
        <v>AGENCIA SONSONATE</v>
      </c>
      <c r="G113" s="72" t="str">
        <f>IF($K113="","",INDEX('Detalle individual'!$D:$D,$K113))</f>
        <v>Gerencia de Negocios</v>
      </c>
      <c r="H113" s="13" t="str">
        <f>IF($K113="","",INDEX('Detalle individual'!$F:$F,$K113))</f>
        <v>Completado</v>
      </c>
      <c r="I113" s="20">
        <f>IF($K113="","",IF(INDEX('Detalle individual'!$F:$F,$K113)="Completado",INDEX('Detalle individual'!$H:$H,$K113),""))</f>
        <v>46310.63688657407</v>
      </c>
      <c r="J113" s="21">
        <f>IF($K113="","",IF(INDEX('Detalle individual'!$F:$F,$K113)="Completado",INDEX('Detalle individual'!$J:$J,$K113),""))</f>
        <v>100</v>
      </c>
      <c r="K113">
        <f>IFERROR(MOD(SMALL(Cálculos!$Z$5:$Z$1000,105),10000),"")</f>
        <v>240</v>
      </c>
    </row>
    <row r="114">
      <c r="B114" s="13">
        <f>IF($K114="","",106)</f>
        <v>106</v>
      </c>
      <c r="C114" s="13" t="str">
        <f>IF($K114="","",INDEX('Detalle individual'!$A:$A,$K114))</f>
        <v>575</v>
      </c>
      <c r="D114" s="72" t="str">
        <f>IF($K114="","",TRIM(INDEX('Detalle individual'!$B:$B,$K114)))</f>
        <v>JESSICA YAMILETH LEIVA VASQUEZ</v>
      </c>
      <c r="E114" s="72" t="str">
        <f>IF($K114="","",TRIM(INDEX('Detalle individual'!$E:$E,$K114)))</f>
        <v>EJECUTIVA DE SEGUROS</v>
      </c>
      <c r="F114" s="72" t="str">
        <f>IF($K114="","",TRIM(INDEX('Detalle individual'!$C:$C,$K114)))</f>
        <v>AGENCIA SONSONATE</v>
      </c>
      <c r="G114" s="72" t="str">
        <f>IF($K114="","",INDEX('Detalle individual'!$D:$D,$K114))</f>
        <v>Gerencia de Negocios</v>
      </c>
      <c r="H114" s="13" t="str">
        <f>IF($K114="","",INDEX('Detalle individual'!$F:$F,$K114))</f>
        <v>Completado</v>
      </c>
      <c r="I114" s="20">
        <f>IF($K114="","",IF(INDEX('Detalle individual'!$F:$F,$K114)="Completado",INDEX('Detalle individual'!$H:$H,$K114),""))</f>
        <v>46310.63890046296</v>
      </c>
      <c r="J114" s="21">
        <f>IF($K114="","",IF(INDEX('Detalle individual'!$F:$F,$K114)="Completado",INDEX('Detalle individual'!$J:$J,$K114),""))</f>
        <v>100</v>
      </c>
      <c r="K114">
        <f>IFERROR(MOD(SMALL(Cálculos!$Z$5:$Z$1000,106),10000),"")</f>
        <v>241</v>
      </c>
    </row>
    <row r="115">
      <c r="B115" s="13">
        <f>IF($K115="","",107)</f>
        <v>107</v>
      </c>
      <c r="C115" s="13" t="str">
        <f>IF($K115="","",INDEX('Detalle individual'!$A:$A,$K115))</f>
        <v>755</v>
      </c>
      <c r="D115" s="72" t="str">
        <f>IF($K115="","",TRIM(INDEX('Detalle individual'!$B:$B,$K115)))</f>
        <v>MIGUEL ANGEL LEON MENA</v>
      </c>
      <c r="E115" s="72" t="str">
        <f>IF($K115="","",TRIM(INDEX('Detalle individual'!$E:$E,$K115)))</f>
        <v>CAJERO</v>
      </c>
      <c r="F115" s="72" t="str">
        <f>IF($K115="","",TRIM(INDEX('Detalle individual'!$C:$C,$K115)))</f>
        <v>AGENCIA SONSONATE</v>
      </c>
      <c r="G115" s="72" t="str">
        <f>IF($K115="","",INDEX('Detalle individual'!$D:$D,$K115))</f>
        <v>Gerencia de Negocios</v>
      </c>
      <c r="H115" s="13" t="str">
        <f>IF($K115="","",INDEX('Detalle individual'!$F:$F,$K115))</f>
        <v>Completado</v>
      </c>
      <c r="I115" s="20">
        <f>IF($K115="","",IF(INDEX('Detalle individual'!$F:$F,$K115)="Completado",INDEX('Detalle individual'!$H:$H,$K115),""))</f>
        <v>46308.456412037034</v>
      </c>
      <c r="J115" s="21">
        <f>IF($K115="","",IF(INDEX('Detalle individual'!$F:$F,$K115)="Completado",INDEX('Detalle individual'!$J:$J,$K115),""))</f>
        <v>80</v>
      </c>
      <c r="K115">
        <f>IFERROR(MOD(SMALL(Cálculos!$Z$5:$Z$1000,107),10000),"")</f>
        <v>242</v>
      </c>
    </row>
    <row r="116">
      <c r="B116" s="13">
        <f>IF($K116="","",108)</f>
        <v>108</v>
      </c>
      <c r="C116" s="13" t="str">
        <f>IF($K116="","",INDEX('Detalle individual'!$A:$A,$K116))</f>
        <v>849</v>
      </c>
      <c r="D116" s="72" t="str">
        <f>IF($K116="","",TRIM(INDEX('Detalle individual'!$B:$B,$K116)))</f>
        <v>KARLA MARCELA ESCOBAR TRIGUEROS</v>
      </c>
      <c r="E116" s="72" t="str">
        <f>IF($K116="","",TRIM(INDEX('Detalle individual'!$E:$E,$K116)))</f>
        <v>CAJERO</v>
      </c>
      <c r="F116" s="72" t="str">
        <f>IF($K116="","",TRIM(INDEX('Detalle individual'!$C:$C,$K116)))</f>
        <v>AGENCIA SONSONATE</v>
      </c>
      <c r="G116" s="72" t="str">
        <f>IF($K116="","",INDEX('Detalle individual'!$D:$D,$K116))</f>
        <v>Gerencia de Negocios</v>
      </c>
      <c r="H116" s="13" t="str">
        <f>IF($K116="","",INDEX('Detalle individual'!$F:$F,$K116))</f>
        <v>Completado</v>
      </c>
      <c r="I116" s="20">
        <f>IF($K116="","",IF(INDEX('Detalle individual'!$F:$F,$K116)="Completado",INDEX('Detalle individual'!$H:$H,$K116),""))</f>
        <v>46311.571493055555</v>
      </c>
      <c r="J116" s="21">
        <f>IF($K116="","",IF(INDEX('Detalle individual'!$F:$F,$K116)="Completado",INDEX('Detalle individual'!$J:$J,$K116),""))</f>
        <v>100</v>
      </c>
      <c r="K116">
        <f>IFERROR(MOD(SMALL(Cálculos!$Z$5:$Z$1000,108),10000),"")</f>
        <v>243</v>
      </c>
    </row>
    <row r="117">
      <c r="B117" s="13">
        <f>IF($K117="","",109)</f>
        <v>109</v>
      </c>
      <c r="C117" s="13" t="str">
        <f>IF($K117="","",INDEX('Detalle individual'!$A:$A,$K117))</f>
        <v>456</v>
      </c>
      <c r="D117" s="72" t="str">
        <f>IF($K117="","",TRIM(INDEX('Detalle individual'!$B:$B,$K117)))</f>
        <v>LUCIANO DE JESUS SARAVIA BELTRAN</v>
      </c>
      <c r="E117" s="72" t="str">
        <f>IF($K117="","",TRIM(INDEX('Detalle individual'!$E:$E,$K117)))</f>
        <v>MENSAJERO</v>
      </c>
      <c r="F117" s="72" t="str">
        <f>IF($K117="","",TRIM(INDEX('Detalle individual'!$C:$C,$K117)))</f>
        <v>AGENCIA USULUTAN</v>
      </c>
      <c r="G117" s="72" t="str">
        <f>IF($K117="","",INDEX('Detalle individual'!$D:$D,$K117))</f>
        <v>Gerencia de Negocios</v>
      </c>
      <c r="H117" s="13" t="str">
        <f>IF($K117="","",INDEX('Detalle individual'!$F:$F,$K117))</f>
        <v>Completado</v>
      </c>
      <c r="I117" s="20">
        <f>IF($K117="","",IF(INDEX('Detalle individual'!$F:$F,$K117)="Completado",INDEX('Detalle individual'!$H:$H,$K117),""))</f>
        <v>46301.51369212963</v>
      </c>
      <c r="J117" s="21">
        <f>IF($K117="","",IF(INDEX('Detalle individual'!$F:$F,$K117)="Completado",INDEX('Detalle individual'!$J:$J,$K117),""))</f>
        <v>100</v>
      </c>
      <c r="K117">
        <f>IFERROR(MOD(SMALL(Cálculos!$Z$5:$Z$1000,109),10000),"")</f>
        <v>281</v>
      </c>
    </row>
    <row r="118">
      <c r="B118" s="13">
        <f>IF($K118="","",110)</f>
        <v>110</v>
      </c>
      <c r="C118" s="13" t="str">
        <f>IF($K118="","",INDEX('Detalle individual'!$A:$A,$K118))</f>
        <v>903</v>
      </c>
      <c r="D118" s="72" t="str">
        <f>IF($K118="","",TRIM(INDEX('Detalle individual'!$B:$B,$K118)))</f>
        <v>WENDY YAMILETH MARQUEZ VASQUEZ</v>
      </c>
      <c r="E118" s="72" t="str">
        <f>IF($K118="","",TRIM(INDEX('Detalle individual'!$E:$E,$K118)))</f>
        <v>JEFE DE AGENCIA</v>
      </c>
      <c r="F118" s="72" t="str">
        <f>IF($K118="","",TRIM(INDEX('Detalle individual'!$C:$C,$K118)))</f>
        <v>AGENCIA USULUTAN</v>
      </c>
      <c r="G118" s="72" t="str">
        <f>IF($K118="","",INDEX('Detalle individual'!$D:$D,$K118))</f>
        <v>Gerencia de Negocios</v>
      </c>
      <c r="H118" s="13" t="str">
        <f>IF($K118="","",INDEX('Detalle individual'!$F:$F,$K118))</f>
        <v>Completado</v>
      </c>
      <c r="I118" s="20">
        <f>IF($K118="","",IF(INDEX('Detalle individual'!$F:$F,$K118)="Completado",INDEX('Detalle individual'!$H:$H,$K118),""))</f>
        <v>46301.432337962964</v>
      </c>
      <c r="J118" s="21">
        <f>IF($K118="","",IF(INDEX('Detalle individual'!$F:$F,$K118)="Completado",INDEX('Detalle individual'!$J:$J,$K118),""))</f>
        <v>100</v>
      </c>
      <c r="K118">
        <f>IFERROR(MOD(SMALL(Cálculos!$Z$5:$Z$1000,110),10000),"")</f>
        <v>282</v>
      </c>
    </row>
    <row r="119">
      <c r="B119" s="13">
        <f>IF($K119="","",111)</f>
        <v>111</v>
      </c>
      <c r="C119" s="13" t="str">
        <f>IF($K119="","",INDEX('Detalle individual'!$A:$A,$K119))</f>
        <v>912</v>
      </c>
      <c r="D119" s="72" t="str">
        <f>IF($K119="","",TRIM(INDEX('Detalle individual'!$B:$B,$K119)))</f>
        <v>HECTOR MAURICIO GONZÁLEZ VÁSQUEZ</v>
      </c>
      <c r="E119" s="72" t="str">
        <f>IF($K119="","",TRIM(INDEX('Detalle individual'!$E:$E,$K119)))</f>
        <v>EJECUTIVO DE SEGUROS</v>
      </c>
      <c r="F119" s="72" t="str">
        <f>IF($K119="","",TRIM(INDEX('Detalle individual'!$C:$C,$K119)))</f>
        <v>AGENCIA USULUTAN</v>
      </c>
      <c r="G119" s="72" t="str">
        <f>IF($K119="","",INDEX('Detalle individual'!$D:$D,$K119))</f>
        <v>Gerencia de Negocios</v>
      </c>
      <c r="H119" s="13" t="str">
        <f>IF($K119="","",INDEX('Detalle individual'!$F:$F,$K119))</f>
        <v>Completado</v>
      </c>
      <c r="I119" s="20">
        <f>IF($K119="","",IF(INDEX('Detalle individual'!$F:$F,$K119)="Completado",INDEX('Detalle individual'!$H:$H,$K119),""))</f>
        <v>46303.45730324074</v>
      </c>
      <c r="J119" s="21">
        <f>IF($K119="","",IF(INDEX('Detalle individual'!$F:$F,$K119)="Completado",INDEX('Detalle individual'!$J:$J,$K119),""))</f>
        <v>100</v>
      </c>
      <c r="K119">
        <f>IFERROR(MOD(SMALL(Cálculos!$Z$5:$Z$1000,111),10000),"")</f>
        <v>283</v>
      </c>
    </row>
    <row r="120">
      <c r="B120" s="13">
        <f>IF($K120="","",112)</f>
        <v>112</v>
      </c>
      <c r="C120" s="13" t="str">
        <f>IF($K120="","",INDEX('Detalle individual'!$A:$A,$K120))</f>
        <v>917</v>
      </c>
      <c r="D120" s="72" t="str">
        <f>IF($K120="","",TRIM(INDEX('Detalle individual'!$B:$B,$K120)))</f>
        <v>LUIS MANUEL VALENCIA GUERRERO</v>
      </c>
      <c r="E120" s="72" t="str">
        <f>IF($K120="","",TRIM(INDEX('Detalle individual'!$E:$E,$K120)))</f>
        <v>SUBJEFE DE AGENCIA</v>
      </c>
      <c r="F120" s="72" t="str">
        <f>IF($K120="","",TRIM(INDEX('Detalle individual'!$C:$C,$K120)))</f>
        <v>AGENCIA USULUTAN</v>
      </c>
      <c r="G120" s="72" t="str">
        <f>IF($K120="","",INDEX('Detalle individual'!$D:$D,$K120))</f>
        <v>Gerencia de Negocios</v>
      </c>
      <c r="H120" s="13" t="str">
        <f>IF($K120="","",INDEX('Detalle individual'!$F:$F,$K120))</f>
        <v>Completado</v>
      </c>
      <c r="I120" s="20">
        <f>IF($K120="","",IF(INDEX('Detalle individual'!$F:$F,$K120)="Completado",INDEX('Detalle individual'!$H:$H,$K120),""))</f>
        <v>46309.4197337963</v>
      </c>
      <c r="J120" s="21">
        <f>IF($K120="","",IF(INDEX('Detalle individual'!$F:$F,$K120)="Completado",INDEX('Detalle individual'!$J:$J,$K120),""))</f>
        <v>100</v>
      </c>
      <c r="K120">
        <f>IFERROR(MOD(SMALL(Cálculos!$Z$5:$Z$1000,112),10000),"")</f>
        <v>284</v>
      </c>
    </row>
    <row r="121">
      <c r="B121" s="13">
        <f>IF($K121="","",113)</f>
        <v>113</v>
      </c>
      <c r="C121" s="13" t="str">
        <f>IF($K121="","",INDEX('Detalle individual'!$A:$A,$K121))</f>
        <v>951</v>
      </c>
      <c r="D121" s="72" t="str">
        <f>IF($K121="","",TRIM(INDEX('Detalle individual'!$B:$B,$K121)))</f>
        <v>MELVIN ELISEO HERNANDEZ MACHADO</v>
      </c>
      <c r="E121" s="72" t="str">
        <f>IF($K121="","",TRIM(INDEX('Detalle individual'!$E:$E,$K121)))</f>
        <v>EJECUTIVO DE NEGOCIOS</v>
      </c>
      <c r="F121" s="72" t="str">
        <f>IF($K121="","",TRIM(INDEX('Detalle individual'!$C:$C,$K121)))</f>
        <v>AGENCIA USULUTAN</v>
      </c>
      <c r="G121" s="72" t="str">
        <f>IF($K121="","",INDEX('Detalle individual'!$D:$D,$K121))</f>
        <v>Gerencia de Negocios</v>
      </c>
      <c r="H121" s="13" t="str">
        <f>IF($K121="","",INDEX('Detalle individual'!$F:$F,$K121))</f>
        <v>Completado</v>
      </c>
      <c r="I121" s="20">
        <f>IF($K121="","",IF(INDEX('Detalle individual'!$F:$F,$K121)="Completado",INDEX('Detalle individual'!$H:$H,$K121),""))</f>
        <v>46309.3825462963</v>
      </c>
      <c r="J121" s="21">
        <f>IF($K121="","",IF(INDEX('Detalle individual'!$F:$F,$K121)="Completado",INDEX('Detalle individual'!$J:$J,$K121),""))</f>
        <v>100</v>
      </c>
      <c r="K121">
        <f>IFERROR(MOD(SMALL(Cálculos!$Z$5:$Z$1000,113),10000),"")</f>
        <v>285</v>
      </c>
    </row>
    <row r="122">
      <c r="B122" s="13">
        <f>IF($K122="","",114)</f>
        <v>114</v>
      </c>
      <c r="C122" s="13" t="str">
        <f>IF($K122="","",INDEX('Detalle individual'!$A:$A,$K122))</f>
        <v>961</v>
      </c>
      <c r="D122" s="72" t="str">
        <f>IF($K122="","",TRIM(INDEX('Detalle individual'!$B:$B,$K122)))</f>
        <v>FATIMA LISSETTE HERNANDEZ MEJIA</v>
      </c>
      <c r="E122" s="72" t="str">
        <f>IF($K122="","",TRIM(INDEX('Detalle individual'!$E:$E,$K122)))</f>
        <v>CAJERO</v>
      </c>
      <c r="F122" s="72" t="str">
        <f>IF($K122="","",TRIM(INDEX('Detalle individual'!$C:$C,$K122)))</f>
        <v>AGENCIA USULUTAN</v>
      </c>
      <c r="G122" s="72" t="str">
        <f>IF($K122="","",INDEX('Detalle individual'!$D:$D,$K122))</f>
        <v>Gerencia de Negocios</v>
      </c>
      <c r="H122" s="13" t="str">
        <f>IF($K122="","",INDEX('Detalle individual'!$F:$F,$K122))</f>
        <v>Completado</v>
      </c>
      <c r="I122" s="20">
        <f>IF($K122="","",IF(INDEX('Detalle individual'!$F:$F,$K122)="Completado",INDEX('Detalle individual'!$H:$H,$K122),""))</f>
        <v>46303.544328703705</v>
      </c>
      <c r="J122" s="21">
        <f>IF($K122="","",IF(INDEX('Detalle individual'!$F:$F,$K122)="Completado",INDEX('Detalle individual'!$J:$J,$K122),""))</f>
        <v>100</v>
      </c>
      <c r="K122">
        <f>IFERROR(MOD(SMALL(Cálculos!$Z$5:$Z$1000,114),10000),"")</f>
        <v>286</v>
      </c>
    </row>
    <row r="123">
      <c r="B123" s="13">
        <f>IF($K123="","",115)</f>
        <v>115</v>
      </c>
      <c r="C123" s="13" t="str">
        <f>IF($K123="","",INDEX('Detalle individual'!$A:$A,$K123))</f>
        <v>970</v>
      </c>
      <c r="D123" s="72" t="str">
        <f>IF($K123="","",TRIM(INDEX('Detalle individual'!$B:$B,$K123)))</f>
        <v>EDUARDO JOSE GAMEZ VILLATORO</v>
      </c>
      <c r="E123" s="72" t="str">
        <f>IF($K123="","",TRIM(INDEX('Detalle individual'!$E:$E,$K123)))</f>
        <v>CAJERO</v>
      </c>
      <c r="F123" s="72" t="str">
        <f>IF($K123="","",TRIM(INDEX('Detalle individual'!$C:$C,$K123)))</f>
        <v>AGENCIA USULUTAN</v>
      </c>
      <c r="G123" s="72" t="str">
        <f>IF($K123="","",INDEX('Detalle individual'!$D:$D,$K123))</f>
        <v>Gerencia de Negocios</v>
      </c>
      <c r="H123" s="13" t="str">
        <f>IF($K123="","",INDEX('Detalle individual'!$F:$F,$K123))</f>
        <v>Completado</v>
      </c>
      <c r="I123" s="20">
        <f>IF($K123="","",IF(INDEX('Detalle individual'!$F:$F,$K123)="Completado",INDEX('Detalle individual'!$H:$H,$K123),""))</f>
        <v>46309.37625</v>
      </c>
      <c r="J123" s="21">
        <f>IF($K123="","",IF(INDEX('Detalle individual'!$F:$F,$K123)="Completado",INDEX('Detalle individual'!$J:$J,$K123),""))</f>
        <v>100</v>
      </c>
      <c r="K123">
        <f>IFERROR(MOD(SMALL(Cálculos!$Z$5:$Z$1000,115),10000),"")</f>
        <v>287</v>
      </c>
    </row>
    <row r="124">
      <c r="B124" s="13">
        <f>IF($K124="","",116)</f>
        <v>116</v>
      </c>
      <c r="C124" s="13" t="str">
        <f>IF($K124="","",INDEX('Detalle individual'!$A:$A,$K124))</f>
        <v>590</v>
      </c>
      <c r="D124" s="72" t="str">
        <f>IF($K124="","",TRIM(INDEX('Detalle individual'!$B:$B,$K124)))</f>
        <v>LORENA ELIZABETH GALDAMEZ NUÑEZ</v>
      </c>
      <c r="E124" s="72" t="str">
        <f>IF($K124="","",TRIM(INDEX('Detalle individual'!$E:$E,$K124)))</f>
        <v>MEDICO</v>
      </c>
      <c r="F124" s="72" t="str">
        <f>IF($K124="","",TRIM(INDEX('Detalle individual'!$C:$C,$K124)))</f>
        <v>CLINICA EMPRESARIAL</v>
      </c>
      <c r="G124" s="72" t="str">
        <f>IF($K124="","",INDEX('Detalle individual'!$D:$D,$K124))</f>
        <v>Gerencia Administrativa</v>
      </c>
      <c r="H124" s="13" t="str">
        <f>IF($K124="","",INDEX('Detalle individual'!$F:$F,$K124))</f>
        <v>Completado</v>
      </c>
      <c r="I124" s="20">
        <f>IF($K124="","",IF(INDEX('Detalle individual'!$F:$F,$K124)="Completado",INDEX('Detalle individual'!$H:$H,$K124),""))</f>
        <v>46305.408738425926</v>
      </c>
      <c r="J124" s="21">
        <f>IF($K124="","",IF(INDEX('Detalle individual'!$F:$F,$K124)="Completado",INDEX('Detalle individual'!$J:$J,$K124),""))</f>
        <v>100</v>
      </c>
      <c r="K124">
        <f>IFERROR(MOD(SMALL(Cálculos!$Z$5:$Z$1000,116),10000),"")</f>
        <v>54</v>
      </c>
    </row>
    <row r="125">
      <c r="B125" s="13">
        <f>IF($K125="","",117)</f>
        <v>117</v>
      </c>
      <c r="C125" s="13" t="str">
        <f>IF($K125="","",INDEX('Detalle individual'!$A:$A,$K125))</f>
        <v>609</v>
      </c>
      <c r="D125" s="72" t="str">
        <f>IF($K125="","",TRIM(INDEX('Detalle individual'!$B:$B,$K125)))</f>
        <v>GLADIS OSIRIS VALLE HERNANDEZ</v>
      </c>
      <c r="E125" s="72" t="str">
        <f>IF($K125="","",TRIM(INDEX('Detalle individual'!$E:$E,$K125)))</f>
        <v>ENFERMERA</v>
      </c>
      <c r="F125" s="72" t="str">
        <f>IF($K125="","",TRIM(INDEX('Detalle individual'!$C:$C,$K125)))</f>
        <v>CLINICA EMPRESARIAL</v>
      </c>
      <c r="G125" s="72" t="str">
        <f>IF($K125="","",INDEX('Detalle individual'!$D:$D,$K125))</f>
        <v>Gerencia Administrativa</v>
      </c>
      <c r="H125" s="13" t="str">
        <f>IF($K125="","",INDEX('Detalle individual'!$F:$F,$K125))</f>
        <v>Completado</v>
      </c>
      <c r="I125" s="20">
        <f>IF($K125="","",IF(INDEX('Detalle individual'!$F:$F,$K125)="Completado",INDEX('Detalle individual'!$H:$H,$K125),""))</f>
        <v>46305.41128472222</v>
      </c>
      <c r="J125" s="21">
        <f>IF($K125="","",IF(INDEX('Detalle individual'!$F:$F,$K125)="Completado",INDEX('Detalle individual'!$J:$J,$K125),""))</f>
        <v>100</v>
      </c>
      <c r="K125">
        <f>IFERROR(MOD(SMALL(Cálculos!$Z$5:$Z$1000,117),10000),"")</f>
        <v>55</v>
      </c>
    </row>
    <row r="126">
      <c r="B126" s="13">
        <f>IF($K126="","",118)</f>
        <v>118</v>
      </c>
      <c r="C126" s="13" t="str">
        <f>IF($K126="","",INDEX('Detalle individual'!$A:$A,$K126))</f>
        <v>53</v>
      </c>
      <c r="D126" s="72" t="str">
        <f>IF($K126="","",TRIM(INDEX('Detalle individual'!$B:$B,$K126)))</f>
        <v>CLAUDIA MARIA GIMENEZ PEREZ</v>
      </c>
      <c r="E126" s="72" t="str">
        <f>IF($K126="","",TRIM(INDEX('Detalle individual'!$E:$E,$K126)))</f>
        <v>ASISTENTE DEL CONSEJO DE ADMINISTRACION</v>
      </c>
      <c r="F126" s="72" t="str">
        <f>IF($K126="","",TRIM(INDEX('Detalle individual'!$C:$C,$K126)))</f>
        <v>CONSEJO DE ADMINISTRACION</v>
      </c>
      <c r="G126" s="72" t="str">
        <f>IF($K126="","",INDEX('Detalle individual'!$D:$D,$K126))</f>
        <v>Consejo de Administración</v>
      </c>
      <c r="H126" s="13" t="str">
        <f>IF($K126="","",INDEX('Detalle individual'!$F:$F,$K126))</f>
        <v>Completado</v>
      </c>
      <c r="I126" s="20">
        <f>IF($K126="","",IF(INDEX('Detalle individual'!$F:$F,$K126)="Completado",INDEX('Detalle individual'!$H:$H,$K126),""))</f>
        <v>46300.658009259256</v>
      </c>
      <c r="J126" s="21">
        <f>IF($K126="","",IF(INDEX('Detalle individual'!$F:$F,$K126)="Completado",INDEX('Detalle individual'!$J:$J,$K126),""))</f>
        <v>90</v>
      </c>
      <c r="K126">
        <f>IFERROR(MOD(SMALL(Cálculos!$Z$5:$Z$1000,118),10000),"")</f>
        <v>296</v>
      </c>
    </row>
    <row r="127">
      <c r="B127" s="13">
        <f>IF($K127="","",119)</f>
        <v>119</v>
      </c>
      <c r="C127" s="13" t="str">
        <f>IF($K127="","",INDEX('Detalle individual'!$A:$A,$K127))</f>
        <v>422</v>
      </c>
      <c r="D127" s="72" t="str">
        <f>IF($K127="","",TRIM(INDEX('Detalle individual'!$B:$B,$K127)))</f>
        <v>CLAUDIA VERONICA LARA RODAS</v>
      </c>
      <c r="E127" s="72" t="str">
        <f>IF($K127="","",TRIM(INDEX('Detalle individual'!$E:$E,$K127)))</f>
        <v>ASISTENTE COMERCIAL DE TARJETA DE CREDITO</v>
      </c>
      <c r="F127" s="72" t="str">
        <f>IF($K127="","",TRIM(INDEX('Detalle individual'!$C:$C,$K127)))</f>
        <v>DEPARTAMENTO COMERCIAL DE TARJETA DE CREDITO Y DEBITO</v>
      </c>
      <c r="G127" s="72" t="str">
        <f>IF($K127="","",INDEX('Detalle individual'!$D:$D,$K127))</f>
        <v>Gerencia de Negocios</v>
      </c>
      <c r="H127" s="13" t="str">
        <f>IF($K127="","",INDEX('Detalle individual'!$F:$F,$K127))</f>
        <v>Completado</v>
      </c>
      <c r="I127" s="20">
        <f>IF($K127="","",IF(INDEX('Detalle individual'!$F:$F,$K127)="Completado",INDEX('Detalle individual'!$H:$H,$K127),""))</f>
        <v>46304.41396990741</v>
      </c>
      <c r="J127" s="21">
        <f>IF($K127="","",IF(INDEX('Detalle individual'!$F:$F,$K127)="Completado",INDEX('Detalle individual'!$J:$J,$K127),""))</f>
        <v>100</v>
      </c>
      <c r="K127">
        <f>IFERROR(MOD(SMALL(Cálculos!$Z$5:$Z$1000,119),10000),"")</f>
        <v>176</v>
      </c>
    </row>
    <row r="128">
      <c r="B128" s="13">
        <f>IF($K128="","",120)</f>
        <v>120</v>
      </c>
      <c r="C128" s="13" t="str">
        <f>IF($K128="","",INDEX('Detalle individual'!$A:$A,$K128))</f>
        <v>533</v>
      </c>
      <c r="D128" s="72" t="str">
        <f>IF($K128="","",TRIM(INDEX('Detalle individual'!$B:$B,$K128)))</f>
        <v>LIDIA PATRICIA MORALES AVALOS</v>
      </c>
      <c r="E128" s="72" t="str">
        <f>IF($K128="","",TRIM(INDEX('Detalle individual'!$E:$E,$K128)))</f>
        <v>JEFE COMERCIAL DE TARJETA DE CREDITO</v>
      </c>
      <c r="F128" s="72" t="str">
        <f>IF($K128="","",TRIM(INDEX('Detalle individual'!$C:$C,$K128)))</f>
        <v>DEPARTAMENTO COMERCIAL DE TARJETA DE CREDITO Y DEBITO</v>
      </c>
      <c r="G128" s="72" t="str">
        <f>IF($K128="","",INDEX('Detalle individual'!$D:$D,$K128))</f>
        <v>Gerencia de Negocios</v>
      </c>
      <c r="H128" s="13" t="str">
        <f>IF($K128="","",INDEX('Detalle individual'!$F:$F,$K128))</f>
        <v>Completado</v>
      </c>
      <c r="I128" s="20">
        <f>IF($K128="","",IF(INDEX('Detalle individual'!$F:$F,$K128)="Completado",INDEX('Detalle individual'!$H:$H,$K128),""))</f>
        <v>46304.7809837963</v>
      </c>
      <c r="J128" s="21">
        <f>IF($K128="","",IF(INDEX('Detalle individual'!$F:$F,$K128)="Completado",INDEX('Detalle individual'!$J:$J,$K128),""))</f>
        <v>90</v>
      </c>
      <c r="K128">
        <f>IFERROR(MOD(SMALL(Cálculos!$Z$5:$Z$1000,120),10000),"")</f>
        <v>177</v>
      </c>
    </row>
    <row r="129">
      <c r="B129" s="13">
        <f>IF($K129="","",121)</f>
        <v>121</v>
      </c>
      <c r="C129" s="13" t="str">
        <f>IF($K129="","",INDEX('Detalle individual'!$A:$A,$K129))</f>
        <v>654</v>
      </c>
      <c r="D129" s="72" t="str">
        <f>IF($K129="","",TRIM(INDEX('Detalle individual'!$B:$B,$K129)))</f>
        <v>GABRIELA ALEJANDRA RODRIGUEZ ARIAS</v>
      </c>
      <c r="E129" s="72" t="str">
        <f>IF($K129="","",TRIM(INDEX('Detalle individual'!$E:$E,$K129)))</f>
        <v>AUXILIAR DE ATENCION AL CLIENTE</v>
      </c>
      <c r="F129" s="72" t="str">
        <f>IF($K129="","",TRIM(INDEX('Detalle individual'!$C:$C,$K129)))</f>
        <v>DEPARTAMENTO COMERCIAL DE TARJETA DE CREDITO Y DEBITO</v>
      </c>
      <c r="G129" s="72" t="str">
        <f>IF($K129="","",INDEX('Detalle individual'!$D:$D,$K129))</f>
        <v>Gerencia de Negocios</v>
      </c>
      <c r="H129" s="13" t="str">
        <f>IF($K129="","",INDEX('Detalle individual'!$F:$F,$K129))</f>
        <v>Completado</v>
      </c>
      <c r="I129" s="20">
        <f>IF($K129="","",IF(INDEX('Detalle individual'!$F:$F,$K129)="Completado",INDEX('Detalle individual'!$H:$H,$K129),""))</f>
        <v>46304.678506944445</v>
      </c>
      <c r="J129" s="21">
        <f>IF($K129="","",IF(INDEX('Detalle individual'!$F:$F,$K129)="Completado",INDEX('Detalle individual'!$J:$J,$K129),""))</f>
        <v>80</v>
      </c>
      <c r="K129">
        <f>IFERROR(MOD(SMALL(Cálculos!$Z$5:$Z$1000,121),10000),"")</f>
        <v>178</v>
      </c>
    </row>
    <row r="130">
      <c r="B130" s="13">
        <f>IF($K130="","",122)</f>
        <v>122</v>
      </c>
      <c r="C130" s="13" t="str">
        <f>IF($K130="","",INDEX('Detalle individual'!$A:$A,$K130))</f>
        <v>655</v>
      </c>
      <c r="D130" s="72" t="str">
        <f>IF($K130="","",TRIM(INDEX('Detalle individual'!$B:$B,$K130)))</f>
        <v>JOSE ALEXANDER ABREGO</v>
      </c>
      <c r="E130" s="72" t="str">
        <f>IF($K130="","",TRIM(INDEX('Detalle individual'!$E:$E,$K130)))</f>
        <v>EJECUTIVO DE NEGOCIOS</v>
      </c>
      <c r="F130" s="72" t="str">
        <f>IF($K130="","",TRIM(INDEX('Detalle individual'!$C:$C,$K130)))</f>
        <v>DEPARTAMENTO COMERCIAL DE TARJETA DE CREDITO Y DEBITO</v>
      </c>
      <c r="G130" s="72" t="str">
        <f>IF($K130="","",INDEX('Detalle individual'!$D:$D,$K130))</f>
        <v>Gerencia de Negocios</v>
      </c>
      <c r="H130" s="13" t="str">
        <f>IF($K130="","",INDEX('Detalle individual'!$F:$F,$K130))</f>
        <v>Completado</v>
      </c>
      <c r="I130" s="20">
        <f>IF($K130="","",IF(INDEX('Detalle individual'!$F:$F,$K130)="Completado",INDEX('Detalle individual'!$H:$H,$K130),""))</f>
        <v>46305.51431712963</v>
      </c>
      <c r="J130" s="21">
        <f>IF($K130="","",IF(INDEX('Detalle individual'!$F:$F,$K130)="Completado",INDEX('Detalle individual'!$J:$J,$K130),""))</f>
        <v>65</v>
      </c>
      <c r="K130">
        <f>IFERROR(MOD(SMALL(Cálculos!$Z$5:$Z$1000,122),10000),"")</f>
        <v>179</v>
      </c>
    </row>
    <row r="131">
      <c r="B131" s="13">
        <f>IF($K131="","",123)</f>
        <v>123</v>
      </c>
      <c r="C131" s="13" t="str">
        <f>IF($K131="","",INDEX('Detalle individual'!$A:$A,$K131))</f>
        <v>669</v>
      </c>
      <c r="D131" s="72" t="str">
        <f>IF($K131="","",TRIM(INDEX('Detalle individual'!$B:$B,$K131)))</f>
        <v>ANTONIO ALEXANDER ALFARO ARGUETA</v>
      </c>
      <c r="E131" s="72" t="str">
        <f>IF($K131="","",TRIM(INDEX('Detalle individual'!$E:$E,$K131)))</f>
        <v>EJECUTIVO DE NEGOCIOS</v>
      </c>
      <c r="F131" s="72" t="str">
        <f>IF($K131="","",TRIM(INDEX('Detalle individual'!$C:$C,$K131)))</f>
        <v>DEPARTAMENTO COMERCIAL DE TARJETA DE CREDITO Y DEBITO</v>
      </c>
      <c r="G131" s="72" t="str">
        <f>IF($K131="","",INDEX('Detalle individual'!$D:$D,$K131))</f>
        <v>Gerencia de Negocios</v>
      </c>
      <c r="H131" s="13" t="str">
        <f>IF($K131="","",INDEX('Detalle individual'!$F:$F,$K131))</f>
        <v>Completado</v>
      </c>
      <c r="I131" s="20">
        <f>IF($K131="","",IF(INDEX('Detalle individual'!$F:$F,$K131)="Completado",INDEX('Detalle individual'!$H:$H,$K131),""))</f>
        <v>46305.48725694444</v>
      </c>
      <c r="J131" s="21">
        <f>IF($K131="","",IF(INDEX('Detalle individual'!$F:$F,$K131)="Completado",INDEX('Detalle individual'!$J:$J,$K131),""))</f>
        <v>90</v>
      </c>
      <c r="K131">
        <f>IFERROR(MOD(SMALL(Cálculos!$Z$5:$Z$1000,123),10000),"")</f>
        <v>180</v>
      </c>
    </row>
    <row r="132">
      <c r="B132" s="13">
        <f>IF($K132="","",124)</f>
        <v>124</v>
      </c>
      <c r="C132" s="13" t="str">
        <f>IF($K132="","",INDEX('Detalle individual'!$A:$A,$K132))</f>
        <v>715</v>
      </c>
      <c r="D132" s="72" t="str">
        <f>IF($K132="","",TRIM(INDEX('Detalle individual'!$B:$B,$K132)))</f>
        <v>KAREN MARCELA BARILLAS MOLINA</v>
      </c>
      <c r="E132" s="72" t="str">
        <f>IF($K132="","",TRIM(INDEX('Detalle individual'!$E:$E,$K132)))</f>
        <v>AUXILIAR DE ATENCION AL TARJETAHABIENTE</v>
      </c>
      <c r="F132" s="72" t="str">
        <f>IF($K132="","",TRIM(INDEX('Detalle individual'!$C:$C,$K132)))</f>
        <v>DEPARTAMENTO COMERCIAL DE TARJETA DE CREDITO Y DEBITO</v>
      </c>
      <c r="G132" s="72" t="str">
        <f>IF($K132="","",INDEX('Detalle individual'!$D:$D,$K132))</f>
        <v>Gerencia de Negocios</v>
      </c>
      <c r="H132" s="13" t="str">
        <f>IF($K132="","",INDEX('Detalle individual'!$F:$F,$K132))</f>
        <v>Completado</v>
      </c>
      <c r="I132" s="20">
        <f>IF($K132="","",IF(INDEX('Detalle individual'!$F:$F,$K132)="Completado",INDEX('Detalle individual'!$H:$H,$K132),""))</f>
        <v>46297.71334490741</v>
      </c>
      <c r="J132" s="21">
        <f>IF($K132="","",IF(INDEX('Detalle individual'!$F:$F,$K132)="Completado",INDEX('Detalle individual'!$J:$J,$K132),""))</f>
        <v>85</v>
      </c>
      <c r="K132">
        <f>IFERROR(MOD(SMALL(Cálculos!$Z$5:$Z$1000,124),10000),"")</f>
        <v>181</v>
      </c>
    </row>
    <row r="133">
      <c r="B133" s="13">
        <f>IF($K133="","",125)</f>
        <v>125</v>
      </c>
      <c r="C133" s="13" t="str">
        <f>IF($K133="","",INDEX('Detalle individual'!$A:$A,$K133))</f>
        <v>858</v>
      </c>
      <c r="D133" s="72" t="str">
        <f>IF($K133="","",TRIM(INDEX('Detalle individual'!$B:$B,$K133)))</f>
        <v>GABRIEL FRANCISCO MOLINA DIAZ</v>
      </c>
      <c r="E133" s="72" t="str">
        <f>IF($K133="","",TRIM(INDEX('Detalle individual'!$E:$E,$K133)))</f>
        <v>EJECUTIVO DE NEGOCIOS</v>
      </c>
      <c r="F133" s="72" t="str">
        <f>IF($K133="","",TRIM(INDEX('Detalle individual'!$C:$C,$K133)))</f>
        <v>DEPARTAMENTO COMERCIAL DE TARJETA DE CREDITO Y DEBITO</v>
      </c>
      <c r="G133" s="72" t="str">
        <f>IF($K133="","",INDEX('Detalle individual'!$D:$D,$K133))</f>
        <v>Gerencia de Negocios</v>
      </c>
      <c r="H133" s="13" t="str">
        <f>IF($K133="","",INDEX('Detalle individual'!$F:$F,$K133))</f>
        <v>Completado</v>
      </c>
      <c r="I133" s="20">
        <f>IF($K133="","",IF(INDEX('Detalle individual'!$F:$F,$K133)="Completado",INDEX('Detalle individual'!$H:$H,$K133),""))</f>
        <v>46305.49159722222</v>
      </c>
      <c r="J133" s="21">
        <f>IF($K133="","",IF(INDEX('Detalle individual'!$F:$F,$K133)="Completado",INDEX('Detalle individual'!$J:$J,$K133),""))</f>
        <v>95</v>
      </c>
      <c r="K133">
        <f>IFERROR(MOD(SMALL(Cálculos!$Z$5:$Z$1000,125),10000),"")</f>
        <v>183</v>
      </c>
    </row>
    <row r="134">
      <c r="B134" s="13">
        <f>IF($K134="","",126)</f>
        <v>126</v>
      </c>
      <c r="C134" s="13" t="str">
        <f>IF($K134="","",INDEX('Detalle individual'!$A:$A,$K134))</f>
        <v>239</v>
      </c>
      <c r="D134" s="72" t="str">
        <f>IF($K134="","",TRIM(INDEX('Detalle individual'!$B:$B,$K134)))</f>
        <v>CELINA MARGARITA GUTIERREZ RODRIGUEZ</v>
      </c>
      <c r="E134" s="72" t="str">
        <f>IF($K134="","",TRIM(INDEX('Detalle individual'!$E:$E,$K134)))</f>
        <v>ANALISTA PROGRAMADOR SENIOR</v>
      </c>
      <c r="F134" s="72" t="str">
        <f>IF($K134="","",TRIM(INDEX('Detalle individual'!$C:$C,$K134)))</f>
        <v>DEPARTAMENTO DE ANALISIS Y PROGRAMACIÓN</v>
      </c>
      <c r="G134" s="72" t="str">
        <f>IF($K134="","",INDEX('Detalle individual'!$D:$D,$K134))</f>
        <v>Gerencia de Sistemas</v>
      </c>
      <c r="H134" s="13" t="str">
        <f>IF($K134="","",INDEX('Detalle individual'!$F:$F,$K134))</f>
        <v>Completado</v>
      </c>
      <c r="I134" s="20">
        <f>IF($K134="","",IF(INDEX('Detalle individual'!$F:$F,$K134)="Completado",INDEX('Detalle individual'!$H:$H,$K134),""))</f>
        <v>46296.65938657407</v>
      </c>
      <c r="J134" s="21">
        <f>IF($K134="","",IF(INDEX('Detalle individual'!$F:$F,$K134)="Completado",INDEX('Detalle individual'!$J:$J,$K134),""))</f>
        <v>100</v>
      </c>
      <c r="K134">
        <f>IFERROR(MOD(SMALL(Cálculos!$Z$5:$Z$1000,126),10000),"")</f>
        <v>111</v>
      </c>
    </row>
    <row r="135">
      <c r="B135" s="13">
        <f>IF($K135="","",127)</f>
        <v>127</v>
      </c>
      <c r="C135" s="13" t="str">
        <f>IF($K135="","",INDEX('Detalle individual'!$A:$A,$K135))</f>
        <v>320</v>
      </c>
      <c r="D135" s="72" t="str">
        <f>IF($K135="","",TRIM(INDEX('Detalle individual'!$B:$B,$K135)))</f>
        <v>HILDA MARGARITA ABREGO BRAN</v>
      </c>
      <c r="E135" s="72" t="str">
        <f>IF($K135="","",TRIM(INDEX('Detalle individual'!$E:$E,$K135)))</f>
        <v>ANALISTA QA</v>
      </c>
      <c r="F135" s="72" t="str">
        <f>IF($K135="","",TRIM(INDEX('Detalle individual'!$C:$C,$K135)))</f>
        <v>DEPARTAMENTO DE ANALISIS Y PROGRAMACIÓN</v>
      </c>
      <c r="G135" s="72" t="str">
        <f>IF($K135="","",INDEX('Detalle individual'!$D:$D,$K135))</f>
        <v>Gerencia de Sistemas</v>
      </c>
      <c r="H135" s="13" t="str">
        <f>IF($K135="","",INDEX('Detalle individual'!$F:$F,$K135))</f>
        <v>Completado</v>
      </c>
      <c r="I135" s="20">
        <f>IF($K135="","",IF(INDEX('Detalle individual'!$F:$F,$K135)="Completado",INDEX('Detalle individual'!$H:$H,$K135),""))</f>
        <v>46296.59023148148</v>
      </c>
      <c r="J135" s="21">
        <f>IF($K135="","",IF(INDEX('Detalle individual'!$F:$F,$K135)="Completado",INDEX('Detalle individual'!$J:$J,$K135),""))</f>
        <v>100</v>
      </c>
      <c r="K135">
        <f>IFERROR(MOD(SMALL(Cálculos!$Z$5:$Z$1000,127),10000),"")</f>
        <v>112</v>
      </c>
    </row>
    <row r="136">
      <c r="B136" s="13">
        <f>IF($K136="","",128)</f>
        <v>128</v>
      </c>
      <c r="C136" s="13" t="str">
        <f>IF($K136="","",INDEX('Detalle individual'!$A:$A,$K136))</f>
        <v>410</v>
      </c>
      <c r="D136" s="72" t="str">
        <f>IF($K136="","",TRIM(INDEX('Detalle individual'!$B:$B,$K136)))</f>
        <v>CLAUDIA MARGARITA CAMPOS GONZÁLEZ</v>
      </c>
      <c r="E136" s="72" t="str">
        <f>IF($K136="","",TRIM(INDEX('Detalle individual'!$E:$E,$K136)))</f>
        <v>JEFE DE ANALISIS Y PROGRAMACION</v>
      </c>
      <c r="F136" s="72" t="str">
        <f>IF($K136="","",TRIM(INDEX('Detalle individual'!$C:$C,$K136)))</f>
        <v>DEPARTAMENTO DE ANALISIS Y PROGRAMACIÓN</v>
      </c>
      <c r="G136" s="72" t="str">
        <f>IF($K136="","",INDEX('Detalle individual'!$D:$D,$K136))</f>
        <v>Gerencia de Sistemas</v>
      </c>
      <c r="H136" s="13" t="str">
        <f>IF($K136="","",INDEX('Detalle individual'!$F:$F,$K136))</f>
        <v>Completado</v>
      </c>
      <c r="I136" s="20">
        <f>IF($K136="","",IF(INDEX('Detalle individual'!$F:$F,$K136)="Completado",INDEX('Detalle individual'!$H:$H,$K136),""))</f>
        <v>46307.69321759259</v>
      </c>
      <c r="J136" s="21">
        <f>IF($K136="","",IF(INDEX('Detalle individual'!$F:$F,$K136)="Completado",INDEX('Detalle individual'!$J:$J,$K136),""))</f>
        <v>100</v>
      </c>
      <c r="K136">
        <f>IFERROR(MOD(SMALL(Cálculos!$Z$5:$Z$1000,128),10000),"")</f>
        <v>113</v>
      </c>
    </row>
    <row r="137">
      <c r="B137" s="13">
        <f>IF($K137="","",129)</f>
        <v>129</v>
      </c>
      <c r="C137" s="13" t="str">
        <f>IF($K137="","",INDEX('Detalle individual'!$A:$A,$K137))</f>
        <v>474</v>
      </c>
      <c r="D137" s="72" t="str">
        <f>IF($K137="","",TRIM(INDEX('Detalle individual'!$B:$B,$K137)))</f>
        <v>GLADIS EVELIN CASTILLO TORRES</v>
      </c>
      <c r="E137" s="72" t="str">
        <f>IF($K137="","",TRIM(INDEX('Detalle individual'!$E:$E,$K137)))</f>
        <v>ANALISTA PROGRAMADOR SENIOR</v>
      </c>
      <c r="F137" s="72" t="str">
        <f>IF($K137="","",TRIM(INDEX('Detalle individual'!$C:$C,$K137)))</f>
        <v>DEPARTAMENTO DE ANALISIS Y PROGRAMACIÓN</v>
      </c>
      <c r="G137" s="72" t="str">
        <f>IF($K137="","",INDEX('Detalle individual'!$D:$D,$K137))</f>
        <v>Gerencia de Sistemas</v>
      </c>
      <c r="H137" s="13" t="str">
        <f>IF($K137="","",INDEX('Detalle individual'!$F:$F,$K137))</f>
        <v>Completado</v>
      </c>
      <c r="I137" s="20">
        <f>IF($K137="","",IF(INDEX('Detalle individual'!$F:$F,$K137)="Completado",INDEX('Detalle individual'!$H:$H,$K137),""))</f>
        <v>46297.48825231481</v>
      </c>
      <c r="J137" s="21">
        <f>IF($K137="","",IF(INDEX('Detalle individual'!$F:$F,$K137)="Completado",INDEX('Detalle individual'!$J:$J,$K137),""))</f>
        <v>100</v>
      </c>
      <c r="K137">
        <f>IFERROR(MOD(SMALL(Cálculos!$Z$5:$Z$1000,129),10000),"")</f>
        <v>114</v>
      </c>
    </row>
    <row r="138">
      <c r="B138" s="13">
        <f>IF($K138="","",130)</f>
        <v>130</v>
      </c>
      <c r="C138" s="13" t="str">
        <f>IF($K138="","",INDEX('Detalle individual'!$A:$A,$K138))</f>
        <v>680</v>
      </c>
      <c r="D138" s="72" t="str">
        <f>IF($K138="","",TRIM(INDEX('Detalle individual'!$B:$B,$K138)))</f>
        <v>CARLOS FRANCISCO HERNANDEZ MUÑOZ</v>
      </c>
      <c r="E138" s="72" t="str">
        <f>IF($K138="","",TRIM(INDEX('Detalle individual'!$E:$E,$K138)))</f>
        <v>ANALISTA QA</v>
      </c>
      <c r="F138" s="72" t="str">
        <f>IF($K138="","",TRIM(INDEX('Detalle individual'!$C:$C,$K138)))</f>
        <v>DEPARTAMENTO DE ANALISIS Y PROGRAMACIÓN</v>
      </c>
      <c r="G138" s="72" t="str">
        <f>IF($K138="","",INDEX('Detalle individual'!$D:$D,$K138))</f>
        <v>Gerencia de Sistemas</v>
      </c>
      <c r="H138" s="13" t="str">
        <f>IF($K138="","",INDEX('Detalle individual'!$F:$F,$K138))</f>
        <v>Completado</v>
      </c>
      <c r="I138" s="20">
        <f>IF($K138="","",IF(INDEX('Detalle individual'!$F:$F,$K138)="Completado",INDEX('Detalle individual'!$H:$H,$K138),""))</f>
        <v>46300.39171296296</v>
      </c>
      <c r="J138" s="21">
        <f>IF($K138="","",IF(INDEX('Detalle individual'!$F:$F,$K138)="Completado",INDEX('Detalle individual'!$J:$J,$K138),""))</f>
        <v>100</v>
      </c>
      <c r="K138">
        <f>IFERROR(MOD(SMALL(Cálculos!$Z$5:$Z$1000,130),10000),"")</f>
        <v>115</v>
      </c>
    </row>
    <row r="139">
      <c r="B139" s="13">
        <f>IF($K139="","",131)</f>
        <v>131</v>
      </c>
      <c r="C139" s="13" t="str">
        <f>IF($K139="","",INDEX('Detalle individual'!$A:$A,$K139))</f>
        <v>752</v>
      </c>
      <c r="D139" s="72" t="str">
        <f>IF($K139="","",TRIM(INDEX('Detalle individual'!$B:$B,$K139)))</f>
        <v>JEAN HARRY MIRANDA ARAUJO</v>
      </c>
      <c r="E139" s="72" t="str">
        <f>IF($K139="","",TRIM(INDEX('Detalle individual'!$E:$E,$K139)))</f>
        <v>ANALISTA PROGRAMADOR</v>
      </c>
      <c r="F139" s="72" t="str">
        <f>IF($K139="","",TRIM(INDEX('Detalle individual'!$C:$C,$K139)))</f>
        <v>DEPARTAMENTO DE ANALISIS Y PROGRAMACIÓN</v>
      </c>
      <c r="G139" s="72" t="str">
        <f>IF($K139="","",INDEX('Detalle individual'!$D:$D,$K139))</f>
        <v>Gerencia de Sistemas</v>
      </c>
      <c r="H139" s="13" t="str">
        <f>IF($K139="","",INDEX('Detalle individual'!$F:$F,$K139))</f>
        <v>Completado</v>
      </c>
      <c r="I139" s="20">
        <f>IF($K139="","",IF(INDEX('Detalle individual'!$F:$F,$K139)="Completado",INDEX('Detalle individual'!$H:$H,$K139),""))</f>
        <v>46307.43311342593</v>
      </c>
      <c r="J139" s="21">
        <f>IF($K139="","",IF(INDEX('Detalle individual'!$F:$F,$K139)="Completado",INDEX('Detalle individual'!$J:$J,$K139),""))</f>
        <v>100</v>
      </c>
      <c r="K139">
        <f>IFERROR(MOD(SMALL(Cálculos!$Z$5:$Z$1000,131),10000),"")</f>
        <v>116</v>
      </c>
    </row>
    <row r="140">
      <c r="B140" s="13">
        <f>IF($K140="","",132)</f>
        <v>132</v>
      </c>
      <c r="C140" s="13" t="str">
        <f>IF($K140="","",INDEX('Detalle individual'!$A:$A,$K140))</f>
        <v>783</v>
      </c>
      <c r="D140" s="72" t="str">
        <f>IF($K140="","",TRIM(INDEX('Detalle individual'!$B:$B,$K140)))</f>
        <v>JONATHAN ALEXIS BERRIOS MENJIVAR</v>
      </c>
      <c r="E140" s="72" t="str">
        <f>IF($K140="","",TRIM(INDEX('Detalle individual'!$E:$E,$K140)))</f>
        <v>ANALISTA PROGRAMADOR</v>
      </c>
      <c r="F140" s="72" t="str">
        <f>IF($K140="","",TRIM(INDEX('Detalle individual'!$C:$C,$K140)))</f>
        <v>DEPARTAMENTO DE ANALISIS Y PROGRAMACIÓN</v>
      </c>
      <c r="G140" s="72" t="str">
        <f>IF($K140="","",INDEX('Detalle individual'!$D:$D,$K140))</f>
        <v>Gerencia de Sistemas</v>
      </c>
      <c r="H140" s="13" t="str">
        <f>IF($K140="","",INDEX('Detalle individual'!$F:$F,$K140))</f>
        <v>Completado</v>
      </c>
      <c r="I140" s="20">
        <f>IF($K140="","",IF(INDEX('Detalle individual'!$F:$F,$K140)="Completado",INDEX('Detalle individual'!$H:$H,$K140),""))</f>
        <v>46304.40027777778</v>
      </c>
      <c r="J140" s="21">
        <f>IF($K140="","",IF(INDEX('Detalle individual'!$F:$F,$K140)="Completado",INDEX('Detalle individual'!$J:$J,$K140),""))</f>
        <v>100</v>
      </c>
      <c r="K140">
        <f>IFERROR(MOD(SMALL(Cálculos!$Z$5:$Z$1000,132),10000),"")</f>
        <v>117</v>
      </c>
    </row>
    <row r="141">
      <c r="B141" s="13">
        <f>IF($K141="","",133)</f>
        <v>133</v>
      </c>
      <c r="C141" s="13" t="str">
        <f>IF($K141="","",INDEX('Detalle individual'!$A:$A,$K141))</f>
        <v>806</v>
      </c>
      <c r="D141" s="72" t="str">
        <f>IF($K141="","",TRIM(INDEX('Detalle individual'!$B:$B,$K141)))</f>
        <v>BYRON WILFREDO MENJIVAR MELENDEZ</v>
      </c>
      <c r="E141" s="72" t="str">
        <f>IF($K141="","",TRIM(INDEX('Detalle individual'!$E:$E,$K141)))</f>
        <v>ANALISTA PROGRAMADOR</v>
      </c>
      <c r="F141" s="72" t="str">
        <f>IF($K141="","",TRIM(INDEX('Detalle individual'!$C:$C,$K141)))</f>
        <v>DEPARTAMENTO DE ANALISIS Y PROGRAMACIÓN</v>
      </c>
      <c r="G141" s="72" t="str">
        <f>IF($K141="","",INDEX('Detalle individual'!$D:$D,$K141))</f>
        <v>Gerencia de Sistemas</v>
      </c>
      <c r="H141" s="13" t="str">
        <f>IF($K141="","",INDEX('Detalle individual'!$F:$F,$K141))</f>
        <v>Completado</v>
      </c>
      <c r="I141" s="20">
        <f>IF($K141="","",IF(INDEX('Detalle individual'!$F:$F,$K141)="Completado",INDEX('Detalle individual'!$H:$H,$K141),""))</f>
        <v>46304.384618055556</v>
      </c>
      <c r="J141" s="21">
        <f>IF($K141="","",IF(INDEX('Detalle individual'!$F:$F,$K141)="Completado",INDEX('Detalle individual'!$J:$J,$K141),""))</f>
        <v>100</v>
      </c>
      <c r="K141">
        <f>IFERROR(MOD(SMALL(Cálculos!$Z$5:$Z$1000,133),10000),"")</f>
        <v>118</v>
      </c>
    </row>
    <row r="142">
      <c r="B142" s="13">
        <f>IF($K142="","",134)</f>
        <v>134</v>
      </c>
      <c r="C142" s="13" t="str">
        <f>IF($K142="","",INDEX('Detalle individual'!$A:$A,$K142))</f>
        <v>824</v>
      </c>
      <c r="D142" s="72" t="str">
        <f>IF($K142="","",TRIM(INDEX('Detalle individual'!$B:$B,$K142)))</f>
        <v>RODRIGO FERNANDO FIGUEROA RIVAS</v>
      </c>
      <c r="E142" s="72" t="str">
        <f>IF($K142="","",TRIM(INDEX('Detalle individual'!$E:$E,$K142)))</f>
        <v>ANALISTA PROGRAMADOR JUNIOR</v>
      </c>
      <c r="F142" s="72" t="str">
        <f>IF($K142="","",TRIM(INDEX('Detalle individual'!$C:$C,$K142)))</f>
        <v>DEPARTAMENTO DE ANALISIS Y PROGRAMACIÓN</v>
      </c>
      <c r="G142" s="72" t="str">
        <f>IF($K142="","",INDEX('Detalle individual'!$D:$D,$K142))</f>
        <v>Gerencia de Sistemas</v>
      </c>
      <c r="H142" s="13" t="str">
        <f>IF($K142="","",INDEX('Detalle individual'!$F:$F,$K142))</f>
        <v>Completado</v>
      </c>
      <c r="I142" s="20">
        <f>IF($K142="","",IF(INDEX('Detalle individual'!$F:$F,$K142)="Completado",INDEX('Detalle individual'!$H:$H,$K142),""))</f>
        <v>46304.38784722222</v>
      </c>
      <c r="J142" s="21">
        <f>IF($K142="","",IF(INDEX('Detalle individual'!$F:$F,$K142)="Completado",INDEX('Detalle individual'!$J:$J,$K142),""))</f>
        <v>100</v>
      </c>
      <c r="K142">
        <f>IFERROR(MOD(SMALL(Cálculos!$Z$5:$Z$1000,134),10000),"")</f>
        <v>119</v>
      </c>
    </row>
    <row r="143">
      <c r="B143" s="13">
        <f>IF($K143="","",135)</f>
        <v>135</v>
      </c>
      <c r="C143" s="13" t="str">
        <f>IF($K143="","",INDEX('Detalle individual'!$A:$A,$K143))</f>
        <v>879</v>
      </c>
      <c r="D143" s="72" t="str">
        <f>IF($K143="","",TRIM(INDEX('Detalle individual'!$B:$B,$K143)))</f>
        <v>MILAGRO NATIVIDAD ESCOBAR MELENDEZ</v>
      </c>
      <c r="E143" s="72" t="str">
        <f>IF($K143="","",TRIM(INDEX('Detalle individual'!$E:$E,$K143)))</f>
        <v>ANALISTA PROGRAMADOR</v>
      </c>
      <c r="F143" s="72" t="str">
        <f>IF($K143="","",TRIM(INDEX('Detalle individual'!$C:$C,$K143)))</f>
        <v>DEPARTAMENTO DE ANALISIS Y PROGRAMACIÓN</v>
      </c>
      <c r="G143" s="72" t="str">
        <f>IF($K143="","",INDEX('Detalle individual'!$D:$D,$K143))</f>
        <v>Gerencia de Sistemas</v>
      </c>
      <c r="H143" s="13" t="str">
        <f>IF($K143="","",INDEX('Detalle individual'!$F:$F,$K143))</f>
        <v>Completado</v>
      </c>
      <c r="I143" s="20">
        <f>IF($K143="","",IF(INDEX('Detalle individual'!$F:$F,$K143)="Completado",INDEX('Detalle individual'!$H:$H,$K143),""))</f>
        <v>46304.394837962966</v>
      </c>
      <c r="J143" s="21">
        <f>IF($K143="","",IF(INDEX('Detalle individual'!$F:$F,$K143)="Completado",INDEX('Detalle individual'!$J:$J,$K143),""))</f>
        <v>100</v>
      </c>
      <c r="K143">
        <f>IFERROR(MOD(SMALL(Cálculos!$Z$5:$Z$1000,135),10000),"")</f>
        <v>120</v>
      </c>
    </row>
    <row r="144">
      <c r="B144" s="13">
        <f>IF($K144="","",136)</f>
        <v>136</v>
      </c>
      <c r="C144" s="13" t="str">
        <f>IF($K144="","",INDEX('Detalle individual'!$A:$A,$K144))</f>
        <v>899</v>
      </c>
      <c r="D144" s="72" t="str">
        <f>IF($K144="","",TRIM(INDEX('Detalle individual'!$B:$B,$K144)))</f>
        <v>ALEJANDRA VERONICA CENTENO LOPEZ</v>
      </c>
      <c r="E144" s="72" t="str">
        <f>IF($K144="","",TRIM(INDEX('Detalle individual'!$E:$E,$K144)))</f>
        <v>ANALISTA PROGRAMADOR</v>
      </c>
      <c r="F144" s="72" t="str">
        <f>IF($K144="","",TRIM(INDEX('Detalle individual'!$C:$C,$K144)))</f>
        <v>DEPARTAMENTO DE ANALISIS Y PROGRAMACIÓN</v>
      </c>
      <c r="G144" s="72" t="str">
        <f>IF($K144="","",INDEX('Detalle individual'!$D:$D,$K144))</f>
        <v>Gerencia de Sistemas</v>
      </c>
      <c r="H144" s="13" t="str">
        <f>IF($K144="","",INDEX('Detalle individual'!$F:$F,$K144))</f>
        <v>Completado</v>
      </c>
      <c r="I144" s="20">
        <f>IF($K144="","",IF(INDEX('Detalle individual'!$F:$F,$K144)="Completado",INDEX('Detalle individual'!$H:$H,$K144),""))</f>
        <v>46310.69614583333</v>
      </c>
      <c r="J144" s="21">
        <f>IF($K144="","",IF(INDEX('Detalle individual'!$F:$F,$K144)="Completado",INDEX('Detalle individual'!$J:$J,$K144),""))</f>
        <v>100</v>
      </c>
      <c r="K144">
        <f>IFERROR(MOD(SMALL(Cálculos!$Z$5:$Z$1000,136),10000),"")</f>
        <v>121</v>
      </c>
    </row>
    <row r="145">
      <c r="B145" s="13">
        <f>IF($K145="","",137)</f>
        <v>137</v>
      </c>
      <c r="C145" s="13" t="str">
        <f>IF($K145="","",INDEX('Detalle individual'!$A:$A,$K145))</f>
        <v>166</v>
      </c>
      <c r="D145" s="72" t="str">
        <f>IF($K145="","",TRIM(INDEX('Detalle individual'!$B:$B,$K145)))</f>
        <v>MARIA FRANCISCA DE LA LUZ HERNANDEZ HERNANDEZ</v>
      </c>
      <c r="E145" s="72" t="str">
        <f>IF($K145="","",TRIM(INDEX('Detalle individual'!$E:$E,$K145)))</f>
        <v>JEFE DE ATENCION A ASOCIADOS Y CLIENTES</v>
      </c>
      <c r="F145" s="72" t="str">
        <f>IF($K145="","",TRIM(INDEX('Detalle individual'!$C:$C,$K145)))</f>
        <v>DEPARTAMENTO DE ATENCION A ASOCIADO Y CLIENTE</v>
      </c>
      <c r="G145" s="72" t="str">
        <f>IF($K145="","",INDEX('Detalle individual'!$D:$D,$K145))</f>
        <v>Gerencia de Negocios</v>
      </c>
      <c r="H145" s="13" t="str">
        <f>IF($K145="","",INDEX('Detalle individual'!$F:$F,$K145))</f>
        <v>Completado</v>
      </c>
      <c r="I145" s="20">
        <f>IF($K145="","",IF(INDEX('Detalle individual'!$F:$F,$K145)="Completado",INDEX('Detalle individual'!$H:$H,$K145),""))</f>
        <v>46301.489282407405</v>
      </c>
      <c r="J145" s="21">
        <f>IF($K145="","",IF(INDEX('Detalle individual'!$F:$F,$K145)="Completado",INDEX('Detalle individual'!$J:$J,$K145),""))</f>
        <v>100</v>
      </c>
      <c r="K145">
        <f>IFERROR(MOD(SMALL(Cálculos!$Z$5:$Z$1000,137),10000),"")</f>
        <v>139</v>
      </c>
    </row>
    <row r="146">
      <c r="B146" s="13">
        <f>IF($K146="","",138)</f>
        <v>138</v>
      </c>
      <c r="C146" s="13" t="str">
        <f>IF($K146="","",INDEX('Detalle individual'!$A:$A,$K146))</f>
        <v>712</v>
      </c>
      <c r="D146" s="72" t="str">
        <f>IF($K146="","",TRIM(INDEX('Detalle individual'!$B:$B,$K146)))</f>
        <v>EDGARDO ISAIAS PEÑATE RIVAS</v>
      </c>
      <c r="E146" s="72" t="str">
        <f>IF($K146="","",TRIM(INDEX('Detalle individual'!$E:$E,$K146)))</f>
        <v>ASISTENTE TECNICO DEL FONDO DE SOLIDARIDAD</v>
      </c>
      <c r="F146" s="72" t="str">
        <f>IF($K146="","",TRIM(INDEX('Detalle individual'!$C:$C,$K146)))</f>
        <v>DEPARTAMENTO DE ATENCION A ASOCIADO Y CLIENTE</v>
      </c>
      <c r="G146" s="72" t="str">
        <f>IF($K146="","",INDEX('Detalle individual'!$D:$D,$K146))</f>
        <v>Gerencia de Negocios</v>
      </c>
      <c r="H146" s="13" t="str">
        <f>IF($K146="","",INDEX('Detalle individual'!$F:$F,$K146))</f>
        <v>Completado</v>
      </c>
      <c r="I146" s="20">
        <f>IF($K146="","",IF(INDEX('Detalle individual'!$F:$F,$K146)="Completado",INDEX('Detalle individual'!$H:$H,$K146),""))</f>
        <v>46304.37650462963</v>
      </c>
      <c r="J146" s="21">
        <f>IF($K146="","",IF(INDEX('Detalle individual'!$F:$F,$K146)="Completado",INDEX('Detalle individual'!$J:$J,$K146),""))</f>
        <v>100</v>
      </c>
      <c r="K146">
        <f>IFERROR(MOD(SMALL(Cálculos!$Z$5:$Z$1000,138),10000),"")</f>
        <v>140</v>
      </c>
    </row>
    <row r="147">
      <c r="B147" s="13">
        <f>IF($K147="","",139)</f>
        <v>139</v>
      </c>
      <c r="C147" s="13" t="str">
        <f>IF($K147="","",INDEX('Detalle individual'!$A:$A,$K147))</f>
        <v>744</v>
      </c>
      <c r="D147" s="72" t="str">
        <f>IF($K147="","",TRIM(INDEX('Detalle individual'!$B:$B,$K147)))</f>
        <v>KARLA PATRICIA ROBLES CORTEZ</v>
      </c>
      <c r="E147" s="72" t="str">
        <f>IF($K147="","",TRIM(INDEX('Detalle individual'!$E:$E,$K147)))</f>
        <v>ASISTENTE TECNICO DE AFILIACION</v>
      </c>
      <c r="F147" s="72" t="str">
        <f>IF($K147="","",TRIM(INDEX('Detalle individual'!$C:$C,$K147)))</f>
        <v>DEPARTAMENTO DE ATENCION A ASOCIADO Y CLIENTE</v>
      </c>
      <c r="G147" s="72" t="str">
        <f>IF($K147="","",INDEX('Detalle individual'!$D:$D,$K147))</f>
        <v>Gerencia de Negocios</v>
      </c>
      <c r="H147" s="13" t="str">
        <f>IF($K147="","",INDEX('Detalle individual'!$F:$F,$K147))</f>
        <v>Completado</v>
      </c>
      <c r="I147" s="20">
        <f>IF($K147="","",IF(INDEX('Detalle individual'!$F:$F,$K147)="Completado",INDEX('Detalle individual'!$H:$H,$K147),""))</f>
        <v>46308.622615740744</v>
      </c>
      <c r="J147" s="21">
        <f>IF($K147="","",IF(INDEX('Detalle individual'!$F:$F,$K147)="Completado",INDEX('Detalle individual'!$J:$J,$K147),""))</f>
        <v>90</v>
      </c>
      <c r="K147">
        <f>IFERROR(MOD(SMALL(Cálculos!$Z$5:$Z$1000,139),10000),"")</f>
        <v>141</v>
      </c>
    </row>
    <row r="148">
      <c r="B148" s="13">
        <f>IF($K148="","",140)</f>
        <v>140</v>
      </c>
      <c r="C148" s="13" t="str">
        <f>IF($K148="","",INDEX('Detalle individual'!$A:$A,$K148))</f>
        <v>887</v>
      </c>
      <c r="D148" s="72" t="str">
        <f>IF($K148="","",TRIM(INDEX('Detalle individual'!$B:$B,$K148)))</f>
        <v>EMERSON ULISES BELTRAN CORTEZ</v>
      </c>
      <c r="E148" s="72" t="str">
        <f>IF($K148="","",TRIM(INDEX('Detalle individual'!$E:$E,$K148)))</f>
        <v>AUXILIAR DE ATENCION A ASOCIADOS</v>
      </c>
      <c r="F148" s="72" t="str">
        <f>IF($K148="","",TRIM(INDEX('Detalle individual'!$C:$C,$K148)))</f>
        <v>DEPARTAMENTO DE ATENCION A ASOCIADO Y CLIENTE</v>
      </c>
      <c r="G148" s="72" t="str">
        <f>IF($K148="","",INDEX('Detalle individual'!$D:$D,$K148))</f>
        <v>Gerencia de Negocios</v>
      </c>
      <c r="H148" s="13" t="str">
        <f>IF($K148="","",INDEX('Detalle individual'!$F:$F,$K148))</f>
        <v>Completado</v>
      </c>
      <c r="I148" s="20">
        <f>IF($K148="","",IF(INDEX('Detalle individual'!$F:$F,$K148)="Completado",INDEX('Detalle individual'!$H:$H,$K148),""))</f>
        <v>46308.64163194445</v>
      </c>
      <c r="J148" s="21">
        <f>IF($K148="","",IF(INDEX('Detalle individual'!$F:$F,$K148)="Completado",INDEX('Detalle individual'!$J:$J,$K148),""))</f>
        <v>100</v>
      </c>
      <c r="K148">
        <f>IFERROR(MOD(SMALL(Cálculos!$Z$5:$Z$1000,140),10000),"")</f>
        <v>142</v>
      </c>
    </row>
    <row r="149">
      <c r="B149" s="13">
        <f>IF($K149="","",141)</f>
        <v>141</v>
      </c>
      <c r="C149" s="13" t="str">
        <f>IF($K149="","",INDEX('Detalle individual'!$A:$A,$K149))</f>
        <v>945</v>
      </c>
      <c r="D149" s="72" t="str">
        <f>IF($K149="","",TRIM(INDEX('Detalle individual'!$B:$B,$K149)))</f>
        <v>FABIOLA ELIZABETH TICAS GOMEZ</v>
      </c>
      <c r="E149" s="72" t="str">
        <f>IF($K149="","",TRIM(INDEX('Detalle individual'!$E:$E,$K149)))</f>
        <v>RECEPCIONISTA</v>
      </c>
      <c r="F149" s="72" t="str">
        <f>IF($K149="","",TRIM(INDEX('Detalle individual'!$C:$C,$K149)))</f>
        <v>DEPARTAMENTO DE ATENCION A ASOCIADO Y CLIENTE</v>
      </c>
      <c r="G149" s="72" t="str">
        <f>IF($K149="","",INDEX('Detalle individual'!$D:$D,$K149))</f>
        <v>Gerencia de Negocios</v>
      </c>
      <c r="H149" s="13" t="str">
        <f>IF($K149="","",INDEX('Detalle individual'!$F:$F,$K149))</f>
        <v>Completado</v>
      </c>
      <c r="I149" s="20">
        <f>IF($K149="","",IF(INDEX('Detalle individual'!$F:$F,$K149)="Completado",INDEX('Detalle individual'!$H:$H,$K149),""))</f>
        <v>46309.409166666665</v>
      </c>
      <c r="J149" s="21">
        <f>IF($K149="","",IF(INDEX('Detalle individual'!$F:$F,$K149)="Completado",INDEX('Detalle individual'!$J:$J,$K149),""))</f>
        <v>100</v>
      </c>
      <c r="K149">
        <f>IFERROR(MOD(SMALL(Cálculos!$Z$5:$Z$1000,141),10000),"")</f>
        <v>143</v>
      </c>
    </row>
    <row r="150">
      <c r="B150" s="13">
        <f>IF($K150="","",142)</f>
        <v>142</v>
      </c>
      <c r="C150" s="13" t="str">
        <f>IF($K150="","",INDEX('Detalle individual'!$A:$A,$K150))</f>
        <v>981</v>
      </c>
      <c r="D150" s="72" t="str">
        <f>IF($K150="","",TRIM(INDEX('Detalle individual'!$B:$B,$K150)))</f>
        <v>ALAN RODRIGO BENITEZ RODRIGUEZ</v>
      </c>
      <c r="E150" s="72" t="str">
        <f>IF($K150="","",TRIM(INDEX('Detalle individual'!$E:$E,$K150)))</f>
        <v>PASANTE</v>
      </c>
      <c r="F150" s="72" t="str">
        <f>IF($K150="","",TRIM(INDEX('Detalle individual'!$C:$C,$K150)))</f>
        <v>DEPARTAMENTO DE ATENCION A ASOCIADO Y CLIENTE</v>
      </c>
      <c r="G150" s="72" t="str">
        <f>IF($K150="","",INDEX('Detalle individual'!$D:$D,$K150))</f>
        <v>Gerencia de Negocios</v>
      </c>
      <c r="H150" s="13" t="str">
        <f>IF($K150="","",INDEX('Detalle individual'!$F:$F,$K150))</f>
        <v>Completado</v>
      </c>
      <c r="I150" s="20">
        <f>IF($K150="","",IF(INDEX('Detalle individual'!$F:$F,$K150)="Completado",INDEX('Detalle individual'!$H:$H,$K150),""))</f>
        <v>46310.70625</v>
      </c>
      <c r="J150" s="21">
        <f>IF($K150="","",IF(INDEX('Detalle individual'!$F:$F,$K150)="Completado",INDEX('Detalle individual'!$J:$J,$K150),""))</f>
        <v>100</v>
      </c>
      <c r="K150">
        <f>IFERROR(MOD(SMALL(Cálculos!$Z$5:$Z$1000,142),10000),"")</f>
        <v>144</v>
      </c>
    </row>
    <row r="151">
      <c r="B151" s="13">
        <f>IF($K151="","",143)</f>
        <v>143</v>
      </c>
      <c r="C151" s="13" t="str">
        <f>IF($K151="","",INDEX('Detalle individual'!$A:$A,$K151))</f>
        <v>986</v>
      </c>
      <c r="D151" s="72" t="str">
        <f>IF($K151="","",TRIM(INDEX('Detalle individual'!$B:$B,$K151)))</f>
        <v>JENNIFER ROXANA AYALA AYALA</v>
      </c>
      <c r="E151" s="72" t="str">
        <f>IF($K151="","",TRIM(INDEX('Detalle individual'!$E:$E,$K151)))</f>
        <v>ASISTENTE TECNICO DEL FONDO DE SOLIDARIDAD</v>
      </c>
      <c r="F151" s="72" t="str">
        <f>IF($K151="","",TRIM(INDEX('Detalle individual'!$C:$C,$K151)))</f>
        <v>DEPARTAMENTO DE ATENCION A ASOCIADO Y CLIENTE</v>
      </c>
      <c r="G151" s="72" t="str">
        <f>IF($K151="","",INDEX('Detalle individual'!$D:$D,$K151))</f>
        <v>Gerencia de Negocios</v>
      </c>
      <c r="H151" s="13" t="str">
        <f>IF($K151="","",INDEX('Detalle individual'!$F:$F,$K151))</f>
        <v>Completado</v>
      </c>
      <c r="I151" s="20">
        <f>IF($K151="","",IF(INDEX('Detalle individual'!$F:$F,$K151)="Completado",INDEX('Detalle individual'!$H:$H,$K151),""))</f>
        <v>46308.713692129626</v>
      </c>
      <c r="J151" s="21">
        <f>IF($K151="","",IF(INDEX('Detalle individual'!$F:$F,$K151)="Completado",INDEX('Detalle individual'!$J:$J,$K151),""))</f>
        <v>80</v>
      </c>
      <c r="K151">
        <f>IFERROR(MOD(SMALL(Cálculos!$Z$5:$Z$1000,143),10000),"")</f>
        <v>297</v>
      </c>
    </row>
    <row r="152">
      <c r="B152" s="13">
        <f>IF($K152="","",144)</f>
        <v>144</v>
      </c>
      <c r="C152" s="13" t="str">
        <f>IF($K152="","",INDEX('Detalle individual'!$A:$A,$K152))</f>
        <v>330</v>
      </c>
      <c r="D152" s="72" t="str">
        <f>IF($K152="","",TRIM(INDEX('Detalle individual'!$B:$B,$K152)))</f>
        <v>MERALYS CHAVEZ RODRIGUEZ</v>
      </c>
      <c r="E152" s="72" t="str">
        <f>IF($K152="","",TRIM(INDEX('Detalle individual'!$E:$E,$K152)))</f>
        <v>AUDITOR INTERNO</v>
      </c>
      <c r="F152" s="72" t="str">
        <f>IF($K152="","",TRIM(INDEX('Detalle individual'!$C:$C,$K152)))</f>
        <v>DEPARTAMENTO DE AUDITORIA INTERNA</v>
      </c>
      <c r="G152" s="72" t="str">
        <f>IF($K152="","",INDEX('Detalle individual'!$D:$D,$K152))</f>
        <v>Auditoría Interna</v>
      </c>
      <c r="H152" s="13" t="str">
        <f>IF($K152="","",INDEX('Detalle individual'!$F:$F,$K152))</f>
        <v>Completado</v>
      </c>
      <c r="I152" s="20">
        <f>IF($K152="","",IF(INDEX('Detalle individual'!$F:$F,$K152)="Completado",INDEX('Detalle individual'!$H:$H,$K152),""))</f>
        <v>46307.652766203704</v>
      </c>
      <c r="J152" s="21">
        <f>IF($K152="","",IF(INDEX('Detalle individual'!$F:$F,$K152)="Completado",INDEX('Detalle individual'!$J:$J,$K152),""))</f>
        <v>100</v>
      </c>
      <c r="K152">
        <f>IFERROR(MOD(SMALL(Cálculos!$Z$5:$Z$1000,144),10000),"")</f>
        <v>123</v>
      </c>
    </row>
    <row r="153">
      <c r="B153" s="13">
        <f>IF($K153="","",145)</f>
        <v>145</v>
      </c>
      <c r="C153" s="13" t="str">
        <f>IF($K153="","",INDEX('Detalle individual'!$A:$A,$K153))</f>
        <v>424</v>
      </c>
      <c r="D153" s="72" t="str">
        <f>IF($K153="","",TRIM(INDEX('Detalle individual'!$B:$B,$K153)))</f>
        <v>MAYRA LISSETTE LOPEZ SANCHEZ</v>
      </c>
      <c r="E153" s="72" t="str">
        <f>IF($K153="","",TRIM(INDEX('Detalle individual'!$E:$E,$K153)))</f>
        <v>SUPERVISOR DE AUDITORIA INTERNA</v>
      </c>
      <c r="F153" s="72" t="str">
        <f>IF($K153="","",TRIM(INDEX('Detalle individual'!$C:$C,$K153)))</f>
        <v>DEPARTAMENTO DE AUDITORIA INTERNA</v>
      </c>
      <c r="G153" s="72" t="str">
        <f>IF($K153="","",INDEX('Detalle individual'!$D:$D,$K153))</f>
        <v>Auditoría Interna</v>
      </c>
      <c r="H153" s="13" t="str">
        <f>IF($K153="","",INDEX('Detalle individual'!$F:$F,$K153))</f>
        <v>Completado</v>
      </c>
      <c r="I153" s="20">
        <f>IF($K153="","",IF(INDEX('Detalle individual'!$F:$F,$K153)="Completado",INDEX('Detalle individual'!$H:$H,$K153),""))</f>
        <v>46304.404328703706</v>
      </c>
      <c r="J153" s="21">
        <f>IF($K153="","",IF(INDEX('Detalle individual'!$F:$F,$K153)="Completado",INDEX('Detalle individual'!$J:$J,$K153),""))</f>
        <v>90</v>
      </c>
      <c r="K153">
        <f>IFERROR(MOD(SMALL(Cálculos!$Z$5:$Z$1000,145),10000),"")</f>
        <v>124</v>
      </c>
    </row>
    <row r="154">
      <c r="B154" s="13">
        <f>IF($K154="","",146)</f>
        <v>146</v>
      </c>
      <c r="C154" s="13" t="str">
        <f>IF($K154="","",INDEX('Detalle individual'!$A:$A,$K154))</f>
        <v>534</v>
      </c>
      <c r="D154" s="72" t="str">
        <f>IF($K154="","",TRIM(INDEX('Detalle individual'!$B:$B,$K154)))</f>
        <v>NELSON DANILO BENITEZ MENDEZ</v>
      </c>
      <c r="E154" s="72" t="str">
        <f>IF($K154="","",TRIM(INDEX('Detalle individual'!$E:$E,$K154)))</f>
        <v>AUDITOR DE SISTEMAS</v>
      </c>
      <c r="F154" s="72" t="str">
        <f>IF($K154="","",TRIM(INDEX('Detalle individual'!$C:$C,$K154)))</f>
        <v>DEPARTAMENTO DE AUDITORIA INTERNA</v>
      </c>
      <c r="G154" s="72" t="str">
        <f>IF($K154="","",INDEX('Detalle individual'!$D:$D,$K154))</f>
        <v>Auditoría Interna</v>
      </c>
      <c r="H154" s="13" t="str">
        <f>IF($K154="","",INDEX('Detalle individual'!$F:$F,$K154))</f>
        <v>Completado</v>
      </c>
      <c r="I154" s="20">
        <f>IF($K154="","",IF(INDEX('Detalle individual'!$F:$F,$K154)="Completado",INDEX('Detalle individual'!$H:$H,$K154),""))</f>
        <v>46307.43875</v>
      </c>
      <c r="J154" s="21">
        <f>IF($K154="","",IF(INDEX('Detalle individual'!$F:$F,$K154)="Completado",INDEX('Detalle individual'!$J:$J,$K154),""))</f>
        <v>100</v>
      </c>
      <c r="K154">
        <f>IFERROR(MOD(SMALL(Cálculos!$Z$5:$Z$1000,146),10000),"")</f>
        <v>125</v>
      </c>
    </row>
    <row r="155">
      <c r="B155" s="13">
        <f>IF($K155="","",147)</f>
        <v>147</v>
      </c>
      <c r="C155" s="13" t="str">
        <f>IF($K155="","",INDEX('Detalle individual'!$A:$A,$K155))</f>
        <v>548</v>
      </c>
      <c r="D155" s="72" t="str">
        <f>IF($K155="","",TRIM(INDEX('Detalle individual'!$B:$B,$K155)))</f>
        <v>ZORAIDA LORENA LOPEZ MEDINA</v>
      </c>
      <c r="E155" s="72" t="str">
        <f>IF($K155="","",TRIM(INDEX('Detalle individual'!$E:$E,$K155)))</f>
        <v>ASISTENTE DE AUDITORIA INTERNA</v>
      </c>
      <c r="F155" s="72" t="str">
        <f>IF($K155="","",TRIM(INDEX('Detalle individual'!$C:$C,$K155)))</f>
        <v>DEPARTAMENTO DE AUDITORIA INTERNA</v>
      </c>
      <c r="G155" s="72" t="str">
        <f>IF($K155="","",INDEX('Detalle individual'!$D:$D,$K155))</f>
        <v>Auditoría Interna</v>
      </c>
      <c r="H155" s="13" t="str">
        <f>IF($K155="","",INDEX('Detalle individual'!$F:$F,$K155))</f>
        <v>Completado</v>
      </c>
      <c r="I155" s="20">
        <f>IF($K155="","",IF(INDEX('Detalle individual'!$F:$F,$K155)="Completado",INDEX('Detalle individual'!$H:$H,$K155),""))</f>
        <v>46296.711550925924</v>
      </c>
      <c r="J155" s="21">
        <f>IF($K155="","",IF(INDEX('Detalle individual'!$F:$F,$K155)="Completado",INDEX('Detalle individual'!$J:$J,$K155),""))</f>
        <v>100</v>
      </c>
      <c r="K155">
        <f>IFERROR(MOD(SMALL(Cálculos!$Z$5:$Z$1000,147),10000),"")</f>
        <v>126</v>
      </c>
    </row>
    <row r="156">
      <c r="B156" s="13">
        <f>IF($K156="","",148)</f>
        <v>148</v>
      </c>
      <c r="C156" s="13" t="str">
        <f>IF($K156="","",INDEX('Detalle individual'!$A:$A,$K156))</f>
        <v>742</v>
      </c>
      <c r="D156" s="72" t="str">
        <f>IF($K156="","",TRIM(INDEX('Detalle individual'!$B:$B,$K156)))</f>
        <v>PATRICIA GUADALUPE SEGOVIA RAMIREZ</v>
      </c>
      <c r="E156" s="72" t="str">
        <f>IF($K156="","",TRIM(INDEX('Detalle individual'!$E:$E,$K156)))</f>
        <v>ASISTENTE DE AUDITORIA INTERNA</v>
      </c>
      <c r="F156" s="72" t="str">
        <f>IF($K156="","",TRIM(INDEX('Detalle individual'!$C:$C,$K156)))</f>
        <v>DEPARTAMENTO DE AUDITORIA INTERNA</v>
      </c>
      <c r="G156" s="72" t="str">
        <f>IF($K156="","",INDEX('Detalle individual'!$D:$D,$K156))</f>
        <v>Auditoría Interna</v>
      </c>
      <c r="H156" s="13" t="str">
        <f>IF($K156="","",INDEX('Detalle individual'!$F:$F,$K156))</f>
        <v>Completado</v>
      </c>
      <c r="I156" s="20">
        <f>IF($K156="","",IF(INDEX('Detalle individual'!$F:$F,$K156)="Completado",INDEX('Detalle individual'!$H:$H,$K156),""))</f>
        <v>46304.40319444444</v>
      </c>
      <c r="J156" s="21">
        <f>IF($K156="","",IF(INDEX('Detalle individual'!$F:$F,$K156)="Completado",INDEX('Detalle individual'!$J:$J,$K156),""))</f>
        <v>90</v>
      </c>
      <c r="K156">
        <f>IFERROR(MOD(SMALL(Cálculos!$Z$5:$Z$1000,148),10000),"")</f>
        <v>127</v>
      </c>
    </row>
    <row r="157">
      <c r="B157" s="13">
        <f>IF($K157="","",149)</f>
        <v>149</v>
      </c>
      <c r="C157" s="13" t="str">
        <f>IF($K157="","",INDEX('Detalle individual'!$A:$A,$K157))</f>
        <v>750</v>
      </c>
      <c r="D157" s="72" t="str">
        <f>IF($K157="","",TRIM(INDEX('Detalle individual'!$B:$B,$K157)))</f>
        <v>MARLON ANTONIO BONILLA GARCIA</v>
      </c>
      <c r="E157" s="72" t="str">
        <f>IF($K157="","",TRIM(INDEX('Detalle individual'!$E:$E,$K157)))</f>
        <v>ASISTENTE DE AUDITORIA INTERNA</v>
      </c>
      <c r="F157" s="72" t="str">
        <f>IF($K157="","",TRIM(INDEX('Detalle individual'!$C:$C,$K157)))</f>
        <v>DEPARTAMENTO DE AUDITORIA INTERNA</v>
      </c>
      <c r="G157" s="72" t="str">
        <f>IF($K157="","",INDEX('Detalle individual'!$D:$D,$K157))</f>
        <v>Auditoría Interna</v>
      </c>
      <c r="H157" s="13" t="str">
        <f>IF($K157="","",INDEX('Detalle individual'!$F:$F,$K157))</f>
        <v>Completado</v>
      </c>
      <c r="I157" s="20">
        <f>IF($K157="","",IF(INDEX('Detalle individual'!$F:$F,$K157)="Completado",INDEX('Detalle individual'!$H:$H,$K157),""))</f>
        <v>46296.62321759259</v>
      </c>
      <c r="J157" s="21">
        <f>IF($K157="","",IF(INDEX('Detalle individual'!$F:$F,$K157)="Completado",INDEX('Detalle individual'!$J:$J,$K157),""))</f>
        <v>100</v>
      </c>
      <c r="K157">
        <f>IFERROR(MOD(SMALL(Cálculos!$Z$5:$Z$1000,149),10000),"")</f>
        <v>128</v>
      </c>
    </row>
    <row r="158">
      <c r="B158" s="13">
        <f>IF($K158="","",150)</f>
        <v>150</v>
      </c>
      <c r="C158" s="13" t="str">
        <f>IF($K158="","",INDEX('Detalle individual'!$A:$A,$K158))</f>
        <v>865</v>
      </c>
      <c r="D158" s="72" t="str">
        <f>IF($K158="","",TRIM(INDEX('Detalle individual'!$B:$B,$K158)))</f>
        <v>MARIA ELENA VALLE BENAVIDES</v>
      </c>
      <c r="E158" s="72" t="str">
        <f>IF($K158="","",TRIM(INDEX('Detalle individual'!$E:$E,$K158)))</f>
        <v>ASISTENTE DE AUDITORIA INTERNA</v>
      </c>
      <c r="F158" s="72" t="str">
        <f>IF($K158="","",TRIM(INDEX('Detalle individual'!$C:$C,$K158)))</f>
        <v>DEPARTAMENTO DE AUDITORIA INTERNA</v>
      </c>
      <c r="G158" s="72" t="str">
        <f>IF($K158="","",INDEX('Detalle individual'!$D:$D,$K158))</f>
        <v>Auditoría Interna</v>
      </c>
      <c r="H158" s="13" t="str">
        <f>IF($K158="","",INDEX('Detalle individual'!$F:$F,$K158))</f>
        <v>Completado</v>
      </c>
      <c r="I158" s="20">
        <f>IF($K158="","",IF(INDEX('Detalle individual'!$F:$F,$K158)="Completado",INDEX('Detalle individual'!$H:$H,$K158),""))</f>
        <v>46296.68074074074</v>
      </c>
      <c r="J158" s="21">
        <f>IF($K158="","",IF(INDEX('Detalle individual'!$F:$F,$K158)="Completado",INDEX('Detalle individual'!$J:$J,$K158),""))</f>
        <v>100</v>
      </c>
      <c r="K158">
        <f>IFERROR(MOD(SMALL(Cálculos!$Z$5:$Z$1000,150),10000),"")</f>
        <v>129</v>
      </c>
    </row>
    <row r="159">
      <c r="B159" s="13">
        <f>IF($K159="","",151)</f>
        <v>151</v>
      </c>
      <c r="C159" s="13" t="str">
        <f>IF($K159="","",INDEX('Detalle individual'!$A:$A,$K159))</f>
        <v>70</v>
      </c>
      <c r="D159" s="72" t="str">
        <f>IF($K159="","",TRIM(INDEX('Detalle individual'!$B:$B,$K159)))</f>
        <v>RUBIA ESTELA LEIVA SIBRIAN</v>
      </c>
      <c r="E159" s="72" t="str">
        <f>IF($K159="","",TRIM(INDEX('Detalle individual'!$E:$E,$K159)))</f>
        <v>ASISTENTE TECNICO DE PAGOS</v>
      </c>
      <c r="F159" s="72" t="str">
        <f>IF($K159="","",TRIM(INDEX('Detalle individual'!$C:$C,$K159)))</f>
        <v>DEPARTAMENTO DE CONTABILIDAD</v>
      </c>
      <c r="G159" s="72" t="str">
        <f>IF($K159="","",INDEX('Detalle individual'!$D:$D,$K159))</f>
        <v>Gerencia de Finanzas y Planificación</v>
      </c>
      <c r="H159" s="13" t="str">
        <f>IF($K159="","",INDEX('Detalle individual'!$F:$F,$K159))</f>
        <v>Completado</v>
      </c>
      <c r="I159" s="20">
        <f>IF($K159="","",IF(INDEX('Detalle individual'!$F:$F,$K159)="Completado",INDEX('Detalle individual'!$H:$H,$K159),""))</f>
        <v>46309.709386574075</v>
      </c>
      <c r="J159" s="21">
        <f>IF($K159="","",IF(INDEX('Detalle individual'!$F:$F,$K159)="Completado",INDEX('Detalle individual'!$J:$J,$K159),""))</f>
        <v>100</v>
      </c>
      <c r="K159">
        <f>IFERROR(MOD(SMALL(Cálculos!$Z$5:$Z$1000,151),10000),"")</f>
        <v>85</v>
      </c>
    </row>
    <row r="160">
      <c r="B160" s="13">
        <f>IF($K160="","",152)</f>
        <v>152</v>
      </c>
      <c r="C160" s="13" t="str">
        <f>IF($K160="","",INDEX('Detalle individual'!$A:$A,$K160))</f>
        <v>235</v>
      </c>
      <c r="D160" s="72" t="str">
        <f>IF($K160="","",TRIM(INDEX('Detalle individual'!$B:$B,$K160)))</f>
        <v>CLAUDIA MARLENE CABRERA SANCHEZ</v>
      </c>
      <c r="E160" s="72" t="str">
        <f>IF($K160="","",TRIM(INDEX('Detalle individual'!$E:$E,$K160)))</f>
        <v>SUPERVISOR DE CONTABILIDAD</v>
      </c>
      <c r="F160" s="72" t="str">
        <f>IF($K160="","",TRIM(INDEX('Detalle individual'!$C:$C,$K160)))</f>
        <v>DEPARTAMENTO DE CONTABILIDAD</v>
      </c>
      <c r="G160" s="72" t="str">
        <f>IF($K160="","",INDEX('Detalle individual'!$D:$D,$K160))</f>
        <v>Gerencia de Finanzas y Planificación</v>
      </c>
      <c r="H160" s="13" t="str">
        <f>IF($K160="","",INDEX('Detalle individual'!$F:$F,$K160))</f>
        <v>Completado</v>
      </c>
      <c r="I160" s="20">
        <f>IF($K160="","",IF(INDEX('Detalle individual'!$F:$F,$K160)="Completado",INDEX('Detalle individual'!$H:$H,$K160),""))</f>
        <v>46310.569606481484</v>
      </c>
      <c r="J160" s="21">
        <f>IF($K160="","",IF(INDEX('Detalle individual'!$F:$F,$K160)="Completado",INDEX('Detalle individual'!$J:$J,$K160),""))</f>
        <v>100</v>
      </c>
      <c r="K160">
        <f>IFERROR(MOD(SMALL(Cálculos!$Z$5:$Z$1000,152),10000),"")</f>
        <v>86</v>
      </c>
    </row>
    <row r="161">
      <c r="B161" s="13">
        <f>IF($K161="","",153)</f>
        <v>153</v>
      </c>
      <c r="C161" s="13" t="str">
        <f>IF($K161="","",INDEX('Detalle individual'!$A:$A,$K161))</f>
        <v>373</v>
      </c>
      <c r="D161" s="72" t="str">
        <f>IF($K161="","",TRIM(INDEX('Detalle individual'!$B:$B,$K161)))</f>
        <v>MARTA ELIZABETH RODRIGUEZ INESTROZA</v>
      </c>
      <c r="E161" s="72" t="str">
        <f>IF($K161="","",TRIM(INDEX('Detalle individual'!$E:$E,$K161)))</f>
        <v>CONTADOR GENERAL</v>
      </c>
      <c r="F161" s="72" t="str">
        <f>IF($K161="","",TRIM(INDEX('Detalle individual'!$C:$C,$K161)))</f>
        <v>DEPARTAMENTO DE CONTABILIDAD</v>
      </c>
      <c r="G161" s="72" t="str">
        <f>IF($K161="","",INDEX('Detalle individual'!$D:$D,$K161))</f>
        <v>Gerencia de Finanzas y Planificación</v>
      </c>
      <c r="H161" s="13" t="str">
        <f>IF($K161="","",INDEX('Detalle individual'!$F:$F,$K161))</f>
        <v>Completado</v>
      </c>
      <c r="I161" s="20">
        <f>IF($K161="","",IF(INDEX('Detalle individual'!$F:$F,$K161)="Completado",INDEX('Detalle individual'!$H:$H,$K161),""))</f>
        <v>46296.82847222222</v>
      </c>
      <c r="J161" s="21">
        <f>IF($K161="","",IF(INDEX('Detalle individual'!$F:$F,$K161)="Completado",INDEX('Detalle individual'!$J:$J,$K161),""))</f>
        <v>100</v>
      </c>
      <c r="K161">
        <f>IFERROR(MOD(SMALL(Cálculos!$Z$5:$Z$1000,153),10000),"")</f>
        <v>87</v>
      </c>
    </row>
    <row r="162">
      <c r="B162" s="13">
        <f>IF($K162="","",154)</f>
        <v>154</v>
      </c>
      <c r="C162" s="13" t="str">
        <f>IF($K162="","",INDEX('Detalle individual'!$A:$A,$K162))</f>
        <v>374</v>
      </c>
      <c r="D162" s="72" t="str">
        <f>IF($K162="","",TRIM(INDEX('Detalle individual'!$B:$B,$K162)))</f>
        <v>THELMA JUDITH QUINTANILLA VALLE</v>
      </c>
      <c r="E162" s="72" t="str">
        <f>IF($K162="","",TRIM(INDEX('Detalle individual'!$E:$E,$K162)))</f>
        <v>AUXILIAR CONTABLE DE DIGITALIZACION</v>
      </c>
      <c r="F162" s="72" t="str">
        <f>IF($K162="","",TRIM(INDEX('Detalle individual'!$C:$C,$K162)))</f>
        <v>DEPARTAMENTO DE CONTABILIDAD</v>
      </c>
      <c r="G162" s="72" t="str">
        <f>IF($K162="","",INDEX('Detalle individual'!$D:$D,$K162))</f>
        <v>Gerencia de Finanzas y Planificación</v>
      </c>
      <c r="H162" s="13" t="str">
        <f>IF($K162="","",INDEX('Detalle individual'!$F:$F,$K162))</f>
        <v>Completado</v>
      </c>
      <c r="I162" s="20">
        <f>IF($K162="","",IF(INDEX('Detalle individual'!$F:$F,$K162)="Completado",INDEX('Detalle individual'!$H:$H,$K162),""))</f>
        <v>46309.386967592596</v>
      </c>
      <c r="J162" s="21">
        <f>IF($K162="","",IF(INDEX('Detalle individual'!$F:$F,$K162)="Completado",INDEX('Detalle individual'!$J:$J,$K162),""))</f>
        <v>85</v>
      </c>
      <c r="K162">
        <f>IFERROR(MOD(SMALL(Cálculos!$Z$5:$Z$1000,154),10000),"")</f>
        <v>88</v>
      </c>
    </row>
    <row r="163">
      <c r="B163" s="13">
        <f>IF($K163="","",155)</f>
        <v>155</v>
      </c>
      <c r="C163" s="13" t="str">
        <f>IF($K163="","",INDEX('Detalle individual'!$A:$A,$K163))</f>
        <v>571</v>
      </c>
      <c r="D163" s="72" t="str">
        <f>IF($K163="","",TRIM(INDEX('Detalle individual'!$B:$B,$K163)))</f>
        <v>MILAGRO TRINIDAD ROMERO MONTERROSA</v>
      </c>
      <c r="E163" s="72" t="str">
        <f>IF($K163="","",TRIM(INDEX('Detalle individual'!$E:$E,$K163)))</f>
        <v>ASISTENTE TECNICO DE IMPUESTOS</v>
      </c>
      <c r="F163" s="72" t="str">
        <f>IF($K163="","",TRIM(INDEX('Detalle individual'!$C:$C,$K163)))</f>
        <v>DEPARTAMENTO DE CONTABILIDAD</v>
      </c>
      <c r="G163" s="72" t="str">
        <f>IF($K163="","",INDEX('Detalle individual'!$D:$D,$K163))</f>
        <v>Gerencia de Finanzas y Planificación</v>
      </c>
      <c r="H163" s="13" t="str">
        <f>IF($K163="","",INDEX('Detalle individual'!$F:$F,$K163))</f>
        <v>Completado</v>
      </c>
      <c r="I163" s="20">
        <f>IF($K163="","",IF(INDEX('Detalle individual'!$F:$F,$K163)="Completado",INDEX('Detalle individual'!$H:$H,$K163),""))</f>
        <v>46310.56497685185</v>
      </c>
      <c r="J163" s="21">
        <f>IF($K163="","",IF(INDEX('Detalle individual'!$F:$F,$K163)="Completado",INDEX('Detalle individual'!$J:$J,$K163),""))</f>
        <v>100</v>
      </c>
      <c r="K163">
        <f>IFERROR(MOD(SMALL(Cálculos!$Z$5:$Z$1000,155),10000),"")</f>
        <v>89</v>
      </c>
    </row>
    <row r="164">
      <c r="B164" s="13">
        <f>IF($K164="","",156)</f>
        <v>156</v>
      </c>
      <c r="C164" s="13" t="str">
        <f>IF($K164="","",INDEX('Detalle individual'!$A:$A,$K164))</f>
        <v>676</v>
      </c>
      <c r="D164" s="72" t="str">
        <f>IF($K164="","",TRIM(INDEX('Detalle individual'!$B:$B,$K164)))</f>
        <v>DANIEL ENRIQUE FLORES RAMIREZ</v>
      </c>
      <c r="E164" s="72" t="str">
        <f>IF($K164="","",TRIM(INDEX('Detalle individual'!$E:$E,$K164)))</f>
        <v>ASISTENTE TECNICO DE TARJETA DE CREDITO Y DEBITO</v>
      </c>
      <c r="F164" s="72" t="str">
        <f>IF($K164="","",TRIM(INDEX('Detalle individual'!$C:$C,$K164)))</f>
        <v>DEPARTAMENTO DE CONTABILIDAD</v>
      </c>
      <c r="G164" s="72" t="str">
        <f>IF($K164="","",INDEX('Detalle individual'!$D:$D,$K164))</f>
        <v>Gerencia de Finanzas y Planificación</v>
      </c>
      <c r="H164" s="13" t="str">
        <f>IF($K164="","",INDEX('Detalle individual'!$F:$F,$K164))</f>
        <v>Completado</v>
      </c>
      <c r="I164" s="20">
        <f>IF($K164="","",IF(INDEX('Detalle individual'!$F:$F,$K164)="Completado",INDEX('Detalle individual'!$H:$H,$K164),""))</f>
        <v>46304.36083333333</v>
      </c>
      <c r="J164" s="21">
        <f>IF($K164="","",IF(INDEX('Detalle individual'!$F:$F,$K164)="Completado",INDEX('Detalle individual'!$J:$J,$K164),""))</f>
        <v>100</v>
      </c>
      <c r="K164">
        <f>IFERROR(MOD(SMALL(Cálculos!$Z$5:$Z$1000,156),10000),"")</f>
        <v>90</v>
      </c>
    </row>
    <row r="165">
      <c r="B165" s="13">
        <f>IF($K165="","",157)</f>
        <v>157</v>
      </c>
      <c r="C165" s="13" t="str">
        <f>IF($K165="","",INDEX('Detalle individual'!$A:$A,$K165))</f>
        <v>733</v>
      </c>
      <c r="D165" s="72" t="str">
        <f>IF($K165="","",TRIM(INDEX('Detalle individual'!$B:$B,$K165)))</f>
        <v>ROSSEMARY YAMILETH LOBATO MARTINEZ</v>
      </c>
      <c r="E165" s="72" t="str">
        <f>IF($K165="","",TRIM(INDEX('Detalle individual'!$E:$E,$K165)))</f>
        <v>ASISTENTE TECNICO DE PAGOS</v>
      </c>
      <c r="F165" s="72" t="str">
        <f>IF($K165="","",TRIM(INDEX('Detalle individual'!$C:$C,$K165)))</f>
        <v>DEPARTAMENTO DE CONTABILIDAD</v>
      </c>
      <c r="G165" s="72" t="str">
        <f>IF($K165="","",INDEX('Detalle individual'!$D:$D,$K165))</f>
        <v>Gerencia de Finanzas y Planificación</v>
      </c>
      <c r="H165" s="13" t="str">
        <f>IF($K165="","",INDEX('Detalle individual'!$F:$F,$K165))</f>
        <v>Completado</v>
      </c>
      <c r="I165" s="20">
        <f>IF($K165="","",IF(INDEX('Detalle individual'!$F:$F,$K165)="Completado",INDEX('Detalle individual'!$H:$H,$K165),""))</f>
        <v>46300.31707175926</v>
      </c>
      <c r="J165" s="21">
        <f>IF($K165="","",IF(INDEX('Detalle individual'!$F:$F,$K165)="Completado",INDEX('Detalle individual'!$J:$J,$K165),""))</f>
        <v>100</v>
      </c>
      <c r="K165">
        <f>IFERROR(MOD(SMALL(Cálculos!$Z$5:$Z$1000,157),10000),"")</f>
        <v>91</v>
      </c>
    </row>
    <row r="166">
      <c r="B166" s="13">
        <f>IF($K166="","",158)</f>
        <v>158</v>
      </c>
      <c r="C166" s="13" t="str">
        <f>IF($K166="","",INDEX('Detalle individual'!$A:$A,$K166))</f>
        <v>749</v>
      </c>
      <c r="D166" s="72" t="str">
        <f>IF($K166="","",TRIM(INDEX('Detalle individual'!$B:$B,$K166)))</f>
        <v>JENNIFER MARCELA MORALES TORRES</v>
      </c>
      <c r="E166" s="72" t="str">
        <f>IF($K166="","",TRIM(INDEX('Detalle individual'!$E:$E,$K166)))</f>
        <v>CONTADOR BANCARIO</v>
      </c>
      <c r="F166" s="72" t="str">
        <f>IF($K166="","",TRIM(INDEX('Detalle individual'!$C:$C,$K166)))</f>
        <v>DEPARTAMENTO DE CONTABILIDAD</v>
      </c>
      <c r="G166" s="72" t="str">
        <f>IF($K166="","",INDEX('Detalle individual'!$D:$D,$K166))</f>
        <v>Gerencia de Finanzas y Planificación</v>
      </c>
      <c r="H166" s="13" t="str">
        <f>IF($K166="","",INDEX('Detalle individual'!$F:$F,$K166))</f>
        <v>Completado</v>
      </c>
      <c r="I166" s="20">
        <f>IF($K166="","",IF(INDEX('Detalle individual'!$F:$F,$K166)="Completado",INDEX('Detalle individual'!$H:$H,$K166),""))</f>
        <v>46307.39042824074</v>
      </c>
      <c r="J166" s="21">
        <f>IF($K166="","",IF(INDEX('Detalle individual'!$F:$F,$K166)="Completado",INDEX('Detalle individual'!$J:$J,$K166),""))</f>
        <v>100</v>
      </c>
      <c r="K166">
        <f>IFERROR(MOD(SMALL(Cálculos!$Z$5:$Z$1000,158),10000),"")</f>
        <v>92</v>
      </c>
    </row>
    <row r="167">
      <c r="B167" s="13">
        <f>IF($K167="","",159)</f>
        <v>159</v>
      </c>
      <c r="C167" s="13" t="str">
        <f>IF($K167="","",INDEX('Detalle individual'!$A:$A,$K167))</f>
        <v>778</v>
      </c>
      <c r="D167" s="72" t="str">
        <f>IF($K167="","",TRIM(INDEX('Detalle individual'!$B:$B,$K167)))</f>
        <v>ERICK RODRIGO ORTIZ TURCIOS</v>
      </c>
      <c r="E167" s="72" t="str">
        <f>IF($K167="","",TRIM(INDEX('Detalle individual'!$E:$E,$K167)))</f>
        <v>ASISTENTE TECNICO DE AGENCIA CENTRAL</v>
      </c>
      <c r="F167" s="72" t="str">
        <f>IF($K167="","",TRIM(INDEX('Detalle individual'!$C:$C,$K167)))</f>
        <v>DEPARTAMENTO DE CONTABILIDAD</v>
      </c>
      <c r="G167" s="72" t="str">
        <f>IF($K167="","",INDEX('Detalle individual'!$D:$D,$K167))</f>
        <v>Gerencia de Finanzas y Planificación</v>
      </c>
      <c r="H167" s="13" t="str">
        <f>IF($K167="","",INDEX('Detalle individual'!$F:$F,$K167))</f>
        <v>Completado</v>
      </c>
      <c r="I167" s="20">
        <f>IF($K167="","",IF(INDEX('Detalle individual'!$F:$F,$K167)="Completado",INDEX('Detalle individual'!$H:$H,$K167),""))</f>
        <v>46304.33385416667</v>
      </c>
      <c r="J167" s="21">
        <f>IF($K167="","",IF(INDEX('Detalle individual'!$F:$F,$K167)="Completado",INDEX('Detalle individual'!$J:$J,$K167),""))</f>
        <v>100</v>
      </c>
      <c r="K167">
        <f>IFERROR(MOD(SMALL(Cálculos!$Z$5:$Z$1000,159),10000),"")</f>
        <v>93</v>
      </c>
    </row>
    <row r="168">
      <c r="B168" s="13">
        <f>IF($K168="","",160)</f>
        <v>160</v>
      </c>
      <c r="C168" s="13" t="str">
        <f>IF($K168="","",INDEX('Detalle individual'!$A:$A,$K168))</f>
        <v>784</v>
      </c>
      <c r="D168" s="72" t="str">
        <f>IF($K168="","",TRIM(INDEX('Detalle individual'!$B:$B,$K168)))</f>
        <v>BRIAN ADONAY BARRERA ALVARADO</v>
      </c>
      <c r="E168" s="72" t="str">
        <f>IF($K168="","",TRIM(INDEX('Detalle individual'!$E:$E,$K168)))</f>
        <v>CONTADOR DE AGENCIAS</v>
      </c>
      <c r="F168" s="72" t="str">
        <f>IF($K168="","",TRIM(INDEX('Detalle individual'!$C:$C,$K168)))</f>
        <v>DEPARTAMENTO DE CONTABILIDAD</v>
      </c>
      <c r="G168" s="72" t="str">
        <f>IF($K168="","",INDEX('Detalle individual'!$D:$D,$K168))</f>
        <v>Gerencia de Finanzas y Planificación</v>
      </c>
      <c r="H168" s="13" t="str">
        <f>IF($K168="","",INDEX('Detalle individual'!$F:$F,$K168))</f>
        <v>Completado</v>
      </c>
      <c r="I168" s="20">
        <f>IF($K168="","",IF(INDEX('Detalle individual'!$F:$F,$K168)="Completado",INDEX('Detalle individual'!$H:$H,$K168),""))</f>
        <v>46296.62540509259</v>
      </c>
      <c r="J168" s="21">
        <f>IF($K168="","",IF(INDEX('Detalle individual'!$F:$F,$K168)="Completado",INDEX('Detalle individual'!$J:$J,$K168),""))</f>
        <v>100</v>
      </c>
      <c r="K168">
        <f>IFERROR(MOD(SMALL(Cálculos!$Z$5:$Z$1000,160),10000),"")</f>
        <v>94</v>
      </c>
    </row>
    <row r="169">
      <c r="B169" s="13">
        <f>IF($K169="","",161)</f>
        <v>161</v>
      </c>
      <c r="C169" s="13" t="str">
        <f>IF($K169="","",INDEX('Detalle individual'!$A:$A,$K169))</f>
        <v>850</v>
      </c>
      <c r="D169" s="72" t="str">
        <f>IF($K169="","",TRIM(INDEX('Detalle individual'!$B:$B,$K169)))</f>
        <v>ALMA BEATRIZ RAMIREZ SANDOVAL</v>
      </c>
      <c r="E169" s="72" t="str">
        <f>IF($K169="","",TRIM(INDEX('Detalle individual'!$E:$E,$K169)))</f>
        <v>CONTADOR DE AGENCIA NO MONETARIA</v>
      </c>
      <c r="F169" s="72" t="str">
        <f>IF($K169="","",TRIM(INDEX('Detalle individual'!$C:$C,$K169)))</f>
        <v>DEPARTAMENTO DE CONTABILIDAD</v>
      </c>
      <c r="G169" s="72" t="str">
        <f>IF($K169="","",INDEX('Detalle individual'!$D:$D,$K169))</f>
        <v>Gerencia de Finanzas y Planificación</v>
      </c>
      <c r="H169" s="13" t="str">
        <f>IF($K169="","",INDEX('Detalle individual'!$F:$F,$K169))</f>
        <v>Completado</v>
      </c>
      <c r="I169" s="20">
        <f>IF($K169="","",IF(INDEX('Detalle individual'!$F:$F,$K169)="Completado",INDEX('Detalle individual'!$H:$H,$K169),""))</f>
        <v>46304.4002662037</v>
      </c>
      <c r="J169" s="21">
        <f>IF($K169="","",IF(INDEX('Detalle individual'!$F:$F,$K169)="Completado",INDEX('Detalle individual'!$J:$J,$K169),""))</f>
        <v>90</v>
      </c>
      <c r="K169">
        <f>IFERROR(MOD(SMALL(Cálculos!$Z$5:$Z$1000,161),10000),"")</f>
        <v>95</v>
      </c>
    </row>
    <row r="170">
      <c r="B170" s="13">
        <f>IF($K170="","",162)</f>
        <v>162</v>
      </c>
      <c r="C170" s="13" t="str">
        <f>IF($K170="","",INDEX('Detalle individual'!$A:$A,$K170))</f>
        <v>872</v>
      </c>
      <c r="D170" s="72" t="str">
        <f>IF($K170="","",TRIM(INDEX('Detalle individual'!$B:$B,$K170)))</f>
        <v>JOSUE ELIAZAR MARTINEZ RECINOS</v>
      </c>
      <c r="E170" s="72" t="str">
        <f>IF($K170="","",TRIM(INDEX('Detalle individual'!$E:$E,$K170)))</f>
        <v>CONTADOR DE AGENCIAS</v>
      </c>
      <c r="F170" s="72" t="str">
        <f>IF($K170="","",TRIM(INDEX('Detalle individual'!$C:$C,$K170)))</f>
        <v>DEPARTAMENTO DE CONTABILIDAD</v>
      </c>
      <c r="G170" s="72" t="str">
        <f>IF($K170="","",INDEX('Detalle individual'!$D:$D,$K170))</f>
        <v>Gerencia de Finanzas y Planificación</v>
      </c>
      <c r="H170" s="13" t="str">
        <f>IF($K170="","",INDEX('Detalle individual'!$F:$F,$K170))</f>
        <v>Completado</v>
      </c>
      <c r="I170" s="20">
        <f>IF($K170="","",IF(INDEX('Detalle individual'!$F:$F,$K170)="Completado",INDEX('Detalle individual'!$H:$H,$K170),""))</f>
        <v>46301.438738425924</v>
      </c>
      <c r="J170" s="21">
        <f>IF($K170="","",IF(INDEX('Detalle individual'!$F:$F,$K170)="Completado",INDEX('Detalle individual'!$J:$J,$K170),""))</f>
        <v>100</v>
      </c>
      <c r="K170">
        <f>IFERROR(MOD(SMALL(Cálculos!$Z$5:$Z$1000,162),10000),"")</f>
        <v>96</v>
      </c>
    </row>
    <row r="171">
      <c r="B171" s="13">
        <f>IF($K171="","",163)</f>
        <v>163</v>
      </c>
      <c r="C171" s="13" t="str">
        <f>IF($K171="","",INDEX('Detalle individual'!$A:$A,$K171))</f>
        <v>916</v>
      </c>
      <c r="D171" s="72" t="str">
        <f>IF($K171="","",TRIM(INDEX('Detalle individual'!$B:$B,$K171)))</f>
        <v>JORDAN ALEXANDER FLORES HERRERA</v>
      </c>
      <c r="E171" s="72" t="str">
        <f>IF($K171="","",TRIM(INDEX('Detalle individual'!$E:$E,$K171)))</f>
        <v>AUXILIAR CONTABLE DE DIGITALIZACION</v>
      </c>
      <c r="F171" s="72" t="str">
        <f>IF($K171="","",TRIM(INDEX('Detalle individual'!$C:$C,$K171)))</f>
        <v>DEPARTAMENTO DE CONTABILIDAD</v>
      </c>
      <c r="G171" s="72" t="str">
        <f>IF($K171="","",INDEX('Detalle individual'!$D:$D,$K171))</f>
        <v>Gerencia de Finanzas y Planificación</v>
      </c>
      <c r="H171" s="13" t="str">
        <f>IF($K171="","",INDEX('Detalle individual'!$F:$F,$K171))</f>
        <v>Completado</v>
      </c>
      <c r="I171" s="20">
        <f>IF($K171="","",IF(INDEX('Detalle individual'!$F:$F,$K171)="Completado",INDEX('Detalle individual'!$H:$H,$K171),""))</f>
        <v>46309.38695601852</v>
      </c>
      <c r="J171" s="21">
        <f>IF($K171="","",IF(INDEX('Detalle individual'!$F:$F,$K171)="Completado",INDEX('Detalle individual'!$J:$J,$K171),""))</f>
        <v>100</v>
      </c>
      <c r="K171">
        <f>IFERROR(MOD(SMALL(Cálculos!$Z$5:$Z$1000,163),10000),"")</f>
        <v>97</v>
      </c>
    </row>
    <row r="172">
      <c r="B172" s="13">
        <f>IF($K172="","",164)</f>
        <v>164</v>
      </c>
      <c r="C172" s="13" t="str">
        <f>IF($K172="","",INDEX('Detalle individual'!$A:$A,$K172))</f>
        <v>207</v>
      </c>
      <c r="D172" s="72" t="str">
        <f>IF($K172="","",TRIM(INDEX('Detalle individual'!$B:$B,$K172)))</f>
        <v>ANA ESTER ERAZO ORTIZ</v>
      </c>
      <c r="E172" s="72" t="str">
        <f>IF($K172="","",TRIM(INDEX('Detalle individual'!$E:$E,$K172)))</f>
        <v>ANALISTA DE CREDITOS</v>
      </c>
      <c r="F172" s="72" t="str">
        <f>IF($K172="","",TRIM(INDEX('Detalle individual'!$C:$C,$K172)))</f>
        <v>DEPARTAMENTO DE CREDITOS</v>
      </c>
      <c r="G172" s="72" t="str">
        <f>IF($K172="","",INDEX('Detalle individual'!$D:$D,$K172))</f>
        <v>Gerencia de Negocios</v>
      </c>
      <c r="H172" s="13" t="str">
        <f>IF($K172="","",INDEX('Detalle individual'!$F:$F,$K172))</f>
        <v>Completado</v>
      </c>
      <c r="I172" s="20">
        <f>IF($K172="","",IF(INDEX('Detalle individual'!$F:$F,$K172)="Completado",INDEX('Detalle individual'!$H:$H,$K172),""))</f>
        <v>46309.40052083333</v>
      </c>
      <c r="J172" s="21">
        <f>IF($K172="","",IF(INDEX('Detalle individual'!$F:$F,$K172)="Completado",INDEX('Detalle individual'!$J:$J,$K172),""))</f>
        <v>100</v>
      </c>
      <c r="K172">
        <f>IFERROR(MOD(SMALL(Cálculos!$Z$5:$Z$1000,164),10000),"")</f>
        <v>152</v>
      </c>
    </row>
    <row r="173">
      <c r="B173" s="13">
        <f>IF($K173="","",165)</f>
        <v>165</v>
      </c>
      <c r="C173" s="13" t="str">
        <f>IF($K173="","",INDEX('Detalle individual'!$A:$A,$K173))</f>
        <v>345</v>
      </c>
      <c r="D173" s="72" t="str">
        <f>IF($K173="","",TRIM(INDEX('Detalle individual'!$B:$B,$K173)))</f>
        <v>ANA EVELYN ROQUE GALEANO</v>
      </c>
      <c r="E173" s="72" t="str">
        <f>IF($K173="","",TRIM(INDEX('Detalle individual'!$E:$E,$K173)))</f>
        <v>AUXILIAR DE CREDITOS</v>
      </c>
      <c r="F173" s="72" t="str">
        <f>IF($K173="","",TRIM(INDEX('Detalle individual'!$C:$C,$K173)))</f>
        <v>DEPARTAMENTO DE CREDITOS</v>
      </c>
      <c r="G173" s="72" t="str">
        <f>IF($K173="","",INDEX('Detalle individual'!$D:$D,$K173))</f>
        <v>Gerencia de Negocios</v>
      </c>
      <c r="H173" s="13" t="str">
        <f>IF($K173="","",INDEX('Detalle individual'!$F:$F,$K173))</f>
        <v>Completado</v>
      </c>
      <c r="I173" s="20">
        <f>IF($K173="","",IF(INDEX('Detalle individual'!$F:$F,$K173)="Completado",INDEX('Detalle individual'!$H:$H,$K173),""))</f>
        <v>46297.65186342593</v>
      </c>
      <c r="J173" s="21">
        <f>IF($K173="","",IF(INDEX('Detalle individual'!$F:$F,$K173)="Completado",INDEX('Detalle individual'!$J:$J,$K173),""))</f>
        <v>90</v>
      </c>
      <c r="K173">
        <f>IFERROR(MOD(SMALL(Cálculos!$Z$5:$Z$1000,165),10000),"")</f>
        <v>153</v>
      </c>
    </row>
    <row r="174">
      <c r="B174" s="13">
        <f>IF($K174="","",166)</f>
        <v>166</v>
      </c>
      <c r="C174" s="13" t="str">
        <f>IF($K174="","",INDEX('Detalle individual'!$A:$A,$K174))</f>
        <v>377</v>
      </c>
      <c r="D174" s="72" t="str">
        <f>IF($K174="","",TRIM(INDEX('Detalle individual'!$B:$B,$K174)))</f>
        <v>MABEL GERALDINE RAMIREZ PORTILLO</v>
      </c>
      <c r="E174" s="72" t="str">
        <f>IF($K174="","",TRIM(INDEX('Detalle individual'!$E:$E,$K174)))</f>
        <v>SUPERVISOR DE ANALISTAS DE CREDITOS</v>
      </c>
      <c r="F174" s="72" t="str">
        <f>IF($K174="","",TRIM(INDEX('Detalle individual'!$C:$C,$K174)))</f>
        <v>DEPARTAMENTO DE CREDITOS</v>
      </c>
      <c r="G174" s="72" t="str">
        <f>IF($K174="","",INDEX('Detalle individual'!$D:$D,$K174))</f>
        <v>Gerencia de Negocios</v>
      </c>
      <c r="H174" s="13" t="str">
        <f>IF($K174="","",INDEX('Detalle individual'!$F:$F,$K174))</f>
        <v>Completado</v>
      </c>
      <c r="I174" s="20">
        <f>IF($K174="","",IF(INDEX('Detalle individual'!$F:$F,$K174)="Completado",INDEX('Detalle individual'!$H:$H,$K174),""))</f>
        <v>46308.57119212963</v>
      </c>
      <c r="J174" s="21">
        <f>IF($K174="","",IF(INDEX('Detalle individual'!$F:$F,$K174)="Completado",INDEX('Detalle individual'!$J:$J,$K174),""))</f>
        <v>100</v>
      </c>
      <c r="K174">
        <f>IFERROR(MOD(SMALL(Cálculos!$Z$5:$Z$1000,166),10000),"")</f>
        <v>154</v>
      </c>
    </row>
    <row r="175">
      <c r="B175" s="13">
        <f>IF($K175="","",167)</f>
        <v>167</v>
      </c>
      <c r="C175" s="13" t="str">
        <f>IF($K175="","",INDEX('Detalle individual'!$A:$A,$K175))</f>
        <v>470</v>
      </c>
      <c r="D175" s="72" t="str">
        <f>IF($K175="","",TRIM(INDEX('Detalle individual'!$B:$B,$K175)))</f>
        <v>ROSALBA RODRIGUEZ JIMENEZ</v>
      </c>
      <c r="E175" s="72" t="str">
        <f>IF($K175="","",TRIM(INDEX('Detalle individual'!$E:$E,$K175)))</f>
        <v>ANALISTA DE CREDITOS</v>
      </c>
      <c r="F175" s="72" t="str">
        <f>IF($K175="","",TRIM(INDEX('Detalle individual'!$C:$C,$K175)))</f>
        <v>DEPARTAMENTO DE CREDITOS</v>
      </c>
      <c r="G175" s="72" t="str">
        <f>IF($K175="","",INDEX('Detalle individual'!$D:$D,$K175))</f>
        <v>Gerencia de Negocios</v>
      </c>
      <c r="H175" s="13" t="str">
        <f>IF($K175="","",INDEX('Detalle individual'!$F:$F,$K175))</f>
        <v>Completado</v>
      </c>
      <c r="I175" s="20">
        <f>IF($K175="","",IF(INDEX('Detalle individual'!$F:$F,$K175)="Completado",INDEX('Detalle individual'!$H:$H,$K175),""))</f>
        <v>46304.409317129626</v>
      </c>
      <c r="J175" s="21">
        <f>IF($K175="","",IF(INDEX('Detalle individual'!$F:$F,$K175)="Completado",INDEX('Detalle individual'!$J:$J,$K175),""))</f>
        <v>100</v>
      </c>
      <c r="K175">
        <f>IFERROR(MOD(SMALL(Cálculos!$Z$5:$Z$1000,167),10000),"")</f>
        <v>155</v>
      </c>
    </row>
    <row r="176">
      <c r="B176" s="13">
        <f>IF($K176="","",168)</f>
        <v>168</v>
      </c>
      <c r="C176" s="13" t="str">
        <f>IF($K176="","",INDEX('Detalle individual'!$A:$A,$K176))</f>
        <v>492</v>
      </c>
      <c r="D176" s="72" t="str">
        <f>IF($K176="","",TRIM(INDEX('Detalle individual'!$B:$B,$K176)))</f>
        <v>CINDIA IVETTE ZEPEDA VASQUEZ</v>
      </c>
      <c r="E176" s="72" t="str">
        <f>IF($K176="","",TRIM(INDEX('Detalle individual'!$E:$E,$K176)))</f>
        <v>AUXILIAR DE CREDITOS</v>
      </c>
      <c r="F176" s="72" t="str">
        <f>IF($K176="","",TRIM(INDEX('Detalle individual'!$C:$C,$K176)))</f>
        <v>DEPARTAMENTO DE CREDITOS</v>
      </c>
      <c r="G176" s="72" t="str">
        <f>IF($K176="","",INDEX('Detalle individual'!$D:$D,$K176))</f>
        <v>Gerencia de Negocios</v>
      </c>
      <c r="H176" s="13" t="str">
        <f>IF($K176="","",INDEX('Detalle individual'!$F:$F,$K176))</f>
        <v>Completado</v>
      </c>
      <c r="I176" s="20">
        <f>IF($K176="","",IF(INDEX('Detalle individual'!$F:$F,$K176)="Completado",INDEX('Detalle individual'!$H:$H,$K176),""))</f>
        <v>46297.66012731481</v>
      </c>
      <c r="J176" s="21">
        <f>IF($K176="","",IF(INDEX('Detalle individual'!$F:$F,$K176)="Completado",INDEX('Detalle individual'!$J:$J,$K176),""))</f>
        <v>100</v>
      </c>
      <c r="K176">
        <f>IFERROR(MOD(SMALL(Cálculos!$Z$5:$Z$1000,168),10000),"")</f>
        <v>156</v>
      </c>
    </row>
    <row r="177">
      <c r="B177" s="13">
        <f>IF($K177="","",169)</f>
        <v>169</v>
      </c>
      <c r="C177" s="13" t="str">
        <f>IF($K177="","",INDEX('Detalle individual'!$A:$A,$K177))</f>
        <v>719</v>
      </c>
      <c r="D177" s="72" t="str">
        <f>IF($K177="","",TRIM(INDEX('Detalle individual'!$B:$B,$K177)))</f>
        <v>INGRID ALEJANDRINA LISSETH GUZMAN SANCHEZ</v>
      </c>
      <c r="E177" s="72" t="str">
        <f>IF($K177="","",TRIM(INDEX('Detalle individual'!$E:$E,$K177)))</f>
        <v>AUXILIAR DE CREDITOS</v>
      </c>
      <c r="F177" s="72" t="str">
        <f>IF($K177="","",TRIM(INDEX('Detalle individual'!$C:$C,$K177)))</f>
        <v>DEPARTAMENTO DE CREDITOS</v>
      </c>
      <c r="G177" s="72" t="str">
        <f>IF($K177="","",INDEX('Detalle individual'!$D:$D,$K177))</f>
        <v>Gerencia de Negocios</v>
      </c>
      <c r="H177" s="13" t="str">
        <f>IF($K177="","",INDEX('Detalle individual'!$F:$F,$K177))</f>
        <v>Completado</v>
      </c>
      <c r="I177" s="20">
        <f>IF($K177="","",IF(INDEX('Detalle individual'!$F:$F,$K177)="Completado",INDEX('Detalle individual'!$H:$H,$K177),""))</f>
        <v>46298.41878472222</v>
      </c>
      <c r="J177" s="21">
        <f>IF($K177="","",IF(INDEX('Detalle individual'!$F:$F,$K177)="Completado",INDEX('Detalle individual'!$J:$J,$K177),""))</f>
        <v>100</v>
      </c>
      <c r="K177">
        <f>IFERROR(MOD(SMALL(Cálculos!$Z$5:$Z$1000,169),10000),"")</f>
        <v>157</v>
      </c>
    </row>
    <row r="178">
      <c r="B178" s="13">
        <f>IF($K178="","",170)</f>
        <v>170</v>
      </c>
      <c r="C178" s="13" t="str">
        <f>IF($K178="","",INDEX('Detalle individual'!$A:$A,$K178))</f>
        <v>730</v>
      </c>
      <c r="D178" s="72" t="str">
        <f>IF($K178="","",TRIM(INDEX('Detalle individual'!$B:$B,$K178)))</f>
        <v>YANETH HERNANDEZ YANES</v>
      </c>
      <c r="E178" s="72" t="str">
        <f>IF($K178="","",TRIM(INDEX('Detalle individual'!$E:$E,$K178)))</f>
        <v>JEFE DE CREDITOS</v>
      </c>
      <c r="F178" s="72" t="str">
        <f>IF($K178="","",TRIM(INDEX('Detalle individual'!$C:$C,$K178)))</f>
        <v>DEPARTAMENTO DE CREDITOS</v>
      </c>
      <c r="G178" s="72" t="str">
        <f>IF($K178="","",INDEX('Detalle individual'!$D:$D,$K178))</f>
        <v>Gerencia de Negocios</v>
      </c>
      <c r="H178" s="13" t="str">
        <f>IF($K178="","",INDEX('Detalle individual'!$F:$F,$K178))</f>
        <v>Completado</v>
      </c>
      <c r="I178" s="20">
        <f>IF($K178="","",IF(INDEX('Detalle individual'!$F:$F,$K178)="Completado",INDEX('Detalle individual'!$H:$H,$K178),""))</f>
        <v>46305.56736111111</v>
      </c>
      <c r="J178" s="21">
        <f>IF($K178="","",IF(INDEX('Detalle individual'!$F:$F,$K178)="Completado",INDEX('Detalle individual'!$J:$J,$K178),""))</f>
        <v>100</v>
      </c>
      <c r="K178">
        <f>IFERROR(MOD(SMALL(Cálculos!$Z$5:$Z$1000,170),10000),"")</f>
        <v>158</v>
      </c>
    </row>
    <row r="179">
      <c r="B179" s="13">
        <f>IF($K179="","",171)</f>
        <v>171</v>
      </c>
      <c r="C179" s="13" t="str">
        <f>IF($K179="","",INDEX('Detalle individual'!$A:$A,$K179))</f>
        <v>780</v>
      </c>
      <c r="D179" s="72" t="str">
        <f>IF($K179="","",TRIM(INDEX('Detalle individual'!$B:$B,$K179)))</f>
        <v>JUAN ANTONIO DE JESUS NUNFIO</v>
      </c>
      <c r="E179" s="72" t="str">
        <f>IF($K179="","",TRIM(INDEX('Detalle individual'!$E:$E,$K179)))</f>
        <v>ANALISTA DE CREDITOS</v>
      </c>
      <c r="F179" s="72" t="str">
        <f>IF($K179="","",TRIM(INDEX('Detalle individual'!$C:$C,$K179)))</f>
        <v>DEPARTAMENTO DE CREDITOS</v>
      </c>
      <c r="G179" s="72" t="str">
        <f>IF($K179="","",INDEX('Detalle individual'!$D:$D,$K179))</f>
        <v>Gerencia de Negocios</v>
      </c>
      <c r="H179" s="13" t="str">
        <f>IF($K179="","",INDEX('Detalle individual'!$F:$F,$K179))</f>
        <v>Completado</v>
      </c>
      <c r="I179" s="20">
        <f>IF($K179="","",IF(INDEX('Detalle individual'!$F:$F,$K179)="Completado",INDEX('Detalle individual'!$H:$H,$K179),""))</f>
        <v>46301.65928240741</v>
      </c>
      <c r="J179" s="21">
        <f>IF($K179="","",IF(INDEX('Detalle individual'!$F:$F,$K179)="Completado",INDEX('Detalle individual'!$J:$J,$K179),""))</f>
        <v>100</v>
      </c>
      <c r="K179">
        <f>IFERROR(MOD(SMALL(Cálculos!$Z$5:$Z$1000,171),10000),"")</f>
        <v>159</v>
      </c>
    </row>
    <row r="180">
      <c r="B180" s="13">
        <f>IF($K180="","",172)</f>
        <v>172</v>
      </c>
      <c r="C180" s="13" t="str">
        <f>IF($K180="","",INDEX('Detalle individual'!$A:$A,$K180))</f>
        <v>781</v>
      </c>
      <c r="D180" s="72" t="str">
        <f>IF($K180="","",TRIM(INDEX('Detalle individual'!$B:$B,$K180)))</f>
        <v>SOFIA SOLEDAD CASTRO VALLE</v>
      </c>
      <c r="E180" s="72" t="str">
        <f>IF($K180="","",TRIM(INDEX('Detalle individual'!$E:$E,$K180)))</f>
        <v>AUXILIAR DE CREDITOS</v>
      </c>
      <c r="F180" s="72" t="str">
        <f>IF($K180="","",TRIM(INDEX('Detalle individual'!$C:$C,$K180)))</f>
        <v>DEPARTAMENTO DE CREDITOS</v>
      </c>
      <c r="G180" s="72" t="str">
        <f>IF($K180="","",INDEX('Detalle individual'!$D:$D,$K180))</f>
        <v>Gerencia de Negocios</v>
      </c>
      <c r="H180" s="13" t="str">
        <f>IF($K180="","",INDEX('Detalle individual'!$F:$F,$K180))</f>
        <v>Completado</v>
      </c>
      <c r="I180" s="20">
        <f>IF($K180="","",IF(INDEX('Detalle individual'!$F:$F,$K180)="Completado",INDEX('Detalle individual'!$H:$H,$K180),""))</f>
        <v>46304.444606481484</v>
      </c>
      <c r="J180" s="21">
        <f>IF($K180="","",IF(INDEX('Detalle individual'!$F:$F,$K180)="Completado",INDEX('Detalle individual'!$J:$J,$K180),""))</f>
        <v>90</v>
      </c>
      <c r="K180">
        <f>IFERROR(MOD(SMALL(Cálculos!$Z$5:$Z$1000,172),10000),"")</f>
        <v>160</v>
      </c>
    </row>
    <row r="181">
      <c r="B181" s="13">
        <f>IF($K181="","",173)</f>
        <v>173</v>
      </c>
      <c r="C181" s="13" t="str">
        <f>IF($K181="","",INDEX('Detalle individual'!$A:$A,$K181))</f>
        <v>809</v>
      </c>
      <c r="D181" s="72" t="str">
        <f>IF($K181="","",TRIM(INDEX('Detalle individual'!$B:$B,$K181)))</f>
        <v>KARLA VANESSA GARCIA OLIVA</v>
      </c>
      <c r="E181" s="72" t="str">
        <f>IF($K181="","",TRIM(INDEX('Detalle individual'!$E:$E,$K181)))</f>
        <v>ANALISTA DE CREDITOS</v>
      </c>
      <c r="F181" s="72" t="str">
        <f>IF($K181="","",TRIM(INDEX('Detalle individual'!$C:$C,$K181)))</f>
        <v>DEPARTAMENTO DE CREDITOS</v>
      </c>
      <c r="G181" s="72" t="str">
        <f>IF($K181="","",INDEX('Detalle individual'!$D:$D,$K181))</f>
        <v>Gerencia de Negocios</v>
      </c>
      <c r="H181" s="13" t="str">
        <f>IF($K181="","",INDEX('Detalle individual'!$F:$F,$K181))</f>
        <v>Completado</v>
      </c>
      <c r="I181" s="20">
        <f>IF($K181="","",IF(INDEX('Detalle individual'!$F:$F,$K181)="Completado",INDEX('Detalle individual'!$H:$H,$K181),""))</f>
        <v>46307.384097222224</v>
      </c>
      <c r="J181" s="21">
        <f>IF($K181="","",IF(INDEX('Detalle individual'!$F:$F,$K181)="Completado",INDEX('Detalle individual'!$J:$J,$K181),""))</f>
        <v>100</v>
      </c>
      <c r="K181">
        <f>IFERROR(MOD(SMALL(Cálculos!$Z$5:$Z$1000,173),10000),"")</f>
        <v>161</v>
      </c>
    </row>
    <row r="182">
      <c r="B182" s="13">
        <f>IF($K182="","",174)</f>
        <v>174</v>
      </c>
      <c r="C182" s="13" t="str">
        <f>IF($K182="","",INDEX('Detalle individual'!$A:$A,$K182))</f>
        <v>837</v>
      </c>
      <c r="D182" s="72" t="str">
        <f>IF($K182="","",TRIM(INDEX('Detalle individual'!$B:$B,$K182)))</f>
        <v>DAYANA ABIGAIL CHAVEZ CORDOVA</v>
      </c>
      <c r="E182" s="72" t="str">
        <f>IF($K182="","",TRIM(INDEX('Detalle individual'!$E:$E,$K182)))</f>
        <v>GESTOR DE EXPEDIENTES</v>
      </c>
      <c r="F182" s="72" t="str">
        <f>IF($K182="","",TRIM(INDEX('Detalle individual'!$C:$C,$K182)))</f>
        <v>DEPARTAMENTO DE CREDITOS</v>
      </c>
      <c r="G182" s="72" t="str">
        <f>IF($K182="","",INDEX('Detalle individual'!$D:$D,$K182))</f>
        <v>Gerencia de Negocios</v>
      </c>
      <c r="H182" s="13" t="str">
        <f>IF($K182="","",INDEX('Detalle individual'!$F:$F,$K182))</f>
        <v>Completado</v>
      </c>
      <c r="I182" s="20">
        <f>IF($K182="","",IF(INDEX('Detalle individual'!$F:$F,$K182)="Completado",INDEX('Detalle individual'!$H:$H,$K182),""))</f>
        <v>46302.48523148148</v>
      </c>
      <c r="J182" s="21">
        <f>IF($K182="","",IF(INDEX('Detalle individual'!$F:$F,$K182)="Completado",INDEX('Detalle individual'!$J:$J,$K182),""))</f>
        <v>100</v>
      </c>
      <c r="K182">
        <f>IFERROR(MOD(SMALL(Cálculos!$Z$5:$Z$1000,174),10000),"")</f>
        <v>162</v>
      </c>
    </row>
    <row r="183">
      <c r="B183" s="13">
        <f>IF($K183="","",175)</f>
        <v>175</v>
      </c>
      <c r="C183" s="13" t="str">
        <f>IF($K183="","",INDEX('Detalle individual'!$A:$A,$K183))</f>
        <v>939</v>
      </c>
      <c r="D183" s="72" t="str">
        <f>IF($K183="","",TRIM(INDEX('Detalle individual'!$B:$B,$K183)))</f>
        <v>MARIO LEONEL CANDRAY FLORES</v>
      </c>
      <c r="E183" s="72" t="str">
        <f>IF($K183="","",TRIM(INDEX('Detalle individual'!$E:$E,$K183)))</f>
        <v>ANALISTA DE CREDITOS</v>
      </c>
      <c r="F183" s="72" t="str">
        <f>IF($K183="","",TRIM(INDEX('Detalle individual'!$C:$C,$K183)))</f>
        <v>DEPARTAMENTO DE CREDITOS</v>
      </c>
      <c r="G183" s="72" t="str">
        <f>IF($K183="","",INDEX('Detalle individual'!$D:$D,$K183))</f>
        <v>Gerencia de Negocios</v>
      </c>
      <c r="H183" s="13" t="str">
        <f>IF($K183="","",INDEX('Detalle individual'!$F:$F,$K183))</f>
        <v>Completado</v>
      </c>
      <c r="I183" s="20">
        <f>IF($K183="","",IF(INDEX('Detalle individual'!$F:$F,$K183)="Completado",INDEX('Detalle individual'!$H:$H,$K183),""))</f>
        <v>46307.37395833333</v>
      </c>
      <c r="J183" s="21">
        <f>IF($K183="","",IF(INDEX('Detalle individual'!$F:$F,$K183)="Completado",INDEX('Detalle individual'!$J:$J,$K183),""))</f>
        <v>100</v>
      </c>
      <c r="K183">
        <f>IFERROR(MOD(SMALL(Cálculos!$Z$5:$Z$1000,175),10000),"")</f>
        <v>163</v>
      </c>
    </row>
    <row r="184">
      <c r="B184" s="13">
        <f>IF($K184="","",176)</f>
        <v>176</v>
      </c>
      <c r="C184" s="13" t="str">
        <f>IF($K184="","",INDEX('Detalle individual'!$A:$A,$K184))</f>
        <v>979</v>
      </c>
      <c r="D184" s="72" t="str">
        <f>IF($K184="","",TRIM(INDEX('Detalle individual'!$B:$B,$K184)))</f>
        <v>MARIA LILIAN MENJIVAR GUARDADO</v>
      </c>
      <c r="E184" s="72" t="str">
        <f>IF($K184="","",TRIM(INDEX('Detalle individual'!$E:$E,$K184)))</f>
        <v>ANALISTA DE CREDITOS</v>
      </c>
      <c r="F184" s="72" t="str">
        <f>IF($K184="","",TRIM(INDEX('Detalle individual'!$C:$C,$K184)))</f>
        <v>DEPARTAMENTO DE CREDITOS</v>
      </c>
      <c r="G184" s="72" t="str">
        <f>IF($K184="","",INDEX('Detalle individual'!$D:$D,$K184))</f>
        <v>Gerencia de Negocios</v>
      </c>
      <c r="H184" s="13" t="str">
        <f>IF($K184="","",INDEX('Detalle individual'!$F:$F,$K184))</f>
        <v>Completado</v>
      </c>
      <c r="I184" s="20">
        <f>IF($K184="","",IF(INDEX('Detalle individual'!$F:$F,$K184)="Completado",INDEX('Detalle individual'!$H:$H,$K184),""))</f>
        <v>46307.37511574074</v>
      </c>
      <c r="J184" s="21">
        <f>IF($K184="","",IF(INDEX('Detalle individual'!$F:$F,$K184)="Completado",INDEX('Detalle individual'!$J:$J,$K184),""))</f>
        <v>100</v>
      </c>
      <c r="K184">
        <f>IFERROR(MOD(SMALL(Cálculos!$Z$5:$Z$1000,176),10000),"")</f>
        <v>164</v>
      </c>
    </row>
    <row r="185">
      <c r="B185" s="13">
        <f>IF($K185="","",177)</f>
        <v>177</v>
      </c>
      <c r="C185" s="13" t="str">
        <f>IF($K185="","",INDEX('Detalle individual'!$A:$A,$K185))</f>
        <v>539</v>
      </c>
      <c r="D185" s="72" t="str">
        <f>IF($K185="","",TRIM(INDEX('Detalle individual'!$B:$B,$K185)))</f>
        <v>JESICA XIOMARA RAMOS PEÑA</v>
      </c>
      <c r="E185" s="72" t="str">
        <f>IF($K185="","",TRIM(INDEX('Detalle individual'!$E:$E,$K185)))</f>
        <v>JEFE DE CUSTODIA DE GARANTÍA Y VALORES</v>
      </c>
      <c r="F185" s="72" t="str">
        <f>IF($K185="","",TRIM(INDEX('Detalle individual'!$C:$C,$K185)))</f>
        <v>DEPARTAMENTO DE CUSTODIA DE GARANTÍA Y VALORES</v>
      </c>
      <c r="G185" s="72" t="str">
        <f>IF($K185="","",INDEX('Detalle individual'!$D:$D,$K185))</f>
        <v>Gerencia Administrativa</v>
      </c>
      <c r="H185" s="13" t="str">
        <f>IF($K185="","",INDEX('Detalle individual'!$F:$F,$K185))</f>
        <v>Completado</v>
      </c>
      <c r="I185" s="20">
        <f>IF($K185="","",IF(INDEX('Detalle individual'!$F:$F,$K185)="Completado",INDEX('Detalle individual'!$H:$H,$K185),""))</f>
        <v>46304.70379629629</v>
      </c>
      <c r="J185" s="21">
        <f>IF($K185="","",IF(INDEX('Detalle individual'!$F:$F,$K185)="Completado",INDEX('Detalle individual'!$J:$J,$K185),""))</f>
        <v>100</v>
      </c>
      <c r="K185">
        <f>IFERROR(MOD(SMALL(Cálculos!$Z$5:$Z$1000,177),10000),"")</f>
        <v>43</v>
      </c>
    </row>
    <row r="186">
      <c r="B186" s="13">
        <f>IF($K186="","",178)</f>
        <v>178</v>
      </c>
      <c r="C186" s="13" t="str">
        <f>IF($K186="","",INDEX('Detalle individual'!$A:$A,$K186))</f>
        <v>678</v>
      </c>
      <c r="D186" s="72" t="str">
        <f>IF($K186="","",TRIM(INDEX('Detalle individual'!$B:$B,$K186)))</f>
        <v>CARLOS ALBERTO VELASQUEZ ALVARADO</v>
      </c>
      <c r="E186" s="72" t="str">
        <f>IF($K186="","",TRIM(INDEX('Detalle individual'!$E:$E,$K186)))</f>
        <v>ANALISTA DE ARCHIVO CENTRAL</v>
      </c>
      <c r="F186" s="72" t="str">
        <f>IF($K186="","",TRIM(INDEX('Detalle individual'!$C:$C,$K186)))</f>
        <v>DEPARTAMENTO DE CUSTODIA DE GARANTÍA Y VALORES</v>
      </c>
      <c r="G186" s="72" t="str">
        <f>IF($K186="","",INDEX('Detalle individual'!$D:$D,$K186))</f>
        <v>Gerencia Administrativa</v>
      </c>
      <c r="H186" s="13" t="str">
        <f>IF($K186="","",INDEX('Detalle individual'!$F:$F,$K186))</f>
        <v>Completado</v>
      </c>
      <c r="I186" s="20">
        <f>IF($K186="","",IF(INDEX('Detalle individual'!$F:$F,$K186)="Completado",INDEX('Detalle individual'!$H:$H,$K186),""))</f>
        <v>46304.422789351855</v>
      </c>
      <c r="J186" s="21">
        <f>IF($K186="","",IF(INDEX('Detalle individual'!$F:$F,$K186)="Completado",INDEX('Detalle individual'!$J:$J,$K186),""))</f>
        <v>100</v>
      </c>
      <c r="K186">
        <f>IFERROR(MOD(SMALL(Cálculos!$Z$5:$Z$1000,178),10000),"")</f>
        <v>44</v>
      </c>
    </row>
    <row r="187">
      <c r="B187" s="13">
        <f>IF($K187="","",179)</f>
        <v>179</v>
      </c>
      <c r="C187" s="13" t="str">
        <f>IF($K187="","",INDEX('Detalle individual'!$A:$A,$K187))</f>
        <v>740</v>
      </c>
      <c r="D187" s="72" t="str">
        <f>IF($K187="","",TRIM(INDEX('Detalle individual'!$B:$B,$K187)))</f>
        <v>RAFAEL ERNESTO LOPEZ MARTINEZ</v>
      </c>
      <c r="E187" s="72" t="str">
        <f>IF($K187="","",TRIM(INDEX('Detalle individual'!$E:$E,$K187)))</f>
        <v>ASISTENTE ADMINISTRATIVO CUSTODIA DE GARANTIA Y VALORES</v>
      </c>
      <c r="F187" s="72" t="str">
        <f>IF($K187="","",TRIM(INDEX('Detalle individual'!$C:$C,$K187)))</f>
        <v>DEPARTAMENTO DE CUSTODIA DE GARANTÍA Y VALORES</v>
      </c>
      <c r="G187" s="72" t="str">
        <f>IF($K187="","",INDEX('Detalle individual'!$D:$D,$K187))</f>
        <v>Gerencia Administrativa</v>
      </c>
      <c r="H187" s="13" t="str">
        <f>IF($K187="","",INDEX('Detalle individual'!$F:$F,$K187))</f>
        <v>Completado</v>
      </c>
      <c r="I187" s="20">
        <f>IF($K187="","",IF(INDEX('Detalle individual'!$F:$F,$K187)="Completado",INDEX('Detalle individual'!$H:$H,$K187),""))</f>
        <v>46304.685949074075</v>
      </c>
      <c r="J187" s="21">
        <f>IF($K187="","",IF(INDEX('Detalle individual'!$F:$F,$K187)="Completado",INDEX('Detalle individual'!$J:$J,$K187),""))</f>
        <v>100</v>
      </c>
      <c r="K187">
        <f>IFERROR(MOD(SMALL(Cálculos!$Z$5:$Z$1000,179),10000),"")</f>
        <v>45</v>
      </c>
    </row>
    <row r="188">
      <c r="B188" s="13">
        <f>IF($K188="","",180)</f>
        <v>180</v>
      </c>
      <c r="C188" s="13" t="str">
        <f>IF($K188="","",INDEX('Detalle individual'!$A:$A,$K188))</f>
        <v>934</v>
      </c>
      <c r="D188" s="72" t="str">
        <f>IF($K188="","",TRIM(INDEX('Detalle individual'!$B:$B,$K188)))</f>
        <v>JOSE FRANCISCO ZECEÑA MUÑOZ</v>
      </c>
      <c r="E188" s="72" t="str">
        <f>IF($K188="","",TRIM(INDEX('Detalle individual'!$E:$E,$K188)))</f>
        <v>AUXILIAR DE CUSTODIA DE VALORES</v>
      </c>
      <c r="F188" s="72" t="str">
        <f>IF($K188="","",TRIM(INDEX('Detalle individual'!$C:$C,$K188)))</f>
        <v>DEPARTAMENTO DE CUSTODIA DE GARANTÍA Y VALORES</v>
      </c>
      <c r="G188" s="72" t="str">
        <f>IF($K188="","",INDEX('Detalle individual'!$D:$D,$K188))</f>
        <v>Gerencia Administrativa</v>
      </c>
      <c r="H188" s="13" t="str">
        <f>IF($K188="","",INDEX('Detalle individual'!$F:$F,$K188))</f>
        <v>Completado</v>
      </c>
      <c r="I188" s="20">
        <f>IF($K188="","",IF(INDEX('Detalle individual'!$F:$F,$K188)="Completado",INDEX('Detalle individual'!$H:$H,$K188),""))</f>
        <v>46304.67644675926</v>
      </c>
      <c r="J188" s="21">
        <f>IF($K188="","",IF(INDEX('Detalle individual'!$F:$F,$K188)="Completado",INDEX('Detalle individual'!$J:$J,$K188),""))</f>
        <v>100</v>
      </c>
      <c r="K188">
        <f>IFERROR(MOD(SMALL(Cálculos!$Z$5:$Z$1000,180),10000),"")</f>
        <v>46</v>
      </c>
    </row>
    <row r="189">
      <c r="B189" s="13">
        <f>IF($K189="","",181)</f>
        <v>181</v>
      </c>
      <c r="C189" s="13" t="str">
        <f>IF($K189="","",INDEX('Detalle individual'!$A:$A,$K189))</f>
        <v>949</v>
      </c>
      <c r="D189" s="72" t="str">
        <f>IF($K189="","",TRIM(INDEX('Detalle individual'!$B:$B,$K189)))</f>
        <v>ALEJANDRO JOSE ARGUETA CORTEZ</v>
      </c>
      <c r="E189" s="72" t="str">
        <f>IF($K189="","",TRIM(INDEX('Detalle individual'!$E:$E,$K189)))</f>
        <v>AUXILIAR DE CUSTODIA DE VALORES</v>
      </c>
      <c r="F189" s="72" t="str">
        <f>IF($K189="","",TRIM(INDEX('Detalle individual'!$C:$C,$K189)))</f>
        <v>DEPARTAMENTO DE CUSTODIA DE GARANTÍA Y VALORES</v>
      </c>
      <c r="G189" s="72" t="str">
        <f>IF($K189="","",INDEX('Detalle individual'!$D:$D,$K189))</f>
        <v>Gerencia Administrativa</v>
      </c>
      <c r="H189" s="13" t="str">
        <f>IF($K189="","",INDEX('Detalle individual'!$F:$F,$K189))</f>
        <v>Completado</v>
      </c>
      <c r="I189" s="20">
        <f>IF($K189="","",IF(INDEX('Detalle individual'!$F:$F,$K189)="Completado",INDEX('Detalle individual'!$H:$H,$K189),""))</f>
        <v>46304.682708333334</v>
      </c>
      <c r="J189" s="21">
        <f>IF($K189="","",IF(INDEX('Detalle individual'!$F:$F,$K189)="Completado",INDEX('Detalle individual'!$J:$J,$K189),""))</f>
        <v>100</v>
      </c>
      <c r="K189">
        <f>IFERROR(MOD(SMALL(Cálculos!$Z$5:$Z$1000,181),10000),"")</f>
        <v>47</v>
      </c>
    </row>
    <row r="190">
      <c r="B190" s="13">
        <f>IF($K190="","",182)</f>
        <v>182</v>
      </c>
      <c r="C190" s="13" t="str">
        <f>IF($K190="","",INDEX('Detalle individual'!$A:$A,$K190))</f>
        <v>973</v>
      </c>
      <c r="D190" s="72" t="str">
        <f>IF($K190="","",TRIM(INDEX('Detalle individual'!$B:$B,$K190)))</f>
        <v>HUGO ROLANDO VELASCO RIVERA</v>
      </c>
      <c r="E190" s="72" t="str">
        <f>IF($K190="","",TRIM(INDEX('Detalle individual'!$E:$E,$K190)))</f>
        <v>AUXILIAR DE CUSTODIA DE VALORES</v>
      </c>
      <c r="F190" s="72" t="str">
        <f>IF($K190="","",TRIM(INDEX('Detalle individual'!$C:$C,$K190)))</f>
        <v>DEPARTAMENTO DE CUSTODIA DE GARANTÍA Y VALORES</v>
      </c>
      <c r="G190" s="72" t="str">
        <f>IF($K190="","",INDEX('Detalle individual'!$D:$D,$K190))</f>
        <v>Gerencia Administrativa</v>
      </c>
      <c r="H190" s="13" t="str">
        <f>IF($K190="","",INDEX('Detalle individual'!$F:$F,$K190))</f>
        <v>Completado</v>
      </c>
      <c r="I190" s="20">
        <f>IF($K190="","",IF(INDEX('Detalle individual'!$F:$F,$K190)="Completado",INDEX('Detalle individual'!$H:$H,$K190),""))</f>
        <v>46298.51430555555</v>
      </c>
      <c r="J190" s="21">
        <f>IF($K190="","",IF(INDEX('Detalle individual'!$F:$F,$K190)="Completado",INDEX('Detalle individual'!$J:$J,$K190),""))</f>
        <v>100</v>
      </c>
      <c r="K190">
        <f>IFERROR(MOD(SMALL(Cálculos!$Z$5:$Z$1000,182),10000),"")</f>
        <v>48</v>
      </c>
    </row>
    <row r="191">
      <c r="B191" s="13">
        <f>IF($K191="","",183)</f>
        <v>183</v>
      </c>
      <c r="C191" s="13" t="str">
        <f>IF($K191="","",INDEX('Detalle individual'!$A:$A,$K191))</f>
        <v>284</v>
      </c>
      <c r="D191" s="72" t="str">
        <f>IF($K191="","",TRIM(INDEX('Detalle individual'!$B:$B,$K191)))</f>
        <v>MARIO ANTONIO NAVARRO PINEDA</v>
      </c>
      <c r="E191" s="72" t="str">
        <f>IF($K191="","",TRIM(INDEX('Detalle individual'!$E:$E,$K191)))</f>
        <v>JEFE DE DEPOSITOS</v>
      </c>
      <c r="F191" s="72" t="str">
        <f>IF($K191="","",TRIM(INDEX('Detalle individual'!$C:$C,$K191)))</f>
        <v>DEPARTAMENTO DE DEPOSITOS</v>
      </c>
      <c r="G191" s="72" t="str">
        <f>IF($K191="","",INDEX('Detalle individual'!$D:$D,$K191))</f>
        <v>Gerencia de Operaciones</v>
      </c>
      <c r="H191" s="13" t="str">
        <f>IF($K191="","",INDEX('Detalle individual'!$F:$F,$K191))</f>
        <v>Completado</v>
      </c>
      <c r="I191" s="20">
        <f>IF($K191="","",IF(INDEX('Detalle individual'!$F:$F,$K191)="Completado",INDEX('Detalle individual'!$H:$H,$K191),""))</f>
        <v>46305.513344907406</v>
      </c>
      <c r="J191" s="21">
        <f>IF($K191="","",IF(INDEX('Detalle individual'!$F:$F,$K191)="Completado",INDEX('Detalle individual'!$J:$J,$K191),""))</f>
        <v>100</v>
      </c>
      <c r="K191">
        <f>IFERROR(MOD(SMALL(Cálculos!$Z$5:$Z$1000,183),10000),"")</f>
        <v>75</v>
      </c>
    </row>
    <row r="192">
      <c r="B192" s="13">
        <f>IF($K192="","",184)</f>
        <v>184</v>
      </c>
      <c r="C192" s="13" t="str">
        <f>IF($K192="","",INDEX('Detalle individual'!$A:$A,$K192))</f>
        <v>632</v>
      </c>
      <c r="D192" s="72" t="str">
        <f>IF($K192="","",TRIM(INDEX('Detalle individual'!$B:$B,$K192)))</f>
        <v>LUCILA MARGARITA CORCIO QUINTANILLA</v>
      </c>
      <c r="E192" s="72" t="str">
        <f>IF($K192="","",TRIM(INDEX('Detalle individual'!$E:$E,$K192)))</f>
        <v>ASISTENTE COMPENSADOR DE CHEQUES</v>
      </c>
      <c r="F192" s="72" t="str">
        <f>IF($K192="","",TRIM(INDEX('Detalle individual'!$C:$C,$K192)))</f>
        <v>DEPARTAMENTO DE DEPOSITOS</v>
      </c>
      <c r="G192" s="72" t="str">
        <f>IF($K192="","",INDEX('Detalle individual'!$D:$D,$K192))</f>
        <v>Gerencia de Operaciones</v>
      </c>
      <c r="H192" s="13" t="str">
        <f>IF($K192="","",INDEX('Detalle individual'!$F:$F,$K192))</f>
        <v>Completado</v>
      </c>
      <c r="I192" s="20">
        <f>IF($K192="","",IF(INDEX('Detalle individual'!$F:$F,$K192)="Completado",INDEX('Detalle individual'!$H:$H,$K192),""))</f>
        <v>46296.57800925926</v>
      </c>
      <c r="J192" s="21">
        <f>IF($K192="","",IF(INDEX('Detalle individual'!$F:$F,$K192)="Completado",INDEX('Detalle individual'!$J:$J,$K192),""))</f>
        <v>100</v>
      </c>
      <c r="K192">
        <f>IFERROR(MOD(SMALL(Cálculos!$Z$5:$Z$1000,184),10000),"")</f>
        <v>76</v>
      </c>
    </row>
    <row r="193">
      <c r="B193" s="13">
        <f>IF($K193="","",185)</f>
        <v>185</v>
      </c>
      <c r="C193" s="13" t="str">
        <f>IF($K193="","",INDEX('Detalle individual'!$A:$A,$K193))</f>
        <v>773</v>
      </c>
      <c r="D193" s="72" t="str">
        <f>IF($K193="","",TRIM(INDEX('Detalle individual'!$B:$B,$K193)))</f>
        <v>HELLEN ESTEFANI RODRIGUEZ GARCIA</v>
      </c>
      <c r="E193" s="72" t="str">
        <f>IF($K193="","",TRIM(INDEX('Detalle individual'!$E:$E,$K193)))</f>
        <v>ASISTENTE COMPENSADOR DE CHEQUES</v>
      </c>
      <c r="F193" s="72" t="str">
        <f>IF($K193="","",TRIM(INDEX('Detalle individual'!$C:$C,$K193)))</f>
        <v>DEPARTAMENTO DE DEPOSITOS</v>
      </c>
      <c r="G193" s="72" t="str">
        <f>IF($K193="","",INDEX('Detalle individual'!$D:$D,$K193))</f>
        <v>Gerencia de Operaciones</v>
      </c>
      <c r="H193" s="13" t="str">
        <f>IF($K193="","",INDEX('Detalle individual'!$F:$F,$K193))</f>
        <v>Completado</v>
      </c>
      <c r="I193" s="20">
        <f>IF($K193="","",IF(INDEX('Detalle individual'!$F:$F,$K193)="Completado",INDEX('Detalle individual'!$H:$H,$K193),""))</f>
        <v>46297.47550925926</v>
      </c>
      <c r="J193" s="21">
        <f>IF($K193="","",IF(INDEX('Detalle individual'!$F:$F,$K193)="Completado",INDEX('Detalle individual'!$J:$J,$K193),""))</f>
        <v>95</v>
      </c>
      <c r="K193">
        <f>IFERROR(MOD(SMALL(Cálculos!$Z$5:$Z$1000,185),10000),"")</f>
        <v>77</v>
      </c>
    </row>
    <row r="194">
      <c r="B194" s="13">
        <f>IF($K194="","",186)</f>
        <v>186</v>
      </c>
      <c r="C194" s="13" t="str">
        <f>IF($K194="","",INDEX('Detalle individual'!$A:$A,$K194))</f>
        <v>787</v>
      </c>
      <c r="D194" s="72" t="str">
        <f>IF($K194="","",TRIM(INDEX('Detalle individual'!$B:$B,$K194)))</f>
        <v>WALTER OSWALDO SANCHEZ RIVAS</v>
      </c>
      <c r="E194" s="72" t="str">
        <f>IF($K194="","",TRIM(INDEX('Detalle individual'!$E:$E,$K194)))</f>
        <v>ASISTENTE COMPENSADOR DE CHEQUES</v>
      </c>
      <c r="F194" s="72" t="str">
        <f>IF($K194="","",TRIM(INDEX('Detalle individual'!$C:$C,$K194)))</f>
        <v>DEPARTAMENTO DE DEPOSITOS</v>
      </c>
      <c r="G194" s="72" t="str">
        <f>IF($K194="","",INDEX('Detalle individual'!$D:$D,$K194))</f>
        <v>Gerencia de Operaciones</v>
      </c>
      <c r="H194" s="13" t="str">
        <f>IF($K194="","",INDEX('Detalle individual'!$F:$F,$K194))</f>
        <v>Completado</v>
      </c>
      <c r="I194" s="20">
        <f>IF($K194="","",IF(INDEX('Detalle individual'!$F:$F,$K194)="Completado",INDEX('Detalle individual'!$H:$H,$K194),""))</f>
        <v>46304.692928240744</v>
      </c>
      <c r="J194" s="21">
        <f>IF($K194="","",IF(INDEX('Detalle individual'!$F:$F,$K194)="Completado",INDEX('Detalle individual'!$J:$J,$K194),""))</f>
        <v>100</v>
      </c>
      <c r="K194">
        <f>IFERROR(MOD(SMALL(Cálculos!$Z$5:$Z$1000,186),10000),"")</f>
        <v>78</v>
      </c>
    </row>
    <row r="195">
      <c r="B195" s="13">
        <f>IF($K195="","",187)</f>
        <v>187</v>
      </c>
      <c r="C195" s="13" t="str">
        <f>IF($K195="","",INDEX('Detalle individual'!$A:$A,$K195))</f>
        <v>847</v>
      </c>
      <c r="D195" s="72" t="str">
        <f>IF($K195="","",TRIM(INDEX('Detalle individual'!$B:$B,$K195)))</f>
        <v>ZULEYMA ALEJANDRA VASQUEZ MARIN</v>
      </c>
      <c r="E195" s="72" t="str">
        <f>IF($K195="","",TRIM(INDEX('Detalle individual'!$E:$E,$K195)))</f>
        <v>JEFE DE EDUCACION Y RESPONSABILIDAD SOCIAL</v>
      </c>
      <c r="F195" s="72" t="str">
        <f>IF($K195="","",TRIM(INDEX('Detalle individual'!$C:$C,$K195)))</f>
        <v>DEPARTAMENTO DE EDUCACION Y RESPONSABILIDAD SOCIAL</v>
      </c>
      <c r="G195" s="72" t="str">
        <f>IF($K195="","",INDEX('Detalle individual'!$D:$D,$K195))</f>
        <v>Gerencia Administrativa</v>
      </c>
      <c r="H195" s="13" t="str">
        <f>IF($K195="","",INDEX('Detalle individual'!$F:$F,$K195))</f>
        <v>Completado</v>
      </c>
      <c r="I195" s="20">
        <f>IF($K195="","",IF(INDEX('Detalle individual'!$F:$F,$K195)="Completado",INDEX('Detalle individual'!$H:$H,$K195),""))</f>
        <v>46309.741215277776</v>
      </c>
      <c r="J195" s="21">
        <f>IF($K195="","",IF(INDEX('Detalle individual'!$F:$F,$K195)="Completado",INDEX('Detalle individual'!$J:$J,$K195),""))</f>
        <v>100</v>
      </c>
      <c r="K195">
        <f>IFERROR(MOD(SMALL(Cálculos!$Z$5:$Z$1000,187),10000),"")</f>
        <v>56</v>
      </c>
    </row>
    <row r="196">
      <c r="B196" s="13">
        <f>IF($K196="","",188)</f>
        <v>188</v>
      </c>
      <c r="C196" s="13" t="str">
        <f>IF($K196="","",INDEX('Detalle individual'!$A:$A,$K196))</f>
        <v>853</v>
      </c>
      <c r="D196" s="72" t="str">
        <f>IF($K196="","",TRIM(INDEX('Detalle individual'!$B:$B,$K196)))</f>
        <v>STEPHANIE CAROLINA MALDONADO FLORES</v>
      </c>
      <c r="E196" s="72" t="str">
        <f>IF($K196="","",TRIM(INDEX('Detalle individual'!$E:$E,$K196)))</f>
        <v>ASISTENTE TECNICO DEPARTAMENTO DE EDUCACION Y RESPONSABILIDA</v>
      </c>
      <c r="F196" s="72" t="str">
        <f>IF($K196="","",TRIM(INDEX('Detalle individual'!$C:$C,$K196)))</f>
        <v>DEPARTAMENTO DE EDUCACION Y RESPONSABILIDAD SOCIAL</v>
      </c>
      <c r="G196" s="72" t="str">
        <f>IF($K196="","",INDEX('Detalle individual'!$D:$D,$K196))</f>
        <v>Gerencia Administrativa</v>
      </c>
      <c r="H196" s="13" t="str">
        <f>IF($K196="","",INDEX('Detalle individual'!$F:$F,$K196))</f>
        <v>Completado</v>
      </c>
      <c r="I196" s="20">
        <f>IF($K196="","",IF(INDEX('Detalle individual'!$F:$F,$K196)="Completado",INDEX('Detalle individual'!$H:$H,$K196),""))</f>
        <v>46301.64635416667</v>
      </c>
      <c r="J196" s="21">
        <f>IF($K196="","",IF(INDEX('Detalle individual'!$F:$F,$K196)="Completado",INDEX('Detalle individual'!$J:$J,$K196),""))</f>
        <v>100</v>
      </c>
      <c r="K196">
        <f>IFERROR(MOD(SMALL(Cálculos!$Z$5:$Z$1000,188),10000),"")</f>
        <v>57</v>
      </c>
    </row>
    <row r="197">
      <c r="B197" s="13">
        <f>IF($K197="","",189)</f>
        <v>189</v>
      </c>
      <c r="C197" s="13" t="str">
        <f>IF($K197="","",INDEX('Detalle individual'!$A:$A,$K197))</f>
        <v>919</v>
      </c>
      <c r="D197" s="72" t="str">
        <f>IF($K197="","",TRIM(INDEX('Detalle individual'!$B:$B,$K197)))</f>
        <v>CARLOS EDUARDO SERVELLON PEREZ</v>
      </c>
      <c r="E197" s="72" t="str">
        <f>IF($K197="","",TRIM(INDEX('Detalle individual'!$E:$E,$K197)))</f>
        <v>AUXILIAR DE EDUCACION Y RESPONSABILIDAD SOCIAL</v>
      </c>
      <c r="F197" s="72" t="str">
        <f>IF($K197="","",TRIM(INDEX('Detalle individual'!$C:$C,$K197)))</f>
        <v>DEPARTAMENTO DE EDUCACION Y RESPONSABILIDAD SOCIAL</v>
      </c>
      <c r="G197" s="72" t="str">
        <f>IF($K197="","",INDEX('Detalle individual'!$D:$D,$K197))</f>
        <v>Gerencia Administrativa</v>
      </c>
      <c r="H197" s="13" t="str">
        <f>IF($K197="","",INDEX('Detalle individual'!$F:$F,$K197))</f>
        <v>Completado</v>
      </c>
      <c r="I197" s="20">
        <f>IF($K197="","",IF(INDEX('Detalle individual'!$F:$F,$K197)="Completado",INDEX('Detalle individual'!$H:$H,$K197),""))</f>
        <v>46310.511469907404</v>
      </c>
      <c r="J197" s="21">
        <f>IF($K197="","",IF(INDEX('Detalle individual'!$F:$F,$K197)="Completado",INDEX('Detalle individual'!$J:$J,$K197),""))</f>
        <v>100</v>
      </c>
      <c r="K197">
        <f>IFERROR(MOD(SMALL(Cálculos!$Z$5:$Z$1000,189),10000),"")</f>
        <v>58</v>
      </c>
    </row>
    <row r="198">
      <c r="B198" s="13">
        <f>IF($K198="","",190)</f>
        <v>190</v>
      </c>
      <c r="C198" s="13" t="str">
        <f>IF($K198="","",INDEX('Detalle individual'!$A:$A,$K198))</f>
        <v>219</v>
      </c>
      <c r="D198" s="72" t="str">
        <f>IF($K198="","",TRIM(INDEX('Detalle individual'!$B:$B,$K198)))</f>
        <v>IVONNE LISSETH DE JESUS RODRIGUEZ FLORES</v>
      </c>
      <c r="E198" s="72" t="str">
        <f>IF($K198="","",TRIM(INDEX('Detalle individual'!$E:$E,$K198)))</f>
        <v>ASISTENTE TELEMARKETING</v>
      </c>
      <c r="F198" s="72" t="str">
        <f>IF($K198="","",TRIM(INDEX('Detalle individual'!$C:$C,$K198)))</f>
        <v>DEPARTAMENTO DE MERCADEO</v>
      </c>
      <c r="G198" s="72" t="str">
        <f>IF($K198="","",INDEX('Detalle individual'!$D:$D,$K198))</f>
        <v>Gerencia de Negocios</v>
      </c>
      <c r="H198" s="13" t="str">
        <f>IF($K198="","",INDEX('Detalle individual'!$F:$F,$K198))</f>
        <v>Completado</v>
      </c>
      <c r="I198" s="20">
        <f>IF($K198="","",IF(INDEX('Detalle individual'!$F:$F,$K198)="Completado",INDEX('Detalle individual'!$H:$H,$K198),""))</f>
        <v>46308.39677083334</v>
      </c>
      <c r="J198" s="21">
        <f>IF($K198="","",IF(INDEX('Detalle individual'!$F:$F,$K198)="Completado",INDEX('Detalle individual'!$J:$J,$K198),""))</f>
        <v>95</v>
      </c>
      <c r="K198">
        <f>IFERROR(MOD(SMALL(Cálculos!$Z$5:$Z$1000,190),10000),"")</f>
        <v>145</v>
      </c>
    </row>
    <row r="199">
      <c r="B199" s="13">
        <f>IF($K199="","",191)</f>
        <v>191</v>
      </c>
      <c r="C199" s="13" t="str">
        <f>IF($K199="","",INDEX('Detalle individual'!$A:$A,$K199))</f>
        <v>361</v>
      </c>
      <c r="D199" s="72" t="str">
        <f>IF($K199="","",TRIM(INDEX('Detalle individual'!$B:$B,$K199)))</f>
        <v>JOSE CARLOS IRENEO HERNANDEZ RODRIGUEZ</v>
      </c>
      <c r="E199" s="72" t="str">
        <f>IF($K199="","",TRIM(INDEX('Detalle individual'!$E:$E,$K199)))</f>
        <v>ASISTENTE TECNICO DE MERCADEO</v>
      </c>
      <c r="F199" s="72" t="str">
        <f>IF($K199="","",TRIM(INDEX('Detalle individual'!$C:$C,$K199)))</f>
        <v>DEPARTAMENTO DE MERCADEO</v>
      </c>
      <c r="G199" s="72" t="str">
        <f>IF($K199="","",INDEX('Detalle individual'!$D:$D,$K199))</f>
        <v>Gerencia de Negocios</v>
      </c>
      <c r="H199" s="13" t="str">
        <f>IF($K199="","",INDEX('Detalle individual'!$F:$F,$K199))</f>
        <v>Completado</v>
      </c>
      <c r="I199" s="20">
        <f>IF($K199="","",IF(INDEX('Detalle individual'!$F:$F,$K199)="Completado",INDEX('Detalle individual'!$H:$H,$K199),""))</f>
        <v>46311.418587962966</v>
      </c>
      <c r="J199" s="21">
        <f>IF($K199="","",IF(INDEX('Detalle individual'!$F:$F,$K199)="Completado",INDEX('Detalle individual'!$J:$J,$K199),""))</f>
        <v>95</v>
      </c>
      <c r="K199">
        <f>IFERROR(MOD(SMALL(Cálculos!$Z$5:$Z$1000,191),10000),"")</f>
        <v>146</v>
      </c>
    </row>
    <row r="200">
      <c r="B200" s="13">
        <f>IF($K200="","",192)</f>
        <v>192</v>
      </c>
      <c r="C200" s="13" t="str">
        <f>IF($K200="","",INDEX('Detalle individual'!$A:$A,$K200))</f>
        <v>591</v>
      </c>
      <c r="D200" s="72" t="str">
        <f>IF($K200="","",TRIM(INDEX('Detalle individual'!$B:$B,$K200)))</f>
        <v>CARMEN MARIA GUTIERREZ ESTRADA</v>
      </c>
      <c r="E200" s="72" t="str">
        <f>IF($K200="","",TRIM(INDEX('Detalle individual'!$E:$E,$K200)))</f>
        <v>JEFE DE MERCADEO</v>
      </c>
      <c r="F200" s="72" t="str">
        <f>IF($K200="","",TRIM(INDEX('Detalle individual'!$C:$C,$K200)))</f>
        <v>DEPARTAMENTO DE MERCADEO</v>
      </c>
      <c r="G200" s="72" t="str">
        <f>IF($K200="","",INDEX('Detalle individual'!$D:$D,$K200))</f>
        <v>Gerencia de Negocios</v>
      </c>
      <c r="H200" s="13" t="str">
        <f>IF($K200="","",INDEX('Detalle individual'!$F:$F,$K200))</f>
        <v>Completado</v>
      </c>
      <c r="I200" s="20">
        <f>IF($K200="","",IF(INDEX('Detalle individual'!$F:$F,$K200)="Completado",INDEX('Detalle individual'!$H:$H,$K200),""))</f>
        <v>46310.66862268518</v>
      </c>
      <c r="J200" s="21">
        <f>IF($K200="","",IF(INDEX('Detalle individual'!$F:$F,$K200)="Completado",INDEX('Detalle individual'!$J:$J,$K200),""))</f>
        <v>80</v>
      </c>
      <c r="K200">
        <f>IFERROR(MOD(SMALL(Cálculos!$Z$5:$Z$1000,192),10000),"")</f>
        <v>147</v>
      </c>
    </row>
    <row r="201">
      <c r="B201" s="13">
        <f>IF($K201="","",193)</f>
        <v>193</v>
      </c>
      <c r="C201" s="13" t="str">
        <f>IF($K201="","",INDEX('Detalle individual'!$A:$A,$K201))</f>
        <v>895</v>
      </c>
      <c r="D201" s="72" t="str">
        <f>IF($K201="","",TRIM(INDEX('Detalle individual'!$B:$B,$K201)))</f>
        <v>MARIA ALEJANDRA BATRES ALVARADO</v>
      </c>
      <c r="E201" s="72" t="str">
        <f>IF($K201="","",TRIM(INDEX('Detalle individual'!$E:$E,$K201)))</f>
        <v>DISEÑADOR GRAFICO</v>
      </c>
      <c r="F201" s="72" t="str">
        <f>IF($K201="","",TRIM(INDEX('Detalle individual'!$C:$C,$K201)))</f>
        <v>DEPARTAMENTO DE MERCADEO</v>
      </c>
      <c r="G201" s="72" t="str">
        <f>IF($K201="","",INDEX('Detalle individual'!$D:$D,$K201))</f>
        <v>Gerencia de Negocios</v>
      </c>
      <c r="H201" s="13" t="str">
        <f>IF($K201="","",INDEX('Detalle individual'!$F:$F,$K201))</f>
        <v>Completado</v>
      </c>
      <c r="I201" s="20">
        <f>IF($K201="","",IF(INDEX('Detalle individual'!$F:$F,$K201)="Completado",INDEX('Detalle individual'!$H:$H,$K201),""))</f>
        <v>46311.42974537037</v>
      </c>
      <c r="J201" s="21">
        <f>IF($K201="","",IF(INDEX('Detalle individual'!$F:$F,$K201)="Completado",INDEX('Detalle individual'!$J:$J,$K201),""))</f>
        <v>100</v>
      </c>
      <c r="K201">
        <f>IFERROR(MOD(SMALL(Cálculos!$Z$5:$Z$1000,193),10000),"")</f>
        <v>149</v>
      </c>
    </row>
    <row r="202">
      <c r="B202" s="13">
        <f>IF($K202="","",194)</f>
        <v>194</v>
      </c>
      <c r="C202" s="13" t="str">
        <f>IF($K202="","",INDEX('Detalle individual'!$A:$A,$K202))</f>
        <v>897</v>
      </c>
      <c r="D202" s="72" t="str">
        <f>IF($K202="","",TRIM(INDEX('Detalle individual'!$B:$B,$K202)))</f>
        <v>GERARDO ALEXANDER MARTINEZ RIVERA</v>
      </c>
      <c r="E202" s="72" t="str">
        <f>IF($K202="","",TRIM(INDEX('Detalle individual'!$E:$E,$K202)))</f>
        <v>ANALISTA DE COMUNICACIONES</v>
      </c>
      <c r="F202" s="72" t="str">
        <f>IF($K202="","",TRIM(INDEX('Detalle individual'!$C:$C,$K202)))</f>
        <v>DEPARTAMENTO DE MERCADEO</v>
      </c>
      <c r="G202" s="72" t="str">
        <f>IF($K202="","",INDEX('Detalle individual'!$D:$D,$K202))</f>
        <v>Gerencia de Negocios</v>
      </c>
      <c r="H202" s="13" t="str">
        <f>IF($K202="","",INDEX('Detalle individual'!$F:$F,$K202))</f>
        <v>Completado</v>
      </c>
      <c r="I202" s="20">
        <f>IF($K202="","",IF(INDEX('Detalle individual'!$F:$F,$K202)="Completado",INDEX('Detalle individual'!$H:$H,$K202),""))</f>
        <v>46311.45481481482</v>
      </c>
      <c r="J202" s="21">
        <f>IF($K202="","",IF(INDEX('Detalle individual'!$F:$F,$K202)="Completado",INDEX('Detalle individual'!$J:$J,$K202),""))</f>
        <v>100</v>
      </c>
      <c r="K202">
        <f>IFERROR(MOD(SMALL(Cálculos!$Z$5:$Z$1000,194),10000),"")</f>
        <v>150</v>
      </c>
    </row>
    <row r="203">
      <c r="B203" s="13">
        <f>IF($K203="","",195)</f>
        <v>195</v>
      </c>
      <c r="C203" s="13" t="str">
        <f>IF($K203="","",INDEX('Detalle individual'!$A:$A,$K203))</f>
        <v>982</v>
      </c>
      <c r="D203" s="72" t="str">
        <f>IF($K203="","",TRIM(INDEX('Detalle individual'!$B:$B,$K203)))</f>
        <v>ALEJANDRA ABIGAIL RAMIREZ ROMERO</v>
      </c>
      <c r="E203" s="72" t="str">
        <f>IF($K203="","",TRIM(INDEX('Detalle individual'!$E:$E,$K203)))</f>
        <v>DISEÑADOR GRAFICO</v>
      </c>
      <c r="F203" s="72" t="str">
        <f>IF($K203="","",TRIM(INDEX('Detalle individual'!$C:$C,$K203)))</f>
        <v>DEPARTAMENTO DE MERCADEO</v>
      </c>
      <c r="G203" s="72" t="str">
        <f>IF($K203="","",INDEX('Detalle individual'!$D:$D,$K203))</f>
        <v>Gerencia de Negocios</v>
      </c>
      <c r="H203" s="13" t="str">
        <f>IF($K203="","",INDEX('Detalle individual'!$F:$F,$K203))</f>
        <v>Completado</v>
      </c>
      <c r="I203" s="20">
        <f>IF($K203="","",IF(INDEX('Detalle individual'!$F:$F,$K203)="Completado",INDEX('Detalle individual'!$H:$H,$K203),""))</f>
        <v>46301.64126157408</v>
      </c>
      <c r="J203" s="21">
        <f>IF($K203="","",IF(INDEX('Detalle individual'!$F:$F,$K203)="Completado",INDEX('Detalle individual'!$J:$J,$K203),""))</f>
        <v>100</v>
      </c>
      <c r="K203">
        <f>IFERROR(MOD(SMALL(Cálculos!$Z$5:$Z$1000,195),10000),"")</f>
        <v>151</v>
      </c>
    </row>
    <row r="204">
      <c r="B204" s="13">
        <f>IF($K204="","",196)</f>
        <v>196</v>
      </c>
      <c r="C204" s="13" t="str">
        <f>IF($K204="","",INDEX('Detalle individual'!$A:$A,$K204))</f>
        <v>119</v>
      </c>
      <c r="D204" s="72" t="str">
        <f>IF($K204="","",TRIM(INDEX('Detalle individual'!$B:$B,$K204)))</f>
        <v>JUAN JOSE LOPEZ ALFARO</v>
      </c>
      <c r="E204" s="72" t="str">
        <f>IF($K204="","",TRIM(INDEX('Detalle individual'!$E:$E,$K204)))</f>
        <v>OPERADOR DE SISTEMAS</v>
      </c>
      <c r="F204" s="72" t="str">
        <f>IF($K204="","",TRIM(INDEX('Detalle individual'!$C:$C,$K204)))</f>
        <v>DEPARTAMENTO DE OPERACIONES Y SOPORTE TECNICO</v>
      </c>
      <c r="G204" s="72" t="str">
        <f>IF($K204="","",INDEX('Detalle individual'!$D:$D,$K204))</f>
        <v>Gerencia de Sistemas</v>
      </c>
      <c r="H204" s="13" t="str">
        <f>IF($K204="","",INDEX('Detalle individual'!$F:$F,$K204))</f>
        <v>Completado</v>
      </c>
      <c r="I204" s="20">
        <f>IF($K204="","",IF(INDEX('Detalle individual'!$F:$F,$K204)="Completado",INDEX('Detalle individual'!$H:$H,$K204),""))</f>
        <v>46302.441828703704</v>
      </c>
      <c r="J204" s="21">
        <f>IF($K204="","",IF(INDEX('Detalle individual'!$F:$F,$K204)="Completado",INDEX('Detalle individual'!$J:$J,$K204),""))</f>
        <v>100</v>
      </c>
      <c r="K204">
        <f>IFERROR(MOD(SMALL(Cálculos!$Z$5:$Z$1000,196),10000),"")</f>
        <v>105</v>
      </c>
    </row>
    <row r="205">
      <c r="B205" s="13">
        <f>IF($K205="","",197)</f>
        <v>197</v>
      </c>
      <c r="C205" s="13" t="str">
        <f>IF($K205="","",INDEX('Detalle individual'!$A:$A,$K205))</f>
        <v>221</v>
      </c>
      <c r="D205" s="72" t="str">
        <f>IF($K205="","",TRIM(INDEX('Detalle individual'!$B:$B,$K205)))</f>
        <v>CARLOS ORLANDO GARCIA VELASQUEZ</v>
      </c>
      <c r="E205" s="72" t="str">
        <f>IF($K205="","",TRIM(INDEX('Detalle individual'!$E:$E,$K205)))</f>
        <v>TECNICO EN SOPORTE</v>
      </c>
      <c r="F205" s="72" t="str">
        <f>IF($K205="","",TRIM(INDEX('Detalle individual'!$C:$C,$K205)))</f>
        <v>DEPARTAMENTO DE OPERACIONES Y SOPORTE TECNICO</v>
      </c>
      <c r="G205" s="72" t="str">
        <f>IF($K205="","",INDEX('Detalle individual'!$D:$D,$K205))</f>
        <v>Gerencia de Sistemas</v>
      </c>
      <c r="H205" s="13" t="str">
        <f>IF($K205="","",INDEX('Detalle individual'!$F:$F,$K205))</f>
        <v>Completado</v>
      </c>
      <c r="I205" s="20">
        <f>IF($K205="","",IF(INDEX('Detalle individual'!$F:$F,$K205)="Completado",INDEX('Detalle individual'!$H:$H,$K205),""))</f>
        <v>46300.58950231481</v>
      </c>
      <c r="J205" s="21">
        <f>IF($K205="","",IF(INDEX('Detalle individual'!$F:$F,$K205)="Completado",INDEX('Detalle individual'!$J:$J,$K205),""))</f>
        <v>100</v>
      </c>
      <c r="K205">
        <f>IFERROR(MOD(SMALL(Cálculos!$Z$5:$Z$1000,197),10000),"")</f>
        <v>106</v>
      </c>
    </row>
    <row r="206">
      <c r="B206" s="13">
        <f>IF($K206="","",198)</f>
        <v>198</v>
      </c>
      <c r="C206" s="13" t="str">
        <f>IF($K206="","",INDEX('Detalle individual'!$A:$A,$K206))</f>
        <v>259</v>
      </c>
      <c r="D206" s="72" t="str">
        <f>IF($K206="","",TRIM(INDEX('Detalle individual'!$B:$B,$K206)))</f>
        <v>EDGAR MARGARITO POZO SHUPAN</v>
      </c>
      <c r="E206" s="72" t="str">
        <f>IF($K206="","",TRIM(INDEX('Detalle individual'!$E:$E,$K206)))</f>
        <v>TECNICO EN SOPORTE</v>
      </c>
      <c r="F206" s="72" t="str">
        <f>IF($K206="","",TRIM(INDEX('Detalle individual'!$C:$C,$K206)))</f>
        <v>DEPARTAMENTO DE OPERACIONES Y SOPORTE TECNICO</v>
      </c>
      <c r="G206" s="72" t="str">
        <f>IF($K206="","",INDEX('Detalle individual'!$D:$D,$K206))</f>
        <v>Gerencia de Sistemas</v>
      </c>
      <c r="H206" s="13" t="str">
        <f>IF($K206="","",INDEX('Detalle individual'!$F:$F,$K206))</f>
        <v>Completado</v>
      </c>
      <c r="I206" s="20">
        <f>IF($K206="","",IF(INDEX('Detalle individual'!$F:$F,$K206)="Completado",INDEX('Detalle individual'!$H:$H,$K206),""))</f>
        <v>46300.63810185185</v>
      </c>
      <c r="J206" s="21">
        <f>IF($K206="","",IF(INDEX('Detalle individual'!$F:$F,$K206)="Completado",INDEX('Detalle individual'!$J:$J,$K206),""))</f>
        <v>100</v>
      </c>
      <c r="K206">
        <f>IFERROR(MOD(SMALL(Cálculos!$Z$5:$Z$1000,198),10000),"")</f>
        <v>107</v>
      </c>
    </row>
    <row r="207">
      <c r="B207" s="13">
        <f>IF($K207="","",199)</f>
        <v>199</v>
      </c>
      <c r="C207" s="13" t="str">
        <f>IF($K207="","",INDEX('Detalle individual'!$A:$A,$K207))</f>
        <v>281</v>
      </c>
      <c r="D207" s="72" t="str">
        <f>IF($K207="","",TRIM(INDEX('Detalle individual'!$B:$B,$K207)))</f>
        <v>CARLOS ALFONSO MOLINA CARDONA</v>
      </c>
      <c r="E207" s="72" t="str">
        <f>IF($K207="","",TRIM(INDEX('Detalle individual'!$E:$E,$K207)))</f>
        <v>OPERADOR DE SISTEMAS</v>
      </c>
      <c r="F207" s="72" t="str">
        <f>IF($K207="","",TRIM(INDEX('Detalle individual'!$C:$C,$K207)))</f>
        <v>DEPARTAMENTO DE OPERACIONES Y SOPORTE TECNICO</v>
      </c>
      <c r="G207" s="72" t="str">
        <f>IF($K207="","",INDEX('Detalle individual'!$D:$D,$K207))</f>
        <v>Gerencia de Sistemas</v>
      </c>
      <c r="H207" s="13" t="str">
        <f>IF($K207="","",INDEX('Detalle individual'!$F:$F,$K207))</f>
        <v>Completado</v>
      </c>
      <c r="I207" s="20">
        <f>IF($K207="","",IF(INDEX('Detalle individual'!$F:$F,$K207)="Completado",INDEX('Detalle individual'!$H:$H,$K207),""))</f>
        <v>46300.48065972222</v>
      </c>
      <c r="J207" s="21">
        <f>IF($K207="","",IF(INDEX('Detalle individual'!$F:$F,$K207)="Completado",INDEX('Detalle individual'!$J:$J,$K207),""))</f>
        <v>100</v>
      </c>
      <c r="K207">
        <f>IFERROR(MOD(SMALL(Cálculos!$Z$5:$Z$1000,199),10000),"")</f>
        <v>108</v>
      </c>
    </row>
    <row r="208">
      <c r="B208" s="13">
        <f>IF($K208="","",200)</f>
        <v>200</v>
      </c>
      <c r="C208" s="13" t="str">
        <f>IF($K208="","",INDEX('Detalle individual'!$A:$A,$K208))</f>
        <v>490</v>
      </c>
      <c r="D208" s="72" t="str">
        <f>IF($K208="","",TRIM(INDEX('Detalle individual'!$B:$B,$K208)))</f>
        <v>JULIO ADOLFO MOLINA ARRIOLA</v>
      </c>
      <c r="E208" s="72" t="str">
        <f>IF($K208="","",TRIM(INDEX('Detalle individual'!$E:$E,$K208)))</f>
        <v>OPERADOR DE SISTEMAS</v>
      </c>
      <c r="F208" s="72" t="str">
        <f>IF($K208="","",TRIM(INDEX('Detalle individual'!$C:$C,$K208)))</f>
        <v>DEPARTAMENTO DE OPERACIONES Y SOPORTE TECNICO</v>
      </c>
      <c r="G208" s="72" t="str">
        <f>IF($K208="","",INDEX('Detalle individual'!$D:$D,$K208))</f>
        <v>Gerencia de Sistemas</v>
      </c>
      <c r="H208" s="13" t="str">
        <f>IF($K208="","",INDEX('Detalle individual'!$F:$F,$K208))</f>
        <v>Completado</v>
      </c>
      <c r="I208" s="20">
        <f>IF($K208="","",IF(INDEX('Detalle individual'!$F:$F,$K208)="Completado",INDEX('Detalle individual'!$H:$H,$K208),""))</f>
        <v>46301.436527777776</v>
      </c>
      <c r="J208" s="21">
        <f>IF($K208="","",IF(INDEX('Detalle individual'!$F:$F,$K208)="Completado",INDEX('Detalle individual'!$J:$J,$K208),""))</f>
        <v>100</v>
      </c>
      <c r="K208">
        <f>IFERROR(MOD(SMALL(Cálculos!$Z$5:$Z$1000,200),10000),"")</f>
        <v>109</v>
      </c>
    </row>
    <row r="209">
      <c r="B209" s="13">
        <f>IF($K209="","",201)</f>
        <v>201</v>
      </c>
      <c r="C209" s="13" t="str">
        <f>IF($K209="","",INDEX('Detalle individual'!$A:$A,$K209))</f>
        <v>880</v>
      </c>
      <c r="D209" s="72" t="str">
        <f>IF($K209="","",TRIM(INDEX('Detalle individual'!$B:$B,$K209)))</f>
        <v>JORGE ALBERTO BARRERA</v>
      </c>
      <c r="E209" s="72" t="str">
        <f>IF($K209="","",TRIM(INDEX('Detalle individual'!$E:$E,$K209)))</f>
        <v>JEFE DE OPERACIONES Y SOPORTE TECNICO</v>
      </c>
      <c r="F209" s="72" t="str">
        <f>IF($K209="","",TRIM(INDEX('Detalle individual'!$C:$C,$K209)))</f>
        <v>DEPARTAMENTO DE OPERACIONES Y SOPORTE TECNICO</v>
      </c>
      <c r="G209" s="72" t="str">
        <f>IF($K209="","",INDEX('Detalle individual'!$D:$D,$K209))</f>
        <v>Gerencia de Sistemas</v>
      </c>
      <c r="H209" s="13" t="str">
        <f>IF($K209="","",INDEX('Detalle individual'!$F:$F,$K209))</f>
        <v>Completado</v>
      </c>
      <c r="I209" s="20">
        <f>IF($K209="","",IF(INDEX('Detalle individual'!$F:$F,$K209)="Completado",INDEX('Detalle individual'!$H:$H,$K209),""))</f>
        <v>46300.5841087963</v>
      </c>
      <c r="J209" s="21">
        <f>IF($K209="","",IF(INDEX('Detalle individual'!$F:$F,$K209)="Completado",INDEX('Detalle individual'!$J:$J,$K209),""))</f>
        <v>100</v>
      </c>
      <c r="K209">
        <f>IFERROR(MOD(SMALL(Cálculos!$Z$5:$Z$1000,201),10000),"")</f>
        <v>110</v>
      </c>
    </row>
    <row r="210">
      <c r="B210" s="13">
        <f>IF($K210="","",202)</f>
        <v>202</v>
      </c>
      <c r="C210" s="13" t="str">
        <f>IF($K210="","",INDEX('Detalle individual'!$A:$A,$K210))</f>
        <v>191</v>
      </c>
      <c r="D210" s="72" t="str">
        <f>IF($K210="","",TRIM(INDEX('Detalle individual'!$B:$B,$K210)))</f>
        <v>ESTER ALEYDA GODOY CAMPOS</v>
      </c>
      <c r="E210" s="72" t="str">
        <f>IF($K210="","",TRIM(INDEX('Detalle individual'!$E:$E,$K210)))</f>
        <v>ASISTENTE TECNICO DE PLANIFICACION</v>
      </c>
      <c r="F210" s="72" t="str">
        <f>IF($K210="","",TRIM(INDEX('Detalle individual'!$C:$C,$K210)))</f>
        <v>DEPARTAMENTO DE PLANIFICACIÓN Y ANALISIS</v>
      </c>
      <c r="G210" s="72" t="str">
        <f>IF($K210="","",INDEX('Detalle individual'!$D:$D,$K210))</f>
        <v>Gerencia de Finanzas y Planificación</v>
      </c>
      <c r="H210" s="13" t="str">
        <f>IF($K210="","",INDEX('Detalle individual'!$F:$F,$K210))</f>
        <v>Completado</v>
      </c>
      <c r="I210" s="20">
        <f>IF($K210="","",IF(INDEX('Detalle individual'!$F:$F,$K210)="Completado",INDEX('Detalle individual'!$H:$H,$K210),""))</f>
        <v>46307.665983796294</v>
      </c>
      <c r="J210" s="21">
        <f>IF($K210="","",IF(INDEX('Detalle individual'!$F:$F,$K210)="Completado",INDEX('Detalle individual'!$J:$J,$K210),""))</f>
        <v>100</v>
      </c>
      <c r="K210">
        <f>IFERROR(MOD(SMALL(Cálculos!$Z$5:$Z$1000,202),10000),"")</f>
        <v>98</v>
      </c>
    </row>
    <row r="211">
      <c r="B211" s="13">
        <f>IF($K211="","",203)</f>
        <v>203</v>
      </c>
      <c r="C211" s="13" t="str">
        <f>IF($K211="","",INDEX('Detalle individual'!$A:$A,$K211))</f>
        <v>839</v>
      </c>
      <c r="D211" s="72" t="str">
        <f>IF($K211="","",TRIM(INDEX('Detalle individual'!$B:$B,$K211)))</f>
        <v>RAFAEL ANDRES MARAVILLA GUERRA</v>
      </c>
      <c r="E211" s="72" t="str">
        <f>IF($K211="","",TRIM(INDEX('Detalle individual'!$E:$E,$K211)))</f>
        <v>ASISTENTE DE ANALISIS Y NORMATIVAS</v>
      </c>
      <c r="F211" s="72" t="str">
        <f>IF($K211="","",TRIM(INDEX('Detalle individual'!$C:$C,$K211)))</f>
        <v>DEPARTAMENTO DE PLANIFICACIÓN Y ANALISIS</v>
      </c>
      <c r="G211" s="72" t="str">
        <f>IF($K211="","",INDEX('Detalle individual'!$D:$D,$K211))</f>
        <v>Gerencia de Finanzas y Planificación</v>
      </c>
      <c r="H211" s="13" t="str">
        <f>IF($K211="","",INDEX('Detalle individual'!$F:$F,$K211))</f>
        <v>Completado</v>
      </c>
      <c r="I211" s="20">
        <f>IF($K211="","",IF(INDEX('Detalle individual'!$F:$F,$K211)="Completado",INDEX('Detalle individual'!$H:$H,$K211),""))</f>
        <v>46311.627291666664</v>
      </c>
      <c r="J211" s="21">
        <f>IF($K211="","",IF(INDEX('Detalle individual'!$F:$F,$K211)="Completado",INDEX('Detalle individual'!$J:$J,$K211),""))</f>
        <v>100</v>
      </c>
      <c r="K211">
        <f>IFERROR(MOD(SMALL(Cálculos!$Z$5:$Z$1000,203),10000),"")</f>
        <v>99</v>
      </c>
    </row>
    <row r="212">
      <c r="B212" s="13">
        <f>IF($K212="","",204)</f>
        <v>204</v>
      </c>
      <c r="C212" s="13" t="str">
        <f>IF($K212="","",INDEX('Detalle individual'!$A:$A,$K212))</f>
        <v>946</v>
      </c>
      <c r="D212" s="72" t="str">
        <f>IF($K212="","",TRIM(INDEX('Detalle individual'!$B:$B,$K212)))</f>
        <v>EFRAIN ANTONIO AYALA LOPEZ</v>
      </c>
      <c r="E212" s="72" t="str">
        <f>IF($K212="","",TRIM(INDEX('Detalle individual'!$E:$E,$K212)))</f>
        <v>JEFE DE PLANIFICACION Y ANALISIS</v>
      </c>
      <c r="F212" s="72" t="str">
        <f>IF($K212="","",TRIM(INDEX('Detalle individual'!$C:$C,$K212)))</f>
        <v>DEPARTAMENTO DE PLANIFICACIÓN Y ANALISIS</v>
      </c>
      <c r="G212" s="72" t="str">
        <f>IF($K212="","",INDEX('Detalle individual'!$D:$D,$K212))</f>
        <v>Gerencia de Finanzas y Planificación</v>
      </c>
      <c r="H212" s="13" t="str">
        <f>IF($K212="","",INDEX('Detalle individual'!$F:$F,$K212))</f>
        <v>Completado</v>
      </c>
      <c r="I212" s="20">
        <f>IF($K212="","",IF(INDEX('Detalle individual'!$F:$F,$K212)="Completado",INDEX('Detalle individual'!$H:$H,$K212),""))</f>
        <v>46305.53491898148</v>
      </c>
      <c r="J212" s="21">
        <f>IF($K212="","",IF(INDEX('Detalle individual'!$F:$F,$K212)="Completado",INDEX('Detalle individual'!$J:$J,$K212),""))</f>
        <v>100</v>
      </c>
      <c r="K212">
        <f>IFERROR(MOD(SMALL(Cálculos!$Z$5:$Z$1000,204),10000),"")</f>
        <v>100</v>
      </c>
    </row>
    <row r="213">
      <c r="B213" s="13">
        <f>IF($K213="","",205)</f>
        <v>205</v>
      </c>
      <c r="C213" s="13" t="str">
        <f>IF($K213="","",INDEX('Detalle individual'!$A:$A,$K213))</f>
        <v>318</v>
      </c>
      <c r="D213" s="72" t="str">
        <f>IF($K213="","",TRIM(INDEX('Detalle individual'!$B:$B,$K213)))</f>
        <v>CLAUDIA CAROLINA HENRIQUEZ VELASCO</v>
      </c>
      <c r="E213" s="72" t="str">
        <f>IF($K213="","",TRIM(INDEX('Detalle individual'!$E:$E,$K213)))</f>
        <v>JEFE DE PROCESOS</v>
      </c>
      <c r="F213" s="72" t="str">
        <f>IF($K213="","",TRIM(INDEX('Detalle individual'!$C:$C,$K213)))</f>
        <v>DEPARTAMENTO DE PROCESOS</v>
      </c>
      <c r="G213" s="72" t="str">
        <f>IF($K213="","",INDEX('Detalle individual'!$D:$D,$K213))</f>
        <v>Gerencia General</v>
      </c>
      <c r="H213" s="13" t="str">
        <f>IF($K213="","",INDEX('Detalle individual'!$F:$F,$K213))</f>
        <v>Completado</v>
      </c>
      <c r="I213" s="20">
        <f>IF($K213="","",IF(INDEX('Detalle individual'!$F:$F,$K213)="Completado",INDEX('Detalle individual'!$H:$H,$K213),""))</f>
        <v>46296.44149305556</v>
      </c>
      <c r="J213" s="21">
        <f>IF($K213="","",IF(INDEX('Detalle individual'!$F:$F,$K213)="Completado",INDEX('Detalle individual'!$J:$J,$K213),""))</f>
        <v>100</v>
      </c>
      <c r="K213">
        <f>IFERROR(MOD(SMALL(Cálculos!$Z$5:$Z$1000,205),10000),"")</f>
        <v>18</v>
      </c>
    </row>
    <row r="214">
      <c r="B214" s="13">
        <f>IF($K214="","",206)</f>
        <v>206</v>
      </c>
      <c r="C214" s="13" t="str">
        <f>IF($K214="","",INDEX('Detalle individual'!$A:$A,$K214))</f>
        <v>817</v>
      </c>
      <c r="D214" s="72" t="str">
        <f>IF($K214="","",TRIM(INDEX('Detalle individual'!$B:$B,$K214)))</f>
        <v>MAURICIO EDGARDO MIRANDA CAMPOS</v>
      </c>
      <c r="E214" s="72" t="str">
        <f>IF($K214="","",TRIM(INDEX('Detalle individual'!$E:$E,$K214)))</f>
        <v>ANALISTA DE PROCESOS</v>
      </c>
      <c r="F214" s="72" t="str">
        <f>IF($K214="","",TRIM(INDEX('Detalle individual'!$C:$C,$K214)))</f>
        <v>DEPARTAMENTO DE PROCESOS</v>
      </c>
      <c r="G214" s="72" t="str">
        <f>IF($K214="","",INDEX('Detalle individual'!$D:$D,$K214))</f>
        <v>Gerencia General</v>
      </c>
      <c r="H214" s="13" t="str">
        <f>IF($K214="","",INDEX('Detalle individual'!$F:$F,$K214))</f>
        <v>Completado</v>
      </c>
      <c r="I214" s="20">
        <f>IF($K214="","",IF(INDEX('Detalle individual'!$F:$F,$K214)="Completado",INDEX('Detalle individual'!$H:$H,$K214),""))</f>
        <v>46296.44137731481</v>
      </c>
      <c r="J214" s="21">
        <f>IF($K214="","",IF(INDEX('Detalle individual'!$F:$F,$K214)="Completado",INDEX('Detalle individual'!$J:$J,$K214),""))</f>
        <v>100</v>
      </c>
      <c r="K214">
        <f>IFERROR(MOD(SMALL(Cálculos!$Z$5:$Z$1000,206),10000),"")</f>
        <v>19</v>
      </c>
    </row>
    <row r="215">
      <c r="B215" s="13">
        <f>IF($K215="","",207)</f>
        <v>207</v>
      </c>
      <c r="C215" s="13" t="str">
        <f>IF($K215="","",INDEX('Detalle individual'!$A:$A,$K215))</f>
        <v>932</v>
      </c>
      <c r="D215" s="72" t="str">
        <f>IF($K215="","",TRIM(INDEX('Detalle individual'!$B:$B,$K215)))</f>
        <v>HECTOR SEBASTIAN LOPEZ GRANADOS</v>
      </c>
      <c r="E215" s="72" t="str">
        <f>IF($K215="","",TRIM(INDEX('Detalle individual'!$E:$E,$K215)))</f>
        <v>ASISTENTE TECNICO DE PROCESOS</v>
      </c>
      <c r="F215" s="72" t="str">
        <f>IF($K215="","",TRIM(INDEX('Detalle individual'!$C:$C,$K215)))</f>
        <v>DEPARTAMENTO DE PROCESOS</v>
      </c>
      <c r="G215" s="72" t="str">
        <f>IF($K215="","",INDEX('Detalle individual'!$D:$D,$K215))</f>
        <v>Gerencia General</v>
      </c>
      <c r="H215" s="13" t="str">
        <f>IF($K215="","",INDEX('Detalle individual'!$F:$F,$K215))</f>
        <v>Completado</v>
      </c>
      <c r="I215" s="20">
        <f>IF($K215="","",IF(INDEX('Detalle individual'!$F:$F,$K215)="Completado",INDEX('Detalle individual'!$H:$H,$K215),""))</f>
        <v>46296.44143518519</v>
      </c>
      <c r="J215" s="21">
        <f>IF($K215="","",IF(INDEX('Detalle individual'!$F:$F,$K215)="Completado",INDEX('Detalle individual'!$J:$J,$K215),""))</f>
        <v>100</v>
      </c>
      <c r="K215">
        <f>IFERROR(MOD(SMALL(Cálculos!$Z$5:$Z$1000,207),10000),"")</f>
        <v>20</v>
      </c>
    </row>
    <row r="216">
      <c r="B216" s="13">
        <f>IF($K216="","",208)</f>
        <v>208</v>
      </c>
      <c r="C216" s="13" t="str">
        <f>IF($K216="","",INDEX('Detalle individual'!$A:$A,$K216))</f>
        <v>452</v>
      </c>
      <c r="D216" s="72" t="str">
        <f>IF($K216="","",TRIM(INDEX('Detalle individual'!$B:$B,$K216)))</f>
        <v>SERGIO ARTURO CALDERON SALAZAR</v>
      </c>
      <c r="E216" s="72" t="str">
        <f>IF($K216="","",TRIM(INDEX('Detalle individual'!$E:$E,$K216)))</f>
        <v>COORDINADOR DE SEGURIDAD</v>
      </c>
      <c r="F216" s="72" t="str">
        <f>IF($K216="","",TRIM(INDEX('Detalle individual'!$C:$C,$K216)))</f>
        <v>DEPARTAMENTO DE SEGURIDAD</v>
      </c>
      <c r="G216" s="72" t="str">
        <f>IF($K216="","",INDEX('Detalle individual'!$D:$D,$K216))</f>
        <v>Gerencia Administrativa</v>
      </c>
      <c r="H216" s="13" t="str">
        <f>IF($K216="","",INDEX('Detalle individual'!$F:$F,$K216))</f>
        <v>Completado</v>
      </c>
      <c r="I216" s="20">
        <f>IF($K216="","",IF(INDEX('Detalle individual'!$F:$F,$K216)="Completado",INDEX('Detalle individual'!$H:$H,$K216),""))</f>
        <v>46296.46072916667</v>
      </c>
      <c r="J216" s="21">
        <f>IF($K216="","",IF(INDEX('Detalle individual'!$F:$F,$K216)="Completado",INDEX('Detalle individual'!$J:$J,$K216),""))</f>
        <v>90</v>
      </c>
      <c r="K216">
        <f>IFERROR(MOD(SMALL(Cálculos!$Z$5:$Z$1000,208),10000),"")</f>
        <v>52</v>
      </c>
    </row>
    <row r="217">
      <c r="B217" s="13">
        <f>IF($K217="","",209)</f>
        <v>209</v>
      </c>
      <c r="C217" s="13" t="str">
        <f>IF($K217="","",INDEX('Detalle individual'!$A:$A,$K217))</f>
        <v>901</v>
      </c>
      <c r="D217" s="72" t="str">
        <f>IF($K217="","",TRIM(INDEX('Detalle individual'!$B:$B,$K217)))</f>
        <v>CARLOS ALEJANDRO MARAVILLA MENDEZ</v>
      </c>
      <c r="E217" s="72" t="str">
        <f>IF($K217="","",TRIM(INDEX('Detalle individual'!$E:$E,$K217)))</f>
        <v>OPERADOR DE MONITOREO DE LOS SISTEMAS DE SEGURIDAD</v>
      </c>
      <c r="F217" s="72" t="str">
        <f>IF($K217="","",TRIM(INDEX('Detalle individual'!$C:$C,$K217)))</f>
        <v>DEPARTAMENTO DE SEGURIDAD</v>
      </c>
      <c r="G217" s="72" t="str">
        <f>IF($K217="","",INDEX('Detalle individual'!$D:$D,$K217))</f>
        <v>Gerencia Administrativa</v>
      </c>
      <c r="H217" s="13" t="str">
        <f>IF($K217="","",INDEX('Detalle individual'!$F:$F,$K217))</f>
        <v>Completado</v>
      </c>
      <c r="I217" s="20">
        <f>IF($K217="","",IF(INDEX('Detalle individual'!$F:$F,$K217)="Completado",INDEX('Detalle individual'!$H:$H,$K217),""))</f>
        <v>46296.45633101852</v>
      </c>
      <c r="J217" s="21">
        <f>IF($K217="","",IF(INDEX('Detalle individual'!$F:$F,$K217)="Completado",INDEX('Detalle individual'!$J:$J,$K217),""))</f>
        <v>100</v>
      </c>
      <c r="K217">
        <f>IFERROR(MOD(SMALL(Cálculos!$Z$5:$Z$1000,209),10000),"")</f>
        <v>53</v>
      </c>
    </row>
    <row r="218">
      <c r="B218" s="13">
        <f>IF($K218="","",210)</f>
        <v>210</v>
      </c>
      <c r="C218" s="13" t="str">
        <f>IF($K218="","",INDEX('Detalle individual'!$A:$A,$K218))</f>
        <v>544</v>
      </c>
      <c r="D218" s="72" t="str">
        <f>IF($K218="","",TRIM(INDEX('Detalle individual'!$B:$B,$K218)))</f>
        <v>CLAUDIA MARISOL MADRID BARRIENTOS</v>
      </c>
      <c r="E218" s="72" t="str">
        <f>IF($K218="","",TRIM(INDEX('Detalle individual'!$E:$E,$K218)))</f>
        <v>GESTOR DE RECLAMOS Y SUSCRIPCIONES</v>
      </c>
      <c r="F218" s="72" t="str">
        <f>IF($K218="","",TRIM(INDEX('Detalle individual'!$C:$C,$K218)))</f>
        <v>DEPARTAMENTO DE SEGUROS</v>
      </c>
      <c r="G218" s="72" t="str">
        <f>IF($K218="","",INDEX('Detalle individual'!$D:$D,$K218))</f>
        <v>Gerencia de Negocios</v>
      </c>
      <c r="H218" s="13" t="str">
        <f>IF($K218="","",INDEX('Detalle individual'!$F:$F,$K218))</f>
        <v>Completado</v>
      </c>
      <c r="I218" s="20">
        <f>IF($K218="","",IF(INDEX('Detalle individual'!$F:$F,$K218)="Completado",INDEX('Detalle individual'!$H:$H,$K218),""))</f>
        <v>46309.43305555556</v>
      </c>
      <c r="J218" s="21">
        <f>IF($K218="","",IF(INDEX('Detalle individual'!$F:$F,$K218)="Completado",INDEX('Detalle individual'!$J:$J,$K218),""))</f>
        <v>90</v>
      </c>
      <c r="K218">
        <f>IFERROR(MOD(SMALL(Cálculos!$Z$5:$Z$1000,210),10000),"")</f>
        <v>165</v>
      </c>
    </row>
    <row r="219">
      <c r="B219" s="13">
        <f>IF($K219="","",211)</f>
        <v>211</v>
      </c>
      <c r="C219" s="13" t="str">
        <f>IF($K219="","",INDEX('Detalle individual'!$A:$A,$K219))</f>
        <v>589</v>
      </c>
      <c r="D219" s="72" t="str">
        <f>IF($K219="","",TRIM(INDEX('Detalle individual'!$B:$B,$K219)))</f>
        <v>CLELIA LIZETH ORTIZ GALDAMEZ</v>
      </c>
      <c r="E219" s="72" t="str">
        <f>IF($K219="","",TRIM(INDEX('Detalle individual'!$E:$E,$K219)))</f>
        <v>AUXILIAR DE ADMINISTRACION DE SEGUROS</v>
      </c>
      <c r="F219" s="72" t="str">
        <f>IF($K219="","",TRIM(INDEX('Detalle individual'!$C:$C,$K219)))</f>
        <v>DEPARTAMENTO DE SEGUROS</v>
      </c>
      <c r="G219" s="72" t="str">
        <f>IF($K219="","",INDEX('Detalle individual'!$D:$D,$K219))</f>
        <v>Gerencia de Negocios</v>
      </c>
      <c r="H219" s="13" t="str">
        <f>IF($K219="","",INDEX('Detalle individual'!$F:$F,$K219))</f>
        <v>Completado</v>
      </c>
      <c r="I219" s="20">
        <f>IF($K219="","",IF(INDEX('Detalle individual'!$F:$F,$K219)="Completado",INDEX('Detalle individual'!$H:$H,$K219),""))</f>
        <v>46301.68011574074</v>
      </c>
      <c r="J219" s="21">
        <f>IF($K219="","",IF(INDEX('Detalle individual'!$F:$F,$K219)="Completado",INDEX('Detalle individual'!$J:$J,$K219),""))</f>
        <v>90</v>
      </c>
      <c r="K219">
        <f>IFERROR(MOD(SMALL(Cálculos!$Z$5:$Z$1000,211),10000),"")</f>
        <v>166</v>
      </c>
    </row>
    <row r="220">
      <c r="B220" s="13">
        <f>IF($K220="","",212)</f>
        <v>212</v>
      </c>
      <c r="C220" s="13" t="str">
        <f>IF($K220="","",INDEX('Detalle individual'!$A:$A,$K220))</f>
        <v>639</v>
      </c>
      <c r="D220" s="72" t="str">
        <f>IF($K220="","",TRIM(INDEX('Detalle individual'!$B:$B,$K220)))</f>
        <v>CARLOS ALEXANDER ROMERO ROMERO</v>
      </c>
      <c r="E220" s="72" t="str">
        <f>IF($K220="","",TRIM(INDEX('Detalle individual'!$E:$E,$K220)))</f>
        <v>GESTOR DE CARTERA DE SEGUROS</v>
      </c>
      <c r="F220" s="72" t="str">
        <f>IF($K220="","",TRIM(INDEX('Detalle individual'!$C:$C,$K220)))</f>
        <v>DEPARTAMENTO DE SEGUROS</v>
      </c>
      <c r="G220" s="72" t="str">
        <f>IF($K220="","",INDEX('Detalle individual'!$D:$D,$K220))</f>
        <v>Gerencia de Negocios</v>
      </c>
      <c r="H220" s="13" t="str">
        <f>IF($K220="","",INDEX('Detalle individual'!$F:$F,$K220))</f>
        <v>Completado</v>
      </c>
      <c r="I220" s="20">
        <f>IF($K220="","",IF(INDEX('Detalle individual'!$F:$F,$K220)="Completado",INDEX('Detalle individual'!$H:$H,$K220),""))</f>
        <v>46305.51787037037</v>
      </c>
      <c r="J220" s="21">
        <f>IF($K220="","",IF(INDEX('Detalle individual'!$F:$F,$K220)="Completado",INDEX('Detalle individual'!$J:$J,$K220),""))</f>
        <v>100</v>
      </c>
      <c r="K220">
        <f>IFERROR(MOD(SMALL(Cálculos!$Z$5:$Z$1000,212),10000),"")</f>
        <v>167</v>
      </c>
    </row>
    <row r="221">
      <c r="B221" s="13">
        <f>IF($K221="","",213)</f>
        <v>213</v>
      </c>
      <c r="C221" s="13" t="str">
        <f>IF($K221="","",INDEX('Detalle individual'!$A:$A,$K221))</f>
        <v>643</v>
      </c>
      <c r="D221" s="72" t="str">
        <f>IF($K221="","",TRIM(INDEX('Detalle individual'!$B:$B,$K221)))</f>
        <v>LISSETTE MARICELA SANCHEZ MOLINA</v>
      </c>
      <c r="E221" s="72" t="str">
        <f>IF($K221="","",TRIM(INDEX('Detalle individual'!$E:$E,$K221)))</f>
        <v>ASISTENTE DE SEGUROS</v>
      </c>
      <c r="F221" s="72" t="str">
        <f>IF($K221="","",TRIM(INDEX('Detalle individual'!$C:$C,$K221)))</f>
        <v>DEPARTAMENTO DE SEGUROS</v>
      </c>
      <c r="G221" s="72" t="str">
        <f>IF($K221="","",INDEX('Detalle individual'!$D:$D,$K221))</f>
        <v>Gerencia de Negocios</v>
      </c>
      <c r="H221" s="13" t="str">
        <f>IF($K221="","",INDEX('Detalle individual'!$F:$F,$K221))</f>
        <v>Completado</v>
      </c>
      <c r="I221" s="20">
        <f>IF($K221="","",IF(INDEX('Detalle individual'!$F:$F,$K221)="Completado",INDEX('Detalle individual'!$H:$H,$K221),""))</f>
        <v>46309.639328703706</v>
      </c>
      <c r="J221" s="21">
        <f>IF($K221="","",IF(INDEX('Detalle individual'!$F:$F,$K221)="Completado",INDEX('Detalle individual'!$J:$J,$K221),""))</f>
        <v>100</v>
      </c>
      <c r="K221">
        <f>IFERROR(MOD(SMALL(Cálculos!$Z$5:$Z$1000,213),10000),"")</f>
        <v>168</v>
      </c>
    </row>
    <row r="222">
      <c r="B222" s="13">
        <f>IF($K222="","",214)</f>
        <v>214</v>
      </c>
      <c r="C222" s="13" t="str">
        <f>IF($K222="","",INDEX('Detalle individual'!$A:$A,$K222))</f>
        <v>689</v>
      </c>
      <c r="D222" s="72" t="str">
        <f>IF($K222="","",TRIM(INDEX('Detalle individual'!$B:$B,$K222)))</f>
        <v>RAUL ERNESTO PALACIOS LANDAVERDE</v>
      </c>
      <c r="E222" s="72" t="str">
        <f>IF($K222="","",TRIM(INDEX('Detalle individual'!$E:$E,$K222)))</f>
        <v>TECNICO DEL SEGURO DE SALUD</v>
      </c>
      <c r="F222" s="72" t="str">
        <f>IF($K222="","",TRIM(INDEX('Detalle individual'!$C:$C,$K222)))</f>
        <v>DEPARTAMENTO DE SEGUROS</v>
      </c>
      <c r="G222" s="72" t="str">
        <f>IF($K222="","",INDEX('Detalle individual'!$D:$D,$K222))</f>
        <v>Gerencia de Negocios</v>
      </c>
      <c r="H222" s="13" t="str">
        <f>IF($K222="","",INDEX('Detalle individual'!$F:$F,$K222))</f>
        <v>Completado</v>
      </c>
      <c r="I222" s="20">
        <f>IF($K222="","",IF(INDEX('Detalle individual'!$F:$F,$K222)="Completado",INDEX('Detalle individual'!$H:$H,$K222),""))</f>
        <v>46296.46570601852</v>
      </c>
      <c r="J222" s="21">
        <f>IF($K222="","",IF(INDEX('Detalle individual'!$F:$F,$K222)="Completado",INDEX('Detalle individual'!$J:$J,$K222),""))</f>
        <v>100</v>
      </c>
      <c r="K222">
        <f>IFERROR(MOD(SMALL(Cálculos!$Z$5:$Z$1000,214),10000),"")</f>
        <v>169</v>
      </c>
    </row>
    <row r="223">
      <c r="B223" s="13">
        <f>IF($K223="","",215)</f>
        <v>215</v>
      </c>
      <c r="C223" s="13" t="str">
        <f>IF($K223="","",INDEX('Detalle individual'!$A:$A,$K223))</f>
        <v>792</v>
      </c>
      <c r="D223" s="72" t="str">
        <f>IF($K223="","",TRIM(INDEX('Detalle individual'!$B:$B,$K223)))</f>
        <v>JENNYFER AYLIN ESCOBAR ZAMORA</v>
      </c>
      <c r="E223" s="72" t="str">
        <f>IF($K223="","",TRIM(INDEX('Detalle individual'!$E:$E,$K223)))</f>
        <v>COORDINADOR COMERCIAL DE SEGUROS</v>
      </c>
      <c r="F223" s="72" t="str">
        <f>IF($K223="","",TRIM(INDEX('Detalle individual'!$C:$C,$K223)))</f>
        <v>DEPARTAMENTO DE SEGUROS</v>
      </c>
      <c r="G223" s="72" t="str">
        <f>IF($K223="","",INDEX('Detalle individual'!$D:$D,$K223))</f>
        <v>Gerencia de Negocios</v>
      </c>
      <c r="H223" s="13" t="str">
        <f>IF($K223="","",INDEX('Detalle individual'!$F:$F,$K223))</f>
        <v>Completado</v>
      </c>
      <c r="I223" s="20">
        <f>IF($K223="","",IF(INDEX('Detalle individual'!$F:$F,$K223)="Completado",INDEX('Detalle individual'!$H:$H,$K223),""))</f>
        <v>46309.485625</v>
      </c>
      <c r="J223" s="21">
        <f>IF($K223="","",IF(INDEX('Detalle individual'!$F:$F,$K223)="Completado",INDEX('Detalle individual'!$J:$J,$K223),""))</f>
        <v>100</v>
      </c>
      <c r="K223">
        <f>IFERROR(MOD(SMALL(Cálculos!$Z$5:$Z$1000,215),10000),"")</f>
        <v>170</v>
      </c>
    </row>
    <row r="224">
      <c r="B224" s="13">
        <f>IF($K224="","",216)</f>
        <v>216</v>
      </c>
      <c r="C224" s="13" t="str">
        <f>IF($K224="","",INDEX('Detalle individual'!$A:$A,$K224))</f>
        <v>793</v>
      </c>
      <c r="D224" s="72" t="str">
        <f>IF($K224="","",TRIM(INDEX('Detalle individual'!$B:$B,$K224)))</f>
        <v>KRIZIA BETSABE FLORES MARTINEZ</v>
      </c>
      <c r="E224" s="72" t="str">
        <f>IF($K224="","",TRIM(INDEX('Detalle individual'!$E:$E,$K224)))</f>
        <v>JEFE DE SEGUROS</v>
      </c>
      <c r="F224" s="72" t="str">
        <f>IF($K224="","",TRIM(INDEX('Detalle individual'!$C:$C,$K224)))</f>
        <v>DEPARTAMENTO DE SEGUROS</v>
      </c>
      <c r="G224" s="72" t="str">
        <f>IF($K224="","",INDEX('Detalle individual'!$D:$D,$K224))</f>
        <v>Gerencia de Negocios</v>
      </c>
      <c r="H224" s="13" t="str">
        <f>IF($K224="","",INDEX('Detalle individual'!$F:$F,$K224))</f>
        <v>Completado</v>
      </c>
      <c r="I224" s="20">
        <f>IF($K224="","",IF(INDEX('Detalle individual'!$F:$F,$K224)="Completado",INDEX('Detalle individual'!$H:$H,$K224),""))</f>
        <v>46297.49109953704</v>
      </c>
      <c r="J224" s="21">
        <f>IF($K224="","",IF(INDEX('Detalle individual'!$F:$F,$K224)="Completado",INDEX('Detalle individual'!$J:$J,$K224),""))</f>
        <v>90</v>
      </c>
      <c r="K224">
        <f>IFERROR(MOD(SMALL(Cálculos!$Z$5:$Z$1000,216),10000),"")</f>
        <v>171</v>
      </c>
    </row>
    <row r="225">
      <c r="B225" s="13">
        <f>IF($K225="","",217)</f>
        <v>217</v>
      </c>
      <c r="C225" s="13" t="str">
        <f>IF($K225="","",INDEX('Detalle individual'!$A:$A,$K225))</f>
        <v>805</v>
      </c>
      <c r="D225" s="72" t="str">
        <f>IF($K225="","",TRIM(INDEX('Detalle individual'!$B:$B,$K225)))</f>
        <v>JUANA HAZEL GARCIA COREAS</v>
      </c>
      <c r="E225" s="72" t="str">
        <f>IF($K225="","",TRIM(INDEX('Detalle individual'!$E:$E,$K225)))</f>
        <v>EJECUTIVO DE VENTA DE SEGUROS</v>
      </c>
      <c r="F225" s="72" t="str">
        <f>IF($K225="","",TRIM(INDEX('Detalle individual'!$C:$C,$K225)))</f>
        <v>DEPARTAMENTO DE SEGUROS</v>
      </c>
      <c r="G225" s="72" t="str">
        <f>IF($K225="","",INDEX('Detalle individual'!$D:$D,$K225))</f>
        <v>Gerencia de Negocios</v>
      </c>
      <c r="H225" s="13" t="str">
        <f>IF($K225="","",INDEX('Detalle individual'!$F:$F,$K225))</f>
        <v>Completado</v>
      </c>
      <c r="I225" s="20">
        <f>IF($K225="","",IF(INDEX('Detalle individual'!$F:$F,$K225)="Completado",INDEX('Detalle individual'!$H:$H,$K225),""))</f>
        <v>46309.48584490741</v>
      </c>
      <c r="J225" s="21">
        <f>IF($K225="","",IF(INDEX('Detalle individual'!$F:$F,$K225)="Completado",INDEX('Detalle individual'!$J:$J,$K225),""))</f>
        <v>100</v>
      </c>
      <c r="K225">
        <f>IFERROR(MOD(SMALL(Cálculos!$Z$5:$Z$1000,217),10000),"")</f>
        <v>173</v>
      </c>
    </row>
    <row r="226">
      <c r="B226" s="13">
        <f>IF($K226="","",218)</f>
        <v>218</v>
      </c>
      <c r="C226" s="13" t="str">
        <f>IF($K226="","",INDEX('Detalle individual'!$A:$A,$K226))</f>
        <v>869</v>
      </c>
      <c r="D226" s="72" t="str">
        <f>IF($K226="","",TRIM(INDEX('Detalle individual'!$B:$B,$K226)))</f>
        <v>JENNIFER BETSABE MARAVILLA MORENO</v>
      </c>
      <c r="E226" s="72" t="str">
        <f>IF($K226="","",TRIM(INDEX('Detalle individual'!$E:$E,$K226)))</f>
        <v>EJECUTIVO DE VENTA DE SEGUROS</v>
      </c>
      <c r="F226" s="72" t="str">
        <f>IF($K226="","",TRIM(INDEX('Detalle individual'!$C:$C,$K226)))</f>
        <v>DEPARTAMENTO DE SEGUROS</v>
      </c>
      <c r="G226" s="72" t="str">
        <f>IF($K226="","",INDEX('Detalle individual'!$D:$D,$K226))</f>
        <v>Gerencia de Negocios</v>
      </c>
      <c r="H226" s="13" t="str">
        <f>IF($K226="","",INDEX('Detalle individual'!$F:$F,$K226))</f>
        <v>Completado</v>
      </c>
      <c r="I226" s="20">
        <f>IF($K226="","",IF(INDEX('Detalle individual'!$F:$F,$K226)="Completado",INDEX('Detalle individual'!$H:$H,$K226),""))</f>
        <v>46296.68630787037</v>
      </c>
      <c r="J226" s="21">
        <f>IF($K226="","",IF(INDEX('Detalle individual'!$F:$F,$K226)="Completado",INDEX('Detalle individual'!$J:$J,$K226),""))</f>
        <v>100</v>
      </c>
      <c r="K226">
        <f>IFERROR(MOD(SMALL(Cálculos!$Z$5:$Z$1000,218),10000),"")</f>
        <v>174</v>
      </c>
    </row>
    <row r="227">
      <c r="B227" s="13">
        <f>IF($K227="","",219)</f>
        <v>219</v>
      </c>
      <c r="C227" s="13" t="str">
        <f>IF($K227="","",INDEX('Detalle individual'!$A:$A,$K227))</f>
        <v>894</v>
      </c>
      <c r="D227" s="72" t="str">
        <f>IF($K227="","",TRIM(INDEX('Detalle individual'!$B:$B,$K227)))</f>
        <v>HENRY OSWALDO PINEDA GARCIA</v>
      </c>
      <c r="E227" s="72" t="str">
        <f>IF($K227="","",TRIM(INDEX('Detalle individual'!$E:$E,$K227)))</f>
        <v>EJECUTIVO MOVIL DE SEGUROS</v>
      </c>
      <c r="F227" s="72" t="str">
        <f>IF($K227="","",TRIM(INDEX('Detalle individual'!$C:$C,$K227)))</f>
        <v>DEPARTAMENTO DE SEGUROS</v>
      </c>
      <c r="G227" s="72" t="str">
        <f>IF($K227="","",INDEX('Detalle individual'!$D:$D,$K227))</f>
        <v>Gerencia de Negocios</v>
      </c>
      <c r="H227" s="13" t="str">
        <f>IF($K227="","",INDEX('Detalle individual'!$F:$F,$K227))</f>
        <v>Completado</v>
      </c>
      <c r="I227" s="20">
        <f>IF($K227="","",IF(INDEX('Detalle individual'!$F:$F,$K227)="Completado",INDEX('Detalle individual'!$H:$H,$K227),""))</f>
        <v>46296.431875</v>
      </c>
      <c r="J227" s="21">
        <f>IF($K227="","",IF(INDEX('Detalle individual'!$F:$F,$K227)="Completado",INDEX('Detalle individual'!$J:$J,$K227),""))</f>
        <v>100</v>
      </c>
      <c r="K227">
        <f>IFERROR(MOD(SMALL(Cálculos!$Z$5:$Z$1000,219),10000),"")</f>
        <v>175</v>
      </c>
    </row>
    <row r="228">
      <c r="B228" s="13">
        <f>IF($K228="","",220)</f>
        <v>220</v>
      </c>
      <c r="C228" s="13" t="str">
        <f>IF($K228="","",INDEX('Detalle individual'!$A:$A,$K228))</f>
        <v>55</v>
      </c>
      <c r="D228" s="72" t="str">
        <f>IF($K228="","",TRIM(INDEX('Detalle individual'!$B:$B,$K228)))</f>
        <v>LEONEL EDGARDO SALAZAR RAMIREZ</v>
      </c>
      <c r="E228" s="72" t="str">
        <f>IF($K228="","",TRIM(INDEX('Detalle individual'!$E:$E,$K228)))</f>
        <v>MENSAJERO</v>
      </c>
      <c r="F228" s="72" t="str">
        <f>IF($K228="","",TRIM(INDEX('Detalle individual'!$C:$C,$K228)))</f>
        <v>DEPARTAMENTO DE SERVICIOS GENERALES</v>
      </c>
      <c r="G228" s="72" t="str">
        <f>IF($K228="","",INDEX('Detalle individual'!$D:$D,$K228))</f>
        <v>Gerencia Administrativa</v>
      </c>
      <c r="H228" s="13" t="str">
        <f>IF($K228="","",INDEX('Detalle individual'!$F:$F,$K228))</f>
        <v>Completado</v>
      </c>
      <c r="I228" s="20">
        <f>IF($K228="","",IF(INDEX('Detalle individual'!$F:$F,$K228)="Completado",INDEX('Detalle individual'!$H:$H,$K228),""))</f>
        <v>46300.81421296296</v>
      </c>
      <c r="J228" s="21">
        <f>IF($K228="","",IF(INDEX('Detalle individual'!$F:$F,$K228)="Completado",INDEX('Detalle individual'!$J:$J,$K228),""))</f>
        <v>90</v>
      </c>
      <c r="K228">
        <f>IFERROR(MOD(SMALL(Cálculos!$Z$5:$Z$1000,220),10000),"")</f>
        <v>26</v>
      </c>
    </row>
    <row r="229">
      <c r="B229" s="13">
        <f>IF($K229="","",221)</f>
        <v>221</v>
      </c>
      <c r="C229" s="13" t="str">
        <f>IF($K229="","",INDEX('Detalle individual'!$A:$A,$K229))</f>
        <v>222</v>
      </c>
      <c r="D229" s="72" t="str">
        <f>IF($K229="","",TRIM(INDEX('Detalle individual'!$B:$B,$K229)))</f>
        <v>MARIA GUADALUPE MARTINEZ MURCIA</v>
      </c>
      <c r="E229" s="72" t="str">
        <f>IF($K229="","",TRIM(INDEX('Detalle individual'!$E:$E,$K229)))</f>
        <v>AUXILIAR DE COMPRAS</v>
      </c>
      <c r="F229" s="72" t="str">
        <f>IF($K229="","",TRIM(INDEX('Detalle individual'!$C:$C,$K229)))</f>
        <v>DEPARTAMENTO DE SERVICIOS GENERALES</v>
      </c>
      <c r="G229" s="72" t="str">
        <f>IF($K229="","",INDEX('Detalle individual'!$D:$D,$K229))</f>
        <v>Gerencia Administrativa</v>
      </c>
      <c r="H229" s="13" t="str">
        <f>IF($K229="","",INDEX('Detalle individual'!$F:$F,$K229))</f>
        <v>Completado</v>
      </c>
      <c r="I229" s="20">
        <f>IF($K229="","",IF(INDEX('Detalle individual'!$F:$F,$K229)="Completado",INDEX('Detalle individual'!$H:$H,$K229),""))</f>
        <v>46300.665671296294</v>
      </c>
      <c r="J229" s="21">
        <f>IF($K229="","",IF(INDEX('Detalle individual'!$F:$F,$K229)="Completado",INDEX('Detalle individual'!$J:$J,$K229),""))</f>
        <v>100</v>
      </c>
      <c r="K229">
        <f>IFERROR(MOD(SMALL(Cálculos!$Z$5:$Z$1000,221),10000),"")</f>
        <v>27</v>
      </c>
    </row>
    <row r="230">
      <c r="B230" s="13">
        <f>IF($K230="","",222)</f>
        <v>222</v>
      </c>
      <c r="C230" s="13" t="str">
        <f>IF($K230="","",INDEX('Detalle individual'!$A:$A,$K230))</f>
        <v>224</v>
      </c>
      <c r="D230" s="72" t="str">
        <f>IF($K230="","",TRIM(INDEX('Detalle individual'!$B:$B,$K230)))</f>
        <v>JESUS REYES GUZMAN FUENTES</v>
      </c>
      <c r="E230" s="72" t="str">
        <f>IF($K230="","",TRIM(INDEX('Detalle individual'!$E:$E,$K230)))</f>
        <v>MENSAJERO</v>
      </c>
      <c r="F230" s="72" t="str">
        <f>IF($K230="","",TRIM(INDEX('Detalle individual'!$C:$C,$K230)))</f>
        <v>DEPARTAMENTO DE SERVICIOS GENERALES</v>
      </c>
      <c r="G230" s="72" t="str">
        <f>IF($K230="","",INDEX('Detalle individual'!$D:$D,$K230))</f>
        <v>Gerencia Administrativa</v>
      </c>
      <c r="H230" s="13" t="str">
        <f>IF($K230="","",INDEX('Detalle individual'!$F:$F,$K230))</f>
        <v>Completado</v>
      </c>
      <c r="I230" s="20">
        <f>IF($K230="","",IF(INDEX('Detalle individual'!$F:$F,$K230)="Completado",INDEX('Detalle individual'!$H:$H,$K230),""))</f>
        <v>46297.84905092593</v>
      </c>
      <c r="J230" s="21">
        <f>IF($K230="","",IF(INDEX('Detalle individual'!$F:$F,$K230)="Completado",INDEX('Detalle individual'!$J:$J,$K230),""))</f>
        <v>80</v>
      </c>
      <c r="K230">
        <f>IFERROR(MOD(SMALL(Cálculos!$Z$5:$Z$1000,222),10000),"")</f>
        <v>28</v>
      </c>
    </row>
    <row r="231">
      <c r="B231" s="13">
        <f>IF($K231="","",223)</f>
        <v>223</v>
      </c>
      <c r="C231" s="13" t="str">
        <f>IF($K231="","",INDEX('Detalle individual'!$A:$A,$K231))</f>
        <v>387</v>
      </c>
      <c r="D231" s="72" t="str">
        <f>IF($K231="","",TRIM(INDEX('Detalle individual'!$B:$B,$K231)))</f>
        <v>CELINA CECILIA ANZORA BERNAL</v>
      </c>
      <c r="E231" s="72" t="str">
        <f>IF($K231="","",TRIM(INDEX('Detalle individual'!$E:$E,$K231)))</f>
        <v>SERVICIOS VARIOS</v>
      </c>
      <c r="F231" s="72" t="str">
        <f>IF($K231="","",TRIM(INDEX('Detalle individual'!$C:$C,$K231)))</f>
        <v>DEPARTAMENTO DE SERVICIOS GENERALES</v>
      </c>
      <c r="G231" s="72" t="str">
        <f>IF($K231="","",INDEX('Detalle individual'!$D:$D,$K231))</f>
        <v>Gerencia Administrativa</v>
      </c>
      <c r="H231" s="13" t="str">
        <f>IF($K231="","",INDEX('Detalle individual'!$F:$F,$K231))</f>
        <v>Completado</v>
      </c>
      <c r="I231" s="20">
        <f>IF($K231="","",IF(INDEX('Detalle individual'!$F:$F,$K231)="Completado",INDEX('Detalle individual'!$H:$H,$K231),""))</f>
        <v>46298.4184375</v>
      </c>
      <c r="J231" s="21">
        <f>IF($K231="","",IF(INDEX('Detalle individual'!$F:$F,$K231)="Completado",INDEX('Detalle individual'!$J:$J,$K231),""))</f>
        <v>90</v>
      </c>
      <c r="K231">
        <f>IFERROR(MOD(SMALL(Cálculos!$Z$5:$Z$1000,223),10000),"")</f>
        <v>29</v>
      </c>
    </row>
    <row r="232">
      <c r="B232" s="13">
        <f>IF($K232="","",224)</f>
        <v>224</v>
      </c>
      <c r="C232" s="13" t="str">
        <f>IF($K232="","",INDEX('Detalle individual'!$A:$A,$K232))</f>
        <v>430</v>
      </c>
      <c r="D232" s="72" t="str">
        <f>IF($K232="","",TRIM(INDEX('Detalle individual'!$B:$B,$K232)))</f>
        <v>MARIO ROSALES VASQUEZ</v>
      </c>
      <c r="E232" s="72" t="str">
        <f>IF($K232="","",TRIM(INDEX('Detalle individual'!$E:$E,$K232)))</f>
        <v>MENSAJERO</v>
      </c>
      <c r="F232" s="72" t="str">
        <f>IF($K232="","",TRIM(INDEX('Detalle individual'!$C:$C,$K232)))</f>
        <v>DEPARTAMENTO DE SERVICIOS GENERALES</v>
      </c>
      <c r="G232" s="72" t="str">
        <f>IF($K232="","",INDEX('Detalle individual'!$D:$D,$K232))</f>
        <v>Gerencia Administrativa</v>
      </c>
      <c r="H232" s="13" t="str">
        <f>IF($K232="","",INDEX('Detalle individual'!$F:$F,$K232))</f>
        <v>Completado</v>
      </c>
      <c r="I232" s="20">
        <f>IF($K232="","",IF(INDEX('Detalle individual'!$F:$F,$K232)="Completado",INDEX('Detalle individual'!$H:$H,$K232),""))</f>
        <v>46300.40560185185</v>
      </c>
      <c r="J232" s="21">
        <f>IF($K232="","",IF(INDEX('Detalle individual'!$F:$F,$K232)="Completado",INDEX('Detalle individual'!$J:$J,$K232),""))</f>
        <v>100</v>
      </c>
      <c r="K232">
        <f>IFERROR(MOD(SMALL(Cálculos!$Z$5:$Z$1000,224),10000),"")</f>
        <v>30</v>
      </c>
    </row>
    <row r="233">
      <c r="B233" s="13">
        <f>IF($K233="","",225)</f>
        <v>225</v>
      </c>
      <c r="C233" s="13" t="str">
        <f>IF($K233="","",INDEX('Detalle individual'!$A:$A,$K233))</f>
        <v>436</v>
      </c>
      <c r="D233" s="72" t="str">
        <f>IF($K233="","",TRIM(INDEX('Detalle individual'!$B:$B,$K233)))</f>
        <v>MAURICIO ANTONIO RAMIREZ PEREZ</v>
      </c>
      <c r="E233" s="72" t="str">
        <f>IF($K233="","",TRIM(INDEX('Detalle individual'!$E:$E,$K233)))</f>
        <v>AUXILIAR DE MANTENIMIENTO</v>
      </c>
      <c r="F233" s="72" t="str">
        <f>IF($K233="","",TRIM(INDEX('Detalle individual'!$C:$C,$K233)))</f>
        <v>DEPARTAMENTO DE SERVICIOS GENERALES</v>
      </c>
      <c r="G233" s="72" t="str">
        <f>IF($K233="","",INDEX('Detalle individual'!$D:$D,$K233))</f>
        <v>Gerencia Administrativa</v>
      </c>
      <c r="H233" s="13" t="str">
        <f>IF($K233="","",INDEX('Detalle individual'!$F:$F,$K233))</f>
        <v>Completado</v>
      </c>
      <c r="I233" s="20">
        <f>IF($K233="","",IF(INDEX('Detalle individual'!$F:$F,$K233)="Completado",INDEX('Detalle individual'!$H:$H,$K233),""))</f>
        <v>46306.43788194445</v>
      </c>
      <c r="J233" s="21">
        <f>IF($K233="","",IF(INDEX('Detalle individual'!$F:$F,$K233)="Completado",INDEX('Detalle individual'!$J:$J,$K233),""))</f>
        <v>90</v>
      </c>
      <c r="K233">
        <f>IFERROR(MOD(SMALL(Cálculos!$Z$5:$Z$1000,225),10000),"")</f>
        <v>31</v>
      </c>
    </row>
    <row r="234">
      <c r="B234" s="13">
        <f>IF($K234="","",226)</f>
        <v>226</v>
      </c>
      <c r="C234" s="13" t="str">
        <f>IF($K234="","",INDEX('Detalle individual'!$A:$A,$K234))</f>
        <v>522</v>
      </c>
      <c r="D234" s="72" t="str">
        <f>IF($K234="","",TRIM(INDEX('Detalle individual'!$B:$B,$K234)))</f>
        <v>MARGARITA GUADALUPE HENRIQUEZ ELIAS</v>
      </c>
      <c r="E234" s="72" t="str">
        <f>IF($K234="","",TRIM(INDEX('Detalle individual'!$E:$E,$K234)))</f>
        <v>SERVICIOS VARIOS</v>
      </c>
      <c r="F234" s="72" t="str">
        <f>IF($K234="","",TRIM(INDEX('Detalle individual'!$C:$C,$K234)))</f>
        <v>DEPARTAMENTO DE SERVICIOS GENERALES</v>
      </c>
      <c r="G234" s="72" t="str">
        <f>IF($K234="","",INDEX('Detalle individual'!$D:$D,$K234))</f>
        <v>Gerencia Administrativa</v>
      </c>
      <c r="H234" s="13" t="str">
        <f>IF($K234="","",INDEX('Detalle individual'!$F:$F,$K234))</f>
        <v>Completado</v>
      </c>
      <c r="I234" s="20">
        <f>IF($K234="","",IF(INDEX('Detalle individual'!$F:$F,$K234)="Completado",INDEX('Detalle individual'!$H:$H,$K234),""))</f>
        <v>46297.85355324074</v>
      </c>
      <c r="J234" s="21">
        <f>IF($K234="","",IF(INDEX('Detalle individual'!$F:$F,$K234)="Completado",INDEX('Detalle individual'!$J:$J,$K234),""))</f>
        <v>85</v>
      </c>
      <c r="K234">
        <f>IFERROR(MOD(SMALL(Cálculos!$Z$5:$Z$1000,226),10000),"")</f>
        <v>32</v>
      </c>
    </row>
    <row r="235">
      <c r="B235" s="13">
        <f>IF($K235="","",227)</f>
        <v>227</v>
      </c>
      <c r="C235" s="13" t="str">
        <f>IF($K235="","",INDEX('Detalle individual'!$A:$A,$K235))</f>
        <v>587</v>
      </c>
      <c r="D235" s="72" t="str">
        <f>IF($K235="","",TRIM(INDEX('Detalle individual'!$B:$B,$K235)))</f>
        <v>JOSE ROSALIO GARCIA SOTO</v>
      </c>
      <c r="E235" s="72" t="str">
        <f>IF($K235="","",TRIM(INDEX('Detalle individual'!$E:$E,$K235)))</f>
        <v>JARDINERO</v>
      </c>
      <c r="F235" s="72" t="str">
        <f>IF($K235="","",TRIM(INDEX('Detalle individual'!$C:$C,$K235)))</f>
        <v>DEPARTAMENTO DE SERVICIOS GENERALES</v>
      </c>
      <c r="G235" s="72" t="str">
        <f>IF($K235="","",INDEX('Detalle individual'!$D:$D,$K235))</f>
        <v>Gerencia Administrativa</v>
      </c>
      <c r="H235" s="13" t="str">
        <f>IF($K235="","",INDEX('Detalle individual'!$F:$F,$K235))</f>
        <v>Completado</v>
      </c>
      <c r="I235" s="20">
        <f>IF($K235="","",IF(INDEX('Detalle individual'!$F:$F,$K235)="Completado",INDEX('Detalle individual'!$H:$H,$K235),""))</f>
        <v>46298.41559027778</v>
      </c>
      <c r="J235" s="21">
        <f>IF($K235="","",IF(INDEX('Detalle individual'!$F:$F,$K235)="Completado",INDEX('Detalle individual'!$J:$J,$K235),""))</f>
        <v>90</v>
      </c>
      <c r="K235">
        <f>IFERROR(MOD(SMALL(Cálculos!$Z$5:$Z$1000,227),10000),"")</f>
        <v>33</v>
      </c>
    </row>
    <row r="236">
      <c r="B236" s="13">
        <f>IF($K236="","",228)</f>
        <v>228</v>
      </c>
      <c r="C236" s="13" t="str">
        <f>IF($K236="","",INDEX('Detalle individual'!$A:$A,$K236))</f>
        <v>599</v>
      </c>
      <c r="D236" s="72" t="str">
        <f>IF($K236="","",TRIM(INDEX('Detalle individual'!$B:$B,$K236)))</f>
        <v>MAIRA ELIZABETH PEREZ LEIVA</v>
      </c>
      <c r="E236" s="72" t="str">
        <f>IF($K236="","",TRIM(INDEX('Detalle individual'!$E:$E,$K236)))</f>
        <v>JEFE DE SERVICIOS GENERALES</v>
      </c>
      <c r="F236" s="72" t="str">
        <f>IF($K236="","",TRIM(INDEX('Detalle individual'!$C:$C,$K236)))</f>
        <v>DEPARTAMENTO DE SERVICIOS GENERALES</v>
      </c>
      <c r="G236" s="72" t="str">
        <f>IF($K236="","",INDEX('Detalle individual'!$D:$D,$K236))</f>
        <v>Gerencia Administrativa</v>
      </c>
      <c r="H236" s="13" t="str">
        <f>IF($K236="","",INDEX('Detalle individual'!$F:$F,$K236))</f>
        <v>Completado</v>
      </c>
      <c r="I236" s="20">
        <f>IF($K236="","",IF(INDEX('Detalle individual'!$F:$F,$K236)="Completado",INDEX('Detalle individual'!$H:$H,$K236),""))</f>
        <v>46300.748703703706</v>
      </c>
      <c r="J236" s="21">
        <f>IF($K236="","",IF(INDEX('Detalle individual'!$F:$F,$K236)="Completado",INDEX('Detalle individual'!$J:$J,$K236),""))</f>
        <v>100</v>
      </c>
      <c r="K236">
        <f>IFERROR(MOD(SMALL(Cálculos!$Z$5:$Z$1000,228),10000),"")</f>
        <v>34</v>
      </c>
    </row>
    <row r="237">
      <c r="B237" s="13">
        <f>IF($K237="","",229)</f>
        <v>229</v>
      </c>
      <c r="C237" s="13" t="str">
        <f>IF($K237="","",INDEX('Detalle individual'!$A:$A,$K237))</f>
        <v>684</v>
      </c>
      <c r="D237" s="72" t="str">
        <f>IF($K237="","",TRIM(INDEX('Detalle individual'!$B:$B,$K237)))</f>
        <v>ILIANA CAROLINA FLAMENCO FLORES</v>
      </c>
      <c r="E237" s="72" t="str">
        <f>IF($K237="","",TRIM(INDEX('Detalle individual'!$E:$E,$K237)))</f>
        <v>SERVICIOS VARIOS</v>
      </c>
      <c r="F237" s="72" t="str">
        <f>IF($K237="","",TRIM(INDEX('Detalle individual'!$C:$C,$K237)))</f>
        <v>DEPARTAMENTO DE SERVICIOS GENERALES</v>
      </c>
      <c r="G237" s="72" t="str">
        <f>IF($K237="","",INDEX('Detalle individual'!$D:$D,$K237))</f>
        <v>Gerencia Administrativa</v>
      </c>
      <c r="H237" s="13" t="str">
        <f>IF($K237="","",INDEX('Detalle individual'!$F:$F,$K237))</f>
        <v>Completado</v>
      </c>
      <c r="I237" s="20">
        <f>IF($K237="","",IF(INDEX('Detalle individual'!$F:$F,$K237)="Completado",INDEX('Detalle individual'!$H:$H,$K237),""))</f>
        <v>46298.300208333334</v>
      </c>
      <c r="J237" s="21">
        <f>IF($K237="","",IF(INDEX('Detalle individual'!$F:$F,$K237)="Completado",INDEX('Detalle individual'!$J:$J,$K237),""))</f>
        <v>80</v>
      </c>
      <c r="K237">
        <f>IFERROR(MOD(SMALL(Cálculos!$Z$5:$Z$1000,229),10000),"")</f>
        <v>35</v>
      </c>
    </row>
    <row r="238">
      <c r="B238" s="13">
        <f>IF($K238="","",230)</f>
        <v>230</v>
      </c>
      <c r="C238" s="13" t="str">
        <f>IF($K238="","",INDEX('Detalle individual'!$A:$A,$K238))</f>
        <v>803</v>
      </c>
      <c r="D238" s="72" t="str">
        <f>IF($K238="","",TRIM(INDEX('Detalle individual'!$B:$B,$K238)))</f>
        <v>CHRISTIAN GEORGE FIGUEROA BLANCO</v>
      </c>
      <c r="E238" s="72" t="str">
        <f>IF($K238="","",TRIM(INDEX('Detalle individual'!$E:$E,$K238)))</f>
        <v>MENSAJERO</v>
      </c>
      <c r="F238" s="72" t="str">
        <f>IF($K238="","",TRIM(INDEX('Detalle individual'!$C:$C,$K238)))</f>
        <v>DEPARTAMENTO DE SERVICIOS GENERALES</v>
      </c>
      <c r="G238" s="72" t="str">
        <f>IF($K238="","",INDEX('Detalle individual'!$D:$D,$K238))</f>
        <v>Gerencia Administrativa</v>
      </c>
      <c r="H238" s="13" t="str">
        <f>IF($K238="","",INDEX('Detalle individual'!$F:$F,$K238))</f>
        <v>Completado</v>
      </c>
      <c r="I238" s="20">
        <f>IF($K238="","",IF(INDEX('Detalle individual'!$F:$F,$K238)="Completado",INDEX('Detalle individual'!$H:$H,$K238),""))</f>
        <v>46300.70883101852</v>
      </c>
      <c r="J238" s="21">
        <f>IF($K238="","",IF(INDEX('Detalle individual'!$F:$F,$K238)="Completado",INDEX('Detalle individual'!$J:$J,$K238),""))</f>
        <v>60</v>
      </c>
      <c r="K238">
        <f>IFERROR(MOD(SMALL(Cálculos!$Z$5:$Z$1000,230),10000),"")</f>
        <v>36</v>
      </c>
    </row>
    <row r="239">
      <c r="B239" s="13">
        <f>IF($K239="","",231)</f>
        <v>231</v>
      </c>
      <c r="C239" s="13" t="str">
        <f>IF($K239="","",INDEX('Detalle individual'!$A:$A,$K239))</f>
        <v>830</v>
      </c>
      <c r="D239" s="72" t="str">
        <f>IF($K239="","",TRIM(INDEX('Detalle individual'!$B:$B,$K239)))</f>
        <v>GERMAN ALBERTO CAMPOS TORRES</v>
      </c>
      <c r="E239" s="72" t="str">
        <f>IF($K239="","",TRIM(INDEX('Detalle individual'!$E:$E,$K239)))</f>
        <v>TECNICO EN MANTENIMIENTO</v>
      </c>
      <c r="F239" s="72" t="str">
        <f>IF($K239="","",TRIM(INDEX('Detalle individual'!$C:$C,$K239)))</f>
        <v>DEPARTAMENTO DE SERVICIOS GENERALES</v>
      </c>
      <c r="G239" s="72" t="str">
        <f>IF($K239="","",INDEX('Detalle individual'!$D:$D,$K239))</f>
        <v>Gerencia Administrativa</v>
      </c>
      <c r="H239" s="13" t="str">
        <f>IF($K239="","",INDEX('Detalle individual'!$F:$F,$K239))</f>
        <v>Completado</v>
      </c>
      <c r="I239" s="20">
        <f>IF($K239="","",IF(INDEX('Detalle individual'!$F:$F,$K239)="Completado",INDEX('Detalle individual'!$H:$H,$K239),""))</f>
        <v>46307.402291666665</v>
      </c>
      <c r="J239" s="21">
        <f>IF($K239="","",IF(INDEX('Detalle individual'!$F:$F,$K239)="Completado",INDEX('Detalle individual'!$J:$J,$K239),""))</f>
        <v>100</v>
      </c>
      <c r="K239">
        <f>IFERROR(MOD(SMALL(Cálculos!$Z$5:$Z$1000,231),10000),"")</f>
        <v>37</v>
      </c>
    </row>
    <row r="240">
      <c r="B240" s="13">
        <f>IF($K240="","",232)</f>
        <v>232</v>
      </c>
      <c r="C240" s="13" t="str">
        <f>IF($K240="","",INDEX('Detalle individual'!$A:$A,$K240))</f>
        <v>852</v>
      </c>
      <c r="D240" s="72" t="str">
        <f>IF($K240="","",TRIM(INDEX('Detalle individual'!$B:$B,$K240)))</f>
        <v>JONATHAN ENRIQUE AQUINO SANCHEZ</v>
      </c>
      <c r="E240" s="72" t="str">
        <f>IF($K240="","",TRIM(INDEX('Detalle individual'!$E:$E,$K240)))</f>
        <v>SERVICIOS VARIOS</v>
      </c>
      <c r="F240" s="72" t="str">
        <f>IF($K240="","",TRIM(INDEX('Detalle individual'!$C:$C,$K240)))</f>
        <v>DEPARTAMENTO DE SERVICIOS GENERALES</v>
      </c>
      <c r="G240" s="72" t="str">
        <f>IF($K240="","",INDEX('Detalle individual'!$D:$D,$K240))</f>
        <v>Gerencia Administrativa</v>
      </c>
      <c r="H240" s="13" t="str">
        <f>IF($K240="","",INDEX('Detalle individual'!$F:$F,$K240))</f>
        <v>Completado</v>
      </c>
      <c r="I240" s="20">
        <f>IF($K240="","",IF(INDEX('Detalle individual'!$F:$F,$K240)="Completado",INDEX('Detalle individual'!$H:$H,$K240),""))</f>
        <v>46300.53921296296</v>
      </c>
      <c r="J240" s="21">
        <f>IF($K240="","",IF(INDEX('Detalle individual'!$F:$F,$K240)="Completado",INDEX('Detalle individual'!$J:$J,$K240),""))</f>
        <v>90</v>
      </c>
      <c r="K240">
        <f>IFERROR(MOD(SMALL(Cálculos!$Z$5:$Z$1000,232),10000),"")</f>
        <v>38</v>
      </c>
    </row>
    <row r="241">
      <c r="B241" s="13">
        <f>IF($K241="","",233)</f>
        <v>233</v>
      </c>
      <c r="C241" s="13" t="str">
        <f>IF($K241="","",INDEX('Detalle individual'!$A:$A,$K241))</f>
        <v>875</v>
      </c>
      <c r="D241" s="72" t="str">
        <f>IF($K241="","",TRIM(INDEX('Detalle individual'!$B:$B,$K241)))</f>
        <v>BELLY EMERSON RIVERA ASCENCIO</v>
      </c>
      <c r="E241" s="72" t="str">
        <f>IF($K241="","",TRIM(INDEX('Detalle individual'!$E:$E,$K241)))</f>
        <v>SERVICIOS VARIOS</v>
      </c>
      <c r="F241" s="72" t="str">
        <f>IF($K241="","",TRIM(INDEX('Detalle individual'!$C:$C,$K241)))</f>
        <v>DEPARTAMENTO DE SERVICIOS GENERALES</v>
      </c>
      <c r="G241" s="72" t="str">
        <f>IF($K241="","",INDEX('Detalle individual'!$D:$D,$K241))</f>
        <v>Gerencia Administrativa</v>
      </c>
      <c r="H241" s="13" t="str">
        <f>IF($K241="","",INDEX('Detalle individual'!$F:$F,$K241))</f>
        <v>Completado</v>
      </c>
      <c r="I241" s="20">
        <f>IF($K241="","",IF(INDEX('Detalle individual'!$F:$F,$K241)="Completado",INDEX('Detalle individual'!$H:$H,$K241),""))</f>
        <v>46298.41583333333</v>
      </c>
      <c r="J241" s="21">
        <f>IF($K241="","",IF(INDEX('Detalle individual'!$F:$F,$K241)="Completado",INDEX('Detalle individual'!$J:$J,$K241),""))</f>
        <v>100</v>
      </c>
      <c r="K241">
        <f>IFERROR(MOD(SMALL(Cálculos!$Z$5:$Z$1000,233),10000),"")</f>
        <v>39</v>
      </c>
    </row>
    <row r="242">
      <c r="B242" s="13">
        <f>IF($K242="","",234)</f>
        <v>234</v>
      </c>
      <c r="C242" s="13" t="str">
        <f>IF($K242="","",INDEX('Detalle individual'!$A:$A,$K242))</f>
        <v>926</v>
      </c>
      <c r="D242" s="72" t="str">
        <f>IF($K242="","",TRIM(INDEX('Detalle individual'!$B:$B,$K242)))</f>
        <v>ANDRES VLADIMIR LUNA GUEVARA</v>
      </c>
      <c r="E242" s="72" t="str">
        <f>IF($K242="","",TRIM(INDEX('Detalle individual'!$E:$E,$K242)))</f>
        <v>MENSAJERO</v>
      </c>
      <c r="F242" s="72" t="str">
        <f>IF($K242="","",TRIM(INDEX('Detalle individual'!$C:$C,$K242)))</f>
        <v>DEPARTAMENTO DE SERVICIOS GENERALES</v>
      </c>
      <c r="G242" s="72" t="str">
        <f>IF($K242="","",INDEX('Detalle individual'!$D:$D,$K242))</f>
        <v>Gerencia Administrativa</v>
      </c>
      <c r="H242" s="13" t="str">
        <f>IF($K242="","",INDEX('Detalle individual'!$F:$F,$K242))</f>
        <v>Completado</v>
      </c>
      <c r="I242" s="20">
        <f>IF($K242="","",IF(INDEX('Detalle individual'!$F:$F,$K242)="Completado",INDEX('Detalle individual'!$H:$H,$K242),""))</f>
        <v>46300.60789351852</v>
      </c>
      <c r="J242" s="21">
        <f>IF($K242="","",IF(INDEX('Detalle individual'!$F:$F,$K242)="Completado",INDEX('Detalle individual'!$J:$J,$K242),""))</f>
        <v>90</v>
      </c>
      <c r="K242">
        <f>IFERROR(MOD(SMALL(Cálculos!$Z$5:$Z$1000,234),10000),"")</f>
        <v>40</v>
      </c>
    </row>
    <row r="243">
      <c r="B243" s="13">
        <f>IF($K243="","",235)</f>
        <v>235</v>
      </c>
      <c r="C243" s="13" t="str">
        <f>IF($K243="","",INDEX('Detalle individual'!$A:$A,$K243))</f>
        <v>959</v>
      </c>
      <c r="D243" s="72" t="str">
        <f>IF($K243="","",TRIM(INDEX('Detalle individual'!$B:$B,$K243)))</f>
        <v>XIOMARA JEANNETTE ESCOBAR PORTILLO</v>
      </c>
      <c r="E243" s="72" t="str">
        <f>IF($K243="","",TRIM(INDEX('Detalle individual'!$E:$E,$K243)))</f>
        <v>SERVICIOS VARIOS</v>
      </c>
      <c r="F243" s="72" t="str">
        <f>IF($K243="","",TRIM(INDEX('Detalle individual'!$C:$C,$K243)))</f>
        <v>DEPARTAMENTO DE SERVICIOS GENERALES</v>
      </c>
      <c r="G243" s="72" t="str">
        <f>IF($K243="","",INDEX('Detalle individual'!$D:$D,$K243))</f>
        <v>Gerencia Administrativa</v>
      </c>
      <c r="H243" s="13" t="str">
        <f>IF($K243="","",INDEX('Detalle individual'!$F:$F,$K243))</f>
        <v>Completado</v>
      </c>
      <c r="I243" s="20">
        <f>IF($K243="","",IF(INDEX('Detalle individual'!$F:$F,$K243)="Completado",INDEX('Detalle individual'!$H:$H,$K243),""))</f>
        <v>46297.78946759259</v>
      </c>
      <c r="J243" s="21">
        <f>IF($K243="","",IF(INDEX('Detalle individual'!$F:$F,$K243)="Completado",INDEX('Detalle individual'!$J:$J,$K243),""))</f>
        <v>90</v>
      </c>
      <c r="K243">
        <f>IFERROR(MOD(SMALL(Cálculos!$Z$5:$Z$1000,235),10000),"")</f>
        <v>41</v>
      </c>
    </row>
    <row r="244">
      <c r="B244" s="13">
        <f>IF($K244="","",236)</f>
        <v>236</v>
      </c>
      <c r="C244" s="13" t="str">
        <f>IF($K244="","",INDEX('Detalle individual'!$A:$A,$K244))</f>
        <v>972</v>
      </c>
      <c r="D244" s="72" t="str">
        <f>IF($K244="","",TRIM(INDEX('Detalle individual'!$B:$B,$K244)))</f>
        <v>GEOVANNY GABRIEL RODRIGUEZ SOLORZANO</v>
      </c>
      <c r="E244" s="72" t="str">
        <f>IF($K244="","",TRIM(INDEX('Detalle individual'!$E:$E,$K244)))</f>
        <v>AUXILIAR DE ACTIVO FIJO Y ALMACEN</v>
      </c>
      <c r="F244" s="72" t="str">
        <f>IF($K244="","",TRIM(INDEX('Detalle individual'!$C:$C,$K244)))</f>
        <v>DEPARTAMENTO DE SERVICIOS GENERALES</v>
      </c>
      <c r="G244" s="72" t="str">
        <f>IF($K244="","",INDEX('Detalle individual'!$D:$D,$K244))</f>
        <v>Gerencia Administrativa</v>
      </c>
      <c r="H244" s="13" t="str">
        <f>IF($K244="","",INDEX('Detalle individual'!$F:$F,$K244))</f>
        <v>Completado</v>
      </c>
      <c r="I244" s="20">
        <f>IF($K244="","",IF(INDEX('Detalle individual'!$F:$F,$K244)="Completado",INDEX('Detalle individual'!$H:$H,$K244),""))</f>
        <v>46304.520787037036</v>
      </c>
      <c r="J244" s="21">
        <f>IF($K244="","",IF(INDEX('Detalle individual'!$F:$F,$K244)="Completado",INDEX('Detalle individual'!$J:$J,$K244),""))</f>
        <v>90</v>
      </c>
      <c r="K244">
        <f>IFERROR(MOD(SMALL(Cálculos!$Z$5:$Z$1000,236),10000),"")</f>
        <v>42</v>
      </c>
    </row>
    <row r="245">
      <c r="B245" s="13">
        <f>IF($K245="","",237)</f>
        <v>237</v>
      </c>
      <c r="C245" s="13" t="str">
        <f>IF($K245="","",INDEX('Detalle individual'!$A:$A,$K245))</f>
        <v>34</v>
      </c>
      <c r="D245" s="72" t="str">
        <f>IF($K245="","",TRIM(INDEX('Detalle individual'!$B:$B,$K245)))</f>
        <v>YENIS MARILU ESCOBAR SORTO</v>
      </c>
      <c r="E245" s="72" t="str">
        <f>IF($K245="","",TRIM(INDEX('Detalle individual'!$E:$E,$K245)))</f>
        <v>EJECUTIVO DE SOLUCIONES FINANCIERAS</v>
      </c>
      <c r="F245" s="72" t="str">
        <f>IF($K245="","",TRIM(INDEX('Detalle individual'!$C:$C,$K245)))</f>
        <v>DEPARTAMENTO DE SOLUCIONES FINANCIERAS</v>
      </c>
      <c r="G245" s="72" t="str">
        <f>IF($K245="","",INDEX('Detalle individual'!$D:$D,$K245))</f>
        <v>Gerencia de Operaciones</v>
      </c>
      <c r="H245" s="13" t="str">
        <f>IF($K245="","",INDEX('Detalle individual'!$F:$F,$K245))</f>
        <v>Completado</v>
      </c>
      <c r="I245" s="20">
        <f>IF($K245="","",IF(INDEX('Detalle individual'!$F:$F,$K245)="Completado",INDEX('Detalle individual'!$H:$H,$K245),""))</f>
        <v>46309.354155092595</v>
      </c>
      <c r="J245" s="21">
        <f>IF($K245="","",IF(INDEX('Detalle individual'!$F:$F,$K245)="Completado",INDEX('Detalle individual'!$J:$J,$K245),""))</f>
        <v>70</v>
      </c>
      <c r="K245">
        <f>IFERROR(MOD(SMALL(Cálculos!$Z$5:$Z$1000,237),10000),"")</f>
        <v>59</v>
      </c>
    </row>
    <row r="246">
      <c r="B246" s="13">
        <f>IF($K246="","",238)</f>
        <v>238</v>
      </c>
      <c r="C246" s="13" t="str">
        <f>IF($K246="","",INDEX('Detalle individual'!$A:$A,$K246))</f>
        <v>182</v>
      </c>
      <c r="D246" s="72" t="str">
        <f>IF($K246="","",TRIM(INDEX('Detalle individual'!$B:$B,$K246)))</f>
        <v>ROSA ELIZABETH RIVAS AGUILUZ</v>
      </c>
      <c r="E246" s="72" t="str">
        <f>IF($K246="","",TRIM(INDEX('Detalle individual'!$E:$E,$K246)))</f>
        <v>EJECUTIVO DE SOLUCIONES FINANCIERAS</v>
      </c>
      <c r="F246" s="72" t="str">
        <f>IF($K246="","",TRIM(INDEX('Detalle individual'!$C:$C,$K246)))</f>
        <v>DEPARTAMENTO DE SOLUCIONES FINANCIERAS</v>
      </c>
      <c r="G246" s="72" t="str">
        <f>IF($K246="","",INDEX('Detalle individual'!$D:$D,$K246))</f>
        <v>Gerencia de Operaciones</v>
      </c>
      <c r="H246" s="13" t="str">
        <f>IF($K246="","",INDEX('Detalle individual'!$F:$F,$K246))</f>
        <v>Completado</v>
      </c>
      <c r="I246" s="20">
        <f>IF($K246="","",IF(INDEX('Detalle individual'!$F:$F,$K246)="Completado",INDEX('Detalle individual'!$H:$H,$K246),""))</f>
        <v>46307.56962962963</v>
      </c>
      <c r="J246" s="21">
        <f>IF($K246="","",IF(INDEX('Detalle individual'!$F:$F,$K246)="Completado",INDEX('Detalle individual'!$J:$J,$K246),""))</f>
        <v>70</v>
      </c>
      <c r="K246">
        <f>IFERROR(MOD(SMALL(Cálculos!$Z$5:$Z$1000,238),10000),"")</f>
        <v>60</v>
      </c>
    </row>
    <row r="247">
      <c r="B247" s="13">
        <f>IF($K247="","",239)</f>
        <v>239</v>
      </c>
      <c r="C247" s="13" t="str">
        <f>IF($K247="","",INDEX('Detalle individual'!$A:$A,$K247))</f>
        <v>263</v>
      </c>
      <c r="D247" s="72" t="str">
        <f>IF($K247="","",TRIM(INDEX('Detalle individual'!$B:$B,$K247)))</f>
        <v>XOCHILT VERONICA NOUBLEAU</v>
      </c>
      <c r="E247" s="72" t="str">
        <f>IF($K247="","",TRIM(INDEX('Detalle individual'!$E:$E,$K247)))</f>
        <v>EJECUTIVO DE SOLUCIONES FINANCIERAS</v>
      </c>
      <c r="F247" s="72" t="str">
        <f>IF($K247="","",TRIM(INDEX('Detalle individual'!$C:$C,$K247)))</f>
        <v>DEPARTAMENTO DE SOLUCIONES FINANCIERAS</v>
      </c>
      <c r="G247" s="72" t="str">
        <f>IF($K247="","",INDEX('Detalle individual'!$D:$D,$K247))</f>
        <v>Gerencia de Operaciones</v>
      </c>
      <c r="H247" s="13" t="str">
        <f>IF($K247="","",INDEX('Detalle individual'!$F:$F,$K247))</f>
        <v>Completado</v>
      </c>
      <c r="I247" s="20">
        <f>IF($K247="","",IF(INDEX('Detalle individual'!$F:$F,$K247)="Completado",INDEX('Detalle individual'!$H:$H,$K247),""))</f>
        <v>46307.60011574074</v>
      </c>
      <c r="J247" s="21">
        <f>IF($K247="","",IF(INDEX('Detalle individual'!$F:$F,$K247)="Completado",INDEX('Detalle individual'!$J:$J,$K247),""))</f>
        <v>100</v>
      </c>
      <c r="K247">
        <f>IFERROR(MOD(SMALL(Cálculos!$Z$5:$Z$1000,239),10000),"")</f>
        <v>61</v>
      </c>
    </row>
    <row r="248">
      <c r="B248" s="13">
        <f>IF($K248="","",240)</f>
        <v>240</v>
      </c>
      <c r="C248" s="13" t="str">
        <f>IF($K248="","",INDEX('Detalle individual'!$A:$A,$K248))</f>
        <v>289</v>
      </c>
      <c r="D248" s="72" t="str">
        <f>IF($K248="","",TRIM(INDEX('Detalle individual'!$B:$B,$K248)))</f>
        <v>ANA SILVIA MARTINEZ RODRIGUEZ</v>
      </c>
      <c r="E248" s="72" t="str">
        <f>IF($K248="","",TRIM(INDEX('Detalle individual'!$E:$E,$K248)))</f>
        <v>EJECUTIVO DE SOLUCIONES FINANCIERAS</v>
      </c>
      <c r="F248" s="72" t="str">
        <f>IF($K248="","",TRIM(INDEX('Detalle individual'!$C:$C,$K248)))</f>
        <v>DEPARTAMENTO DE SOLUCIONES FINANCIERAS</v>
      </c>
      <c r="G248" s="72" t="str">
        <f>IF($K248="","",INDEX('Detalle individual'!$D:$D,$K248))</f>
        <v>Gerencia de Operaciones</v>
      </c>
      <c r="H248" s="13" t="str">
        <f>IF($K248="","",INDEX('Detalle individual'!$F:$F,$K248))</f>
        <v>Completado</v>
      </c>
      <c r="I248" s="20">
        <f>IF($K248="","",IF(INDEX('Detalle individual'!$F:$F,$K248)="Completado",INDEX('Detalle individual'!$H:$H,$K248),""))</f>
        <v>46305.41322916667</v>
      </c>
      <c r="J248" s="21">
        <f>IF($K248="","",IF(INDEX('Detalle individual'!$F:$F,$K248)="Completado",INDEX('Detalle individual'!$J:$J,$K248),""))</f>
        <v>100</v>
      </c>
      <c r="K248">
        <f>IFERROR(MOD(SMALL(Cálculos!$Z$5:$Z$1000,240),10000),"")</f>
        <v>62</v>
      </c>
    </row>
    <row r="249">
      <c r="B249" s="13">
        <f>IF($K249="","",241)</f>
        <v>241</v>
      </c>
      <c r="C249" s="13" t="str">
        <f>IF($K249="","",INDEX('Detalle individual'!$A:$A,$K249))</f>
        <v>298</v>
      </c>
      <c r="D249" s="72" t="str">
        <f>IF($K249="","",TRIM(INDEX('Detalle individual'!$B:$B,$K249)))</f>
        <v>SANDRA GUADALUPE ROQUE SANCHEZ</v>
      </c>
      <c r="E249" s="72" t="str">
        <f>IF($K249="","",TRIM(INDEX('Detalle individual'!$E:$E,$K249)))</f>
        <v>EJECUTIVO DE SOLUCIONES FINANCIERAS</v>
      </c>
      <c r="F249" s="72" t="str">
        <f>IF($K249="","",TRIM(INDEX('Detalle individual'!$C:$C,$K249)))</f>
        <v>DEPARTAMENTO DE SOLUCIONES FINANCIERAS</v>
      </c>
      <c r="G249" s="72" t="str">
        <f>IF($K249="","",INDEX('Detalle individual'!$D:$D,$K249))</f>
        <v>Gerencia de Operaciones</v>
      </c>
      <c r="H249" s="13" t="str">
        <f>IF($K249="","",INDEX('Detalle individual'!$F:$F,$K249))</f>
        <v>Completado</v>
      </c>
      <c r="I249" s="20">
        <f>IF($K249="","",IF(INDEX('Detalle individual'!$F:$F,$K249)="Completado",INDEX('Detalle individual'!$H:$H,$K249),""))</f>
        <v>46307.58479166667</v>
      </c>
      <c r="J249" s="21">
        <f>IF($K249="","",IF(INDEX('Detalle individual'!$F:$F,$K249)="Completado",INDEX('Detalle individual'!$J:$J,$K249),""))</f>
        <v>80</v>
      </c>
      <c r="K249">
        <f>IFERROR(MOD(SMALL(Cálculos!$Z$5:$Z$1000,241),10000),"")</f>
        <v>63</v>
      </c>
    </row>
    <row r="250">
      <c r="B250" s="13">
        <f>IF($K250="","",242)</f>
        <v>242</v>
      </c>
      <c r="C250" s="13" t="str">
        <f>IF($K250="","",INDEX('Detalle individual'!$A:$A,$K250))</f>
        <v>439</v>
      </c>
      <c r="D250" s="72" t="str">
        <f>IF($K250="","",TRIM(INDEX('Detalle individual'!$B:$B,$K250)))</f>
        <v>ILIANA DESIREE ALFARO</v>
      </c>
      <c r="E250" s="72" t="str">
        <f>IF($K250="","",TRIM(INDEX('Detalle individual'!$E:$E,$K250)))</f>
        <v>EJECUTIVO DE SOLUCIONES FINANCIERAS</v>
      </c>
      <c r="F250" s="72" t="str">
        <f>IF($K250="","",TRIM(INDEX('Detalle individual'!$C:$C,$K250)))</f>
        <v>DEPARTAMENTO DE SOLUCIONES FINANCIERAS</v>
      </c>
      <c r="G250" s="72" t="str">
        <f>IF($K250="","",INDEX('Detalle individual'!$D:$D,$K250))</f>
        <v>Gerencia de Operaciones</v>
      </c>
      <c r="H250" s="13" t="str">
        <f>IF($K250="","",INDEX('Detalle individual'!$F:$F,$K250))</f>
        <v>Completado</v>
      </c>
      <c r="I250" s="20">
        <f>IF($K250="","",IF(INDEX('Detalle individual'!$F:$F,$K250)="Completado",INDEX('Detalle individual'!$H:$H,$K250),""))</f>
        <v>46304.38547453703</v>
      </c>
      <c r="J250" s="21">
        <f>IF($K250="","",IF(INDEX('Detalle individual'!$F:$F,$K250)="Completado",INDEX('Detalle individual'!$J:$J,$K250),""))</f>
        <v>80</v>
      </c>
      <c r="K250">
        <f>IFERROR(MOD(SMALL(Cálculos!$Z$5:$Z$1000,242),10000),"")</f>
        <v>64</v>
      </c>
    </row>
    <row r="251">
      <c r="B251" s="13">
        <f>IF($K251="","",243)</f>
        <v>243</v>
      </c>
      <c r="C251" s="13" t="str">
        <f>IF($K251="","",INDEX('Detalle individual'!$A:$A,$K251))</f>
        <v>472</v>
      </c>
      <c r="D251" s="72" t="str">
        <f>IF($K251="","",TRIM(INDEX('Detalle individual'!$B:$B,$K251)))</f>
        <v>CARLOS ROBERTO AGUILAR SANTOS</v>
      </c>
      <c r="E251" s="72" t="str">
        <f>IF($K251="","",TRIM(INDEX('Detalle individual'!$E:$E,$K251)))</f>
        <v>JEFE DE SOLUCIONES FINANCIERAS</v>
      </c>
      <c r="F251" s="72" t="str">
        <f>IF($K251="","",TRIM(INDEX('Detalle individual'!$C:$C,$K251)))</f>
        <v>DEPARTAMENTO DE SOLUCIONES FINANCIERAS</v>
      </c>
      <c r="G251" s="72" t="str">
        <f>IF($K251="","",INDEX('Detalle individual'!$D:$D,$K251))</f>
        <v>Gerencia de Operaciones</v>
      </c>
      <c r="H251" s="13" t="str">
        <f>IF($K251="","",INDEX('Detalle individual'!$F:$F,$K251))</f>
        <v>Completado</v>
      </c>
      <c r="I251" s="20">
        <f>IF($K251="","",IF(INDEX('Detalle individual'!$F:$F,$K251)="Completado",INDEX('Detalle individual'!$H:$H,$K251),""))</f>
        <v>46304.37534722222</v>
      </c>
      <c r="J251" s="21">
        <f>IF($K251="","",IF(INDEX('Detalle individual'!$F:$F,$K251)="Completado",INDEX('Detalle individual'!$J:$J,$K251),""))</f>
        <v>100</v>
      </c>
      <c r="K251">
        <f>IFERROR(MOD(SMALL(Cálculos!$Z$5:$Z$1000,243),10000),"")</f>
        <v>65</v>
      </c>
    </row>
    <row r="252">
      <c r="B252" s="13">
        <f>IF($K252="","",244)</f>
        <v>244</v>
      </c>
      <c r="C252" s="13" t="str">
        <f>IF($K252="","",INDEX('Detalle individual'!$A:$A,$K252))</f>
        <v>528</v>
      </c>
      <c r="D252" s="72" t="str">
        <f>IF($K252="","",TRIM(INDEX('Detalle individual'!$B:$B,$K252)))</f>
        <v>ANA GRISELDA SIGÜENZA MARTINEZ</v>
      </c>
      <c r="E252" s="72" t="str">
        <f>IF($K252="","",TRIM(INDEX('Detalle individual'!$E:$E,$K252)))</f>
        <v>AUXILIAR DE DEPARTAMENTO DE SOLUCIONES FINANCIERAS</v>
      </c>
      <c r="F252" s="72" t="str">
        <f>IF($K252="","",TRIM(INDEX('Detalle individual'!$C:$C,$K252)))</f>
        <v>DEPARTAMENTO DE SOLUCIONES FINANCIERAS</v>
      </c>
      <c r="G252" s="72" t="str">
        <f>IF($K252="","",INDEX('Detalle individual'!$D:$D,$K252))</f>
        <v>Gerencia de Operaciones</v>
      </c>
      <c r="H252" s="13" t="str">
        <f>IF($K252="","",INDEX('Detalle individual'!$F:$F,$K252))</f>
        <v>Completado</v>
      </c>
      <c r="I252" s="20">
        <f>IF($K252="","",IF(INDEX('Detalle individual'!$F:$F,$K252)="Completado",INDEX('Detalle individual'!$H:$H,$K252),""))</f>
        <v>46305.54105324074</v>
      </c>
      <c r="J252" s="21">
        <f>IF($K252="","",IF(INDEX('Detalle individual'!$F:$F,$K252)="Completado",INDEX('Detalle individual'!$J:$J,$K252),""))</f>
        <v>100</v>
      </c>
      <c r="K252">
        <f>IFERROR(MOD(SMALL(Cálculos!$Z$5:$Z$1000,244),10000),"")</f>
        <v>66</v>
      </c>
    </row>
    <row r="253">
      <c r="B253" s="13">
        <f>IF($K253="","",245)</f>
        <v>245</v>
      </c>
      <c r="C253" s="13" t="str">
        <f>IF($K253="","",INDEX('Detalle individual'!$A:$A,$K253))</f>
        <v>573</v>
      </c>
      <c r="D253" s="72" t="str">
        <f>IF($K253="","",TRIM(INDEX('Detalle individual'!$B:$B,$K253)))</f>
        <v>JUAN PABLO HENRIQUEZ RAMIREZ</v>
      </c>
      <c r="E253" s="72" t="str">
        <f>IF($K253="","",TRIM(INDEX('Detalle individual'!$E:$E,$K253)))</f>
        <v>EJECUTIVO DE SOLUCIONES FINANCIERAS</v>
      </c>
      <c r="F253" s="72" t="str">
        <f>IF($K253="","",TRIM(INDEX('Detalle individual'!$C:$C,$K253)))</f>
        <v>DEPARTAMENTO DE SOLUCIONES FINANCIERAS</v>
      </c>
      <c r="G253" s="72" t="str">
        <f>IF($K253="","",INDEX('Detalle individual'!$D:$D,$K253))</f>
        <v>Gerencia de Operaciones</v>
      </c>
      <c r="H253" s="13" t="str">
        <f>IF($K253="","",INDEX('Detalle individual'!$F:$F,$K253))</f>
        <v>Completado</v>
      </c>
      <c r="I253" s="20">
        <f>IF($K253="","",IF(INDEX('Detalle individual'!$F:$F,$K253)="Completado",INDEX('Detalle individual'!$H:$H,$K253),""))</f>
        <v>46309.38841435185</v>
      </c>
      <c r="J253" s="21">
        <f>IF($K253="","",IF(INDEX('Detalle individual'!$F:$F,$K253)="Completado",INDEX('Detalle individual'!$J:$J,$K253),""))</f>
        <v>90</v>
      </c>
      <c r="K253">
        <f>IFERROR(MOD(SMALL(Cálculos!$Z$5:$Z$1000,245),10000),"")</f>
        <v>67</v>
      </c>
    </row>
    <row r="254">
      <c r="B254" s="13">
        <f>IF($K254="","",246)</f>
        <v>246</v>
      </c>
      <c r="C254" s="13" t="str">
        <f>IF($K254="","",INDEX('Detalle individual'!$A:$A,$K254))</f>
        <v>948</v>
      </c>
      <c r="D254" s="72" t="str">
        <f>IF($K254="","",TRIM(INDEX('Detalle individual'!$B:$B,$K254)))</f>
        <v>NELSON KILDER QUIJADA ECHEVERRIA</v>
      </c>
      <c r="E254" s="72" t="str">
        <f>IF($K254="","",TRIM(INDEX('Detalle individual'!$E:$E,$K254)))</f>
        <v>ASISTENTE TECNICO DE TALENTO HUMANO</v>
      </c>
      <c r="F254" s="72" t="str">
        <f>IF($K254="","",TRIM(INDEX('Detalle individual'!$C:$C,$K254)))</f>
        <v>DEPARTAMENTO DE TALENTO HUMANO</v>
      </c>
      <c r="G254" s="72" t="str">
        <f>IF($K254="","",INDEX('Detalle individual'!$D:$D,$K254))</f>
        <v>Gerencia Administrativa</v>
      </c>
      <c r="H254" s="13" t="str">
        <f>IF($K254="","",INDEX('Detalle individual'!$F:$F,$K254))</f>
        <v>Completado</v>
      </c>
      <c r="I254" s="20">
        <f>IF($K254="","",IF(INDEX('Detalle individual'!$F:$F,$K254)="Completado",INDEX('Detalle individual'!$H:$H,$K254),""))</f>
        <v>46304.406006944446</v>
      </c>
      <c r="J254" s="21">
        <f>IF($K254="","",IF(INDEX('Detalle individual'!$F:$F,$K254)="Completado",INDEX('Detalle individual'!$J:$J,$K254),""))</f>
        <v>100</v>
      </c>
      <c r="K254">
        <f>IFERROR(MOD(SMALL(Cálculos!$Z$5:$Z$1000,246),10000),"")</f>
        <v>50</v>
      </c>
    </row>
    <row r="255">
      <c r="B255" s="13">
        <f>IF($K255="","",247)</f>
        <v>247</v>
      </c>
      <c r="C255" s="13" t="str">
        <f>IF($K255="","",INDEX('Detalle individual'!$A:$A,$K255))</f>
        <v>962</v>
      </c>
      <c r="D255" s="72" t="str">
        <f>IF($K255="","",TRIM(INDEX('Detalle individual'!$B:$B,$K255)))</f>
        <v>HELEN GLORIBEL PLATERO SANCHEZ</v>
      </c>
      <c r="E255" s="72" t="str">
        <f>IF($K255="","",TRIM(INDEX('Detalle individual'!$E:$E,$K255)))</f>
        <v>ANALISTA DE DESARROLLO ORGANIZACIONAL</v>
      </c>
      <c r="F255" s="72" t="str">
        <f>IF($K255="","",TRIM(INDEX('Detalle individual'!$C:$C,$K255)))</f>
        <v>DEPARTAMENTO DE TALENTO HUMANO</v>
      </c>
      <c r="G255" s="72" t="str">
        <f>IF($K255="","",INDEX('Detalle individual'!$D:$D,$K255))</f>
        <v>Gerencia Administrativa</v>
      </c>
      <c r="H255" s="13" t="str">
        <f>IF($K255="","",INDEX('Detalle individual'!$F:$F,$K255))</f>
        <v>Completado</v>
      </c>
      <c r="I255" s="20">
        <f>IF($K255="","",IF(INDEX('Detalle individual'!$F:$F,$K255)="Completado",INDEX('Detalle individual'!$H:$H,$K255),""))</f>
        <v>46304.52142361111</v>
      </c>
      <c r="J255" s="21">
        <f>IF($K255="","",IF(INDEX('Detalle individual'!$F:$F,$K255)="Completado",INDEX('Detalle individual'!$J:$J,$K255),""))</f>
        <v>90</v>
      </c>
      <c r="K255">
        <f>IFERROR(MOD(SMALL(Cálculos!$Z$5:$Z$1000,247),10000),"")</f>
        <v>51</v>
      </c>
    </row>
    <row r="256">
      <c r="B256" s="13">
        <f>IF($K256="","",248)</f>
        <v>248</v>
      </c>
      <c r="C256" s="13" t="str">
        <f>IF($K256="","",INDEX('Detalle individual'!$A:$A,$K256))</f>
        <v>389</v>
      </c>
      <c r="D256" s="72" t="str">
        <f>IF($K256="","",TRIM(INDEX('Detalle individual'!$B:$B,$K256)))</f>
        <v>CLAUDIA CAROLINA HERNANDEZ DE PAZ</v>
      </c>
      <c r="E256" s="72" t="str">
        <f>IF($K256="","",TRIM(INDEX('Detalle individual'!$E:$E,$K256)))</f>
        <v>ASISTENTE TECNICO DE INTERCAMBIO DE TARJETAS</v>
      </c>
      <c r="F256" s="72" t="str">
        <f>IF($K256="","",TRIM(INDEX('Detalle individual'!$C:$C,$K256)))</f>
        <v>DEPARTAMENTO DE TARJETA DE CREDITO Y DEBITO</v>
      </c>
      <c r="G256" s="72" t="str">
        <f>IF($K256="","",INDEX('Detalle individual'!$D:$D,$K256))</f>
        <v>Gerencia de Operaciones</v>
      </c>
      <c r="H256" s="13" t="str">
        <f>IF($K256="","",INDEX('Detalle individual'!$F:$F,$K256))</f>
        <v>Completado</v>
      </c>
      <c r="I256" s="20">
        <f>IF($K256="","",IF(INDEX('Detalle individual'!$F:$F,$K256)="Completado",INDEX('Detalle individual'!$H:$H,$K256),""))</f>
        <v>46311.516226851854</v>
      </c>
      <c r="J256" s="21">
        <f>IF($K256="","",IF(INDEX('Detalle individual'!$F:$F,$K256)="Completado",INDEX('Detalle individual'!$J:$J,$K256),""))</f>
        <v>100</v>
      </c>
      <c r="K256">
        <f>IFERROR(MOD(SMALL(Cálculos!$Z$5:$Z$1000,248),10000),"")</f>
        <v>69</v>
      </c>
    </row>
    <row r="257">
      <c r="B257" s="13">
        <f>IF($K257="","",249)</f>
        <v>249</v>
      </c>
      <c r="C257" s="13" t="str">
        <f>IF($K257="","",INDEX('Detalle individual'!$A:$A,$K257))</f>
        <v>459</v>
      </c>
      <c r="D257" s="72" t="str">
        <f>IF($K257="","",TRIM(INDEX('Detalle individual'!$B:$B,$K257)))</f>
        <v>LUIS ALEXANDER RAMIREZ MONTALVO</v>
      </c>
      <c r="E257" s="72" t="str">
        <f>IF($K257="","",TRIM(INDEX('Detalle individual'!$E:$E,$K257)))</f>
        <v>ASISTENTE TECNICO DE EMISION DE TARJETA</v>
      </c>
      <c r="F257" s="72" t="str">
        <f>IF($K257="","",TRIM(INDEX('Detalle individual'!$C:$C,$K257)))</f>
        <v>DEPARTAMENTO DE TARJETA DE CREDITO Y DEBITO</v>
      </c>
      <c r="G257" s="72" t="str">
        <f>IF($K257="","",INDEX('Detalle individual'!$D:$D,$K257))</f>
        <v>Gerencia de Operaciones</v>
      </c>
      <c r="H257" s="13" t="str">
        <f>IF($K257="","",INDEX('Detalle individual'!$F:$F,$K257))</f>
        <v>Completado</v>
      </c>
      <c r="I257" s="20">
        <f>IF($K257="","",IF(INDEX('Detalle individual'!$F:$F,$K257)="Completado",INDEX('Detalle individual'!$H:$H,$K257),""))</f>
        <v>46304.57939814815</v>
      </c>
      <c r="J257" s="21">
        <f>IF($K257="","",IF(INDEX('Detalle individual'!$F:$F,$K257)="Completado",INDEX('Detalle individual'!$J:$J,$K257),""))</f>
        <v>95</v>
      </c>
      <c r="K257">
        <f>IFERROR(MOD(SMALL(Cálculos!$Z$5:$Z$1000,249),10000),"")</f>
        <v>71</v>
      </c>
    </row>
    <row r="258">
      <c r="B258" s="13">
        <f>IF($K258="","",250)</f>
        <v>250</v>
      </c>
      <c r="C258" s="13" t="str">
        <f>IF($K258="","",INDEX('Detalle individual'!$A:$A,$K258))</f>
        <v>725</v>
      </c>
      <c r="D258" s="72" t="str">
        <f>IF($K258="","",TRIM(INDEX('Detalle individual'!$B:$B,$K258)))</f>
        <v>ANA BEATRIZ QUINTEROS AVELAR</v>
      </c>
      <c r="E258" s="72" t="str">
        <f>IF($K258="","",TRIM(INDEX('Detalle individual'!$E:$E,$K258)))</f>
        <v>ASISTENTE TECNICO DE OPERACIONES DE TARJETAS</v>
      </c>
      <c r="F258" s="72" t="str">
        <f>IF($K258="","",TRIM(INDEX('Detalle individual'!$C:$C,$K258)))</f>
        <v>DEPARTAMENTO DE TARJETA DE CREDITO Y DEBITO</v>
      </c>
      <c r="G258" s="72" t="str">
        <f>IF($K258="","",INDEX('Detalle individual'!$D:$D,$K258))</f>
        <v>Gerencia de Operaciones</v>
      </c>
      <c r="H258" s="13" t="str">
        <f>IF($K258="","",INDEX('Detalle individual'!$F:$F,$K258))</f>
        <v>Completado</v>
      </c>
      <c r="I258" s="20">
        <f>IF($K258="","",IF(INDEX('Detalle individual'!$F:$F,$K258)="Completado",INDEX('Detalle individual'!$H:$H,$K258),""))</f>
        <v>46309.65164351852</v>
      </c>
      <c r="J258" s="21">
        <f>IF($K258="","",IF(INDEX('Detalle individual'!$F:$F,$K258)="Completado",INDEX('Detalle individual'!$J:$J,$K258),""))</f>
        <v>100</v>
      </c>
      <c r="K258">
        <f>IFERROR(MOD(SMALL(Cálculos!$Z$5:$Z$1000,250),10000),"")</f>
        <v>72</v>
      </c>
    </row>
    <row r="259">
      <c r="B259" s="13">
        <f>IF($K259="","",251)</f>
        <v>251</v>
      </c>
      <c r="C259" s="13" t="str">
        <f>IF($K259="","",INDEX('Detalle individual'!$A:$A,$K259))</f>
        <v>952</v>
      </c>
      <c r="D259" s="72" t="str">
        <f>IF($K259="","",TRIM(INDEX('Detalle individual'!$B:$B,$K259)))</f>
        <v>ANDREA CAROLINA RUMUALDO MARTINEZ</v>
      </c>
      <c r="E259" s="72" t="str">
        <f>IF($K259="","",TRIM(INDEX('Detalle individual'!$E:$E,$K259)))</f>
        <v>AUXILIAR DE CONTROL DE CALIDAD</v>
      </c>
      <c r="F259" s="72" t="str">
        <f>IF($K259="","",TRIM(INDEX('Detalle individual'!$C:$C,$K259)))</f>
        <v>DEPARTAMENTO DE TARJETA DE CREDITO Y DEBITO</v>
      </c>
      <c r="G259" s="72" t="str">
        <f>IF($K259="","",INDEX('Detalle individual'!$D:$D,$K259))</f>
        <v>Gerencia de Operaciones</v>
      </c>
      <c r="H259" s="13" t="str">
        <f>IF($K259="","",INDEX('Detalle individual'!$F:$F,$K259))</f>
        <v>Completado</v>
      </c>
      <c r="I259" s="20">
        <f>IF($K259="","",IF(INDEX('Detalle individual'!$F:$F,$K259)="Completado",INDEX('Detalle individual'!$H:$H,$K259),""))</f>
        <v>46296.65724537037</v>
      </c>
      <c r="J259" s="21">
        <f>IF($K259="","",IF(INDEX('Detalle individual'!$F:$F,$K259)="Completado",INDEX('Detalle individual'!$J:$J,$K259),""))</f>
        <v>100</v>
      </c>
      <c r="K259">
        <f>IFERROR(MOD(SMALL(Cálculos!$Z$5:$Z$1000,251),10000),"")</f>
        <v>73</v>
      </c>
    </row>
    <row r="260">
      <c r="B260" s="13">
        <f>IF($K260="","",252)</f>
        <v>252</v>
      </c>
      <c r="C260" s="13" t="str">
        <f>IF($K260="","",INDEX('Detalle individual'!$A:$A,$K260))</f>
        <v>980</v>
      </c>
      <c r="D260" s="72" t="str">
        <f>IF($K260="","",TRIM(INDEX('Detalle individual'!$B:$B,$K260)))</f>
        <v>FATIMA ELIZABETH LEMUS RODRIGUEZ</v>
      </c>
      <c r="E260" s="72" t="str">
        <f>IF($K260="","",TRIM(INDEX('Detalle individual'!$E:$E,$K260)))</f>
        <v>AUXILIAR DE EMISION DE TARJETA</v>
      </c>
      <c r="F260" s="72" t="str">
        <f>IF($K260="","",TRIM(INDEX('Detalle individual'!$C:$C,$K260)))</f>
        <v>DEPARTAMENTO DE TARJETA DE CREDITO Y DEBITO</v>
      </c>
      <c r="G260" s="72" t="str">
        <f>IF($K260="","",INDEX('Detalle individual'!$D:$D,$K260))</f>
        <v>Gerencia de Operaciones</v>
      </c>
      <c r="H260" s="13" t="str">
        <f>IF($K260="","",INDEX('Detalle individual'!$F:$F,$K260))</f>
        <v>Completado</v>
      </c>
      <c r="I260" s="20">
        <f>IF($K260="","",IF(INDEX('Detalle individual'!$F:$F,$K260)="Completado",INDEX('Detalle individual'!$H:$H,$K260),""))</f>
        <v>46296.71346064815</v>
      </c>
      <c r="J260" s="21">
        <f>IF($K260="","",IF(INDEX('Detalle individual'!$F:$F,$K260)="Completado",INDEX('Detalle individual'!$J:$J,$K260),""))</f>
        <v>100</v>
      </c>
      <c r="K260">
        <f>IFERROR(MOD(SMALL(Cálculos!$Z$5:$Z$1000,252),10000),"")</f>
        <v>74</v>
      </c>
    </row>
    <row r="261">
      <c r="B261" s="13">
        <f>IF($K261="","",253)</f>
        <v>253</v>
      </c>
      <c r="C261" s="13" t="str">
        <f>IF($K261="","",INDEX('Detalle individual'!$A:$A,$K261))</f>
        <v>442</v>
      </c>
      <c r="D261" s="72" t="str">
        <f>IF($K261="","",TRIM(INDEX('Detalle individual'!$B:$B,$K261)))</f>
        <v>JUAN JOSE CAÑAS COMAYAGUA</v>
      </c>
      <c r="E261" s="72" t="str">
        <f>IF($K261="","",TRIM(INDEX('Detalle individual'!$E:$E,$K261)))</f>
        <v>JEFE DE DEPARTAMENTO LEGAL</v>
      </c>
      <c r="F261" s="72" t="str">
        <f>IF($K261="","",TRIM(INDEX('Detalle individual'!$C:$C,$K261)))</f>
        <v>DEPARTAMENTO LEGAL</v>
      </c>
      <c r="G261" s="72" t="str">
        <f>IF($K261="","",INDEX('Detalle individual'!$D:$D,$K261))</f>
        <v>Gerencia Legal y Cumplimiento Normativo</v>
      </c>
      <c r="H261" s="13" t="str">
        <f>IF($K261="","",INDEX('Detalle individual'!$F:$F,$K261))</f>
        <v>Completado</v>
      </c>
      <c r="I261" s="20">
        <f>IF($K261="","",IF(INDEX('Detalle individual'!$F:$F,$K261)="Completado",INDEX('Detalle individual'!$H:$H,$K261),""))</f>
        <v>46306.60649305556</v>
      </c>
      <c r="J261" s="21">
        <f>IF($K261="","",IF(INDEX('Detalle individual'!$F:$F,$K261)="Completado",INDEX('Detalle individual'!$J:$J,$K261),""))</f>
        <v>100</v>
      </c>
      <c r="K261">
        <f>IFERROR(MOD(SMALL(Cálculos!$Z$5:$Z$1000,253),10000),"")</f>
        <v>288</v>
      </c>
    </row>
    <row r="262">
      <c r="B262" s="13">
        <f>IF($K262="","",254)</f>
        <v>254</v>
      </c>
      <c r="C262" s="13" t="str">
        <f>IF($K262="","",INDEX('Detalle individual'!$A:$A,$K262))</f>
        <v>592</v>
      </c>
      <c r="D262" s="72" t="str">
        <f>IF($K262="","",TRIM(INDEX('Detalle individual'!$B:$B,$K262)))</f>
        <v>CARLOS RENE CASTILLO GAMEZ</v>
      </c>
      <c r="E262" s="72" t="str">
        <f>IF($K262="","",TRIM(INDEX('Detalle individual'!$E:$E,$K262)))</f>
        <v>ASISTENTE TECNICO LEGAL</v>
      </c>
      <c r="F262" s="72" t="str">
        <f>IF($K262="","",TRIM(INDEX('Detalle individual'!$C:$C,$K262)))</f>
        <v>DEPARTAMENTO LEGAL</v>
      </c>
      <c r="G262" s="72" t="str">
        <f>IF($K262="","",INDEX('Detalle individual'!$D:$D,$K262))</f>
        <v>Gerencia Legal y Cumplimiento Normativo</v>
      </c>
      <c r="H262" s="13" t="str">
        <f>IF($K262="","",INDEX('Detalle individual'!$F:$F,$K262))</f>
        <v>Completado</v>
      </c>
      <c r="I262" s="20">
        <f>IF($K262="","",IF(INDEX('Detalle individual'!$F:$F,$K262)="Completado",INDEX('Detalle individual'!$H:$H,$K262),""))</f>
        <v>46308.62107638889</v>
      </c>
      <c r="J262" s="21">
        <f>IF($K262="","",IF(INDEX('Detalle individual'!$F:$F,$K262)="Completado",INDEX('Detalle individual'!$J:$J,$K262),""))</f>
        <v>100</v>
      </c>
      <c r="K262">
        <f>IFERROR(MOD(SMALL(Cálculos!$Z$5:$Z$1000,254),10000),"")</f>
        <v>289</v>
      </c>
    </row>
    <row r="263">
      <c r="B263" s="13">
        <f>IF($K263="","",255)</f>
        <v>255</v>
      </c>
      <c r="C263" s="13" t="str">
        <f>IF($K263="","",INDEX('Detalle individual'!$A:$A,$K263))</f>
        <v>814</v>
      </c>
      <c r="D263" s="72" t="str">
        <f>IF($K263="","",TRIM(INDEX('Detalle individual'!$B:$B,$K263)))</f>
        <v>ANDREA RAQUEL MONTOYA ALARCON</v>
      </c>
      <c r="E263" s="72" t="str">
        <f>IF($K263="","",TRIM(INDEX('Detalle individual'!$E:$E,$K263)))</f>
        <v>AUXILIAR JURIDICO DE ESCRITURACION</v>
      </c>
      <c r="F263" s="72" t="str">
        <f>IF($K263="","",TRIM(INDEX('Detalle individual'!$C:$C,$K263)))</f>
        <v>DEPARTAMENTO LEGAL</v>
      </c>
      <c r="G263" s="72" t="str">
        <f>IF($K263="","",INDEX('Detalle individual'!$D:$D,$K263))</f>
        <v>Gerencia Legal y Cumplimiento Normativo</v>
      </c>
      <c r="H263" s="13" t="str">
        <f>IF($K263="","",INDEX('Detalle individual'!$F:$F,$K263))</f>
        <v>Completado</v>
      </c>
      <c r="I263" s="20">
        <f>IF($K263="","",IF(INDEX('Detalle individual'!$F:$F,$K263)="Completado",INDEX('Detalle individual'!$H:$H,$K263),""))</f>
        <v>46307.421319444446</v>
      </c>
      <c r="J263" s="21">
        <f>IF($K263="","",IF(INDEX('Detalle individual'!$F:$F,$K263)="Completado",INDEX('Detalle individual'!$J:$J,$K263),""))</f>
        <v>100</v>
      </c>
      <c r="K263">
        <f>IFERROR(MOD(SMALL(Cálculos!$Z$5:$Z$1000,255),10000),"")</f>
        <v>290</v>
      </c>
    </row>
    <row r="264">
      <c r="B264" s="13">
        <f>IF($K264="","",256)</f>
        <v>256</v>
      </c>
      <c r="C264" s="13" t="str">
        <f>IF($K264="","",INDEX('Detalle individual'!$A:$A,$K264))</f>
        <v>831</v>
      </c>
      <c r="D264" s="72" t="str">
        <f>IF($K264="","",TRIM(INDEX('Detalle individual'!$B:$B,$K264)))</f>
        <v>NICOLLE ALEXANDRA MARINERO GALLARDO</v>
      </c>
      <c r="E264" s="72" t="str">
        <f>IF($K264="","",TRIM(INDEX('Detalle individual'!$E:$E,$K264)))</f>
        <v>AUXILIAR JURIDICO NOTARIAL</v>
      </c>
      <c r="F264" s="72" t="str">
        <f>IF($K264="","",TRIM(INDEX('Detalle individual'!$C:$C,$K264)))</f>
        <v>DEPARTAMENTO LEGAL</v>
      </c>
      <c r="G264" s="72" t="str">
        <f>IF($K264="","",INDEX('Detalle individual'!$D:$D,$K264))</f>
        <v>Gerencia Legal y Cumplimiento Normativo</v>
      </c>
      <c r="H264" s="13" t="str">
        <f>IF($K264="","",INDEX('Detalle individual'!$F:$F,$K264))</f>
        <v>Completado</v>
      </c>
      <c r="I264" s="20">
        <f>IF($K264="","",IF(INDEX('Detalle individual'!$F:$F,$K264)="Completado",INDEX('Detalle individual'!$H:$H,$K264),""))</f>
        <v>46307.4125462963</v>
      </c>
      <c r="J264" s="21">
        <f>IF($K264="","",IF(INDEX('Detalle individual'!$F:$F,$K264)="Completado",INDEX('Detalle individual'!$J:$J,$K264),""))</f>
        <v>90</v>
      </c>
      <c r="K264">
        <f>IFERROR(MOD(SMALL(Cálculos!$Z$5:$Z$1000,256),10000),"")</f>
        <v>291</v>
      </c>
    </row>
    <row r="265">
      <c r="B265" s="13">
        <f>IF($K265="","",257)</f>
        <v>257</v>
      </c>
      <c r="C265" s="13" t="str">
        <f>IF($K265="","",INDEX('Detalle individual'!$A:$A,$K265))</f>
        <v>843</v>
      </c>
      <c r="D265" s="72" t="str">
        <f>IF($K265="","",TRIM(INDEX('Detalle individual'!$B:$B,$K265)))</f>
        <v>DANIELA MARIA FUENTES MEDINA</v>
      </c>
      <c r="E265" s="72" t="str">
        <f>IF($K265="","",TRIM(INDEX('Detalle individual'!$E:$E,$K265)))</f>
        <v>AUXILIAR JURIDICO DE CONTRATACION</v>
      </c>
      <c r="F265" s="72" t="str">
        <f>IF($K265="","",TRIM(INDEX('Detalle individual'!$C:$C,$K265)))</f>
        <v>DEPARTAMENTO LEGAL</v>
      </c>
      <c r="G265" s="72" t="str">
        <f>IF($K265="","",INDEX('Detalle individual'!$D:$D,$K265))</f>
        <v>Gerencia Legal y Cumplimiento Normativo</v>
      </c>
      <c r="H265" s="13" t="str">
        <f>IF($K265="","",INDEX('Detalle individual'!$F:$F,$K265))</f>
        <v>Completado</v>
      </c>
      <c r="I265" s="20">
        <f>IF($K265="","",IF(INDEX('Detalle individual'!$F:$F,$K265)="Completado",INDEX('Detalle individual'!$H:$H,$K265),""))</f>
        <v>46307.39480324074</v>
      </c>
      <c r="J265" s="21">
        <f>IF($K265="","",IF(INDEX('Detalle individual'!$F:$F,$K265)="Completado",INDEX('Detalle individual'!$J:$J,$K265),""))</f>
        <v>100</v>
      </c>
      <c r="K265">
        <f>IFERROR(MOD(SMALL(Cálculos!$Z$5:$Z$1000,257),10000),"")</f>
        <v>292</v>
      </c>
    </row>
    <row r="266">
      <c r="B266" s="13">
        <f>IF($K266="","",258)</f>
        <v>258</v>
      </c>
      <c r="C266" s="13" t="str">
        <f>IF($K266="","",INDEX('Detalle individual'!$A:$A,$K266))</f>
        <v>893</v>
      </c>
      <c r="D266" s="72" t="str">
        <f>IF($K266="","",TRIM(INDEX('Detalle individual'!$B:$B,$K266)))</f>
        <v>ALEJANDRA MARIA GONZALEZ BENAVIDES</v>
      </c>
      <c r="E266" s="72" t="str">
        <f>IF($K266="","",TRIM(INDEX('Detalle individual'!$E:$E,$K266)))</f>
        <v>AUXILIAR JURIDICO JUDICIAL</v>
      </c>
      <c r="F266" s="72" t="str">
        <f>IF($K266="","",TRIM(INDEX('Detalle individual'!$C:$C,$K266)))</f>
        <v>DEPARTAMENTO LEGAL</v>
      </c>
      <c r="G266" s="72" t="str">
        <f>IF($K266="","",INDEX('Detalle individual'!$D:$D,$K266))</f>
        <v>Gerencia Legal y Cumplimiento Normativo</v>
      </c>
      <c r="H266" s="13" t="str">
        <f>IF($K266="","",INDEX('Detalle individual'!$F:$F,$K266))</f>
        <v>Completado</v>
      </c>
      <c r="I266" s="20">
        <f>IF($K266="","",IF(INDEX('Detalle individual'!$F:$F,$K266)="Completado",INDEX('Detalle individual'!$H:$H,$K266),""))</f>
        <v>46304.703680555554</v>
      </c>
      <c r="J266" s="21">
        <f>IF($K266="","",IF(INDEX('Detalle individual'!$F:$F,$K266)="Completado",INDEX('Detalle individual'!$J:$J,$K266),""))</f>
        <v>100</v>
      </c>
      <c r="K266">
        <f>IFERROR(MOD(SMALL(Cálculos!$Z$5:$Z$1000,258),10000),"")</f>
        <v>293</v>
      </c>
    </row>
    <row r="267">
      <c r="B267" s="13">
        <f>IF($K267="","",259)</f>
        <v>259</v>
      </c>
      <c r="C267" s="13" t="str">
        <f>IF($K267="","",INDEX('Detalle individual'!$A:$A,$K267))</f>
        <v>905</v>
      </c>
      <c r="D267" s="72" t="str">
        <f>IF($K267="","",TRIM(INDEX('Detalle individual'!$B:$B,$K267)))</f>
        <v>CHRISTIAN ENRIQUE CAMPOS PRIVADO</v>
      </c>
      <c r="E267" s="72" t="str">
        <f>IF($K267="","",TRIM(INDEX('Detalle individual'!$E:$E,$K267)))</f>
        <v>ASISTENTE TECNICO LEGAL</v>
      </c>
      <c r="F267" s="72" t="str">
        <f>IF($K267="","",TRIM(INDEX('Detalle individual'!$C:$C,$K267)))</f>
        <v>DEPARTAMENTO LEGAL</v>
      </c>
      <c r="G267" s="72" t="str">
        <f>IF($K267="","",INDEX('Detalle individual'!$D:$D,$K267))</f>
        <v>Gerencia Legal y Cumplimiento Normativo</v>
      </c>
      <c r="H267" s="13" t="str">
        <f>IF($K267="","",INDEX('Detalle individual'!$F:$F,$K267))</f>
        <v>Completado</v>
      </c>
      <c r="I267" s="20">
        <f>IF($K267="","",IF(INDEX('Detalle individual'!$F:$F,$K267)="Completado",INDEX('Detalle individual'!$H:$H,$K267),""))</f>
        <v>46307.645</v>
      </c>
      <c r="J267" s="21">
        <f>IF($K267="","",IF(INDEX('Detalle individual'!$F:$F,$K267)="Completado",INDEX('Detalle individual'!$J:$J,$K267),""))</f>
        <v>100</v>
      </c>
      <c r="K267">
        <f>IFERROR(MOD(SMALL(Cálculos!$Z$5:$Z$1000,259),10000),"")</f>
        <v>294</v>
      </c>
    </row>
    <row r="268">
      <c r="B268" s="13">
        <f>IF($K268="","",260)</f>
        <v>260</v>
      </c>
      <c r="C268" s="13" t="str">
        <f>IF($K268="","",INDEX('Detalle individual'!$A:$A,$K268))</f>
        <v>929</v>
      </c>
      <c r="D268" s="72" t="str">
        <f>IF($K268="","",TRIM(INDEX('Detalle individual'!$B:$B,$K268)))</f>
        <v>GABRIELA LOURDES AREVALO SANCHEZ</v>
      </c>
      <c r="E268" s="72" t="str">
        <f>IF($K268="","",TRIM(INDEX('Detalle individual'!$E:$E,$K268)))</f>
        <v>AUXILIAR JURIDICO DE CONTRATACION</v>
      </c>
      <c r="F268" s="72" t="str">
        <f>IF($K268="","",TRIM(INDEX('Detalle individual'!$C:$C,$K268)))</f>
        <v>DEPARTAMENTO LEGAL</v>
      </c>
      <c r="G268" s="72" t="str">
        <f>IF($K268="","",INDEX('Detalle individual'!$D:$D,$K268))</f>
        <v>Gerencia Legal y Cumplimiento Normativo</v>
      </c>
      <c r="H268" s="13" t="str">
        <f>IF($K268="","",INDEX('Detalle individual'!$F:$F,$K268))</f>
        <v>Completado</v>
      </c>
      <c r="I268" s="20">
        <f>IF($K268="","",IF(INDEX('Detalle individual'!$F:$F,$K268)="Completado",INDEX('Detalle individual'!$H:$H,$K268),""))</f>
        <v>46300.628483796296</v>
      </c>
      <c r="J268" s="21">
        <f>IF($K268="","",IF(INDEX('Detalle individual'!$F:$F,$K268)="Completado",INDEX('Detalle individual'!$J:$J,$K268),""))</f>
        <v>90</v>
      </c>
      <c r="K268">
        <f>IFERROR(MOD(SMALL(Cálculos!$Z$5:$Z$1000,260),10000),"")</f>
        <v>295</v>
      </c>
    </row>
    <row r="269">
      <c r="B269" s="13">
        <f>IF($K269="","",261)</f>
        <v>261</v>
      </c>
      <c r="C269" s="13" t="str">
        <f>IF($K269="","",INDEX('Detalle individual'!$A:$A,$K269))</f>
        <v>349</v>
      </c>
      <c r="D269" s="72" t="str">
        <f>IF($K269="","",TRIM(INDEX('Detalle individual'!$B:$B,$K269)))</f>
        <v>CARLA EUGENIA HERNANDEZ MENJIVAR</v>
      </c>
      <c r="E269" s="72" t="str">
        <f>IF($K269="","",TRIM(INDEX('Detalle individual'!$E:$E,$K269)))</f>
        <v>GERENTE ADMINISTRATIVA</v>
      </c>
      <c r="F269" s="72" t="str">
        <f>IF($K269="","",TRIM(INDEX('Detalle individual'!$C:$C,$K269)))</f>
        <v>GERENCIA ADMINISTRATIVA</v>
      </c>
      <c r="G269" s="72" t="str">
        <f>IF($K269="","",INDEX('Detalle individual'!$D:$D,$K269))</f>
        <v>Gerencia Administrativa</v>
      </c>
      <c r="H269" s="13" t="str">
        <f>IF($K269="","",INDEX('Detalle individual'!$F:$F,$K269))</f>
        <v>Completado</v>
      </c>
      <c r="I269" s="20">
        <f>IF($K269="","",IF(INDEX('Detalle individual'!$F:$F,$K269)="Completado",INDEX('Detalle individual'!$H:$H,$K269),""))</f>
        <v>46297.63836805556</v>
      </c>
      <c r="J269" s="21">
        <f>IF($K269="","",IF(INDEX('Detalle individual'!$F:$F,$K269)="Completado",INDEX('Detalle individual'!$J:$J,$K269),""))</f>
        <v>100</v>
      </c>
      <c r="K269">
        <f>IFERROR(MOD(SMALL(Cálculos!$Z$5:$Z$1000,261),10000),"")</f>
        <v>6</v>
      </c>
    </row>
    <row r="270">
      <c r="B270" s="13">
        <f>IF($K270="","",262)</f>
        <v>262</v>
      </c>
      <c r="C270" s="13" t="str">
        <f>IF($K270="","",INDEX('Detalle individual'!$A:$A,$K270))</f>
        <v>45</v>
      </c>
      <c r="D270" s="72" t="str">
        <f>IF($K270="","",TRIM(INDEX('Detalle individual'!$B:$B,$K270)))</f>
        <v>MARTA LILLIAN VIGIL QUIJANO</v>
      </c>
      <c r="E270" s="72" t="str">
        <f>IF($K270="","",TRIM(INDEX('Detalle individual'!$E:$E,$K270)))</f>
        <v>ASISTENTE ADMINISTRATIVO DE GERENCIA ADMINISTRATIVA</v>
      </c>
      <c r="F270" s="72" t="str">
        <f>IF($K270="","",TRIM(INDEX('Detalle individual'!$C:$C,$K270)))</f>
        <v>GERENCIA ADMINISTRATIVA</v>
      </c>
      <c r="G270" s="72" t="str">
        <f>IF($K270="","",INDEX('Detalle individual'!$D:$D,$K270))</f>
        <v>Gerencia Administrativa</v>
      </c>
      <c r="H270" s="13" t="str">
        <f>IF($K270="","",INDEX('Detalle individual'!$F:$F,$K270))</f>
        <v>Completado</v>
      </c>
      <c r="I270" s="20">
        <f>IF($K270="","",IF(INDEX('Detalle individual'!$F:$F,$K270)="Completado",INDEX('Detalle individual'!$H:$H,$K270),""))</f>
        <v>46307.43666666667</v>
      </c>
      <c r="J270" s="21">
        <f>IF($K270="","",IF(INDEX('Detalle individual'!$F:$F,$K270)="Completado",INDEX('Detalle individual'!$J:$J,$K270),""))</f>
        <v>100</v>
      </c>
      <c r="K270">
        <f>IFERROR(MOD(SMALL(Cálculos!$Z$5:$Z$1000,262),10000),"")</f>
        <v>25</v>
      </c>
    </row>
    <row r="271">
      <c r="B271" s="13">
        <f>IF($K271="","",263)</f>
        <v>263</v>
      </c>
      <c r="C271" s="13" t="str">
        <f>IF($K271="","",INDEX('Detalle individual'!$A:$A,$K271))</f>
        <v>524</v>
      </c>
      <c r="D271" s="72" t="str">
        <f>IF($K271="","",TRIM(INDEX('Detalle individual'!$B:$B,$K271)))</f>
        <v>JOSE AUGUSTO DE LA O GALLEGOS</v>
      </c>
      <c r="E271" s="72" t="str">
        <f>IF($K271="","",TRIM(INDEX('Detalle individual'!$E:$E,$K271)))</f>
        <v>GERENTE DE FINANZAS Y PLANIFICACION</v>
      </c>
      <c r="F271" s="72" t="str">
        <f>IF($K271="","",TRIM(INDEX('Detalle individual'!$C:$C,$K271)))</f>
        <v>GERENCIA DE FINANZAS Y PLANIFICACIÓN</v>
      </c>
      <c r="G271" s="72" t="str">
        <f>IF($K271="","",INDEX('Detalle individual'!$D:$D,$K271))</f>
        <v>Gerencia de Finanzas y Planificación</v>
      </c>
      <c r="H271" s="13" t="str">
        <f>IF($K271="","",INDEX('Detalle individual'!$F:$F,$K271))</f>
        <v>Completado</v>
      </c>
      <c r="I271" s="20">
        <f>IF($K271="","",IF(INDEX('Detalle individual'!$F:$F,$K271)="Completado",INDEX('Detalle individual'!$H:$H,$K271),""))</f>
        <v>46296.429560185185</v>
      </c>
      <c r="J271" s="21">
        <f>IF($K271="","",IF(INDEX('Detalle individual'!$F:$F,$K271)="Completado",INDEX('Detalle individual'!$J:$J,$K271),""))</f>
        <v>100</v>
      </c>
      <c r="K271">
        <f>IFERROR(MOD(SMALL(Cálculos!$Z$5:$Z$1000,263),10000),"")</f>
        <v>8</v>
      </c>
    </row>
    <row r="272">
      <c r="B272" s="13">
        <f>IF($K272="","",264)</f>
        <v>264</v>
      </c>
      <c r="C272" s="13" t="str">
        <f>IF($K272="","",INDEX('Detalle individual'!$A:$A,$K272))</f>
        <v>942</v>
      </c>
      <c r="D272" s="72" t="str">
        <f>IF($K272="","",TRIM(INDEX('Detalle individual'!$B:$B,$K272)))</f>
        <v>PAULA MARIA CALDERON PEREZ</v>
      </c>
      <c r="E272" s="72" t="str">
        <f>IF($K272="","",TRIM(INDEX('Detalle individual'!$E:$E,$K272)))</f>
        <v>ASISTENTE DE GERENCIA DE FINANZAS</v>
      </c>
      <c r="F272" s="72" t="str">
        <f>IF($K272="","",TRIM(INDEX('Detalle individual'!$C:$C,$K272)))</f>
        <v>GERENCIA DE FINANZAS Y PLANIFICACIÓN</v>
      </c>
      <c r="G272" s="72" t="str">
        <f>IF($K272="","",INDEX('Detalle individual'!$D:$D,$K272))</f>
        <v>Gerencia de Finanzas y Planificación</v>
      </c>
      <c r="H272" s="13" t="str">
        <f>IF($K272="","",INDEX('Detalle individual'!$F:$F,$K272))</f>
        <v>Completado</v>
      </c>
      <c r="I272" s="20">
        <f>IF($K272="","",IF(INDEX('Detalle individual'!$F:$F,$K272)="Completado",INDEX('Detalle individual'!$H:$H,$K272),""))</f>
        <v>46305.470555555556</v>
      </c>
      <c r="J272" s="21">
        <f>IF($K272="","",IF(INDEX('Detalle individual'!$F:$F,$K272)="Completado",INDEX('Detalle individual'!$J:$J,$K272),""))</f>
        <v>100</v>
      </c>
      <c r="K272">
        <f>IFERROR(MOD(SMALL(Cálculos!$Z$5:$Z$1000,264),10000),"")</f>
        <v>84</v>
      </c>
    </row>
    <row r="273">
      <c r="B273" s="13">
        <f>IF($K273="","",265)</f>
        <v>265</v>
      </c>
      <c r="C273" s="13" t="str">
        <f>IF($K273="","",INDEX('Detalle individual'!$A:$A,$K273))</f>
        <v>741</v>
      </c>
      <c r="D273" s="72" t="str">
        <f>IF($K273="","",TRIM(INDEX('Detalle individual'!$B:$B,$K273)))</f>
        <v>JOSE HUMBERTO BARILLAS BURGOS</v>
      </c>
      <c r="E273" s="72" t="str">
        <f>IF($K273="","",TRIM(INDEX('Detalle individual'!$E:$E,$K273)))</f>
        <v>GERENTE DE NEGOCIOS</v>
      </c>
      <c r="F273" s="72" t="str">
        <f>IF($K273="","",TRIM(INDEX('Detalle individual'!$C:$C,$K273)))</f>
        <v>GERENCIA DE NEGOCIOS</v>
      </c>
      <c r="G273" s="72" t="str">
        <f>IF($K273="","",INDEX('Detalle individual'!$D:$D,$K273))</f>
        <v>Gerencia de Negocios</v>
      </c>
      <c r="H273" s="13" t="str">
        <f>IF($K273="","",INDEX('Detalle individual'!$F:$F,$K273))</f>
        <v>Completado</v>
      </c>
      <c r="I273" s="20">
        <f>IF($K273="","",IF(INDEX('Detalle individual'!$F:$F,$K273)="Completado",INDEX('Detalle individual'!$H:$H,$K273),""))</f>
        <v>46310.61981481482</v>
      </c>
      <c r="J273" s="21">
        <f>IF($K273="","",IF(INDEX('Detalle individual'!$F:$F,$K273)="Completado",INDEX('Detalle individual'!$J:$J,$K273),""))</f>
        <v>100</v>
      </c>
      <c r="K273">
        <f>IFERROR(MOD(SMALL(Cálculos!$Z$5:$Z$1000,265),10000),"")</f>
        <v>11</v>
      </c>
    </row>
    <row r="274">
      <c r="B274" s="13">
        <f>IF($K274="","",266)</f>
        <v>266</v>
      </c>
      <c r="C274" s="13" t="str">
        <f>IF($K274="","",INDEX('Detalle individual'!$A:$A,$K274))</f>
        <v>583</v>
      </c>
      <c r="D274" s="72" t="str">
        <f>IF($K274="","",TRIM(INDEX('Detalle individual'!$B:$B,$K274)))</f>
        <v>HECTOR JOSE MENJIVAR SOMOZA</v>
      </c>
      <c r="E274" s="72" t="str">
        <f>IF($K274="","",TRIM(INDEX('Detalle individual'!$E:$E,$K274)))</f>
        <v>ANALISTA DE INTELIGENCIA DE NEGOCIOS</v>
      </c>
      <c r="F274" s="72" t="str">
        <f>IF($K274="","",TRIM(INDEX('Detalle individual'!$C:$C,$K274)))</f>
        <v>GERENCIA DE NEGOCIOS</v>
      </c>
      <c r="G274" s="72" t="str">
        <f>IF($K274="","",INDEX('Detalle individual'!$D:$D,$K274))</f>
        <v>Gerencia de Negocios</v>
      </c>
      <c r="H274" s="13" t="str">
        <f>IF($K274="","",INDEX('Detalle individual'!$F:$F,$K274))</f>
        <v>Completado</v>
      </c>
      <c r="I274" s="20">
        <f>IF($K274="","",IF(INDEX('Detalle individual'!$F:$F,$K274)="Completado",INDEX('Detalle individual'!$H:$H,$K274),""))</f>
        <v>46296.48710648148</v>
      </c>
      <c r="J274" s="21">
        <f>IF($K274="","",IF(INDEX('Detalle individual'!$F:$F,$K274)="Completado",INDEX('Detalle individual'!$J:$J,$K274),""))</f>
        <v>100</v>
      </c>
      <c r="K274">
        <f>IFERROR(MOD(SMALL(Cálculos!$Z$5:$Z$1000,266),10000),"")</f>
        <v>136</v>
      </c>
    </row>
    <row r="275">
      <c r="B275" s="13">
        <f>IF($K275="","",267)</f>
        <v>267</v>
      </c>
      <c r="C275" s="13" t="str">
        <f>IF($K275="","",INDEX('Detalle individual'!$A:$A,$K275))</f>
        <v>633</v>
      </c>
      <c r="D275" s="72" t="str">
        <f>IF($K275="","",TRIM(INDEX('Detalle individual'!$B:$B,$K275)))</f>
        <v>VICTOR ADONAY PEREZ CASTILLO</v>
      </c>
      <c r="E275" s="72" t="str">
        <f>IF($K275="","",TRIM(INDEX('Detalle individual'!$E:$E,$K275)))</f>
        <v>ASISTENTE PARA CANALES ELECTRONICOS Y OPERACIONES EN AGENCIA</v>
      </c>
      <c r="F275" s="72" t="str">
        <f>IF($K275="","",TRIM(INDEX('Detalle individual'!$C:$C,$K275)))</f>
        <v>GERENCIA DE NEGOCIOS</v>
      </c>
      <c r="G275" s="72" t="str">
        <f>IF($K275="","",INDEX('Detalle individual'!$D:$D,$K275))</f>
        <v>Gerencia de Negocios</v>
      </c>
      <c r="H275" s="13" t="str">
        <f>IF($K275="","",INDEX('Detalle individual'!$F:$F,$K275))</f>
        <v>Completado</v>
      </c>
      <c r="I275" s="20">
        <f>IF($K275="","",IF(INDEX('Detalle individual'!$F:$F,$K275)="Completado",INDEX('Detalle individual'!$H:$H,$K275),""))</f>
        <v>46296.453680555554</v>
      </c>
      <c r="J275" s="21">
        <f>IF($K275="","",IF(INDEX('Detalle individual'!$F:$F,$K275)="Completado",INDEX('Detalle individual'!$J:$J,$K275),""))</f>
        <v>100</v>
      </c>
      <c r="K275">
        <f>IFERROR(MOD(SMALL(Cálculos!$Z$5:$Z$1000,267),10000),"")</f>
        <v>137</v>
      </c>
    </row>
    <row r="276">
      <c r="B276" s="13">
        <f>IF($K276="","",268)</f>
        <v>268</v>
      </c>
      <c r="C276" s="13" t="str">
        <f>IF($K276="","",INDEX('Detalle individual'!$A:$A,$K276))</f>
        <v>782</v>
      </c>
      <c r="D276" s="72" t="str">
        <f>IF($K276="","",TRIM(INDEX('Detalle individual'!$B:$B,$K276)))</f>
        <v>WANDA ILIANA MORENO QUINTEROS</v>
      </c>
      <c r="E276" s="72" t="str">
        <f>IF($K276="","",TRIM(INDEX('Detalle individual'!$E:$E,$K276)))</f>
        <v>ADMINISTRADOR DE PLATAFORMAS Y TRANSFORMACION DIGITAL DE CRE</v>
      </c>
      <c r="F276" s="72" t="str">
        <f>IF($K276="","",TRIM(INDEX('Detalle individual'!$C:$C,$K276)))</f>
        <v>GERENCIA DE NEGOCIOS</v>
      </c>
      <c r="G276" s="72" t="str">
        <f>IF($K276="","",INDEX('Detalle individual'!$D:$D,$K276))</f>
        <v>Gerencia de Negocios</v>
      </c>
      <c r="H276" s="13" t="str">
        <f>IF($K276="","",INDEX('Detalle individual'!$F:$F,$K276))</f>
        <v>Completado</v>
      </c>
      <c r="I276" s="20">
        <f>IF($K276="","",IF(INDEX('Detalle individual'!$F:$F,$K276)="Completado",INDEX('Detalle individual'!$H:$H,$K276),""))</f>
        <v>46301.440300925926</v>
      </c>
      <c r="J276" s="21">
        <f>IF($K276="","",IF(INDEX('Detalle individual'!$F:$F,$K276)="Completado",INDEX('Detalle individual'!$J:$J,$K276),""))</f>
        <v>100</v>
      </c>
      <c r="K276">
        <f>IFERROR(MOD(SMALL(Cálculos!$Z$5:$Z$1000,268),10000),"")</f>
        <v>138</v>
      </c>
    </row>
    <row r="277">
      <c r="B277" s="13">
        <f>IF($K277="","",269)</f>
        <v>269</v>
      </c>
      <c r="C277" s="13" t="str">
        <f>IF($K277="","",INDEX('Detalle individual'!$A:$A,$K277))</f>
        <v>878</v>
      </c>
      <c r="D277" s="72" t="str">
        <f>IF($K277="","",TRIM(INDEX('Detalle individual'!$B:$B,$K277)))</f>
        <v>ALEX VIRGILIO AGUILAR ARIAS</v>
      </c>
      <c r="E277" s="72" t="str">
        <f>IF($K277="","",TRIM(INDEX('Detalle individual'!$E:$E,$K277)))</f>
        <v>GERENTE DE SISTEMAS</v>
      </c>
      <c r="F277" s="72" t="str">
        <f>IF($K277="","",TRIM(INDEX('Detalle individual'!$C:$C,$K277)))</f>
        <v>GERENCIA DE SISTEMAS</v>
      </c>
      <c r="G277" s="72" t="str">
        <f>IF($K277="","",INDEX('Detalle individual'!$D:$D,$K277))</f>
        <v>Gerencia de Sistemas</v>
      </c>
      <c r="H277" s="13" t="str">
        <f>IF($K277="","",INDEX('Detalle individual'!$F:$F,$K277))</f>
        <v>Completado</v>
      </c>
      <c r="I277" s="20">
        <f>IF($K277="","",IF(INDEX('Detalle individual'!$F:$F,$K277)="Completado",INDEX('Detalle individual'!$H:$H,$K277),""))</f>
        <v>46310.696747685186</v>
      </c>
      <c r="J277" s="21">
        <f>IF($K277="","",IF(INDEX('Detalle individual'!$F:$F,$K277)="Completado",INDEX('Detalle individual'!$J:$J,$K277),""))</f>
        <v>100</v>
      </c>
      <c r="K277">
        <f>IFERROR(MOD(SMALL(Cálculos!$Z$5:$Z$1000,269),10000),"")</f>
        <v>9</v>
      </c>
    </row>
    <row r="278">
      <c r="B278" s="13">
        <f>IF($K278="","",270)</f>
        <v>270</v>
      </c>
      <c r="C278" s="13" t="str">
        <f>IF($K278="","",INDEX('Detalle individual'!$A:$A,$K278))</f>
        <v>393</v>
      </c>
      <c r="D278" s="72" t="str">
        <f>IF($K278="","",TRIM(INDEX('Detalle individual'!$B:$B,$K278)))</f>
        <v>FLOR MARISELA TORRES VELASQUEZ</v>
      </c>
      <c r="E278" s="72" t="str">
        <f>IF($K278="","",TRIM(INDEX('Detalle individual'!$E:$E,$K278)))</f>
        <v>LIDER DE PROYECTOS TECNOLOGICOS</v>
      </c>
      <c r="F278" s="72" t="str">
        <f>IF($K278="","",TRIM(INDEX('Detalle individual'!$C:$C,$K278)))</f>
        <v>GERENCIA DE SISTEMAS</v>
      </c>
      <c r="G278" s="72" t="str">
        <f>IF($K278="","",INDEX('Detalle individual'!$D:$D,$K278))</f>
        <v>Gerencia de Sistemas</v>
      </c>
      <c r="H278" s="13" t="str">
        <f>IF($K278="","",INDEX('Detalle individual'!$F:$F,$K278))</f>
        <v>Completado</v>
      </c>
      <c r="I278" s="20">
        <f>IF($K278="","",IF(INDEX('Detalle individual'!$F:$F,$K278)="Completado",INDEX('Detalle individual'!$H:$H,$K278),""))</f>
        <v>46307.48341435185</v>
      </c>
      <c r="J278" s="21">
        <f>IF($K278="","",IF(INDEX('Detalle individual'!$F:$F,$K278)="Completado",INDEX('Detalle individual'!$J:$J,$K278),""))</f>
        <v>100</v>
      </c>
      <c r="K278">
        <f>IFERROR(MOD(SMALL(Cálculos!$Z$5:$Z$1000,270),10000),"")</f>
        <v>101</v>
      </c>
    </row>
    <row r="279">
      <c r="B279" s="13">
        <f>IF($K279="","",271)</f>
        <v>271</v>
      </c>
      <c r="C279" s="13" t="str">
        <f>IF($K279="","",INDEX('Detalle individual'!$A:$A,$K279))</f>
        <v>804</v>
      </c>
      <c r="D279" s="72" t="str">
        <f>IF($K279="","",TRIM(INDEX('Detalle individual'!$B:$B,$K279)))</f>
        <v>FERMIN ABIEL VIERA LINARES</v>
      </c>
      <c r="E279" s="72" t="str">
        <f>IF($K279="","",TRIM(INDEX('Detalle individual'!$E:$E,$K279)))</f>
        <v>ANALISTA DE CAMBIOS Y SEGURIDAD</v>
      </c>
      <c r="F279" s="72" t="str">
        <f>IF($K279="","",TRIM(INDEX('Detalle individual'!$C:$C,$K279)))</f>
        <v>GERENCIA DE SISTEMAS</v>
      </c>
      <c r="G279" s="72" t="str">
        <f>IF($K279="","",INDEX('Detalle individual'!$D:$D,$K279))</f>
        <v>Gerencia de Sistemas</v>
      </c>
      <c r="H279" s="13" t="str">
        <f>IF($K279="","",INDEX('Detalle individual'!$F:$F,$K279))</f>
        <v>Completado</v>
      </c>
      <c r="I279" s="20">
        <f>IF($K279="","",IF(INDEX('Detalle individual'!$F:$F,$K279)="Completado",INDEX('Detalle individual'!$H:$H,$K279),""))</f>
        <v>46304.407905092594</v>
      </c>
      <c r="J279" s="21">
        <f>IF($K279="","",IF(INDEX('Detalle individual'!$F:$F,$K279)="Completado",INDEX('Detalle individual'!$J:$J,$K279),""))</f>
        <v>100</v>
      </c>
      <c r="K279">
        <f>IFERROR(MOD(SMALL(Cálculos!$Z$5:$Z$1000,271),10000),"")</f>
        <v>102</v>
      </c>
    </row>
    <row r="280">
      <c r="B280" s="13">
        <f>IF($K280="","",272)</f>
        <v>272</v>
      </c>
      <c r="C280" s="13" t="str">
        <f>IF($K280="","",INDEX('Detalle individual'!$A:$A,$K280))</f>
        <v>883</v>
      </c>
      <c r="D280" s="72" t="str">
        <f>IF($K280="","",TRIM(INDEX('Detalle individual'!$B:$B,$K280)))</f>
        <v>ISMAEL HUMBERTO GUERRERO FLORES</v>
      </c>
      <c r="E280" s="72" t="str">
        <f>IF($K280="","",TRIM(INDEX('Detalle individual'!$E:$E,$K280)))</f>
        <v>ADMINISTRADOR DE SEGURIDAD INFORMATICA</v>
      </c>
      <c r="F280" s="72" t="str">
        <f>IF($K280="","",TRIM(INDEX('Detalle individual'!$C:$C,$K280)))</f>
        <v>GERENCIA DE SISTEMAS</v>
      </c>
      <c r="G280" s="72" t="str">
        <f>IF($K280="","",INDEX('Detalle individual'!$D:$D,$K280))</f>
        <v>Gerencia de Sistemas</v>
      </c>
      <c r="H280" s="13" t="str">
        <f>IF($K280="","",INDEX('Detalle individual'!$F:$F,$K280))</f>
        <v>Completado</v>
      </c>
      <c r="I280" s="20">
        <f>IF($K280="","",IF(INDEX('Detalle individual'!$F:$F,$K280)="Completado",INDEX('Detalle individual'!$H:$H,$K280),""))</f>
        <v>46300.58474537037</v>
      </c>
      <c r="J280" s="21">
        <f>IF($K280="","",IF(INDEX('Detalle individual'!$F:$F,$K280)="Completado",INDEX('Detalle individual'!$J:$J,$K280),""))</f>
        <v>95</v>
      </c>
      <c r="K280">
        <f>IFERROR(MOD(SMALL(Cálculos!$Z$5:$Z$1000,272),10000),"")</f>
        <v>103</v>
      </c>
    </row>
    <row r="281">
      <c r="B281" s="13">
        <f>IF($K281="","",273)</f>
        <v>273</v>
      </c>
      <c r="C281" s="13" t="str">
        <f>IF($K281="","",INDEX('Detalle individual'!$A:$A,$K281))</f>
        <v>977</v>
      </c>
      <c r="D281" s="72" t="str">
        <f>IF($K281="","",TRIM(INDEX('Detalle individual'!$B:$B,$K281)))</f>
        <v>NELSON ULISES CAMPOS FLORES</v>
      </c>
      <c r="E281" s="72" t="str">
        <f>IF($K281="","",TRIM(INDEX('Detalle individual'!$E:$E,$K281)))</f>
        <v>GERENTE GENERAL</v>
      </c>
      <c r="F281" s="72" t="str">
        <f>IF($K281="","",TRIM(INDEX('Detalle individual'!$C:$C,$K281)))</f>
        <v>GERENCIA GENERAL</v>
      </c>
      <c r="G281" s="72" t="str">
        <f>IF($K281="","",INDEX('Detalle individual'!$D:$D,$K281))</f>
        <v>Gerencia General</v>
      </c>
      <c r="H281" s="13" t="str">
        <f>IF($K281="","",INDEX('Detalle individual'!$F:$F,$K281))</f>
        <v>Completado</v>
      </c>
      <c r="I281" s="20" t="str">
        <f>IF($K281="","",IF(INDEX('Detalle individual'!$F:$F,$K281)="Completado",INDEX('Detalle individual'!$H:$H,$K281),""))</f>
        <v/>
      </c>
      <c r="J281" s="21" t="str">
        <f>IF($K281="","",IF(INDEX('Detalle individual'!$F:$F,$K281)="Completado",INDEX('Detalle individual'!$J:$J,$K281),""))</f>
        <v/>
      </c>
      <c r="K281">
        <f>IFERROR(MOD(SMALL(Cálculos!$Z$5:$Z$1000,273),10000),"")</f>
        <v>5</v>
      </c>
    </row>
    <row r="282">
      <c r="B282" s="13">
        <f>IF($K282="","",274)</f>
        <v>274</v>
      </c>
      <c r="C282" s="13" t="str">
        <f>IF($K282="","",INDEX('Detalle individual'!$A:$A,$K282))</f>
        <v>17</v>
      </c>
      <c r="D282" s="72" t="str">
        <f>IF($K282="","",TRIM(INDEX('Detalle individual'!$B:$B,$K282)))</f>
        <v>ANTONIA SARAI BELTRAN CARBALLO</v>
      </c>
      <c r="E282" s="72" t="str">
        <f>IF($K282="","",TRIM(INDEX('Detalle individual'!$E:$E,$K282)))</f>
        <v>ASISTENTE ADMINISTRATIVO DE GERENCIA GENERAL</v>
      </c>
      <c r="F282" s="72" t="str">
        <f>IF($K282="","",TRIM(INDEX('Detalle individual'!$C:$C,$K282)))</f>
        <v>GERENCIA GENERAL</v>
      </c>
      <c r="G282" s="72" t="str">
        <f>IF($K282="","",INDEX('Detalle individual'!$D:$D,$K282))</f>
        <v>Gerencia General</v>
      </c>
      <c r="H282" s="13" t="str">
        <f>IF($K282="","",INDEX('Detalle individual'!$F:$F,$K282))</f>
        <v>Completado</v>
      </c>
      <c r="I282" s="20">
        <f>IF($K282="","",IF(INDEX('Detalle individual'!$F:$F,$K282)="Completado",INDEX('Detalle individual'!$H:$H,$K282),""))</f>
        <v>46305.40980324074</v>
      </c>
      <c r="J282" s="21">
        <f>IF($K282="","",IF(INDEX('Detalle individual'!$F:$F,$K282)="Completado",INDEX('Detalle individual'!$J:$J,$K282),""))</f>
        <v>100</v>
      </c>
      <c r="K282">
        <f>IFERROR(MOD(SMALL(Cálculos!$Z$5:$Z$1000,274),10000),"")</f>
        <v>13</v>
      </c>
    </row>
    <row r="283">
      <c r="B283" s="13">
        <f>IF($K283="","",275)</f>
        <v>275</v>
      </c>
      <c r="C283" s="13" t="str">
        <f>IF($K283="","",INDEX('Detalle individual'!$A:$A,$K283))</f>
        <v>570</v>
      </c>
      <c r="D283" s="72" t="str">
        <f>IF($K283="","",TRIM(INDEX('Detalle individual'!$B:$B,$K283)))</f>
        <v>ANDREA VICTORIA MAYORGA RODRIGUEZ</v>
      </c>
      <c r="E283" s="72" t="str">
        <f>IF($K283="","",TRIM(INDEX('Detalle individual'!$E:$E,$K283)))</f>
        <v>GERENTE LEGAL Y DE CUMPLIMIENTO NORMATIVO</v>
      </c>
      <c r="F283" s="72" t="str">
        <f>IF($K283="","",TRIM(INDEX('Detalle individual'!$C:$C,$K283)))</f>
        <v>GERENCIA LEGAL Y DE CUMPLIMIENTO NORMATIVO</v>
      </c>
      <c r="G283" s="72" t="str">
        <f>IF($K283="","",INDEX('Detalle individual'!$D:$D,$K283))</f>
        <v>Gerencia Legal y Cumplimiento Normativo</v>
      </c>
      <c r="H283" s="13" t="str">
        <f>IF($K283="","",INDEX('Detalle individual'!$F:$F,$K283))</f>
        <v>Completado</v>
      </c>
      <c r="I283" s="20">
        <f>IF($K283="","",IF(INDEX('Detalle individual'!$F:$F,$K283)="Completado",INDEX('Detalle individual'!$H:$H,$K283),""))</f>
        <v>46304.69452546296</v>
      </c>
      <c r="J283" s="21">
        <f>IF($K283="","",IF(INDEX('Detalle individual'!$F:$F,$K283)="Completado",INDEX('Detalle individual'!$J:$J,$K283),""))</f>
        <v>100</v>
      </c>
      <c r="K283">
        <f>IFERROR(MOD(SMALL(Cálculos!$Z$5:$Z$1000,275),10000),"")</f>
        <v>12</v>
      </c>
    </row>
    <row r="284">
      <c r="B284" s="13">
        <f>IF($K284="","",276)</f>
        <v>276</v>
      </c>
      <c r="C284" s="13" t="str">
        <f>IF($K284="","",INDEX('Detalle individual'!$A:$A,$K284))</f>
        <v>862</v>
      </c>
      <c r="D284" s="72" t="str">
        <f>IF($K284="","",TRIM(INDEX('Detalle individual'!$B:$B,$K284)))</f>
        <v>GEORGI ROBERTO CASTILLO CHACON</v>
      </c>
      <c r="E284" s="72" t="str">
        <f>IF($K284="","",TRIM(INDEX('Detalle individual'!$E:$E,$K284)))</f>
        <v>GERENTE DE OFICIALIA DE CUMPLIMIENTO</v>
      </c>
      <c r="F284" s="72" t="str">
        <f>IF($K284="","",TRIM(INDEX('Detalle individual'!$C:$C,$K284)))</f>
        <v>OFICIALIA DE CUMPLIMIENTO</v>
      </c>
      <c r="G284" s="72" t="str">
        <f>IF($K284="","",INDEX('Detalle individual'!$D:$D,$K284))</f>
        <v>Gerencia de Oficialía de Cumplimiento</v>
      </c>
      <c r="H284" s="13" t="str">
        <f>IF($K284="","",INDEX('Detalle individual'!$F:$F,$K284))</f>
        <v>Completado</v>
      </c>
      <c r="I284" s="20">
        <f>IF($K284="","",IF(INDEX('Detalle individual'!$F:$F,$K284)="Completado",INDEX('Detalle individual'!$H:$H,$K284),""))</f>
        <v>46296.47738425926</v>
      </c>
      <c r="J284" s="21">
        <f>IF($K284="","",IF(INDEX('Detalle individual'!$F:$F,$K284)="Completado",INDEX('Detalle individual'!$J:$J,$K284),""))</f>
        <v>100</v>
      </c>
      <c r="K284">
        <f>IFERROR(MOD(SMALL(Cálculos!$Z$5:$Z$1000,276),10000),"")</f>
        <v>10</v>
      </c>
    </row>
    <row r="285">
      <c r="B285" s="13">
        <f>IF($K285="","",277)</f>
        <v>277</v>
      </c>
      <c r="C285" s="13" t="str">
        <f>IF($K285="","",INDEX('Detalle individual'!$A:$A,$K285))</f>
        <v>443</v>
      </c>
      <c r="D285" s="72" t="str">
        <f>IF($K285="","",TRIM(INDEX('Detalle individual'!$B:$B,$K285)))</f>
        <v>JOSSELINE LIZBETH VENTURA RIVAS</v>
      </c>
      <c r="E285" s="72" t="str">
        <f>IF($K285="","",TRIM(INDEX('Detalle individual'!$E:$E,$K285)))</f>
        <v>ANALISTA DE CUMPLIMIENTO</v>
      </c>
      <c r="F285" s="72" t="str">
        <f>IF($K285="","",TRIM(INDEX('Detalle individual'!$C:$C,$K285)))</f>
        <v>OFICIALIA DE CUMPLIMIENTO</v>
      </c>
      <c r="G285" s="72" t="str">
        <f>IF($K285="","",INDEX('Detalle individual'!$D:$D,$K285))</f>
        <v>Gerencia de Oficialía de Cumplimiento</v>
      </c>
      <c r="H285" s="13" t="str">
        <f>IF($K285="","",INDEX('Detalle individual'!$F:$F,$K285))</f>
        <v>Completado</v>
      </c>
      <c r="I285" s="20">
        <f>IF($K285="","",IF(INDEX('Detalle individual'!$F:$F,$K285)="Completado",INDEX('Detalle individual'!$H:$H,$K285),""))</f>
        <v>46296.491481481484</v>
      </c>
      <c r="J285" s="21">
        <f>IF($K285="","",IF(INDEX('Detalle individual'!$F:$F,$K285)="Completado",INDEX('Detalle individual'!$J:$J,$K285),""))</f>
        <v>100</v>
      </c>
      <c r="K285">
        <f>IFERROR(MOD(SMALL(Cálculos!$Z$5:$Z$1000,277),10000),"")</f>
        <v>130</v>
      </c>
    </row>
    <row r="286">
      <c r="B286" s="13">
        <f>IF($K286="","",278)</f>
        <v>278</v>
      </c>
      <c r="C286" s="13" t="str">
        <f>IF($K286="","",INDEX('Detalle individual'!$A:$A,$K286))</f>
        <v>860</v>
      </c>
      <c r="D286" s="72" t="str">
        <f>IF($K286="","",TRIM(INDEX('Detalle individual'!$B:$B,$K286)))</f>
        <v>JOHANNA LISSETH ROMERO RIVAS</v>
      </c>
      <c r="E286" s="72" t="str">
        <f>IF($K286="","",TRIM(INDEX('Detalle individual'!$E:$E,$K286)))</f>
        <v>ANALISTA DE OFICIALIA DE CUMPLIMIENTO Y OFICIAL DE CUMPLIMIE</v>
      </c>
      <c r="F286" s="72" t="str">
        <f>IF($K286="","",TRIM(INDEX('Detalle individual'!$C:$C,$K286)))</f>
        <v>OFICIALIA DE CUMPLIMIENTO</v>
      </c>
      <c r="G286" s="72" t="str">
        <f>IF($K286="","",INDEX('Detalle individual'!$D:$D,$K286))</f>
        <v>Gerencia de Oficialía de Cumplimiento</v>
      </c>
      <c r="H286" s="13" t="str">
        <f>IF($K286="","",INDEX('Detalle individual'!$F:$F,$K286))</f>
        <v>Completado</v>
      </c>
      <c r="I286" s="20">
        <f>IF($K286="","",IF(INDEX('Detalle individual'!$F:$F,$K286)="Completado",INDEX('Detalle individual'!$H:$H,$K286),""))</f>
        <v>46296.48637731482</v>
      </c>
      <c r="J286" s="21">
        <f>IF($K286="","",IF(INDEX('Detalle individual'!$F:$F,$K286)="Completado",INDEX('Detalle individual'!$J:$J,$K286),""))</f>
        <v>100</v>
      </c>
      <c r="K286">
        <f>IFERROR(MOD(SMALL(Cálculos!$Z$5:$Z$1000,278),10000),"")</f>
        <v>131</v>
      </c>
    </row>
    <row r="287">
      <c r="B287" s="13">
        <f>IF($K287="","",279)</f>
        <v>279</v>
      </c>
      <c r="C287" s="13" t="str">
        <f>IF($K287="","",INDEX('Detalle individual'!$A:$A,$K287))</f>
        <v>914</v>
      </c>
      <c r="D287" s="72" t="str">
        <f>IF($K287="","",TRIM(INDEX('Detalle individual'!$B:$B,$K287)))</f>
        <v>FIDEL ISAIAS CASTELLON CALVIO</v>
      </c>
      <c r="E287" s="72" t="str">
        <f>IF($K287="","",TRIM(INDEX('Detalle individual'!$E:$E,$K287)))</f>
        <v>ADMINISTRADOR DE MONITOR PLUS Y ANALISTA DE CUMPLIMIENTO</v>
      </c>
      <c r="F287" s="72" t="str">
        <f>IF($K287="","",TRIM(INDEX('Detalle individual'!$C:$C,$K287)))</f>
        <v>OFICIALIA DE CUMPLIMIENTO</v>
      </c>
      <c r="G287" s="72" t="str">
        <f>IF($K287="","",INDEX('Detalle individual'!$D:$D,$K287))</f>
        <v>Gerencia de Oficialía de Cumplimiento</v>
      </c>
      <c r="H287" s="13" t="str">
        <f>IF($K287="","",INDEX('Detalle individual'!$F:$F,$K287))</f>
        <v>Completado</v>
      </c>
      <c r="I287" s="20">
        <f>IF($K287="","",IF(INDEX('Detalle individual'!$F:$F,$K287)="Completado",INDEX('Detalle individual'!$H:$H,$K287),""))</f>
        <v>46296.47803240741</v>
      </c>
      <c r="J287" s="21">
        <f>IF($K287="","",IF(INDEX('Detalle individual'!$F:$F,$K287)="Completado",INDEX('Detalle individual'!$J:$J,$K287),""))</f>
        <v>100</v>
      </c>
      <c r="K287">
        <f>IFERROR(MOD(SMALL(Cálculos!$Z$5:$Z$1000,279),10000),"")</f>
        <v>132</v>
      </c>
    </row>
    <row r="288">
      <c r="B288" s="13">
        <f>IF($K288="","",280)</f>
        <v>280</v>
      </c>
      <c r="C288" s="13" t="str">
        <f>IF($K288="","",INDEX('Detalle individual'!$A:$A,$K288))</f>
        <v>983</v>
      </c>
      <c r="D288" s="72" t="str">
        <f>IF($K288="","",TRIM(INDEX('Detalle individual'!$B:$B,$K288)))</f>
        <v>LILIAN LISET MAGAÑA SANTOS</v>
      </c>
      <c r="E288" s="72" t="str">
        <f>IF($K288="","",TRIM(INDEX('Detalle individual'!$E:$E,$K288)))</f>
        <v>PASANTE</v>
      </c>
      <c r="F288" s="72" t="str">
        <f>IF($K288="","",TRIM(INDEX('Detalle individual'!$C:$C,$K288)))</f>
        <v>OFICIALIA DE CUMPLIMIENTO</v>
      </c>
      <c r="G288" s="72" t="str">
        <f>IF($K288="","",INDEX('Detalle individual'!$D:$D,$K288))</f>
        <v>Gerencia de Oficialía de Cumplimiento</v>
      </c>
      <c r="H288" s="13" t="str">
        <f>IF($K288="","",INDEX('Detalle individual'!$F:$F,$K288))</f>
        <v>Completado</v>
      </c>
      <c r="I288" s="20">
        <f>IF($K288="","",IF(INDEX('Detalle individual'!$F:$F,$K288)="Completado",INDEX('Detalle individual'!$H:$H,$K288),""))</f>
        <v>46296.49747685185</v>
      </c>
      <c r="J288" s="21">
        <f>IF($K288="","",IF(INDEX('Detalle individual'!$F:$F,$K288)="Completado",INDEX('Detalle individual'!$J:$J,$K288),""))</f>
        <v>100</v>
      </c>
      <c r="K288">
        <f>IFERROR(MOD(SMALL(Cálculos!$Z$5:$Z$1000,280),10000),"")</f>
        <v>133</v>
      </c>
    </row>
    <row r="289">
      <c r="B289" s="13">
        <f>IF($K289="","",281)</f>
        <v>281</v>
      </c>
      <c r="C289" s="13" t="str">
        <f>IF($K289="","",INDEX('Detalle individual'!$A:$A,$K289))</f>
        <v>984</v>
      </c>
      <c r="D289" s="72" t="str">
        <f>IF($K289="","",TRIM(INDEX('Detalle individual'!$B:$B,$K289)))</f>
        <v>NICO EDUARDO CIUDAD REAL MOOIJ</v>
      </c>
      <c r="E289" s="72" t="str">
        <f>IF($K289="","",TRIM(INDEX('Detalle individual'!$E:$E,$K289)))</f>
        <v>PASANTE</v>
      </c>
      <c r="F289" s="72" t="str">
        <f>IF($K289="","",TRIM(INDEX('Detalle individual'!$C:$C,$K289)))</f>
        <v>OFICIALIA DE CUMPLIMIENTO</v>
      </c>
      <c r="G289" s="72" t="str">
        <f>IF($K289="","",INDEX('Detalle individual'!$D:$D,$K289))</f>
        <v>Gerencia de Oficialía de Cumplimiento</v>
      </c>
      <c r="H289" s="13" t="str">
        <f>IF($K289="","",INDEX('Detalle individual'!$F:$F,$K289))</f>
        <v>Completado</v>
      </c>
      <c r="I289" s="20">
        <f>IF($K289="","",IF(INDEX('Detalle individual'!$F:$F,$K289)="Completado",INDEX('Detalle individual'!$H:$H,$K289),""))</f>
        <v>46296.48002314815</v>
      </c>
      <c r="J289" s="21">
        <f>IF($K289="","",IF(INDEX('Detalle individual'!$F:$F,$K289)="Completado",INDEX('Detalle individual'!$J:$J,$K289),""))</f>
        <v>100</v>
      </c>
      <c r="K289">
        <f>IFERROR(MOD(SMALL(Cálculos!$Z$5:$Z$1000,281),10000),"")</f>
        <v>134</v>
      </c>
    </row>
    <row r="290">
      <c r="B290" s="13">
        <f>IF($K290="","",282)</f>
        <v>282</v>
      </c>
      <c r="C290" s="13" t="str">
        <f>IF($K290="","",INDEX('Detalle individual'!$A:$A,$K290))</f>
        <v>985</v>
      </c>
      <c r="D290" s="72" t="str">
        <f>IF($K290="","",TRIM(INDEX('Detalle individual'!$B:$B,$K290)))</f>
        <v>JORGE MATEO GUTIERREZ FLORES</v>
      </c>
      <c r="E290" s="72" t="str">
        <f>IF($K290="","",TRIM(INDEX('Detalle individual'!$E:$E,$K290)))</f>
        <v>PASANTE</v>
      </c>
      <c r="F290" s="72" t="str">
        <f>IF($K290="","",TRIM(INDEX('Detalle individual'!$C:$C,$K290)))</f>
        <v>OFICIALIA DE CUMPLIMIENTO</v>
      </c>
      <c r="G290" s="72" t="str">
        <f>IF($K290="","",INDEX('Detalle individual'!$D:$D,$K290))</f>
        <v>Gerencia de Oficialía de Cumplimiento</v>
      </c>
      <c r="H290" s="13" t="str">
        <f>IF($K290="","",INDEX('Detalle individual'!$F:$F,$K290))</f>
        <v>Completado</v>
      </c>
      <c r="I290" s="20">
        <f>IF($K290="","",IF(INDEX('Detalle individual'!$F:$F,$K290)="Completado",INDEX('Detalle individual'!$H:$H,$K290),""))</f>
        <v>46296.4949537037</v>
      </c>
      <c r="J290" s="21">
        <f>IF($K290="","",IF(INDEX('Detalle individual'!$F:$F,$K290)="Completado",INDEX('Detalle individual'!$J:$J,$K290),""))</f>
        <v>100</v>
      </c>
      <c r="K290">
        <f>IFERROR(MOD(SMALL(Cálculos!$Z$5:$Z$1000,282),10000),"")</f>
        <v>135</v>
      </c>
    </row>
    <row r="291">
      <c r="B291" s="13">
        <f>IF($K291="","",283)</f>
        <v>283</v>
      </c>
      <c r="C291" s="13" t="str">
        <f>IF($K291="","",INDEX('Detalle individual'!$A:$A,$K291))</f>
        <v>710</v>
      </c>
      <c r="D291" s="72" t="str">
        <f>IF($K291="","",TRIM(INDEX('Detalle individual'!$B:$B,$K291)))</f>
        <v>MARIA AZUCENA BONILLA RIVERA</v>
      </c>
      <c r="E291" s="72" t="str">
        <f>IF($K291="","",TRIM(INDEX('Detalle individual'!$E:$E,$K291)))</f>
        <v>OFICIAL DE SEGURIDAD DE LA INFORMACION</v>
      </c>
      <c r="F291" s="72" t="str">
        <f>IF($K291="","",TRIM(INDEX('Detalle individual'!$C:$C,$K291)))</f>
        <v>OFICIALIA DE SEGURIDAD DE LA INFORMACION</v>
      </c>
      <c r="G291" s="72" t="str">
        <f>IF($K291="","",INDEX('Detalle individual'!$D:$D,$K291))</f>
        <v>Gerencia General</v>
      </c>
      <c r="H291" s="13" t="str">
        <f>IF($K291="","",INDEX('Detalle individual'!$F:$F,$K291))</f>
        <v>Completado</v>
      </c>
      <c r="I291" s="20">
        <f>IF($K291="","",IF(INDEX('Detalle individual'!$F:$F,$K291)="Completado",INDEX('Detalle individual'!$H:$H,$K291),""))</f>
        <v>46296.448969907404</v>
      </c>
      <c r="J291" s="21">
        <f>IF($K291="","",IF(INDEX('Detalle individual'!$F:$F,$K291)="Completado",INDEX('Detalle individual'!$J:$J,$K291),""))</f>
        <v>100</v>
      </c>
      <c r="K291">
        <f>IFERROR(MOD(SMALL(Cálculos!$Z$5:$Z$1000,283),10000),"")</f>
        <v>21</v>
      </c>
    </row>
    <row r="292">
      <c r="B292" s="13">
        <f>IF($K292="","",284)</f>
        <v>284</v>
      </c>
      <c r="C292" s="13" t="str">
        <f>IF($K292="","",INDEX('Detalle individual'!$A:$A,$K292))</f>
        <v>907</v>
      </c>
      <c r="D292" s="72" t="str">
        <f>IF($K292="","",TRIM(INDEX('Detalle individual'!$B:$B,$K292)))</f>
        <v>JENNIFER GEORGINA ALVARADO HERNANDEZ</v>
      </c>
      <c r="E292" s="72" t="str">
        <f>IF($K292="","",TRIM(INDEX('Detalle individual'!$E:$E,$K292)))</f>
        <v>ANALISTA DE MONITOREO DEL FRAUDE DIGITAL</v>
      </c>
      <c r="F292" s="72" t="str">
        <f>IF($K292="","",TRIM(INDEX('Detalle individual'!$C:$C,$K292)))</f>
        <v>OFICIALIA DE SEGURIDAD DE LA INFORMACION</v>
      </c>
      <c r="G292" s="72" t="str">
        <f>IF($K292="","",INDEX('Detalle individual'!$D:$D,$K292))</f>
        <v>Gerencia General</v>
      </c>
      <c r="H292" s="13" t="str">
        <f>IF($K292="","",INDEX('Detalle individual'!$F:$F,$K292))</f>
        <v>Completado</v>
      </c>
      <c r="I292" s="20">
        <f>IF($K292="","",IF(INDEX('Detalle individual'!$F:$F,$K292)="Completado",INDEX('Detalle individual'!$H:$H,$K292),""))</f>
        <v>46296.44850694444</v>
      </c>
      <c r="J292" s="21">
        <f>IF($K292="","",IF(INDEX('Detalle individual'!$F:$F,$K292)="Completado",INDEX('Detalle individual'!$J:$J,$K292),""))</f>
        <v>85</v>
      </c>
      <c r="K292">
        <f>IFERROR(MOD(SMALL(Cálculos!$Z$5:$Z$1000,284),10000),"")</f>
        <v>22</v>
      </c>
    </row>
    <row r="293">
      <c r="B293" s="13">
        <f>IF($K293="","",285)</f>
        <v>285</v>
      </c>
      <c r="C293" s="13" t="str">
        <f>IF($K293="","",INDEX('Detalle individual'!$A:$A,$K293))</f>
        <v>918</v>
      </c>
      <c r="D293" s="72" t="str">
        <f>IF($K293="","",TRIM(INDEX('Detalle individual'!$B:$B,$K293)))</f>
        <v>MARVIN ALONSO FRANCO RAMIREZ</v>
      </c>
      <c r="E293" s="72" t="str">
        <f>IF($K293="","",TRIM(INDEX('Detalle individual'!$E:$E,$K293)))</f>
        <v>ANALISTA DE SEGURIDAD DE LA INFORMACION</v>
      </c>
      <c r="F293" s="72" t="str">
        <f>IF($K293="","",TRIM(INDEX('Detalle individual'!$C:$C,$K293)))</f>
        <v>OFICIALIA DE SEGURIDAD DE LA INFORMACION</v>
      </c>
      <c r="G293" s="72" t="str">
        <f>IF($K293="","",INDEX('Detalle individual'!$D:$D,$K293))</f>
        <v>Gerencia General</v>
      </c>
      <c r="H293" s="13" t="str">
        <f>IF($K293="","",INDEX('Detalle individual'!$F:$F,$K293))</f>
        <v>Completado</v>
      </c>
      <c r="I293" s="20">
        <f>IF($K293="","",IF(INDEX('Detalle individual'!$F:$F,$K293)="Completado",INDEX('Detalle individual'!$H:$H,$K293),""))</f>
        <v>46296.44851851852</v>
      </c>
      <c r="J293" s="21">
        <f>IF($K293="","",IF(INDEX('Detalle individual'!$F:$F,$K293)="Completado",INDEX('Detalle individual'!$J:$J,$K293),""))</f>
        <v>100</v>
      </c>
      <c r="K293">
        <f>IFERROR(MOD(SMALL(Cálculos!$Z$5:$Z$1000,285),10000),"")</f>
        <v>23</v>
      </c>
    </row>
    <row r="294">
      <c r="B294" s="13">
        <f>IF($K294="","",286)</f>
        <v>286</v>
      </c>
      <c r="C294" s="13" t="str">
        <f>IF($K294="","",INDEX('Detalle individual'!$A:$A,$K294))</f>
        <v>950</v>
      </c>
      <c r="D294" s="72" t="str">
        <f>IF($K294="","",TRIM(INDEX('Detalle individual'!$B:$B,$K294)))</f>
        <v>VALERIA MICHELLE QUINTANILLA FLORES</v>
      </c>
      <c r="E294" s="72" t="str">
        <f>IF($K294="","",TRIM(INDEX('Detalle individual'!$E:$E,$K294)))</f>
        <v>ANALISTA TECNICO DE PROTECCION DE DATOS</v>
      </c>
      <c r="F294" s="72" t="str">
        <f>IF($K294="","",TRIM(INDEX('Detalle individual'!$C:$C,$K294)))</f>
        <v>OFICIALIA DE SEGURIDAD DE LA INFORMACION</v>
      </c>
      <c r="G294" s="72" t="str">
        <f>IF($K294="","",INDEX('Detalle individual'!$D:$D,$K294))</f>
        <v>Gerencia General</v>
      </c>
      <c r="H294" s="13" t="str">
        <f>IF($K294="","",INDEX('Detalle individual'!$F:$F,$K294))</f>
        <v>Completado</v>
      </c>
      <c r="I294" s="20">
        <f>IF($K294="","",IF(INDEX('Detalle individual'!$F:$F,$K294)="Completado",INDEX('Detalle individual'!$H:$H,$K294),""))</f>
        <v>46296.44909722222</v>
      </c>
      <c r="J294" s="21">
        <f>IF($K294="","",IF(INDEX('Detalle individual'!$F:$F,$K294)="Completado",INDEX('Detalle individual'!$J:$J,$K294),""))</f>
        <v>100</v>
      </c>
      <c r="K294">
        <f>IFERROR(MOD(SMALL(Cálculos!$Z$5:$Z$1000,286),10000),"")</f>
        <v>24</v>
      </c>
    </row>
    <row r="295">
      <c r="B295" s="13">
        <f>IF($K295="","",287)</f>
        <v>287</v>
      </c>
      <c r="C295" s="13" t="str">
        <f>IF($K295="","",INDEX('Detalle individual'!$A:$A,$K295))</f>
        <v>215</v>
      </c>
      <c r="D295" s="72" t="str">
        <f>IF($K295="","",TRIM(INDEX('Detalle individual'!$B:$B,$K295)))</f>
        <v>LUIS MARCELO CRUZ VIGIL</v>
      </c>
      <c r="E295" s="72" t="str">
        <f>IF($K295="","",TRIM(INDEX('Detalle individual'!$E:$E,$K295)))</f>
        <v>SUB GERENTE DE CANALES</v>
      </c>
      <c r="F295" s="72" t="str">
        <f>IF($K295="","",TRIM(INDEX('Detalle individual'!$C:$C,$K295)))</f>
        <v>SUB GERENCIA DE CANALES</v>
      </c>
      <c r="G295" s="72" t="str">
        <f>IF($K295="","",INDEX('Detalle individual'!$D:$D,$K295))</f>
        <v>Gerencia de Negocios</v>
      </c>
      <c r="H295" s="13" t="str">
        <f>IF($K295="","",INDEX('Detalle individual'!$F:$F,$K295))</f>
        <v>Completado</v>
      </c>
      <c r="I295" s="20">
        <f>IF($K295="","",IF(INDEX('Detalle individual'!$F:$F,$K295)="Completado",INDEX('Detalle individual'!$H:$H,$K295),""))</f>
        <v>46300.41096064815</v>
      </c>
      <c r="J295" s="21">
        <f>IF($K295="","",IF(INDEX('Detalle individual'!$F:$F,$K295)="Completado",INDEX('Detalle individual'!$J:$J,$K295),""))</f>
        <v>100</v>
      </c>
      <c r="K295">
        <f>IFERROR(MOD(SMALL(Cálculos!$Z$5:$Z$1000,287),10000),"")</f>
        <v>184</v>
      </c>
    </row>
    <row r="296">
      <c r="B296" s="13">
        <f>IF($K296="","",288)</f>
        <v>288</v>
      </c>
      <c r="C296" s="13" t="str">
        <f>IF($K296="","",INDEX('Detalle individual'!$A:$A,$K296))</f>
        <v>581</v>
      </c>
      <c r="D296" s="72" t="str">
        <f>IF($K296="","",TRIM(INDEX('Detalle individual'!$B:$B,$K296)))</f>
        <v>JUAN CARLOS AGUILAR ASCENCIO</v>
      </c>
      <c r="E296" s="72" t="str">
        <f>IF($K296="","",TRIM(INDEX('Detalle individual'!$E:$E,$K296)))</f>
        <v>CAJERO MOVIL</v>
      </c>
      <c r="F296" s="72" t="str">
        <f>IF($K296="","",TRIM(INDEX('Detalle individual'!$C:$C,$K296)))</f>
        <v>SUB GERENCIA DE CANALES</v>
      </c>
      <c r="G296" s="72" t="str">
        <f>IF($K296="","",INDEX('Detalle individual'!$D:$D,$K296))</f>
        <v>Gerencia de Negocios</v>
      </c>
      <c r="H296" s="13" t="str">
        <f>IF($K296="","",INDEX('Detalle individual'!$F:$F,$K296))</f>
        <v>Completado</v>
      </c>
      <c r="I296" s="20">
        <f>IF($K296="","",IF(INDEX('Detalle individual'!$F:$F,$K296)="Completado",INDEX('Detalle individual'!$H:$H,$K296),""))</f>
        <v>46309.67239583333</v>
      </c>
      <c r="J296" s="21">
        <f>IF($K296="","",IF(INDEX('Detalle individual'!$F:$F,$K296)="Completado",INDEX('Detalle individual'!$J:$J,$K296),""))</f>
        <v>100</v>
      </c>
      <c r="K296">
        <f>IFERROR(MOD(SMALL(Cálculos!$Z$5:$Z$1000,288),10000),"")</f>
        <v>185</v>
      </c>
    </row>
    <row r="297">
      <c r="B297" s="13">
        <f>IF($K297="","",289)</f>
        <v>289</v>
      </c>
      <c r="C297" s="13" t="str">
        <f>IF($K297="","",INDEX('Detalle individual'!$A:$A,$K297))</f>
        <v>585</v>
      </c>
      <c r="D297" s="72" t="str">
        <f>IF($K297="","",TRIM(INDEX('Detalle individual'!$B:$B,$K297)))</f>
        <v>NANCY ROCIO MENJIVAR RIVAS</v>
      </c>
      <c r="E297" s="72" t="str">
        <f>IF($K297="","",TRIM(INDEX('Detalle individual'!$E:$E,$K297)))</f>
        <v>EJECUTIVO MOVIL DE SEGUROS</v>
      </c>
      <c r="F297" s="72" t="str">
        <f>IF($K297="","",TRIM(INDEX('Detalle individual'!$C:$C,$K297)))</f>
        <v>SUB GERENCIA DE CANALES</v>
      </c>
      <c r="G297" s="72" t="str">
        <f>IF($K297="","",INDEX('Detalle individual'!$D:$D,$K297))</f>
        <v>Gerencia de Negocios</v>
      </c>
      <c r="H297" s="13" t="str">
        <f>IF($K297="","",INDEX('Detalle individual'!$F:$F,$K297))</f>
        <v>Completado</v>
      </c>
      <c r="I297" s="20">
        <f>IF($K297="","",IF(INDEX('Detalle individual'!$F:$F,$K297)="Completado",INDEX('Detalle individual'!$H:$H,$K297),""))</f>
        <v>46302.479097222225</v>
      </c>
      <c r="J297" s="21">
        <f>IF($K297="","",IF(INDEX('Detalle individual'!$F:$F,$K297)="Completado",INDEX('Detalle individual'!$J:$J,$K297),""))</f>
        <v>100</v>
      </c>
      <c r="K297">
        <f>IFERROR(MOD(SMALL(Cálculos!$Z$5:$Z$1000,289),10000),"")</f>
        <v>186</v>
      </c>
    </row>
    <row r="298">
      <c r="B298" s="13">
        <f>IF($K298="","",290)</f>
        <v>290</v>
      </c>
      <c r="C298" s="13" t="str">
        <f>IF($K298="","",INDEX('Detalle individual'!$A:$A,$K298))</f>
        <v>651</v>
      </c>
      <c r="D298" s="72" t="str">
        <f>IF($K298="","",TRIM(INDEX('Detalle individual'!$B:$B,$K298)))</f>
        <v>LUIS FERNANDO MORAN GARCIA</v>
      </c>
      <c r="E298" s="72" t="str">
        <f>IF($K298="","",TRIM(INDEX('Detalle individual'!$E:$E,$K298)))</f>
        <v>JEFE MOVIL DE AGENCIAS</v>
      </c>
      <c r="F298" s="72" t="str">
        <f>IF($K298="","",TRIM(INDEX('Detalle individual'!$C:$C,$K298)))</f>
        <v>SUB GERENCIA DE CANALES</v>
      </c>
      <c r="G298" s="72" t="str">
        <f>IF($K298="","",INDEX('Detalle individual'!$D:$D,$K298))</f>
        <v>Gerencia de Negocios</v>
      </c>
      <c r="H298" s="13" t="str">
        <f>IF($K298="","",INDEX('Detalle individual'!$F:$F,$K298))</f>
        <v>Completado</v>
      </c>
      <c r="I298" s="20">
        <f>IF($K298="","",IF(INDEX('Detalle individual'!$F:$F,$K298)="Completado",INDEX('Detalle individual'!$H:$H,$K298),""))</f>
        <v>46309.67240740741</v>
      </c>
      <c r="J298" s="21">
        <f>IF($K298="","",IF(INDEX('Detalle individual'!$F:$F,$K298)="Completado",INDEX('Detalle individual'!$J:$J,$K298),""))</f>
        <v>100</v>
      </c>
      <c r="K298">
        <f>IFERROR(MOD(SMALL(Cálculos!$Z$5:$Z$1000,290),10000),"")</f>
        <v>187</v>
      </c>
    </row>
    <row r="299">
      <c r="B299" s="13">
        <f>IF($K299="","",291)</f>
        <v>291</v>
      </c>
      <c r="C299" s="13" t="str">
        <f>IF($K299="","",INDEX('Detalle individual'!$A:$A,$K299))</f>
        <v>713</v>
      </c>
      <c r="D299" s="72" t="str">
        <f>IF($K299="","",TRIM(INDEX('Detalle individual'!$B:$B,$K299)))</f>
        <v>SANDRA VERONICA ACEVEDO BELTRAN</v>
      </c>
      <c r="E299" s="72" t="str">
        <f>IF($K299="","",TRIM(INDEX('Detalle individual'!$E:$E,$K299)))</f>
        <v>ASISTENTE PARA CORRESPONSALES FINANCIEROS</v>
      </c>
      <c r="F299" s="72" t="str">
        <f>IF($K299="","",TRIM(INDEX('Detalle individual'!$C:$C,$K299)))</f>
        <v>SUB GERENCIA DE CANALES</v>
      </c>
      <c r="G299" s="72" t="str">
        <f>IF($K299="","",INDEX('Detalle individual'!$D:$D,$K299))</f>
        <v>Gerencia de Negocios</v>
      </c>
      <c r="H299" s="13" t="str">
        <f>IF($K299="","",INDEX('Detalle individual'!$F:$F,$K299))</f>
        <v>Completado</v>
      </c>
      <c r="I299" s="20">
        <f>IF($K299="","",IF(INDEX('Detalle individual'!$F:$F,$K299)="Completado",INDEX('Detalle individual'!$H:$H,$K299),""))</f>
        <v>46309.68292824074</v>
      </c>
      <c r="J299" s="21">
        <f>IF($K299="","",IF(INDEX('Detalle individual'!$F:$F,$K299)="Completado",INDEX('Detalle individual'!$J:$J,$K299),""))</f>
        <v>100</v>
      </c>
      <c r="K299">
        <f>IFERROR(MOD(SMALL(Cálculos!$Z$5:$Z$1000,291),10000),"")</f>
        <v>188</v>
      </c>
    </row>
    <row r="300">
      <c r="B300" s="13">
        <f>IF($K300="","",292)</f>
        <v>292</v>
      </c>
      <c r="C300" s="13" t="str">
        <f>IF($K300="","",INDEX('Detalle individual'!$A:$A,$K300))</f>
        <v>854</v>
      </c>
      <c r="D300" s="72" t="str">
        <f>IF($K300="","",TRIM(INDEX('Detalle individual'!$B:$B,$K300)))</f>
        <v>REBECA ABIGAIL VEGA FLORES</v>
      </c>
      <c r="E300" s="72" t="str">
        <f>IF($K300="","",TRIM(INDEX('Detalle individual'!$E:$E,$K300)))</f>
        <v>CAJERO MOVIL</v>
      </c>
      <c r="F300" s="72" t="str">
        <f>IF($K300="","",TRIM(INDEX('Detalle individual'!$C:$C,$K300)))</f>
        <v>SUB GERENCIA DE CANALES</v>
      </c>
      <c r="G300" s="72" t="str">
        <f>IF($K300="","",INDEX('Detalle individual'!$D:$D,$K300))</f>
        <v>Gerencia de Negocios</v>
      </c>
      <c r="H300" s="13" t="str">
        <f>IF($K300="","",INDEX('Detalle individual'!$F:$F,$K300))</f>
        <v>Completado</v>
      </c>
      <c r="I300" s="20">
        <f>IF($K300="","",IF(INDEX('Detalle individual'!$F:$F,$K300)="Completado",INDEX('Detalle individual'!$H:$H,$K300),""))</f>
        <v>46309.67223379629</v>
      </c>
      <c r="J300" s="21">
        <f>IF($K300="","",IF(INDEX('Detalle individual'!$F:$F,$K300)="Completado",INDEX('Detalle individual'!$J:$J,$K300),""))</f>
        <v>100</v>
      </c>
      <c r="K300">
        <f>IFERROR(MOD(SMALL(Cálculos!$Z$5:$Z$1000,292),10000),"")</f>
        <v>189</v>
      </c>
    </row>
    <row r="301">
      <c r="B301" s="13">
        <f>IF($K301="","",293)</f>
        <v>293</v>
      </c>
      <c r="C301" s="13" t="str">
        <f>IF($K301="","",INDEX('Detalle individual'!$A:$A,$K301))</f>
        <v>968</v>
      </c>
      <c r="D301" s="72" t="str">
        <f>IF($K301="","",TRIM(INDEX('Detalle individual'!$B:$B,$K301)))</f>
        <v>SAMUEL ALBERTO SALGUERO RODRIGUEZ</v>
      </c>
      <c r="E301" s="72" t="str">
        <f>IF($K301="","",TRIM(INDEX('Detalle individual'!$E:$E,$K301)))</f>
        <v>CAJERO MOVIL</v>
      </c>
      <c r="F301" s="72" t="str">
        <f>IF($K301="","",TRIM(INDEX('Detalle individual'!$C:$C,$K301)))</f>
        <v>SUB GERENCIA DE CANALES</v>
      </c>
      <c r="G301" s="72" t="str">
        <f>IF($K301="","",INDEX('Detalle individual'!$D:$D,$K301))</f>
        <v>Gerencia de Negocios</v>
      </c>
      <c r="H301" s="13" t="str">
        <f>IF($K301="","",INDEX('Detalle individual'!$F:$F,$K301))</f>
        <v>Completado</v>
      </c>
      <c r="I301" s="20">
        <f>IF($K301="","",IF(INDEX('Detalle individual'!$F:$F,$K301)="Completado",INDEX('Detalle individual'!$H:$H,$K301),""))</f>
        <v>46309.38234953704</v>
      </c>
      <c r="J301" s="21">
        <f>IF($K301="","",IF(INDEX('Detalle individual'!$F:$F,$K301)="Completado",INDEX('Detalle individual'!$J:$J,$K301),""))</f>
        <v>90</v>
      </c>
      <c r="K301">
        <f>IFERROR(MOD(SMALL(Cálculos!$Z$5:$Z$1000,293),10000),"")</f>
        <v>190</v>
      </c>
    </row>
    <row r="302">
      <c r="B302" s="13" t="str">
        <f>IF($K302="","",294)</f>
        <v/>
      </c>
      <c r="C302" s="13" t="str">
        <f>IF($K302="","",INDEX('Detalle individual'!$A:$A,$K302))</f>
        <v/>
      </c>
      <c r="D302" s="72" t="str">
        <f>IF($K302="","",TRIM(INDEX('Detalle individual'!$B:$B,$K302)))</f>
        <v/>
      </c>
      <c r="E302" s="72" t="str">
        <f>IF($K302="","",TRIM(INDEX('Detalle individual'!$E:$E,$K302)))</f>
        <v/>
      </c>
      <c r="F302" s="72" t="str">
        <f>IF($K302="","",TRIM(INDEX('Detalle individual'!$C:$C,$K302)))</f>
        <v/>
      </c>
      <c r="G302" s="72" t="str">
        <f>IF($K302="","",INDEX('Detalle individual'!$D:$D,$K302))</f>
        <v/>
      </c>
      <c r="H302" s="13" t="str">
        <f>IF($K302="","",INDEX('Detalle individual'!$F:$F,$K302))</f>
        <v/>
      </c>
      <c r="I302" s="20" t="str">
        <f>IF($K302="","",IF(INDEX('Detalle individual'!$F:$F,$K302)="Completado",INDEX('Detalle individual'!$H:$H,$K302),""))</f>
        <v/>
      </c>
      <c r="J302" s="21" t="str">
        <f>IF($K302="","",IF(INDEX('Detalle individual'!$F:$F,$K302)="Completado",INDEX('Detalle individual'!$J:$J,$K302),""))</f>
        <v/>
      </c>
      <c r="K302" t="str">
        <f>IFERROR(MOD(SMALL(Cálculos!$Z$5:$Z$1000,294),10000),"")</f>
        <v/>
      </c>
    </row>
    <row r="303">
      <c r="B303" s="13" t="str">
        <f>IF($K303="","",295)</f>
        <v/>
      </c>
      <c r="C303" s="13" t="str">
        <f>IF($K303="","",INDEX('Detalle individual'!$A:$A,$K303))</f>
        <v/>
      </c>
      <c r="D303" s="72" t="str">
        <f>IF($K303="","",TRIM(INDEX('Detalle individual'!$B:$B,$K303)))</f>
        <v/>
      </c>
      <c r="E303" s="72" t="str">
        <f>IF($K303="","",TRIM(INDEX('Detalle individual'!$E:$E,$K303)))</f>
        <v/>
      </c>
      <c r="F303" s="72" t="str">
        <f>IF($K303="","",TRIM(INDEX('Detalle individual'!$C:$C,$K303)))</f>
        <v/>
      </c>
      <c r="G303" s="72" t="str">
        <f>IF($K303="","",INDEX('Detalle individual'!$D:$D,$K303))</f>
        <v/>
      </c>
      <c r="H303" s="13" t="str">
        <f>IF($K303="","",INDEX('Detalle individual'!$F:$F,$K303))</f>
        <v/>
      </c>
      <c r="I303" s="20" t="str">
        <f>IF($K303="","",IF(INDEX('Detalle individual'!$F:$F,$K303)="Completado",INDEX('Detalle individual'!$H:$H,$K303),""))</f>
        <v/>
      </c>
      <c r="J303" s="21" t="str">
        <f>IF($K303="","",IF(INDEX('Detalle individual'!$F:$F,$K303)="Completado",INDEX('Detalle individual'!$J:$J,$K303),""))</f>
        <v/>
      </c>
      <c r="K303" t="str">
        <f>IFERROR(MOD(SMALL(Cálculos!$Z$5:$Z$1000,295),10000),"")</f>
        <v/>
      </c>
    </row>
    <row r="304">
      <c r="B304" s="13" t="str">
        <f>IF($K304="","",296)</f>
        <v/>
      </c>
      <c r="C304" s="13" t="str">
        <f>IF($K304="","",INDEX('Detalle individual'!$A:$A,$K304))</f>
        <v/>
      </c>
      <c r="D304" s="72" t="str">
        <f>IF($K304="","",TRIM(INDEX('Detalle individual'!$B:$B,$K304)))</f>
        <v/>
      </c>
      <c r="E304" s="72" t="str">
        <f>IF($K304="","",TRIM(INDEX('Detalle individual'!$E:$E,$K304)))</f>
        <v/>
      </c>
      <c r="F304" s="72" t="str">
        <f>IF($K304="","",TRIM(INDEX('Detalle individual'!$C:$C,$K304)))</f>
        <v/>
      </c>
      <c r="G304" s="72" t="str">
        <f>IF($K304="","",INDEX('Detalle individual'!$D:$D,$K304))</f>
        <v/>
      </c>
      <c r="H304" s="13" t="str">
        <f>IF($K304="","",INDEX('Detalle individual'!$F:$F,$K304))</f>
        <v/>
      </c>
      <c r="I304" s="20" t="str">
        <f>IF($K304="","",IF(INDEX('Detalle individual'!$F:$F,$K304)="Completado",INDEX('Detalle individual'!$H:$H,$K304),""))</f>
        <v/>
      </c>
      <c r="J304" s="21" t="str">
        <f>IF($K304="","",IF(INDEX('Detalle individual'!$F:$F,$K304)="Completado",INDEX('Detalle individual'!$J:$J,$K304),""))</f>
        <v/>
      </c>
      <c r="K304" t="str">
        <f>IFERROR(MOD(SMALL(Cálculos!$Z$5:$Z$1000,296),10000),"")</f>
        <v/>
      </c>
    </row>
    <row r="305">
      <c r="B305" s="13" t="str">
        <f>IF($K305="","",297)</f>
        <v/>
      </c>
      <c r="C305" s="13" t="str">
        <f>IF($K305="","",INDEX('Detalle individual'!$A:$A,$K305))</f>
        <v/>
      </c>
      <c r="D305" s="72" t="str">
        <f>IF($K305="","",TRIM(INDEX('Detalle individual'!$B:$B,$K305)))</f>
        <v/>
      </c>
      <c r="E305" s="72" t="str">
        <f>IF($K305="","",TRIM(INDEX('Detalle individual'!$E:$E,$K305)))</f>
        <v/>
      </c>
      <c r="F305" s="72" t="str">
        <f>IF($K305="","",TRIM(INDEX('Detalle individual'!$C:$C,$K305)))</f>
        <v/>
      </c>
      <c r="G305" s="72" t="str">
        <f>IF($K305="","",INDEX('Detalle individual'!$D:$D,$K305))</f>
        <v/>
      </c>
      <c r="H305" s="13" t="str">
        <f>IF($K305="","",INDEX('Detalle individual'!$F:$F,$K305))</f>
        <v/>
      </c>
      <c r="I305" s="20" t="str">
        <f>IF($K305="","",IF(INDEX('Detalle individual'!$F:$F,$K305)="Completado",INDEX('Detalle individual'!$H:$H,$K305),""))</f>
        <v/>
      </c>
      <c r="J305" s="21" t="str">
        <f>IF($K305="","",IF(INDEX('Detalle individual'!$F:$F,$K305)="Completado",INDEX('Detalle individual'!$J:$J,$K305),""))</f>
        <v/>
      </c>
      <c r="K305" t="str">
        <f>IFERROR(MOD(SMALL(Cálculos!$Z$5:$Z$1000,297),10000),"")</f>
        <v/>
      </c>
    </row>
    <row r="306">
      <c r="B306" s="13" t="str">
        <f>IF($K306="","",298)</f>
        <v/>
      </c>
      <c r="C306" s="13" t="str">
        <f>IF($K306="","",INDEX('Detalle individual'!$A:$A,$K306))</f>
        <v/>
      </c>
      <c r="D306" s="72" t="str">
        <f>IF($K306="","",TRIM(INDEX('Detalle individual'!$B:$B,$K306)))</f>
        <v/>
      </c>
      <c r="E306" s="72" t="str">
        <f>IF($K306="","",TRIM(INDEX('Detalle individual'!$E:$E,$K306)))</f>
        <v/>
      </c>
      <c r="F306" s="72" t="str">
        <f>IF($K306="","",TRIM(INDEX('Detalle individual'!$C:$C,$K306)))</f>
        <v/>
      </c>
      <c r="G306" s="72" t="str">
        <f>IF($K306="","",INDEX('Detalle individual'!$D:$D,$K306))</f>
        <v/>
      </c>
      <c r="H306" s="13" t="str">
        <f>IF($K306="","",INDEX('Detalle individual'!$F:$F,$K306))</f>
        <v/>
      </c>
      <c r="I306" s="20" t="str">
        <f>IF($K306="","",IF(INDEX('Detalle individual'!$F:$F,$K306)="Completado",INDEX('Detalle individual'!$H:$H,$K306),""))</f>
        <v/>
      </c>
      <c r="J306" s="21" t="str">
        <f>IF($K306="","",IF(INDEX('Detalle individual'!$F:$F,$K306)="Completado",INDEX('Detalle individual'!$J:$J,$K306),""))</f>
        <v/>
      </c>
      <c r="K306" t="str">
        <f>IFERROR(MOD(SMALL(Cálculos!$Z$5:$Z$1000,298),10000),"")</f>
        <v/>
      </c>
    </row>
    <row r="307">
      <c r="B307" s="13" t="str">
        <f>IF($K307="","",299)</f>
        <v/>
      </c>
      <c r="C307" s="13" t="str">
        <f>IF($K307="","",INDEX('Detalle individual'!$A:$A,$K307))</f>
        <v/>
      </c>
      <c r="D307" s="72" t="str">
        <f>IF($K307="","",TRIM(INDEX('Detalle individual'!$B:$B,$K307)))</f>
        <v/>
      </c>
      <c r="E307" s="72" t="str">
        <f>IF($K307="","",TRIM(INDEX('Detalle individual'!$E:$E,$K307)))</f>
        <v/>
      </c>
      <c r="F307" s="72" t="str">
        <f>IF($K307="","",TRIM(INDEX('Detalle individual'!$C:$C,$K307)))</f>
        <v/>
      </c>
      <c r="G307" s="72" t="str">
        <f>IF($K307="","",INDEX('Detalle individual'!$D:$D,$K307))</f>
        <v/>
      </c>
      <c r="H307" s="13" t="str">
        <f>IF($K307="","",INDEX('Detalle individual'!$F:$F,$K307))</f>
        <v/>
      </c>
      <c r="I307" s="20" t="str">
        <f>IF($K307="","",IF(INDEX('Detalle individual'!$F:$F,$K307)="Completado",INDEX('Detalle individual'!$H:$H,$K307),""))</f>
        <v/>
      </c>
      <c r="J307" s="21" t="str">
        <f>IF($K307="","",IF(INDEX('Detalle individual'!$F:$F,$K307)="Completado",INDEX('Detalle individual'!$J:$J,$K307),""))</f>
        <v/>
      </c>
      <c r="K307" t="str">
        <f>IFERROR(MOD(SMALL(Cálculos!$Z$5:$Z$1000,299),10000),"")</f>
        <v/>
      </c>
    </row>
    <row r="308">
      <c r="B308" s="13" t="str">
        <f>IF($K308="","",300)</f>
        <v/>
      </c>
      <c r="C308" s="13" t="str">
        <f>IF($K308="","",INDEX('Detalle individual'!$A:$A,$K308))</f>
        <v/>
      </c>
      <c r="D308" s="72" t="str">
        <f>IF($K308="","",TRIM(INDEX('Detalle individual'!$B:$B,$K308)))</f>
        <v/>
      </c>
      <c r="E308" s="72" t="str">
        <f>IF($K308="","",TRIM(INDEX('Detalle individual'!$E:$E,$K308)))</f>
        <v/>
      </c>
      <c r="F308" s="72" t="str">
        <f>IF($K308="","",TRIM(INDEX('Detalle individual'!$C:$C,$K308)))</f>
        <v/>
      </c>
      <c r="G308" s="72" t="str">
        <f>IF($K308="","",INDEX('Detalle individual'!$D:$D,$K308))</f>
        <v/>
      </c>
      <c r="H308" s="13" t="str">
        <f>IF($K308="","",INDEX('Detalle individual'!$F:$F,$K308))</f>
        <v/>
      </c>
      <c r="I308" s="20" t="str">
        <f>IF($K308="","",IF(INDEX('Detalle individual'!$F:$F,$K308)="Completado",INDEX('Detalle individual'!$H:$H,$K308),""))</f>
        <v/>
      </c>
      <c r="J308" s="21" t="str">
        <f>IF($K308="","",IF(INDEX('Detalle individual'!$F:$F,$K308)="Completado",INDEX('Detalle individual'!$J:$J,$K308),""))</f>
        <v/>
      </c>
      <c r="K308" t="str">
        <f>IFERROR(MOD(SMALL(Cálculos!$Z$5:$Z$1000,300),10000),"")</f>
        <v/>
      </c>
    </row>
    <row r="309">
      <c r="B309" s="13" t="str">
        <f>IF($K309="","",301)</f>
        <v/>
      </c>
      <c r="C309" s="13" t="str">
        <f>IF($K309="","",INDEX('Detalle individual'!$A:$A,$K309))</f>
        <v/>
      </c>
      <c r="D309" s="72" t="str">
        <f>IF($K309="","",TRIM(INDEX('Detalle individual'!$B:$B,$K309)))</f>
        <v/>
      </c>
      <c r="E309" s="72" t="str">
        <f>IF($K309="","",TRIM(INDEX('Detalle individual'!$E:$E,$K309)))</f>
        <v/>
      </c>
      <c r="F309" s="72" t="str">
        <f>IF($K309="","",TRIM(INDEX('Detalle individual'!$C:$C,$K309)))</f>
        <v/>
      </c>
      <c r="G309" s="72" t="str">
        <f>IF($K309="","",INDEX('Detalle individual'!$D:$D,$K309))</f>
        <v/>
      </c>
      <c r="H309" s="13" t="str">
        <f>IF($K309="","",INDEX('Detalle individual'!$F:$F,$K309))</f>
        <v/>
      </c>
      <c r="I309" s="20" t="str">
        <f>IF($K309="","",IF(INDEX('Detalle individual'!$F:$F,$K309)="Completado",INDEX('Detalle individual'!$H:$H,$K309),""))</f>
        <v/>
      </c>
      <c r="J309" s="21" t="str">
        <f>IF($K309="","",IF(INDEX('Detalle individual'!$F:$F,$K309)="Completado",INDEX('Detalle individual'!$J:$J,$K309),""))</f>
        <v/>
      </c>
      <c r="K309" t="str">
        <f>IFERROR(MOD(SMALL(Cálculos!$Z$5:$Z$1000,301),10000),"")</f>
        <v/>
      </c>
    </row>
    <row r="310">
      <c r="B310" s="13" t="str">
        <f>IF($K310="","",302)</f>
        <v/>
      </c>
      <c r="C310" s="13" t="str">
        <f>IF($K310="","",INDEX('Detalle individual'!$A:$A,$K310))</f>
        <v/>
      </c>
      <c r="D310" s="72" t="str">
        <f>IF($K310="","",TRIM(INDEX('Detalle individual'!$B:$B,$K310)))</f>
        <v/>
      </c>
      <c r="E310" s="72" t="str">
        <f>IF($K310="","",TRIM(INDEX('Detalle individual'!$E:$E,$K310)))</f>
        <v/>
      </c>
      <c r="F310" s="72" t="str">
        <f>IF($K310="","",TRIM(INDEX('Detalle individual'!$C:$C,$K310)))</f>
        <v/>
      </c>
      <c r="G310" s="72" t="str">
        <f>IF($K310="","",INDEX('Detalle individual'!$D:$D,$K310))</f>
        <v/>
      </c>
      <c r="H310" s="13" t="str">
        <f>IF($K310="","",INDEX('Detalle individual'!$F:$F,$K310))</f>
        <v/>
      </c>
      <c r="I310" s="20" t="str">
        <f>IF($K310="","",IF(INDEX('Detalle individual'!$F:$F,$K310)="Completado",INDEX('Detalle individual'!$H:$H,$K310),""))</f>
        <v/>
      </c>
      <c r="J310" s="21" t="str">
        <f>IF($K310="","",IF(INDEX('Detalle individual'!$F:$F,$K310)="Completado",INDEX('Detalle individual'!$J:$J,$K310),""))</f>
        <v/>
      </c>
      <c r="K310" t="str">
        <f>IFERROR(MOD(SMALL(Cálculos!$Z$5:$Z$1000,302),10000),"")</f>
        <v/>
      </c>
    </row>
    <row r="311">
      <c r="B311" s="13" t="str">
        <f>IF($K311="","",303)</f>
        <v/>
      </c>
      <c r="C311" s="13" t="str">
        <f>IF($K311="","",INDEX('Detalle individual'!$A:$A,$K311))</f>
        <v/>
      </c>
      <c r="D311" s="72" t="str">
        <f>IF($K311="","",TRIM(INDEX('Detalle individual'!$B:$B,$K311)))</f>
        <v/>
      </c>
      <c r="E311" s="72" t="str">
        <f>IF($K311="","",TRIM(INDEX('Detalle individual'!$E:$E,$K311)))</f>
        <v/>
      </c>
      <c r="F311" s="72" t="str">
        <f>IF($K311="","",TRIM(INDEX('Detalle individual'!$C:$C,$K311)))</f>
        <v/>
      </c>
      <c r="G311" s="72" t="str">
        <f>IF($K311="","",INDEX('Detalle individual'!$D:$D,$K311))</f>
        <v/>
      </c>
      <c r="H311" s="13" t="str">
        <f>IF($K311="","",INDEX('Detalle individual'!$F:$F,$K311))</f>
        <v/>
      </c>
      <c r="I311" s="20" t="str">
        <f>IF($K311="","",IF(INDEX('Detalle individual'!$F:$F,$K311)="Completado",INDEX('Detalle individual'!$H:$H,$K311),""))</f>
        <v/>
      </c>
      <c r="J311" s="21" t="str">
        <f>IF($K311="","",IF(INDEX('Detalle individual'!$F:$F,$K311)="Completado",INDEX('Detalle individual'!$J:$J,$K311),""))</f>
        <v/>
      </c>
      <c r="K311" t="str">
        <f>IFERROR(MOD(SMALL(Cálculos!$Z$5:$Z$1000,303),10000),"")</f>
        <v/>
      </c>
    </row>
    <row r="312">
      <c r="B312" s="13" t="str">
        <f>IF($K312="","",304)</f>
        <v/>
      </c>
      <c r="C312" s="13" t="str">
        <f>IF($K312="","",INDEX('Detalle individual'!$A:$A,$K312))</f>
        <v/>
      </c>
      <c r="D312" s="72" t="str">
        <f>IF($K312="","",TRIM(INDEX('Detalle individual'!$B:$B,$K312)))</f>
        <v/>
      </c>
      <c r="E312" s="72" t="str">
        <f>IF($K312="","",TRIM(INDEX('Detalle individual'!$E:$E,$K312)))</f>
        <v/>
      </c>
      <c r="F312" s="72" t="str">
        <f>IF($K312="","",TRIM(INDEX('Detalle individual'!$C:$C,$K312)))</f>
        <v/>
      </c>
      <c r="G312" s="72" t="str">
        <f>IF($K312="","",INDEX('Detalle individual'!$D:$D,$K312))</f>
        <v/>
      </c>
      <c r="H312" s="13" t="str">
        <f>IF($K312="","",INDEX('Detalle individual'!$F:$F,$K312))</f>
        <v/>
      </c>
      <c r="I312" s="20" t="str">
        <f>IF($K312="","",IF(INDEX('Detalle individual'!$F:$F,$K312)="Completado",INDEX('Detalle individual'!$H:$H,$K312),""))</f>
        <v/>
      </c>
      <c r="J312" s="21" t="str">
        <f>IF($K312="","",IF(INDEX('Detalle individual'!$F:$F,$K312)="Completado",INDEX('Detalle individual'!$J:$J,$K312),""))</f>
        <v/>
      </c>
      <c r="K312" t="str">
        <f>IFERROR(MOD(SMALL(Cálculos!$Z$5:$Z$1000,304),10000),"")</f>
        <v/>
      </c>
    </row>
    <row r="313">
      <c r="B313" s="13" t="str">
        <f>IF($K313="","",305)</f>
        <v/>
      </c>
      <c r="C313" s="13" t="str">
        <f>IF($K313="","",INDEX('Detalle individual'!$A:$A,$K313))</f>
        <v/>
      </c>
      <c r="D313" s="72" t="str">
        <f>IF($K313="","",TRIM(INDEX('Detalle individual'!$B:$B,$K313)))</f>
        <v/>
      </c>
      <c r="E313" s="72" t="str">
        <f>IF($K313="","",TRIM(INDEX('Detalle individual'!$E:$E,$K313)))</f>
        <v/>
      </c>
      <c r="F313" s="72" t="str">
        <f>IF($K313="","",TRIM(INDEX('Detalle individual'!$C:$C,$K313)))</f>
        <v/>
      </c>
      <c r="G313" s="72" t="str">
        <f>IF($K313="","",INDEX('Detalle individual'!$D:$D,$K313))</f>
        <v/>
      </c>
      <c r="H313" s="13" t="str">
        <f>IF($K313="","",INDEX('Detalle individual'!$F:$F,$K313))</f>
        <v/>
      </c>
      <c r="I313" s="20" t="str">
        <f>IF($K313="","",IF(INDEX('Detalle individual'!$F:$F,$K313)="Completado",INDEX('Detalle individual'!$H:$H,$K313),""))</f>
        <v/>
      </c>
      <c r="J313" s="21" t="str">
        <f>IF($K313="","",IF(INDEX('Detalle individual'!$F:$F,$K313)="Completado",INDEX('Detalle individual'!$J:$J,$K313),""))</f>
        <v/>
      </c>
      <c r="K313" t="str">
        <f>IFERROR(MOD(SMALL(Cálculos!$Z$5:$Z$1000,305),10000),"")</f>
        <v/>
      </c>
    </row>
    <row r="314">
      <c r="B314" s="13" t="str">
        <f>IF($K314="","",306)</f>
        <v/>
      </c>
      <c r="C314" s="13" t="str">
        <f>IF($K314="","",INDEX('Detalle individual'!$A:$A,$K314))</f>
        <v/>
      </c>
      <c r="D314" s="72" t="str">
        <f>IF($K314="","",TRIM(INDEX('Detalle individual'!$B:$B,$K314)))</f>
        <v/>
      </c>
      <c r="E314" s="72" t="str">
        <f>IF($K314="","",TRIM(INDEX('Detalle individual'!$E:$E,$K314)))</f>
        <v/>
      </c>
      <c r="F314" s="72" t="str">
        <f>IF($K314="","",TRIM(INDEX('Detalle individual'!$C:$C,$K314)))</f>
        <v/>
      </c>
      <c r="G314" s="72" t="str">
        <f>IF($K314="","",INDEX('Detalle individual'!$D:$D,$K314))</f>
        <v/>
      </c>
      <c r="H314" s="13" t="str">
        <f>IF($K314="","",INDEX('Detalle individual'!$F:$F,$K314))</f>
        <v/>
      </c>
      <c r="I314" s="20" t="str">
        <f>IF($K314="","",IF(INDEX('Detalle individual'!$F:$F,$K314)="Completado",INDEX('Detalle individual'!$H:$H,$K314),""))</f>
        <v/>
      </c>
      <c r="J314" s="21" t="str">
        <f>IF($K314="","",IF(INDEX('Detalle individual'!$F:$F,$K314)="Completado",INDEX('Detalle individual'!$J:$J,$K314),""))</f>
        <v/>
      </c>
      <c r="K314" t="str">
        <f>IFERROR(MOD(SMALL(Cálculos!$Z$5:$Z$1000,306),10000),"")</f>
        <v/>
      </c>
    </row>
    <row r="315">
      <c r="B315" s="13" t="str">
        <f>IF($K315="","",307)</f>
        <v/>
      </c>
      <c r="C315" s="13" t="str">
        <f>IF($K315="","",INDEX('Detalle individual'!$A:$A,$K315))</f>
        <v/>
      </c>
      <c r="D315" s="72" t="str">
        <f>IF($K315="","",TRIM(INDEX('Detalle individual'!$B:$B,$K315)))</f>
        <v/>
      </c>
      <c r="E315" s="72" t="str">
        <f>IF($K315="","",TRIM(INDEX('Detalle individual'!$E:$E,$K315)))</f>
        <v/>
      </c>
      <c r="F315" s="72" t="str">
        <f>IF($K315="","",TRIM(INDEX('Detalle individual'!$C:$C,$K315)))</f>
        <v/>
      </c>
      <c r="G315" s="72" t="str">
        <f>IF($K315="","",INDEX('Detalle individual'!$D:$D,$K315))</f>
        <v/>
      </c>
      <c r="H315" s="13" t="str">
        <f>IF($K315="","",INDEX('Detalle individual'!$F:$F,$K315))</f>
        <v/>
      </c>
      <c r="I315" s="20" t="str">
        <f>IF($K315="","",IF(INDEX('Detalle individual'!$F:$F,$K315)="Completado",INDEX('Detalle individual'!$H:$H,$K315),""))</f>
        <v/>
      </c>
      <c r="J315" s="21" t="str">
        <f>IF($K315="","",IF(INDEX('Detalle individual'!$F:$F,$K315)="Completado",INDEX('Detalle individual'!$J:$J,$K315),""))</f>
        <v/>
      </c>
      <c r="K315" t="str">
        <f>IFERROR(MOD(SMALL(Cálculos!$Z$5:$Z$1000,307),10000),"")</f>
        <v/>
      </c>
    </row>
    <row r="316">
      <c r="B316" s="13" t="str">
        <f>IF($K316="","",308)</f>
        <v/>
      </c>
      <c r="C316" s="13" t="str">
        <f>IF($K316="","",INDEX('Detalle individual'!$A:$A,$K316))</f>
        <v/>
      </c>
      <c r="D316" s="72" t="str">
        <f>IF($K316="","",TRIM(INDEX('Detalle individual'!$B:$B,$K316)))</f>
        <v/>
      </c>
      <c r="E316" s="72" t="str">
        <f>IF($K316="","",TRIM(INDEX('Detalle individual'!$E:$E,$K316)))</f>
        <v/>
      </c>
      <c r="F316" s="72" t="str">
        <f>IF($K316="","",TRIM(INDEX('Detalle individual'!$C:$C,$K316)))</f>
        <v/>
      </c>
      <c r="G316" s="72" t="str">
        <f>IF($K316="","",INDEX('Detalle individual'!$D:$D,$K316))</f>
        <v/>
      </c>
      <c r="H316" s="13" t="str">
        <f>IF($K316="","",INDEX('Detalle individual'!$F:$F,$K316))</f>
        <v/>
      </c>
      <c r="I316" s="20" t="str">
        <f>IF($K316="","",IF(INDEX('Detalle individual'!$F:$F,$K316)="Completado",INDEX('Detalle individual'!$H:$H,$K316),""))</f>
        <v/>
      </c>
      <c r="J316" s="21" t="str">
        <f>IF($K316="","",IF(INDEX('Detalle individual'!$F:$F,$K316)="Completado",INDEX('Detalle individual'!$J:$J,$K316),""))</f>
        <v/>
      </c>
      <c r="K316" t="str">
        <f>IFERROR(MOD(SMALL(Cálculos!$Z$5:$Z$1000,308),10000),"")</f>
        <v/>
      </c>
    </row>
    <row r="317">
      <c r="B317" s="13" t="str">
        <f>IF($K317="","",309)</f>
        <v/>
      </c>
      <c r="C317" s="13" t="str">
        <f>IF($K317="","",INDEX('Detalle individual'!$A:$A,$K317))</f>
        <v/>
      </c>
      <c r="D317" s="72" t="str">
        <f>IF($K317="","",TRIM(INDEX('Detalle individual'!$B:$B,$K317)))</f>
        <v/>
      </c>
      <c r="E317" s="72" t="str">
        <f>IF($K317="","",TRIM(INDEX('Detalle individual'!$E:$E,$K317)))</f>
        <v/>
      </c>
      <c r="F317" s="72" t="str">
        <f>IF($K317="","",TRIM(INDEX('Detalle individual'!$C:$C,$K317)))</f>
        <v/>
      </c>
      <c r="G317" s="72" t="str">
        <f>IF($K317="","",INDEX('Detalle individual'!$D:$D,$K317))</f>
        <v/>
      </c>
      <c r="H317" s="13" t="str">
        <f>IF($K317="","",INDEX('Detalle individual'!$F:$F,$K317))</f>
        <v/>
      </c>
      <c r="I317" s="20" t="str">
        <f>IF($K317="","",IF(INDEX('Detalle individual'!$F:$F,$K317)="Completado",INDEX('Detalle individual'!$H:$H,$K317),""))</f>
        <v/>
      </c>
      <c r="J317" s="21" t="str">
        <f>IF($K317="","",IF(INDEX('Detalle individual'!$F:$F,$K317)="Completado",INDEX('Detalle individual'!$J:$J,$K317),""))</f>
        <v/>
      </c>
      <c r="K317" t="str">
        <f>IFERROR(MOD(SMALL(Cálculos!$Z$5:$Z$1000,309),10000),"")</f>
        <v/>
      </c>
    </row>
    <row r="318">
      <c r="B318" s="13" t="str">
        <f>IF($K318="","",310)</f>
        <v/>
      </c>
      <c r="C318" s="13" t="str">
        <f>IF($K318="","",INDEX('Detalle individual'!$A:$A,$K318))</f>
        <v/>
      </c>
      <c r="D318" s="72" t="str">
        <f>IF($K318="","",TRIM(INDEX('Detalle individual'!$B:$B,$K318)))</f>
        <v/>
      </c>
      <c r="E318" s="72" t="str">
        <f>IF($K318="","",TRIM(INDEX('Detalle individual'!$E:$E,$K318)))</f>
        <v/>
      </c>
      <c r="F318" s="72" t="str">
        <f>IF($K318="","",TRIM(INDEX('Detalle individual'!$C:$C,$K318)))</f>
        <v/>
      </c>
      <c r="G318" s="72" t="str">
        <f>IF($K318="","",INDEX('Detalle individual'!$D:$D,$K318))</f>
        <v/>
      </c>
      <c r="H318" s="13" t="str">
        <f>IF($K318="","",INDEX('Detalle individual'!$F:$F,$K318))</f>
        <v/>
      </c>
      <c r="I318" s="20" t="str">
        <f>IF($K318="","",IF(INDEX('Detalle individual'!$F:$F,$K318)="Completado",INDEX('Detalle individual'!$H:$H,$K318),""))</f>
        <v/>
      </c>
      <c r="J318" s="21" t="str">
        <f>IF($K318="","",IF(INDEX('Detalle individual'!$F:$F,$K318)="Completado",INDEX('Detalle individual'!$J:$J,$K318),""))</f>
        <v/>
      </c>
      <c r="K318" t="str">
        <f>IFERROR(MOD(SMALL(Cálculos!$Z$5:$Z$1000,310),10000),"")</f>
        <v/>
      </c>
    </row>
    <row r="319">
      <c r="B319" s="13" t="str">
        <f>IF($K319="","",311)</f>
        <v/>
      </c>
      <c r="C319" s="13" t="str">
        <f>IF($K319="","",INDEX('Detalle individual'!$A:$A,$K319))</f>
        <v/>
      </c>
      <c r="D319" s="72" t="str">
        <f>IF($K319="","",TRIM(INDEX('Detalle individual'!$B:$B,$K319)))</f>
        <v/>
      </c>
      <c r="E319" s="72" t="str">
        <f>IF($K319="","",TRIM(INDEX('Detalle individual'!$E:$E,$K319)))</f>
        <v/>
      </c>
      <c r="F319" s="72" t="str">
        <f>IF($K319="","",TRIM(INDEX('Detalle individual'!$C:$C,$K319)))</f>
        <v/>
      </c>
      <c r="G319" s="72" t="str">
        <f>IF($K319="","",INDEX('Detalle individual'!$D:$D,$K319))</f>
        <v/>
      </c>
      <c r="H319" s="13" t="str">
        <f>IF($K319="","",INDEX('Detalle individual'!$F:$F,$K319))</f>
        <v/>
      </c>
      <c r="I319" s="20" t="str">
        <f>IF($K319="","",IF(INDEX('Detalle individual'!$F:$F,$K319)="Completado",INDEX('Detalle individual'!$H:$H,$K319),""))</f>
        <v/>
      </c>
      <c r="J319" s="21" t="str">
        <f>IF($K319="","",IF(INDEX('Detalle individual'!$F:$F,$K319)="Completado",INDEX('Detalle individual'!$J:$J,$K319),""))</f>
        <v/>
      </c>
      <c r="K319" t="str">
        <f>IFERROR(MOD(SMALL(Cálculos!$Z$5:$Z$1000,311),10000),"")</f>
        <v/>
      </c>
    </row>
    <row r="320">
      <c r="B320" s="13" t="str">
        <f>IF($K320="","",312)</f>
        <v/>
      </c>
      <c r="C320" s="13" t="str">
        <f>IF($K320="","",INDEX('Detalle individual'!$A:$A,$K320))</f>
        <v/>
      </c>
      <c r="D320" s="72" t="str">
        <f>IF($K320="","",TRIM(INDEX('Detalle individual'!$B:$B,$K320)))</f>
        <v/>
      </c>
      <c r="E320" s="72" t="str">
        <f>IF($K320="","",TRIM(INDEX('Detalle individual'!$E:$E,$K320)))</f>
        <v/>
      </c>
      <c r="F320" s="72" t="str">
        <f>IF($K320="","",TRIM(INDEX('Detalle individual'!$C:$C,$K320)))</f>
        <v/>
      </c>
      <c r="G320" s="72" t="str">
        <f>IF($K320="","",INDEX('Detalle individual'!$D:$D,$K320))</f>
        <v/>
      </c>
      <c r="H320" s="13" t="str">
        <f>IF($K320="","",INDEX('Detalle individual'!$F:$F,$K320))</f>
        <v/>
      </c>
      <c r="I320" s="20" t="str">
        <f>IF($K320="","",IF(INDEX('Detalle individual'!$F:$F,$K320)="Completado",INDEX('Detalle individual'!$H:$H,$K320),""))</f>
        <v/>
      </c>
      <c r="J320" s="21" t="str">
        <f>IF($K320="","",IF(INDEX('Detalle individual'!$F:$F,$K320)="Completado",INDEX('Detalle individual'!$J:$J,$K320),""))</f>
        <v/>
      </c>
      <c r="K320" t="str">
        <f>IFERROR(MOD(SMALL(Cálculos!$Z$5:$Z$1000,312),10000),"")</f>
        <v/>
      </c>
    </row>
    <row r="321">
      <c r="B321" s="13" t="str">
        <f>IF($K321="","",313)</f>
        <v/>
      </c>
      <c r="C321" s="13" t="str">
        <f>IF($K321="","",INDEX('Detalle individual'!$A:$A,$K321))</f>
        <v/>
      </c>
      <c r="D321" s="72" t="str">
        <f>IF($K321="","",TRIM(INDEX('Detalle individual'!$B:$B,$K321)))</f>
        <v/>
      </c>
      <c r="E321" s="72" t="str">
        <f>IF($K321="","",TRIM(INDEX('Detalle individual'!$E:$E,$K321)))</f>
        <v/>
      </c>
      <c r="F321" s="72" t="str">
        <f>IF($K321="","",TRIM(INDEX('Detalle individual'!$C:$C,$K321)))</f>
        <v/>
      </c>
      <c r="G321" s="72" t="str">
        <f>IF($K321="","",INDEX('Detalle individual'!$D:$D,$K321))</f>
        <v/>
      </c>
      <c r="H321" s="13" t="str">
        <f>IF($K321="","",INDEX('Detalle individual'!$F:$F,$K321))</f>
        <v/>
      </c>
      <c r="I321" s="20" t="str">
        <f>IF($K321="","",IF(INDEX('Detalle individual'!$F:$F,$K321)="Completado",INDEX('Detalle individual'!$H:$H,$K321),""))</f>
        <v/>
      </c>
      <c r="J321" s="21" t="str">
        <f>IF($K321="","",IF(INDEX('Detalle individual'!$F:$F,$K321)="Completado",INDEX('Detalle individual'!$J:$J,$K321),""))</f>
        <v/>
      </c>
      <c r="K321" t="str">
        <f>IFERROR(MOD(SMALL(Cálculos!$Z$5:$Z$1000,313),10000),"")</f>
        <v/>
      </c>
    </row>
    <row r="322">
      <c r="B322" s="13" t="str">
        <f>IF($K322="","",314)</f>
        <v/>
      </c>
      <c r="C322" s="13" t="str">
        <f>IF($K322="","",INDEX('Detalle individual'!$A:$A,$K322))</f>
        <v/>
      </c>
      <c r="D322" s="72" t="str">
        <f>IF($K322="","",TRIM(INDEX('Detalle individual'!$B:$B,$K322)))</f>
        <v/>
      </c>
      <c r="E322" s="72" t="str">
        <f>IF($K322="","",TRIM(INDEX('Detalle individual'!$E:$E,$K322)))</f>
        <v/>
      </c>
      <c r="F322" s="72" t="str">
        <f>IF($K322="","",TRIM(INDEX('Detalle individual'!$C:$C,$K322)))</f>
        <v/>
      </c>
      <c r="G322" s="72" t="str">
        <f>IF($K322="","",INDEX('Detalle individual'!$D:$D,$K322))</f>
        <v/>
      </c>
      <c r="H322" s="13" t="str">
        <f>IF($K322="","",INDEX('Detalle individual'!$F:$F,$K322))</f>
        <v/>
      </c>
      <c r="I322" s="20" t="str">
        <f>IF($K322="","",IF(INDEX('Detalle individual'!$F:$F,$K322)="Completado",INDEX('Detalle individual'!$H:$H,$K322),""))</f>
        <v/>
      </c>
      <c r="J322" s="21" t="str">
        <f>IF($K322="","",IF(INDEX('Detalle individual'!$F:$F,$K322)="Completado",INDEX('Detalle individual'!$J:$J,$K322),""))</f>
        <v/>
      </c>
      <c r="K322" t="str">
        <f>IFERROR(MOD(SMALL(Cálculos!$Z$5:$Z$1000,314),10000),"")</f>
        <v/>
      </c>
    </row>
    <row r="323">
      <c r="B323" s="13" t="str">
        <f>IF($K323="","",315)</f>
        <v/>
      </c>
      <c r="C323" s="13" t="str">
        <f>IF($K323="","",INDEX('Detalle individual'!$A:$A,$K323))</f>
        <v/>
      </c>
      <c r="D323" s="72" t="str">
        <f>IF($K323="","",TRIM(INDEX('Detalle individual'!$B:$B,$K323)))</f>
        <v/>
      </c>
      <c r="E323" s="72" t="str">
        <f>IF($K323="","",TRIM(INDEX('Detalle individual'!$E:$E,$K323)))</f>
        <v/>
      </c>
      <c r="F323" s="72" t="str">
        <f>IF($K323="","",TRIM(INDEX('Detalle individual'!$C:$C,$K323)))</f>
        <v/>
      </c>
      <c r="G323" s="72" t="str">
        <f>IF($K323="","",INDEX('Detalle individual'!$D:$D,$K323))</f>
        <v/>
      </c>
      <c r="H323" s="13" t="str">
        <f>IF($K323="","",INDEX('Detalle individual'!$F:$F,$K323))</f>
        <v/>
      </c>
      <c r="I323" s="20" t="str">
        <f>IF($K323="","",IF(INDEX('Detalle individual'!$F:$F,$K323)="Completado",INDEX('Detalle individual'!$H:$H,$K323),""))</f>
        <v/>
      </c>
      <c r="J323" s="21" t="str">
        <f>IF($K323="","",IF(INDEX('Detalle individual'!$F:$F,$K323)="Completado",INDEX('Detalle individual'!$J:$J,$K323),""))</f>
        <v/>
      </c>
      <c r="K323" t="str">
        <f>IFERROR(MOD(SMALL(Cálculos!$Z$5:$Z$1000,315),10000),"")</f>
        <v/>
      </c>
    </row>
    <row r="324">
      <c r="B324" s="13" t="str">
        <f>IF($K324="","",316)</f>
        <v/>
      </c>
      <c r="C324" s="13" t="str">
        <f>IF($K324="","",INDEX('Detalle individual'!$A:$A,$K324))</f>
        <v/>
      </c>
      <c r="D324" s="72" t="str">
        <f>IF($K324="","",TRIM(INDEX('Detalle individual'!$B:$B,$K324)))</f>
        <v/>
      </c>
      <c r="E324" s="72" t="str">
        <f>IF($K324="","",TRIM(INDEX('Detalle individual'!$E:$E,$K324)))</f>
        <v/>
      </c>
      <c r="F324" s="72" t="str">
        <f>IF($K324="","",TRIM(INDEX('Detalle individual'!$C:$C,$K324)))</f>
        <v/>
      </c>
      <c r="G324" s="72" t="str">
        <f>IF($K324="","",INDEX('Detalle individual'!$D:$D,$K324))</f>
        <v/>
      </c>
      <c r="H324" s="13" t="str">
        <f>IF($K324="","",INDEX('Detalle individual'!$F:$F,$K324))</f>
        <v/>
      </c>
      <c r="I324" s="20" t="str">
        <f>IF($K324="","",IF(INDEX('Detalle individual'!$F:$F,$K324)="Completado",INDEX('Detalle individual'!$H:$H,$K324),""))</f>
        <v/>
      </c>
      <c r="J324" s="21" t="str">
        <f>IF($K324="","",IF(INDEX('Detalle individual'!$F:$F,$K324)="Completado",INDEX('Detalle individual'!$J:$J,$K324),""))</f>
        <v/>
      </c>
      <c r="K324" t="str">
        <f>IFERROR(MOD(SMALL(Cálculos!$Z$5:$Z$1000,316),10000),"")</f>
        <v/>
      </c>
    </row>
    <row r="325">
      <c r="B325" s="13" t="str">
        <f>IF($K325="","",317)</f>
        <v/>
      </c>
      <c r="C325" s="13" t="str">
        <f>IF($K325="","",INDEX('Detalle individual'!$A:$A,$K325))</f>
        <v/>
      </c>
      <c r="D325" s="72" t="str">
        <f>IF($K325="","",TRIM(INDEX('Detalle individual'!$B:$B,$K325)))</f>
        <v/>
      </c>
      <c r="E325" s="72" t="str">
        <f>IF($K325="","",TRIM(INDEX('Detalle individual'!$E:$E,$K325)))</f>
        <v/>
      </c>
      <c r="F325" s="72" t="str">
        <f>IF($K325="","",TRIM(INDEX('Detalle individual'!$C:$C,$K325)))</f>
        <v/>
      </c>
      <c r="G325" s="72" t="str">
        <f>IF($K325="","",INDEX('Detalle individual'!$D:$D,$K325))</f>
        <v/>
      </c>
      <c r="H325" s="13" t="str">
        <f>IF($K325="","",INDEX('Detalle individual'!$F:$F,$K325))</f>
        <v/>
      </c>
      <c r="I325" s="20" t="str">
        <f>IF($K325="","",IF(INDEX('Detalle individual'!$F:$F,$K325)="Completado",INDEX('Detalle individual'!$H:$H,$K325),""))</f>
        <v/>
      </c>
      <c r="J325" s="21" t="str">
        <f>IF($K325="","",IF(INDEX('Detalle individual'!$F:$F,$K325)="Completado",INDEX('Detalle individual'!$J:$J,$K325),""))</f>
        <v/>
      </c>
      <c r="K325" t="str">
        <f>IFERROR(MOD(SMALL(Cálculos!$Z$5:$Z$1000,317),10000),"")</f>
        <v/>
      </c>
    </row>
    <row r="326">
      <c r="B326" s="13" t="str">
        <f>IF($K326="","",318)</f>
        <v/>
      </c>
      <c r="C326" s="13" t="str">
        <f>IF($K326="","",INDEX('Detalle individual'!$A:$A,$K326))</f>
        <v/>
      </c>
      <c r="D326" s="72" t="str">
        <f>IF($K326="","",TRIM(INDEX('Detalle individual'!$B:$B,$K326)))</f>
        <v/>
      </c>
      <c r="E326" s="72" t="str">
        <f>IF($K326="","",TRIM(INDEX('Detalle individual'!$E:$E,$K326)))</f>
        <v/>
      </c>
      <c r="F326" s="72" t="str">
        <f>IF($K326="","",TRIM(INDEX('Detalle individual'!$C:$C,$K326)))</f>
        <v/>
      </c>
      <c r="G326" s="72" t="str">
        <f>IF($K326="","",INDEX('Detalle individual'!$D:$D,$K326))</f>
        <v/>
      </c>
      <c r="H326" s="13" t="str">
        <f>IF($K326="","",INDEX('Detalle individual'!$F:$F,$K326))</f>
        <v/>
      </c>
      <c r="I326" s="20" t="str">
        <f>IF($K326="","",IF(INDEX('Detalle individual'!$F:$F,$K326)="Completado",INDEX('Detalle individual'!$H:$H,$K326),""))</f>
        <v/>
      </c>
      <c r="J326" s="21" t="str">
        <f>IF($K326="","",IF(INDEX('Detalle individual'!$F:$F,$K326)="Completado",INDEX('Detalle individual'!$J:$J,$K326),""))</f>
        <v/>
      </c>
      <c r="K326" t="str">
        <f>IFERROR(MOD(SMALL(Cálculos!$Z$5:$Z$1000,318),10000),"")</f>
        <v/>
      </c>
    </row>
    <row r="327">
      <c r="B327" s="13" t="str">
        <f>IF($K327="","",319)</f>
        <v/>
      </c>
      <c r="C327" s="13" t="str">
        <f>IF($K327="","",INDEX('Detalle individual'!$A:$A,$K327))</f>
        <v/>
      </c>
      <c r="D327" s="72" t="str">
        <f>IF($K327="","",TRIM(INDEX('Detalle individual'!$B:$B,$K327)))</f>
        <v/>
      </c>
      <c r="E327" s="72" t="str">
        <f>IF($K327="","",TRIM(INDEX('Detalle individual'!$E:$E,$K327)))</f>
        <v/>
      </c>
      <c r="F327" s="72" t="str">
        <f>IF($K327="","",TRIM(INDEX('Detalle individual'!$C:$C,$K327)))</f>
        <v/>
      </c>
      <c r="G327" s="72" t="str">
        <f>IF($K327="","",INDEX('Detalle individual'!$D:$D,$K327))</f>
        <v/>
      </c>
      <c r="H327" s="13" t="str">
        <f>IF($K327="","",INDEX('Detalle individual'!$F:$F,$K327))</f>
        <v/>
      </c>
      <c r="I327" s="20" t="str">
        <f>IF($K327="","",IF(INDEX('Detalle individual'!$F:$F,$K327)="Completado",INDEX('Detalle individual'!$H:$H,$K327),""))</f>
        <v/>
      </c>
      <c r="J327" s="21" t="str">
        <f>IF($K327="","",IF(INDEX('Detalle individual'!$F:$F,$K327)="Completado",INDEX('Detalle individual'!$J:$J,$K327),""))</f>
        <v/>
      </c>
      <c r="K327" t="str">
        <f>IFERROR(MOD(SMALL(Cálculos!$Z$5:$Z$1000,319),10000),"")</f>
        <v/>
      </c>
    </row>
    <row r="328">
      <c r="B328" s="13" t="str">
        <f>IF($K328="","",320)</f>
        <v/>
      </c>
      <c r="C328" s="13" t="str">
        <f>IF($K328="","",INDEX('Detalle individual'!$A:$A,$K328))</f>
        <v/>
      </c>
      <c r="D328" s="72" t="str">
        <f>IF($K328="","",TRIM(INDEX('Detalle individual'!$B:$B,$K328)))</f>
        <v/>
      </c>
      <c r="E328" s="72" t="str">
        <f>IF($K328="","",TRIM(INDEX('Detalle individual'!$E:$E,$K328)))</f>
        <v/>
      </c>
      <c r="F328" s="72" t="str">
        <f>IF($K328="","",TRIM(INDEX('Detalle individual'!$C:$C,$K328)))</f>
        <v/>
      </c>
      <c r="G328" s="72" t="str">
        <f>IF($K328="","",INDEX('Detalle individual'!$D:$D,$K328))</f>
        <v/>
      </c>
      <c r="H328" s="13" t="str">
        <f>IF($K328="","",INDEX('Detalle individual'!$F:$F,$K328))</f>
        <v/>
      </c>
      <c r="I328" s="20" t="str">
        <f>IF($K328="","",IF(INDEX('Detalle individual'!$F:$F,$K328)="Completado",INDEX('Detalle individual'!$H:$H,$K328),""))</f>
        <v/>
      </c>
      <c r="J328" s="21" t="str">
        <f>IF($K328="","",IF(INDEX('Detalle individual'!$F:$F,$K328)="Completado",INDEX('Detalle individual'!$J:$J,$K328),""))</f>
        <v/>
      </c>
      <c r="K328" t="str">
        <f>IFERROR(MOD(SMALL(Cálculos!$Z$5:$Z$1000,320),10000),"")</f>
        <v/>
      </c>
    </row>
    <row r="329">
      <c r="B329" s="13" t="str">
        <f>IF($K329="","",321)</f>
        <v/>
      </c>
      <c r="C329" s="13" t="str">
        <f>IF($K329="","",INDEX('Detalle individual'!$A:$A,$K329))</f>
        <v/>
      </c>
      <c r="D329" s="72" t="str">
        <f>IF($K329="","",TRIM(INDEX('Detalle individual'!$B:$B,$K329)))</f>
        <v/>
      </c>
      <c r="E329" s="72" t="str">
        <f>IF($K329="","",TRIM(INDEX('Detalle individual'!$E:$E,$K329)))</f>
        <v/>
      </c>
      <c r="F329" s="72" t="str">
        <f>IF($K329="","",TRIM(INDEX('Detalle individual'!$C:$C,$K329)))</f>
        <v/>
      </c>
      <c r="G329" s="72" t="str">
        <f>IF($K329="","",INDEX('Detalle individual'!$D:$D,$K329))</f>
        <v/>
      </c>
      <c r="H329" s="13" t="str">
        <f>IF($K329="","",INDEX('Detalle individual'!$F:$F,$K329))</f>
        <v/>
      </c>
      <c r="I329" s="20" t="str">
        <f>IF($K329="","",IF(INDEX('Detalle individual'!$F:$F,$K329)="Completado",INDEX('Detalle individual'!$H:$H,$K329),""))</f>
        <v/>
      </c>
      <c r="J329" s="21" t="str">
        <f>IF($K329="","",IF(INDEX('Detalle individual'!$F:$F,$K329)="Completado",INDEX('Detalle individual'!$J:$J,$K329),""))</f>
        <v/>
      </c>
      <c r="K329" t="str">
        <f>IFERROR(MOD(SMALL(Cálculos!$Z$5:$Z$1000,321),10000),"")</f>
        <v/>
      </c>
    </row>
    <row r="330">
      <c r="B330" s="13" t="str">
        <f>IF($K330="","",322)</f>
        <v/>
      </c>
      <c r="C330" s="13" t="str">
        <f>IF($K330="","",INDEX('Detalle individual'!$A:$A,$K330))</f>
        <v/>
      </c>
      <c r="D330" s="72" t="str">
        <f>IF($K330="","",TRIM(INDEX('Detalle individual'!$B:$B,$K330)))</f>
        <v/>
      </c>
      <c r="E330" s="72" t="str">
        <f>IF($K330="","",TRIM(INDEX('Detalle individual'!$E:$E,$K330)))</f>
        <v/>
      </c>
      <c r="F330" s="72" t="str">
        <f>IF($K330="","",TRIM(INDEX('Detalle individual'!$C:$C,$K330)))</f>
        <v/>
      </c>
      <c r="G330" s="72" t="str">
        <f>IF($K330="","",INDEX('Detalle individual'!$D:$D,$K330))</f>
        <v/>
      </c>
      <c r="H330" s="13" t="str">
        <f>IF($K330="","",INDEX('Detalle individual'!$F:$F,$K330))</f>
        <v/>
      </c>
      <c r="I330" s="20" t="str">
        <f>IF($K330="","",IF(INDEX('Detalle individual'!$F:$F,$K330)="Completado",INDEX('Detalle individual'!$H:$H,$K330),""))</f>
        <v/>
      </c>
      <c r="J330" s="21" t="str">
        <f>IF($K330="","",IF(INDEX('Detalle individual'!$F:$F,$K330)="Completado",INDEX('Detalle individual'!$J:$J,$K330),""))</f>
        <v/>
      </c>
      <c r="K330" t="str">
        <f>IFERROR(MOD(SMALL(Cálculos!$Z$5:$Z$1000,322),10000),"")</f>
        <v/>
      </c>
    </row>
    <row r="331">
      <c r="B331" s="13" t="str">
        <f>IF($K331="","",323)</f>
        <v/>
      </c>
      <c r="C331" s="13" t="str">
        <f>IF($K331="","",INDEX('Detalle individual'!$A:$A,$K331))</f>
        <v/>
      </c>
      <c r="D331" s="72" t="str">
        <f>IF($K331="","",TRIM(INDEX('Detalle individual'!$B:$B,$K331)))</f>
        <v/>
      </c>
      <c r="E331" s="72" t="str">
        <f>IF($K331="","",TRIM(INDEX('Detalle individual'!$E:$E,$K331)))</f>
        <v/>
      </c>
      <c r="F331" s="72" t="str">
        <f>IF($K331="","",TRIM(INDEX('Detalle individual'!$C:$C,$K331)))</f>
        <v/>
      </c>
      <c r="G331" s="72" t="str">
        <f>IF($K331="","",INDEX('Detalle individual'!$D:$D,$K331))</f>
        <v/>
      </c>
      <c r="H331" s="13" t="str">
        <f>IF($K331="","",INDEX('Detalle individual'!$F:$F,$K331))</f>
        <v/>
      </c>
      <c r="I331" s="20" t="str">
        <f>IF($K331="","",IF(INDEX('Detalle individual'!$F:$F,$K331)="Completado",INDEX('Detalle individual'!$H:$H,$K331),""))</f>
        <v/>
      </c>
      <c r="J331" s="21" t="str">
        <f>IF($K331="","",IF(INDEX('Detalle individual'!$F:$F,$K331)="Completado",INDEX('Detalle individual'!$J:$J,$K331),""))</f>
        <v/>
      </c>
      <c r="K331" t="str">
        <f>IFERROR(MOD(SMALL(Cálculos!$Z$5:$Z$1000,323),10000),"")</f>
        <v/>
      </c>
    </row>
    <row r="332">
      <c r="B332" s="13" t="str">
        <f>IF($K332="","",324)</f>
        <v/>
      </c>
      <c r="C332" s="13" t="str">
        <f>IF($K332="","",INDEX('Detalle individual'!$A:$A,$K332))</f>
        <v/>
      </c>
      <c r="D332" s="72" t="str">
        <f>IF($K332="","",TRIM(INDEX('Detalle individual'!$B:$B,$K332)))</f>
        <v/>
      </c>
      <c r="E332" s="72" t="str">
        <f>IF($K332="","",TRIM(INDEX('Detalle individual'!$E:$E,$K332)))</f>
        <v/>
      </c>
      <c r="F332" s="72" t="str">
        <f>IF($K332="","",TRIM(INDEX('Detalle individual'!$C:$C,$K332)))</f>
        <v/>
      </c>
      <c r="G332" s="72" t="str">
        <f>IF($K332="","",INDEX('Detalle individual'!$D:$D,$K332))</f>
        <v/>
      </c>
      <c r="H332" s="13" t="str">
        <f>IF($K332="","",INDEX('Detalle individual'!$F:$F,$K332))</f>
        <v/>
      </c>
      <c r="I332" s="20" t="str">
        <f>IF($K332="","",IF(INDEX('Detalle individual'!$F:$F,$K332)="Completado",INDEX('Detalle individual'!$H:$H,$K332),""))</f>
        <v/>
      </c>
      <c r="J332" s="21" t="str">
        <f>IF($K332="","",IF(INDEX('Detalle individual'!$F:$F,$K332)="Completado",INDEX('Detalle individual'!$J:$J,$K332),""))</f>
        <v/>
      </c>
      <c r="K332" t="str">
        <f>IFERROR(MOD(SMALL(Cálculos!$Z$5:$Z$1000,324),10000),"")</f>
        <v/>
      </c>
    </row>
    <row r="333">
      <c r="B333" s="13" t="str">
        <f>IF($K333="","",325)</f>
        <v/>
      </c>
      <c r="C333" s="13" t="str">
        <f>IF($K333="","",INDEX('Detalle individual'!$A:$A,$K333))</f>
        <v/>
      </c>
      <c r="D333" s="72" t="str">
        <f>IF($K333="","",TRIM(INDEX('Detalle individual'!$B:$B,$K333)))</f>
        <v/>
      </c>
      <c r="E333" s="72" t="str">
        <f>IF($K333="","",TRIM(INDEX('Detalle individual'!$E:$E,$K333)))</f>
        <v/>
      </c>
      <c r="F333" s="72" t="str">
        <f>IF($K333="","",TRIM(INDEX('Detalle individual'!$C:$C,$K333)))</f>
        <v/>
      </c>
      <c r="G333" s="72" t="str">
        <f>IF($K333="","",INDEX('Detalle individual'!$D:$D,$K333))</f>
        <v/>
      </c>
      <c r="H333" s="13" t="str">
        <f>IF($K333="","",INDEX('Detalle individual'!$F:$F,$K333))</f>
        <v/>
      </c>
      <c r="I333" s="20" t="str">
        <f>IF($K333="","",IF(INDEX('Detalle individual'!$F:$F,$K333)="Completado",INDEX('Detalle individual'!$H:$H,$K333),""))</f>
        <v/>
      </c>
      <c r="J333" s="21" t="str">
        <f>IF($K333="","",IF(INDEX('Detalle individual'!$F:$F,$K333)="Completado",INDEX('Detalle individual'!$J:$J,$K333),""))</f>
        <v/>
      </c>
      <c r="K333" t="str">
        <f>IFERROR(MOD(SMALL(Cálculos!$Z$5:$Z$1000,325),10000),"")</f>
        <v/>
      </c>
    </row>
    <row r="334">
      <c r="B334" s="13" t="str">
        <f>IF($K334="","",326)</f>
        <v/>
      </c>
      <c r="C334" s="13" t="str">
        <f>IF($K334="","",INDEX('Detalle individual'!$A:$A,$K334))</f>
        <v/>
      </c>
      <c r="D334" s="72" t="str">
        <f>IF($K334="","",TRIM(INDEX('Detalle individual'!$B:$B,$K334)))</f>
        <v/>
      </c>
      <c r="E334" s="72" t="str">
        <f>IF($K334="","",TRIM(INDEX('Detalle individual'!$E:$E,$K334)))</f>
        <v/>
      </c>
      <c r="F334" s="72" t="str">
        <f>IF($K334="","",TRIM(INDEX('Detalle individual'!$C:$C,$K334)))</f>
        <v/>
      </c>
      <c r="G334" s="72" t="str">
        <f>IF($K334="","",INDEX('Detalle individual'!$D:$D,$K334))</f>
        <v/>
      </c>
      <c r="H334" s="13" t="str">
        <f>IF($K334="","",INDEX('Detalle individual'!$F:$F,$K334))</f>
        <v/>
      </c>
      <c r="I334" s="20" t="str">
        <f>IF($K334="","",IF(INDEX('Detalle individual'!$F:$F,$K334)="Completado",INDEX('Detalle individual'!$H:$H,$K334),""))</f>
        <v/>
      </c>
      <c r="J334" s="21" t="str">
        <f>IF($K334="","",IF(INDEX('Detalle individual'!$F:$F,$K334)="Completado",INDEX('Detalle individual'!$J:$J,$K334),""))</f>
        <v/>
      </c>
      <c r="K334" t="str">
        <f>IFERROR(MOD(SMALL(Cálculos!$Z$5:$Z$1000,326),10000),"")</f>
        <v/>
      </c>
    </row>
    <row r="335">
      <c r="B335" s="13" t="str">
        <f>IF($K335="","",327)</f>
        <v/>
      </c>
      <c r="C335" s="13" t="str">
        <f>IF($K335="","",INDEX('Detalle individual'!$A:$A,$K335))</f>
        <v/>
      </c>
      <c r="D335" s="72" t="str">
        <f>IF($K335="","",TRIM(INDEX('Detalle individual'!$B:$B,$K335)))</f>
        <v/>
      </c>
      <c r="E335" s="72" t="str">
        <f>IF($K335="","",TRIM(INDEX('Detalle individual'!$E:$E,$K335)))</f>
        <v/>
      </c>
      <c r="F335" s="72" t="str">
        <f>IF($K335="","",TRIM(INDEX('Detalle individual'!$C:$C,$K335)))</f>
        <v/>
      </c>
      <c r="G335" s="72" t="str">
        <f>IF($K335="","",INDEX('Detalle individual'!$D:$D,$K335))</f>
        <v/>
      </c>
      <c r="H335" s="13" t="str">
        <f>IF($K335="","",INDEX('Detalle individual'!$F:$F,$K335))</f>
        <v/>
      </c>
      <c r="I335" s="20" t="str">
        <f>IF($K335="","",IF(INDEX('Detalle individual'!$F:$F,$K335)="Completado",INDEX('Detalle individual'!$H:$H,$K335),""))</f>
        <v/>
      </c>
      <c r="J335" s="21" t="str">
        <f>IF($K335="","",IF(INDEX('Detalle individual'!$F:$F,$K335)="Completado",INDEX('Detalle individual'!$J:$J,$K335),""))</f>
        <v/>
      </c>
      <c r="K335" t="str">
        <f>IFERROR(MOD(SMALL(Cálculos!$Z$5:$Z$1000,327),10000),"")</f>
        <v/>
      </c>
    </row>
    <row r="336">
      <c r="B336" s="13" t="str">
        <f>IF($K336="","",328)</f>
        <v/>
      </c>
      <c r="C336" s="13" t="str">
        <f>IF($K336="","",INDEX('Detalle individual'!$A:$A,$K336))</f>
        <v/>
      </c>
      <c r="D336" s="72" t="str">
        <f>IF($K336="","",TRIM(INDEX('Detalle individual'!$B:$B,$K336)))</f>
        <v/>
      </c>
      <c r="E336" s="72" t="str">
        <f>IF($K336="","",TRIM(INDEX('Detalle individual'!$E:$E,$K336)))</f>
        <v/>
      </c>
      <c r="F336" s="72" t="str">
        <f>IF($K336="","",TRIM(INDEX('Detalle individual'!$C:$C,$K336)))</f>
        <v/>
      </c>
      <c r="G336" s="72" t="str">
        <f>IF($K336="","",INDEX('Detalle individual'!$D:$D,$K336))</f>
        <v/>
      </c>
      <c r="H336" s="13" t="str">
        <f>IF($K336="","",INDEX('Detalle individual'!$F:$F,$K336))</f>
        <v/>
      </c>
      <c r="I336" s="20" t="str">
        <f>IF($K336="","",IF(INDEX('Detalle individual'!$F:$F,$K336)="Completado",INDEX('Detalle individual'!$H:$H,$K336),""))</f>
        <v/>
      </c>
      <c r="J336" s="21" t="str">
        <f>IF($K336="","",IF(INDEX('Detalle individual'!$F:$F,$K336)="Completado",INDEX('Detalle individual'!$J:$J,$K336),""))</f>
        <v/>
      </c>
      <c r="K336" t="str">
        <f>IFERROR(MOD(SMALL(Cálculos!$Z$5:$Z$1000,328),10000),"")</f>
        <v/>
      </c>
    </row>
    <row r="337">
      <c r="B337" s="13" t="str">
        <f>IF($K337="","",329)</f>
        <v/>
      </c>
      <c r="C337" s="13" t="str">
        <f>IF($K337="","",INDEX('Detalle individual'!$A:$A,$K337))</f>
        <v/>
      </c>
      <c r="D337" s="72" t="str">
        <f>IF($K337="","",TRIM(INDEX('Detalle individual'!$B:$B,$K337)))</f>
        <v/>
      </c>
      <c r="E337" s="72" t="str">
        <f>IF($K337="","",TRIM(INDEX('Detalle individual'!$E:$E,$K337)))</f>
        <v/>
      </c>
      <c r="F337" s="72" t="str">
        <f>IF($K337="","",TRIM(INDEX('Detalle individual'!$C:$C,$K337)))</f>
        <v/>
      </c>
      <c r="G337" s="72" t="str">
        <f>IF($K337="","",INDEX('Detalle individual'!$D:$D,$K337))</f>
        <v/>
      </c>
      <c r="H337" s="13" t="str">
        <f>IF($K337="","",INDEX('Detalle individual'!$F:$F,$K337))</f>
        <v/>
      </c>
      <c r="I337" s="20" t="str">
        <f>IF($K337="","",IF(INDEX('Detalle individual'!$F:$F,$K337)="Completado",INDEX('Detalle individual'!$H:$H,$K337),""))</f>
        <v/>
      </c>
      <c r="J337" s="21" t="str">
        <f>IF($K337="","",IF(INDEX('Detalle individual'!$F:$F,$K337)="Completado",INDEX('Detalle individual'!$J:$J,$K337),""))</f>
        <v/>
      </c>
      <c r="K337" t="str">
        <f>IFERROR(MOD(SMALL(Cálculos!$Z$5:$Z$1000,329),10000),"")</f>
        <v/>
      </c>
    </row>
    <row r="338">
      <c r="B338" s="13" t="str">
        <f>IF($K338="","",330)</f>
        <v/>
      </c>
      <c r="C338" s="13" t="str">
        <f>IF($K338="","",INDEX('Detalle individual'!$A:$A,$K338))</f>
        <v/>
      </c>
      <c r="D338" s="72" t="str">
        <f>IF($K338="","",TRIM(INDEX('Detalle individual'!$B:$B,$K338)))</f>
        <v/>
      </c>
      <c r="E338" s="72" t="str">
        <f>IF($K338="","",TRIM(INDEX('Detalle individual'!$E:$E,$K338)))</f>
        <v/>
      </c>
      <c r="F338" s="72" t="str">
        <f>IF($K338="","",TRIM(INDEX('Detalle individual'!$C:$C,$K338)))</f>
        <v/>
      </c>
      <c r="G338" s="72" t="str">
        <f>IF($K338="","",INDEX('Detalle individual'!$D:$D,$K338))</f>
        <v/>
      </c>
      <c r="H338" s="13" t="str">
        <f>IF($K338="","",INDEX('Detalle individual'!$F:$F,$K338))</f>
        <v/>
      </c>
      <c r="I338" s="20" t="str">
        <f>IF($K338="","",IF(INDEX('Detalle individual'!$F:$F,$K338)="Completado",INDEX('Detalle individual'!$H:$H,$K338),""))</f>
        <v/>
      </c>
      <c r="J338" s="21" t="str">
        <f>IF($K338="","",IF(INDEX('Detalle individual'!$F:$F,$K338)="Completado",INDEX('Detalle individual'!$J:$J,$K338),""))</f>
        <v/>
      </c>
      <c r="K338" t="str">
        <f>IFERROR(MOD(SMALL(Cálculos!$Z$5:$Z$1000,330),10000),"")</f>
        <v/>
      </c>
    </row>
    <row r="339">
      <c r="B339" s="13" t="str">
        <f>IF($K339="","",331)</f>
        <v/>
      </c>
      <c r="C339" s="13" t="str">
        <f>IF($K339="","",INDEX('Detalle individual'!$A:$A,$K339))</f>
        <v/>
      </c>
      <c r="D339" s="72" t="str">
        <f>IF($K339="","",TRIM(INDEX('Detalle individual'!$B:$B,$K339)))</f>
        <v/>
      </c>
      <c r="E339" s="72" t="str">
        <f>IF($K339="","",TRIM(INDEX('Detalle individual'!$E:$E,$K339)))</f>
        <v/>
      </c>
      <c r="F339" s="72" t="str">
        <f>IF($K339="","",TRIM(INDEX('Detalle individual'!$C:$C,$K339)))</f>
        <v/>
      </c>
      <c r="G339" s="72" t="str">
        <f>IF($K339="","",INDEX('Detalle individual'!$D:$D,$K339))</f>
        <v/>
      </c>
      <c r="H339" s="13" t="str">
        <f>IF($K339="","",INDEX('Detalle individual'!$F:$F,$K339))</f>
        <v/>
      </c>
      <c r="I339" s="20" t="str">
        <f>IF($K339="","",IF(INDEX('Detalle individual'!$F:$F,$K339)="Completado",INDEX('Detalle individual'!$H:$H,$K339),""))</f>
        <v/>
      </c>
      <c r="J339" s="21" t="str">
        <f>IF($K339="","",IF(INDEX('Detalle individual'!$F:$F,$K339)="Completado",INDEX('Detalle individual'!$J:$J,$K339),""))</f>
        <v/>
      </c>
      <c r="K339" t="str">
        <f>IFERROR(MOD(SMALL(Cálculos!$Z$5:$Z$1000,331),10000),"")</f>
        <v/>
      </c>
    </row>
    <row r="340">
      <c r="B340" s="13" t="str">
        <f>IF($K340="","",332)</f>
        <v/>
      </c>
      <c r="C340" s="13" t="str">
        <f>IF($K340="","",INDEX('Detalle individual'!$A:$A,$K340))</f>
        <v/>
      </c>
      <c r="D340" s="72" t="str">
        <f>IF($K340="","",TRIM(INDEX('Detalle individual'!$B:$B,$K340)))</f>
        <v/>
      </c>
      <c r="E340" s="72" t="str">
        <f>IF($K340="","",TRIM(INDEX('Detalle individual'!$E:$E,$K340)))</f>
        <v/>
      </c>
      <c r="F340" s="72" t="str">
        <f>IF($K340="","",TRIM(INDEX('Detalle individual'!$C:$C,$K340)))</f>
        <v/>
      </c>
      <c r="G340" s="72" t="str">
        <f>IF($K340="","",INDEX('Detalle individual'!$D:$D,$K340))</f>
        <v/>
      </c>
      <c r="H340" s="13" t="str">
        <f>IF($K340="","",INDEX('Detalle individual'!$F:$F,$K340))</f>
        <v/>
      </c>
      <c r="I340" s="20" t="str">
        <f>IF($K340="","",IF(INDEX('Detalle individual'!$F:$F,$K340)="Completado",INDEX('Detalle individual'!$H:$H,$K340),""))</f>
        <v/>
      </c>
      <c r="J340" s="21" t="str">
        <f>IF($K340="","",IF(INDEX('Detalle individual'!$F:$F,$K340)="Completado",INDEX('Detalle individual'!$J:$J,$K340),""))</f>
        <v/>
      </c>
      <c r="K340" t="str">
        <f>IFERROR(MOD(SMALL(Cálculos!$Z$5:$Z$1000,332),10000),"")</f>
        <v/>
      </c>
    </row>
    <row r="341">
      <c r="B341" s="13" t="str">
        <f>IF($K341="","",333)</f>
        <v/>
      </c>
      <c r="C341" s="13" t="str">
        <f>IF($K341="","",INDEX('Detalle individual'!$A:$A,$K341))</f>
        <v/>
      </c>
      <c r="D341" s="72" t="str">
        <f>IF($K341="","",TRIM(INDEX('Detalle individual'!$B:$B,$K341)))</f>
        <v/>
      </c>
      <c r="E341" s="72" t="str">
        <f>IF($K341="","",TRIM(INDEX('Detalle individual'!$E:$E,$K341)))</f>
        <v/>
      </c>
      <c r="F341" s="72" t="str">
        <f>IF($K341="","",TRIM(INDEX('Detalle individual'!$C:$C,$K341)))</f>
        <v/>
      </c>
      <c r="G341" s="72" t="str">
        <f>IF($K341="","",INDEX('Detalle individual'!$D:$D,$K341))</f>
        <v/>
      </c>
      <c r="H341" s="13" t="str">
        <f>IF($K341="","",INDEX('Detalle individual'!$F:$F,$K341))</f>
        <v/>
      </c>
      <c r="I341" s="20" t="str">
        <f>IF($K341="","",IF(INDEX('Detalle individual'!$F:$F,$K341)="Completado",INDEX('Detalle individual'!$H:$H,$K341),""))</f>
        <v/>
      </c>
      <c r="J341" s="21" t="str">
        <f>IF($K341="","",IF(INDEX('Detalle individual'!$F:$F,$K341)="Completado",INDEX('Detalle individual'!$J:$J,$K341),""))</f>
        <v/>
      </c>
      <c r="K341" t="str">
        <f>IFERROR(MOD(SMALL(Cálculos!$Z$5:$Z$1000,333),10000),"")</f>
        <v/>
      </c>
    </row>
    <row r="342">
      <c r="B342" s="13" t="str">
        <f>IF($K342="","",334)</f>
        <v/>
      </c>
      <c r="C342" s="13" t="str">
        <f>IF($K342="","",INDEX('Detalle individual'!$A:$A,$K342))</f>
        <v/>
      </c>
      <c r="D342" s="72" t="str">
        <f>IF($K342="","",TRIM(INDEX('Detalle individual'!$B:$B,$K342)))</f>
        <v/>
      </c>
      <c r="E342" s="72" t="str">
        <f>IF($K342="","",TRIM(INDEX('Detalle individual'!$E:$E,$K342)))</f>
        <v/>
      </c>
      <c r="F342" s="72" t="str">
        <f>IF($K342="","",TRIM(INDEX('Detalle individual'!$C:$C,$K342)))</f>
        <v/>
      </c>
      <c r="G342" s="72" t="str">
        <f>IF($K342="","",INDEX('Detalle individual'!$D:$D,$K342))</f>
        <v/>
      </c>
      <c r="H342" s="13" t="str">
        <f>IF($K342="","",INDEX('Detalle individual'!$F:$F,$K342))</f>
        <v/>
      </c>
      <c r="I342" s="20" t="str">
        <f>IF($K342="","",IF(INDEX('Detalle individual'!$F:$F,$K342)="Completado",INDEX('Detalle individual'!$H:$H,$K342),""))</f>
        <v/>
      </c>
      <c r="J342" s="21" t="str">
        <f>IF($K342="","",IF(INDEX('Detalle individual'!$F:$F,$K342)="Completado",INDEX('Detalle individual'!$J:$J,$K342),""))</f>
        <v/>
      </c>
      <c r="K342" t="str">
        <f>IFERROR(MOD(SMALL(Cálculos!$Z$5:$Z$1000,334),10000),"")</f>
        <v/>
      </c>
    </row>
    <row r="343">
      <c r="B343" s="13" t="str">
        <f>IF($K343="","",335)</f>
        <v/>
      </c>
      <c r="C343" s="13" t="str">
        <f>IF($K343="","",INDEX('Detalle individual'!$A:$A,$K343))</f>
        <v/>
      </c>
      <c r="D343" s="72" t="str">
        <f>IF($K343="","",TRIM(INDEX('Detalle individual'!$B:$B,$K343)))</f>
        <v/>
      </c>
      <c r="E343" s="72" t="str">
        <f>IF($K343="","",TRIM(INDEX('Detalle individual'!$E:$E,$K343)))</f>
        <v/>
      </c>
      <c r="F343" s="72" t="str">
        <f>IF($K343="","",TRIM(INDEX('Detalle individual'!$C:$C,$K343)))</f>
        <v/>
      </c>
      <c r="G343" s="72" t="str">
        <f>IF($K343="","",INDEX('Detalle individual'!$D:$D,$K343))</f>
        <v/>
      </c>
      <c r="H343" s="13" t="str">
        <f>IF($K343="","",INDEX('Detalle individual'!$F:$F,$K343))</f>
        <v/>
      </c>
      <c r="I343" s="20" t="str">
        <f>IF($K343="","",IF(INDEX('Detalle individual'!$F:$F,$K343)="Completado",INDEX('Detalle individual'!$H:$H,$K343),""))</f>
        <v/>
      </c>
      <c r="J343" s="21" t="str">
        <f>IF($K343="","",IF(INDEX('Detalle individual'!$F:$F,$K343)="Completado",INDEX('Detalle individual'!$J:$J,$K343),""))</f>
        <v/>
      </c>
      <c r="K343" t="str">
        <f>IFERROR(MOD(SMALL(Cálculos!$Z$5:$Z$1000,335),10000),"")</f>
        <v/>
      </c>
    </row>
    <row r="344">
      <c r="B344" s="13" t="str">
        <f>IF($K344="","",336)</f>
        <v/>
      </c>
      <c r="C344" s="13" t="str">
        <f>IF($K344="","",INDEX('Detalle individual'!$A:$A,$K344))</f>
        <v/>
      </c>
      <c r="D344" s="72" t="str">
        <f>IF($K344="","",TRIM(INDEX('Detalle individual'!$B:$B,$K344)))</f>
        <v/>
      </c>
      <c r="E344" s="72" t="str">
        <f>IF($K344="","",TRIM(INDEX('Detalle individual'!$E:$E,$K344)))</f>
        <v/>
      </c>
      <c r="F344" s="72" t="str">
        <f>IF($K344="","",TRIM(INDEX('Detalle individual'!$C:$C,$K344)))</f>
        <v/>
      </c>
      <c r="G344" s="72" t="str">
        <f>IF($K344="","",INDEX('Detalle individual'!$D:$D,$K344))</f>
        <v/>
      </c>
      <c r="H344" s="13" t="str">
        <f>IF($K344="","",INDEX('Detalle individual'!$F:$F,$K344))</f>
        <v/>
      </c>
      <c r="I344" s="20" t="str">
        <f>IF($K344="","",IF(INDEX('Detalle individual'!$F:$F,$K344)="Completado",INDEX('Detalle individual'!$H:$H,$K344),""))</f>
        <v/>
      </c>
      <c r="J344" s="21" t="str">
        <f>IF($K344="","",IF(INDEX('Detalle individual'!$F:$F,$K344)="Completado",INDEX('Detalle individual'!$J:$J,$K344),""))</f>
        <v/>
      </c>
      <c r="K344" t="str">
        <f>IFERROR(MOD(SMALL(Cálculos!$Z$5:$Z$1000,336),10000),"")</f>
        <v/>
      </c>
    </row>
    <row r="345">
      <c r="B345" s="13" t="str">
        <f>IF($K345="","",337)</f>
        <v/>
      </c>
      <c r="C345" s="13" t="str">
        <f>IF($K345="","",INDEX('Detalle individual'!$A:$A,$K345))</f>
        <v/>
      </c>
      <c r="D345" s="72" t="str">
        <f>IF($K345="","",TRIM(INDEX('Detalle individual'!$B:$B,$K345)))</f>
        <v/>
      </c>
      <c r="E345" s="72" t="str">
        <f>IF($K345="","",TRIM(INDEX('Detalle individual'!$E:$E,$K345)))</f>
        <v/>
      </c>
      <c r="F345" s="72" t="str">
        <f>IF($K345="","",TRIM(INDEX('Detalle individual'!$C:$C,$K345)))</f>
        <v/>
      </c>
      <c r="G345" s="72" t="str">
        <f>IF($K345="","",INDEX('Detalle individual'!$D:$D,$K345))</f>
        <v/>
      </c>
      <c r="H345" s="13" t="str">
        <f>IF($K345="","",INDEX('Detalle individual'!$F:$F,$K345))</f>
        <v/>
      </c>
      <c r="I345" s="20" t="str">
        <f>IF($K345="","",IF(INDEX('Detalle individual'!$F:$F,$K345)="Completado",INDEX('Detalle individual'!$H:$H,$K345),""))</f>
        <v/>
      </c>
      <c r="J345" s="21" t="str">
        <f>IF($K345="","",IF(INDEX('Detalle individual'!$F:$F,$K345)="Completado",INDEX('Detalle individual'!$J:$J,$K345),""))</f>
        <v/>
      </c>
      <c r="K345" t="str">
        <f>IFERROR(MOD(SMALL(Cálculos!$Z$5:$Z$1000,337),10000),"")</f>
        <v/>
      </c>
    </row>
    <row r="346">
      <c r="B346" s="13" t="str">
        <f>IF($K346="","",338)</f>
        <v/>
      </c>
      <c r="C346" s="13" t="str">
        <f>IF($K346="","",INDEX('Detalle individual'!$A:$A,$K346))</f>
        <v/>
      </c>
      <c r="D346" s="72" t="str">
        <f>IF($K346="","",TRIM(INDEX('Detalle individual'!$B:$B,$K346)))</f>
        <v/>
      </c>
      <c r="E346" s="72" t="str">
        <f>IF($K346="","",TRIM(INDEX('Detalle individual'!$E:$E,$K346)))</f>
        <v/>
      </c>
      <c r="F346" s="72" t="str">
        <f>IF($K346="","",TRIM(INDEX('Detalle individual'!$C:$C,$K346)))</f>
        <v/>
      </c>
      <c r="G346" s="72" t="str">
        <f>IF($K346="","",INDEX('Detalle individual'!$D:$D,$K346))</f>
        <v/>
      </c>
      <c r="H346" s="13" t="str">
        <f>IF($K346="","",INDEX('Detalle individual'!$F:$F,$K346))</f>
        <v/>
      </c>
      <c r="I346" s="20" t="str">
        <f>IF($K346="","",IF(INDEX('Detalle individual'!$F:$F,$K346)="Completado",INDEX('Detalle individual'!$H:$H,$K346),""))</f>
        <v/>
      </c>
      <c r="J346" s="21" t="str">
        <f>IF($K346="","",IF(INDEX('Detalle individual'!$F:$F,$K346)="Completado",INDEX('Detalle individual'!$J:$J,$K346),""))</f>
        <v/>
      </c>
      <c r="K346" t="str">
        <f>IFERROR(MOD(SMALL(Cálculos!$Z$5:$Z$1000,338),10000),"")</f>
        <v/>
      </c>
    </row>
    <row r="347">
      <c r="B347" s="13" t="str">
        <f>IF($K347="","",339)</f>
        <v/>
      </c>
      <c r="C347" s="13" t="str">
        <f>IF($K347="","",INDEX('Detalle individual'!$A:$A,$K347))</f>
        <v/>
      </c>
      <c r="D347" s="72" t="str">
        <f>IF($K347="","",TRIM(INDEX('Detalle individual'!$B:$B,$K347)))</f>
        <v/>
      </c>
      <c r="E347" s="72" t="str">
        <f>IF($K347="","",TRIM(INDEX('Detalle individual'!$E:$E,$K347)))</f>
        <v/>
      </c>
      <c r="F347" s="72" t="str">
        <f>IF($K347="","",TRIM(INDEX('Detalle individual'!$C:$C,$K347)))</f>
        <v/>
      </c>
      <c r="G347" s="72" t="str">
        <f>IF($K347="","",INDEX('Detalle individual'!$D:$D,$K347))</f>
        <v/>
      </c>
      <c r="H347" s="13" t="str">
        <f>IF($K347="","",INDEX('Detalle individual'!$F:$F,$K347))</f>
        <v/>
      </c>
      <c r="I347" s="20" t="str">
        <f>IF($K347="","",IF(INDEX('Detalle individual'!$F:$F,$K347)="Completado",INDEX('Detalle individual'!$H:$H,$K347),""))</f>
        <v/>
      </c>
      <c r="J347" s="21" t="str">
        <f>IF($K347="","",IF(INDEX('Detalle individual'!$F:$F,$K347)="Completado",INDEX('Detalle individual'!$J:$J,$K347),""))</f>
        <v/>
      </c>
      <c r="K347" t="str">
        <f>IFERROR(MOD(SMALL(Cálculos!$Z$5:$Z$1000,339),10000),"")</f>
        <v/>
      </c>
    </row>
    <row r="348">
      <c r="B348" s="13" t="str">
        <f>IF($K348="","",340)</f>
        <v/>
      </c>
      <c r="C348" s="13" t="str">
        <f>IF($K348="","",INDEX('Detalle individual'!$A:$A,$K348))</f>
        <v/>
      </c>
      <c r="D348" s="72" t="str">
        <f>IF($K348="","",TRIM(INDEX('Detalle individual'!$B:$B,$K348)))</f>
        <v/>
      </c>
      <c r="E348" s="72" t="str">
        <f>IF($K348="","",TRIM(INDEX('Detalle individual'!$E:$E,$K348)))</f>
        <v/>
      </c>
      <c r="F348" s="72" t="str">
        <f>IF($K348="","",TRIM(INDEX('Detalle individual'!$C:$C,$K348)))</f>
        <v/>
      </c>
      <c r="G348" s="72" t="str">
        <f>IF($K348="","",INDEX('Detalle individual'!$D:$D,$K348))</f>
        <v/>
      </c>
      <c r="H348" s="13" t="str">
        <f>IF($K348="","",INDEX('Detalle individual'!$F:$F,$K348))</f>
        <v/>
      </c>
      <c r="I348" s="20" t="str">
        <f>IF($K348="","",IF(INDEX('Detalle individual'!$F:$F,$K348)="Completado",INDEX('Detalle individual'!$H:$H,$K348),""))</f>
        <v/>
      </c>
      <c r="J348" s="21" t="str">
        <f>IF($K348="","",IF(INDEX('Detalle individual'!$F:$F,$K348)="Completado",INDEX('Detalle individual'!$J:$J,$K348),""))</f>
        <v/>
      </c>
      <c r="K348" t="str">
        <f>IFERROR(MOD(SMALL(Cálculos!$Z$5:$Z$1000,340),10000),"")</f>
        <v/>
      </c>
    </row>
    <row r="349">
      <c r="B349" s="13" t="str">
        <f>IF($K349="","",341)</f>
        <v/>
      </c>
      <c r="C349" s="13" t="str">
        <f>IF($K349="","",INDEX('Detalle individual'!$A:$A,$K349))</f>
        <v/>
      </c>
      <c r="D349" s="72" t="str">
        <f>IF($K349="","",TRIM(INDEX('Detalle individual'!$B:$B,$K349)))</f>
        <v/>
      </c>
      <c r="E349" s="72" t="str">
        <f>IF($K349="","",TRIM(INDEX('Detalle individual'!$E:$E,$K349)))</f>
        <v/>
      </c>
      <c r="F349" s="72" t="str">
        <f>IF($K349="","",TRIM(INDEX('Detalle individual'!$C:$C,$K349)))</f>
        <v/>
      </c>
      <c r="G349" s="72" t="str">
        <f>IF($K349="","",INDEX('Detalle individual'!$D:$D,$K349))</f>
        <v/>
      </c>
      <c r="H349" s="13" t="str">
        <f>IF($K349="","",INDEX('Detalle individual'!$F:$F,$K349))</f>
        <v/>
      </c>
      <c r="I349" s="20" t="str">
        <f>IF($K349="","",IF(INDEX('Detalle individual'!$F:$F,$K349)="Completado",INDEX('Detalle individual'!$H:$H,$K349),""))</f>
        <v/>
      </c>
      <c r="J349" s="21" t="str">
        <f>IF($K349="","",IF(INDEX('Detalle individual'!$F:$F,$K349)="Completado",INDEX('Detalle individual'!$J:$J,$K349),""))</f>
        <v/>
      </c>
      <c r="K349" t="str">
        <f>IFERROR(MOD(SMALL(Cálculos!$Z$5:$Z$1000,341),10000),"")</f>
        <v/>
      </c>
    </row>
    <row r="350">
      <c r="B350" s="13" t="str">
        <f>IF($K350="","",342)</f>
        <v/>
      </c>
      <c r="C350" s="13" t="str">
        <f>IF($K350="","",INDEX('Detalle individual'!$A:$A,$K350))</f>
        <v/>
      </c>
      <c r="D350" s="72" t="str">
        <f>IF($K350="","",TRIM(INDEX('Detalle individual'!$B:$B,$K350)))</f>
        <v/>
      </c>
      <c r="E350" s="72" t="str">
        <f>IF($K350="","",TRIM(INDEX('Detalle individual'!$E:$E,$K350)))</f>
        <v/>
      </c>
      <c r="F350" s="72" t="str">
        <f>IF($K350="","",TRIM(INDEX('Detalle individual'!$C:$C,$K350)))</f>
        <v/>
      </c>
      <c r="G350" s="72" t="str">
        <f>IF($K350="","",INDEX('Detalle individual'!$D:$D,$K350))</f>
        <v/>
      </c>
      <c r="H350" s="13" t="str">
        <f>IF($K350="","",INDEX('Detalle individual'!$F:$F,$K350))</f>
        <v/>
      </c>
      <c r="I350" s="20" t="str">
        <f>IF($K350="","",IF(INDEX('Detalle individual'!$F:$F,$K350)="Completado",INDEX('Detalle individual'!$H:$H,$K350),""))</f>
        <v/>
      </c>
      <c r="J350" s="21" t="str">
        <f>IF($K350="","",IF(INDEX('Detalle individual'!$F:$F,$K350)="Completado",INDEX('Detalle individual'!$J:$J,$K350),""))</f>
        <v/>
      </c>
      <c r="K350" t="str">
        <f>IFERROR(MOD(SMALL(Cálculos!$Z$5:$Z$1000,342),10000),"")</f>
        <v/>
      </c>
    </row>
    <row r="351">
      <c r="B351" s="13" t="str">
        <f>IF($K351="","",343)</f>
        <v/>
      </c>
      <c r="C351" s="13" t="str">
        <f>IF($K351="","",INDEX('Detalle individual'!$A:$A,$K351))</f>
        <v/>
      </c>
      <c r="D351" s="72" t="str">
        <f>IF($K351="","",TRIM(INDEX('Detalle individual'!$B:$B,$K351)))</f>
        <v/>
      </c>
      <c r="E351" s="72" t="str">
        <f>IF($K351="","",TRIM(INDEX('Detalle individual'!$E:$E,$K351)))</f>
        <v/>
      </c>
      <c r="F351" s="72" t="str">
        <f>IF($K351="","",TRIM(INDEX('Detalle individual'!$C:$C,$K351)))</f>
        <v/>
      </c>
      <c r="G351" s="72" t="str">
        <f>IF($K351="","",INDEX('Detalle individual'!$D:$D,$K351))</f>
        <v/>
      </c>
      <c r="H351" s="13" t="str">
        <f>IF($K351="","",INDEX('Detalle individual'!$F:$F,$K351))</f>
        <v/>
      </c>
      <c r="I351" s="20" t="str">
        <f>IF($K351="","",IF(INDEX('Detalle individual'!$F:$F,$K351)="Completado",INDEX('Detalle individual'!$H:$H,$K351),""))</f>
        <v/>
      </c>
      <c r="J351" s="21" t="str">
        <f>IF($K351="","",IF(INDEX('Detalle individual'!$F:$F,$K351)="Completado",INDEX('Detalle individual'!$J:$J,$K351),""))</f>
        <v/>
      </c>
      <c r="K351" t="str">
        <f>IFERROR(MOD(SMALL(Cálculos!$Z$5:$Z$1000,343),10000),"")</f>
        <v/>
      </c>
    </row>
    <row r="352">
      <c r="B352" s="13" t="str">
        <f>IF($K352="","",344)</f>
        <v/>
      </c>
      <c r="C352" s="13" t="str">
        <f>IF($K352="","",INDEX('Detalle individual'!$A:$A,$K352))</f>
        <v/>
      </c>
      <c r="D352" s="72" t="str">
        <f>IF($K352="","",TRIM(INDEX('Detalle individual'!$B:$B,$K352)))</f>
        <v/>
      </c>
      <c r="E352" s="72" t="str">
        <f>IF($K352="","",TRIM(INDEX('Detalle individual'!$E:$E,$K352)))</f>
        <v/>
      </c>
      <c r="F352" s="72" t="str">
        <f>IF($K352="","",TRIM(INDEX('Detalle individual'!$C:$C,$K352)))</f>
        <v/>
      </c>
      <c r="G352" s="72" t="str">
        <f>IF($K352="","",INDEX('Detalle individual'!$D:$D,$K352))</f>
        <v/>
      </c>
      <c r="H352" s="13" t="str">
        <f>IF($K352="","",INDEX('Detalle individual'!$F:$F,$K352))</f>
        <v/>
      </c>
      <c r="I352" s="20" t="str">
        <f>IF($K352="","",IF(INDEX('Detalle individual'!$F:$F,$K352)="Completado",INDEX('Detalle individual'!$H:$H,$K352),""))</f>
        <v/>
      </c>
      <c r="J352" s="21" t="str">
        <f>IF($K352="","",IF(INDEX('Detalle individual'!$F:$F,$K352)="Completado",INDEX('Detalle individual'!$J:$J,$K352),""))</f>
        <v/>
      </c>
      <c r="K352" t="str">
        <f>IFERROR(MOD(SMALL(Cálculos!$Z$5:$Z$1000,344),10000),"")</f>
        <v/>
      </c>
    </row>
    <row r="353">
      <c r="B353" s="13" t="str">
        <f>IF($K353="","",345)</f>
        <v/>
      </c>
      <c r="C353" s="13" t="str">
        <f>IF($K353="","",INDEX('Detalle individual'!$A:$A,$K353))</f>
        <v/>
      </c>
      <c r="D353" s="72" t="str">
        <f>IF($K353="","",TRIM(INDEX('Detalle individual'!$B:$B,$K353)))</f>
        <v/>
      </c>
      <c r="E353" s="72" t="str">
        <f>IF($K353="","",TRIM(INDEX('Detalle individual'!$E:$E,$K353)))</f>
        <v/>
      </c>
      <c r="F353" s="72" t="str">
        <f>IF($K353="","",TRIM(INDEX('Detalle individual'!$C:$C,$K353)))</f>
        <v/>
      </c>
      <c r="G353" s="72" t="str">
        <f>IF($K353="","",INDEX('Detalle individual'!$D:$D,$K353))</f>
        <v/>
      </c>
      <c r="H353" s="13" t="str">
        <f>IF($K353="","",INDEX('Detalle individual'!$F:$F,$K353))</f>
        <v/>
      </c>
      <c r="I353" s="20" t="str">
        <f>IF($K353="","",IF(INDEX('Detalle individual'!$F:$F,$K353)="Completado",INDEX('Detalle individual'!$H:$H,$K353),""))</f>
        <v/>
      </c>
      <c r="J353" s="21" t="str">
        <f>IF($K353="","",IF(INDEX('Detalle individual'!$F:$F,$K353)="Completado",INDEX('Detalle individual'!$J:$J,$K353),""))</f>
        <v/>
      </c>
      <c r="K353" t="str">
        <f>IFERROR(MOD(SMALL(Cálculos!$Z$5:$Z$1000,345),10000),"")</f>
        <v/>
      </c>
    </row>
    <row r="354">
      <c r="B354" s="13" t="str">
        <f>IF($K354="","",346)</f>
        <v/>
      </c>
      <c r="C354" s="13" t="str">
        <f>IF($K354="","",INDEX('Detalle individual'!$A:$A,$K354))</f>
        <v/>
      </c>
      <c r="D354" s="72" t="str">
        <f>IF($K354="","",TRIM(INDEX('Detalle individual'!$B:$B,$K354)))</f>
        <v/>
      </c>
      <c r="E354" s="72" t="str">
        <f>IF($K354="","",TRIM(INDEX('Detalle individual'!$E:$E,$K354)))</f>
        <v/>
      </c>
      <c r="F354" s="72" t="str">
        <f>IF($K354="","",TRIM(INDEX('Detalle individual'!$C:$C,$K354)))</f>
        <v/>
      </c>
      <c r="G354" s="72" t="str">
        <f>IF($K354="","",INDEX('Detalle individual'!$D:$D,$K354))</f>
        <v/>
      </c>
      <c r="H354" s="13" t="str">
        <f>IF($K354="","",INDEX('Detalle individual'!$F:$F,$K354))</f>
        <v/>
      </c>
      <c r="I354" s="20" t="str">
        <f>IF($K354="","",IF(INDEX('Detalle individual'!$F:$F,$K354)="Completado",INDEX('Detalle individual'!$H:$H,$K354),""))</f>
        <v/>
      </c>
      <c r="J354" s="21" t="str">
        <f>IF($K354="","",IF(INDEX('Detalle individual'!$F:$F,$K354)="Completado",INDEX('Detalle individual'!$J:$J,$K354),""))</f>
        <v/>
      </c>
      <c r="K354" t="str">
        <f>IFERROR(MOD(SMALL(Cálculos!$Z$5:$Z$1000,346),10000),"")</f>
        <v/>
      </c>
    </row>
    <row r="355">
      <c r="B355" s="13" t="str">
        <f>IF($K355="","",347)</f>
        <v/>
      </c>
      <c r="C355" s="13" t="str">
        <f>IF($K355="","",INDEX('Detalle individual'!$A:$A,$K355))</f>
        <v/>
      </c>
      <c r="D355" s="72" t="str">
        <f>IF($K355="","",TRIM(INDEX('Detalle individual'!$B:$B,$K355)))</f>
        <v/>
      </c>
      <c r="E355" s="72" t="str">
        <f>IF($K355="","",TRIM(INDEX('Detalle individual'!$E:$E,$K355)))</f>
        <v/>
      </c>
      <c r="F355" s="72" t="str">
        <f>IF($K355="","",TRIM(INDEX('Detalle individual'!$C:$C,$K355)))</f>
        <v/>
      </c>
      <c r="G355" s="72" t="str">
        <f>IF($K355="","",INDEX('Detalle individual'!$D:$D,$K355))</f>
        <v/>
      </c>
      <c r="H355" s="13" t="str">
        <f>IF($K355="","",INDEX('Detalle individual'!$F:$F,$K355))</f>
        <v/>
      </c>
      <c r="I355" s="20" t="str">
        <f>IF($K355="","",IF(INDEX('Detalle individual'!$F:$F,$K355)="Completado",INDEX('Detalle individual'!$H:$H,$K355),""))</f>
        <v/>
      </c>
      <c r="J355" s="21" t="str">
        <f>IF($K355="","",IF(INDEX('Detalle individual'!$F:$F,$K355)="Completado",INDEX('Detalle individual'!$J:$J,$K355),""))</f>
        <v/>
      </c>
      <c r="K355" t="str">
        <f>IFERROR(MOD(SMALL(Cálculos!$Z$5:$Z$1000,347),10000),"")</f>
        <v/>
      </c>
    </row>
    <row r="356">
      <c r="B356" s="13" t="str">
        <f>IF($K356="","",348)</f>
        <v/>
      </c>
      <c r="C356" s="13" t="str">
        <f>IF($K356="","",INDEX('Detalle individual'!$A:$A,$K356))</f>
        <v/>
      </c>
      <c r="D356" s="72" t="str">
        <f>IF($K356="","",TRIM(INDEX('Detalle individual'!$B:$B,$K356)))</f>
        <v/>
      </c>
      <c r="E356" s="72" t="str">
        <f>IF($K356="","",TRIM(INDEX('Detalle individual'!$E:$E,$K356)))</f>
        <v/>
      </c>
      <c r="F356" s="72" t="str">
        <f>IF($K356="","",TRIM(INDEX('Detalle individual'!$C:$C,$K356)))</f>
        <v/>
      </c>
      <c r="G356" s="72" t="str">
        <f>IF($K356="","",INDEX('Detalle individual'!$D:$D,$K356))</f>
        <v/>
      </c>
      <c r="H356" s="13" t="str">
        <f>IF($K356="","",INDEX('Detalle individual'!$F:$F,$K356))</f>
        <v/>
      </c>
      <c r="I356" s="20" t="str">
        <f>IF($K356="","",IF(INDEX('Detalle individual'!$F:$F,$K356)="Completado",INDEX('Detalle individual'!$H:$H,$K356),""))</f>
        <v/>
      </c>
      <c r="J356" s="21" t="str">
        <f>IF($K356="","",IF(INDEX('Detalle individual'!$F:$F,$K356)="Completado",INDEX('Detalle individual'!$J:$J,$K356),""))</f>
        <v/>
      </c>
      <c r="K356" t="str">
        <f>IFERROR(MOD(SMALL(Cálculos!$Z$5:$Z$1000,348),10000),"")</f>
        <v/>
      </c>
    </row>
    <row r="357">
      <c r="B357" s="13" t="str">
        <f>IF($K357="","",349)</f>
        <v/>
      </c>
      <c r="C357" s="13" t="str">
        <f>IF($K357="","",INDEX('Detalle individual'!$A:$A,$K357))</f>
        <v/>
      </c>
      <c r="D357" s="72" t="str">
        <f>IF($K357="","",TRIM(INDEX('Detalle individual'!$B:$B,$K357)))</f>
        <v/>
      </c>
      <c r="E357" s="72" t="str">
        <f>IF($K357="","",TRIM(INDEX('Detalle individual'!$E:$E,$K357)))</f>
        <v/>
      </c>
      <c r="F357" s="72" t="str">
        <f>IF($K357="","",TRIM(INDEX('Detalle individual'!$C:$C,$K357)))</f>
        <v/>
      </c>
      <c r="G357" s="72" t="str">
        <f>IF($K357="","",INDEX('Detalle individual'!$D:$D,$K357))</f>
        <v/>
      </c>
      <c r="H357" s="13" t="str">
        <f>IF($K357="","",INDEX('Detalle individual'!$F:$F,$K357))</f>
        <v/>
      </c>
      <c r="I357" s="20" t="str">
        <f>IF($K357="","",IF(INDEX('Detalle individual'!$F:$F,$K357)="Completado",INDEX('Detalle individual'!$H:$H,$K357),""))</f>
        <v/>
      </c>
      <c r="J357" s="21" t="str">
        <f>IF($K357="","",IF(INDEX('Detalle individual'!$F:$F,$K357)="Completado",INDEX('Detalle individual'!$J:$J,$K357),""))</f>
        <v/>
      </c>
      <c r="K357" t="str">
        <f>IFERROR(MOD(SMALL(Cálculos!$Z$5:$Z$1000,349),10000),"")</f>
        <v/>
      </c>
    </row>
    <row r="358">
      <c r="B358" s="13" t="str">
        <f>IF($K358="","",350)</f>
        <v/>
      </c>
      <c r="C358" s="13" t="str">
        <f>IF($K358="","",INDEX('Detalle individual'!$A:$A,$K358))</f>
        <v/>
      </c>
      <c r="D358" s="72" t="str">
        <f>IF($K358="","",TRIM(INDEX('Detalle individual'!$B:$B,$K358)))</f>
        <v/>
      </c>
      <c r="E358" s="72" t="str">
        <f>IF($K358="","",TRIM(INDEX('Detalle individual'!$E:$E,$K358)))</f>
        <v/>
      </c>
      <c r="F358" s="72" t="str">
        <f>IF($K358="","",TRIM(INDEX('Detalle individual'!$C:$C,$K358)))</f>
        <v/>
      </c>
      <c r="G358" s="72" t="str">
        <f>IF($K358="","",INDEX('Detalle individual'!$D:$D,$K358))</f>
        <v/>
      </c>
      <c r="H358" s="13" t="str">
        <f>IF($K358="","",INDEX('Detalle individual'!$F:$F,$K358))</f>
        <v/>
      </c>
      <c r="I358" s="20" t="str">
        <f>IF($K358="","",IF(INDEX('Detalle individual'!$F:$F,$K358)="Completado",INDEX('Detalle individual'!$H:$H,$K358),""))</f>
        <v/>
      </c>
      <c r="J358" s="21" t="str">
        <f>IF($K358="","",IF(INDEX('Detalle individual'!$F:$F,$K358)="Completado",INDEX('Detalle individual'!$J:$J,$K358),""))</f>
        <v/>
      </c>
      <c r="K358" t="str">
        <f>IFERROR(MOD(SMALL(Cálculos!$Z$5:$Z$1000,350),10000),"")</f>
        <v/>
      </c>
    </row>
    <row r="359">
      <c r="B359" s="13" t="str">
        <f>IF($K359="","",351)</f>
        <v/>
      </c>
      <c r="C359" s="13" t="str">
        <f>IF($K359="","",INDEX('Detalle individual'!$A:$A,$K359))</f>
        <v/>
      </c>
      <c r="D359" s="72" t="str">
        <f>IF($K359="","",TRIM(INDEX('Detalle individual'!$B:$B,$K359)))</f>
        <v/>
      </c>
      <c r="E359" s="72" t="str">
        <f>IF($K359="","",TRIM(INDEX('Detalle individual'!$E:$E,$K359)))</f>
        <v/>
      </c>
      <c r="F359" s="72" t="str">
        <f>IF($K359="","",TRIM(INDEX('Detalle individual'!$C:$C,$K359)))</f>
        <v/>
      </c>
      <c r="G359" s="72" t="str">
        <f>IF($K359="","",INDEX('Detalle individual'!$D:$D,$K359))</f>
        <v/>
      </c>
      <c r="H359" s="13" t="str">
        <f>IF($K359="","",INDEX('Detalle individual'!$F:$F,$K359))</f>
        <v/>
      </c>
      <c r="I359" s="20" t="str">
        <f>IF($K359="","",IF(INDEX('Detalle individual'!$F:$F,$K359)="Completado",INDEX('Detalle individual'!$H:$H,$K359),""))</f>
        <v/>
      </c>
      <c r="J359" s="21" t="str">
        <f>IF($K359="","",IF(INDEX('Detalle individual'!$F:$F,$K359)="Completado",INDEX('Detalle individual'!$J:$J,$K359),""))</f>
        <v/>
      </c>
      <c r="K359" t="str">
        <f>IFERROR(MOD(SMALL(Cálculos!$Z$5:$Z$1000,351),10000),"")</f>
        <v/>
      </c>
    </row>
    <row r="360">
      <c r="B360" s="13" t="str">
        <f>IF($K360="","",352)</f>
        <v/>
      </c>
      <c r="C360" s="13" t="str">
        <f>IF($K360="","",INDEX('Detalle individual'!$A:$A,$K360))</f>
        <v/>
      </c>
      <c r="D360" s="72" t="str">
        <f>IF($K360="","",TRIM(INDEX('Detalle individual'!$B:$B,$K360)))</f>
        <v/>
      </c>
      <c r="E360" s="72" t="str">
        <f>IF($K360="","",TRIM(INDEX('Detalle individual'!$E:$E,$K360)))</f>
        <v/>
      </c>
      <c r="F360" s="72" t="str">
        <f>IF($K360="","",TRIM(INDEX('Detalle individual'!$C:$C,$K360)))</f>
        <v/>
      </c>
      <c r="G360" s="72" t="str">
        <f>IF($K360="","",INDEX('Detalle individual'!$D:$D,$K360))</f>
        <v/>
      </c>
      <c r="H360" s="13" t="str">
        <f>IF($K360="","",INDEX('Detalle individual'!$F:$F,$K360))</f>
        <v/>
      </c>
      <c r="I360" s="20" t="str">
        <f>IF($K360="","",IF(INDEX('Detalle individual'!$F:$F,$K360)="Completado",INDEX('Detalle individual'!$H:$H,$K360),""))</f>
        <v/>
      </c>
      <c r="J360" s="21" t="str">
        <f>IF($K360="","",IF(INDEX('Detalle individual'!$F:$F,$K360)="Completado",INDEX('Detalle individual'!$J:$J,$K360),""))</f>
        <v/>
      </c>
      <c r="K360" t="str">
        <f>IFERROR(MOD(SMALL(Cálculos!$Z$5:$Z$1000,352),10000),"")</f>
        <v/>
      </c>
    </row>
    <row r="361">
      <c r="B361" s="13" t="str">
        <f>IF($K361="","",353)</f>
        <v/>
      </c>
      <c r="C361" s="13" t="str">
        <f>IF($K361="","",INDEX('Detalle individual'!$A:$A,$K361))</f>
        <v/>
      </c>
      <c r="D361" s="72" t="str">
        <f>IF($K361="","",TRIM(INDEX('Detalle individual'!$B:$B,$K361)))</f>
        <v/>
      </c>
      <c r="E361" s="72" t="str">
        <f>IF($K361="","",TRIM(INDEX('Detalle individual'!$E:$E,$K361)))</f>
        <v/>
      </c>
      <c r="F361" s="72" t="str">
        <f>IF($K361="","",TRIM(INDEX('Detalle individual'!$C:$C,$K361)))</f>
        <v/>
      </c>
      <c r="G361" s="72" t="str">
        <f>IF($K361="","",INDEX('Detalle individual'!$D:$D,$K361))</f>
        <v/>
      </c>
      <c r="H361" s="13" t="str">
        <f>IF($K361="","",INDEX('Detalle individual'!$F:$F,$K361))</f>
        <v/>
      </c>
      <c r="I361" s="20" t="str">
        <f>IF($K361="","",IF(INDEX('Detalle individual'!$F:$F,$K361)="Completado",INDEX('Detalle individual'!$H:$H,$K361),""))</f>
        <v/>
      </c>
      <c r="J361" s="21" t="str">
        <f>IF($K361="","",IF(INDEX('Detalle individual'!$F:$F,$K361)="Completado",INDEX('Detalle individual'!$J:$J,$K361),""))</f>
        <v/>
      </c>
      <c r="K361" t="str">
        <f>IFERROR(MOD(SMALL(Cálculos!$Z$5:$Z$1000,353),10000),"")</f>
        <v/>
      </c>
    </row>
    <row r="362">
      <c r="B362" s="13" t="str">
        <f>IF($K362="","",354)</f>
        <v/>
      </c>
      <c r="C362" s="13" t="str">
        <f>IF($K362="","",INDEX('Detalle individual'!$A:$A,$K362))</f>
        <v/>
      </c>
      <c r="D362" s="72" t="str">
        <f>IF($K362="","",TRIM(INDEX('Detalle individual'!$B:$B,$K362)))</f>
        <v/>
      </c>
      <c r="E362" s="72" t="str">
        <f>IF($K362="","",TRIM(INDEX('Detalle individual'!$E:$E,$K362)))</f>
        <v/>
      </c>
      <c r="F362" s="72" t="str">
        <f>IF($K362="","",TRIM(INDEX('Detalle individual'!$C:$C,$K362)))</f>
        <v/>
      </c>
      <c r="G362" s="72" t="str">
        <f>IF($K362="","",INDEX('Detalle individual'!$D:$D,$K362))</f>
        <v/>
      </c>
      <c r="H362" s="13" t="str">
        <f>IF($K362="","",INDEX('Detalle individual'!$F:$F,$K362))</f>
        <v/>
      </c>
      <c r="I362" s="20" t="str">
        <f>IF($K362="","",IF(INDEX('Detalle individual'!$F:$F,$K362)="Completado",INDEX('Detalle individual'!$H:$H,$K362),""))</f>
        <v/>
      </c>
      <c r="J362" s="21" t="str">
        <f>IF($K362="","",IF(INDEX('Detalle individual'!$F:$F,$K362)="Completado",INDEX('Detalle individual'!$J:$J,$K362),""))</f>
        <v/>
      </c>
      <c r="K362" t="str">
        <f>IFERROR(MOD(SMALL(Cálculos!$Z$5:$Z$1000,354),10000),"")</f>
        <v/>
      </c>
    </row>
    <row r="363">
      <c r="B363" s="13" t="str">
        <f>IF($K363="","",355)</f>
        <v/>
      </c>
      <c r="C363" s="13" t="str">
        <f>IF($K363="","",INDEX('Detalle individual'!$A:$A,$K363))</f>
        <v/>
      </c>
      <c r="D363" s="72" t="str">
        <f>IF($K363="","",TRIM(INDEX('Detalle individual'!$B:$B,$K363)))</f>
        <v/>
      </c>
      <c r="E363" s="72" t="str">
        <f>IF($K363="","",TRIM(INDEX('Detalle individual'!$E:$E,$K363)))</f>
        <v/>
      </c>
      <c r="F363" s="72" t="str">
        <f>IF($K363="","",TRIM(INDEX('Detalle individual'!$C:$C,$K363)))</f>
        <v/>
      </c>
      <c r="G363" s="72" t="str">
        <f>IF($K363="","",INDEX('Detalle individual'!$D:$D,$K363))</f>
        <v/>
      </c>
      <c r="H363" s="13" t="str">
        <f>IF($K363="","",INDEX('Detalle individual'!$F:$F,$K363))</f>
        <v/>
      </c>
      <c r="I363" s="20" t="str">
        <f>IF($K363="","",IF(INDEX('Detalle individual'!$F:$F,$K363)="Completado",INDEX('Detalle individual'!$H:$H,$K363),""))</f>
        <v/>
      </c>
      <c r="J363" s="21" t="str">
        <f>IF($K363="","",IF(INDEX('Detalle individual'!$F:$F,$K363)="Completado",INDEX('Detalle individual'!$J:$J,$K363),""))</f>
        <v/>
      </c>
      <c r="K363" t="str">
        <f>IFERROR(MOD(SMALL(Cálculos!$Z$5:$Z$1000,355),10000),"")</f>
        <v/>
      </c>
    </row>
    <row r="364">
      <c r="B364" s="13" t="str">
        <f>IF($K364="","",356)</f>
        <v/>
      </c>
      <c r="C364" s="13" t="str">
        <f>IF($K364="","",INDEX('Detalle individual'!$A:$A,$K364))</f>
        <v/>
      </c>
      <c r="D364" s="72" t="str">
        <f>IF($K364="","",TRIM(INDEX('Detalle individual'!$B:$B,$K364)))</f>
        <v/>
      </c>
      <c r="E364" s="72" t="str">
        <f>IF($K364="","",TRIM(INDEX('Detalle individual'!$E:$E,$K364)))</f>
        <v/>
      </c>
      <c r="F364" s="72" t="str">
        <f>IF($K364="","",TRIM(INDEX('Detalle individual'!$C:$C,$K364)))</f>
        <v/>
      </c>
      <c r="G364" s="72" t="str">
        <f>IF($K364="","",INDEX('Detalle individual'!$D:$D,$K364))</f>
        <v/>
      </c>
      <c r="H364" s="13" t="str">
        <f>IF($K364="","",INDEX('Detalle individual'!$F:$F,$K364))</f>
        <v/>
      </c>
      <c r="I364" s="20" t="str">
        <f>IF($K364="","",IF(INDEX('Detalle individual'!$F:$F,$K364)="Completado",INDEX('Detalle individual'!$H:$H,$K364),""))</f>
        <v/>
      </c>
      <c r="J364" s="21" t="str">
        <f>IF($K364="","",IF(INDEX('Detalle individual'!$F:$F,$K364)="Completado",INDEX('Detalle individual'!$J:$J,$K364),""))</f>
        <v/>
      </c>
      <c r="K364" t="str">
        <f>IFERROR(MOD(SMALL(Cálculos!$Z$5:$Z$1000,356),10000),"")</f>
        <v/>
      </c>
    </row>
    <row r="365">
      <c r="B365" s="13" t="str">
        <f>IF($K365="","",357)</f>
        <v/>
      </c>
      <c r="C365" s="13" t="str">
        <f>IF($K365="","",INDEX('Detalle individual'!$A:$A,$K365))</f>
        <v/>
      </c>
      <c r="D365" s="72" t="str">
        <f>IF($K365="","",TRIM(INDEX('Detalle individual'!$B:$B,$K365)))</f>
        <v/>
      </c>
      <c r="E365" s="72" t="str">
        <f>IF($K365="","",TRIM(INDEX('Detalle individual'!$E:$E,$K365)))</f>
        <v/>
      </c>
      <c r="F365" s="72" t="str">
        <f>IF($K365="","",TRIM(INDEX('Detalle individual'!$C:$C,$K365)))</f>
        <v/>
      </c>
      <c r="G365" s="72" t="str">
        <f>IF($K365="","",INDEX('Detalle individual'!$D:$D,$K365))</f>
        <v/>
      </c>
      <c r="H365" s="13" t="str">
        <f>IF($K365="","",INDEX('Detalle individual'!$F:$F,$K365))</f>
        <v/>
      </c>
      <c r="I365" s="20" t="str">
        <f>IF($K365="","",IF(INDEX('Detalle individual'!$F:$F,$K365)="Completado",INDEX('Detalle individual'!$H:$H,$K365),""))</f>
        <v/>
      </c>
      <c r="J365" s="21" t="str">
        <f>IF($K365="","",IF(INDEX('Detalle individual'!$F:$F,$K365)="Completado",INDEX('Detalle individual'!$J:$J,$K365),""))</f>
        <v/>
      </c>
      <c r="K365" t="str">
        <f>IFERROR(MOD(SMALL(Cálculos!$Z$5:$Z$1000,357),10000),"")</f>
        <v/>
      </c>
    </row>
    <row r="366">
      <c r="B366" s="13" t="str">
        <f>IF($K366="","",358)</f>
        <v/>
      </c>
      <c r="C366" s="13" t="str">
        <f>IF($K366="","",INDEX('Detalle individual'!$A:$A,$K366))</f>
        <v/>
      </c>
      <c r="D366" s="72" t="str">
        <f>IF($K366="","",TRIM(INDEX('Detalle individual'!$B:$B,$K366)))</f>
        <v/>
      </c>
      <c r="E366" s="72" t="str">
        <f>IF($K366="","",TRIM(INDEX('Detalle individual'!$E:$E,$K366)))</f>
        <v/>
      </c>
      <c r="F366" s="72" t="str">
        <f>IF($K366="","",TRIM(INDEX('Detalle individual'!$C:$C,$K366)))</f>
        <v/>
      </c>
      <c r="G366" s="72" t="str">
        <f>IF($K366="","",INDEX('Detalle individual'!$D:$D,$K366))</f>
        <v/>
      </c>
      <c r="H366" s="13" t="str">
        <f>IF($K366="","",INDEX('Detalle individual'!$F:$F,$K366))</f>
        <v/>
      </c>
      <c r="I366" s="20" t="str">
        <f>IF($K366="","",IF(INDEX('Detalle individual'!$F:$F,$K366)="Completado",INDEX('Detalle individual'!$H:$H,$K366),""))</f>
        <v/>
      </c>
      <c r="J366" s="21" t="str">
        <f>IF($K366="","",IF(INDEX('Detalle individual'!$F:$F,$K366)="Completado",INDEX('Detalle individual'!$J:$J,$K366),""))</f>
        <v/>
      </c>
      <c r="K366" t="str">
        <f>IFERROR(MOD(SMALL(Cálculos!$Z$5:$Z$1000,358),10000),"")</f>
        <v/>
      </c>
    </row>
    <row r="367">
      <c r="B367" s="13" t="str">
        <f>IF($K367="","",359)</f>
        <v/>
      </c>
      <c r="C367" s="13" t="str">
        <f>IF($K367="","",INDEX('Detalle individual'!$A:$A,$K367))</f>
        <v/>
      </c>
      <c r="D367" s="72" t="str">
        <f>IF($K367="","",TRIM(INDEX('Detalle individual'!$B:$B,$K367)))</f>
        <v/>
      </c>
      <c r="E367" s="72" t="str">
        <f>IF($K367="","",TRIM(INDEX('Detalle individual'!$E:$E,$K367)))</f>
        <v/>
      </c>
      <c r="F367" s="72" t="str">
        <f>IF($K367="","",TRIM(INDEX('Detalle individual'!$C:$C,$K367)))</f>
        <v/>
      </c>
      <c r="G367" s="72" t="str">
        <f>IF($K367="","",INDEX('Detalle individual'!$D:$D,$K367))</f>
        <v/>
      </c>
      <c r="H367" s="13" t="str">
        <f>IF($K367="","",INDEX('Detalle individual'!$F:$F,$K367))</f>
        <v/>
      </c>
      <c r="I367" s="20" t="str">
        <f>IF($K367="","",IF(INDEX('Detalle individual'!$F:$F,$K367)="Completado",INDEX('Detalle individual'!$H:$H,$K367),""))</f>
        <v/>
      </c>
      <c r="J367" s="21" t="str">
        <f>IF($K367="","",IF(INDEX('Detalle individual'!$F:$F,$K367)="Completado",INDEX('Detalle individual'!$J:$J,$K367),""))</f>
        <v/>
      </c>
      <c r="K367" t="str">
        <f>IFERROR(MOD(SMALL(Cálculos!$Z$5:$Z$1000,359),10000),"")</f>
        <v/>
      </c>
    </row>
    <row r="368">
      <c r="B368" s="13" t="str">
        <f>IF($K368="","",360)</f>
        <v/>
      </c>
      <c r="C368" s="13" t="str">
        <f>IF($K368="","",INDEX('Detalle individual'!$A:$A,$K368))</f>
        <v/>
      </c>
      <c r="D368" s="72" t="str">
        <f>IF($K368="","",TRIM(INDEX('Detalle individual'!$B:$B,$K368)))</f>
        <v/>
      </c>
      <c r="E368" s="72" t="str">
        <f>IF($K368="","",TRIM(INDEX('Detalle individual'!$E:$E,$K368)))</f>
        <v/>
      </c>
      <c r="F368" s="72" t="str">
        <f>IF($K368="","",TRIM(INDEX('Detalle individual'!$C:$C,$K368)))</f>
        <v/>
      </c>
      <c r="G368" s="72" t="str">
        <f>IF($K368="","",INDEX('Detalle individual'!$D:$D,$K368))</f>
        <v/>
      </c>
      <c r="H368" s="13" t="str">
        <f>IF($K368="","",INDEX('Detalle individual'!$F:$F,$K368))</f>
        <v/>
      </c>
      <c r="I368" s="20" t="str">
        <f>IF($K368="","",IF(INDEX('Detalle individual'!$F:$F,$K368)="Completado",INDEX('Detalle individual'!$H:$H,$K368),""))</f>
        <v/>
      </c>
      <c r="J368" s="21" t="str">
        <f>IF($K368="","",IF(INDEX('Detalle individual'!$F:$F,$K368)="Completado",INDEX('Detalle individual'!$J:$J,$K368),""))</f>
        <v/>
      </c>
      <c r="K368" t="str">
        <f>IFERROR(MOD(SMALL(Cálculos!$Z$5:$Z$1000,360),10000),"")</f>
        <v/>
      </c>
    </row>
    <row r="369">
      <c r="B369" s="13" t="str">
        <f>IF($K369="","",361)</f>
        <v/>
      </c>
      <c r="C369" s="13" t="str">
        <f>IF($K369="","",INDEX('Detalle individual'!$A:$A,$K369))</f>
        <v/>
      </c>
      <c r="D369" s="72" t="str">
        <f>IF($K369="","",TRIM(INDEX('Detalle individual'!$B:$B,$K369)))</f>
        <v/>
      </c>
      <c r="E369" s="72" t="str">
        <f>IF($K369="","",TRIM(INDEX('Detalle individual'!$E:$E,$K369)))</f>
        <v/>
      </c>
      <c r="F369" s="72" t="str">
        <f>IF($K369="","",TRIM(INDEX('Detalle individual'!$C:$C,$K369)))</f>
        <v/>
      </c>
      <c r="G369" s="72" t="str">
        <f>IF($K369="","",INDEX('Detalle individual'!$D:$D,$K369))</f>
        <v/>
      </c>
      <c r="H369" s="13" t="str">
        <f>IF($K369="","",INDEX('Detalle individual'!$F:$F,$K369))</f>
        <v/>
      </c>
      <c r="I369" s="20" t="str">
        <f>IF($K369="","",IF(INDEX('Detalle individual'!$F:$F,$K369)="Completado",INDEX('Detalle individual'!$H:$H,$K369),""))</f>
        <v/>
      </c>
      <c r="J369" s="21" t="str">
        <f>IF($K369="","",IF(INDEX('Detalle individual'!$F:$F,$K369)="Completado",INDEX('Detalle individual'!$J:$J,$K369),""))</f>
        <v/>
      </c>
      <c r="K369" t="str">
        <f>IFERROR(MOD(SMALL(Cálculos!$Z$5:$Z$1000,361),10000),"")</f>
        <v/>
      </c>
    </row>
    <row r="370">
      <c r="B370" s="13" t="str">
        <f>IF($K370="","",362)</f>
        <v/>
      </c>
      <c r="C370" s="13" t="str">
        <f>IF($K370="","",INDEX('Detalle individual'!$A:$A,$K370))</f>
        <v/>
      </c>
      <c r="D370" s="72" t="str">
        <f>IF($K370="","",TRIM(INDEX('Detalle individual'!$B:$B,$K370)))</f>
        <v/>
      </c>
      <c r="E370" s="72" t="str">
        <f>IF($K370="","",TRIM(INDEX('Detalle individual'!$E:$E,$K370)))</f>
        <v/>
      </c>
      <c r="F370" s="72" t="str">
        <f>IF($K370="","",TRIM(INDEX('Detalle individual'!$C:$C,$K370)))</f>
        <v/>
      </c>
      <c r="G370" s="72" t="str">
        <f>IF($K370="","",INDEX('Detalle individual'!$D:$D,$K370))</f>
        <v/>
      </c>
      <c r="H370" s="13" t="str">
        <f>IF($K370="","",INDEX('Detalle individual'!$F:$F,$K370))</f>
        <v/>
      </c>
      <c r="I370" s="20" t="str">
        <f>IF($K370="","",IF(INDEX('Detalle individual'!$F:$F,$K370)="Completado",INDEX('Detalle individual'!$H:$H,$K370),""))</f>
        <v/>
      </c>
      <c r="J370" s="21" t="str">
        <f>IF($K370="","",IF(INDEX('Detalle individual'!$F:$F,$K370)="Completado",INDEX('Detalle individual'!$J:$J,$K370),""))</f>
        <v/>
      </c>
      <c r="K370" t="str">
        <f>IFERROR(MOD(SMALL(Cálculos!$Z$5:$Z$1000,362),10000),"")</f>
        <v/>
      </c>
    </row>
    <row r="371">
      <c r="B371" s="13" t="str">
        <f>IF($K371="","",363)</f>
        <v/>
      </c>
      <c r="C371" s="13" t="str">
        <f>IF($K371="","",INDEX('Detalle individual'!$A:$A,$K371))</f>
        <v/>
      </c>
      <c r="D371" s="72" t="str">
        <f>IF($K371="","",TRIM(INDEX('Detalle individual'!$B:$B,$K371)))</f>
        <v/>
      </c>
      <c r="E371" s="72" t="str">
        <f>IF($K371="","",TRIM(INDEX('Detalle individual'!$E:$E,$K371)))</f>
        <v/>
      </c>
      <c r="F371" s="72" t="str">
        <f>IF($K371="","",TRIM(INDEX('Detalle individual'!$C:$C,$K371)))</f>
        <v/>
      </c>
      <c r="G371" s="72" t="str">
        <f>IF($K371="","",INDEX('Detalle individual'!$D:$D,$K371))</f>
        <v/>
      </c>
      <c r="H371" s="13" t="str">
        <f>IF($K371="","",INDEX('Detalle individual'!$F:$F,$K371))</f>
        <v/>
      </c>
      <c r="I371" s="20" t="str">
        <f>IF($K371="","",IF(INDEX('Detalle individual'!$F:$F,$K371)="Completado",INDEX('Detalle individual'!$H:$H,$K371),""))</f>
        <v/>
      </c>
      <c r="J371" s="21" t="str">
        <f>IF($K371="","",IF(INDEX('Detalle individual'!$F:$F,$K371)="Completado",INDEX('Detalle individual'!$J:$J,$K371),""))</f>
        <v/>
      </c>
      <c r="K371" t="str">
        <f>IFERROR(MOD(SMALL(Cálculos!$Z$5:$Z$1000,363),10000),"")</f>
        <v/>
      </c>
    </row>
    <row r="372">
      <c r="B372" s="13" t="str">
        <f>IF($K372="","",364)</f>
        <v/>
      </c>
      <c r="C372" s="13" t="str">
        <f>IF($K372="","",INDEX('Detalle individual'!$A:$A,$K372))</f>
        <v/>
      </c>
      <c r="D372" s="72" t="str">
        <f>IF($K372="","",TRIM(INDEX('Detalle individual'!$B:$B,$K372)))</f>
        <v/>
      </c>
      <c r="E372" s="72" t="str">
        <f>IF($K372="","",TRIM(INDEX('Detalle individual'!$E:$E,$K372)))</f>
        <v/>
      </c>
      <c r="F372" s="72" t="str">
        <f>IF($K372="","",TRIM(INDEX('Detalle individual'!$C:$C,$K372)))</f>
        <v/>
      </c>
      <c r="G372" s="72" t="str">
        <f>IF($K372="","",INDEX('Detalle individual'!$D:$D,$K372))</f>
        <v/>
      </c>
      <c r="H372" s="13" t="str">
        <f>IF($K372="","",INDEX('Detalle individual'!$F:$F,$K372))</f>
        <v/>
      </c>
      <c r="I372" s="20" t="str">
        <f>IF($K372="","",IF(INDEX('Detalle individual'!$F:$F,$K372)="Completado",INDEX('Detalle individual'!$H:$H,$K372),""))</f>
        <v/>
      </c>
      <c r="J372" s="21" t="str">
        <f>IF($K372="","",IF(INDEX('Detalle individual'!$F:$F,$K372)="Completado",INDEX('Detalle individual'!$J:$J,$K372),""))</f>
        <v/>
      </c>
      <c r="K372" t="str">
        <f>IFERROR(MOD(SMALL(Cálculos!$Z$5:$Z$1000,364),10000),"")</f>
        <v/>
      </c>
    </row>
    <row r="373">
      <c r="B373" s="13" t="str">
        <f>IF($K373="","",365)</f>
        <v/>
      </c>
      <c r="C373" s="13" t="str">
        <f>IF($K373="","",INDEX('Detalle individual'!$A:$A,$K373))</f>
        <v/>
      </c>
      <c r="D373" s="72" t="str">
        <f>IF($K373="","",TRIM(INDEX('Detalle individual'!$B:$B,$K373)))</f>
        <v/>
      </c>
      <c r="E373" s="72" t="str">
        <f>IF($K373="","",TRIM(INDEX('Detalle individual'!$E:$E,$K373)))</f>
        <v/>
      </c>
      <c r="F373" s="72" t="str">
        <f>IF($K373="","",TRIM(INDEX('Detalle individual'!$C:$C,$K373)))</f>
        <v/>
      </c>
      <c r="G373" s="72" t="str">
        <f>IF($K373="","",INDEX('Detalle individual'!$D:$D,$K373))</f>
        <v/>
      </c>
      <c r="H373" s="13" t="str">
        <f>IF($K373="","",INDEX('Detalle individual'!$F:$F,$K373))</f>
        <v/>
      </c>
      <c r="I373" s="20" t="str">
        <f>IF($K373="","",IF(INDEX('Detalle individual'!$F:$F,$K373)="Completado",INDEX('Detalle individual'!$H:$H,$K373),""))</f>
        <v/>
      </c>
      <c r="J373" s="21" t="str">
        <f>IF($K373="","",IF(INDEX('Detalle individual'!$F:$F,$K373)="Completado",INDEX('Detalle individual'!$J:$J,$K373),""))</f>
        <v/>
      </c>
      <c r="K373" t="str">
        <f>IFERROR(MOD(SMALL(Cálculos!$Z$5:$Z$1000,365),10000),"")</f>
        <v/>
      </c>
    </row>
    <row r="374">
      <c r="B374" s="13" t="str">
        <f>IF($K374="","",366)</f>
        <v/>
      </c>
      <c r="C374" s="13" t="str">
        <f>IF($K374="","",INDEX('Detalle individual'!$A:$A,$K374))</f>
        <v/>
      </c>
      <c r="D374" s="72" t="str">
        <f>IF($K374="","",TRIM(INDEX('Detalle individual'!$B:$B,$K374)))</f>
        <v/>
      </c>
      <c r="E374" s="72" t="str">
        <f>IF($K374="","",TRIM(INDEX('Detalle individual'!$E:$E,$K374)))</f>
        <v/>
      </c>
      <c r="F374" s="72" t="str">
        <f>IF($K374="","",TRIM(INDEX('Detalle individual'!$C:$C,$K374)))</f>
        <v/>
      </c>
      <c r="G374" s="72" t="str">
        <f>IF($K374="","",INDEX('Detalle individual'!$D:$D,$K374))</f>
        <v/>
      </c>
      <c r="H374" s="13" t="str">
        <f>IF($K374="","",INDEX('Detalle individual'!$F:$F,$K374))</f>
        <v/>
      </c>
      <c r="I374" s="20" t="str">
        <f>IF($K374="","",IF(INDEX('Detalle individual'!$F:$F,$K374)="Completado",INDEX('Detalle individual'!$H:$H,$K374),""))</f>
        <v/>
      </c>
      <c r="J374" s="21" t="str">
        <f>IF($K374="","",IF(INDEX('Detalle individual'!$F:$F,$K374)="Completado",INDEX('Detalle individual'!$J:$J,$K374),""))</f>
        <v/>
      </c>
      <c r="K374" t="str">
        <f>IFERROR(MOD(SMALL(Cálculos!$Z$5:$Z$1000,366),10000),"")</f>
        <v/>
      </c>
    </row>
    <row r="375">
      <c r="B375" s="13" t="str">
        <f>IF($K375="","",367)</f>
        <v/>
      </c>
      <c r="C375" s="13" t="str">
        <f>IF($K375="","",INDEX('Detalle individual'!$A:$A,$K375))</f>
        <v/>
      </c>
      <c r="D375" s="72" t="str">
        <f>IF($K375="","",TRIM(INDEX('Detalle individual'!$B:$B,$K375)))</f>
        <v/>
      </c>
      <c r="E375" s="72" t="str">
        <f>IF($K375="","",TRIM(INDEX('Detalle individual'!$E:$E,$K375)))</f>
        <v/>
      </c>
      <c r="F375" s="72" t="str">
        <f>IF($K375="","",TRIM(INDEX('Detalle individual'!$C:$C,$K375)))</f>
        <v/>
      </c>
      <c r="G375" s="72" t="str">
        <f>IF($K375="","",INDEX('Detalle individual'!$D:$D,$K375))</f>
        <v/>
      </c>
      <c r="H375" s="13" t="str">
        <f>IF($K375="","",INDEX('Detalle individual'!$F:$F,$K375))</f>
        <v/>
      </c>
      <c r="I375" s="20" t="str">
        <f>IF($K375="","",IF(INDEX('Detalle individual'!$F:$F,$K375)="Completado",INDEX('Detalle individual'!$H:$H,$K375),""))</f>
        <v/>
      </c>
      <c r="J375" s="21" t="str">
        <f>IF($K375="","",IF(INDEX('Detalle individual'!$F:$F,$K375)="Completado",INDEX('Detalle individual'!$J:$J,$K375),""))</f>
        <v/>
      </c>
      <c r="K375" t="str">
        <f>IFERROR(MOD(SMALL(Cálculos!$Z$5:$Z$1000,367),10000),"")</f>
        <v/>
      </c>
    </row>
    <row r="376">
      <c r="B376" s="13" t="str">
        <f>IF($K376="","",368)</f>
        <v/>
      </c>
      <c r="C376" s="13" t="str">
        <f>IF($K376="","",INDEX('Detalle individual'!$A:$A,$K376))</f>
        <v/>
      </c>
      <c r="D376" s="72" t="str">
        <f>IF($K376="","",TRIM(INDEX('Detalle individual'!$B:$B,$K376)))</f>
        <v/>
      </c>
      <c r="E376" s="72" t="str">
        <f>IF($K376="","",TRIM(INDEX('Detalle individual'!$E:$E,$K376)))</f>
        <v/>
      </c>
      <c r="F376" s="72" t="str">
        <f>IF($K376="","",TRIM(INDEX('Detalle individual'!$C:$C,$K376)))</f>
        <v/>
      </c>
      <c r="G376" s="72" t="str">
        <f>IF($K376="","",INDEX('Detalle individual'!$D:$D,$K376))</f>
        <v/>
      </c>
      <c r="H376" s="13" t="str">
        <f>IF($K376="","",INDEX('Detalle individual'!$F:$F,$K376))</f>
        <v/>
      </c>
      <c r="I376" s="20" t="str">
        <f>IF($K376="","",IF(INDEX('Detalle individual'!$F:$F,$K376)="Completado",INDEX('Detalle individual'!$H:$H,$K376),""))</f>
        <v/>
      </c>
      <c r="J376" s="21" t="str">
        <f>IF($K376="","",IF(INDEX('Detalle individual'!$F:$F,$K376)="Completado",INDEX('Detalle individual'!$J:$J,$K376),""))</f>
        <v/>
      </c>
      <c r="K376" t="str">
        <f>IFERROR(MOD(SMALL(Cálculos!$Z$5:$Z$1000,368),10000),"")</f>
        <v/>
      </c>
    </row>
    <row r="377">
      <c r="B377" s="13" t="str">
        <f>IF($K377="","",369)</f>
        <v/>
      </c>
      <c r="C377" s="13" t="str">
        <f>IF($K377="","",INDEX('Detalle individual'!$A:$A,$K377))</f>
        <v/>
      </c>
      <c r="D377" s="72" t="str">
        <f>IF($K377="","",TRIM(INDEX('Detalle individual'!$B:$B,$K377)))</f>
        <v/>
      </c>
      <c r="E377" s="72" t="str">
        <f>IF($K377="","",TRIM(INDEX('Detalle individual'!$E:$E,$K377)))</f>
        <v/>
      </c>
      <c r="F377" s="72" t="str">
        <f>IF($K377="","",TRIM(INDEX('Detalle individual'!$C:$C,$K377)))</f>
        <v/>
      </c>
      <c r="G377" s="72" t="str">
        <f>IF($K377="","",INDEX('Detalle individual'!$D:$D,$K377))</f>
        <v/>
      </c>
      <c r="H377" s="13" t="str">
        <f>IF($K377="","",INDEX('Detalle individual'!$F:$F,$K377))</f>
        <v/>
      </c>
      <c r="I377" s="20" t="str">
        <f>IF($K377="","",IF(INDEX('Detalle individual'!$F:$F,$K377)="Completado",INDEX('Detalle individual'!$H:$H,$K377),""))</f>
        <v/>
      </c>
      <c r="J377" s="21" t="str">
        <f>IF($K377="","",IF(INDEX('Detalle individual'!$F:$F,$K377)="Completado",INDEX('Detalle individual'!$J:$J,$K377),""))</f>
        <v/>
      </c>
      <c r="K377" t="str">
        <f>IFERROR(MOD(SMALL(Cálculos!$Z$5:$Z$1000,369),10000),"")</f>
        <v/>
      </c>
    </row>
    <row r="378">
      <c r="B378" s="13" t="str">
        <f>IF($K378="","",370)</f>
        <v/>
      </c>
      <c r="C378" s="13" t="str">
        <f>IF($K378="","",INDEX('Detalle individual'!$A:$A,$K378))</f>
        <v/>
      </c>
      <c r="D378" s="72" t="str">
        <f>IF($K378="","",TRIM(INDEX('Detalle individual'!$B:$B,$K378)))</f>
        <v/>
      </c>
      <c r="E378" s="72" t="str">
        <f>IF($K378="","",TRIM(INDEX('Detalle individual'!$E:$E,$K378)))</f>
        <v/>
      </c>
      <c r="F378" s="72" t="str">
        <f>IF($K378="","",TRIM(INDEX('Detalle individual'!$C:$C,$K378)))</f>
        <v/>
      </c>
      <c r="G378" s="72" t="str">
        <f>IF($K378="","",INDEX('Detalle individual'!$D:$D,$K378))</f>
        <v/>
      </c>
      <c r="H378" s="13" t="str">
        <f>IF($K378="","",INDEX('Detalle individual'!$F:$F,$K378))</f>
        <v/>
      </c>
      <c r="I378" s="20" t="str">
        <f>IF($K378="","",IF(INDEX('Detalle individual'!$F:$F,$K378)="Completado",INDEX('Detalle individual'!$H:$H,$K378),""))</f>
        <v/>
      </c>
      <c r="J378" s="21" t="str">
        <f>IF($K378="","",IF(INDEX('Detalle individual'!$F:$F,$K378)="Completado",INDEX('Detalle individual'!$J:$J,$K378),""))</f>
        <v/>
      </c>
      <c r="K378" t="str">
        <f>IFERROR(MOD(SMALL(Cálculos!$Z$5:$Z$1000,370),10000),"")</f>
        <v/>
      </c>
    </row>
    <row r="379">
      <c r="B379" s="13" t="str">
        <f>IF($K379="","",371)</f>
        <v/>
      </c>
      <c r="C379" s="13" t="str">
        <f>IF($K379="","",INDEX('Detalle individual'!$A:$A,$K379))</f>
        <v/>
      </c>
      <c r="D379" s="72" t="str">
        <f>IF($K379="","",TRIM(INDEX('Detalle individual'!$B:$B,$K379)))</f>
        <v/>
      </c>
      <c r="E379" s="72" t="str">
        <f>IF($K379="","",TRIM(INDEX('Detalle individual'!$E:$E,$K379)))</f>
        <v/>
      </c>
      <c r="F379" s="72" t="str">
        <f>IF($K379="","",TRIM(INDEX('Detalle individual'!$C:$C,$K379)))</f>
        <v/>
      </c>
      <c r="G379" s="72" t="str">
        <f>IF($K379="","",INDEX('Detalle individual'!$D:$D,$K379))</f>
        <v/>
      </c>
      <c r="H379" s="13" t="str">
        <f>IF($K379="","",INDEX('Detalle individual'!$F:$F,$K379))</f>
        <v/>
      </c>
      <c r="I379" s="20" t="str">
        <f>IF($K379="","",IF(INDEX('Detalle individual'!$F:$F,$K379)="Completado",INDEX('Detalle individual'!$H:$H,$K379),""))</f>
        <v/>
      </c>
      <c r="J379" s="21" t="str">
        <f>IF($K379="","",IF(INDEX('Detalle individual'!$F:$F,$K379)="Completado",INDEX('Detalle individual'!$J:$J,$K379),""))</f>
        <v/>
      </c>
      <c r="K379" t="str">
        <f>IFERROR(MOD(SMALL(Cálculos!$Z$5:$Z$1000,371),10000),"")</f>
        <v/>
      </c>
    </row>
    <row r="380">
      <c r="B380" s="13" t="str">
        <f>IF($K380="","",372)</f>
        <v/>
      </c>
      <c r="C380" s="13" t="str">
        <f>IF($K380="","",INDEX('Detalle individual'!$A:$A,$K380))</f>
        <v/>
      </c>
      <c r="D380" s="72" t="str">
        <f>IF($K380="","",TRIM(INDEX('Detalle individual'!$B:$B,$K380)))</f>
        <v/>
      </c>
      <c r="E380" s="72" t="str">
        <f>IF($K380="","",TRIM(INDEX('Detalle individual'!$E:$E,$K380)))</f>
        <v/>
      </c>
      <c r="F380" s="72" t="str">
        <f>IF($K380="","",TRIM(INDEX('Detalle individual'!$C:$C,$K380)))</f>
        <v/>
      </c>
      <c r="G380" s="72" t="str">
        <f>IF($K380="","",INDEX('Detalle individual'!$D:$D,$K380))</f>
        <v/>
      </c>
      <c r="H380" s="13" t="str">
        <f>IF($K380="","",INDEX('Detalle individual'!$F:$F,$K380))</f>
        <v/>
      </c>
      <c r="I380" s="20" t="str">
        <f>IF($K380="","",IF(INDEX('Detalle individual'!$F:$F,$K380)="Completado",INDEX('Detalle individual'!$H:$H,$K380),""))</f>
        <v/>
      </c>
      <c r="J380" s="21" t="str">
        <f>IF($K380="","",IF(INDEX('Detalle individual'!$F:$F,$K380)="Completado",INDEX('Detalle individual'!$J:$J,$K380),""))</f>
        <v/>
      </c>
      <c r="K380" t="str">
        <f>IFERROR(MOD(SMALL(Cálculos!$Z$5:$Z$1000,372),10000),"")</f>
        <v/>
      </c>
    </row>
    <row r="381">
      <c r="B381" s="13" t="str">
        <f>IF($K381="","",373)</f>
        <v/>
      </c>
      <c r="C381" s="13" t="str">
        <f>IF($K381="","",INDEX('Detalle individual'!$A:$A,$K381))</f>
        <v/>
      </c>
      <c r="D381" s="72" t="str">
        <f>IF($K381="","",TRIM(INDEX('Detalle individual'!$B:$B,$K381)))</f>
        <v/>
      </c>
      <c r="E381" s="72" t="str">
        <f>IF($K381="","",TRIM(INDEX('Detalle individual'!$E:$E,$K381)))</f>
        <v/>
      </c>
      <c r="F381" s="72" t="str">
        <f>IF($K381="","",TRIM(INDEX('Detalle individual'!$C:$C,$K381)))</f>
        <v/>
      </c>
      <c r="G381" s="72" t="str">
        <f>IF($K381="","",INDEX('Detalle individual'!$D:$D,$K381))</f>
        <v/>
      </c>
      <c r="H381" s="13" t="str">
        <f>IF($K381="","",INDEX('Detalle individual'!$F:$F,$K381))</f>
        <v/>
      </c>
      <c r="I381" s="20" t="str">
        <f>IF($K381="","",IF(INDEX('Detalle individual'!$F:$F,$K381)="Completado",INDEX('Detalle individual'!$H:$H,$K381),""))</f>
        <v/>
      </c>
      <c r="J381" s="21" t="str">
        <f>IF($K381="","",IF(INDEX('Detalle individual'!$F:$F,$K381)="Completado",INDEX('Detalle individual'!$J:$J,$K381),""))</f>
        <v/>
      </c>
      <c r="K381" t="str">
        <f>IFERROR(MOD(SMALL(Cálculos!$Z$5:$Z$1000,373),10000),"")</f>
        <v/>
      </c>
    </row>
    <row r="382">
      <c r="B382" s="13" t="str">
        <f>IF($K382="","",374)</f>
        <v/>
      </c>
      <c r="C382" s="13" t="str">
        <f>IF($K382="","",INDEX('Detalle individual'!$A:$A,$K382))</f>
        <v/>
      </c>
      <c r="D382" s="72" t="str">
        <f>IF($K382="","",TRIM(INDEX('Detalle individual'!$B:$B,$K382)))</f>
        <v/>
      </c>
      <c r="E382" s="72" t="str">
        <f>IF($K382="","",TRIM(INDEX('Detalle individual'!$E:$E,$K382)))</f>
        <v/>
      </c>
      <c r="F382" s="72" t="str">
        <f>IF($K382="","",TRIM(INDEX('Detalle individual'!$C:$C,$K382)))</f>
        <v/>
      </c>
      <c r="G382" s="72" t="str">
        <f>IF($K382="","",INDEX('Detalle individual'!$D:$D,$K382))</f>
        <v/>
      </c>
      <c r="H382" s="13" t="str">
        <f>IF($K382="","",INDEX('Detalle individual'!$F:$F,$K382))</f>
        <v/>
      </c>
      <c r="I382" s="20" t="str">
        <f>IF($K382="","",IF(INDEX('Detalle individual'!$F:$F,$K382)="Completado",INDEX('Detalle individual'!$H:$H,$K382),""))</f>
        <v/>
      </c>
      <c r="J382" s="21" t="str">
        <f>IF($K382="","",IF(INDEX('Detalle individual'!$F:$F,$K382)="Completado",INDEX('Detalle individual'!$J:$J,$K382),""))</f>
        <v/>
      </c>
      <c r="K382" t="str">
        <f>IFERROR(MOD(SMALL(Cálculos!$Z$5:$Z$1000,374),10000),"")</f>
        <v/>
      </c>
    </row>
    <row r="383">
      <c r="B383" s="13" t="str">
        <f>IF($K383="","",375)</f>
        <v/>
      </c>
      <c r="C383" s="13" t="str">
        <f>IF($K383="","",INDEX('Detalle individual'!$A:$A,$K383))</f>
        <v/>
      </c>
      <c r="D383" s="72" t="str">
        <f>IF($K383="","",TRIM(INDEX('Detalle individual'!$B:$B,$K383)))</f>
        <v/>
      </c>
      <c r="E383" s="72" t="str">
        <f>IF($K383="","",TRIM(INDEX('Detalle individual'!$E:$E,$K383)))</f>
        <v/>
      </c>
      <c r="F383" s="72" t="str">
        <f>IF($K383="","",TRIM(INDEX('Detalle individual'!$C:$C,$K383)))</f>
        <v/>
      </c>
      <c r="G383" s="72" t="str">
        <f>IF($K383="","",INDEX('Detalle individual'!$D:$D,$K383))</f>
        <v/>
      </c>
      <c r="H383" s="13" t="str">
        <f>IF($K383="","",INDEX('Detalle individual'!$F:$F,$K383))</f>
        <v/>
      </c>
      <c r="I383" s="20" t="str">
        <f>IF($K383="","",IF(INDEX('Detalle individual'!$F:$F,$K383)="Completado",INDEX('Detalle individual'!$H:$H,$K383),""))</f>
        <v/>
      </c>
      <c r="J383" s="21" t="str">
        <f>IF($K383="","",IF(INDEX('Detalle individual'!$F:$F,$K383)="Completado",INDEX('Detalle individual'!$J:$J,$K383),""))</f>
        <v/>
      </c>
      <c r="K383" t="str">
        <f>IFERROR(MOD(SMALL(Cálculos!$Z$5:$Z$1000,375),10000),"")</f>
        <v/>
      </c>
    </row>
    <row r="384">
      <c r="B384" s="13" t="str">
        <f>IF($K384="","",376)</f>
        <v/>
      </c>
      <c r="C384" s="13" t="str">
        <f>IF($K384="","",INDEX('Detalle individual'!$A:$A,$K384))</f>
        <v/>
      </c>
      <c r="D384" s="72" t="str">
        <f>IF($K384="","",TRIM(INDEX('Detalle individual'!$B:$B,$K384)))</f>
        <v/>
      </c>
      <c r="E384" s="72" t="str">
        <f>IF($K384="","",TRIM(INDEX('Detalle individual'!$E:$E,$K384)))</f>
        <v/>
      </c>
      <c r="F384" s="72" t="str">
        <f>IF($K384="","",TRIM(INDEX('Detalle individual'!$C:$C,$K384)))</f>
        <v/>
      </c>
      <c r="G384" s="72" t="str">
        <f>IF($K384="","",INDEX('Detalle individual'!$D:$D,$K384))</f>
        <v/>
      </c>
      <c r="H384" s="13" t="str">
        <f>IF($K384="","",INDEX('Detalle individual'!$F:$F,$K384))</f>
        <v/>
      </c>
      <c r="I384" s="20" t="str">
        <f>IF($K384="","",IF(INDEX('Detalle individual'!$F:$F,$K384)="Completado",INDEX('Detalle individual'!$H:$H,$K384),""))</f>
        <v/>
      </c>
      <c r="J384" s="21" t="str">
        <f>IF($K384="","",IF(INDEX('Detalle individual'!$F:$F,$K384)="Completado",INDEX('Detalle individual'!$J:$J,$K384),""))</f>
        <v/>
      </c>
      <c r="K384" t="str">
        <f>IFERROR(MOD(SMALL(Cálculos!$Z$5:$Z$1000,376),10000),"")</f>
        <v/>
      </c>
    </row>
    <row r="385">
      <c r="B385" s="13" t="str">
        <f>IF($K385="","",377)</f>
        <v/>
      </c>
      <c r="C385" s="13" t="str">
        <f>IF($K385="","",INDEX('Detalle individual'!$A:$A,$K385))</f>
        <v/>
      </c>
      <c r="D385" s="72" t="str">
        <f>IF($K385="","",TRIM(INDEX('Detalle individual'!$B:$B,$K385)))</f>
        <v/>
      </c>
      <c r="E385" s="72" t="str">
        <f>IF($K385="","",TRIM(INDEX('Detalle individual'!$E:$E,$K385)))</f>
        <v/>
      </c>
      <c r="F385" s="72" t="str">
        <f>IF($K385="","",TRIM(INDEX('Detalle individual'!$C:$C,$K385)))</f>
        <v/>
      </c>
      <c r="G385" s="72" t="str">
        <f>IF($K385="","",INDEX('Detalle individual'!$D:$D,$K385))</f>
        <v/>
      </c>
      <c r="H385" s="13" t="str">
        <f>IF($K385="","",INDEX('Detalle individual'!$F:$F,$K385))</f>
        <v/>
      </c>
      <c r="I385" s="20" t="str">
        <f>IF($K385="","",IF(INDEX('Detalle individual'!$F:$F,$K385)="Completado",INDEX('Detalle individual'!$H:$H,$K385),""))</f>
        <v/>
      </c>
      <c r="J385" s="21" t="str">
        <f>IF($K385="","",IF(INDEX('Detalle individual'!$F:$F,$K385)="Completado",INDEX('Detalle individual'!$J:$J,$K385),""))</f>
        <v/>
      </c>
      <c r="K385" t="str">
        <f>IFERROR(MOD(SMALL(Cálculos!$Z$5:$Z$1000,377),10000),"")</f>
        <v/>
      </c>
    </row>
    <row r="386">
      <c r="B386" s="13" t="str">
        <f>IF($K386="","",378)</f>
        <v/>
      </c>
      <c r="C386" s="13" t="str">
        <f>IF($K386="","",INDEX('Detalle individual'!$A:$A,$K386))</f>
        <v/>
      </c>
      <c r="D386" s="72" t="str">
        <f>IF($K386="","",TRIM(INDEX('Detalle individual'!$B:$B,$K386)))</f>
        <v/>
      </c>
      <c r="E386" s="72" t="str">
        <f>IF($K386="","",TRIM(INDEX('Detalle individual'!$E:$E,$K386)))</f>
        <v/>
      </c>
      <c r="F386" s="72" t="str">
        <f>IF($K386="","",TRIM(INDEX('Detalle individual'!$C:$C,$K386)))</f>
        <v/>
      </c>
      <c r="G386" s="72" t="str">
        <f>IF($K386="","",INDEX('Detalle individual'!$D:$D,$K386))</f>
        <v/>
      </c>
      <c r="H386" s="13" t="str">
        <f>IF($K386="","",INDEX('Detalle individual'!$F:$F,$K386))</f>
        <v/>
      </c>
      <c r="I386" s="20" t="str">
        <f>IF($K386="","",IF(INDEX('Detalle individual'!$F:$F,$K386)="Completado",INDEX('Detalle individual'!$H:$H,$K386),""))</f>
        <v/>
      </c>
      <c r="J386" s="21" t="str">
        <f>IF($K386="","",IF(INDEX('Detalle individual'!$F:$F,$K386)="Completado",INDEX('Detalle individual'!$J:$J,$K386),""))</f>
        <v/>
      </c>
      <c r="K386" t="str">
        <f>IFERROR(MOD(SMALL(Cálculos!$Z$5:$Z$1000,378),10000),"")</f>
        <v/>
      </c>
    </row>
    <row r="387">
      <c r="B387" s="13" t="str">
        <f>IF($K387="","",379)</f>
        <v/>
      </c>
      <c r="C387" s="13" t="str">
        <f>IF($K387="","",INDEX('Detalle individual'!$A:$A,$K387))</f>
        <v/>
      </c>
      <c r="D387" s="72" t="str">
        <f>IF($K387="","",TRIM(INDEX('Detalle individual'!$B:$B,$K387)))</f>
        <v/>
      </c>
      <c r="E387" s="72" t="str">
        <f>IF($K387="","",TRIM(INDEX('Detalle individual'!$E:$E,$K387)))</f>
        <v/>
      </c>
      <c r="F387" s="72" t="str">
        <f>IF($K387="","",TRIM(INDEX('Detalle individual'!$C:$C,$K387)))</f>
        <v/>
      </c>
      <c r="G387" s="72" t="str">
        <f>IF($K387="","",INDEX('Detalle individual'!$D:$D,$K387))</f>
        <v/>
      </c>
      <c r="H387" s="13" t="str">
        <f>IF($K387="","",INDEX('Detalle individual'!$F:$F,$K387))</f>
        <v/>
      </c>
      <c r="I387" s="20" t="str">
        <f>IF($K387="","",IF(INDEX('Detalle individual'!$F:$F,$K387)="Completado",INDEX('Detalle individual'!$H:$H,$K387),""))</f>
        <v/>
      </c>
      <c r="J387" s="21" t="str">
        <f>IF($K387="","",IF(INDEX('Detalle individual'!$F:$F,$K387)="Completado",INDEX('Detalle individual'!$J:$J,$K387),""))</f>
        <v/>
      </c>
      <c r="K387" t="str">
        <f>IFERROR(MOD(SMALL(Cálculos!$Z$5:$Z$1000,379),10000),"")</f>
        <v/>
      </c>
    </row>
    <row r="388">
      <c r="B388" s="13" t="str">
        <f>IF($K388="","",380)</f>
        <v/>
      </c>
      <c r="C388" s="13" t="str">
        <f>IF($K388="","",INDEX('Detalle individual'!$A:$A,$K388))</f>
        <v/>
      </c>
      <c r="D388" s="72" t="str">
        <f>IF($K388="","",TRIM(INDEX('Detalle individual'!$B:$B,$K388)))</f>
        <v/>
      </c>
      <c r="E388" s="72" t="str">
        <f>IF($K388="","",TRIM(INDEX('Detalle individual'!$E:$E,$K388)))</f>
        <v/>
      </c>
      <c r="F388" s="72" t="str">
        <f>IF($K388="","",TRIM(INDEX('Detalle individual'!$C:$C,$K388)))</f>
        <v/>
      </c>
      <c r="G388" s="72" t="str">
        <f>IF($K388="","",INDEX('Detalle individual'!$D:$D,$K388))</f>
        <v/>
      </c>
      <c r="H388" s="13" t="str">
        <f>IF($K388="","",INDEX('Detalle individual'!$F:$F,$K388))</f>
        <v/>
      </c>
      <c r="I388" s="20" t="str">
        <f>IF($K388="","",IF(INDEX('Detalle individual'!$F:$F,$K388)="Completado",INDEX('Detalle individual'!$H:$H,$K388),""))</f>
        <v/>
      </c>
      <c r="J388" s="21" t="str">
        <f>IF($K388="","",IF(INDEX('Detalle individual'!$F:$F,$K388)="Completado",INDEX('Detalle individual'!$J:$J,$K388),""))</f>
        <v/>
      </c>
      <c r="K388" t="str">
        <f>IFERROR(MOD(SMALL(Cálculos!$Z$5:$Z$1000,380),10000),"")</f>
        <v/>
      </c>
    </row>
    <row r="389">
      <c r="B389" s="13" t="str">
        <f>IF($K389="","",381)</f>
        <v/>
      </c>
      <c r="C389" s="13" t="str">
        <f>IF($K389="","",INDEX('Detalle individual'!$A:$A,$K389))</f>
        <v/>
      </c>
      <c r="D389" s="72" t="str">
        <f>IF($K389="","",TRIM(INDEX('Detalle individual'!$B:$B,$K389)))</f>
        <v/>
      </c>
      <c r="E389" s="72" t="str">
        <f>IF($K389="","",TRIM(INDEX('Detalle individual'!$E:$E,$K389)))</f>
        <v/>
      </c>
      <c r="F389" s="72" t="str">
        <f>IF($K389="","",TRIM(INDEX('Detalle individual'!$C:$C,$K389)))</f>
        <v/>
      </c>
      <c r="G389" s="72" t="str">
        <f>IF($K389="","",INDEX('Detalle individual'!$D:$D,$K389))</f>
        <v/>
      </c>
      <c r="H389" s="13" t="str">
        <f>IF($K389="","",INDEX('Detalle individual'!$F:$F,$K389))</f>
        <v/>
      </c>
      <c r="I389" s="20" t="str">
        <f>IF($K389="","",IF(INDEX('Detalle individual'!$F:$F,$K389)="Completado",INDEX('Detalle individual'!$H:$H,$K389),""))</f>
        <v/>
      </c>
      <c r="J389" s="21" t="str">
        <f>IF($K389="","",IF(INDEX('Detalle individual'!$F:$F,$K389)="Completado",INDEX('Detalle individual'!$J:$J,$K389),""))</f>
        <v/>
      </c>
      <c r="K389" t="str">
        <f>IFERROR(MOD(SMALL(Cálculos!$Z$5:$Z$1000,381),10000),"")</f>
        <v/>
      </c>
    </row>
    <row r="390">
      <c r="B390" s="13" t="str">
        <f>IF($K390="","",382)</f>
        <v/>
      </c>
      <c r="C390" s="13" t="str">
        <f>IF($K390="","",INDEX('Detalle individual'!$A:$A,$K390))</f>
        <v/>
      </c>
      <c r="D390" s="72" t="str">
        <f>IF($K390="","",TRIM(INDEX('Detalle individual'!$B:$B,$K390)))</f>
        <v/>
      </c>
      <c r="E390" s="72" t="str">
        <f>IF($K390="","",TRIM(INDEX('Detalle individual'!$E:$E,$K390)))</f>
        <v/>
      </c>
      <c r="F390" s="72" t="str">
        <f>IF($K390="","",TRIM(INDEX('Detalle individual'!$C:$C,$K390)))</f>
        <v/>
      </c>
      <c r="G390" s="72" t="str">
        <f>IF($K390="","",INDEX('Detalle individual'!$D:$D,$K390))</f>
        <v/>
      </c>
      <c r="H390" s="13" t="str">
        <f>IF($K390="","",INDEX('Detalle individual'!$F:$F,$K390))</f>
        <v/>
      </c>
      <c r="I390" s="20" t="str">
        <f>IF($K390="","",IF(INDEX('Detalle individual'!$F:$F,$K390)="Completado",INDEX('Detalle individual'!$H:$H,$K390),""))</f>
        <v/>
      </c>
      <c r="J390" s="21" t="str">
        <f>IF($K390="","",IF(INDEX('Detalle individual'!$F:$F,$K390)="Completado",INDEX('Detalle individual'!$J:$J,$K390),""))</f>
        <v/>
      </c>
      <c r="K390" t="str">
        <f>IFERROR(MOD(SMALL(Cálculos!$Z$5:$Z$1000,382),10000),"")</f>
        <v/>
      </c>
    </row>
    <row r="391">
      <c r="B391" s="13" t="str">
        <f>IF($K391="","",383)</f>
        <v/>
      </c>
      <c r="C391" s="13" t="str">
        <f>IF($K391="","",INDEX('Detalle individual'!$A:$A,$K391))</f>
        <v/>
      </c>
      <c r="D391" s="72" t="str">
        <f>IF($K391="","",TRIM(INDEX('Detalle individual'!$B:$B,$K391)))</f>
        <v/>
      </c>
      <c r="E391" s="72" t="str">
        <f>IF($K391="","",TRIM(INDEX('Detalle individual'!$E:$E,$K391)))</f>
        <v/>
      </c>
      <c r="F391" s="72" t="str">
        <f>IF($K391="","",TRIM(INDEX('Detalle individual'!$C:$C,$K391)))</f>
        <v/>
      </c>
      <c r="G391" s="72" t="str">
        <f>IF($K391="","",INDEX('Detalle individual'!$D:$D,$K391))</f>
        <v/>
      </c>
      <c r="H391" s="13" t="str">
        <f>IF($K391="","",INDEX('Detalle individual'!$F:$F,$K391))</f>
        <v/>
      </c>
      <c r="I391" s="20" t="str">
        <f>IF($K391="","",IF(INDEX('Detalle individual'!$F:$F,$K391)="Completado",INDEX('Detalle individual'!$H:$H,$K391),""))</f>
        <v/>
      </c>
      <c r="J391" s="21" t="str">
        <f>IF($K391="","",IF(INDEX('Detalle individual'!$F:$F,$K391)="Completado",INDEX('Detalle individual'!$J:$J,$K391),""))</f>
        <v/>
      </c>
      <c r="K391" t="str">
        <f>IFERROR(MOD(SMALL(Cálculos!$Z$5:$Z$1000,383),10000),"")</f>
        <v/>
      </c>
    </row>
    <row r="392">
      <c r="B392" s="13" t="str">
        <f>IF($K392="","",384)</f>
        <v/>
      </c>
      <c r="C392" s="13" t="str">
        <f>IF($K392="","",INDEX('Detalle individual'!$A:$A,$K392))</f>
        <v/>
      </c>
      <c r="D392" s="72" t="str">
        <f>IF($K392="","",TRIM(INDEX('Detalle individual'!$B:$B,$K392)))</f>
        <v/>
      </c>
      <c r="E392" s="72" t="str">
        <f>IF($K392="","",TRIM(INDEX('Detalle individual'!$E:$E,$K392)))</f>
        <v/>
      </c>
      <c r="F392" s="72" t="str">
        <f>IF($K392="","",TRIM(INDEX('Detalle individual'!$C:$C,$K392)))</f>
        <v/>
      </c>
      <c r="G392" s="72" t="str">
        <f>IF($K392="","",INDEX('Detalle individual'!$D:$D,$K392))</f>
        <v/>
      </c>
      <c r="H392" s="13" t="str">
        <f>IF($K392="","",INDEX('Detalle individual'!$F:$F,$K392))</f>
        <v/>
      </c>
      <c r="I392" s="20" t="str">
        <f>IF($K392="","",IF(INDEX('Detalle individual'!$F:$F,$K392)="Completado",INDEX('Detalle individual'!$H:$H,$K392),""))</f>
        <v/>
      </c>
      <c r="J392" s="21" t="str">
        <f>IF($K392="","",IF(INDEX('Detalle individual'!$F:$F,$K392)="Completado",INDEX('Detalle individual'!$J:$J,$K392),""))</f>
        <v/>
      </c>
      <c r="K392" t="str">
        <f>IFERROR(MOD(SMALL(Cálculos!$Z$5:$Z$1000,384),10000),"")</f>
        <v/>
      </c>
    </row>
    <row r="393">
      <c r="B393" s="13" t="str">
        <f>IF($K393="","",385)</f>
        <v/>
      </c>
      <c r="C393" s="13" t="str">
        <f>IF($K393="","",INDEX('Detalle individual'!$A:$A,$K393))</f>
        <v/>
      </c>
      <c r="D393" s="72" t="str">
        <f>IF($K393="","",TRIM(INDEX('Detalle individual'!$B:$B,$K393)))</f>
        <v/>
      </c>
      <c r="E393" s="72" t="str">
        <f>IF($K393="","",TRIM(INDEX('Detalle individual'!$E:$E,$K393)))</f>
        <v/>
      </c>
      <c r="F393" s="72" t="str">
        <f>IF($K393="","",TRIM(INDEX('Detalle individual'!$C:$C,$K393)))</f>
        <v/>
      </c>
      <c r="G393" s="72" t="str">
        <f>IF($K393="","",INDEX('Detalle individual'!$D:$D,$K393))</f>
        <v/>
      </c>
      <c r="H393" s="13" t="str">
        <f>IF($K393="","",INDEX('Detalle individual'!$F:$F,$K393))</f>
        <v/>
      </c>
      <c r="I393" s="20" t="str">
        <f>IF($K393="","",IF(INDEX('Detalle individual'!$F:$F,$K393)="Completado",INDEX('Detalle individual'!$H:$H,$K393),""))</f>
        <v/>
      </c>
      <c r="J393" s="21" t="str">
        <f>IF($K393="","",IF(INDEX('Detalle individual'!$F:$F,$K393)="Completado",INDEX('Detalle individual'!$J:$J,$K393),""))</f>
        <v/>
      </c>
      <c r="K393" t="str">
        <f>IFERROR(MOD(SMALL(Cálculos!$Z$5:$Z$1000,385),10000),"")</f>
        <v/>
      </c>
    </row>
    <row r="394">
      <c r="B394" s="13" t="str">
        <f>IF($K394="","",386)</f>
        <v/>
      </c>
      <c r="C394" s="13" t="str">
        <f>IF($K394="","",INDEX('Detalle individual'!$A:$A,$K394))</f>
        <v/>
      </c>
      <c r="D394" s="72" t="str">
        <f>IF($K394="","",TRIM(INDEX('Detalle individual'!$B:$B,$K394)))</f>
        <v/>
      </c>
      <c r="E394" s="72" t="str">
        <f>IF($K394="","",TRIM(INDEX('Detalle individual'!$E:$E,$K394)))</f>
        <v/>
      </c>
      <c r="F394" s="72" t="str">
        <f>IF($K394="","",TRIM(INDEX('Detalle individual'!$C:$C,$K394)))</f>
        <v/>
      </c>
      <c r="G394" s="72" t="str">
        <f>IF($K394="","",INDEX('Detalle individual'!$D:$D,$K394))</f>
        <v/>
      </c>
      <c r="H394" s="13" t="str">
        <f>IF($K394="","",INDEX('Detalle individual'!$F:$F,$K394))</f>
        <v/>
      </c>
      <c r="I394" s="20" t="str">
        <f>IF($K394="","",IF(INDEX('Detalle individual'!$F:$F,$K394)="Completado",INDEX('Detalle individual'!$H:$H,$K394),""))</f>
        <v/>
      </c>
      <c r="J394" s="21" t="str">
        <f>IF($K394="","",IF(INDEX('Detalle individual'!$F:$F,$K394)="Completado",INDEX('Detalle individual'!$J:$J,$K394),""))</f>
        <v/>
      </c>
      <c r="K394" t="str">
        <f>IFERROR(MOD(SMALL(Cálculos!$Z$5:$Z$1000,386),10000),"")</f>
        <v/>
      </c>
    </row>
    <row r="395">
      <c r="B395" s="13" t="str">
        <f>IF($K395="","",387)</f>
        <v/>
      </c>
      <c r="C395" s="13" t="str">
        <f>IF($K395="","",INDEX('Detalle individual'!$A:$A,$K395))</f>
        <v/>
      </c>
      <c r="D395" s="72" t="str">
        <f>IF($K395="","",TRIM(INDEX('Detalle individual'!$B:$B,$K395)))</f>
        <v/>
      </c>
      <c r="E395" s="72" t="str">
        <f>IF($K395="","",TRIM(INDEX('Detalle individual'!$E:$E,$K395)))</f>
        <v/>
      </c>
      <c r="F395" s="72" t="str">
        <f>IF($K395="","",TRIM(INDEX('Detalle individual'!$C:$C,$K395)))</f>
        <v/>
      </c>
      <c r="G395" s="72" t="str">
        <f>IF($K395="","",INDEX('Detalle individual'!$D:$D,$K395))</f>
        <v/>
      </c>
      <c r="H395" s="13" t="str">
        <f>IF($K395="","",INDEX('Detalle individual'!$F:$F,$K395))</f>
        <v/>
      </c>
      <c r="I395" s="20" t="str">
        <f>IF($K395="","",IF(INDEX('Detalle individual'!$F:$F,$K395)="Completado",INDEX('Detalle individual'!$H:$H,$K395),""))</f>
        <v/>
      </c>
      <c r="J395" s="21" t="str">
        <f>IF($K395="","",IF(INDEX('Detalle individual'!$F:$F,$K395)="Completado",INDEX('Detalle individual'!$J:$J,$K395),""))</f>
        <v/>
      </c>
      <c r="K395" t="str">
        <f>IFERROR(MOD(SMALL(Cálculos!$Z$5:$Z$1000,387),10000),"")</f>
        <v/>
      </c>
    </row>
    <row r="396">
      <c r="B396" s="13" t="str">
        <f>IF($K396="","",388)</f>
        <v/>
      </c>
      <c r="C396" s="13" t="str">
        <f>IF($K396="","",INDEX('Detalle individual'!$A:$A,$K396))</f>
        <v/>
      </c>
      <c r="D396" s="72" t="str">
        <f>IF($K396="","",TRIM(INDEX('Detalle individual'!$B:$B,$K396)))</f>
        <v/>
      </c>
      <c r="E396" s="72" t="str">
        <f>IF($K396="","",TRIM(INDEX('Detalle individual'!$E:$E,$K396)))</f>
        <v/>
      </c>
      <c r="F396" s="72" t="str">
        <f>IF($K396="","",TRIM(INDEX('Detalle individual'!$C:$C,$K396)))</f>
        <v/>
      </c>
      <c r="G396" s="72" t="str">
        <f>IF($K396="","",INDEX('Detalle individual'!$D:$D,$K396))</f>
        <v/>
      </c>
      <c r="H396" s="13" t="str">
        <f>IF($K396="","",INDEX('Detalle individual'!$F:$F,$K396))</f>
        <v/>
      </c>
      <c r="I396" s="20" t="str">
        <f>IF($K396="","",IF(INDEX('Detalle individual'!$F:$F,$K396)="Completado",INDEX('Detalle individual'!$H:$H,$K396),""))</f>
        <v/>
      </c>
      <c r="J396" s="21" t="str">
        <f>IF($K396="","",IF(INDEX('Detalle individual'!$F:$F,$K396)="Completado",INDEX('Detalle individual'!$J:$J,$K396),""))</f>
        <v/>
      </c>
      <c r="K396" t="str">
        <f>IFERROR(MOD(SMALL(Cálculos!$Z$5:$Z$1000,388),10000),"")</f>
        <v/>
      </c>
    </row>
    <row r="397">
      <c r="B397" s="13" t="str">
        <f>IF($K397="","",389)</f>
        <v/>
      </c>
      <c r="C397" s="13" t="str">
        <f>IF($K397="","",INDEX('Detalle individual'!$A:$A,$K397))</f>
        <v/>
      </c>
      <c r="D397" s="72" t="str">
        <f>IF($K397="","",TRIM(INDEX('Detalle individual'!$B:$B,$K397)))</f>
        <v/>
      </c>
      <c r="E397" s="72" t="str">
        <f>IF($K397="","",TRIM(INDEX('Detalle individual'!$E:$E,$K397)))</f>
        <v/>
      </c>
      <c r="F397" s="72" t="str">
        <f>IF($K397="","",TRIM(INDEX('Detalle individual'!$C:$C,$K397)))</f>
        <v/>
      </c>
      <c r="G397" s="72" t="str">
        <f>IF($K397="","",INDEX('Detalle individual'!$D:$D,$K397))</f>
        <v/>
      </c>
      <c r="H397" s="13" t="str">
        <f>IF($K397="","",INDEX('Detalle individual'!$F:$F,$K397))</f>
        <v/>
      </c>
      <c r="I397" s="20" t="str">
        <f>IF($K397="","",IF(INDEX('Detalle individual'!$F:$F,$K397)="Completado",INDEX('Detalle individual'!$H:$H,$K397),""))</f>
        <v/>
      </c>
      <c r="J397" s="21" t="str">
        <f>IF($K397="","",IF(INDEX('Detalle individual'!$F:$F,$K397)="Completado",INDEX('Detalle individual'!$J:$J,$K397),""))</f>
        <v/>
      </c>
      <c r="K397" t="str">
        <f>IFERROR(MOD(SMALL(Cálculos!$Z$5:$Z$1000,389),10000),"")</f>
        <v/>
      </c>
    </row>
    <row r="398">
      <c r="B398" s="13" t="str">
        <f>IF($K398="","",390)</f>
        <v/>
      </c>
      <c r="C398" s="13" t="str">
        <f>IF($K398="","",INDEX('Detalle individual'!$A:$A,$K398))</f>
        <v/>
      </c>
      <c r="D398" s="72" t="str">
        <f>IF($K398="","",TRIM(INDEX('Detalle individual'!$B:$B,$K398)))</f>
        <v/>
      </c>
      <c r="E398" s="72" t="str">
        <f>IF($K398="","",TRIM(INDEX('Detalle individual'!$E:$E,$K398)))</f>
        <v/>
      </c>
      <c r="F398" s="72" t="str">
        <f>IF($K398="","",TRIM(INDEX('Detalle individual'!$C:$C,$K398)))</f>
        <v/>
      </c>
      <c r="G398" s="72" t="str">
        <f>IF($K398="","",INDEX('Detalle individual'!$D:$D,$K398))</f>
        <v/>
      </c>
      <c r="H398" s="13" t="str">
        <f>IF($K398="","",INDEX('Detalle individual'!$F:$F,$K398))</f>
        <v/>
      </c>
      <c r="I398" s="20" t="str">
        <f>IF($K398="","",IF(INDEX('Detalle individual'!$F:$F,$K398)="Completado",INDEX('Detalle individual'!$H:$H,$K398),""))</f>
        <v/>
      </c>
      <c r="J398" s="21" t="str">
        <f>IF($K398="","",IF(INDEX('Detalle individual'!$F:$F,$K398)="Completado",INDEX('Detalle individual'!$J:$J,$K398),""))</f>
        <v/>
      </c>
      <c r="K398" t="str">
        <f>IFERROR(MOD(SMALL(Cálculos!$Z$5:$Z$1000,390),10000),"")</f>
        <v/>
      </c>
    </row>
    <row r="399">
      <c r="B399" s="13" t="str">
        <f>IF($K399="","",391)</f>
        <v/>
      </c>
      <c r="C399" s="13" t="str">
        <f>IF($K399="","",INDEX('Detalle individual'!$A:$A,$K399))</f>
        <v/>
      </c>
      <c r="D399" s="72" t="str">
        <f>IF($K399="","",TRIM(INDEX('Detalle individual'!$B:$B,$K399)))</f>
        <v/>
      </c>
      <c r="E399" s="72" t="str">
        <f>IF($K399="","",TRIM(INDEX('Detalle individual'!$E:$E,$K399)))</f>
        <v/>
      </c>
      <c r="F399" s="72" t="str">
        <f>IF($K399="","",TRIM(INDEX('Detalle individual'!$C:$C,$K399)))</f>
        <v/>
      </c>
      <c r="G399" s="72" t="str">
        <f>IF($K399="","",INDEX('Detalle individual'!$D:$D,$K399))</f>
        <v/>
      </c>
      <c r="H399" s="13" t="str">
        <f>IF($K399="","",INDEX('Detalle individual'!$F:$F,$K399))</f>
        <v/>
      </c>
      <c r="I399" s="20" t="str">
        <f>IF($K399="","",IF(INDEX('Detalle individual'!$F:$F,$K399)="Completado",INDEX('Detalle individual'!$H:$H,$K399),""))</f>
        <v/>
      </c>
      <c r="J399" s="21" t="str">
        <f>IF($K399="","",IF(INDEX('Detalle individual'!$F:$F,$K399)="Completado",INDEX('Detalle individual'!$J:$J,$K399),""))</f>
        <v/>
      </c>
      <c r="K399" t="str">
        <f>IFERROR(MOD(SMALL(Cálculos!$Z$5:$Z$1000,391),10000),"")</f>
        <v/>
      </c>
    </row>
    <row r="400">
      <c r="B400" s="13" t="str">
        <f>IF($K400="","",392)</f>
        <v/>
      </c>
      <c r="C400" s="13" t="str">
        <f>IF($K400="","",INDEX('Detalle individual'!$A:$A,$K400))</f>
        <v/>
      </c>
      <c r="D400" s="72" t="str">
        <f>IF($K400="","",TRIM(INDEX('Detalle individual'!$B:$B,$K400)))</f>
        <v/>
      </c>
      <c r="E400" s="72" t="str">
        <f>IF($K400="","",TRIM(INDEX('Detalle individual'!$E:$E,$K400)))</f>
        <v/>
      </c>
      <c r="F400" s="72" t="str">
        <f>IF($K400="","",TRIM(INDEX('Detalle individual'!$C:$C,$K400)))</f>
        <v/>
      </c>
      <c r="G400" s="72" t="str">
        <f>IF($K400="","",INDEX('Detalle individual'!$D:$D,$K400))</f>
        <v/>
      </c>
      <c r="H400" s="13" t="str">
        <f>IF($K400="","",INDEX('Detalle individual'!$F:$F,$K400))</f>
        <v/>
      </c>
      <c r="I400" s="20" t="str">
        <f>IF($K400="","",IF(INDEX('Detalle individual'!$F:$F,$K400)="Completado",INDEX('Detalle individual'!$H:$H,$K400),""))</f>
        <v/>
      </c>
      <c r="J400" s="21" t="str">
        <f>IF($K400="","",IF(INDEX('Detalle individual'!$F:$F,$K400)="Completado",INDEX('Detalle individual'!$J:$J,$K400),""))</f>
        <v/>
      </c>
      <c r="K400" t="str">
        <f>IFERROR(MOD(SMALL(Cálculos!$Z$5:$Z$1000,392),10000),"")</f>
        <v/>
      </c>
    </row>
    <row r="401">
      <c r="B401" s="13" t="str">
        <f>IF($K401="","",393)</f>
        <v/>
      </c>
      <c r="C401" s="13" t="str">
        <f>IF($K401="","",INDEX('Detalle individual'!$A:$A,$K401))</f>
        <v/>
      </c>
      <c r="D401" s="72" t="str">
        <f>IF($K401="","",TRIM(INDEX('Detalle individual'!$B:$B,$K401)))</f>
        <v/>
      </c>
      <c r="E401" s="72" t="str">
        <f>IF($K401="","",TRIM(INDEX('Detalle individual'!$E:$E,$K401)))</f>
        <v/>
      </c>
      <c r="F401" s="72" t="str">
        <f>IF($K401="","",TRIM(INDEX('Detalle individual'!$C:$C,$K401)))</f>
        <v/>
      </c>
      <c r="G401" s="72" t="str">
        <f>IF($K401="","",INDEX('Detalle individual'!$D:$D,$K401))</f>
        <v/>
      </c>
      <c r="H401" s="13" t="str">
        <f>IF($K401="","",INDEX('Detalle individual'!$F:$F,$K401))</f>
        <v/>
      </c>
      <c r="I401" s="20" t="str">
        <f>IF($K401="","",IF(INDEX('Detalle individual'!$F:$F,$K401)="Completado",INDEX('Detalle individual'!$H:$H,$K401),""))</f>
        <v/>
      </c>
      <c r="J401" s="21" t="str">
        <f>IF($K401="","",IF(INDEX('Detalle individual'!$F:$F,$K401)="Completado",INDEX('Detalle individual'!$J:$J,$K401),""))</f>
        <v/>
      </c>
      <c r="K401" t="str">
        <f>IFERROR(MOD(SMALL(Cálculos!$Z$5:$Z$1000,393),10000),"")</f>
        <v/>
      </c>
    </row>
    <row r="402">
      <c r="B402" s="13" t="str">
        <f>IF($K402="","",394)</f>
        <v/>
      </c>
      <c r="C402" s="13" t="str">
        <f>IF($K402="","",INDEX('Detalle individual'!$A:$A,$K402))</f>
        <v/>
      </c>
      <c r="D402" s="72" t="str">
        <f>IF($K402="","",TRIM(INDEX('Detalle individual'!$B:$B,$K402)))</f>
        <v/>
      </c>
      <c r="E402" s="72" t="str">
        <f>IF($K402="","",TRIM(INDEX('Detalle individual'!$E:$E,$K402)))</f>
        <v/>
      </c>
      <c r="F402" s="72" t="str">
        <f>IF($K402="","",TRIM(INDEX('Detalle individual'!$C:$C,$K402)))</f>
        <v/>
      </c>
      <c r="G402" s="72" t="str">
        <f>IF($K402="","",INDEX('Detalle individual'!$D:$D,$K402))</f>
        <v/>
      </c>
      <c r="H402" s="13" t="str">
        <f>IF($K402="","",INDEX('Detalle individual'!$F:$F,$K402))</f>
        <v/>
      </c>
      <c r="I402" s="20" t="str">
        <f>IF($K402="","",IF(INDEX('Detalle individual'!$F:$F,$K402)="Completado",INDEX('Detalle individual'!$H:$H,$K402),""))</f>
        <v/>
      </c>
      <c r="J402" s="21" t="str">
        <f>IF($K402="","",IF(INDEX('Detalle individual'!$F:$F,$K402)="Completado",INDEX('Detalle individual'!$J:$J,$K402),""))</f>
        <v/>
      </c>
      <c r="K402" t="str">
        <f>IFERROR(MOD(SMALL(Cálculos!$Z$5:$Z$1000,394),10000),"")</f>
        <v/>
      </c>
    </row>
    <row r="403">
      <c r="B403" s="13" t="str">
        <f>IF($K403="","",395)</f>
        <v/>
      </c>
      <c r="C403" s="13" t="str">
        <f>IF($K403="","",INDEX('Detalle individual'!$A:$A,$K403))</f>
        <v/>
      </c>
      <c r="D403" s="72" t="str">
        <f>IF($K403="","",TRIM(INDEX('Detalle individual'!$B:$B,$K403)))</f>
        <v/>
      </c>
      <c r="E403" s="72" t="str">
        <f>IF($K403="","",TRIM(INDEX('Detalle individual'!$E:$E,$K403)))</f>
        <v/>
      </c>
      <c r="F403" s="72" t="str">
        <f>IF($K403="","",TRIM(INDEX('Detalle individual'!$C:$C,$K403)))</f>
        <v/>
      </c>
      <c r="G403" s="72" t="str">
        <f>IF($K403="","",INDEX('Detalle individual'!$D:$D,$K403))</f>
        <v/>
      </c>
      <c r="H403" s="13" t="str">
        <f>IF($K403="","",INDEX('Detalle individual'!$F:$F,$K403))</f>
        <v/>
      </c>
      <c r="I403" s="20" t="str">
        <f>IF($K403="","",IF(INDEX('Detalle individual'!$F:$F,$K403)="Completado",INDEX('Detalle individual'!$H:$H,$K403),""))</f>
        <v/>
      </c>
      <c r="J403" s="21" t="str">
        <f>IF($K403="","",IF(INDEX('Detalle individual'!$F:$F,$K403)="Completado",INDEX('Detalle individual'!$J:$J,$K403),""))</f>
        <v/>
      </c>
      <c r="K403" t="str">
        <f>IFERROR(MOD(SMALL(Cálculos!$Z$5:$Z$1000,395),10000),"")</f>
        <v/>
      </c>
    </row>
    <row r="404">
      <c r="B404" s="13" t="str">
        <f>IF($K404="","",396)</f>
        <v/>
      </c>
      <c r="C404" s="13" t="str">
        <f>IF($K404="","",INDEX('Detalle individual'!$A:$A,$K404))</f>
        <v/>
      </c>
      <c r="D404" s="72" t="str">
        <f>IF($K404="","",TRIM(INDEX('Detalle individual'!$B:$B,$K404)))</f>
        <v/>
      </c>
      <c r="E404" s="72" t="str">
        <f>IF($K404="","",TRIM(INDEX('Detalle individual'!$E:$E,$K404)))</f>
        <v/>
      </c>
      <c r="F404" s="72" t="str">
        <f>IF($K404="","",TRIM(INDEX('Detalle individual'!$C:$C,$K404)))</f>
        <v/>
      </c>
      <c r="G404" s="72" t="str">
        <f>IF($K404="","",INDEX('Detalle individual'!$D:$D,$K404))</f>
        <v/>
      </c>
      <c r="H404" s="13" t="str">
        <f>IF($K404="","",INDEX('Detalle individual'!$F:$F,$K404))</f>
        <v/>
      </c>
      <c r="I404" s="20" t="str">
        <f>IF($K404="","",IF(INDEX('Detalle individual'!$F:$F,$K404)="Completado",INDEX('Detalle individual'!$H:$H,$K404),""))</f>
        <v/>
      </c>
      <c r="J404" s="21" t="str">
        <f>IF($K404="","",IF(INDEX('Detalle individual'!$F:$F,$K404)="Completado",INDEX('Detalle individual'!$J:$J,$K404),""))</f>
        <v/>
      </c>
      <c r="K404" t="str">
        <f>IFERROR(MOD(SMALL(Cálculos!$Z$5:$Z$1000,396),10000),"")</f>
        <v/>
      </c>
    </row>
    <row r="405">
      <c r="B405" s="13" t="str">
        <f>IF($K405="","",397)</f>
        <v/>
      </c>
      <c r="C405" s="13" t="str">
        <f>IF($K405="","",INDEX('Detalle individual'!$A:$A,$K405))</f>
        <v/>
      </c>
      <c r="D405" s="72" t="str">
        <f>IF($K405="","",TRIM(INDEX('Detalle individual'!$B:$B,$K405)))</f>
        <v/>
      </c>
      <c r="E405" s="72" t="str">
        <f>IF($K405="","",TRIM(INDEX('Detalle individual'!$E:$E,$K405)))</f>
        <v/>
      </c>
      <c r="F405" s="72" t="str">
        <f>IF($K405="","",TRIM(INDEX('Detalle individual'!$C:$C,$K405)))</f>
        <v/>
      </c>
      <c r="G405" s="72" t="str">
        <f>IF($K405="","",INDEX('Detalle individual'!$D:$D,$K405))</f>
        <v/>
      </c>
      <c r="H405" s="13" t="str">
        <f>IF($K405="","",INDEX('Detalle individual'!$F:$F,$K405))</f>
        <v/>
      </c>
      <c r="I405" s="20" t="str">
        <f>IF($K405="","",IF(INDEX('Detalle individual'!$F:$F,$K405)="Completado",INDEX('Detalle individual'!$H:$H,$K405),""))</f>
        <v/>
      </c>
      <c r="J405" s="21" t="str">
        <f>IF($K405="","",IF(INDEX('Detalle individual'!$F:$F,$K405)="Completado",INDEX('Detalle individual'!$J:$J,$K405),""))</f>
        <v/>
      </c>
      <c r="K405" t="str">
        <f>IFERROR(MOD(SMALL(Cálculos!$Z$5:$Z$1000,397),10000),"")</f>
        <v/>
      </c>
    </row>
    <row r="406">
      <c r="B406" s="13" t="str">
        <f>IF($K406="","",398)</f>
        <v/>
      </c>
      <c r="C406" s="13" t="str">
        <f>IF($K406="","",INDEX('Detalle individual'!$A:$A,$K406))</f>
        <v/>
      </c>
      <c r="D406" s="72" t="str">
        <f>IF($K406="","",TRIM(INDEX('Detalle individual'!$B:$B,$K406)))</f>
        <v/>
      </c>
      <c r="E406" s="72" t="str">
        <f>IF($K406="","",TRIM(INDEX('Detalle individual'!$E:$E,$K406)))</f>
        <v/>
      </c>
      <c r="F406" s="72" t="str">
        <f>IF($K406="","",TRIM(INDEX('Detalle individual'!$C:$C,$K406)))</f>
        <v/>
      </c>
      <c r="G406" s="72" t="str">
        <f>IF($K406="","",INDEX('Detalle individual'!$D:$D,$K406))</f>
        <v/>
      </c>
      <c r="H406" s="13" t="str">
        <f>IF($K406="","",INDEX('Detalle individual'!$F:$F,$K406))</f>
        <v/>
      </c>
      <c r="I406" s="20" t="str">
        <f>IF($K406="","",IF(INDEX('Detalle individual'!$F:$F,$K406)="Completado",INDEX('Detalle individual'!$H:$H,$K406),""))</f>
        <v/>
      </c>
      <c r="J406" s="21" t="str">
        <f>IF($K406="","",IF(INDEX('Detalle individual'!$F:$F,$K406)="Completado",INDEX('Detalle individual'!$J:$J,$K406),""))</f>
        <v/>
      </c>
      <c r="K406" t="str">
        <f>IFERROR(MOD(SMALL(Cálculos!$Z$5:$Z$1000,398),10000),"")</f>
        <v/>
      </c>
    </row>
    <row r="407">
      <c r="B407" s="13" t="str">
        <f>IF($K407="","",399)</f>
        <v/>
      </c>
      <c r="C407" s="13" t="str">
        <f>IF($K407="","",INDEX('Detalle individual'!$A:$A,$K407))</f>
        <v/>
      </c>
      <c r="D407" s="72" t="str">
        <f>IF($K407="","",TRIM(INDEX('Detalle individual'!$B:$B,$K407)))</f>
        <v/>
      </c>
      <c r="E407" s="72" t="str">
        <f>IF($K407="","",TRIM(INDEX('Detalle individual'!$E:$E,$K407)))</f>
        <v/>
      </c>
      <c r="F407" s="72" t="str">
        <f>IF($K407="","",TRIM(INDEX('Detalle individual'!$C:$C,$K407)))</f>
        <v/>
      </c>
      <c r="G407" s="72" t="str">
        <f>IF($K407="","",INDEX('Detalle individual'!$D:$D,$K407))</f>
        <v/>
      </c>
      <c r="H407" s="13" t="str">
        <f>IF($K407="","",INDEX('Detalle individual'!$F:$F,$K407))</f>
        <v/>
      </c>
      <c r="I407" s="20" t="str">
        <f>IF($K407="","",IF(INDEX('Detalle individual'!$F:$F,$K407)="Completado",INDEX('Detalle individual'!$H:$H,$K407),""))</f>
        <v/>
      </c>
      <c r="J407" s="21" t="str">
        <f>IF($K407="","",IF(INDEX('Detalle individual'!$F:$F,$K407)="Completado",INDEX('Detalle individual'!$J:$J,$K407),""))</f>
        <v/>
      </c>
      <c r="K407" t="str">
        <f>IFERROR(MOD(SMALL(Cálculos!$Z$5:$Z$1000,399),10000),"")</f>
        <v/>
      </c>
    </row>
    <row r="408">
      <c r="B408" s="13" t="str">
        <f>IF($K408="","",400)</f>
        <v/>
      </c>
      <c r="C408" s="13" t="str">
        <f>IF($K408="","",INDEX('Detalle individual'!$A:$A,$K408))</f>
        <v/>
      </c>
      <c r="D408" s="72" t="str">
        <f>IF($K408="","",TRIM(INDEX('Detalle individual'!$B:$B,$K408)))</f>
        <v/>
      </c>
      <c r="E408" s="72" t="str">
        <f>IF($K408="","",TRIM(INDEX('Detalle individual'!$E:$E,$K408)))</f>
        <v/>
      </c>
      <c r="F408" s="72" t="str">
        <f>IF($K408="","",TRIM(INDEX('Detalle individual'!$C:$C,$K408)))</f>
        <v/>
      </c>
      <c r="G408" s="72" t="str">
        <f>IF($K408="","",INDEX('Detalle individual'!$D:$D,$K408))</f>
        <v/>
      </c>
      <c r="H408" s="13" t="str">
        <f>IF($K408="","",INDEX('Detalle individual'!$F:$F,$K408))</f>
        <v/>
      </c>
      <c r="I408" s="20" t="str">
        <f>IF($K408="","",IF(INDEX('Detalle individual'!$F:$F,$K408)="Completado",INDEX('Detalle individual'!$H:$H,$K408),""))</f>
        <v/>
      </c>
      <c r="J408" s="21" t="str">
        <f>IF($K408="","",IF(INDEX('Detalle individual'!$F:$F,$K408)="Completado",INDEX('Detalle individual'!$J:$J,$K408),""))</f>
        <v/>
      </c>
      <c r="K408" t="str">
        <f>IFERROR(MOD(SMALL(Cálculos!$Z$5:$Z$1000,400),10000),"")</f>
        <v/>
      </c>
    </row>
    <row r="409">
      <c r="B409" s="13" t="str">
        <f>IF($K409="","",401)</f>
        <v/>
      </c>
      <c r="C409" s="13" t="str">
        <f>IF($K409="","",INDEX('Detalle individual'!$A:$A,$K409))</f>
        <v/>
      </c>
      <c r="D409" s="72" t="str">
        <f>IF($K409="","",TRIM(INDEX('Detalle individual'!$B:$B,$K409)))</f>
        <v/>
      </c>
      <c r="E409" s="72" t="str">
        <f>IF($K409="","",TRIM(INDEX('Detalle individual'!$E:$E,$K409)))</f>
        <v/>
      </c>
      <c r="F409" s="72" t="str">
        <f>IF($K409="","",TRIM(INDEX('Detalle individual'!$C:$C,$K409)))</f>
        <v/>
      </c>
      <c r="G409" s="72" t="str">
        <f>IF($K409="","",INDEX('Detalle individual'!$D:$D,$K409))</f>
        <v/>
      </c>
      <c r="H409" s="13" t="str">
        <f>IF($K409="","",INDEX('Detalle individual'!$F:$F,$K409))</f>
        <v/>
      </c>
      <c r="I409" s="20" t="str">
        <f>IF($K409="","",IF(INDEX('Detalle individual'!$F:$F,$K409)="Completado",INDEX('Detalle individual'!$H:$H,$K409),""))</f>
        <v/>
      </c>
      <c r="J409" s="21" t="str">
        <f>IF($K409="","",IF(INDEX('Detalle individual'!$F:$F,$K409)="Completado",INDEX('Detalle individual'!$J:$J,$K409),""))</f>
        <v/>
      </c>
      <c r="K409" t="str">
        <f>IFERROR(MOD(SMALL(Cálculos!$Z$5:$Z$1000,401),10000),"")</f>
        <v/>
      </c>
    </row>
    <row r="410">
      <c r="B410" s="13" t="str">
        <f>IF($K410="","",402)</f>
        <v/>
      </c>
      <c r="C410" s="13" t="str">
        <f>IF($K410="","",INDEX('Detalle individual'!$A:$A,$K410))</f>
        <v/>
      </c>
      <c r="D410" s="72" t="str">
        <f>IF($K410="","",TRIM(INDEX('Detalle individual'!$B:$B,$K410)))</f>
        <v/>
      </c>
      <c r="E410" s="72" t="str">
        <f>IF($K410="","",TRIM(INDEX('Detalle individual'!$E:$E,$K410)))</f>
        <v/>
      </c>
      <c r="F410" s="72" t="str">
        <f>IF($K410="","",TRIM(INDEX('Detalle individual'!$C:$C,$K410)))</f>
        <v/>
      </c>
      <c r="G410" s="72" t="str">
        <f>IF($K410="","",INDEX('Detalle individual'!$D:$D,$K410))</f>
        <v/>
      </c>
      <c r="H410" s="13" t="str">
        <f>IF($K410="","",INDEX('Detalle individual'!$F:$F,$K410))</f>
        <v/>
      </c>
      <c r="I410" s="20" t="str">
        <f>IF($K410="","",IF(INDEX('Detalle individual'!$F:$F,$K410)="Completado",INDEX('Detalle individual'!$H:$H,$K410),""))</f>
        <v/>
      </c>
      <c r="J410" s="21" t="str">
        <f>IF($K410="","",IF(INDEX('Detalle individual'!$F:$F,$K410)="Completado",INDEX('Detalle individual'!$J:$J,$K410),""))</f>
        <v/>
      </c>
      <c r="K410" t="str">
        <f>IFERROR(MOD(SMALL(Cálculos!$Z$5:$Z$1000,402),10000),"")</f>
        <v/>
      </c>
    </row>
    <row r="411">
      <c r="B411" s="13" t="str">
        <f>IF($K411="","",403)</f>
        <v/>
      </c>
      <c r="C411" s="13" t="str">
        <f>IF($K411="","",INDEX('Detalle individual'!$A:$A,$K411))</f>
        <v/>
      </c>
      <c r="D411" s="72" t="str">
        <f>IF($K411="","",TRIM(INDEX('Detalle individual'!$B:$B,$K411)))</f>
        <v/>
      </c>
      <c r="E411" s="72" t="str">
        <f>IF($K411="","",TRIM(INDEX('Detalle individual'!$E:$E,$K411)))</f>
        <v/>
      </c>
      <c r="F411" s="72" t="str">
        <f>IF($K411="","",TRIM(INDEX('Detalle individual'!$C:$C,$K411)))</f>
        <v/>
      </c>
      <c r="G411" s="72" t="str">
        <f>IF($K411="","",INDEX('Detalle individual'!$D:$D,$K411))</f>
        <v/>
      </c>
      <c r="H411" s="13" t="str">
        <f>IF($K411="","",INDEX('Detalle individual'!$F:$F,$K411))</f>
        <v/>
      </c>
      <c r="I411" s="20" t="str">
        <f>IF($K411="","",IF(INDEX('Detalle individual'!$F:$F,$K411)="Completado",INDEX('Detalle individual'!$H:$H,$K411),""))</f>
        <v/>
      </c>
      <c r="J411" s="21" t="str">
        <f>IF($K411="","",IF(INDEX('Detalle individual'!$F:$F,$K411)="Completado",INDEX('Detalle individual'!$J:$J,$K411),""))</f>
        <v/>
      </c>
      <c r="K411" t="str">
        <f>IFERROR(MOD(SMALL(Cálculos!$Z$5:$Z$1000,403),10000),"")</f>
        <v/>
      </c>
    </row>
    <row r="412">
      <c r="B412" s="13" t="str">
        <f>IF($K412="","",404)</f>
        <v/>
      </c>
      <c r="C412" s="13" t="str">
        <f>IF($K412="","",INDEX('Detalle individual'!$A:$A,$K412))</f>
        <v/>
      </c>
      <c r="D412" s="72" t="str">
        <f>IF($K412="","",TRIM(INDEX('Detalle individual'!$B:$B,$K412)))</f>
        <v/>
      </c>
      <c r="E412" s="72" t="str">
        <f>IF($K412="","",TRIM(INDEX('Detalle individual'!$E:$E,$K412)))</f>
        <v/>
      </c>
      <c r="F412" s="72" t="str">
        <f>IF($K412="","",TRIM(INDEX('Detalle individual'!$C:$C,$K412)))</f>
        <v/>
      </c>
      <c r="G412" s="72" t="str">
        <f>IF($K412="","",INDEX('Detalle individual'!$D:$D,$K412))</f>
        <v/>
      </c>
      <c r="H412" s="13" t="str">
        <f>IF($K412="","",INDEX('Detalle individual'!$F:$F,$K412))</f>
        <v/>
      </c>
      <c r="I412" s="20" t="str">
        <f>IF($K412="","",IF(INDEX('Detalle individual'!$F:$F,$K412)="Completado",INDEX('Detalle individual'!$H:$H,$K412),""))</f>
        <v/>
      </c>
      <c r="J412" s="21" t="str">
        <f>IF($K412="","",IF(INDEX('Detalle individual'!$F:$F,$K412)="Completado",INDEX('Detalle individual'!$J:$J,$K412),""))</f>
        <v/>
      </c>
      <c r="K412" t="str">
        <f>IFERROR(MOD(SMALL(Cálculos!$Z$5:$Z$1000,404),10000),"")</f>
        <v/>
      </c>
    </row>
    <row r="413">
      <c r="B413" s="13" t="str">
        <f>IF($K413="","",405)</f>
        <v/>
      </c>
      <c r="C413" s="13" t="str">
        <f>IF($K413="","",INDEX('Detalle individual'!$A:$A,$K413))</f>
        <v/>
      </c>
      <c r="D413" s="72" t="str">
        <f>IF($K413="","",TRIM(INDEX('Detalle individual'!$B:$B,$K413)))</f>
        <v/>
      </c>
      <c r="E413" s="72" t="str">
        <f>IF($K413="","",TRIM(INDEX('Detalle individual'!$E:$E,$K413)))</f>
        <v/>
      </c>
      <c r="F413" s="72" t="str">
        <f>IF($K413="","",TRIM(INDEX('Detalle individual'!$C:$C,$K413)))</f>
        <v/>
      </c>
      <c r="G413" s="72" t="str">
        <f>IF($K413="","",INDEX('Detalle individual'!$D:$D,$K413))</f>
        <v/>
      </c>
      <c r="H413" s="13" t="str">
        <f>IF($K413="","",INDEX('Detalle individual'!$F:$F,$K413))</f>
        <v/>
      </c>
      <c r="I413" s="20" t="str">
        <f>IF($K413="","",IF(INDEX('Detalle individual'!$F:$F,$K413)="Completado",INDEX('Detalle individual'!$H:$H,$K413),""))</f>
        <v/>
      </c>
      <c r="J413" s="21" t="str">
        <f>IF($K413="","",IF(INDEX('Detalle individual'!$F:$F,$K413)="Completado",INDEX('Detalle individual'!$J:$J,$K413),""))</f>
        <v/>
      </c>
      <c r="K413" t="str">
        <f>IFERROR(MOD(SMALL(Cálculos!$Z$5:$Z$1000,405),10000),"")</f>
        <v/>
      </c>
    </row>
    <row r="414">
      <c r="B414" s="13" t="str">
        <f>IF($K414="","",406)</f>
        <v/>
      </c>
      <c r="C414" s="13" t="str">
        <f>IF($K414="","",INDEX('Detalle individual'!$A:$A,$K414))</f>
        <v/>
      </c>
      <c r="D414" s="72" t="str">
        <f>IF($K414="","",TRIM(INDEX('Detalle individual'!$B:$B,$K414)))</f>
        <v/>
      </c>
      <c r="E414" s="72" t="str">
        <f>IF($K414="","",TRIM(INDEX('Detalle individual'!$E:$E,$K414)))</f>
        <v/>
      </c>
      <c r="F414" s="72" t="str">
        <f>IF($K414="","",TRIM(INDEX('Detalle individual'!$C:$C,$K414)))</f>
        <v/>
      </c>
      <c r="G414" s="72" t="str">
        <f>IF($K414="","",INDEX('Detalle individual'!$D:$D,$K414))</f>
        <v/>
      </c>
      <c r="H414" s="13" t="str">
        <f>IF($K414="","",INDEX('Detalle individual'!$F:$F,$K414))</f>
        <v/>
      </c>
      <c r="I414" s="20" t="str">
        <f>IF($K414="","",IF(INDEX('Detalle individual'!$F:$F,$K414)="Completado",INDEX('Detalle individual'!$H:$H,$K414),""))</f>
        <v/>
      </c>
      <c r="J414" s="21" t="str">
        <f>IF($K414="","",IF(INDEX('Detalle individual'!$F:$F,$K414)="Completado",INDEX('Detalle individual'!$J:$J,$K414),""))</f>
        <v/>
      </c>
      <c r="K414" t="str">
        <f>IFERROR(MOD(SMALL(Cálculos!$Z$5:$Z$1000,406),10000),"")</f>
        <v/>
      </c>
    </row>
    <row r="415">
      <c r="B415" s="13" t="str">
        <f>IF($K415="","",407)</f>
        <v/>
      </c>
      <c r="C415" s="13" t="str">
        <f>IF($K415="","",INDEX('Detalle individual'!$A:$A,$K415))</f>
        <v/>
      </c>
      <c r="D415" s="72" t="str">
        <f>IF($K415="","",TRIM(INDEX('Detalle individual'!$B:$B,$K415)))</f>
        <v/>
      </c>
      <c r="E415" s="72" t="str">
        <f>IF($K415="","",TRIM(INDEX('Detalle individual'!$E:$E,$K415)))</f>
        <v/>
      </c>
      <c r="F415" s="72" t="str">
        <f>IF($K415="","",TRIM(INDEX('Detalle individual'!$C:$C,$K415)))</f>
        <v/>
      </c>
      <c r="G415" s="72" t="str">
        <f>IF($K415="","",INDEX('Detalle individual'!$D:$D,$K415))</f>
        <v/>
      </c>
      <c r="H415" s="13" t="str">
        <f>IF($K415="","",INDEX('Detalle individual'!$F:$F,$K415))</f>
        <v/>
      </c>
      <c r="I415" s="20" t="str">
        <f>IF($K415="","",IF(INDEX('Detalle individual'!$F:$F,$K415)="Completado",INDEX('Detalle individual'!$H:$H,$K415),""))</f>
        <v/>
      </c>
      <c r="J415" s="21" t="str">
        <f>IF($K415="","",IF(INDEX('Detalle individual'!$F:$F,$K415)="Completado",INDEX('Detalle individual'!$J:$J,$K415),""))</f>
        <v/>
      </c>
      <c r="K415" t="str">
        <f>IFERROR(MOD(SMALL(Cálculos!$Z$5:$Z$1000,407),10000),"")</f>
        <v/>
      </c>
    </row>
    <row r="416">
      <c r="B416" s="13" t="str">
        <f>IF($K416="","",408)</f>
        <v/>
      </c>
      <c r="C416" s="13" t="str">
        <f>IF($K416="","",INDEX('Detalle individual'!$A:$A,$K416))</f>
        <v/>
      </c>
      <c r="D416" s="72" t="str">
        <f>IF($K416="","",TRIM(INDEX('Detalle individual'!$B:$B,$K416)))</f>
        <v/>
      </c>
      <c r="E416" s="72" t="str">
        <f>IF($K416="","",TRIM(INDEX('Detalle individual'!$E:$E,$K416)))</f>
        <v/>
      </c>
      <c r="F416" s="72" t="str">
        <f>IF($K416="","",TRIM(INDEX('Detalle individual'!$C:$C,$K416)))</f>
        <v/>
      </c>
      <c r="G416" s="72" t="str">
        <f>IF($K416="","",INDEX('Detalle individual'!$D:$D,$K416))</f>
        <v/>
      </c>
      <c r="H416" s="13" t="str">
        <f>IF($K416="","",INDEX('Detalle individual'!$F:$F,$K416))</f>
        <v/>
      </c>
      <c r="I416" s="20" t="str">
        <f>IF($K416="","",IF(INDEX('Detalle individual'!$F:$F,$K416)="Completado",INDEX('Detalle individual'!$H:$H,$K416),""))</f>
        <v/>
      </c>
      <c r="J416" s="21" t="str">
        <f>IF($K416="","",IF(INDEX('Detalle individual'!$F:$F,$K416)="Completado",INDEX('Detalle individual'!$J:$J,$K416),""))</f>
        <v/>
      </c>
      <c r="K416" t="str">
        <f>IFERROR(MOD(SMALL(Cálculos!$Z$5:$Z$1000,408),10000),"")</f>
        <v/>
      </c>
    </row>
    <row r="417">
      <c r="B417" s="13" t="str">
        <f>IF($K417="","",409)</f>
        <v/>
      </c>
      <c r="C417" s="13" t="str">
        <f>IF($K417="","",INDEX('Detalle individual'!$A:$A,$K417))</f>
        <v/>
      </c>
      <c r="D417" s="72" t="str">
        <f>IF($K417="","",TRIM(INDEX('Detalle individual'!$B:$B,$K417)))</f>
        <v/>
      </c>
      <c r="E417" s="72" t="str">
        <f>IF($K417="","",TRIM(INDEX('Detalle individual'!$E:$E,$K417)))</f>
        <v/>
      </c>
      <c r="F417" s="72" t="str">
        <f>IF($K417="","",TRIM(INDEX('Detalle individual'!$C:$C,$K417)))</f>
        <v/>
      </c>
      <c r="G417" s="72" t="str">
        <f>IF($K417="","",INDEX('Detalle individual'!$D:$D,$K417))</f>
        <v/>
      </c>
      <c r="H417" s="13" t="str">
        <f>IF($K417="","",INDEX('Detalle individual'!$F:$F,$K417))</f>
        <v/>
      </c>
      <c r="I417" s="20" t="str">
        <f>IF($K417="","",IF(INDEX('Detalle individual'!$F:$F,$K417)="Completado",INDEX('Detalle individual'!$H:$H,$K417),""))</f>
        <v/>
      </c>
      <c r="J417" s="21" t="str">
        <f>IF($K417="","",IF(INDEX('Detalle individual'!$F:$F,$K417)="Completado",INDEX('Detalle individual'!$J:$J,$K417),""))</f>
        <v/>
      </c>
      <c r="K417" t="str">
        <f>IFERROR(MOD(SMALL(Cálculos!$Z$5:$Z$1000,409),10000),"")</f>
        <v/>
      </c>
    </row>
    <row r="418">
      <c r="B418" s="13" t="str">
        <f>IF($K418="","",410)</f>
        <v/>
      </c>
      <c r="C418" s="13" t="str">
        <f>IF($K418="","",INDEX('Detalle individual'!$A:$A,$K418))</f>
        <v/>
      </c>
      <c r="D418" s="72" t="str">
        <f>IF($K418="","",TRIM(INDEX('Detalle individual'!$B:$B,$K418)))</f>
        <v/>
      </c>
      <c r="E418" s="72" t="str">
        <f>IF($K418="","",TRIM(INDEX('Detalle individual'!$E:$E,$K418)))</f>
        <v/>
      </c>
      <c r="F418" s="72" t="str">
        <f>IF($K418="","",TRIM(INDEX('Detalle individual'!$C:$C,$K418)))</f>
        <v/>
      </c>
      <c r="G418" s="72" t="str">
        <f>IF($K418="","",INDEX('Detalle individual'!$D:$D,$K418))</f>
        <v/>
      </c>
      <c r="H418" s="13" t="str">
        <f>IF($K418="","",INDEX('Detalle individual'!$F:$F,$K418))</f>
        <v/>
      </c>
      <c r="I418" s="20" t="str">
        <f>IF($K418="","",IF(INDEX('Detalle individual'!$F:$F,$K418)="Completado",INDEX('Detalle individual'!$H:$H,$K418),""))</f>
        <v/>
      </c>
      <c r="J418" s="21" t="str">
        <f>IF($K418="","",IF(INDEX('Detalle individual'!$F:$F,$K418)="Completado",INDEX('Detalle individual'!$J:$J,$K418),""))</f>
        <v/>
      </c>
      <c r="K418" t="str">
        <f>IFERROR(MOD(SMALL(Cálculos!$Z$5:$Z$1000,410),10000),"")</f>
        <v/>
      </c>
    </row>
    <row r="419">
      <c r="B419" s="13" t="str">
        <f>IF($K419="","",411)</f>
        <v/>
      </c>
      <c r="C419" s="13" t="str">
        <f>IF($K419="","",INDEX('Detalle individual'!$A:$A,$K419))</f>
        <v/>
      </c>
      <c r="D419" s="72" t="str">
        <f>IF($K419="","",TRIM(INDEX('Detalle individual'!$B:$B,$K419)))</f>
        <v/>
      </c>
      <c r="E419" s="72" t="str">
        <f>IF($K419="","",TRIM(INDEX('Detalle individual'!$E:$E,$K419)))</f>
        <v/>
      </c>
      <c r="F419" s="72" t="str">
        <f>IF($K419="","",TRIM(INDEX('Detalle individual'!$C:$C,$K419)))</f>
        <v/>
      </c>
      <c r="G419" s="72" t="str">
        <f>IF($K419="","",INDEX('Detalle individual'!$D:$D,$K419))</f>
        <v/>
      </c>
      <c r="H419" s="13" t="str">
        <f>IF($K419="","",INDEX('Detalle individual'!$F:$F,$K419))</f>
        <v/>
      </c>
      <c r="I419" s="20" t="str">
        <f>IF($K419="","",IF(INDEX('Detalle individual'!$F:$F,$K419)="Completado",INDEX('Detalle individual'!$H:$H,$K419),""))</f>
        <v/>
      </c>
      <c r="J419" s="21" t="str">
        <f>IF($K419="","",IF(INDEX('Detalle individual'!$F:$F,$K419)="Completado",INDEX('Detalle individual'!$J:$J,$K419),""))</f>
        <v/>
      </c>
      <c r="K419" t="str">
        <f>IFERROR(MOD(SMALL(Cálculos!$Z$5:$Z$1000,411),10000),"")</f>
        <v/>
      </c>
    </row>
    <row r="420">
      <c r="B420" s="13" t="str">
        <f>IF($K420="","",412)</f>
        <v/>
      </c>
      <c r="C420" s="13" t="str">
        <f>IF($K420="","",INDEX('Detalle individual'!$A:$A,$K420))</f>
        <v/>
      </c>
      <c r="D420" s="72" t="str">
        <f>IF($K420="","",TRIM(INDEX('Detalle individual'!$B:$B,$K420)))</f>
        <v/>
      </c>
      <c r="E420" s="72" t="str">
        <f>IF($K420="","",TRIM(INDEX('Detalle individual'!$E:$E,$K420)))</f>
        <v/>
      </c>
      <c r="F420" s="72" t="str">
        <f>IF($K420="","",TRIM(INDEX('Detalle individual'!$C:$C,$K420)))</f>
        <v/>
      </c>
      <c r="G420" s="72" t="str">
        <f>IF($K420="","",INDEX('Detalle individual'!$D:$D,$K420))</f>
        <v/>
      </c>
      <c r="H420" s="13" t="str">
        <f>IF($K420="","",INDEX('Detalle individual'!$F:$F,$K420))</f>
        <v/>
      </c>
      <c r="I420" s="20" t="str">
        <f>IF($K420="","",IF(INDEX('Detalle individual'!$F:$F,$K420)="Completado",INDEX('Detalle individual'!$H:$H,$K420),""))</f>
        <v/>
      </c>
      <c r="J420" s="21" t="str">
        <f>IF($K420="","",IF(INDEX('Detalle individual'!$F:$F,$K420)="Completado",INDEX('Detalle individual'!$J:$J,$K420),""))</f>
        <v/>
      </c>
      <c r="K420" t="str">
        <f>IFERROR(MOD(SMALL(Cálculos!$Z$5:$Z$1000,412),10000),"")</f>
        <v/>
      </c>
    </row>
    <row r="421">
      <c r="B421" s="13" t="str">
        <f>IF($K421="","",413)</f>
        <v/>
      </c>
      <c r="C421" s="13" t="str">
        <f>IF($K421="","",INDEX('Detalle individual'!$A:$A,$K421))</f>
        <v/>
      </c>
      <c r="D421" s="72" t="str">
        <f>IF($K421="","",TRIM(INDEX('Detalle individual'!$B:$B,$K421)))</f>
        <v/>
      </c>
      <c r="E421" s="72" t="str">
        <f>IF($K421="","",TRIM(INDEX('Detalle individual'!$E:$E,$K421)))</f>
        <v/>
      </c>
      <c r="F421" s="72" t="str">
        <f>IF($K421="","",TRIM(INDEX('Detalle individual'!$C:$C,$K421)))</f>
        <v/>
      </c>
      <c r="G421" s="72" t="str">
        <f>IF($K421="","",INDEX('Detalle individual'!$D:$D,$K421))</f>
        <v/>
      </c>
      <c r="H421" s="13" t="str">
        <f>IF($K421="","",INDEX('Detalle individual'!$F:$F,$K421))</f>
        <v/>
      </c>
      <c r="I421" s="20" t="str">
        <f>IF($K421="","",IF(INDEX('Detalle individual'!$F:$F,$K421)="Completado",INDEX('Detalle individual'!$H:$H,$K421),""))</f>
        <v/>
      </c>
      <c r="J421" s="21" t="str">
        <f>IF($K421="","",IF(INDEX('Detalle individual'!$F:$F,$K421)="Completado",INDEX('Detalle individual'!$J:$J,$K421),""))</f>
        <v/>
      </c>
      <c r="K421" t="str">
        <f>IFERROR(MOD(SMALL(Cálculos!$Z$5:$Z$1000,413),10000),"")</f>
        <v/>
      </c>
    </row>
    <row r="422">
      <c r="B422" s="13" t="str">
        <f>IF($K422="","",414)</f>
        <v/>
      </c>
      <c r="C422" s="13" t="str">
        <f>IF($K422="","",INDEX('Detalle individual'!$A:$A,$K422))</f>
        <v/>
      </c>
      <c r="D422" s="72" t="str">
        <f>IF($K422="","",TRIM(INDEX('Detalle individual'!$B:$B,$K422)))</f>
        <v/>
      </c>
      <c r="E422" s="72" t="str">
        <f>IF($K422="","",TRIM(INDEX('Detalle individual'!$E:$E,$K422)))</f>
        <v/>
      </c>
      <c r="F422" s="72" t="str">
        <f>IF($K422="","",TRIM(INDEX('Detalle individual'!$C:$C,$K422)))</f>
        <v/>
      </c>
      <c r="G422" s="72" t="str">
        <f>IF($K422="","",INDEX('Detalle individual'!$D:$D,$K422))</f>
        <v/>
      </c>
      <c r="H422" s="13" t="str">
        <f>IF($K422="","",INDEX('Detalle individual'!$F:$F,$K422))</f>
        <v/>
      </c>
      <c r="I422" s="20" t="str">
        <f>IF($K422="","",IF(INDEX('Detalle individual'!$F:$F,$K422)="Completado",INDEX('Detalle individual'!$H:$H,$K422),""))</f>
        <v/>
      </c>
      <c r="J422" s="21" t="str">
        <f>IF($K422="","",IF(INDEX('Detalle individual'!$F:$F,$K422)="Completado",INDEX('Detalle individual'!$J:$J,$K422),""))</f>
        <v/>
      </c>
      <c r="K422" t="str">
        <f>IFERROR(MOD(SMALL(Cálculos!$Z$5:$Z$1000,414),10000),"")</f>
        <v/>
      </c>
    </row>
    <row r="423">
      <c r="B423" s="13" t="str">
        <f>IF($K423="","",415)</f>
        <v/>
      </c>
      <c r="C423" s="13" t="str">
        <f>IF($K423="","",INDEX('Detalle individual'!$A:$A,$K423))</f>
        <v/>
      </c>
      <c r="D423" s="72" t="str">
        <f>IF($K423="","",TRIM(INDEX('Detalle individual'!$B:$B,$K423)))</f>
        <v/>
      </c>
      <c r="E423" s="72" t="str">
        <f>IF($K423="","",TRIM(INDEX('Detalle individual'!$E:$E,$K423)))</f>
        <v/>
      </c>
      <c r="F423" s="72" t="str">
        <f>IF($K423="","",TRIM(INDEX('Detalle individual'!$C:$C,$K423)))</f>
        <v/>
      </c>
      <c r="G423" s="72" t="str">
        <f>IF($K423="","",INDEX('Detalle individual'!$D:$D,$K423))</f>
        <v/>
      </c>
      <c r="H423" s="13" t="str">
        <f>IF($K423="","",INDEX('Detalle individual'!$F:$F,$K423))</f>
        <v/>
      </c>
      <c r="I423" s="20" t="str">
        <f>IF($K423="","",IF(INDEX('Detalle individual'!$F:$F,$K423)="Completado",INDEX('Detalle individual'!$H:$H,$K423),""))</f>
        <v/>
      </c>
      <c r="J423" s="21" t="str">
        <f>IF($K423="","",IF(INDEX('Detalle individual'!$F:$F,$K423)="Completado",INDEX('Detalle individual'!$J:$J,$K423),""))</f>
        <v/>
      </c>
      <c r="K423" t="str">
        <f>IFERROR(MOD(SMALL(Cálculos!$Z$5:$Z$1000,415),10000),"")</f>
        <v/>
      </c>
    </row>
    <row r="424">
      <c r="B424" s="13" t="str">
        <f>IF($K424="","",416)</f>
        <v/>
      </c>
      <c r="C424" s="13" t="str">
        <f>IF($K424="","",INDEX('Detalle individual'!$A:$A,$K424))</f>
        <v/>
      </c>
      <c r="D424" s="72" t="str">
        <f>IF($K424="","",TRIM(INDEX('Detalle individual'!$B:$B,$K424)))</f>
        <v/>
      </c>
      <c r="E424" s="72" t="str">
        <f>IF($K424="","",TRIM(INDEX('Detalle individual'!$E:$E,$K424)))</f>
        <v/>
      </c>
      <c r="F424" s="72" t="str">
        <f>IF($K424="","",TRIM(INDEX('Detalle individual'!$C:$C,$K424)))</f>
        <v/>
      </c>
      <c r="G424" s="72" t="str">
        <f>IF($K424="","",INDEX('Detalle individual'!$D:$D,$K424))</f>
        <v/>
      </c>
      <c r="H424" s="13" t="str">
        <f>IF($K424="","",INDEX('Detalle individual'!$F:$F,$K424))</f>
        <v/>
      </c>
      <c r="I424" s="20" t="str">
        <f>IF($K424="","",IF(INDEX('Detalle individual'!$F:$F,$K424)="Completado",INDEX('Detalle individual'!$H:$H,$K424),""))</f>
        <v/>
      </c>
      <c r="J424" s="21" t="str">
        <f>IF($K424="","",IF(INDEX('Detalle individual'!$F:$F,$K424)="Completado",INDEX('Detalle individual'!$J:$J,$K424),""))</f>
        <v/>
      </c>
      <c r="K424" t="str">
        <f>IFERROR(MOD(SMALL(Cálculos!$Z$5:$Z$1000,416),10000),"")</f>
        <v/>
      </c>
    </row>
    <row r="425">
      <c r="B425" s="13" t="str">
        <f>IF($K425="","",417)</f>
        <v/>
      </c>
      <c r="C425" s="13" t="str">
        <f>IF($K425="","",INDEX('Detalle individual'!$A:$A,$K425))</f>
        <v/>
      </c>
      <c r="D425" s="72" t="str">
        <f>IF($K425="","",TRIM(INDEX('Detalle individual'!$B:$B,$K425)))</f>
        <v/>
      </c>
      <c r="E425" s="72" t="str">
        <f>IF($K425="","",TRIM(INDEX('Detalle individual'!$E:$E,$K425)))</f>
        <v/>
      </c>
      <c r="F425" s="72" t="str">
        <f>IF($K425="","",TRIM(INDEX('Detalle individual'!$C:$C,$K425)))</f>
        <v/>
      </c>
      <c r="G425" s="72" t="str">
        <f>IF($K425="","",INDEX('Detalle individual'!$D:$D,$K425))</f>
        <v/>
      </c>
      <c r="H425" s="13" t="str">
        <f>IF($K425="","",INDEX('Detalle individual'!$F:$F,$K425))</f>
        <v/>
      </c>
      <c r="I425" s="20" t="str">
        <f>IF($K425="","",IF(INDEX('Detalle individual'!$F:$F,$K425)="Completado",INDEX('Detalle individual'!$H:$H,$K425),""))</f>
        <v/>
      </c>
      <c r="J425" s="21" t="str">
        <f>IF($K425="","",IF(INDEX('Detalle individual'!$F:$F,$K425)="Completado",INDEX('Detalle individual'!$J:$J,$K425),""))</f>
        <v/>
      </c>
      <c r="K425" t="str">
        <f>IFERROR(MOD(SMALL(Cálculos!$Z$5:$Z$1000,417),10000),"")</f>
        <v/>
      </c>
    </row>
    <row r="426">
      <c r="B426" s="13" t="str">
        <f>IF($K426="","",418)</f>
        <v/>
      </c>
      <c r="C426" s="13" t="str">
        <f>IF($K426="","",INDEX('Detalle individual'!$A:$A,$K426))</f>
        <v/>
      </c>
      <c r="D426" s="72" t="str">
        <f>IF($K426="","",TRIM(INDEX('Detalle individual'!$B:$B,$K426)))</f>
        <v/>
      </c>
      <c r="E426" s="72" t="str">
        <f>IF($K426="","",TRIM(INDEX('Detalle individual'!$E:$E,$K426)))</f>
        <v/>
      </c>
      <c r="F426" s="72" t="str">
        <f>IF($K426="","",TRIM(INDEX('Detalle individual'!$C:$C,$K426)))</f>
        <v/>
      </c>
      <c r="G426" s="72" t="str">
        <f>IF($K426="","",INDEX('Detalle individual'!$D:$D,$K426))</f>
        <v/>
      </c>
      <c r="H426" s="13" t="str">
        <f>IF($K426="","",INDEX('Detalle individual'!$F:$F,$K426))</f>
        <v/>
      </c>
      <c r="I426" s="20" t="str">
        <f>IF($K426="","",IF(INDEX('Detalle individual'!$F:$F,$K426)="Completado",INDEX('Detalle individual'!$H:$H,$K426),""))</f>
        <v/>
      </c>
      <c r="J426" s="21" t="str">
        <f>IF($K426="","",IF(INDEX('Detalle individual'!$F:$F,$K426)="Completado",INDEX('Detalle individual'!$J:$J,$K426),""))</f>
        <v/>
      </c>
      <c r="K426" t="str">
        <f>IFERROR(MOD(SMALL(Cálculos!$Z$5:$Z$1000,418),10000),"")</f>
        <v/>
      </c>
    </row>
    <row r="427">
      <c r="B427" s="13" t="str">
        <f>IF($K427="","",419)</f>
        <v/>
      </c>
      <c r="C427" s="13" t="str">
        <f>IF($K427="","",INDEX('Detalle individual'!$A:$A,$K427))</f>
        <v/>
      </c>
      <c r="D427" s="72" t="str">
        <f>IF($K427="","",TRIM(INDEX('Detalle individual'!$B:$B,$K427)))</f>
        <v/>
      </c>
      <c r="E427" s="72" t="str">
        <f>IF($K427="","",TRIM(INDEX('Detalle individual'!$E:$E,$K427)))</f>
        <v/>
      </c>
      <c r="F427" s="72" t="str">
        <f>IF($K427="","",TRIM(INDEX('Detalle individual'!$C:$C,$K427)))</f>
        <v/>
      </c>
      <c r="G427" s="72" t="str">
        <f>IF($K427="","",INDEX('Detalle individual'!$D:$D,$K427))</f>
        <v/>
      </c>
      <c r="H427" s="13" t="str">
        <f>IF($K427="","",INDEX('Detalle individual'!$F:$F,$K427))</f>
        <v/>
      </c>
      <c r="I427" s="20" t="str">
        <f>IF($K427="","",IF(INDEX('Detalle individual'!$F:$F,$K427)="Completado",INDEX('Detalle individual'!$H:$H,$K427),""))</f>
        <v/>
      </c>
      <c r="J427" s="21" t="str">
        <f>IF($K427="","",IF(INDEX('Detalle individual'!$F:$F,$K427)="Completado",INDEX('Detalle individual'!$J:$J,$K427),""))</f>
        <v/>
      </c>
      <c r="K427" t="str">
        <f>IFERROR(MOD(SMALL(Cálculos!$Z$5:$Z$1000,419),10000),"")</f>
        <v/>
      </c>
    </row>
    <row r="428">
      <c r="B428" s="13" t="str">
        <f>IF($K428="","",420)</f>
        <v/>
      </c>
      <c r="C428" s="13" t="str">
        <f>IF($K428="","",INDEX('Detalle individual'!$A:$A,$K428))</f>
        <v/>
      </c>
      <c r="D428" s="72" t="str">
        <f>IF($K428="","",TRIM(INDEX('Detalle individual'!$B:$B,$K428)))</f>
        <v/>
      </c>
      <c r="E428" s="72" t="str">
        <f>IF($K428="","",TRIM(INDEX('Detalle individual'!$E:$E,$K428)))</f>
        <v/>
      </c>
      <c r="F428" s="72" t="str">
        <f>IF($K428="","",TRIM(INDEX('Detalle individual'!$C:$C,$K428)))</f>
        <v/>
      </c>
      <c r="G428" s="72" t="str">
        <f>IF($K428="","",INDEX('Detalle individual'!$D:$D,$K428))</f>
        <v/>
      </c>
      <c r="H428" s="13" t="str">
        <f>IF($K428="","",INDEX('Detalle individual'!$F:$F,$K428))</f>
        <v/>
      </c>
      <c r="I428" s="20" t="str">
        <f>IF($K428="","",IF(INDEX('Detalle individual'!$F:$F,$K428)="Completado",INDEX('Detalle individual'!$H:$H,$K428),""))</f>
        <v/>
      </c>
      <c r="J428" s="21" t="str">
        <f>IF($K428="","",IF(INDEX('Detalle individual'!$F:$F,$K428)="Completado",INDEX('Detalle individual'!$J:$J,$K428),""))</f>
        <v/>
      </c>
      <c r="K428" t="str">
        <f>IFERROR(MOD(SMALL(Cálculos!$Z$5:$Z$1000,420),10000),"")</f>
        <v/>
      </c>
    </row>
    <row r="429">
      <c r="B429" s="13" t="str">
        <f>IF($K429="","",421)</f>
        <v/>
      </c>
      <c r="C429" s="13" t="str">
        <f>IF($K429="","",INDEX('Detalle individual'!$A:$A,$K429))</f>
        <v/>
      </c>
      <c r="D429" s="72" t="str">
        <f>IF($K429="","",TRIM(INDEX('Detalle individual'!$B:$B,$K429)))</f>
        <v/>
      </c>
      <c r="E429" s="72" t="str">
        <f>IF($K429="","",TRIM(INDEX('Detalle individual'!$E:$E,$K429)))</f>
        <v/>
      </c>
      <c r="F429" s="72" t="str">
        <f>IF($K429="","",TRIM(INDEX('Detalle individual'!$C:$C,$K429)))</f>
        <v/>
      </c>
      <c r="G429" s="72" t="str">
        <f>IF($K429="","",INDEX('Detalle individual'!$D:$D,$K429))</f>
        <v/>
      </c>
      <c r="H429" s="13" t="str">
        <f>IF($K429="","",INDEX('Detalle individual'!$F:$F,$K429))</f>
        <v/>
      </c>
      <c r="I429" s="20" t="str">
        <f>IF($K429="","",IF(INDEX('Detalle individual'!$F:$F,$K429)="Completado",INDEX('Detalle individual'!$H:$H,$K429),""))</f>
        <v/>
      </c>
      <c r="J429" s="21" t="str">
        <f>IF($K429="","",IF(INDEX('Detalle individual'!$F:$F,$K429)="Completado",INDEX('Detalle individual'!$J:$J,$K429),""))</f>
        <v/>
      </c>
      <c r="K429" t="str">
        <f>IFERROR(MOD(SMALL(Cálculos!$Z$5:$Z$1000,421),10000),"")</f>
        <v/>
      </c>
    </row>
    <row r="430">
      <c r="B430" s="13" t="str">
        <f>IF($K430="","",422)</f>
        <v/>
      </c>
      <c r="C430" s="13" t="str">
        <f>IF($K430="","",INDEX('Detalle individual'!$A:$A,$K430))</f>
        <v/>
      </c>
      <c r="D430" s="72" t="str">
        <f>IF($K430="","",TRIM(INDEX('Detalle individual'!$B:$B,$K430)))</f>
        <v/>
      </c>
      <c r="E430" s="72" t="str">
        <f>IF($K430="","",TRIM(INDEX('Detalle individual'!$E:$E,$K430)))</f>
        <v/>
      </c>
      <c r="F430" s="72" t="str">
        <f>IF($K430="","",TRIM(INDEX('Detalle individual'!$C:$C,$K430)))</f>
        <v/>
      </c>
      <c r="G430" s="72" t="str">
        <f>IF($K430="","",INDEX('Detalle individual'!$D:$D,$K430))</f>
        <v/>
      </c>
      <c r="H430" s="13" t="str">
        <f>IF($K430="","",INDEX('Detalle individual'!$F:$F,$K430))</f>
        <v/>
      </c>
      <c r="I430" s="20" t="str">
        <f>IF($K430="","",IF(INDEX('Detalle individual'!$F:$F,$K430)="Completado",INDEX('Detalle individual'!$H:$H,$K430),""))</f>
        <v/>
      </c>
      <c r="J430" s="21" t="str">
        <f>IF($K430="","",IF(INDEX('Detalle individual'!$F:$F,$K430)="Completado",INDEX('Detalle individual'!$J:$J,$K430),""))</f>
        <v/>
      </c>
      <c r="K430" t="str">
        <f>IFERROR(MOD(SMALL(Cálculos!$Z$5:$Z$1000,422),10000),"")</f>
        <v/>
      </c>
    </row>
    <row r="431">
      <c r="B431" s="13" t="str">
        <f>IF($K431="","",423)</f>
        <v/>
      </c>
      <c r="C431" s="13" t="str">
        <f>IF($K431="","",INDEX('Detalle individual'!$A:$A,$K431))</f>
        <v/>
      </c>
      <c r="D431" s="72" t="str">
        <f>IF($K431="","",TRIM(INDEX('Detalle individual'!$B:$B,$K431)))</f>
        <v/>
      </c>
      <c r="E431" s="72" t="str">
        <f>IF($K431="","",TRIM(INDEX('Detalle individual'!$E:$E,$K431)))</f>
        <v/>
      </c>
      <c r="F431" s="72" t="str">
        <f>IF($K431="","",TRIM(INDEX('Detalle individual'!$C:$C,$K431)))</f>
        <v/>
      </c>
      <c r="G431" s="72" t="str">
        <f>IF($K431="","",INDEX('Detalle individual'!$D:$D,$K431))</f>
        <v/>
      </c>
      <c r="H431" s="13" t="str">
        <f>IF($K431="","",INDEX('Detalle individual'!$F:$F,$K431))</f>
        <v/>
      </c>
      <c r="I431" s="20" t="str">
        <f>IF($K431="","",IF(INDEX('Detalle individual'!$F:$F,$K431)="Completado",INDEX('Detalle individual'!$H:$H,$K431),""))</f>
        <v/>
      </c>
      <c r="J431" s="21" t="str">
        <f>IF($K431="","",IF(INDEX('Detalle individual'!$F:$F,$K431)="Completado",INDEX('Detalle individual'!$J:$J,$K431),""))</f>
        <v/>
      </c>
      <c r="K431" t="str">
        <f>IFERROR(MOD(SMALL(Cálculos!$Z$5:$Z$1000,423),10000),"")</f>
        <v/>
      </c>
    </row>
    <row r="432">
      <c r="B432" s="13" t="str">
        <f>IF($K432="","",424)</f>
        <v/>
      </c>
      <c r="C432" s="13" t="str">
        <f>IF($K432="","",INDEX('Detalle individual'!$A:$A,$K432))</f>
        <v/>
      </c>
      <c r="D432" s="72" t="str">
        <f>IF($K432="","",TRIM(INDEX('Detalle individual'!$B:$B,$K432)))</f>
        <v/>
      </c>
      <c r="E432" s="72" t="str">
        <f>IF($K432="","",TRIM(INDEX('Detalle individual'!$E:$E,$K432)))</f>
        <v/>
      </c>
      <c r="F432" s="72" t="str">
        <f>IF($K432="","",TRIM(INDEX('Detalle individual'!$C:$C,$K432)))</f>
        <v/>
      </c>
      <c r="G432" s="72" t="str">
        <f>IF($K432="","",INDEX('Detalle individual'!$D:$D,$K432))</f>
        <v/>
      </c>
      <c r="H432" s="13" t="str">
        <f>IF($K432="","",INDEX('Detalle individual'!$F:$F,$K432))</f>
        <v/>
      </c>
      <c r="I432" s="20" t="str">
        <f>IF($K432="","",IF(INDEX('Detalle individual'!$F:$F,$K432)="Completado",INDEX('Detalle individual'!$H:$H,$K432),""))</f>
        <v/>
      </c>
      <c r="J432" s="21" t="str">
        <f>IF($K432="","",IF(INDEX('Detalle individual'!$F:$F,$K432)="Completado",INDEX('Detalle individual'!$J:$J,$K432),""))</f>
        <v/>
      </c>
      <c r="K432" t="str">
        <f>IFERROR(MOD(SMALL(Cálculos!$Z$5:$Z$1000,424),10000),"")</f>
        <v/>
      </c>
    </row>
    <row r="433">
      <c r="B433" s="13" t="str">
        <f>IF($K433="","",425)</f>
        <v/>
      </c>
      <c r="C433" s="13" t="str">
        <f>IF($K433="","",INDEX('Detalle individual'!$A:$A,$K433))</f>
        <v/>
      </c>
      <c r="D433" s="72" t="str">
        <f>IF($K433="","",TRIM(INDEX('Detalle individual'!$B:$B,$K433)))</f>
        <v/>
      </c>
      <c r="E433" s="72" t="str">
        <f>IF($K433="","",TRIM(INDEX('Detalle individual'!$E:$E,$K433)))</f>
        <v/>
      </c>
      <c r="F433" s="72" t="str">
        <f>IF($K433="","",TRIM(INDEX('Detalle individual'!$C:$C,$K433)))</f>
        <v/>
      </c>
      <c r="G433" s="72" t="str">
        <f>IF($K433="","",INDEX('Detalle individual'!$D:$D,$K433))</f>
        <v/>
      </c>
      <c r="H433" s="13" t="str">
        <f>IF($K433="","",INDEX('Detalle individual'!$F:$F,$K433))</f>
        <v/>
      </c>
      <c r="I433" s="20" t="str">
        <f>IF($K433="","",IF(INDEX('Detalle individual'!$F:$F,$K433)="Completado",INDEX('Detalle individual'!$H:$H,$K433),""))</f>
        <v/>
      </c>
      <c r="J433" s="21" t="str">
        <f>IF($K433="","",IF(INDEX('Detalle individual'!$F:$F,$K433)="Completado",INDEX('Detalle individual'!$J:$J,$K433),""))</f>
        <v/>
      </c>
      <c r="K433" t="str">
        <f>IFERROR(MOD(SMALL(Cálculos!$Z$5:$Z$1000,425),10000),"")</f>
        <v/>
      </c>
    </row>
    <row r="434">
      <c r="B434" s="13" t="str">
        <f>IF($K434="","",426)</f>
        <v/>
      </c>
      <c r="C434" s="13" t="str">
        <f>IF($K434="","",INDEX('Detalle individual'!$A:$A,$K434))</f>
        <v/>
      </c>
      <c r="D434" s="72" t="str">
        <f>IF($K434="","",TRIM(INDEX('Detalle individual'!$B:$B,$K434)))</f>
        <v/>
      </c>
      <c r="E434" s="72" t="str">
        <f>IF($K434="","",TRIM(INDEX('Detalle individual'!$E:$E,$K434)))</f>
        <v/>
      </c>
      <c r="F434" s="72" t="str">
        <f>IF($K434="","",TRIM(INDEX('Detalle individual'!$C:$C,$K434)))</f>
        <v/>
      </c>
      <c r="G434" s="72" t="str">
        <f>IF($K434="","",INDEX('Detalle individual'!$D:$D,$K434))</f>
        <v/>
      </c>
      <c r="H434" s="13" t="str">
        <f>IF($K434="","",INDEX('Detalle individual'!$F:$F,$K434))</f>
        <v/>
      </c>
      <c r="I434" s="20" t="str">
        <f>IF($K434="","",IF(INDEX('Detalle individual'!$F:$F,$K434)="Completado",INDEX('Detalle individual'!$H:$H,$K434),""))</f>
        <v/>
      </c>
      <c r="J434" s="21" t="str">
        <f>IF($K434="","",IF(INDEX('Detalle individual'!$F:$F,$K434)="Completado",INDEX('Detalle individual'!$J:$J,$K434),""))</f>
        <v/>
      </c>
      <c r="K434" t="str">
        <f>IFERROR(MOD(SMALL(Cálculos!$Z$5:$Z$1000,426),10000),"")</f>
        <v/>
      </c>
    </row>
    <row r="435">
      <c r="B435" s="13" t="str">
        <f>IF($K435="","",427)</f>
        <v/>
      </c>
      <c r="C435" s="13" t="str">
        <f>IF($K435="","",INDEX('Detalle individual'!$A:$A,$K435))</f>
        <v/>
      </c>
      <c r="D435" s="72" t="str">
        <f>IF($K435="","",TRIM(INDEX('Detalle individual'!$B:$B,$K435)))</f>
        <v/>
      </c>
      <c r="E435" s="72" t="str">
        <f>IF($K435="","",TRIM(INDEX('Detalle individual'!$E:$E,$K435)))</f>
        <v/>
      </c>
      <c r="F435" s="72" t="str">
        <f>IF($K435="","",TRIM(INDEX('Detalle individual'!$C:$C,$K435)))</f>
        <v/>
      </c>
      <c r="G435" s="72" t="str">
        <f>IF($K435="","",INDEX('Detalle individual'!$D:$D,$K435))</f>
        <v/>
      </c>
      <c r="H435" s="13" t="str">
        <f>IF($K435="","",INDEX('Detalle individual'!$F:$F,$K435))</f>
        <v/>
      </c>
      <c r="I435" s="20" t="str">
        <f>IF($K435="","",IF(INDEX('Detalle individual'!$F:$F,$K435)="Completado",INDEX('Detalle individual'!$H:$H,$K435),""))</f>
        <v/>
      </c>
      <c r="J435" s="21" t="str">
        <f>IF($K435="","",IF(INDEX('Detalle individual'!$F:$F,$K435)="Completado",INDEX('Detalle individual'!$J:$J,$K435),""))</f>
        <v/>
      </c>
      <c r="K435" t="str">
        <f>IFERROR(MOD(SMALL(Cálculos!$Z$5:$Z$1000,427),10000),"")</f>
        <v/>
      </c>
    </row>
    <row r="436">
      <c r="B436" s="13" t="str">
        <f>IF($K436="","",428)</f>
        <v/>
      </c>
      <c r="C436" s="13" t="str">
        <f>IF($K436="","",INDEX('Detalle individual'!$A:$A,$K436))</f>
        <v/>
      </c>
      <c r="D436" s="72" t="str">
        <f>IF($K436="","",TRIM(INDEX('Detalle individual'!$B:$B,$K436)))</f>
        <v/>
      </c>
      <c r="E436" s="72" t="str">
        <f>IF($K436="","",TRIM(INDEX('Detalle individual'!$E:$E,$K436)))</f>
        <v/>
      </c>
      <c r="F436" s="72" t="str">
        <f>IF($K436="","",TRIM(INDEX('Detalle individual'!$C:$C,$K436)))</f>
        <v/>
      </c>
      <c r="G436" s="72" t="str">
        <f>IF($K436="","",INDEX('Detalle individual'!$D:$D,$K436))</f>
        <v/>
      </c>
      <c r="H436" s="13" t="str">
        <f>IF($K436="","",INDEX('Detalle individual'!$F:$F,$K436))</f>
        <v/>
      </c>
      <c r="I436" s="20" t="str">
        <f>IF($K436="","",IF(INDEX('Detalle individual'!$F:$F,$K436)="Completado",INDEX('Detalle individual'!$H:$H,$K436),""))</f>
        <v/>
      </c>
      <c r="J436" s="21" t="str">
        <f>IF($K436="","",IF(INDEX('Detalle individual'!$F:$F,$K436)="Completado",INDEX('Detalle individual'!$J:$J,$K436),""))</f>
        <v/>
      </c>
      <c r="K436" t="str">
        <f>IFERROR(MOD(SMALL(Cálculos!$Z$5:$Z$1000,428),10000),"")</f>
        <v/>
      </c>
    </row>
    <row r="437">
      <c r="B437" s="13" t="str">
        <f>IF($K437="","",429)</f>
        <v/>
      </c>
      <c r="C437" s="13" t="str">
        <f>IF($K437="","",INDEX('Detalle individual'!$A:$A,$K437))</f>
        <v/>
      </c>
      <c r="D437" s="72" t="str">
        <f>IF($K437="","",TRIM(INDEX('Detalle individual'!$B:$B,$K437)))</f>
        <v/>
      </c>
      <c r="E437" s="72" t="str">
        <f>IF($K437="","",TRIM(INDEX('Detalle individual'!$E:$E,$K437)))</f>
        <v/>
      </c>
      <c r="F437" s="72" t="str">
        <f>IF($K437="","",TRIM(INDEX('Detalle individual'!$C:$C,$K437)))</f>
        <v/>
      </c>
      <c r="G437" s="72" t="str">
        <f>IF($K437="","",INDEX('Detalle individual'!$D:$D,$K437))</f>
        <v/>
      </c>
      <c r="H437" s="13" t="str">
        <f>IF($K437="","",INDEX('Detalle individual'!$F:$F,$K437))</f>
        <v/>
      </c>
      <c r="I437" s="20" t="str">
        <f>IF($K437="","",IF(INDEX('Detalle individual'!$F:$F,$K437)="Completado",INDEX('Detalle individual'!$H:$H,$K437),""))</f>
        <v/>
      </c>
      <c r="J437" s="21" t="str">
        <f>IF($K437="","",IF(INDEX('Detalle individual'!$F:$F,$K437)="Completado",INDEX('Detalle individual'!$J:$J,$K437),""))</f>
        <v/>
      </c>
      <c r="K437" t="str">
        <f>IFERROR(MOD(SMALL(Cálculos!$Z$5:$Z$1000,429),10000),"")</f>
        <v/>
      </c>
    </row>
    <row r="438">
      <c r="B438" s="13" t="str">
        <f>IF($K438="","",430)</f>
        <v/>
      </c>
      <c r="C438" s="13" t="str">
        <f>IF($K438="","",INDEX('Detalle individual'!$A:$A,$K438))</f>
        <v/>
      </c>
      <c r="D438" s="72" t="str">
        <f>IF($K438="","",TRIM(INDEX('Detalle individual'!$B:$B,$K438)))</f>
        <v/>
      </c>
      <c r="E438" s="72" t="str">
        <f>IF($K438="","",TRIM(INDEX('Detalle individual'!$E:$E,$K438)))</f>
        <v/>
      </c>
      <c r="F438" s="72" t="str">
        <f>IF($K438="","",TRIM(INDEX('Detalle individual'!$C:$C,$K438)))</f>
        <v/>
      </c>
      <c r="G438" s="72" t="str">
        <f>IF($K438="","",INDEX('Detalle individual'!$D:$D,$K438))</f>
        <v/>
      </c>
      <c r="H438" s="13" t="str">
        <f>IF($K438="","",INDEX('Detalle individual'!$F:$F,$K438))</f>
        <v/>
      </c>
      <c r="I438" s="20" t="str">
        <f>IF($K438="","",IF(INDEX('Detalle individual'!$F:$F,$K438)="Completado",INDEX('Detalle individual'!$H:$H,$K438),""))</f>
        <v/>
      </c>
      <c r="J438" s="21" t="str">
        <f>IF($K438="","",IF(INDEX('Detalle individual'!$F:$F,$K438)="Completado",INDEX('Detalle individual'!$J:$J,$K438),""))</f>
        <v/>
      </c>
      <c r="K438" t="str">
        <f>IFERROR(MOD(SMALL(Cálculos!$Z$5:$Z$1000,430),10000),"")</f>
        <v/>
      </c>
    </row>
    <row r="439">
      <c r="B439" s="13" t="str">
        <f>IF($K439="","",431)</f>
        <v/>
      </c>
      <c r="C439" s="13" t="str">
        <f>IF($K439="","",INDEX('Detalle individual'!$A:$A,$K439))</f>
        <v/>
      </c>
      <c r="D439" s="72" t="str">
        <f>IF($K439="","",TRIM(INDEX('Detalle individual'!$B:$B,$K439)))</f>
        <v/>
      </c>
      <c r="E439" s="72" t="str">
        <f>IF($K439="","",TRIM(INDEX('Detalle individual'!$E:$E,$K439)))</f>
        <v/>
      </c>
      <c r="F439" s="72" t="str">
        <f>IF($K439="","",TRIM(INDEX('Detalle individual'!$C:$C,$K439)))</f>
        <v/>
      </c>
      <c r="G439" s="72" t="str">
        <f>IF($K439="","",INDEX('Detalle individual'!$D:$D,$K439))</f>
        <v/>
      </c>
      <c r="H439" s="13" t="str">
        <f>IF($K439="","",INDEX('Detalle individual'!$F:$F,$K439))</f>
        <v/>
      </c>
      <c r="I439" s="20" t="str">
        <f>IF($K439="","",IF(INDEX('Detalle individual'!$F:$F,$K439)="Completado",INDEX('Detalle individual'!$H:$H,$K439),""))</f>
        <v/>
      </c>
      <c r="J439" s="21" t="str">
        <f>IF($K439="","",IF(INDEX('Detalle individual'!$F:$F,$K439)="Completado",INDEX('Detalle individual'!$J:$J,$K439),""))</f>
        <v/>
      </c>
      <c r="K439" t="str">
        <f>IFERROR(MOD(SMALL(Cálculos!$Z$5:$Z$1000,431),10000),"")</f>
        <v/>
      </c>
    </row>
    <row r="440">
      <c r="B440" s="13" t="str">
        <f>IF($K440="","",432)</f>
        <v/>
      </c>
      <c r="C440" s="13" t="str">
        <f>IF($K440="","",INDEX('Detalle individual'!$A:$A,$K440))</f>
        <v/>
      </c>
      <c r="D440" s="72" t="str">
        <f>IF($K440="","",TRIM(INDEX('Detalle individual'!$B:$B,$K440)))</f>
        <v/>
      </c>
      <c r="E440" s="72" t="str">
        <f>IF($K440="","",TRIM(INDEX('Detalle individual'!$E:$E,$K440)))</f>
        <v/>
      </c>
      <c r="F440" s="72" t="str">
        <f>IF($K440="","",TRIM(INDEX('Detalle individual'!$C:$C,$K440)))</f>
        <v/>
      </c>
      <c r="G440" s="72" t="str">
        <f>IF($K440="","",INDEX('Detalle individual'!$D:$D,$K440))</f>
        <v/>
      </c>
      <c r="H440" s="13" t="str">
        <f>IF($K440="","",INDEX('Detalle individual'!$F:$F,$K440))</f>
        <v/>
      </c>
      <c r="I440" s="20" t="str">
        <f>IF($K440="","",IF(INDEX('Detalle individual'!$F:$F,$K440)="Completado",INDEX('Detalle individual'!$H:$H,$K440),""))</f>
        <v/>
      </c>
      <c r="J440" s="21" t="str">
        <f>IF($K440="","",IF(INDEX('Detalle individual'!$F:$F,$K440)="Completado",INDEX('Detalle individual'!$J:$J,$K440),""))</f>
        <v/>
      </c>
      <c r="K440" t="str">
        <f>IFERROR(MOD(SMALL(Cálculos!$Z$5:$Z$1000,432),10000),"")</f>
        <v/>
      </c>
    </row>
    <row r="441">
      <c r="B441" s="13" t="str">
        <f>IF($K441="","",433)</f>
        <v/>
      </c>
      <c r="C441" s="13" t="str">
        <f>IF($K441="","",INDEX('Detalle individual'!$A:$A,$K441))</f>
        <v/>
      </c>
      <c r="D441" s="72" t="str">
        <f>IF($K441="","",TRIM(INDEX('Detalle individual'!$B:$B,$K441)))</f>
        <v/>
      </c>
      <c r="E441" s="72" t="str">
        <f>IF($K441="","",TRIM(INDEX('Detalle individual'!$E:$E,$K441)))</f>
        <v/>
      </c>
      <c r="F441" s="72" t="str">
        <f>IF($K441="","",TRIM(INDEX('Detalle individual'!$C:$C,$K441)))</f>
        <v/>
      </c>
      <c r="G441" s="72" t="str">
        <f>IF($K441="","",INDEX('Detalle individual'!$D:$D,$K441))</f>
        <v/>
      </c>
      <c r="H441" s="13" t="str">
        <f>IF($K441="","",INDEX('Detalle individual'!$F:$F,$K441))</f>
        <v/>
      </c>
      <c r="I441" s="20" t="str">
        <f>IF($K441="","",IF(INDEX('Detalle individual'!$F:$F,$K441)="Completado",INDEX('Detalle individual'!$H:$H,$K441),""))</f>
        <v/>
      </c>
      <c r="J441" s="21" t="str">
        <f>IF($K441="","",IF(INDEX('Detalle individual'!$F:$F,$K441)="Completado",INDEX('Detalle individual'!$J:$J,$K441),""))</f>
        <v/>
      </c>
      <c r="K441" t="str">
        <f>IFERROR(MOD(SMALL(Cálculos!$Z$5:$Z$1000,433),10000),"")</f>
        <v/>
      </c>
    </row>
    <row r="442">
      <c r="B442" s="13" t="str">
        <f>IF($K442="","",434)</f>
        <v/>
      </c>
      <c r="C442" s="13" t="str">
        <f>IF($K442="","",INDEX('Detalle individual'!$A:$A,$K442))</f>
        <v/>
      </c>
      <c r="D442" s="72" t="str">
        <f>IF($K442="","",TRIM(INDEX('Detalle individual'!$B:$B,$K442)))</f>
        <v/>
      </c>
      <c r="E442" s="72" t="str">
        <f>IF($K442="","",TRIM(INDEX('Detalle individual'!$E:$E,$K442)))</f>
        <v/>
      </c>
      <c r="F442" s="72" t="str">
        <f>IF($K442="","",TRIM(INDEX('Detalle individual'!$C:$C,$K442)))</f>
        <v/>
      </c>
      <c r="G442" s="72" t="str">
        <f>IF($K442="","",INDEX('Detalle individual'!$D:$D,$K442))</f>
        <v/>
      </c>
      <c r="H442" s="13" t="str">
        <f>IF($K442="","",INDEX('Detalle individual'!$F:$F,$K442))</f>
        <v/>
      </c>
      <c r="I442" s="20" t="str">
        <f>IF($K442="","",IF(INDEX('Detalle individual'!$F:$F,$K442)="Completado",INDEX('Detalle individual'!$H:$H,$K442),""))</f>
        <v/>
      </c>
      <c r="J442" s="21" t="str">
        <f>IF($K442="","",IF(INDEX('Detalle individual'!$F:$F,$K442)="Completado",INDEX('Detalle individual'!$J:$J,$K442),""))</f>
        <v/>
      </c>
      <c r="K442" t="str">
        <f>IFERROR(MOD(SMALL(Cálculos!$Z$5:$Z$1000,434),10000),"")</f>
        <v/>
      </c>
    </row>
    <row r="443">
      <c r="B443" s="13" t="str">
        <f>IF($K443="","",435)</f>
        <v/>
      </c>
      <c r="C443" s="13" t="str">
        <f>IF($K443="","",INDEX('Detalle individual'!$A:$A,$K443))</f>
        <v/>
      </c>
      <c r="D443" s="72" t="str">
        <f>IF($K443="","",TRIM(INDEX('Detalle individual'!$B:$B,$K443)))</f>
        <v/>
      </c>
      <c r="E443" s="72" t="str">
        <f>IF($K443="","",TRIM(INDEX('Detalle individual'!$E:$E,$K443)))</f>
        <v/>
      </c>
      <c r="F443" s="72" t="str">
        <f>IF($K443="","",TRIM(INDEX('Detalle individual'!$C:$C,$K443)))</f>
        <v/>
      </c>
      <c r="G443" s="72" t="str">
        <f>IF($K443="","",INDEX('Detalle individual'!$D:$D,$K443))</f>
        <v/>
      </c>
      <c r="H443" s="13" t="str">
        <f>IF($K443="","",INDEX('Detalle individual'!$F:$F,$K443))</f>
        <v/>
      </c>
      <c r="I443" s="20" t="str">
        <f>IF($K443="","",IF(INDEX('Detalle individual'!$F:$F,$K443)="Completado",INDEX('Detalle individual'!$H:$H,$K443),""))</f>
        <v/>
      </c>
      <c r="J443" s="21" t="str">
        <f>IF($K443="","",IF(INDEX('Detalle individual'!$F:$F,$K443)="Completado",INDEX('Detalle individual'!$J:$J,$K443),""))</f>
        <v/>
      </c>
      <c r="K443" t="str">
        <f>IFERROR(MOD(SMALL(Cálculos!$Z$5:$Z$1000,435),10000),"")</f>
        <v/>
      </c>
    </row>
    <row r="444">
      <c r="B444" s="13" t="str">
        <f>IF($K444="","",436)</f>
        <v/>
      </c>
      <c r="C444" s="13" t="str">
        <f>IF($K444="","",INDEX('Detalle individual'!$A:$A,$K444))</f>
        <v/>
      </c>
      <c r="D444" s="72" t="str">
        <f>IF($K444="","",TRIM(INDEX('Detalle individual'!$B:$B,$K444)))</f>
        <v/>
      </c>
      <c r="E444" s="72" t="str">
        <f>IF($K444="","",TRIM(INDEX('Detalle individual'!$E:$E,$K444)))</f>
        <v/>
      </c>
      <c r="F444" s="72" t="str">
        <f>IF($K444="","",TRIM(INDEX('Detalle individual'!$C:$C,$K444)))</f>
        <v/>
      </c>
      <c r="G444" s="72" t="str">
        <f>IF($K444="","",INDEX('Detalle individual'!$D:$D,$K444))</f>
        <v/>
      </c>
      <c r="H444" s="13" t="str">
        <f>IF($K444="","",INDEX('Detalle individual'!$F:$F,$K444))</f>
        <v/>
      </c>
      <c r="I444" s="20" t="str">
        <f>IF($K444="","",IF(INDEX('Detalle individual'!$F:$F,$K444)="Completado",INDEX('Detalle individual'!$H:$H,$K444),""))</f>
        <v/>
      </c>
      <c r="J444" s="21" t="str">
        <f>IF($K444="","",IF(INDEX('Detalle individual'!$F:$F,$K444)="Completado",INDEX('Detalle individual'!$J:$J,$K444),""))</f>
        <v/>
      </c>
      <c r="K444" t="str">
        <f>IFERROR(MOD(SMALL(Cálculos!$Z$5:$Z$1000,436),10000),"")</f>
        <v/>
      </c>
    </row>
    <row r="445">
      <c r="B445" s="13" t="str">
        <f>IF($K445="","",437)</f>
        <v/>
      </c>
      <c r="C445" s="13" t="str">
        <f>IF($K445="","",INDEX('Detalle individual'!$A:$A,$K445))</f>
        <v/>
      </c>
      <c r="D445" s="72" t="str">
        <f>IF($K445="","",TRIM(INDEX('Detalle individual'!$B:$B,$K445)))</f>
        <v/>
      </c>
      <c r="E445" s="72" t="str">
        <f>IF($K445="","",TRIM(INDEX('Detalle individual'!$E:$E,$K445)))</f>
        <v/>
      </c>
      <c r="F445" s="72" t="str">
        <f>IF($K445="","",TRIM(INDEX('Detalle individual'!$C:$C,$K445)))</f>
        <v/>
      </c>
      <c r="G445" s="72" t="str">
        <f>IF($K445="","",INDEX('Detalle individual'!$D:$D,$K445))</f>
        <v/>
      </c>
      <c r="H445" s="13" t="str">
        <f>IF($K445="","",INDEX('Detalle individual'!$F:$F,$K445))</f>
        <v/>
      </c>
      <c r="I445" s="20" t="str">
        <f>IF($K445="","",IF(INDEX('Detalle individual'!$F:$F,$K445)="Completado",INDEX('Detalle individual'!$H:$H,$K445),""))</f>
        <v/>
      </c>
      <c r="J445" s="21" t="str">
        <f>IF($K445="","",IF(INDEX('Detalle individual'!$F:$F,$K445)="Completado",INDEX('Detalle individual'!$J:$J,$K445),""))</f>
        <v/>
      </c>
      <c r="K445" t="str">
        <f>IFERROR(MOD(SMALL(Cálculos!$Z$5:$Z$1000,437),10000),"")</f>
        <v/>
      </c>
    </row>
    <row r="446">
      <c r="B446" s="13" t="str">
        <f>IF($K446="","",438)</f>
        <v/>
      </c>
      <c r="C446" s="13" t="str">
        <f>IF($K446="","",INDEX('Detalle individual'!$A:$A,$K446))</f>
        <v/>
      </c>
      <c r="D446" s="72" t="str">
        <f>IF($K446="","",TRIM(INDEX('Detalle individual'!$B:$B,$K446)))</f>
        <v/>
      </c>
      <c r="E446" s="72" t="str">
        <f>IF($K446="","",TRIM(INDEX('Detalle individual'!$E:$E,$K446)))</f>
        <v/>
      </c>
      <c r="F446" s="72" t="str">
        <f>IF($K446="","",TRIM(INDEX('Detalle individual'!$C:$C,$K446)))</f>
        <v/>
      </c>
      <c r="G446" s="72" t="str">
        <f>IF($K446="","",INDEX('Detalle individual'!$D:$D,$K446))</f>
        <v/>
      </c>
      <c r="H446" s="13" t="str">
        <f>IF($K446="","",INDEX('Detalle individual'!$F:$F,$K446))</f>
        <v/>
      </c>
      <c r="I446" s="20" t="str">
        <f>IF($K446="","",IF(INDEX('Detalle individual'!$F:$F,$K446)="Completado",INDEX('Detalle individual'!$H:$H,$K446),""))</f>
        <v/>
      </c>
      <c r="J446" s="21" t="str">
        <f>IF($K446="","",IF(INDEX('Detalle individual'!$F:$F,$K446)="Completado",INDEX('Detalle individual'!$J:$J,$K446),""))</f>
        <v/>
      </c>
      <c r="K446" t="str">
        <f>IFERROR(MOD(SMALL(Cálculos!$Z$5:$Z$1000,438),10000),"")</f>
        <v/>
      </c>
    </row>
    <row r="447">
      <c r="B447" s="13" t="str">
        <f>IF($K447="","",439)</f>
        <v/>
      </c>
      <c r="C447" s="13" t="str">
        <f>IF($K447="","",INDEX('Detalle individual'!$A:$A,$K447))</f>
        <v/>
      </c>
      <c r="D447" s="72" t="str">
        <f>IF($K447="","",TRIM(INDEX('Detalle individual'!$B:$B,$K447)))</f>
        <v/>
      </c>
      <c r="E447" s="72" t="str">
        <f>IF($K447="","",TRIM(INDEX('Detalle individual'!$E:$E,$K447)))</f>
        <v/>
      </c>
      <c r="F447" s="72" t="str">
        <f>IF($K447="","",TRIM(INDEX('Detalle individual'!$C:$C,$K447)))</f>
        <v/>
      </c>
      <c r="G447" s="72" t="str">
        <f>IF($K447="","",INDEX('Detalle individual'!$D:$D,$K447))</f>
        <v/>
      </c>
      <c r="H447" s="13" t="str">
        <f>IF($K447="","",INDEX('Detalle individual'!$F:$F,$K447))</f>
        <v/>
      </c>
      <c r="I447" s="20" t="str">
        <f>IF($K447="","",IF(INDEX('Detalle individual'!$F:$F,$K447)="Completado",INDEX('Detalle individual'!$H:$H,$K447),""))</f>
        <v/>
      </c>
      <c r="J447" s="21" t="str">
        <f>IF($K447="","",IF(INDEX('Detalle individual'!$F:$F,$K447)="Completado",INDEX('Detalle individual'!$J:$J,$K447),""))</f>
        <v/>
      </c>
      <c r="K447" t="str">
        <f>IFERROR(MOD(SMALL(Cálculos!$Z$5:$Z$1000,439),10000),"")</f>
        <v/>
      </c>
    </row>
    <row r="448">
      <c r="B448" s="13" t="str">
        <f>IF($K448="","",440)</f>
        <v/>
      </c>
      <c r="C448" s="13" t="str">
        <f>IF($K448="","",INDEX('Detalle individual'!$A:$A,$K448))</f>
        <v/>
      </c>
      <c r="D448" s="72" t="str">
        <f>IF($K448="","",TRIM(INDEX('Detalle individual'!$B:$B,$K448)))</f>
        <v/>
      </c>
      <c r="E448" s="72" t="str">
        <f>IF($K448="","",TRIM(INDEX('Detalle individual'!$E:$E,$K448)))</f>
        <v/>
      </c>
      <c r="F448" s="72" t="str">
        <f>IF($K448="","",TRIM(INDEX('Detalle individual'!$C:$C,$K448)))</f>
        <v/>
      </c>
      <c r="G448" s="72" t="str">
        <f>IF($K448="","",INDEX('Detalle individual'!$D:$D,$K448))</f>
        <v/>
      </c>
      <c r="H448" s="13" t="str">
        <f>IF($K448="","",INDEX('Detalle individual'!$F:$F,$K448))</f>
        <v/>
      </c>
      <c r="I448" s="20" t="str">
        <f>IF($K448="","",IF(INDEX('Detalle individual'!$F:$F,$K448)="Completado",INDEX('Detalle individual'!$H:$H,$K448),""))</f>
        <v/>
      </c>
      <c r="J448" s="21" t="str">
        <f>IF($K448="","",IF(INDEX('Detalle individual'!$F:$F,$K448)="Completado",INDEX('Detalle individual'!$J:$J,$K448),""))</f>
        <v/>
      </c>
      <c r="K448" t="str">
        <f>IFERROR(MOD(SMALL(Cálculos!$Z$5:$Z$1000,440),10000),"")</f>
        <v/>
      </c>
    </row>
    <row r="449">
      <c r="B449" s="13" t="str">
        <f>IF($K449="","",441)</f>
        <v/>
      </c>
      <c r="C449" s="13" t="str">
        <f>IF($K449="","",INDEX('Detalle individual'!$A:$A,$K449))</f>
        <v/>
      </c>
      <c r="D449" s="72" t="str">
        <f>IF($K449="","",TRIM(INDEX('Detalle individual'!$B:$B,$K449)))</f>
        <v/>
      </c>
      <c r="E449" s="72" t="str">
        <f>IF($K449="","",TRIM(INDEX('Detalle individual'!$E:$E,$K449)))</f>
        <v/>
      </c>
      <c r="F449" s="72" t="str">
        <f>IF($K449="","",TRIM(INDEX('Detalle individual'!$C:$C,$K449)))</f>
        <v/>
      </c>
      <c r="G449" s="72" t="str">
        <f>IF($K449="","",INDEX('Detalle individual'!$D:$D,$K449))</f>
        <v/>
      </c>
      <c r="H449" s="13" t="str">
        <f>IF($K449="","",INDEX('Detalle individual'!$F:$F,$K449))</f>
        <v/>
      </c>
      <c r="I449" s="20" t="str">
        <f>IF($K449="","",IF(INDEX('Detalle individual'!$F:$F,$K449)="Completado",INDEX('Detalle individual'!$H:$H,$K449),""))</f>
        <v/>
      </c>
      <c r="J449" s="21" t="str">
        <f>IF($K449="","",IF(INDEX('Detalle individual'!$F:$F,$K449)="Completado",INDEX('Detalle individual'!$J:$J,$K449),""))</f>
        <v/>
      </c>
      <c r="K449" t="str">
        <f>IFERROR(MOD(SMALL(Cálculos!$Z$5:$Z$1000,441),10000),"")</f>
        <v/>
      </c>
    </row>
    <row r="450">
      <c r="B450" s="13" t="str">
        <f>IF($K450="","",442)</f>
        <v/>
      </c>
      <c r="C450" s="13" t="str">
        <f>IF($K450="","",INDEX('Detalle individual'!$A:$A,$K450))</f>
        <v/>
      </c>
      <c r="D450" s="72" t="str">
        <f>IF($K450="","",TRIM(INDEX('Detalle individual'!$B:$B,$K450)))</f>
        <v/>
      </c>
      <c r="E450" s="72" t="str">
        <f>IF($K450="","",TRIM(INDEX('Detalle individual'!$E:$E,$K450)))</f>
        <v/>
      </c>
      <c r="F450" s="72" t="str">
        <f>IF($K450="","",TRIM(INDEX('Detalle individual'!$C:$C,$K450)))</f>
        <v/>
      </c>
      <c r="G450" s="72" t="str">
        <f>IF($K450="","",INDEX('Detalle individual'!$D:$D,$K450))</f>
        <v/>
      </c>
      <c r="H450" s="13" t="str">
        <f>IF($K450="","",INDEX('Detalle individual'!$F:$F,$K450))</f>
        <v/>
      </c>
      <c r="I450" s="20" t="str">
        <f>IF($K450="","",IF(INDEX('Detalle individual'!$F:$F,$K450)="Completado",INDEX('Detalle individual'!$H:$H,$K450),""))</f>
        <v/>
      </c>
      <c r="J450" s="21" t="str">
        <f>IF($K450="","",IF(INDEX('Detalle individual'!$F:$F,$K450)="Completado",INDEX('Detalle individual'!$J:$J,$K450),""))</f>
        <v/>
      </c>
      <c r="K450" t="str">
        <f>IFERROR(MOD(SMALL(Cálculos!$Z$5:$Z$1000,442),10000),"")</f>
        <v/>
      </c>
    </row>
    <row r="451">
      <c r="B451" s="13" t="str">
        <f>IF($K451="","",443)</f>
        <v/>
      </c>
      <c r="C451" s="13" t="str">
        <f>IF($K451="","",INDEX('Detalle individual'!$A:$A,$K451))</f>
        <v/>
      </c>
      <c r="D451" s="72" t="str">
        <f>IF($K451="","",TRIM(INDEX('Detalle individual'!$B:$B,$K451)))</f>
        <v/>
      </c>
      <c r="E451" s="72" t="str">
        <f>IF($K451="","",TRIM(INDEX('Detalle individual'!$E:$E,$K451)))</f>
        <v/>
      </c>
      <c r="F451" s="72" t="str">
        <f>IF($K451="","",TRIM(INDEX('Detalle individual'!$C:$C,$K451)))</f>
        <v/>
      </c>
      <c r="G451" s="72" t="str">
        <f>IF($K451="","",INDEX('Detalle individual'!$D:$D,$K451))</f>
        <v/>
      </c>
      <c r="H451" s="13" t="str">
        <f>IF($K451="","",INDEX('Detalle individual'!$F:$F,$K451))</f>
        <v/>
      </c>
      <c r="I451" s="20" t="str">
        <f>IF($K451="","",IF(INDEX('Detalle individual'!$F:$F,$K451)="Completado",INDEX('Detalle individual'!$H:$H,$K451),""))</f>
        <v/>
      </c>
      <c r="J451" s="21" t="str">
        <f>IF($K451="","",IF(INDEX('Detalle individual'!$F:$F,$K451)="Completado",INDEX('Detalle individual'!$J:$J,$K451),""))</f>
        <v/>
      </c>
      <c r="K451" t="str">
        <f>IFERROR(MOD(SMALL(Cálculos!$Z$5:$Z$1000,443),10000),"")</f>
        <v/>
      </c>
    </row>
    <row r="452">
      <c r="B452" s="13" t="str">
        <f>IF($K452="","",444)</f>
        <v/>
      </c>
      <c r="C452" s="13" t="str">
        <f>IF($K452="","",INDEX('Detalle individual'!$A:$A,$K452))</f>
        <v/>
      </c>
      <c r="D452" s="72" t="str">
        <f>IF($K452="","",TRIM(INDEX('Detalle individual'!$B:$B,$K452)))</f>
        <v/>
      </c>
      <c r="E452" s="72" t="str">
        <f>IF($K452="","",TRIM(INDEX('Detalle individual'!$E:$E,$K452)))</f>
        <v/>
      </c>
      <c r="F452" s="72" t="str">
        <f>IF($K452="","",TRIM(INDEX('Detalle individual'!$C:$C,$K452)))</f>
        <v/>
      </c>
      <c r="G452" s="72" t="str">
        <f>IF($K452="","",INDEX('Detalle individual'!$D:$D,$K452))</f>
        <v/>
      </c>
      <c r="H452" s="13" t="str">
        <f>IF($K452="","",INDEX('Detalle individual'!$F:$F,$K452))</f>
        <v/>
      </c>
      <c r="I452" s="20" t="str">
        <f>IF($K452="","",IF(INDEX('Detalle individual'!$F:$F,$K452)="Completado",INDEX('Detalle individual'!$H:$H,$K452),""))</f>
        <v/>
      </c>
      <c r="J452" s="21" t="str">
        <f>IF($K452="","",IF(INDEX('Detalle individual'!$F:$F,$K452)="Completado",INDEX('Detalle individual'!$J:$J,$K452),""))</f>
        <v/>
      </c>
      <c r="K452" t="str">
        <f>IFERROR(MOD(SMALL(Cálculos!$Z$5:$Z$1000,444),10000),"")</f>
        <v/>
      </c>
    </row>
    <row r="453">
      <c r="B453" s="13" t="str">
        <f>IF($K453="","",445)</f>
        <v/>
      </c>
      <c r="C453" s="13" t="str">
        <f>IF($K453="","",INDEX('Detalle individual'!$A:$A,$K453))</f>
        <v/>
      </c>
      <c r="D453" s="72" t="str">
        <f>IF($K453="","",TRIM(INDEX('Detalle individual'!$B:$B,$K453)))</f>
        <v/>
      </c>
      <c r="E453" s="72" t="str">
        <f>IF($K453="","",TRIM(INDEX('Detalle individual'!$E:$E,$K453)))</f>
        <v/>
      </c>
      <c r="F453" s="72" t="str">
        <f>IF($K453="","",TRIM(INDEX('Detalle individual'!$C:$C,$K453)))</f>
        <v/>
      </c>
      <c r="G453" s="72" t="str">
        <f>IF($K453="","",INDEX('Detalle individual'!$D:$D,$K453))</f>
        <v/>
      </c>
      <c r="H453" s="13" t="str">
        <f>IF($K453="","",INDEX('Detalle individual'!$F:$F,$K453))</f>
        <v/>
      </c>
      <c r="I453" s="20" t="str">
        <f>IF($K453="","",IF(INDEX('Detalle individual'!$F:$F,$K453)="Completado",INDEX('Detalle individual'!$H:$H,$K453),""))</f>
        <v/>
      </c>
      <c r="J453" s="21" t="str">
        <f>IF($K453="","",IF(INDEX('Detalle individual'!$F:$F,$K453)="Completado",INDEX('Detalle individual'!$J:$J,$K453),""))</f>
        <v/>
      </c>
      <c r="K453" t="str">
        <f>IFERROR(MOD(SMALL(Cálculos!$Z$5:$Z$1000,445),10000),"")</f>
        <v/>
      </c>
    </row>
    <row r="454">
      <c r="B454" s="13" t="str">
        <f>IF($K454="","",446)</f>
        <v/>
      </c>
      <c r="C454" s="13" t="str">
        <f>IF($K454="","",INDEX('Detalle individual'!$A:$A,$K454))</f>
        <v/>
      </c>
      <c r="D454" s="72" t="str">
        <f>IF($K454="","",TRIM(INDEX('Detalle individual'!$B:$B,$K454)))</f>
        <v/>
      </c>
      <c r="E454" s="72" t="str">
        <f>IF($K454="","",TRIM(INDEX('Detalle individual'!$E:$E,$K454)))</f>
        <v/>
      </c>
      <c r="F454" s="72" t="str">
        <f>IF($K454="","",TRIM(INDEX('Detalle individual'!$C:$C,$K454)))</f>
        <v/>
      </c>
      <c r="G454" s="72" t="str">
        <f>IF($K454="","",INDEX('Detalle individual'!$D:$D,$K454))</f>
        <v/>
      </c>
      <c r="H454" s="13" t="str">
        <f>IF($K454="","",INDEX('Detalle individual'!$F:$F,$K454))</f>
        <v/>
      </c>
      <c r="I454" s="20" t="str">
        <f>IF($K454="","",IF(INDEX('Detalle individual'!$F:$F,$K454)="Completado",INDEX('Detalle individual'!$H:$H,$K454),""))</f>
        <v/>
      </c>
      <c r="J454" s="21" t="str">
        <f>IF($K454="","",IF(INDEX('Detalle individual'!$F:$F,$K454)="Completado",INDEX('Detalle individual'!$J:$J,$K454),""))</f>
        <v/>
      </c>
      <c r="K454" t="str">
        <f>IFERROR(MOD(SMALL(Cálculos!$Z$5:$Z$1000,446),10000),"")</f>
        <v/>
      </c>
    </row>
    <row r="455">
      <c r="B455" s="13" t="str">
        <f>IF($K455="","",447)</f>
        <v/>
      </c>
      <c r="C455" s="13" t="str">
        <f>IF($K455="","",INDEX('Detalle individual'!$A:$A,$K455))</f>
        <v/>
      </c>
      <c r="D455" s="72" t="str">
        <f>IF($K455="","",TRIM(INDEX('Detalle individual'!$B:$B,$K455)))</f>
        <v/>
      </c>
      <c r="E455" s="72" t="str">
        <f>IF($K455="","",TRIM(INDEX('Detalle individual'!$E:$E,$K455)))</f>
        <v/>
      </c>
      <c r="F455" s="72" t="str">
        <f>IF($K455="","",TRIM(INDEX('Detalle individual'!$C:$C,$K455)))</f>
        <v/>
      </c>
      <c r="G455" s="72" t="str">
        <f>IF($K455="","",INDEX('Detalle individual'!$D:$D,$K455))</f>
        <v/>
      </c>
      <c r="H455" s="13" t="str">
        <f>IF($K455="","",INDEX('Detalle individual'!$F:$F,$K455))</f>
        <v/>
      </c>
      <c r="I455" s="20" t="str">
        <f>IF($K455="","",IF(INDEX('Detalle individual'!$F:$F,$K455)="Completado",INDEX('Detalle individual'!$H:$H,$K455),""))</f>
        <v/>
      </c>
      <c r="J455" s="21" t="str">
        <f>IF($K455="","",IF(INDEX('Detalle individual'!$F:$F,$K455)="Completado",INDEX('Detalle individual'!$J:$J,$K455),""))</f>
        <v/>
      </c>
      <c r="K455" t="str">
        <f>IFERROR(MOD(SMALL(Cálculos!$Z$5:$Z$1000,447),10000),"")</f>
        <v/>
      </c>
    </row>
    <row r="456">
      <c r="B456" s="13" t="str">
        <f>IF($K456="","",448)</f>
        <v/>
      </c>
      <c r="C456" s="13" t="str">
        <f>IF($K456="","",INDEX('Detalle individual'!$A:$A,$K456))</f>
        <v/>
      </c>
      <c r="D456" s="72" t="str">
        <f>IF($K456="","",TRIM(INDEX('Detalle individual'!$B:$B,$K456)))</f>
        <v/>
      </c>
      <c r="E456" s="72" t="str">
        <f>IF($K456="","",TRIM(INDEX('Detalle individual'!$E:$E,$K456)))</f>
        <v/>
      </c>
      <c r="F456" s="72" t="str">
        <f>IF($K456="","",TRIM(INDEX('Detalle individual'!$C:$C,$K456)))</f>
        <v/>
      </c>
      <c r="G456" s="72" t="str">
        <f>IF($K456="","",INDEX('Detalle individual'!$D:$D,$K456))</f>
        <v/>
      </c>
      <c r="H456" s="13" t="str">
        <f>IF($K456="","",INDEX('Detalle individual'!$F:$F,$K456))</f>
        <v/>
      </c>
      <c r="I456" s="20" t="str">
        <f>IF($K456="","",IF(INDEX('Detalle individual'!$F:$F,$K456)="Completado",INDEX('Detalle individual'!$H:$H,$K456),""))</f>
        <v/>
      </c>
      <c r="J456" s="21" t="str">
        <f>IF($K456="","",IF(INDEX('Detalle individual'!$F:$F,$K456)="Completado",INDEX('Detalle individual'!$J:$J,$K456),""))</f>
        <v/>
      </c>
      <c r="K456" t="str">
        <f>IFERROR(MOD(SMALL(Cálculos!$Z$5:$Z$1000,448),10000),"")</f>
        <v/>
      </c>
    </row>
    <row r="457">
      <c r="B457" s="13" t="str">
        <f>IF($K457="","",449)</f>
        <v/>
      </c>
      <c r="C457" s="13" t="str">
        <f>IF($K457="","",INDEX('Detalle individual'!$A:$A,$K457))</f>
        <v/>
      </c>
      <c r="D457" s="72" t="str">
        <f>IF($K457="","",TRIM(INDEX('Detalle individual'!$B:$B,$K457)))</f>
        <v/>
      </c>
      <c r="E457" s="72" t="str">
        <f>IF($K457="","",TRIM(INDEX('Detalle individual'!$E:$E,$K457)))</f>
        <v/>
      </c>
      <c r="F457" s="72" t="str">
        <f>IF($K457="","",TRIM(INDEX('Detalle individual'!$C:$C,$K457)))</f>
        <v/>
      </c>
      <c r="G457" s="72" t="str">
        <f>IF($K457="","",INDEX('Detalle individual'!$D:$D,$K457))</f>
        <v/>
      </c>
      <c r="H457" s="13" t="str">
        <f>IF($K457="","",INDEX('Detalle individual'!$F:$F,$K457))</f>
        <v/>
      </c>
      <c r="I457" s="20" t="str">
        <f>IF($K457="","",IF(INDEX('Detalle individual'!$F:$F,$K457)="Completado",INDEX('Detalle individual'!$H:$H,$K457),""))</f>
        <v/>
      </c>
      <c r="J457" s="21" t="str">
        <f>IF($K457="","",IF(INDEX('Detalle individual'!$F:$F,$K457)="Completado",INDEX('Detalle individual'!$J:$J,$K457),""))</f>
        <v/>
      </c>
      <c r="K457" t="str">
        <f>IFERROR(MOD(SMALL(Cálculos!$Z$5:$Z$1000,449),10000),"")</f>
        <v/>
      </c>
    </row>
    <row r="458">
      <c r="B458" s="13" t="str">
        <f>IF($K458="","",450)</f>
        <v/>
      </c>
      <c r="C458" s="13" t="str">
        <f>IF($K458="","",INDEX('Detalle individual'!$A:$A,$K458))</f>
        <v/>
      </c>
      <c r="D458" s="72" t="str">
        <f>IF($K458="","",TRIM(INDEX('Detalle individual'!$B:$B,$K458)))</f>
        <v/>
      </c>
      <c r="E458" s="72" t="str">
        <f>IF($K458="","",TRIM(INDEX('Detalle individual'!$E:$E,$K458)))</f>
        <v/>
      </c>
      <c r="F458" s="72" t="str">
        <f>IF($K458="","",TRIM(INDEX('Detalle individual'!$C:$C,$K458)))</f>
        <v/>
      </c>
      <c r="G458" s="72" t="str">
        <f>IF($K458="","",INDEX('Detalle individual'!$D:$D,$K458))</f>
        <v/>
      </c>
      <c r="H458" s="13" t="str">
        <f>IF($K458="","",INDEX('Detalle individual'!$F:$F,$K458))</f>
        <v/>
      </c>
      <c r="I458" s="20" t="str">
        <f>IF($K458="","",IF(INDEX('Detalle individual'!$F:$F,$K458)="Completado",INDEX('Detalle individual'!$H:$H,$K458),""))</f>
        <v/>
      </c>
      <c r="J458" s="21" t="str">
        <f>IF($K458="","",IF(INDEX('Detalle individual'!$F:$F,$K458)="Completado",INDEX('Detalle individual'!$J:$J,$K458),""))</f>
        <v/>
      </c>
      <c r="K458" t="str">
        <f>IFERROR(MOD(SMALL(Cálculos!$Z$5:$Z$1000,450),10000),"")</f>
        <v/>
      </c>
    </row>
    <row r="459">
      <c r="B459" s="13" t="str">
        <f>IF($K459="","",451)</f>
        <v/>
      </c>
      <c r="C459" s="13" t="str">
        <f>IF($K459="","",INDEX('Detalle individual'!$A:$A,$K459))</f>
        <v/>
      </c>
      <c r="D459" s="72" t="str">
        <f>IF($K459="","",TRIM(INDEX('Detalle individual'!$B:$B,$K459)))</f>
        <v/>
      </c>
      <c r="E459" s="72" t="str">
        <f>IF($K459="","",TRIM(INDEX('Detalle individual'!$E:$E,$K459)))</f>
        <v/>
      </c>
      <c r="F459" s="72" t="str">
        <f>IF($K459="","",TRIM(INDEX('Detalle individual'!$C:$C,$K459)))</f>
        <v/>
      </c>
      <c r="G459" s="72" t="str">
        <f>IF($K459="","",INDEX('Detalle individual'!$D:$D,$K459))</f>
        <v/>
      </c>
      <c r="H459" s="13" t="str">
        <f>IF($K459="","",INDEX('Detalle individual'!$F:$F,$K459))</f>
        <v/>
      </c>
      <c r="I459" s="20" t="str">
        <f>IF($K459="","",IF(INDEX('Detalle individual'!$F:$F,$K459)="Completado",INDEX('Detalle individual'!$H:$H,$K459),""))</f>
        <v/>
      </c>
      <c r="J459" s="21" t="str">
        <f>IF($K459="","",IF(INDEX('Detalle individual'!$F:$F,$K459)="Completado",INDEX('Detalle individual'!$J:$J,$K459),""))</f>
        <v/>
      </c>
      <c r="K459" t="str">
        <f>IFERROR(MOD(SMALL(Cálculos!$Z$5:$Z$1000,451),10000),"")</f>
        <v/>
      </c>
    </row>
    <row r="460">
      <c r="B460" s="13" t="str">
        <f>IF($K460="","",452)</f>
        <v/>
      </c>
      <c r="C460" s="13" t="str">
        <f>IF($K460="","",INDEX('Detalle individual'!$A:$A,$K460))</f>
        <v/>
      </c>
      <c r="D460" s="72" t="str">
        <f>IF($K460="","",TRIM(INDEX('Detalle individual'!$B:$B,$K460)))</f>
        <v/>
      </c>
      <c r="E460" s="72" t="str">
        <f>IF($K460="","",TRIM(INDEX('Detalle individual'!$E:$E,$K460)))</f>
        <v/>
      </c>
      <c r="F460" s="72" t="str">
        <f>IF($K460="","",TRIM(INDEX('Detalle individual'!$C:$C,$K460)))</f>
        <v/>
      </c>
      <c r="G460" s="72" t="str">
        <f>IF($K460="","",INDEX('Detalle individual'!$D:$D,$K460))</f>
        <v/>
      </c>
      <c r="H460" s="13" t="str">
        <f>IF($K460="","",INDEX('Detalle individual'!$F:$F,$K460))</f>
        <v/>
      </c>
      <c r="I460" s="20" t="str">
        <f>IF($K460="","",IF(INDEX('Detalle individual'!$F:$F,$K460)="Completado",INDEX('Detalle individual'!$H:$H,$K460),""))</f>
        <v/>
      </c>
      <c r="J460" s="21" t="str">
        <f>IF($K460="","",IF(INDEX('Detalle individual'!$F:$F,$K460)="Completado",INDEX('Detalle individual'!$J:$J,$K460),""))</f>
        <v/>
      </c>
      <c r="K460" t="str">
        <f>IFERROR(MOD(SMALL(Cálculos!$Z$5:$Z$1000,452),10000),"")</f>
        <v/>
      </c>
    </row>
    <row r="461">
      <c r="B461" s="13" t="str">
        <f>IF($K461="","",453)</f>
        <v/>
      </c>
      <c r="C461" s="13" t="str">
        <f>IF($K461="","",INDEX('Detalle individual'!$A:$A,$K461))</f>
        <v/>
      </c>
      <c r="D461" s="72" t="str">
        <f>IF($K461="","",TRIM(INDEX('Detalle individual'!$B:$B,$K461)))</f>
        <v/>
      </c>
      <c r="E461" s="72" t="str">
        <f>IF($K461="","",TRIM(INDEX('Detalle individual'!$E:$E,$K461)))</f>
        <v/>
      </c>
      <c r="F461" s="72" t="str">
        <f>IF($K461="","",TRIM(INDEX('Detalle individual'!$C:$C,$K461)))</f>
        <v/>
      </c>
      <c r="G461" s="72" t="str">
        <f>IF($K461="","",INDEX('Detalle individual'!$D:$D,$K461))</f>
        <v/>
      </c>
      <c r="H461" s="13" t="str">
        <f>IF($K461="","",INDEX('Detalle individual'!$F:$F,$K461))</f>
        <v/>
      </c>
      <c r="I461" s="20" t="str">
        <f>IF($K461="","",IF(INDEX('Detalle individual'!$F:$F,$K461)="Completado",INDEX('Detalle individual'!$H:$H,$K461),""))</f>
        <v/>
      </c>
      <c r="J461" s="21" t="str">
        <f>IF($K461="","",IF(INDEX('Detalle individual'!$F:$F,$K461)="Completado",INDEX('Detalle individual'!$J:$J,$K461),""))</f>
        <v/>
      </c>
      <c r="K461" t="str">
        <f>IFERROR(MOD(SMALL(Cálculos!$Z$5:$Z$1000,453),10000),"")</f>
        <v/>
      </c>
    </row>
    <row r="462">
      <c r="B462" s="13" t="str">
        <f>IF($K462="","",454)</f>
        <v/>
      </c>
      <c r="C462" s="13" t="str">
        <f>IF($K462="","",INDEX('Detalle individual'!$A:$A,$K462))</f>
        <v/>
      </c>
      <c r="D462" s="72" t="str">
        <f>IF($K462="","",TRIM(INDEX('Detalle individual'!$B:$B,$K462)))</f>
        <v/>
      </c>
      <c r="E462" s="72" t="str">
        <f>IF($K462="","",TRIM(INDEX('Detalle individual'!$E:$E,$K462)))</f>
        <v/>
      </c>
      <c r="F462" s="72" t="str">
        <f>IF($K462="","",TRIM(INDEX('Detalle individual'!$C:$C,$K462)))</f>
        <v/>
      </c>
      <c r="G462" s="72" t="str">
        <f>IF($K462="","",INDEX('Detalle individual'!$D:$D,$K462))</f>
        <v/>
      </c>
      <c r="H462" s="13" t="str">
        <f>IF($K462="","",INDEX('Detalle individual'!$F:$F,$K462))</f>
        <v/>
      </c>
      <c r="I462" s="20" t="str">
        <f>IF($K462="","",IF(INDEX('Detalle individual'!$F:$F,$K462)="Completado",INDEX('Detalle individual'!$H:$H,$K462),""))</f>
        <v/>
      </c>
      <c r="J462" s="21" t="str">
        <f>IF($K462="","",IF(INDEX('Detalle individual'!$F:$F,$K462)="Completado",INDEX('Detalle individual'!$J:$J,$K462),""))</f>
        <v/>
      </c>
      <c r="K462" t="str">
        <f>IFERROR(MOD(SMALL(Cálculos!$Z$5:$Z$1000,454),10000),"")</f>
        <v/>
      </c>
    </row>
    <row r="463">
      <c r="B463" s="13" t="str">
        <f>IF($K463="","",455)</f>
        <v/>
      </c>
      <c r="C463" s="13" t="str">
        <f>IF($K463="","",INDEX('Detalle individual'!$A:$A,$K463))</f>
        <v/>
      </c>
      <c r="D463" s="72" t="str">
        <f>IF($K463="","",TRIM(INDEX('Detalle individual'!$B:$B,$K463)))</f>
        <v/>
      </c>
      <c r="E463" s="72" t="str">
        <f>IF($K463="","",TRIM(INDEX('Detalle individual'!$E:$E,$K463)))</f>
        <v/>
      </c>
      <c r="F463" s="72" t="str">
        <f>IF($K463="","",TRIM(INDEX('Detalle individual'!$C:$C,$K463)))</f>
        <v/>
      </c>
      <c r="G463" s="72" t="str">
        <f>IF($K463="","",INDEX('Detalle individual'!$D:$D,$K463))</f>
        <v/>
      </c>
      <c r="H463" s="13" t="str">
        <f>IF($K463="","",INDEX('Detalle individual'!$F:$F,$K463))</f>
        <v/>
      </c>
      <c r="I463" s="20" t="str">
        <f>IF($K463="","",IF(INDEX('Detalle individual'!$F:$F,$K463)="Completado",INDEX('Detalle individual'!$H:$H,$K463),""))</f>
        <v/>
      </c>
      <c r="J463" s="21" t="str">
        <f>IF($K463="","",IF(INDEX('Detalle individual'!$F:$F,$K463)="Completado",INDEX('Detalle individual'!$J:$J,$K463),""))</f>
        <v/>
      </c>
      <c r="K463" t="str">
        <f>IFERROR(MOD(SMALL(Cálculos!$Z$5:$Z$1000,455),10000),"")</f>
        <v/>
      </c>
    </row>
    <row r="464">
      <c r="B464" s="13" t="str">
        <f>IF($K464="","",456)</f>
        <v/>
      </c>
      <c r="C464" s="13" t="str">
        <f>IF($K464="","",INDEX('Detalle individual'!$A:$A,$K464))</f>
        <v/>
      </c>
      <c r="D464" s="72" t="str">
        <f>IF($K464="","",TRIM(INDEX('Detalle individual'!$B:$B,$K464)))</f>
        <v/>
      </c>
      <c r="E464" s="72" t="str">
        <f>IF($K464="","",TRIM(INDEX('Detalle individual'!$E:$E,$K464)))</f>
        <v/>
      </c>
      <c r="F464" s="72" t="str">
        <f>IF($K464="","",TRIM(INDEX('Detalle individual'!$C:$C,$K464)))</f>
        <v/>
      </c>
      <c r="G464" s="72" t="str">
        <f>IF($K464="","",INDEX('Detalle individual'!$D:$D,$K464))</f>
        <v/>
      </c>
      <c r="H464" s="13" t="str">
        <f>IF($K464="","",INDEX('Detalle individual'!$F:$F,$K464))</f>
        <v/>
      </c>
      <c r="I464" s="20" t="str">
        <f>IF($K464="","",IF(INDEX('Detalle individual'!$F:$F,$K464)="Completado",INDEX('Detalle individual'!$H:$H,$K464),""))</f>
        <v/>
      </c>
      <c r="J464" s="21" t="str">
        <f>IF($K464="","",IF(INDEX('Detalle individual'!$F:$F,$K464)="Completado",INDEX('Detalle individual'!$J:$J,$K464),""))</f>
        <v/>
      </c>
      <c r="K464" t="str">
        <f>IFERROR(MOD(SMALL(Cálculos!$Z$5:$Z$1000,456),10000),"")</f>
        <v/>
      </c>
    </row>
    <row r="465">
      <c r="B465" s="13" t="str">
        <f>IF($K465="","",457)</f>
        <v/>
      </c>
      <c r="C465" s="13" t="str">
        <f>IF($K465="","",INDEX('Detalle individual'!$A:$A,$K465))</f>
        <v/>
      </c>
      <c r="D465" s="72" t="str">
        <f>IF($K465="","",TRIM(INDEX('Detalle individual'!$B:$B,$K465)))</f>
        <v/>
      </c>
      <c r="E465" s="72" t="str">
        <f>IF($K465="","",TRIM(INDEX('Detalle individual'!$E:$E,$K465)))</f>
        <v/>
      </c>
      <c r="F465" s="72" t="str">
        <f>IF($K465="","",TRIM(INDEX('Detalle individual'!$C:$C,$K465)))</f>
        <v/>
      </c>
      <c r="G465" s="72" t="str">
        <f>IF($K465="","",INDEX('Detalle individual'!$D:$D,$K465))</f>
        <v/>
      </c>
      <c r="H465" s="13" t="str">
        <f>IF($K465="","",INDEX('Detalle individual'!$F:$F,$K465))</f>
        <v/>
      </c>
      <c r="I465" s="20" t="str">
        <f>IF($K465="","",IF(INDEX('Detalle individual'!$F:$F,$K465)="Completado",INDEX('Detalle individual'!$H:$H,$K465),""))</f>
        <v/>
      </c>
      <c r="J465" s="21" t="str">
        <f>IF($K465="","",IF(INDEX('Detalle individual'!$F:$F,$K465)="Completado",INDEX('Detalle individual'!$J:$J,$K465),""))</f>
        <v/>
      </c>
      <c r="K465" t="str">
        <f>IFERROR(MOD(SMALL(Cálculos!$Z$5:$Z$1000,457),10000),"")</f>
        <v/>
      </c>
    </row>
    <row r="466">
      <c r="B466" s="13" t="str">
        <f>IF($K466="","",458)</f>
        <v/>
      </c>
      <c r="C466" s="13" t="str">
        <f>IF($K466="","",INDEX('Detalle individual'!$A:$A,$K466))</f>
        <v/>
      </c>
      <c r="D466" s="72" t="str">
        <f>IF($K466="","",TRIM(INDEX('Detalle individual'!$B:$B,$K466)))</f>
        <v/>
      </c>
      <c r="E466" s="72" t="str">
        <f>IF($K466="","",TRIM(INDEX('Detalle individual'!$E:$E,$K466)))</f>
        <v/>
      </c>
      <c r="F466" s="72" t="str">
        <f>IF($K466="","",TRIM(INDEX('Detalle individual'!$C:$C,$K466)))</f>
        <v/>
      </c>
      <c r="G466" s="72" t="str">
        <f>IF($K466="","",INDEX('Detalle individual'!$D:$D,$K466))</f>
        <v/>
      </c>
      <c r="H466" s="13" t="str">
        <f>IF($K466="","",INDEX('Detalle individual'!$F:$F,$K466))</f>
        <v/>
      </c>
      <c r="I466" s="20" t="str">
        <f>IF($K466="","",IF(INDEX('Detalle individual'!$F:$F,$K466)="Completado",INDEX('Detalle individual'!$H:$H,$K466),""))</f>
        <v/>
      </c>
      <c r="J466" s="21" t="str">
        <f>IF($K466="","",IF(INDEX('Detalle individual'!$F:$F,$K466)="Completado",INDEX('Detalle individual'!$J:$J,$K466),""))</f>
        <v/>
      </c>
      <c r="K466" t="str">
        <f>IFERROR(MOD(SMALL(Cálculos!$Z$5:$Z$1000,458),10000),"")</f>
        <v/>
      </c>
    </row>
    <row r="467">
      <c r="B467" s="13" t="str">
        <f>IF($K467="","",459)</f>
        <v/>
      </c>
      <c r="C467" s="13" t="str">
        <f>IF($K467="","",INDEX('Detalle individual'!$A:$A,$K467))</f>
        <v/>
      </c>
      <c r="D467" s="72" t="str">
        <f>IF($K467="","",TRIM(INDEX('Detalle individual'!$B:$B,$K467)))</f>
        <v/>
      </c>
      <c r="E467" s="72" t="str">
        <f>IF($K467="","",TRIM(INDEX('Detalle individual'!$E:$E,$K467)))</f>
        <v/>
      </c>
      <c r="F467" s="72" t="str">
        <f>IF($K467="","",TRIM(INDEX('Detalle individual'!$C:$C,$K467)))</f>
        <v/>
      </c>
      <c r="G467" s="72" t="str">
        <f>IF($K467="","",INDEX('Detalle individual'!$D:$D,$K467))</f>
        <v/>
      </c>
      <c r="H467" s="13" t="str">
        <f>IF($K467="","",INDEX('Detalle individual'!$F:$F,$K467))</f>
        <v/>
      </c>
      <c r="I467" s="20" t="str">
        <f>IF($K467="","",IF(INDEX('Detalle individual'!$F:$F,$K467)="Completado",INDEX('Detalle individual'!$H:$H,$K467),""))</f>
        <v/>
      </c>
      <c r="J467" s="21" t="str">
        <f>IF($K467="","",IF(INDEX('Detalle individual'!$F:$F,$K467)="Completado",INDEX('Detalle individual'!$J:$J,$K467),""))</f>
        <v/>
      </c>
      <c r="K467" t="str">
        <f>IFERROR(MOD(SMALL(Cálculos!$Z$5:$Z$1000,459),10000),"")</f>
        <v/>
      </c>
    </row>
    <row r="468">
      <c r="B468" s="13" t="str">
        <f>IF($K468="","",460)</f>
        <v/>
      </c>
      <c r="C468" s="13" t="str">
        <f>IF($K468="","",INDEX('Detalle individual'!$A:$A,$K468))</f>
        <v/>
      </c>
      <c r="D468" s="72" t="str">
        <f>IF($K468="","",TRIM(INDEX('Detalle individual'!$B:$B,$K468)))</f>
        <v/>
      </c>
      <c r="E468" s="72" t="str">
        <f>IF($K468="","",TRIM(INDEX('Detalle individual'!$E:$E,$K468)))</f>
        <v/>
      </c>
      <c r="F468" s="72" t="str">
        <f>IF($K468="","",TRIM(INDEX('Detalle individual'!$C:$C,$K468)))</f>
        <v/>
      </c>
      <c r="G468" s="72" t="str">
        <f>IF($K468="","",INDEX('Detalle individual'!$D:$D,$K468))</f>
        <v/>
      </c>
      <c r="H468" s="13" t="str">
        <f>IF($K468="","",INDEX('Detalle individual'!$F:$F,$K468))</f>
        <v/>
      </c>
      <c r="I468" s="20" t="str">
        <f>IF($K468="","",IF(INDEX('Detalle individual'!$F:$F,$K468)="Completado",INDEX('Detalle individual'!$H:$H,$K468),""))</f>
        <v/>
      </c>
      <c r="J468" s="21" t="str">
        <f>IF($K468="","",IF(INDEX('Detalle individual'!$F:$F,$K468)="Completado",INDEX('Detalle individual'!$J:$J,$K468),""))</f>
        <v/>
      </c>
      <c r="K468" t="str">
        <f>IFERROR(MOD(SMALL(Cálculos!$Z$5:$Z$1000,460),10000),"")</f>
        <v/>
      </c>
    </row>
    <row r="469">
      <c r="B469" s="13" t="str">
        <f>IF($K469="","",461)</f>
        <v/>
      </c>
      <c r="C469" s="13" t="str">
        <f>IF($K469="","",INDEX('Detalle individual'!$A:$A,$K469))</f>
        <v/>
      </c>
      <c r="D469" s="72" t="str">
        <f>IF($K469="","",TRIM(INDEX('Detalle individual'!$B:$B,$K469)))</f>
        <v/>
      </c>
      <c r="E469" s="72" t="str">
        <f>IF($K469="","",TRIM(INDEX('Detalle individual'!$E:$E,$K469)))</f>
        <v/>
      </c>
      <c r="F469" s="72" t="str">
        <f>IF($K469="","",TRIM(INDEX('Detalle individual'!$C:$C,$K469)))</f>
        <v/>
      </c>
      <c r="G469" s="72" t="str">
        <f>IF($K469="","",INDEX('Detalle individual'!$D:$D,$K469))</f>
        <v/>
      </c>
      <c r="H469" s="13" t="str">
        <f>IF($K469="","",INDEX('Detalle individual'!$F:$F,$K469))</f>
        <v/>
      </c>
      <c r="I469" s="20" t="str">
        <f>IF($K469="","",IF(INDEX('Detalle individual'!$F:$F,$K469)="Completado",INDEX('Detalle individual'!$H:$H,$K469),""))</f>
        <v/>
      </c>
      <c r="J469" s="21" t="str">
        <f>IF($K469="","",IF(INDEX('Detalle individual'!$F:$F,$K469)="Completado",INDEX('Detalle individual'!$J:$J,$K469),""))</f>
        <v/>
      </c>
      <c r="K469" t="str">
        <f>IFERROR(MOD(SMALL(Cálculos!$Z$5:$Z$1000,461),10000),"")</f>
        <v/>
      </c>
    </row>
    <row r="470">
      <c r="B470" s="13" t="str">
        <f>IF($K470="","",462)</f>
        <v/>
      </c>
      <c r="C470" s="13" t="str">
        <f>IF($K470="","",INDEX('Detalle individual'!$A:$A,$K470))</f>
        <v/>
      </c>
      <c r="D470" s="72" t="str">
        <f>IF($K470="","",TRIM(INDEX('Detalle individual'!$B:$B,$K470)))</f>
        <v/>
      </c>
      <c r="E470" s="72" t="str">
        <f>IF($K470="","",TRIM(INDEX('Detalle individual'!$E:$E,$K470)))</f>
        <v/>
      </c>
      <c r="F470" s="72" t="str">
        <f>IF($K470="","",TRIM(INDEX('Detalle individual'!$C:$C,$K470)))</f>
        <v/>
      </c>
      <c r="G470" s="72" t="str">
        <f>IF($K470="","",INDEX('Detalle individual'!$D:$D,$K470))</f>
        <v/>
      </c>
      <c r="H470" s="13" t="str">
        <f>IF($K470="","",INDEX('Detalle individual'!$F:$F,$K470))</f>
        <v/>
      </c>
      <c r="I470" s="20" t="str">
        <f>IF($K470="","",IF(INDEX('Detalle individual'!$F:$F,$K470)="Completado",INDEX('Detalle individual'!$H:$H,$K470),""))</f>
        <v/>
      </c>
      <c r="J470" s="21" t="str">
        <f>IF($K470="","",IF(INDEX('Detalle individual'!$F:$F,$K470)="Completado",INDEX('Detalle individual'!$J:$J,$K470),""))</f>
        <v/>
      </c>
      <c r="K470" t="str">
        <f>IFERROR(MOD(SMALL(Cálculos!$Z$5:$Z$1000,462),10000),"")</f>
        <v/>
      </c>
    </row>
    <row r="471">
      <c r="B471" s="13" t="str">
        <f>IF($K471="","",463)</f>
        <v/>
      </c>
      <c r="C471" s="13" t="str">
        <f>IF($K471="","",INDEX('Detalle individual'!$A:$A,$K471))</f>
        <v/>
      </c>
      <c r="D471" s="72" t="str">
        <f>IF($K471="","",TRIM(INDEX('Detalle individual'!$B:$B,$K471)))</f>
        <v/>
      </c>
      <c r="E471" s="72" t="str">
        <f>IF($K471="","",TRIM(INDEX('Detalle individual'!$E:$E,$K471)))</f>
        <v/>
      </c>
      <c r="F471" s="72" t="str">
        <f>IF($K471="","",TRIM(INDEX('Detalle individual'!$C:$C,$K471)))</f>
        <v/>
      </c>
      <c r="G471" s="72" t="str">
        <f>IF($K471="","",INDEX('Detalle individual'!$D:$D,$K471))</f>
        <v/>
      </c>
      <c r="H471" s="13" t="str">
        <f>IF($K471="","",INDEX('Detalle individual'!$F:$F,$K471))</f>
        <v/>
      </c>
      <c r="I471" s="20" t="str">
        <f>IF($K471="","",IF(INDEX('Detalle individual'!$F:$F,$K471)="Completado",INDEX('Detalle individual'!$H:$H,$K471),""))</f>
        <v/>
      </c>
      <c r="J471" s="21" t="str">
        <f>IF($K471="","",IF(INDEX('Detalle individual'!$F:$F,$K471)="Completado",INDEX('Detalle individual'!$J:$J,$K471),""))</f>
        <v/>
      </c>
      <c r="K471" t="str">
        <f>IFERROR(MOD(SMALL(Cálculos!$Z$5:$Z$1000,463),10000),"")</f>
        <v/>
      </c>
    </row>
    <row r="472">
      <c r="B472" s="13" t="str">
        <f>IF($K472="","",464)</f>
        <v/>
      </c>
      <c r="C472" s="13" t="str">
        <f>IF($K472="","",INDEX('Detalle individual'!$A:$A,$K472))</f>
        <v/>
      </c>
      <c r="D472" s="72" t="str">
        <f>IF($K472="","",TRIM(INDEX('Detalle individual'!$B:$B,$K472)))</f>
        <v/>
      </c>
      <c r="E472" s="72" t="str">
        <f>IF($K472="","",TRIM(INDEX('Detalle individual'!$E:$E,$K472)))</f>
        <v/>
      </c>
      <c r="F472" s="72" t="str">
        <f>IF($K472="","",TRIM(INDEX('Detalle individual'!$C:$C,$K472)))</f>
        <v/>
      </c>
      <c r="G472" s="72" t="str">
        <f>IF($K472="","",INDEX('Detalle individual'!$D:$D,$K472))</f>
        <v/>
      </c>
      <c r="H472" s="13" t="str">
        <f>IF($K472="","",INDEX('Detalle individual'!$F:$F,$K472))</f>
        <v/>
      </c>
      <c r="I472" s="20" t="str">
        <f>IF($K472="","",IF(INDEX('Detalle individual'!$F:$F,$K472)="Completado",INDEX('Detalle individual'!$H:$H,$K472),""))</f>
        <v/>
      </c>
      <c r="J472" s="21" t="str">
        <f>IF($K472="","",IF(INDEX('Detalle individual'!$F:$F,$K472)="Completado",INDEX('Detalle individual'!$J:$J,$K472),""))</f>
        <v/>
      </c>
      <c r="K472" t="str">
        <f>IFERROR(MOD(SMALL(Cálculos!$Z$5:$Z$1000,464),10000),"")</f>
        <v/>
      </c>
    </row>
    <row r="473">
      <c r="B473" s="13" t="str">
        <f>IF($K473="","",465)</f>
        <v/>
      </c>
      <c r="C473" s="13" t="str">
        <f>IF($K473="","",INDEX('Detalle individual'!$A:$A,$K473))</f>
        <v/>
      </c>
      <c r="D473" s="72" t="str">
        <f>IF($K473="","",TRIM(INDEX('Detalle individual'!$B:$B,$K473)))</f>
        <v/>
      </c>
      <c r="E473" s="72" t="str">
        <f>IF($K473="","",TRIM(INDEX('Detalle individual'!$E:$E,$K473)))</f>
        <v/>
      </c>
      <c r="F473" s="72" t="str">
        <f>IF($K473="","",TRIM(INDEX('Detalle individual'!$C:$C,$K473)))</f>
        <v/>
      </c>
      <c r="G473" s="72" t="str">
        <f>IF($K473="","",INDEX('Detalle individual'!$D:$D,$K473))</f>
        <v/>
      </c>
      <c r="H473" s="13" t="str">
        <f>IF($K473="","",INDEX('Detalle individual'!$F:$F,$K473))</f>
        <v/>
      </c>
      <c r="I473" s="20" t="str">
        <f>IF($K473="","",IF(INDEX('Detalle individual'!$F:$F,$K473)="Completado",INDEX('Detalle individual'!$H:$H,$K473),""))</f>
        <v/>
      </c>
      <c r="J473" s="21" t="str">
        <f>IF($K473="","",IF(INDEX('Detalle individual'!$F:$F,$K473)="Completado",INDEX('Detalle individual'!$J:$J,$K473),""))</f>
        <v/>
      </c>
      <c r="K473" t="str">
        <f>IFERROR(MOD(SMALL(Cálculos!$Z$5:$Z$1000,465),10000),"")</f>
        <v/>
      </c>
    </row>
    <row r="474">
      <c r="B474" s="13" t="str">
        <f>IF($K474="","",466)</f>
        <v/>
      </c>
      <c r="C474" s="13" t="str">
        <f>IF($K474="","",INDEX('Detalle individual'!$A:$A,$K474))</f>
        <v/>
      </c>
      <c r="D474" s="72" t="str">
        <f>IF($K474="","",TRIM(INDEX('Detalle individual'!$B:$B,$K474)))</f>
        <v/>
      </c>
      <c r="E474" s="72" t="str">
        <f>IF($K474="","",TRIM(INDEX('Detalle individual'!$E:$E,$K474)))</f>
        <v/>
      </c>
      <c r="F474" s="72" t="str">
        <f>IF($K474="","",TRIM(INDEX('Detalle individual'!$C:$C,$K474)))</f>
        <v/>
      </c>
      <c r="G474" s="72" t="str">
        <f>IF($K474="","",INDEX('Detalle individual'!$D:$D,$K474))</f>
        <v/>
      </c>
      <c r="H474" s="13" t="str">
        <f>IF($K474="","",INDEX('Detalle individual'!$F:$F,$K474))</f>
        <v/>
      </c>
      <c r="I474" s="20" t="str">
        <f>IF($K474="","",IF(INDEX('Detalle individual'!$F:$F,$K474)="Completado",INDEX('Detalle individual'!$H:$H,$K474),""))</f>
        <v/>
      </c>
      <c r="J474" s="21" t="str">
        <f>IF($K474="","",IF(INDEX('Detalle individual'!$F:$F,$K474)="Completado",INDEX('Detalle individual'!$J:$J,$K474),""))</f>
        <v/>
      </c>
      <c r="K474" t="str">
        <f>IFERROR(MOD(SMALL(Cálculos!$Z$5:$Z$1000,466),10000),"")</f>
        <v/>
      </c>
    </row>
    <row r="475">
      <c r="B475" s="13" t="str">
        <f>IF($K475="","",467)</f>
        <v/>
      </c>
      <c r="C475" s="13" t="str">
        <f>IF($K475="","",INDEX('Detalle individual'!$A:$A,$K475))</f>
        <v/>
      </c>
      <c r="D475" s="72" t="str">
        <f>IF($K475="","",TRIM(INDEX('Detalle individual'!$B:$B,$K475)))</f>
        <v/>
      </c>
      <c r="E475" s="72" t="str">
        <f>IF($K475="","",TRIM(INDEX('Detalle individual'!$E:$E,$K475)))</f>
        <v/>
      </c>
      <c r="F475" s="72" t="str">
        <f>IF($K475="","",TRIM(INDEX('Detalle individual'!$C:$C,$K475)))</f>
        <v/>
      </c>
      <c r="G475" s="72" t="str">
        <f>IF($K475="","",INDEX('Detalle individual'!$D:$D,$K475))</f>
        <v/>
      </c>
      <c r="H475" s="13" t="str">
        <f>IF($K475="","",INDEX('Detalle individual'!$F:$F,$K475))</f>
        <v/>
      </c>
      <c r="I475" s="20" t="str">
        <f>IF($K475="","",IF(INDEX('Detalle individual'!$F:$F,$K475)="Completado",INDEX('Detalle individual'!$H:$H,$K475),""))</f>
        <v/>
      </c>
      <c r="J475" s="21" t="str">
        <f>IF($K475="","",IF(INDEX('Detalle individual'!$F:$F,$K475)="Completado",INDEX('Detalle individual'!$J:$J,$K475),""))</f>
        <v/>
      </c>
      <c r="K475" t="str">
        <f>IFERROR(MOD(SMALL(Cálculos!$Z$5:$Z$1000,467),10000),"")</f>
        <v/>
      </c>
    </row>
    <row r="476">
      <c r="B476" s="13" t="str">
        <f>IF($K476="","",468)</f>
        <v/>
      </c>
      <c r="C476" s="13" t="str">
        <f>IF($K476="","",INDEX('Detalle individual'!$A:$A,$K476))</f>
        <v/>
      </c>
      <c r="D476" s="72" t="str">
        <f>IF($K476="","",TRIM(INDEX('Detalle individual'!$B:$B,$K476)))</f>
        <v/>
      </c>
      <c r="E476" s="72" t="str">
        <f>IF($K476="","",TRIM(INDEX('Detalle individual'!$E:$E,$K476)))</f>
        <v/>
      </c>
      <c r="F476" s="72" t="str">
        <f>IF($K476="","",TRIM(INDEX('Detalle individual'!$C:$C,$K476)))</f>
        <v/>
      </c>
      <c r="G476" s="72" t="str">
        <f>IF($K476="","",INDEX('Detalle individual'!$D:$D,$K476))</f>
        <v/>
      </c>
      <c r="H476" s="13" t="str">
        <f>IF($K476="","",INDEX('Detalle individual'!$F:$F,$K476))</f>
        <v/>
      </c>
      <c r="I476" s="20" t="str">
        <f>IF($K476="","",IF(INDEX('Detalle individual'!$F:$F,$K476)="Completado",INDEX('Detalle individual'!$H:$H,$K476),""))</f>
        <v/>
      </c>
      <c r="J476" s="21" t="str">
        <f>IF($K476="","",IF(INDEX('Detalle individual'!$F:$F,$K476)="Completado",INDEX('Detalle individual'!$J:$J,$K476),""))</f>
        <v/>
      </c>
      <c r="K476" t="str">
        <f>IFERROR(MOD(SMALL(Cálculos!$Z$5:$Z$1000,468),10000),"")</f>
        <v/>
      </c>
    </row>
    <row r="477">
      <c r="B477" s="13" t="str">
        <f>IF($K477="","",469)</f>
        <v/>
      </c>
      <c r="C477" s="13" t="str">
        <f>IF($K477="","",INDEX('Detalle individual'!$A:$A,$K477))</f>
        <v/>
      </c>
      <c r="D477" s="72" t="str">
        <f>IF($K477="","",TRIM(INDEX('Detalle individual'!$B:$B,$K477)))</f>
        <v/>
      </c>
      <c r="E477" s="72" t="str">
        <f>IF($K477="","",TRIM(INDEX('Detalle individual'!$E:$E,$K477)))</f>
        <v/>
      </c>
      <c r="F477" s="72" t="str">
        <f>IF($K477="","",TRIM(INDEX('Detalle individual'!$C:$C,$K477)))</f>
        <v/>
      </c>
      <c r="G477" s="72" t="str">
        <f>IF($K477="","",INDEX('Detalle individual'!$D:$D,$K477))</f>
        <v/>
      </c>
      <c r="H477" s="13" t="str">
        <f>IF($K477="","",INDEX('Detalle individual'!$F:$F,$K477))</f>
        <v/>
      </c>
      <c r="I477" s="20" t="str">
        <f>IF($K477="","",IF(INDEX('Detalle individual'!$F:$F,$K477)="Completado",INDEX('Detalle individual'!$H:$H,$K477),""))</f>
        <v/>
      </c>
      <c r="J477" s="21" t="str">
        <f>IF($K477="","",IF(INDEX('Detalle individual'!$F:$F,$K477)="Completado",INDEX('Detalle individual'!$J:$J,$K477),""))</f>
        <v/>
      </c>
      <c r="K477" t="str">
        <f>IFERROR(MOD(SMALL(Cálculos!$Z$5:$Z$1000,469),10000),"")</f>
        <v/>
      </c>
    </row>
    <row r="478">
      <c r="B478" s="13" t="str">
        <f>IF($K478="","",470)</f>
        <v/>
      </c>
      <c r="C478" s="13" t="str">
        <f>IF($K478="","",INDEX('Detalle individual'!$A:$A,$K478))</f>
        <v/>
      </c>
      <c r="D478" s="72" t="str">
        <f>IF($K478="","",TRIM(INDEX('Detalle individual'!$B:$B,$K478)))</f>
        <v/>
      </c>
      <c r="E478" s="72" t="str">
        <f>IF($K478="","",TRIM(INDEX('Detalle individual'!$E:$E,$K478)))</f>
        <v/>
      </c>
      <c r="F478" s="72" t="str">
        <f>IF($K478="","",TRIM(INDEX('Detalle individual'!$C:$C,$K478)))</f>
        <v/>
      </c>
      <c r="G478" s="72" t="str">
        <f>IF($K478="","",INDEX('Detalle individual'!$D:$D,$K478))</f>
        <v/>
      </c>
      <c r="H478" s="13" t="str">
        <f>IF($K478="","",INDEX('Detalle individual'!$F:$F,$K478))</f>
        <v/>
      </c>
      <c r="I478" s="20" t="str">
        <f>IF($K478="","",IF(INDEX('Detalle individual'!$F:$F,$K478)="Completado",INDEX('Detalle individual'!$H:$H,$K478),""))</f>
        <v/>
      </c>
      <c r="J478" s="21" t="str">
        <f>IF($K478="","",IF(INDEX('Detalle individual'!$F:$F,$K478)="Completado",INDEX('Detalle individual'!$J:$J,$K478),""))</f>
        <v/>
      </c>
      <c r="K478" t="str">
        <f>IFERROR(MOD(SMALL(Cálculos!$Z$5:$Z$1000,470),10000),"")</f>
        <v/>
      </c>
    </row>
    <row r="479">
      <c r="B479" s="13" t="str">
        <f>IF($K479="","",471)</f>
        <v/>
      </c>
      <c r="C479" s="13" t="str">
        <f>IF($K479="","",INDEX('Detalle individual'!$A:$A,$K479))</f>
        <v/>
      </c>
      <c r="D479" s="72" t="str">
        <f>IF($K479="","",TRIM(INDEX('Detalle individual'!$B:$B,$K479)))</f>
        <v/>
      </c>
      <c r="E479" s="72" t="str">
        <f>IF($K479="","",TRIM(INDEX('Detalle individual'!$E:$E,$K479)))</f>
        <v/>
      </c>
      <c r="F479" s="72" t="str">
        <f>IF($K479="","",TRIM(INDEX('Detalle individual'!$C:$C,$K479)))</f>
        <v/>
      </c>
      <c r="G479" s="72" t="str">
        <f>IF($K479="","",INDEX('Detalle individual'!$D:$D,$K479))</f>
        <v/>
      </c>
      <c r="H479" s="13" t="str">
        <f>IF($K479="","",INDEX('Detalle individual'!$F:$F,$K479))</f>
        <v/>
      </c>
      <c r="I479" s="20" t="str">
        <f>IF($K479="","",IF(INDEX('Detalle individual'!$F:$F,$K479)="Completado",INDEX('Detalle individual'!$H:$H,$K479),""))</f>
        <v/>
      </c>
      <c r="J479" s="21" t="str">
        <f>IF($K479="","",IF(INDEX('Detalle individual'!$F:$F,$K479)="Completado",INDEX('Detalle individual'!$J:$J,$K479),""))</f>
        <v/>
      </c>
      <c r="K479" t="str">
        <f>IFERROR(MOD(SMALL(Cálculos!$Z$5:$Z$1000,471),10000),"")</f>
        <v/>
      </c>
    </row>
    <row r="480">
      <c r="B480" s="13" t="str">
        <f>IF($K480="","",472)</f>
        <v/>
      </c>
      <c r="C480" s="13" t="str">
        <f>IF($K480="","",INDEX('Detalle individual'!$A:$A,$K480))</f>
        <v/>
      </c>
      <c r="D480" s="72" t="str">
        <f>IF($K480="","",TRIM(INDEX('Detalle individual'!$B:$B,$K480)))</f>
        <v/>
      </c>
      <c r="E480" s="72" t="str">
        <f>IF($K480="","",TRIM(INDEX('Detalle individual'!$E:$E,$K480)))</f>
        <v/>
      </c>
      <c r="F480" s="72" t="str">
        <f>IF($K480="","",TRIM(INDEX('Detalle individual'!$C:$C,$K480)))</f>
        <v/>
      </c>
      <c r="G480" s="72" t="str">
        <f>IF($K480="","",INDEX('Detalle individual'!$D:$D,$K480))</f>
        <v/>
      </c>
      <c r="H480" s="13" t="str">
        <f>IF($K480="","",INDEX('Detalle individual'!$F:$F,$K480))</f>
        <v/>
      </c>
      <c r="I480" s="20" t="str">
        <f>IF($K480="","",IF(INDEX('Detalle individual'!$F:$F,$K480)="Completado",INDEX('Detalle individual'!$H:$H,$K480),""))</f>
        <v/>
      </c>
      <c r="J480" s="21" t="str">
        <f>IF($K480="","",IF(INDEX('Detalle individual'!$F:$F,$K480)="Completado",INDEX('Detalle individual'!$J:$J,$K480),""))</f>
        <v/>
      </c>
      <c r="K480" t="str">
        <f>IFERROR(MOD(SMALL(Cálculos!$Z$5:$Z$1000,472),10000),"")</f>
        <v/>
      </c>
    </row>
    <row r="481">
      <c r="B481" s="13" t="str">
        <f>IF($K481="","",473)</f>
        <v/>
      </c>
      <c r="C481" s="13" t="str">
        <f>IF($K481="","",INDEX('Detalle individual'!$A:$A,$K481))</f>
        <v/>
      </c>
      <c r="D481" s="72" t="str">
        <f>IF($K481="","",TRIM(INDEX('Detalle individual'!$B:$B,$K481)))</f>
        <v/>
      </c>
      <c r="E481" s="72" t="str">
        <f>IF($K481="","",TRIM(INDEX('Detalle individual'!$E:$E,$K481)))</f>
        <v/>
      </c>
      <c r="F481" s="72" t="str">
        <f>IF($K481="","",TRIM(INDEX('Detalle individual'!$C:$C,$K481)))</f>
        <v/>
      </c>
      <c r="G481" s="72" t="str">
        <f>IF($K481="","",INDEX('Detalle individual'!$D:$D,$K481))</f>
        <v/>
      </c>
      <c r="H481" s="13" t="str">
        <f>IF($K481="","",INDEX('Detalle individual'!$F:$F,$K481))</f>
        <v/>
      </c>
      <c r="I481" s="20" t="str">
        <f>IF($K481="","",IF(INDEX('Detalle individual'!$F:$F,$K481)="Completado",INDEX('Detalle individual'!$H:$H,$K481),""))</f>
        <v/>
      </c>
      <c r="J481" s="21" t="str">
        <f>IF($K481="","",IF(INDEX('Detalle individual'!$F:$F,$K481)="Completado",INDEX('Detalle individual'!$J:$J,$K481),""))</f>
        <v/>
      </c>
      <c r="K481" t="str">
        <f>IFERROR(MOD(SMALL(Cálculos!$Z$5:$Z$1000,473),10000),"")</f>
        <v/>
      </c>
    </row>
    <row r="482">
      <c r="B482" s="13" t="str">
        <f>IF($K482="","",474)</f>
        <v/>
      </c>
      <c r="C482" s="13" t="str">
        <f>IF($K482="","",INDEX('Detalle individual'!$A:$A,$K482))</f>
        <v/>
      </c>
      <c r="D482" s="72" t="str">
        <f>IF($K482="","",TRIM(INDEX('Detalle individual'!$B:$B,$K482)))</f>
        <v/>
      </c>
      <c r="E482" s="72" t="str">
        <f>IF($K482="","",TRIM(INDEX('Detalle individual'!$E:$E,$K482)))</f>
        <v/>
      </c>
      <c r="F482" s="72" t="str">
        <f>IF($K482="","",TRIM(INDEX('Detalle individual'!$C:$C,$K482)))</f>
        <v/>
      </c>
      <c r="G482" s="72" t="str">
        <f>IF($K482="","",INDEX('Detalle individual'!$D:$D,$K482))</f>
        <v/>
      </c>
      <c r="H482" s="13" t="str">
        <f>IF($K482="","",INDEX('Detalle individual'!$F:$F,$K482))</f>
        <v/>
      </c>
      <c r="I482" s="20" t="str">
        <f>IF($K482="","",IF(INDEX('Detalle individual'!$F:$F,$K482)="Completado",INDEX('Detalle individual'!$H:$H,$K482),""))</f>
        <v/>
      </c>
      <c r="J482" s="21" t="str">
        <f>IF($K482="","",IF(INDEX('Detalle individual'!$F:$F,$K482)="Completado",INDEX('Detalle individual'!$J:$J,$K482),""))</f>
        <v/>
      </c>
      <c r="K482" t="str">
        <f>IFERROR(MOD(SMALL(Cálculos!$Z$5:$Z$1000,474),10000),"")</f>
        <v/>
      </c>
    </row>
    <row r="483">
      <c r="B483" s="13" t="str">
        <f>IF($K483="","",475)</f>
        <v/>
      </c>
      <c r="C483" s="13" t="str">
        <f>IF($K483="","",INDEX('Detalle individual'!$A:$A,$K483))</f>
        <v/>
      </c>
      <c r="D483" s="72" t="str">
        <f>IF($K483="","",TRIM(INDEX('Detalle individual'!$B:$B,$K483)))</f>
        <v/>
      </c>
      <c r="E483" s="72" t="str">
        <f>IF($K483="","",TRIM(INDEX('Detalle individual'!$E:$E,$K483)))</f>
        <v/>
      </c>
      <c r="F483" s="72" t="str">
        <f>IF($K483="","",TRIM(INDEX('Detalle individual'!$C:$C,$K483)))</f>
        <v/>
      </c>
      <c r="G483" s="72" t="str">
        <f>IF($K483="","",INDEX('Detalle individual'!$D:$D,$K483))</f>
        <v/>
      </c>
      <c r="H483" s="13" t="str">
        <f>IF($K483="","",INDEX('Detalle individual'!$F:$F,$K483))</f>
        <v/>
      </c>
      <c r="I483" s="20" t="str">
        <f>IF($K483="","",IF(INDEX('Detalle individual'!$F:$F,$K483)="Completado",INDEX('Detalle individual'!$H:$H,$K483),""))</f>
        <v/>
      </c>
      <c r="J483" s="21" t="str">
        <f>IF($K483="","",IF(INDEX('Detalle individual'!$F:$F,$K483)="Completado",INDEX('Detalle individual'!$J:$J,$K483),""))</f>
        <v/>
      </c>
      <c r="K483" t="str">
        <f>IFERROR(MOD(SMALL(Cálculos!$Z$5:$Z$1000,475),10000),"")</f>
        <v/>
      </c>
    </row>
    <row r="484">
      <c r="B484" s="13" t="str">
        <f>IF($K484="","",476)</f>
        <v/>
      </c>
      <c r="C484" s="13" t="str">
        <f>IF($K484="","",INDEX('Detalle individual'!$A:$A,$K484))</f>
        <v/>
      </c>
      <c r="D484" s="72" t="str">
        <f>IF($K484="","",TRIM(INDEX('Detalle individual'!$B:$B,$K484)))</f>
        <v/>
      </c>
      <c r="E484" s="72" t="str">
        <f>IF($K484="","",TRIM(INDEX('Detalle individual'!$E:$E,$K484)))</f>
        <v/>
      </c>
      <c r="F484" s="72" t="str">
        <f>IF($K484="","",TRIM(INDEX('Detalle individual'!$C:$C,$K484)))</f>
        <v/>
      </c>
      <c r="G484" s="72" t="str">
        <f>IF($K484="","",INDEX('Detalle individual'!$D:$D,$K484))</f>
        <v/>
      </c>
      <c r="H484" s="13" t="str">
        <f>IF($K484="","",INDEX('Detalle individual'!$F:$F,$K484))</f>
        <v/>
      </c>
      <c r="I484" s="20" t="str">
        <f>IF($K484="","",IF(INDEX('Detalle individual'!$F:$F,$K484)="Completado",INDEX('Detalle individual'!$H:$H,$K484),""))</f>
        <v/>
      </c>
      <c r="J484" s="21" t="str">
        <f>IF($K484="","",IF(INDEX('Detalle individual'!$F:$F,$K484)="Completado",INDEX('Detalle individual'!$J:$J,$K484),""))</f>
        <v/>
      </c>
      <c r="K484" t="str">
        <f>IFERROR(MOD(SMALL(Cálculos!$Z$5:$Z$1000,476),10000),"")</f>
        <v/>
      </c>
    </row>
    <row r="485">
      <c r="B485" s="13" t="str">
        <f>IF($K485="","",477)</f>
        <v/>
      </c>
      <c r="C485" s="13" t="str">
        <f>IF($K485="","",INDEX('Detalle individual'!$A:$A,$K485))</f>
        <v/>
      </c>
      <c r="D485" s="72" t="str">
        <f>IF($K485="","",TRIM(INDEX('Detalle individual'!$B:$B,$K485)))</f>
        <v/>
      </c>
      <c r="E485" s="72" t="str">
        <f>IF($K485="","",TRIM(INDEX('Detalle individual'!$E:$E,$K485)))</f>
        <v/>
      </c>
      <c r="F485" s="72" t="str">
        <f>IF($K485="","",TRIM(INDEX('Detalle individual'!$C:$C,$K485)))</f>
        <v/>
      </c>
      <c r="G485" s="72" t="str">
        <f>IF($K485="","",INDEX('Detalle individual'!$D:$D,$K485))</f>
        <v/>
      </c>
      <c r="H485" s="13" t="str">
        <f>IF($K485="","",INDEX('Detalle individual'!$F:$F,$K485))</f>
        <v/>
      </c>
      <c r="I485" s="20" t="str">
        <f>IF($K485="","",IF(INDEX('Detalle individual'!$F:$F,$K485)="Completado",INDEX('Detalle individual'!$H:$H,$K485),""))</f>
        <v/>
      </c>
      <c r="J485" s="21" t="str">
        <f>IF($K485="","",IF(INDEX('Detalle individual'!$F:$F,$K485)="Completado",INDEX('Detalle individual'!$J:$J,$K485),""))</f>
        <v/>
      </c>
      <c r="K485" t="str">
        <f>IFERROR(MOD(SMALL(Cálculos!$Z$5:$Z$1000,477),10000),"")</f>
        <v/>
      </c>
    </row>
    <row r="486">
      <c r="B486" s="13" t="str">
        <f>IF($K486="","",478)</f>
        <v/>
      </c>
      <c r="C486" s="13" t="str">
        <f>IF($K486="","",INDEX('Detalle individual'!$A:$A,$K486))</f>
        <v/>
      </c>
      <c r="D486" s="72" t="str">
        <f>IF($K486="","",TRIM(INDEX('Detalle individual'!$B:$B,$K486)))</f>
        <v/>
      </c>
      <c r="E486" s="72" t="str">
        <f>IF($K486="","",TRIM(INDEX('Detalle individual'!$E:$E,$K486)))</f>
        <v/>
      </c>
      <c r="F486" s="72" t="str">
        <f>IF($K486="","",TRIM(INDEX('Detalle individual'!$C:$C,$K486)))</f>
        <v/>
      </c>
      <c r="G486" s="72" t="str">
        <f>IF($K486="","",INDEX('Detalle individual'!$D:$D,$K486))</f>
        <v/>
      </c>
      <c r="H486" s="13" t="str">
        <f>IF($K486="","",INDEX('Detalle individual'!$F:$F,$K486))</f>
        <v/>
      </c>
      <c r="I486" s="20" t="str">
        <f>IF($K486="","",IF(INDEX('Detalle individual'!$F:$F,$K486)="Completado",INDEX('Detalle individual'!$H:$H,$K486),""))</f>
        <v/>
      </c>
      <c r="J486" s="21" t="str">
        <f>IF($K486="","",IF(INDEX('Detalle individual'!$F:$F,$K486)="Completado",INDEX('Detalle individual'!$J:$J,$K486),""))</f>
        <v/>
      </c>
      <c r="K486" t="str">
        <f>IFERROR(MOD(SMALL(Cálculos!$Z$5:$Z$1000,478),10000),"")</f>
        <v/>
      </c>
    </row>
    <row r="487">
      <c r="B487" s="13" t="str">
        <f>IF($K487="","",479)</f>
        <v/>
      </c>
      <c r="C487" s="13" t="str">
        <f>IF($K487="","",INDEX('Detalle individual'!$A:$A,$K487))</f>
        <v/>
      </c>
      <c r="D487" s="72" t="str">
        <f>IF($K487="","",TRIM(INDEX('Detalle individual'!$B:$B,$K487)))</f>
        <v/>
      </c>
      <c r="E487" s="72" t="str">
        <f>IF($K487="","",TRIM(INDEX('Detalle individual'!$E:$E,$K487)))</f>
        <v/>
      </c>
      <c r="F487" s="72" t="str">
        <f>IF($K487="","",TRIM(INDEX('Detalle individual'!$C:$C,$K487)))</f>
        <v/>
      </c>
      <c r="G487" s="72" t="str">
        <f>IF($K487="","",INDEX('Detalle individual'!$D:$D,$K487))</f>
        <v/>
      </c>
      <c r="H487" s="13" t="str">
        <f>IF($K487="","",INDEX('Detalle individual'!$F:$F,$K487))</f>
        <v/>
      </c>
      <c r="I487" s="20" t="str">
        <f>IF($K487="","",IF(INDEX('Detalle individual'!$F:$F,$K487)="Completado",INDEX('Detalle individual'!$H:$H,$K487),""))</f>
        <v/>
      </c>
      <c r="J487" s="21" t="str">
        <f>IF($K487="","",IF(INDEX('Detalle individual'!$F:$F,$K487)="Completado",INDEX('Detalle individual'!$J:$J,$K487),""))</f>
        <v/>
      </c>
      <c r="K487" t="str">
        <f>IFERROR(MOD(SMALL(Cálculos!$Z$5:$Z$1000,479),10000),"")</f>
        <v/>
      </c>
    </row>
    <row r="488">
      <c r="B488" s="13" t="str">
        <f>IF($K488="","",480)</f>
        <v/>
      </c>
      <c r="C488" s="13" t="str">
        <f>IF($K488="","",INDEX('Detalle individual'!$A:$A,$K488))</f>
        <v/>
      </c>
      <c r="D488" s="72" t="str">
        <f>IF($K488="","",TRIM(INDEX('Detalle individual'!$B:$B,$K488)))</f>
        <v/>
      </c>
      <c r="E488" s="72" t="str">
        <f>IF($K488="","",TRIM(INDEX('Detalle individual'!$E:$E,$K488)))</f>
        <v/>
      </c>
      <c r="F488" s="72" t="str">
        <f>IF($K488="","",TRIM(INDEX('Detalle individual'!$C:$C,$K488)))</f>
        <v/>
      </c>
      <c r="G488" s="72" t="str">
        <f>IF($K488="","",INDEX('Detalle individual'!$D:$D,$K488))</f>
        <v/>
      </c>
      <c r="H488" s="13" t="str">
        <f>IF($K488="","",INDEX('Detalle individual'!$F:$F,$K488))</f>
        <v/>
      </c>
      <c r="I488" s="20" t="str">
        <f>IF($K488="","",IF(INDEX('Detalle individual'!$F:$F,$K488)="Completado",INDEX('Detalle individual'!$H:$H,$K488),""))</f>
        <v/>
      </c>
      <c r="J488" s="21" t="str">
        <f>IF($K488="","",IF(INDEX('Detalle individual'!$F:$F,$K488)="Completado",INDEX('Detalle individual'!$J:$J,$K488),""))</f>
        <v/>
      </c>
      <c r="K488" t="str">
        <f>IFERROR(MOD(SMALL(Cálculos!$Z$5:$Z$1000,480),10000),"")</f>
        <v/>
      </c>
    </row>
    <row r="489">
      <c r="B489" s="13" t="str">
        <f>IF($K489="","",481)</f>
        <v/>
      </c>
      <c r="C489" s="13" t="str">
        <f>IF($K489="","",INDEX('Detalle individual'!$A:$A,$K489))</f>
        <v/>
      </c>
      <c r="D489" s="72" t="str">
        <f>IF($K489="","",TRIM(INDEX('Detalle individual'!$B:$B,$K489)))</f>
        <v/>
      </c>
      <c r="E489" s="72" t="str">
        <f>IF($K489="","",TRIM(INDEX('Detalle individual'!$E:$E,$K489)))</f>
        <v/>
      </c>
      <c r="F489" s="72" t="str">
        <f>IF($K489="","",TRIM(INDEX('Detalle individual'!$C:$C,$K489)))</f>
        <v/>
      </c>
      <c r="G489" s="72" t="str">
        <f>IF($K489="","",INDEX('Detalle individual'!$D:$D,$K489))</f>
        <v/>
      </c>
      <c r="H489" s="13" t="str">
        <f>IF($K489="","",INDEX('Detalle individual'!$F:$F,$K489))</f>
        <v/>
      </c>
      <c r="I489" s="20" t="str">
        <f>IF($K489="","",IF(INDEX('Detalle individual'!$F:$F,$K489)="Completado",INDEX('Detalle individual'!$H:$H,$K489),""))</f>
        <v/>
      </c>
      <c r="J489" s="21" t="str">
        <f>IF($K489="","",IF(INDEX('Detalle individual'!$F:$F,$K489)="Completado",INDEX('Detalle individual'!$J:$J,$K489),""))</f>
        <v/>
      </c>
      <c r="K489" t="str">
        <f>IFERROR(MOD(SMALL(Cálculos!$Z$5:$Z$1000,481),10000),"")</f>
        <v/>
      </c>
    </row>
    <row r="490">
      <c r="B490" s="13" t="str">
        <f>IF($K490="","",482)</f>
        <v/>
      </c>
      <c r="C490" s="13" t="str">
        <f>IF($K490="","",INDEX('Detalle individual'!$A:$A,$K490))</f>
        <v/>
      </c>
      <c r="D490" s="72" t="str">
        <f>IF($K490="","",TRIM(INDEX('Detalle individual'!$B:$B,$K490)))</f>
        <v/>
      </c>
      <c r="E490" s="72" t="str">
        <f>IF($K490="","",TRIM(INDEX('Detalle individual'!$E:$E,$K490)))</f>
        <v/>
      </c>
      <c r="F490" s="72" t="str">
        <f>IF($K490="","",TRIM(INDEX('Detalle individual'!$C:$C,$K490)))</f>
        <v/>
      </c>
      <c r="G490" s="72" t="str">
        <f>IF($K490="","",INDEX('Detalle individual'!$D:$D,$K490))</f>
        <v/>
      </c>
      <c r="H490" s="13" t="str">
        <f>IF($K490="","",INDEX('Detalle individual'!$F:$F,$K490))</f>
        <v/>
      </c>
      <c r="I490" s="20" t="str">
        <f>IF($K490="","",IF(INDEX('Detalle individual'!$F:$F,$K490)="Completado",INDEX('Detalle individual'!$H:$H,$K490),""))</f>
        <v/>
      </c>
      <c r="J490" s="21" t="str">
        <f>IF($K490="","",IF(INDEX('Detalle individual'!$F:$F,$K490)="Completado",INDEX('Detalle individual'!$J:$J,$K490),""))</f>
        <v/>
      </c>
      <c r="K490" t="str">
        <f>IFERROR(MOD(SMALL(Cálculos!$Z$5:$Z$1000,482),10000),"")</f>
        <v/>
      </c>
    </row>
    <row r="491">
      <c r="B491" s="13" t="str">
        <f>IF($K491="","",483)</f>
        <v/>
      </c>
      <c r="C491" s="13" t="str">
        <f>IF($K491="","",INDEX('Detalle individual'!$A:$A,$K491))</f>
        <v/>
      </c>
      <c r="D491" s="72" t="str">
        <f>IF($K491="","",TRIM(INDEX('Detalle individual'!$B:$B,$K491)))</f>
        <v/>
      </c>
      <c r="E491" s="72" t="str">
        <f>IF($K491="","",TRIM(INDEX('Detalle individual'!$E:$E,$K491)))</f>
        <v/>
      </c>
      <c r="F491" s="72" t="str">
        <f>IF($K491="","",TRIM(INDEX('Detalle individual'!$C:$C,$K491)))</f>
        <v/>
      </c>
      <c r="G491" s="72" t="str">
        <f>IF($K491="","",INDEX('Detalle individual'!$D:$D,$K491))</f>
        <v/>
      </c>
      <c r="H491" s="13" t="str">
        <f>IF($K491="","",INDEX('Detalle individual'!$F:$F,$K491))</f>
        <v/>
      </c>
      <c r="I491" s="20" t="str">
        <f>IF($K491="","",IF(INDEX('Detalle individual'!$F:$F,$K491)="Completado",INDEX('Detalle individual'!$H:$H,$K491),""))</f>
        <v/>
      </c>
      <c r="J491" s="21" t="str">
        <f>IF($K491="","",IF(INDEX('Detalle individual'!$F:$F,$K491)="Completado",INDEX('Detalle individual'!$J:$J,$K491),""))</f>
        <v/>
      </c>
      <c r="K491" t="str">
        <f>IFERROR(MOD(SMALL(Cálculos!$Z$5:$Z$1000,483),10000),"")</f>
        <v/>
      </c>
    </row>
    <row r="492">
      <c r="B492" s="13" t="str">
        <f>IF($K492="","",484)</f>
        <v/>
      </c>
      <c r="C492" s="13" t="str">
        <f>IF($K492="","",INDEX('Detalle individual'!$A:$A,$K492))</f>
        <v/>
      </c>
      <c r="D492" s="72" t="str">
        <f>IF($K492="","",TRIM(INDEX('Detalle individual'!$B:$B,$K492)))</f>
        <v/>
      </c>
      <c r="E492" s="72" t="str">
        <f>IF($K492="","",TRIM(INDEX('Detalle individual'!$E:$E,$K492)))</f>
        <v/>
      </c>
      <c r="F492" s="72" t="str">
        <f>IF($K492="","",TRIM(INDEX('Detalle individual'!$C:$C,$K492)))</f>
        <v/>
      </c>
      <c r="G492" s="72" t="str">
        <f>IF($K492="","",INDEX('Detalle individual'!$D:$D,$K492))</f>
        <v/>
      </c>
      <c r="H492" s="13" t="str">
        <f>IF($K492="","",INDEX('Detalle individual'!$F:$F,$K492))</f>
        <v/>
      </c>
      <c r="I492" s="20" t="str">
        <f>IF($K492="","",IF(INDEX('Detalle individual'!$F:$F,$K492)="Completado",INDEX('Detalle individual'!$H:$H,$K492),""))</f>
        <v/>
      </c>
      <c r="J492" s="21" t="str">
        <f>IF($K492="","",IF(INDEX('Detalle individual'!$F:$F,$K492)="Completado",INDEX('Detalle individual'!$J:$J,$K492),""))</f>
        <v/>
      </c>
      <c r="K492" t="str">
        <f>IFERROR(MOD(SMALL(Cálculos!$Z$5:$Z$1000,484),10000),"")</f>
        <v/>
      </c>
    </row>
    <row r="493">
      <c r="B493" s="13" t="str">
        <f>IF($K493="","",485)</f>
        <v/>
      </c>
      <c r="C493" s="13" t="str">
        <f>IF($K493="","",INDEX('Detalle individual'!$A:$A,$K493))</f>
        <v/>
      </c>
      <c r="D493" s="72" t="str">
        <f>IF($K493="","",TRIM(INDEX('Detalle individual'!$B:$B,$K493)))</f>
        <v/>
      </c>
      <c r="E493" s="72" t="str">
        <f>IF($K493="","",TRIM(INDEX('Detalle individual'!$E:$E,$K493)))</f>
        <v/>
      </c>
      <c r="F493" s="72" t="str">
        <f>IF($K493="","",TRIM(INDEX('Detalle individual'!$C:$C,$K493)))</f>
        <v/>
      </c>
      <c r="G493" s="72" t="str">
        <f>IF($K493="","",INDEX('Detalle individual'!$D:$D,$K493))</f>
        <v/>
      </c>
      <c r="H493" s="13" t="str">
        <f>IF($K493="","",INDEX('Detalle individual'!$F:$F,$K493))</f>
        <v/>
      </c>
      <c r="I493" s="20" t="str">
        <f>IF($K493="","",IF(INDEX('Detalle individual'!$F:$F,$K493)="Completado",INDEX('Detalle individual'!$H:$H,$K493),""))</f>
        <v/>
      </c>
      <c r="J493" s="21" t="str">
        <f>IF($K493="","",IF(INDEX('Detalle individual'!$F:$F,$K493)="Completado",INDEX('Detalle individual'!$J:$J,$K493),""))</f>
        <v/>
      </c>
      <c r="K493" t="str">
        <f>IFERROR(MOD(SMALL(Cálculos!$Z$5:$Z$1000,485),10000),"")</f>
        <v/>
      </c>
    </row>
    <row r="494">
      <c r="B494" s="13" t="str">
        <f>IF($K494="","",486)</f>
        <v/>
      </c>
      <c r="C494" s="13" t="str">
        <f>IF($K494="","",INDEX('Detalle individual'!$A:$A,$K494))</f>
        <v/>
      </c>
      <c r="D494" s="72" t="str">
        <f>IF($K494="","",TRIM(INDEX('Detalle individual'!$B:$B,$K494)))</f>
        <v/>
      </c>
      <c r="E494" s="72" t="str">
        <f>IF($K494="","",TRIM(INDEX('Detalle individual'!$E:$E,$K494)))</f>
        <v/>
      </c>
      <c r="F494" s="72" t="str">
        <f>IF($K494="","",TRIM(INDEX('Detalle individual'!$C:$C,$K494)))</f>
        <v/>
      </c>
      <c r="G494" s="72" t="str">
        <f>IF($K494="","",INDEX('Detalle individual'!$D:$D,$K494))</f>
        <v/>
      </c>
      <c r="H494" s="13" t="str">
        <f>IF($K494="","",INDEX('Detalle individual'!$F:$F,$K494))</f>
        <v/>
      </c>
      <c r="I494" s="20" t="str">
        <f>IF($K494="","",IF(INDEX('Detalle individual'!$F:$F,$K494)="Completado",INDEX('Detalle individual'!$H:$H,$K494),""))</f>
        <v/>
      </c>
      <c r="J494" s="21" t="str">
        <f>IF($K494="","",IF(INDEX('Detalle individual'!$F:$F,$K494)="Completado",INDEX('Detalle individual'!$J:$J,$K494),""))</f>
        <v/>
      </c>
      <c r="K494" t="str">
        <f>IFERROR(MOD(SMALL(Cálculos!$Z$5:$Z$1000,486),10000),"")</f>
        <v/>
      </c>
    </row>
    <row r="495">
      <c r="B495" s="13" t="str">
        <f>IF($K495="","",487)</f>
        <v/>
      </c>
      <c r="C495" s="13" t="str">
        <f>IF($K495="","",INDEX('Detalle individual'!$A:$A,$K495))</f>
        <v/>
      </c>
      <c r="D495" s="72" t="str">
        <f>IF($K495="","",TRIM(INDEX('Detalle individual'!$B:$B,$K495)))</f>
        <v/>
      </c>
      <c r="E495" s="72" t="str">
        <f>IF($K495="","",TRIM(INDEX('Detalle individual'!$E:$E,$K495)))</f>
        <v/>
      </c>
      <c r="F495" s="72" t="str">
        <f>IF($K495="","",TRIM(INDEX('Detalle individual'!$C:$C,$K495)))</f>
        <v/>
      </c>
      <c r="G495" s="72" t="str">
        <f>IF($K495="","",INDEX('Detalle individual'!$D:$D,$K495))</f>
        <v/>
      </c>
      <c r="H495" s="13" t="str">
        <f>IF($K495="","",INDEX('Detalle individual'!$F:$F,$K495))</f>
        <v/>
      </c>
      <c r="I495" s="20" t="str">
        <f>IF($K495="","",IF(INDEX('Detalle individual'!$F:$F,$K495)="Completado",INDEX('Detalle individual'!$H:$H,$K495),""))</f>
        <v/>
      </c>
      <c r="J495" s="21" t="str">
        <f>IF($K495="","",IF(INDEX('Detalle individual'!$F:$F,$K495)="Completado",INDEX('Detalle individual'!$J:$J,$K495),""))</f>
        <v/>
      </c>
      <c r="K495" t="str">
        <f>IFERROR(MOD(SMALL(Cálculos!$Z$5:$Z$1000,487),10000),"")</f>
        <v/>
      </c>
    </row>
    <row r="496">
      <c r="B496" s="13" t="str">
        <f>IF($K496="","",488)</f>
        <v/>
      </c>
      <c r="C496" s="13" t="str">
        <f>IF($K496="","",INDEX('Detalle individual'!$A:$A,$K496))</f>
        <v/>
      </c>
      <c r="D496" s="72" t="str">
        <f>IF($K496="","",TRIM(INDEX('Detalle individual'!$B:$B,$K496)))</f>
        <v/>
      </c>
      <c r="E496" s="72" t="str">
        <f>IF($K496="","",TRIM(INDEX('Detalle individual'!$E:$E,$K496)))</f>
        <v/>
      </c>
      <c r="F496" s="72" t="str">
        <f>IF($K496="","",TRIM(INDEX('Detalle individual'!$C:$C,$K496)))</f>
        <v/>
      </c>
      <c r="G496" s="72" t="str">
        <f>IF($K496="","",INDEX('Detalle individual'!$D:$D,$K496))</f>
        <v/>
      </c>
      <c r="H496" s="13" t="str">
        <f>IF($K496="","",INDEX('Detalle individual'!$F:$F,$K496))</f>
        <v/>
      </c>
      <c r="I496" s="20" t="str">
        <f>IF($K496="","",IF(INDEX('Detalle individual'!$F:$F,$K496)="Completado",INDEX('Detalle individual'!$H:$H,$K496),""))</f>
        <v/>
      </c>
      <c r="J496" s="21" t="str">
        <f>IF($K496="","",IF(INDEX('Detalle individual'!$F:$F,$K496)="Completado",INDEX('Detalle individual'!$J:$J,$K496),""))</f>
        <v/>
      </c>
      <c r="K496" t="str">
        <f>IFERROR(MOD(SMALL(Cálculos!$Z$5:$Z$1000,488),10000),"")</f>
        <v/>
      </c>
    </row>
    <row r="497">
      <c r="B497" s="13" t="str">
        <f>IF($K497="","",489)</f>
        <v/>
      </c>
      <c r="C497" s="13" t="str">
        <f>IF($K497="","",INDEX('Detalle individual'!$A:$A,$K497))</f>
        <v/>
      </c>
      <c r="D497" s="72" t="str">
        <f>IF($K497="","",TRIM(INDEX('Detalle individual'!$B:$B,$K497)))</f>
        <v/>
      </c>
      <c r="E497" s="72" t="str">
        <f>IF($K497="","",TRIM(INDEX('Detalle individual'!$E:$E,$K497)))</f>
        <v/>
      </c>
      <c r="F497" s="72" t="str">
        <f>IF($K497="","",TRIM(INDEX('Detalle individual'!$C:$C,$K497)))</f>
        <v/>
      </c>
      <c r="G497" s="72" t="str">
        <f>IF($K497="","",INDEX('Detalle individual'!$D:$D,$K497))</f>
        <v/>
      </c>
      <c r="H497" s="13" t="str">
        <f>IF($K497="","",INDEX('Detalle individual'!$F:$F,$K497))</f>
        <v/>
      </c>
      <c r="I497" s="20" t="str">
        <f>IF($K497="","",IF(INDEX('Detalle individual'!$F:$F,$K497)="Completado",INDEX('Detalle individual'!$H:$H,$K497),""))</f>
        <v/>
      </c>
      <c r="J497" s="21" t="str">
        <f>IF($K497="","",IF(INDEX('Detalle individual'!$F:$F,$K497)="Completado",INDEX('Detalle individual'!$J:$J,$K497),""))</f>
        <v/>
      </c>
      <c r="K497" t="str">
        <f>IFERROR(MOD(SMALL(Cálculos!$Z$5:$Z$1000,489),10000),"")</f>
        <v/>
      </c>
    </row>
    <row r="498">
      <c r="B498" s="13" t="str">
        <f>IF($K498="","",490)</f>
        <v/>
      </c>
      <c r="C498" s="13" t="str">
        <f>IF($K498="","",INDEX('Detalle individual'!$A:$A,$K498))</f>
        <v/>
      </c>
      <c r="D498" s="72" t="str">
        <f>IF($K498="","",TRIM(INDEX('Detalle individual'!$B:$B,$K498)))</f>
        <v/>
      </c>
      <c r="E498" s="72" t="str">
        <f>IF($K498="","",TRIM(INDEX('Detalle individual'!$E:$E,$K498)))</f>
        <v/>
      </c>
      <c r="F498" s="72" t="str">
        <f>IF($K498="","",TRIM(INDEX('Detalle individual'!$C:$C,$K498)))</f>
        <v/>
      </c>
      <c r="G498" s="72" t="str">
        <f>IF($K498="","",INDEX('Detalle individual'!$D:$D,$K498))</f>
        <v/>
      </c>
      <c r="H498" s="13" t="str">
        <f>IF($K498="","",INDEX('Detalle individual'!$F:$F,$K498))</f>
        <v/>
      </c>
      <c r="I498" s="20" t="str">
        <f>IF($K498="","",IF(INDEX('Detalle individual'!$F:$F,$K498)="Completado",INDEX('Detalle individual'!$H:$H,$K498),""))</f>
        <v/>
      </c>
      <c r="J498" s="21" t="str">
        <f>IF($K498="","",IF(INDEX('Detalle individual'!$F:$F,$K498)="Completado",INDEX('Detalle individual'!$J:$J,$K498),""))</f>
        <v/>
      </c>
      <c r="K498" t="str">
        <f>IFERROR(MOD(SMALL(Cálculos!$Z$5:$Z$1000,490),10000),"")</f>
        <v/>
      </c>
    </row>
    <row r="499">
      <c r="B499" s="13" t="str">
        <f>IF($K499="","",491)</f>
        <v/>
      </c>
      <c r="C499" s="13" t="str">
        <f>IF($K499="","",INDEX('Detalle individual'!$A:$A,$K499))</f>
        <v/>
      </c>
      <c r="D499" s="72" t="str">
        <f>IF($K499="","",TRIM(INDEX('Detalle individual'!$B:$B,$K499)))</f>
        <v/>
      </c>
      <c r="E499" s="72" t="str">
        <f>IF($K499="","",TRIM(INDEX('Detalle individual'!$E:$E,$K499)))</f>
        <v/>
      </c>
      <c r="F499" s="72" t="str">
        <f>IF($K499="","",TRIM(INDEX('Detalle individual'!$C:$C,$K499)))</f>
        <v/>
      </c>
      <c r="G499" s="72" t="str">
        <f>IF($K499="","",INDEX('Detalle individual'!$D:$D,$K499))</f>
        <v/>
      </c>
      <c r="H499" s="13" t="str">
        <f>IF($K499="","",INDEX('Detalle individual'!$F:$F,$K499))</f>
        <v/>
      </c>
      <c r="I499" s="20" t="str">
        <f>IF($K499="","",IF(INDEX('Detalle individual'!$F:$F,$K499)="Completado",INDEX('Detalle individual'!$H:$H,$K499),""))</f>
        <v/>
      </c>
      <c r="J499" s="21" t="str">
        <f>IF($K499="","",IF(INDEX('Detalle individual'!$F:$F,$K499)="Completado",INDEX('Detalle individual'!$J:$J,$K499),""))</f>
        <v/>
      </c>
      <c r="K499" t="str">
        <f>IFERROR(MOD(SMALL(Cálculos!$Z$5:$Z$1000,491),10000),"")</f>
        <v/>
      </c>
    </row>
    <row r="500">
      <c r="B500" s="13" t="str">
        <f>IF($K500="","",492)</f>
        <v/>
      </c>
      <c r="C500" s="13" t="str">
        <f>IF($K500="","",INDEX('Detalle individual'!$A:$A,$K500))</f>
        <v/>
      </c>
      <c r="D500" s="72" t="str">
        <f>IF($K500="","",TRIM(INDEX('Detalle individual'!$B:$B,$K500)))</f>
        <v/>
      </c>
      <c r="E500" s="72" t="str">
        <f>IF($K500="","",TRIM(INDEX('Detalle individual'!$E:$E,$K500)))</f>
        <v/>
      </c>
      <c r="F500" s="72" t="str">
        <f>IF($K500="","",TRIM(INDEX('Detalle individual'!$C:$C,$K500)))</f>
        <v/>
      </c>
      <c r="G500" s="72" t="str">
        <f>IF($K500="","",INDEX('Detalle individual'!$D:$D,$K500))</f>
        <v/>
      </c>
      <c r="H500" s="13" t="str">
        <f>IF($K500="","",INDEX('Detalle individual'!$F:$F,$K500))</f>
        <v/>
      </c>
      <c r="I500" s="20" t="str">
        <f>IF($K500="","",IF(INDEX('Detalle individual'!$F:$F,$K500)="Completado",INDEX('Detalle individual'!$H:$H,$K500),""))</f>
        <v/>
      </c>
      <c r="J500" s="21" t="str">
        <f>IF($K500="","",IF(INDEX('Detalle individual'!$F:$F,$K500)="Completado",INDEX('Detalle individual'!$J:$J,$K500),""))</f>
        <v/>
      </c>
      <c r="K500" t="str">
        <f>IFERROR(MOD(SMALL(Cálculos!$Z$5:$Z$1000,492),10000),"")</f>
        <v/>
      </c>
    </row>
    <row r="501">
      <c r="B501" s="13" t="str">
        <f>IF($K501="","",493)</f>
        <v/>
      </c>
      <c r="C501" s="13" t="str">
        <f>IF($K501="","",INDEX('Detalle individual'!$A:$A,$K501))</f>
        <v/>
      </c>
      <c r="D501" s="72" t="str">
        <f>IF($K501="","",TRIM(INDEX('Detalle individual'!$B:$B,$K501)))</f>
        <v/>
      </c>
      <c r="E501" s="72" t="str">
        <f>IF($K501="","",TRIM(INDEX('Detalle individual'!$E:$E,$K501)))</f>
        <v/>
      </c>
      <c r="F501" s="72" t="str">
        <f>IF($K501="","",TRIM(INDEX('Detalle individual'!$C:$C,$K501)))</f>
        <v/>
      </c>
      <c r="G501" s="72" t="str">
        <f>IF($K501="","",INDEX('Detalle individual'!$D:$D,$K501))</f>
        <v/>
      </c>
      <c r="H501" s="13" t="str">
        <f>IF($K501="","",INDEX('Detalle individual'!$F:$F,$K501))</f>
        <v/>
      </c>
      <c r="I501" s="20" t="str">
        <f>IF($K501="","",IF(INDEX('Detalle individual'!$F:$F,$K501)="Completado",INDEX('Detalle individual'!$H:$H,$K501),""))</f>
        <v/>
      </c>
      <c r="J501" s="21" t="str">
        <f>IF($K501="","",IF(INDEX('Detalle individual'!$F:$F,$K501)="Completado",INDEX('Detalle individual'!$J:$J,$K501),""))</f>
        <v/>
      </c>
      <c r="K501" t="str">
        <f>IFERROR(MOD(SMALL(Cálculos!$Z$5:$Z$1000,493),10000),"")</f>
        <v/>
      </c>
    </row>
    <row r="502">
      <c r="B502" s="13" t="str">
        <f>IF($K502="","",494)</f>
        <v/>
      </c>
      <c r="C502" s="13" t="str">
        <f>IF($K502="","",INDEX('Detalle individual'!$A:$A,$K502))</f>
        <v/>
      </c>
      <c r="D502" s="72" t="str">
        <f>IF($K502="","",TRIM(INDEX('Detalle individual'!$B:$B,$K502)))</f>
        <v/>
      </c>
      <c r="E502" s="72" t="str">
        <f>IF($K502="","",TRIM(INDEX('Detalle individual'!$E:$E,$K502)))</f>
        <v/>
      </c>
      <c r="F502" s="72" t="str">
        <f>IF($K502="","",TRIM(INDEX('Detalle individual'!$C:$C,$K502)))</f>
        <v/>
      </c>
      <c r="G502" s="72" t="str">
        <f>IF($K502="","",INDEX('Detalle individual'!$D:$D,$K502))</f>
        <v/>
      </c>
      <c r="H502" s="13" t="str">
        <f>IF($K502="","",INDEX('Detalle individual'!$F:$F,$K502))</f>
        <v/>
      </c>
      <c r="I502" s="20" t="str">
        <f>IF($K502="","",IF(INDEX('Detalle individual'!$F:$F,$K502)="Completado",INDEX('Detalle individual'!$H:$H,$K502),""))</f>
        <v/>
      </c>
      <c r="J502" s="21" t="str">
        <f>IF($K502="","",IF(INDEX('Detalle individual'!$F:$F,$K502)="Completado",INDEX('Detalle individual'!$J:$J,$K502),""))</f>
        <v/>
      </c>
      <c r="K502" t="str">
        <f>IFERROR(MOD(SMALL(Cálculos!$Z$5:$Z$1000,494),10000),"")</f>
        <v/>
      </c>
    </row>
    <row r="503">
      <c r="B503" s="13" t="str">
        <f>IF($K503="","",495)</f>
        <v/>
      </c>
      <c r="C503" s="13" t="str">
        <f>IF($K503="","",INDEX('Detalle individual'!$A:$A,$K503))</f>
        <v/>
      </c>
      <c r="D503" s="72" t="str">
        <f>IF($K503="","",TRIM(INDEX('Detalle individual'!$B:$B,$K503)))</f>
        <v/>
      </c>
      <c r="E503" s="72" t="str">
        <f>IF($K503="","",TRIM(INDEX('Detalle individual'!$E:$E,$K503)))</f>
        <v/>
      </c>
      <c r="F503" s="72" t="str">
        <f>IF($K503="","",TRIM(INDEX('Detalle individual'!$C:$C,$K503)))</f>
        <v/>
      </c>
      <c r="G503" s="72" t="str">
        <f>IF($K503="","",INDEX('Detalle individual'!$D:$D,$K503))</f>
        <v/>
      </c>
      <c r="H503" s="13" t="str">
        <f>IF($K503="","",INDEX('Detalle individual'!$F:$F,$K503))</f>
        <v/>
      </c>
      <c r="I503" s="20" t="str">
        <f>IF($K503="","",IF(INDEX('Detalle individual'!$F:$F,$K503)="Completado",INDEX('Detalle individual'!$H:$H,$K503),""))</f>
        <v/>
      </c>
      <c r="J503" s="21" t="str">
        <f>IF($K503="","",IF(INDEX('Detalle individual'!$F:$F,$K503)="Completado",INDEX('Detalle individual'!$J:$J,$K503),""))</f>
        <v/>
      </c>
      <c r="K503" t="str">
        <f>IFERROR(MOD(SMALL(Cálculos!$Z$5:$Z$1000,495),10000),"")</f>
        <v/>
      </c>
    </row>
    <row r="504">
      <c r="B504" s="13" t="str">
        <f>IF($K504="","",496)</f>
        <v/>
      </c>
      <c r="C504" s="13" t="str">
        <f>IF($K504="","",INDEX('Detalle individual'!$A:$A,$K504))</f>
        <v/>
      </c>
      <c r="D504" s="72" t="str">
        <f>IF($K504="","",TRIM(INDEX('Detalle individual'!$B:$B,$K504)))</f>
        <v/>
      </c>
      <c r="E504" s="72" t="str">
        <f>IF($K504="","",TRIM(INDEX('Detalle individual'!$E:$E,$K504)))</f>
        <v/>
      </c>
      <c r="F504" s="72" t="str">
        <f>IF($K504="","",TRIM(INDEX('Detalle individual'!$C:$C,$K504)))</f>
        <v/>
      </c>
      <c r="G504" s="72" t="str">
        <f>IF($K504="","",INDEX('Detalle individual'!$D:$D,$K504))</f>
        <v/>
      </c>
      <c r="H504" s="13" t="str">
        <f>IF($K504="","",INDEX('Detalle individual'!$F:$F,$K504))</f>
        <v/>
      </c>
      <c r="I504" s="20" t="str">
        <f>IF($K504="","",IF(INDEX('Detalle individual'!$F:$F,$K504)="Completado",INDEX('Detalle individual'!$H:$H,$K504),""))</f>
        <v/>
      </c>
      <c r="J504" s="21" t="str">
        <f>IF($K504="","",IF(INDEX('Detalle individual'!$F:$F,$K504)="Completado",INDEX('Detalle individual'!$J:$J,$K504),""))</f>
        <v/>
      </c>
      <c r="K504" t="str">
        <f>IFERROR(MOD(SMALL(Cálculos!$Z$5:$Z$1000,496),10000),"")</f>
        <v/>
      </c>
    </row>
    <row r="505">
      <c r="B505" s="13" t="str">
        <f>IF($K505="","",497)</f>
        <v/>
      </c>
      <c r="C505" s="13" t="str">
        <f>IF($K505="","",INDEX('Detalle individual'!$A:$A,$K505))</f>
        <v/>
      </c>
      <c r="D505" s="72" t="str">
        <f>IF($K505="","",TRIM(INDEX('Detalle individual'!$B:$B,$K505)))</f>
        <v/>
      </c>
      <c r="E505" s="72" t="str">
        <f>IF($K505="","",TRIM(INDEX('Detalle individual'!$E:$E,$K505)))</f>
        <v/>
      </c>
      <c r="F505" s="72" t="str">
        <f>IF($K505="","",TRIM(INDEX('Detalle individual'!$C:$C,$K505)))</f>
        <v/>
      </c>
      <c r="G505" s="72" t="str">
        <f>IF($K505="","",INDEX('Detalle individual'!$D:$D,$K505))</f>
        <v/>
      </c>
      <c r="H505" s="13" t="str">
        <f>IF($K505="","",INDEX('Detalle individual'!$F:$F,$K505))</f>
        <v/>
      </c>
      <c r="I505" s="20" t="str">
        <f>IF($K505="","",IF(INDEX('Detalle individual'!$F:$F,$K505)="Completado",INDEX('Detalle individual'!$H:$H,$K505),""))</f>
        <v/>
      </c>
      <c r="J505" s="21" t="str">
        <f>IF($K505="","",IF(INDEX('Detalle individual'!$F:$F,$K505)="Completado",INDEX('Detalle individual'!$J:$J,$K505),""))</f>
        <v/>
      </c>
      <c r="K505" t="str">
        <f>IFERROR(MOD(SMALL(Cálculos!$Z$5:$Z$1000,497),10000),"")</f>
        <v/>
      </c>
    </row>
    <row r="506">
      <c r="B506" s="13" t="str">
        <f>IF($K506="","",498)</f>
        <v/>
      </c>
      <c r="C506" s="13" t="str">
        <f>IF($K506="","",INDEX('Detalle individual'!$A:$A,$K506))</f>
        <v/>
      </c>
      <c r="D506" s="72" t="str">
        <f>IF($K506="","",TRIM(INDEX('Detalle individual'!$B:$B,$K506)))</f>
        <v/>
      </c>
      <c r="E506" s="72" t="str">
        <f>IF($K506="","",TRIM(INDEX('Detalle individual'!$E:$E,$K506)))</f>
        <v/>
      </c>
      <c r="F506" s="72" t="str">
        <f>IF($K506="","",TRIM(INDEX('Detalle individual'!$C:$C,$K506)))</f>
        <v/>
      </c>
      <c r="G506" s="72" t="str">
        <f>IF($K506="","",INDEX('Detalle individual'!$D:$D,$K506))</f>
        <v/>
      </c>
      <c r="H506" s="13" t="str">
        <f>IF($K506="","",INDEX('Detalle individual'!$F:$F,$K506))</f>
        <v/>
      </c>
      <c r="I506" s="20" t="str">
        <f>IF($K506="","",IF(INDEX('Detalle individual'!$F:$F,$K506)="Completado",INDEX('Detalle individual'!$H:$H,$K506),""))</f>
        <v/>
      </c>
      <c r="J506" s="21" t="str">
        <f>IF($K506="","",IF(INDEX('Detalle individual'!$F:$F,$K506)="Completado",INDEX('Detalle individual'!$J:$J,$K506),""))</f>
        <v/>
      </c>
      <c r="K506" t="str">
        <f>IFERROR(MOD(SMALL(Cálculos!$Z$5:$Z$1000,498),10000),"")</f>
        <v/>
      </c>
    </row>
    <row r="507">
      <c r="B507" s="13" t="str">
        <f>IF($K507="","",499)</f>
        <v/>
      </c>
      <c r="C507" s="13" t="str">
        <f>IF($K507="","",INDEX('Detalle individual'!$A:$A,$K507))</f>
        <v/>
      </c>
      <c r="D507" s="72" t="str">
        <f>IF($K507="","",TRIM(INDEX('Detalle individual'!$B:$B,$K507)))</f>
        <v/>
      </c>
      <c r="E507" s="72" t="str">
        <f>IF($K507="","",TRIM(INDEX('Detalle individual'!$E:$E,$K507)))</f>
        <v/>
      </c>
      <c r="F507" s="72" t="str">
        <f>IF($K507="","",TRIM(INDEX('Detalle individual'!$C:$C,$K507)))</f>
        <v/>
      </c>
      <c r="G507" s="72" t="str">
        <f>IF($K507="","",INDEX('Detalle individual'!$D:$D,$K507))</f>
        <v/>
      </c>
      <c r="H507" s="13" t="str">
        <f>IF($K507="","",INDEX('Detalle individual'!$F:$F,$K507))</f>
        <v/>
      </c>
      <c r="I507" s="20" t="str">
        <f>IF($K507="","",IF(INDEX('Detalle individual'!$F:$F,$K507)="Completado",INDEX('Detalle individual'!$H:$H,$K507),""))</f>
        <v/>
      </c>
      <c r="J507" s="21" t="str">
        <f>IF($K507="","",IF(INDEX('Detalle individual'!$F:$F,$K507)="Completado",INDEX('Detalle individual'!$J:$J,$K507),""))</f>
        <v/>
      </c>
      <c r="K507" t="str">
        <f>IFERROR(MOD(SMALL(Cálculos!$Z$5:$Z$1000,499),10000),"")</f>
        <v/>
      </c>
    </row>
    <row r="508">
      <c r="B508" s="13" t="str">
        <f>IF($K508="","",500)</f>
        <v/>
      </c>
      <c r="C508" s="13" t="str">
        <f>IF($K508="","",INDEX('Detalle individual'!$A:$A,$K508))</f>
        <v/>
      </c>
      <c r="D508" s="72" t="str">
        <f>IF($K508="","",TRIM(INDEX('Detalle individual'!$B:$B,$K508)))</f>
        <v/>
      </c>
      <c r="E508" s="72" t="str">
        <f>IF($K508="","",TRIM(INDEX('Detalle individual'!$E:$E,$K508)))</f>
        <v/>
      </c>
      <c r="F508" s="72" t="str">
        <f>IF($K508="","",TRIM(INDEX('Detalle individual'!$C:$C,$K508)))</f>
        <v/>
      </c>
      <c r="G508" s="72" t="str">
        <f>IF($K508="","",INDEX('Detalle individual'!$D:$D,$K508))</f>
        <v/>
      </c>
      <c r="H508" s="13" t="str">
        <f>IF($K508="","",INDEX('Detalle individual'!$F:$F,$K508))</f>
        <v/>
      </c>
      <c r="I508" s="20" t="str">
        <f>IF($K508="","",IF(INDEX('Detalle individual'!$F:$F,$K508)="Completado",INDEX('Detalle individual'!$H:$H,$K508),""))</f>
        <v/>
      </c>
      <c r="J508" s="21" t="str">
        <f>IF($K508="","",IF(INDEX('Detalle individual'!$F:$F,$K508)="Completado",INDEX('Detalle individual'!$J:$J,$K508),""))</f>
        <v/>
      </c>
      <c r="K508" t="str">
        <f>IFERROR(MOD(SMALL(Cálculos!$Z$5:$Z$1000,500),10000),"")</f>
        <v/>
      </c>
    </row>
    <row r="509">
      <c r="B509" s="13" t="str">
        <f>IF($K509="","",501)</f>
        <v/>
      </c>
      <c r="C509" s="13" t="str">
        <f>IF($K509="","",INDEX('Detalle individual'!$A:$A,$K509))</f>
        <v/>
      </c>
      <c r="D509" s="72" t="str">
        <f>IF($K509="","",TRIM(INDEX('Detalle individual'!$B:$B,$K509)))</f>
        <v/>
      </c>
      <c r="E509" s="72" t="str">
        <f>IF($K509="","",TRIM(INDEX('Detalle individual'!$E:$E,$K509)))</f>
        <v/>
      </c>
      <c r="F509" s="72" t="str">
        <f>IF($K509="","",TRIM(INDEX('Detalle individual'!$C:$C,$K509)))</f>
        <v/>
      </c>
      <c r="G509" s="72" t="str">
        <f>IF($K509="","",INDEX('Detalle individual'!$D:$D,$K509))</f>
        <v/>
      </c>
      <c r="H509" s="13" t="str">
        <f>IF($K509="","",INDEX('Detalle individual'!$F:$F,$K509))</f>
        <v/>
      </c>
      <c r="I509" s="20" t="str">
        <f>IF($K509="","",IF(INDEX('Detalle individual'!$F:$F,$K509)="Completado",INDEX('Detalle individual'!$H:$H,$K509),""))</f>
        <v/>
      </c>
      <c r="J509" s="21" t="str">
        <f>IF($K509="","",IF(INDEX('Detalle individual'!$F:$F,$K509)="Completado",INDEX('Detalle individual'!$J:$J,$K509),""))</f>
        <v/>
      </c>
      <c r="K509" t="str">
        <f>IFERROR(MOD(SMALL(Cálculos!$Z$5:$Z$1000,501),10000),"")</f>
        <v/>
      </c>
    </row>
    <row r="510">
      <c r="B510" s="13" t="str">
        <f>IF($K510="","",502)</f>
        <v/>
      </c>
      <c r="C510" s="13" t="str">
        <f>IF($K510="","",INDEX('Detalle individual'!$A:$A,$K510))</f>
        <v/>
      </c>
      <c r="D510" s="72" t="str">
        <f>IF($K510="","",TRIM(INDEX('Detalle individual'!$B:$B,$K510)))</f>
        <v/>
      </c>
      <c r="E510" s="72" t="str">
        <f>IF($K510="","",TRIM(INDEX('Detalle individual'!$E:$E,$K510)))</f>
        <v/>
      </c>
      <c r="F510" s="72" t="str">
        <f>IF($K510="","",TRIM(INDEX('Detalle individual'!$C:$C,$K510)))</f>
        <v/>
      </c>
      <c r="G510" s="72" t="str">
        <f>IF($K510="","",INDEX('Detalle individual'!$D:$D,$K510))</f>
        <v/>
      </c>
      <c r="H510" s="13" t="str">
        <f>IF($K510="","",INDEX('Detalle individual'!$F:$F,$K510))</f>
        <v/>
      </c>
      <c r="I510" s="20" t="str">
        <f>IF($K510="","",IF(INDEX('Detalle individual'!$F:$F,$K510)="Completado",INDEX('Detalle individual'!$H:$H,$K510),""))</f>
        <v/>
      </c>
      <c r="J510" s="21" t="str">
        <f>IF($K510="","",IF(INDEX('Detalle individual'!$F:$F,$K510)="Completado",INDEX('Detalle individual'!$J:$J,$K510),""))</f>
        <v/>
      </c>
      <c r="K510" t="str">
        <f>IFERROR(MOD(SMALL(Cálculos!$Z$5:$Z$1000,502),10000),"")</f>
        <v/>
      </c>
    </row>
    <row r="511">
      <c r="B511" s="13" t="str">
        <f>IF($K511="","",503)</f>
        <v/>
      </c>
      <c r="C511" s="13" t="str">
        <f>IF($K511="","",INDEX('Detalle individual'!$A:$A,$K511))</f>
        <v/>
      </c>
      <c r="D511" s="72" t="str">
        <f>IF($K511="","",TRIM(INDEX('Detalle individual'!$B:$B,$K511)))</f>
        <v/>
      </c>
      <c r="E511" s="72" t="str">
        <f>IF($K511="","",TRIM(INDEX('Detalle individual'!$E:$E,$K511)))</f>
        <v/>
      </c>
      <c r="F511" s="72" t="str">
        <f>IF($K511="","",TRIM(INDEX('Detalle individual'!$C:$C,$K511)))</f>
        <v/>
      </c>
      <c r="G511" s="72" t="str">
        <f>IF($K511="","",INDEX('Detalle individual'!$D:$D,$K511))</f>
        <v/>
      </c>
      <c r="H511" s="13" t="str">
        <f>IF($K511="","",INDEX('Detalle individual'!$F:$F,$K511))</f>
        <v/>
      </c>
      <c r="I511" s="20" t="str">
        <f>IF($K511="","",IF(INDEX('Detalle individual'!$F:$F,$K511)="Completado",INDEX('Detalle individual'!$H:$H,$K511),""))</f>
        <v/>
      </c>
      <c r="J511" s="21" t="str">
        <f>IF($K511="","",IF(INDEX('Detalle individual'!$F:$F,$K511)="Completado",INDEX('Detalle individual'!$J:$J,$K511),""))</f>
        <v/>
      </c>
      <c r="K511" t="str">
        <f>IFERROR(MOD(SMALL(Cálculos!$Z$5:$Z$1000,503),10000),"")</f>
        <v/>
      </c>
    </row>
    <row r="512">
      <c r="B512" s="13" t="str">
        <f>IF($K512="","",504)</f>
        <v/>
      </c>
      <c r="C512" s="13" t="str">
        <f>IF($K512="","",INDEX('Detalle individual'!$A:$A,$K512))</f>
        <v/>
      </c>
      <c r="D512" s="72" t="str">
        <f>IF($K512="","",TRIM(INDEX('Detalle individual'!$B:$B,$K512)))</f>
        <v/>
      </c>
      <c r="E512" s="72" t="str">
        <f>IF($K512="","",TRIM(INDEX('Detalle individual'!$E:$E,$K512)))</f>
        <v/>
      </c>
      <c r="F512" s="72" t="str">
        <f>IF($K512="","",TRIM(INDEX('Detalle individual'!$C:$C,$K512)))</f>
        <v/>
      </c>
      <c r="G512" s="72" t="str">
        <f>IF($K512="","",INDEX('Detalle individual'!$D:$D,$K512))</f>
        <v/>
      </c>
      <c r="H512" s="13" t="str">
        <f>IF($K512="","",INDEX('Detalle individual'!$F:$F,$K512))</f>
        <v/>
      </c>
      <c r="I512" s="20" t="str">
        <f>IF($K512="","",IF(INDEX('Detalle individual'!$F:$F,$K512)="Completado",INDEX('Detalle individual'!$H:$H,$K512),""))</f>
        <v/>
      </c>
      <c r="J512" s="21" t="str">
        <f>IF($K512="","",IF(INDEX('Detalle individual'!$F:$F,$K512)="Completado",INDEX('Detalle individual'!$J:$J,$K512),""))</f>
        <v/>
      </c>
      <c r="K512" t="str">
        <f>IFERROR(MOD(SMALL(Cálculos!$Z$5:$Z$1000,504),10000),"")</f>
        <v/>
      </c>
    </row>
    <row r="513">
      <c r="B513" s="13" t="str">
        <f>IF($K513="","",505)</f>
        <v/>
      </c>
      <c r="C513" s="13" t="str">
        <f>IF($K513="","",INDEX('Detalle individual'!$A:$A,$K513))</f>
        <v/>
      </c>
      <c r="D513" s="72" t="str">
        <f>IF($K513="","",TRIM(INDEX('Detalle individual'!$B:$B,$K513)))</f>
        <v/>
      </c>
      <c r="E513" s="72" t="str">
        <f>IF($K513="","",TRIM(INDEX('Detalle individual'!$E:$E,$K513)))</f>
        <v/>
      </c>
      <c r="F513" s="72" t="str">
        <f>IF($K513="","",TRIM(INDEX('Detalle individual'!$C:$C,$K513)))</f>
        <v/>
      </c>
      <c r="G513" s="72" t="str">
        <f>IF($K513="","",INDEX('Detalle individual'!$D:$D,$K513))</f>
        <v/>
      </c>
      <c r="H513" s="13" t="str">
        <f>IF($K513="","",INDEX('Detalle individual'!$F:$F,$K513))</f>
        <v/>
      </c>
      <c r="I513" s="20" t="str">
        <f>IF($K513="","",IF(INDEX('Detalle individual'!$F:$F,$K513)="Completado",INDEX('Detalle individual'!$H:$H,$K513),""))</f>
        <v/>
      </c>
      <c r="J513" s="21" t="str">
        <f>IF($K513="","",IF(INDEX('Detalle individual'!$F:$F,$K513)="Completado",INDEX('Detalle individual'!$J:$J,$K513),""))</f>
        <v/>
      </c>
      <c r="K513" t="str">
        <f>IFERROR(MOD(SMALL(Cálculos!$Z$5:$Z$1000,505),10000),"")</f>
        <v/>
      </c>
    </row>
    <row r="514">
      <c r="B514" s="13" t="str">
        <f>IF($K514="","",506)</f>
        <v/>
      </c>
      <c r="C514" s="13" t="str">
        <f>IF($K514="","",INDEX('Detalle individual'!$A:$A,$K514))</f>
        <v/>
      </c>
      <c r="D514" s="72" t="str">
        <f>IF($K514="","",TRIM(INDEX('Detalle individual'!$B:$B,$K514)))</f>
        <v/>
      </c>
      <c r="E514" s="72" t="str">
        <f>IF($K514="","",TRIM(INDEX('Detalle individual'!$E:$E,$K514)))</f>
        <v/>
      </c>
      <c r="F514" s="72" t="str">
        <f>IF($K514="","",TRIM(INDEX('Detalle individual'!$C:$C,$K514)))</f>
        <v/>
      </c>
      <c r="G514" s="72" t="str">
        <f>IF($K514="","",INDEX('Detalle individual'!$D:$D,$K514))</f>
        <v/>
      </c>
      <c r="H514" s="13" t="str">
        <f>IF($K514="","",INDEX('Detalle individual'!$F:$F,$K514))</f>
        <v/>
      </c>
      <c r="I514" s="20" t="str">
        <f>IF($K514="","",IF(INDEX('Detalle individual'!$F:$F,$K514)="Completado",INDEX('Detalle individual'!$H:$H,$K514),""))</f>
        <v/>
      </c>
      <c r="J514" s="21" t="str">
        <f>IF($K514="","",IF(INDEX('Detalle individual'!$F:$F,$K514)="Completado",INDEX('Detalle individual'!$J:$J,$K514),""))</f>
        <v/>
      </c>
      <c r="K514" t="str">
        <f>IFERROR(MOD(SMALL(Cálculos!$Z$5:$Z$1000,506),10000),"")</f>
        <v/>
      </c>
    </row>
    <row r="515">
      <c r="B515" s="13" t="str">
        <f>IF($K515="","",507)</f>
        <v/>
      </c>
      <c r="C515" s="13" t="str">
        <f>IF($K515="","",INDEX('Detalle individual'!$A:$A,$K515))</f>
        <v/>
      </c>
      <c r="D515" s="72" t="str">
        <f>IF($K515="","",TRIM(INDEX('Detalle individual'!$B:$B,$K515)))</f>
        <v/>
      </c>
      <c r="E515" s="72" t="str">
        <f>IF($K515="","",TRIM(INDEX('Detalle individual'!$E:$E,$K515)))</f>
        <v/>
      </c>
      <c r="F515" s="72" t="str">
        <f>IF($K515="","",TRIM(INDEX('Detalle individual'!$C:$C,$K515)))</f>
        <v/>
      </c>
      <c r="G515" s="72" t="str">
        <f>IF($K515="","",INDEX('Detalle individual'!$D:$D,$K515))</f>
        <v/>
      </c>
      <c r="H515" s="13" t="str">
        <f>IF($K515="","",INDEX('Detalle individual'!$F:$F,$K515))</f>
        <v/>
      </c>
      <c r="I515" s="20" t="str">
        <f>IF($K515="","",IF(INDEX('Detalle individual'!$F:$F,$K515)="Completado",INDEX('Detalle individual'!$H:$H,$K515),""))</f>
        <v/>
      </c>
      <c r="J515" s="21" t="str">
        <f>IF($K515="","",IF(INDEX('Detalle individual'!$F:$F,$K515)="Completado",INDEX('Detalle individual'!$J:$J,$K515),""))</f>
        <v/>
      </c>
      <c r="K515" t="str">
        <f>IFERROR(MOD(SMALL(Cálculos!$Z$5:$Z$1000,507),10000),"")</f>
        <v/>
      </c>
    </row>
    <row r="516">
      <c r="B516" s="13" t="str">
        <f>IF($K516="","",508)</f>
        <v/>
      </c>
      <c r="C516" s="13" t="str">
        <f>IF($K516="","",INDEX('Detalle individual'!$A:$A,$K516))</f>
        <v/>
      </c>
      <c r="D516" s="72" t="str">
        <f>IF($K516="","",TRIM(INDEX('Detalle individual'!$B:$B,$K516)))</f>
        <v/>
      </c>
      <c r="E516" s="72" t="str">
        <f>IF($K516="","",TRIM(INDEX('Detalle individual'!$E:$E,$K516)))</f>
        <v/>
      </c>
      <c r="F516" s="72" t="str">
        <f>IF($K516="","",TRIM(INDEX('Detalle individual'!$C:$C,$K516)))</f>
        <v/>
      </c>
      <c r="G516" s="72" t="str">
        <f>IF($K516="","",INDEX('Detalle individual'!$D:$D,$K516))</f>
        <v/>
      </c>
      <c r="H516" s="13" t="str">
        <f>IF($K516="","",INDEX('Detalle individual'!$F:$F,$K516))</f>
        <v/>
      </c>
      <c r="I516" s="20" t="str">
        <f>IF($K516="","",IF(INDEX('Detalle individual'!$F:$F,$K516)="Completado",INDEX('Detalle individual'!$H:$H,$K516),""))</f>
        <v/>
      </c>
      <c r="J516" s="21" t="str">
        <f>IF($K516="","",IF(INDEX('Detalle individual'!$F:$F,$K516)="Completado",INDEX('Detalle individual'!$J:$J,$K516),""))</f>
        <v/>
      </c>
      <c r="K516" t="str">
        <f>IFERROR(MOD(SMALL(Cálculos!$Z$5:$Z$1000,508),10000),"")</f>
        <v/>
      </c>
    </row>
    <row r="517">
      <c r="B517" s="13" t="str">
        <f>IF($K517="","",509)</f>
        <v/>
      </c>
      <c r="C517" s="13" t="str">
        <f>IF($K517="","",INDEX('Detalle individual'!$A:$A,$K517))</f>
        <v/>
      </c>
      <c r="D517" s="72" t="str">
        <f>IF($K517="","",TRIM(INDEX('Detalle individual'!$B:$B,$K517)))</f>
        <v/>
      </c>
      <c r="E517" s="72" t="str">
        <f>IF($K517="","",TRIM(INDEX('Detalle individual'!$E:$E,$K517)))</f>
        <v/>
      </c>
      <c r="F517" s="72" t="str">
        <f>IF($K517="","",TRIM(INDEX('Detalle individual'!$C:$C,$K517)))</f>
        <v/>
      </c>
      <c r="G517" s="72" t="str">
        <f>IF($K517="","",INDEX('Detalle individual'!$D:$D,$K517))</f>
        <v/>
      </c>
      <c r="H517" s="13" t="str">
        <f>IF($K517="","",INDEX('Detalle individual'!$F:$F,$K517))</f>
        <v/>
      </c>
      <c r="I517" s="20" t="str">
        <f>IF($K517="","",IF(INDEX('Detalle individual'!$F:$F,$K517)="Completado",INDEX('Detalle individual'!$H:$H,$K517),""))</f>
        <v/>
      </c>
      <c r="J517" s="21" t="str">
        <f>IF($K517="","",IF(INDEX('Detalle individual'!$F:$F,$K517)="Completado",INDEX('Detalle individual'!$J:$J,$K517),""))</f>
        <v/>
      </c>
      <c r="K517" t="str">
        <f>IFERROR(MOD(SMALL(Cálculos!$Z$5:$Z$1000,509),10000),"")</f>
        <v/>
      </c>
    </row>
    <row r="518">
      <c r="B518" s="13" t="str">
        <f>IF($K518="","",510)</f>
        <v/>
      </c>
      <c r="C518" s="13" t="str">
        <f>IF($K518="","",INDEX('Detalle individual'!$A:$A,$K518))</f>
        <v/>
      </c>
      <c r="D518" s="72" t="str">
        <f>IF($K518="","",TRIM(INDEX('Detalle individual'!$B:$B,$K518)))</f>
        <v/>
      </c>
      <c r="E518" s="72" t="str">
        <f>IF($K518="","",TRIM(INDEX('Detalle individual'!$E:$E,$K518)))</f>
        <v/>
      </c>
      <c r="F518" s="72" t="str">
        <f>IF($K518="","",TRIM(INDEX('Detalle individual'!$C:$C,$K518)))</f>
        <v/>
      </c>
      <c r="G518" s="72" t="str">
        <f>IF($K518="","",INDEX('Detalle individual'!$D:$D,$K518))</f>
        <v/>
      </c>
      <c r="H518" s="13" t="str">
        <f>IF($K518="","",INDEX('Detalle individual'!$F:$F,$K518))</f>
        <v/>
      </c>
      <c r="I518" s="20" t="str">
        <f>IF($K518="","",IF(INDEX('Detalle individual'!$F:$F,$K518)="Completado",INDEX('Detalle individual'!$H:$H,$K518),""))</f>
        <v/>
      </c>
      <c r="J518" s="21" t="str">
        <f>IF($K518="","",IF(INDEX('Detalle individual'!$F:$F,$K518)="Completado",INDEX('Detalle individual'!$J:$J,$K518),""))</f>
        <v/>
      </c>
      <c r="K518" t="str">
        <f>IFERROR(MOD(SMALL(Cálculos!$Z$5:$Z$1000,510),10000),"")</f>
        <v/>
      </c>
    </row>
    <row r="519">
      <c r="B519" s="13" t="str">
        <f>IF($K519="","",511)</f>
        <v/>
      </c>
      <c r="C519" s="13" t="str">
        <f>IF($K519="","",INDEX('Detalle individual'!$A:$A,$K519))</f>
        <v/>
      </c>
      <c r="D519" s="72" t="str">
        <f>IF($K519="","",TRIM(INDEX('Detalle individual'!$B:$B,$K519)))</f>
        <v/>
      </c>
      <c r="E519" s="72" t="str">
        <f>IF($K519="","",TRIM(INDEX('Detalle individual'!$E:$E,$K519)))</f>
        <v/>
      </c>
      <c r="F519" s="72" t="str">
        <f>IF($K519="","",TRIM(INDEX('Detalle individual'!$C:$C,$K519)))</f>
        <v/>
      </c>
      <c r="G519" s="72" t="str">
        <f>IF($K519="","",INDEX('Detalle individual'!$D:$D,$K519))</f>
        <v/>
      </c>
      <c r="H519" s="13" t="str">
        <f>IF($K519="","",INDEX('Detalle individual'!$F:$F,$K519))</f>
        <v/>
      </c>
      <c r="I519" s="20" t="str">
        <f>IF($K519="","",IF(INDEX('Detalle individual'!$F:$F,$K519)="Completado",INDEX('Detalle individual'!$H:$H,$K519),""))</f>
        <v/>
      </c>
      <c r="J519" s="21" t="str">
        <f>IF($K519="","",IF(INDEX('Detalle individual'!$F:$F,$K519)="Completado",INDEX('Detalle individual'!$J:$J,$K519),""))</f>
        <v/>
      </c>
      <c r="K519" t="str">
        <f>IFERROR(MOD(SMALL(Cálculos!$Z$5:$Z$1000,511),10000),"")</f>
        <v/>
      </c>
    </row>
    <row r="520">
      <c r="B520" s="13" t="str">
        <f>IF($K520="","",512)</f>
        <v/>
      </c>
      <c r="C520" s="13" t="str">
        <f>IF($K520="","",INDEX('Detalle individual'!$A:$A,$K520))</f>
        <v/>
      </c>
      <c r="D520" s="72" t="str">
        <f>IF($K520="","",TRIM(INDEX('Detalle individual'!$B:$B,$K520)))</f>
        <v/>
      </c>
      <c r="E520" s="72" t="str">
        <f>IF($K520="","",TRIM(INDEX('Detalle individual'!$E:$E,$K520)))</f>
        <v/>
      </c>
      <c r="F520" s="72" t="str">
        <f>IF($K520="","",TRIM(INDEX('Detalle individual'!$C:$C,$K520)))</f>
        <v/>
      </c>
      <c r="G520" s="72" t="str">
        <f>IF($K520="","",INDEX('Detalle individual'!$D:$D,$K520))</f>
        <v/>
      </c>
      <c r="H520" s="13" t="str">
        <f>IF($K520="","",INDEX('Detalle individual'!$F:$F,$K520))</f>
        <v/>
      </c>
      <c r="I520" s="20" t="str">
        <f>IF($K520="","",IF(INDEX('Detalle individual'!$F:$F,$K520)="Completado",INDEX('Detalle individual'!$H:$H,$K520),""))</f>
        <v/>
      </c>
      <c r="J520" s="21" t="str">
        <f>IF($K520="","",IF(INDEX('Detalle individual'!$F:$F,$K520)="Completado",INDEX('Detalle individual'!$J:$J,$K520),""))</f>
        <v/>
      </c>
      <c r="K520" t="str">
        <f>IFERROR(MOD(SMALL(Cálculos!$Z$5:$Z$1000,512),10000),"")</f>
        <v/>
      </c>
    </row>
    <row r="521">
      <c r="B521" s="13" t="str">
        <f>IF($K521="","",513)</f>
        <v/>
      </c>
      <c r="C521" s="13" t="str">
        <f>IF($K521="","",INDEX('Detalle individual'!$A:$A,$K521))</f>
        <v/>
      </c>
      <c r="D521" s="72" t="str">
        <f>IF($K521="","",TRIM(INDEX('Detalle individual'!$B:$B,$K521)))</f>
        <v/>
      </c>
      <c r="E521" s="72" t="str">
        <f>IF($K521="","",TRIM(INDEX('Detalle individual'!$E:$E,$K521)))</f>
        <v/>
      </c>
      <c r="F521" s="72" t="str">
        <f>IF($K521="","",TRIM(INDEX('Detalle individual'!$C:$C,$K521)))</f>
        <v/>
      </c>
      <c r="G521" s="72" t="str">
        <f>IF($K521="","",INDEX('Detalle individual'!$D:$D,$K521))</f>
        <v/>
      </c>
      <c r="H521" s="13" t="str">
        <f>IF($K521="","",INDEX('Detalle individual'!$F:$F,$K521))</f>
        <v/>
      </c>
      <c r="I521" s="20" t="str">
        <f>IF($K521="","",IF(INDEX('Detalle individual'!$F:$F,$K521)="Completado",INDEX('Detalle individual'!$H:$H,$K521),""))</f>
        <v/>
      </c>
      <c r="J521" s="21" t="str">
        <f>IF($K521="","",IF(INDEX('Detalle individual'!$F:$F,$K521)="Completado",INDEX('Detalle individual'!$J:$J,$K521),""))</f>
        <v/>
      </c>
      <c r="K521" t="str">
        <f>IFERROR(MOD(SMALL(Cálculos!$Z$5:$Z$1000,513),10000),"")</f>
        <v/>
      </c>
    </row>
    <row r="522">
      <c r="B522" s="13" t="str">
        <f>IF($K522="","",514)</f>
        <v/>
      </c>
      <c r="C522" s="13" t="str">
        <f>IF($K522="","",INDEX('Detalle individual'!$A:$A,$K522))</f>
        <v/>
      </c>
      <c r="D522" s="72" t="str">
        <f>IF($K522="","",TRIM(INDEX('Detalle individual'!$B:$B,$K522)))</f>
        <v/>
      </c>
      <c r="E522" s="72" t="str">
        <f>IF($K522="","",TRIM(INDEX('Detalle individual'!$E:$E,$K522)))</f>
        <v/>
      </c>
      <c r="F522" s="72" t="str">
        <f>IF($K522="","",TRIM(INDEX('Detalle individual'!$C:$C,$K522)))</f>
        <v/>
      </c>
      <c r="G522" s="72" t="str">
        <f>IF($K522="","",INDEX('Detalle individual'!$D:$D,$K522))</f>
        <v/>
      </c>
      <c r="H522" s="13" t="str">
        <f>IF($K522="","",INDEX('Detalle individual'!$F:$F,$K522))</f>
        <v/>
      </c>
      <c r="I522" s="20" t="str">
        <f>IF($K522="","",IF(INDEX('Detalle individual'!$F:$F,$K522)="Completado",INDEX('Detalle individual'!$H:$H,$K522),""))</f>
        <v/>
      </c>
      <c r="J522" s="21" t="str">
        <f>IF($K522="","",IF(INDEX('Detalle individual'!$F:$F,$K522)="Completado",INDEX('Detalle individual'!$J:$J,$K522),""))</f>
        <v/>
      </c>
      <c r="K522" t="str">
        <f>IFERROR(MOD(SMALL(Cálculos!$Z$5:$Z$1000,514),10000),"")</f>
        <v/>
      </c>
    </row>
    <row r="523">
      <c r="B523" s="13" t="str">
        <f>IF($K523="","",515)</f>
        <v/>
      </c>
      <c r="C523" s="13" t="str">
        <f>IF($K523="","",INDEX('Detalle individual'!$A:$A,$K523))</f>
        <v/>
      </c>
      <c r="D523" s="72" t="str">
        <f>IF($K523="","",TRIM(INDEX('Detalle individual'!$B:$B,$K523)))</f>
        <v/>
      </c>
      <c r="E523" s="72" t="str">
        <f>IF($K523="","",TRIM(INDEX('Detalle individual'!$E:$E,$K523)))</f>
        <v/>
      </c>
      <c r="F523" s="72" t="str">
        <f>IF($K523="","",TRIM(INDEX('Detalle individual'!$C:$C,$K523)))</f>
        <v/>
      </c>
      <c r="G523" s="72" t="str">
        <f>IF($K523="","",INDEX('Detalle individual'!$D:$D,$K523))</f>
        <v/>
      </c>
      <c r="H523" s="13" t="str">
        <f>IF($K523="","",INDEX('Detalle individual'!$F:$F,$K523))</f>
        <v/>
      </c>
      <c r="I523" s="20" t="str">
        <f>IF($K523="","",IF(INDEX('Detalle individual'!$F:$F,$K523)="Completado",INDEX('Detalle individual'!$H:$H,$K523),""))</f>
        <v/>
      </c>
      <c r="J523" s="21" t="str">
        <f>IF($K523="","",IF(INDEX('Detalle individual'!$F:$F,$K523)="Completado",INDEX('Detalle individual'!$J:$J,$K523),""))</f>
        <v/>
      </c>
      <c r="K523" t="str">
        <f>IFERROR(MOD(SMALL(Cálculos!$Z$5:$Z$1000,515),10000),"")</f>
        <v/>
      </c>
    </row>
    <row r="524">
      <c r="B524" s="13" t="str">
        <f>IF($K524="","",516)</f>
        <v/>
      </c>
      <c r="C524" s="13" t="str">
        <f>IF($K524="","",INDEX('Detalle individual'!$A:$A,$K524))</f>
        <v/>
      </c>
      <c r="D524" s="72" t="str">
        <f>IF($K524="","",TRIM(INDEX('Detalle individual'!$B:$B,$K524)))</f>
        <v/>
      </c>
      <c r="E524" s="72" t="str">
        <f>IF($K524="","",TRIM(INDEX('Detalle individual'!$E:$E,$K524)))</f>
        <v/>
      </c>
      <c r="F524" s="72" t="str">
        <f>IF($K524="","",TRIM(INDEX('Detalle individual'!$C:$C,$K524)))</f>
        <v/>
      </c>
      <c r="G524" s="72" t="str">
        <f>IF($K524="","",INDEX('Detalle individual'!$D:$D,$K524))</f>
        <v/>
      </c>
      <c r="H524" s="13" t="str">
        <f>IF($K524="","",INDEX('Detalle individual'!$F:$F,$K524))</f>
        <v/>
      </c>
      <c r="I524" s="20" t="str">
        <f>IF($K524="","",IF(INDEX('Detalle individual'!$F:$F,$K524)="Completado",INDEX('Detalle individual'!$H:$H,$K524),""))</f>
        <v/>
      </c>
      <c r="J524" s="21" t="str">
        <f>IF($K524="","",IF(INDEX('Detalle individual'!$F:$F,$K524)="Completado",INDEX('Detalle individual'!$J:$J,$K524),""))</f>
        <v/>
      </c>
      <c r="K524" t="str">
        <f>IFERROR(MOD(SMALL(Cálculos!$Z$5:$Z$1000,516),10000),"")</f>
        <v/>
      </c>
    </row>
    <row r="525">
      <c r="B525" s="13" t="str">
        <f>IF($K525="","",517)</f>
        <v/>
      </c>
      <c r="C525" s="13" t="str">
        <f>IF($K525="","",INDEX('Detalle individual'!$A:$A,$K525))</f>
        <v/>
      </c>
      <c r="D525" s="72" t="str">
        <f>IF($K525="","",TRIM(INDEX('Detalle individual'!$B:$B,$K525)))</f>
        <v/>
      </c>
      <c r="E525" s="72" t="str">
        <f>IF($K525="","",TRIM(INDEX('Detalle individual'!$E:$E,$K525)))</f>
        <v/>
      </c>
      <c r="F525" s="72" t="str">
        <f>IF($K525="","",TRIM(INDEX('Detalle individual'!$C:$C,$K525)))</f>
        <v/>
      </c>
      <c r="G525" s="72" t="str">
        <f>IF($K525="","",INDEX('Detalle individual'!$D:$D,$K525))</f>
        <v/>
      </c>
      <c r="H525" s="13" t="str">
        <f>IF($K525="","",INDEX('Detalle individual'!$F:$F,$K525))</f>
        <v/>
      </c>
      <c r="I525" s="20" t="str">
        <f>IF($K525="","",IF(INDEX('Detalle individual'!$F:$F,$K525)="Completado",INDEX('Detalle individual'!$H:$H,$K525),""))</f>
        <v/>
      </c>
      <c r="J525" s="21" t="str">
        <f>IF($K525="","",IF(INDEX('Detalle individual'!$F:$F,$K525)="Completado",INDEX('Detalle individual'!$J:$J,$K525),""))</f>
        <v/>
      </c>
      <c r="K525" t="str">
        <f>IFERROR(MOD(SMALL(Cálculos!$Z$5:$Z$1000,517),10000),"")</f>
        <v/>
      </c>
    </row>
    <row r="526">
      <c r="B526" s="13" t="str">
        <f>IF($K526="","",518)</f>
        <v/>
      </c>
      <c r="C526" s="13" t="str">
        <f>IF($K526="","",INDEX('Detalle individual'!$A:$A,$K526))</f>
        <v/>
      </c>
      <c r="D526" s="72" t="str">
        <f>IF($K526="","",TRIM(INDEX('Detalle individual'!$B:$B,$K526)))</f>
        <v/>
      </c>
      <c r="E526" s="72" t="str">
        <f>IF($K526="","",TRIM(INDEX('Detalle individual'!$E:$E,$K526)))</f>
        <v/>
      </c>
      <c r="F526" s="72" t="str">
        <f>IF($K526="","",TRIM(INDEX('Detalle individual'!$C:$C,$K526)))</f>
        <v/>
      </c>
      <c r="G526" s="72" t="str">
        <f>IF($K526="","",INDEX('Detalle individual'!$D:$D,$K526))</f>
        <v/>
      </c>
      <c r="H526" s="13" t="str">
        <f>IF($K526="","",INDEX('Detalle individual'!$F:$F,$K526))</f>
        <v/>
      </c>
      <c r="I526" s="20" t="str">
        <f>IF($K526="","",IF(INDEX('Detalle individual'!$F:$F,$K526)="Completado",INDEX('Detalle individual'!$H:$H,$K526),""))</f>
        <v/>
      </c>
      <c r="J526" s="21" t="str">
        <f>IF($K526="","",IF(INDEX('Detalle individual'!$F:$F,$K526)="Completado",INDEX('Detalle individual'!$J:$J,$K526),""))</f>
        <v/>
      </c>
      <c r="K526" t="str">
        <f>IFERROR(MOD(SMALL(Cálculos!$Z$5:$Z$1000,518),10000),"")</f>
        <v/>
      </c>
    </row>
    <row r="527">
      <c r="B527" s="13" t="str">
        <f>IF($K527="","",519)</f>
        <v/>
      </c>
      <c r="C527" s="13" t="str">
        <f>IF($K527="","",INDEX('Detalle individual'!$A:$A,$K527))</f>
        <v/>
      </c>
      <c r="D527" s="72" t="str">
        <f>IF($K527="","",TRIM(INDEX('Detalle individual'!$B:$B,$K527)))</f>
        <v/>
      </c>
      <c r="E527" s="72" t="str">
        <f>IF($K527="","",TRIM(INDEX('Detalle individual'!$E:$E,$K527)))</f>
        <v/>
      </c>
      <c r="F527" s="72" t="str">
        <f>IF($K527="","",TRIM(INDEX('Detalle individual'!$C:$C,$K527)))</f>
        <v/>
      </c>
      <c r="G527" s="72" t="str">
        <f>IF($K527="","",INDEX('Detalle individual'!$D:$D,$K527))</f>
        <v/>
      </c>
      <c r="H527" s="13" t="str">
        <f>IF($K527="","",INDEX('Detalle individual'!$F:$F,$K527))</f>
        <v/>
      </c>
      <c r="I527" s="20" t="str">
        <f>IF($K527="","",IF(INDEX('Detalle individual'!$F:$F,$K527)="Completado",INDEX('Detalle individual'!$H:$H,$K527),""))</f>
        <v/>
      </c>
      <c r="J527" s="21" t="str">
        <f>IF($K527="","",IF(INDEX('Detalle individual'!$F:$F,$K527)="Completado",INDEX('Detalle individual'!$J:$J,$K527),""))</f>
        <v/>
      </c>
      <c r="K527" t="str">
        <f>IFERROR(MOD(SMALL(Cálculos!$Z$5:$Z$1000,519),10000),"")</f>
        <v/>
      </c>
    </row>
    <row r="528">
      <c r="B528" s="13" t="str">
        <f>IF($K528="","",520)</f>
        <v/>
      </c>
      <c r="C528" s="13" t="str">
        <f>IF($K528="","",INDEX('Detalle individual'!$A:$A,$K528))</f>
        <v/>
      </c>
      <c r="D528" s="72" t="str">
        <f>IF($K528="","",TRIM(INDEX('Detalle individual'!$B:$B,$K528)))</f>
        <v/>
      </c>
      <c r="E528" s="72" t="str">
        <f>IF($K528="","",TRIM(INDEX('Detalle individual'!$E:$E,$K528)))</f>
        <v/>
      </c>
      <c r="F528" s="72" t="str">
        <f>IF($K528="","",TRIM(INDEX('Detalle individual'!$C:$C,$K528)))</f>
        <v/>
      </c>
      <c r="G528" s="72" t="str">
        <f>IF($K528="","",INDEX('Detalle individual'!$D:$D,$K528))</f>
        <v/>
      </c>
      <c r="H528" s="13" t="str">
        <f>IF($K528="","",INDEX('Detalle individual'!$F:$F,$K528))</f>
        <v/>
      </c>
      <c r="I528" s="20" t="str">
        <f>IF($K528="","",IF(INDEX('Detalle individual'!$F:$F,$K528)="Completado",INDEX('Detalle individual'!$H:$H,$K528),""))</f>
        <v/>
      </c>
      <c r="J528" s="21" t="str">
        <f>IF($K528="","",IF(INDEX('Detalle individual'!$F:$F,$K528)="Completado",INDEX('Detalle individual'!$J:$J,$K528),""))</f>
        <v/>
      </c>
      <c r="K528" t="str">
        <f>IFERROR(MOD(SMALL(Cálculos!$Z$5:$Z$1000,520),10000),"")</f>
        <v/>
      </c>
    </row>
    <row r="529">
      <c r="B529" s="13" t="str">
        <f>IF($K529="","",521)</f>
        <v/>
      </c>
      <c r="C529" s="13" t="str">
        <f>IF($K529="","",INDEX('Detalle individual'!$A:$A,$K529))</f>
        <v/>
      </c>
      <c r="D529" s="72" t="str">
        <f>IF($K529="","",TRIM(INDEX('Detalle individual'!$B:$B,$K529)))</f>
        <v/>
      </c>
      <c r="E529" s="72" t="str">
        <f>IF($K529="","",TRIM(INDEX('Detalle individual'!$E:$E,$K529)))</f>
        <v/>
      </c>
      <c r="F529" s="72" t="str">
        <f>IF($K529="","",TRIM(INDEX('Detalle individual'!$C:$C,$K529)))</f>
        <v/>
      </c>
      <c r="G529" s="72" t="str">
        <f>IF($K529="","",INDEX('Detalle individual'!$D:$D,$K529))</f>
        <v/>
      </c>
      <c r="H529" s="13" t="str">
        <f>IF($K529="","",INDEX('Detalle individual'!$F:$F,$K529))</f>
        <v/>
      </c>
      <c r="I529" s="20" t="str">
        <f>IF($K529="","",IF(INDEX('Detalle individual'!$F:$F,$K529)="Completado",INDEX('Detalle individual'!$H:$H,$K529),""))</f>
        <v/>
      </c>
      <c r="J529" s="21" t="str">
        <f>IF($K529="","",IF(INDEX('Detalle individual'!$F:$F,$K529)="Completado",INDEX('Detalle individual'!$J:$J,$K529),""))</f>
        <v/>
      </c>
      <c r="K529" t="str">
        <f>IFERROR(MOD(SMALL(Cálculos!$Z$5:$Z$1000,521),10000),"")</f>
        <v/>
      </c>
    </row>
    <row r="530">
      <c r="B530" s="13" t="str">
        <f>IF($K530="","",522)</f>
        <v/>
      </c>
      <c r="C530" s="13" t="str">
        <f>IF($K530="","",INDEX('Detalle individual'!$A:$A,$K530))</f>
        <v/>
      </c>
      <c r="D530" s="72" t="str">
        <f>IF($K530="","",TRIM(INDEX('Detalle individual'!$B:$B,$K530)))</f>
        <v/>
      </c>
      <c r="E530" s="72" t="str">
        <f>IF($K530="","",TRIM(INDEX('Detalle individual'!$E:$E,$K530)))</f>
        <v/>
      </c>
      <c r="F530" s="72" t="str">
        <f>IF($K530="","",TRIM(INDEX('Detalle individual'!$C:$C,$K530)))</f>
        <v/>
      </c>
      <c r="G530" s="72" t="str">
        <f>IF($K530="","",INDEX('Detalle individual'!$D:$D,$K530))</f>
        <v/>
      </c>
      <c r="H530" s="13" t="str">
        <f>IF($K530="","",INDEX('Detalle individual'!$F:$F,$K530))</f>
        <v/>
      </c>
      <c r="I530" s="20" t="str">
        <f>IF($K530="","",IF(INDEX('Detalle individual'!$F:$F,$K530)="Completado",INDEX('Detalle individual'!$H:$H,$K530),""))</f>
        <v/>
      </c>
      <c r="J530" s="21" t="str">
        <f>IF($K530="","",IF(INDEX('Detalle individual'!$F:$F,$K530)="Completado",INDEX('Detalle individual'!$J:$J,$K530),""))</f>
        <v/>
      </c>
      <c r="K530" t="str">
        <f>IFERROR(MOD(SMALL(Cálculos!$Z$5:$Z$1000,522),10000),"")</f>
        <v/>
      </c>
    </row>
    <row r="531">
      <c r="B531" s="13" t="str">
        <f>IF($K531="","",523)</f>
        <v/>
      </c>
      <c r="C531" s="13" t="str">
        <f>IF($K531="","",INDEX('Detalle individual'!$A:$A,$K531))</f>
        <v/>
      </c>
      <c r="D531" s="72" t="str">
        <f>IF($K531="","",TRIM(INDEX('Detalle individual'!$B:$B,$K531)))</f>
        <v/>
      </c>
      <c r="E531" s="72" t="str">
        <f>IF($K531="","",TRIM(INDEX('Detalle individual'!$E:$E,$K531)))</f>
        <v/>
      </c>
      <c r="F531" s="72" t="str">
        <f>IF($K531="","",TRIM(INDEX('Detalle individual'!$C:$C,$K531)))</f>
        <v/>
      </c>
      <c r="G531" s="72" t="str">
        <f>IF($K531="","",INDEX('Detalle individual'!$D:$D,$K531))</f>
        <v/>
      </c>
      <c r="H531" s="13" t="str">
        <f>IF($K531="","",INDEX('Detalle individual'!$F:$F,$K531))</f>
        <v/>
      </c>
      <c r="I531" s="20" t="str">
        <f>IF($K531="","",IF(INDEX('Detalle individual'!$F:$F,$K531)="Completado",INDEX('Detalle individual'!$H:$H,$K531),""))</f>
        <v/>
      </c>
      <c r="J531" s="21" t="str">
        <f>IF($K531="","",IF(INDEX('Detalle individual'!$F:$F,$K531)="Completado",INDEX('Detalle individual'!$J:$J,$K531),""))</f>
        <v/>
      </c>
      <c r="K531" t="str">
        <f>IFERROR(MOD(SMALL(Cálculos!$Z$5:$Z$1000,523),10000),"")</f>
        <v/>
      </c>
    </row>
    <row r="532">
      <c r="B532" s="13" t="str">
        <f>IF($K532="","",524)</f>
        <v/>
      </c>
      <c r="C532" s="13" t="str">
        <f>IF($K532="","",INDEX('Detalle individual'!$A:$A,$K532))</f>
        <v/>
      </c>
      <c r="D532" s="72" t="str">
        <f>IF($K532="","",TRIM(INDEX('Detalle individual'!$B:$B,$K532)))</f>
        <v/>
      </c>
      <c r="E532" s="72" t="str">
        <f>IF($K532="","",TRIM(INDEX('Detalle individual'!$E:$E,$K532)))</f>
        <v/>
      </c>
      <c r="F532" s="72" t="str">
        <f>IF($K532="","",TRIM(INDEX('Detalle individual'!$C:$C,$K532)))</f>
        <v/>
      </c>
      <c r="G532" s="72" t="str">
        <f>IF($K532="","",INDEX('Detalle individual'!$D:$D,$K532))</f>
        <v/>
      </c>
      <c r="H532" s="13" t="str">
        <f>IF($K532="","",INDEX('Detalle individual'!$F:$F,$K532))</f>
        <v/>
      </c>
      <c r="I532" s="20" t="str">
        <f>IF($K532="","",IF(INDEX('Detalle individual'!$F:$F,$K532)="Completado",INDEX('Detalle individual'!$H:$H,$K532),""))</f>
        <v/>
      </c>
      <c r="J532" s="21" t="str">
        <f>IF($K532="","",IF(INDEX('Detalle individual'!$F:$F,$K532)="Completado",INDEX('Detalle individual'!$J:$J,$K532),""))</f>
        <v/>
      </c>
      <c r="K532" t="str">
        <f>IFERROR(MOD(SMALL(Cálculos!$Z$5:$Z$1000,524),10000),"")</f>
        <v/>
      </c>
    </row>
    <row r="533">
      <c r="B533" s="13" t="str">
        <f>IF($K533="","",525)</f>
        <v/>
      </c>
      <c r="C533" s="13" t="str">
        <f>IF($K533="","",INDEX('Detalle individual'!$A:$A,$K533))</f>
        <v/>
      </c>
      <c r="D533" s="72" t="str">
        <f>IF($K533="","",TRIM(INDEX('Detalle individual'!$B:$B,$K533)))</f>
        <v/>
      </c>
      <c r="E533" s="72" t="str">
        <f>IF($K533="","",TRIM(INDEX('Detalle individual'!$E:$E,$K533)))</f>
        <v/>
      </c>
      <c r="F533" s="72" t="str">
        <f>IF($K533="","",TRIM(INDEX('Detalle individual'!$C:$C,$K533)))</f>
        <v/>
      </c>
      <c r="G533" s="72" t="str">
        <f>IF($K533="","",INDEX('Detalle individual'!$D:$D,$K533))</f>
        <v/>
      </c>
      <c r="H533" s="13" t="str">
        <f>IF($K533="","",INDEX('Detalle individual'!$F:$F,$K533))</f>
        <v/>
      </c>
      <c r="I533" s="20" t="str">
        <f>IF($K533="","",IF(INDEX('Detalle individual'!$F:$F,$K533)="Completado",INDEX('Detalle individual'!$H:$H,$K533),""))</f>
        <v/>
      </c>
      <c r="J533" s="21" t="str">
        <f>IF($K533="","",IF(INDEX('Detalle individual'!$F:$F,$K533)="Completado",INDEX('Detalle individual'!$J:$J,$K533),""))</f>
        <v/>
      </c>
      <c r="K533" t="str">
        <f>IFERROR(MOD(SMALL(Cálculos!$Z$5:$Z$1000,525),10000),"")</f>
        <v/>
      </c>
    </row>
    <row r="534">
      <c r="B534" s="13" t="str">
        <f>IF($K534="","",526)</f>
        <v/>
      </c>
      <c r="C534" s="13" t="str">
        <f>IF($K534="","",INDEX('Detalle individual'!$A:$A,$K534))</f>
        <v/>
      </c>
      <c r="D534" s="72" t="str">
        <f>IF($K534="","",TRIM(INDEX('Detalle individual'!$B:$B,$K534)))</f>
        <v/>
      </c>
      <c r="E534" s="72" t="str">
        <f>IF($K534="","",TRIM(INDEX('Detalle individual'!$E:$E,$K534)))</f>
        <v/>
      </c>
      <c r="F534" s="72" t="str">
        <f>IF($K534="","",TRIM(INDEX('Detalle individual'!$C:$C,$K534)))</f>
        <v/>
      </c>
      <c r="G534" s="72" t="str">
        <f>IF($K534="","",INDEX('Detalle individual'!$D:$D,$K534))</f>
        <v/>
      </c>
      <c r="H534" s="13" t="str">
        <f>IF($K534="","",INDEX('Detalle individual'!$F:$F,$K534))</f>
        <v/>
      </c>
      <c r="I534" s="20" t="str">
        <f>IF($K534="","",IF(INDEX('Detalle individual'!$F:$F,$K534)="Completado",INDEX('Detalle individual'!$H:$H,$K534),""))</f>
        <v/>
      </c>
      <c r="J534" s="21" t="str">
        <f>IF($K534="","",IF(INDEX('Detalle individual'!$F:$F,$K534)="Completado",INDEX('Detalle individual'!$J:$J,$K534),""))</f>
        <v/>
      </c>
      <c r="K534" t="str">
        <f>IFERROR(MOD(SMALL(Cálculos!$Z$5:$Z$1000,526),10000),"")</f>
        <v/>
      </c>
    </row>
    <row r="535">
      <c r="B535" s="13" t="str">
        <f>IF($K535="","",527)</f>
        <v/>
      </c>
      <c r="C535" s="13" t="str">
        <f>IF($K535="","",INDEX('Detalle individual'!$A:$A,$K535))</f>
        <v/>
      </c>
      <c r="D535" s="72" t="str">
        <f>IF($K535="","",TRIM(INDEX('Detalle individual'!$B:$B,$K535)))</f>
        <v/>
      </c>
      <c r="E535" s="72" t="str">
        <f>IF($K535="","",TRIM(INDEX('Detalle individual'!$E:$E,$K535)))</f>
        <v/>
      </c>
      <c r="F535" s="72" t="str">
        <f>IF($K535="","",TRIM(INDEX('Detalle individual'!$C:$C,$K535)))</f>
        <v/>
      </c>
      <c r="G535" s="72" t="str">
        <f>IF($K535="","",INDEX('Detalle individual'!$D:$D,$K535))</f>
        <v/>
      </c>
      <c r="H535" s="13" t="str">
        <f>IF($K535="","",INDEX('Detalle individual'!$F:$F,$K535))</f>
        <v/>
      </c>
      <c r="I535" s="20" t="str">
        <f>IF($K535="","",IF(INDEX('Detalle individual'!$F:$F,$K535)="Completado",INDEX('Detalle individual'!$H:$H,$K535),""))</f>
        <v/>
      </c>
      <c r="J535" s="21" t="str">
        <f>IF($K535="","",IF(INDEX('Detalle individual'!$F:$F,$K535)="Completado",INDEX('Detalle individual'!$J:$J,$K535),""))</f>
        <v/>
      </c>
      <c r="K535" t="str">
        <f>IFERROR(MOD(SMALL(Cálculos!$Z$5:$Z$1000,527),10000),"")</f>
        <v/>
      </c>
    </row>
    <row r="536">
      <c r="B536" s="13" t="str">
        <f>IF($K536="","",528)</f>
        <v/>
      </c>
      <c r="C536" s="13" t="str">
        <f>IF($K536="","",INDEX('Detalle individual'!$A:$A,$K536))</f>
        <v/>
      </c>
      <c r="D536" s="72" t="str">
        <f>IF($K536="","",TRIM(INDEX('Detalle individual'!$B:$B,$K536)))</f>
        <v/>
      </c>
      <c r="E536" s="72" t="str">
        <f>IF($K536="","",TRIM(INDEX('Detalle individual'!$E:$E,$K536)))</f>
        <v/>
      </c>
      <c r="F536" s="72" t="str">
        <f>IF($K536="","",TRIM(INDEX('Detalle individual'!$C:$C,$K536)))</f>
        <v/>
      </c>
      <c r="G536" s="72" t="str">
        <f>IF($K536="","",INDEX('Detalle individual'!$D:$D,$K536))</f>
        <v/>
      </c>
      <c r="H536" s="13" t="str">
        <f>IF($K536="","",INDEX('Detalle individual'!$F:$F,$K536))</f>
        <v/>
      </c>
      <c r="I536" s="20" t="str">
        <f>IF($K536="","",IF(INDEX('Detalle individual'!$F:$F,$K536)="Completado",INDEX('Detalle individual'!$H:$H,$K536),""))</f>
        <v/>
      </c>
      <c r="J536" s="21" t="str">
        <f>IF($K536="","",IF(INDEX('Detalle individual'!$F:$F,$K536)="Completado",INDEX('Detalle individual'!$J:$J,$K536),""))</f>
        <v/>
      </c>
      <c r="K536" t="str">
        <f>IFERROR(MOD(SMALL(Cálculos!$Z$5:$Z$1000,528),10000),"")</f>
        <v/>
      </c>
    </row>
    <row r="537">
      <c r="B537" s="13" t="str">
        <f>IF($K537="","",529)</f>
        <v/>
      </c>
      <c r="C537" s="13" t="str">
        <f>IF($K537="","",INDEX('Detalle individual'!$A:$A,$K537))</f>
        <v/>
      </c>
      <c r="D537" s="72" t="str">
        <f>IF($K537="","",TRIM(INDEX('Detalle individual'!$B:$B,$K537)))</f>
        <v/>
      </c>
      <c r="E537" s="72" t="str">
        <f>IF($K537="","",TRIM(INDEX('Detalle individual'!$E:$E,$K537)))</f>
        <v/>
      </c>
      <c r="F537" s="72" t="str">
        <f>IF($K537="","",TRIM(INDEX('Detalle individual'!$C:$C,$K537)))</f>
        <v/>
      </c>
      <c r="G537" s="72" t="str">
        <f>IF($K537="","",INDEX('Detalle individual'!$D:$D,$K537))</f>
        <v/>
      </c>
      <c r="H537" s="13" t="str">
        <f>IF($K537="","",INDEX('Detalle individual'!$F:$F,$K537))</f>
        <v/>
      </c>
      <c r="I537" s="20" t="str">
        <f>IF($K537="","",IF(INDEX('Detalle individual'!$F:$F,$K537)="Completado",INDEX('Detalle individual'!$H:$H,$K537),""))</f>
        <v/>
      </c>
      <c r="J537" s="21" t="str">
        <f>IF($K537="","",IF(INDEX('Detalle individual'!$F:$F,$K537)="Completado",INDEX('Detalle individual'!$J:$J,$K537),""))</f>
        <v/>
      </c>
      <c r="K537" t="str">
        <f>IFERROR(MOD(SMALL(Cálculos!$Z$5:$Z$1000,529),10000),"")</f>
        <v/>
      </c>
    </row>
    <row r="538">
      <c r="B538" s="13" t="str">
        <f>IF($K538="","",530)</f>
        <v/>
      </c>
      <c r="C538" s="13" t="str">
        <f>IF($K538="","",INDEX('Detalle individual'!$A:$A,$K538))</f>
        <v/>
      </c>
      <c r="D538" s="72" t="str">
        <f>IF($K538="","",TRIM(INDEX('Detalle individual'!$B:$B,$K538)))</f>
        <v/>
      </c>
      <c r="E538" s="72" t="str">
        <f>IF($K538="","",TRIM(INDEX('Detalle individual'!$E:$E,$K538)))</f>
        <v/>
      </c>
      <c r="F538" s="72" t="str">
        <f>IF($K538="","",TRIM(INDEX('Detalle individual'!$C:$C,$K538)))</f>
        <v/>
      </c>
      <c r="G538" s="72" t="str">
        <f>IF($K538="","",INDEX('Detalle individual'!$D:$D,$K538))</f>
        <v/>
      </c>
      <c r="H538" s="13" t="str">
        <f>IF($K538="","",INDEX('Detalle individual'!$F:$F,$K538))</f>
        <v/>
      </c>
      <c r="I538" s="20" t="str">
        <f>IF($K538="","",IF(INDEX('Detalle individual'!$F:$F,$K538)="Completado",INDEX('Detalle individual'!$H:$H,$K538),""))</f>
        <v/>
      </c>
      <c r="J538" s="21" t="str">
        <f>IF($K538="","",IF(INDEX('Detalle individual'!$F:$F,$K538)="Completado",INDEX('Detalle individual'!$J:$J,$K538),""))</f>
        <v/>
      </c>
      <c r="K538" t="str">
        <f>IFERROR(MOD(SMALL(Cálculos!$Z$5:$Z$1000,530),10000),"")</f>
        <v/>
      </c>
    </row>
    <row r="539">
      <c r="B539" s="13" t="str">
        <f>IF($K539="","",531)</f>
        <v/>
      </c>
      <c r="C539" s="13" t="str">
        <f>IF($K539="","",INDEX('Detalle individual'!$A:$A,$K539))</f>
        <v/>
      </c>
      <c r="D539" s="72" t="str">
        <f>IF($K539="","",TRIM(INDEX('Detalle individual'!$B:$B,$K539)))</f>
        <v/>
      </c>
      <c r="E539" s="72" t="str">
        <f>IF($K539="","",TRIM(INDEX('Detalle individual'!$E:$E,$K539)))</f>
        <v/>
      </c>
      <c r="F539" s="72" t="str">
        <f>IF($K539="","",TRIM(INDEX('Detalle individual'!$C:$C,$K539)))</f>
        <v/>
      </c>
      <c r="G539" s="72" t="str">
        <f>IF($K539="","",INDEX('Detalle individual'!$D:$D,$K539))</f>
        <v/>
      </c>
      <c r="H539" s="13" t="str">
        <f>IF($K539="","",INDEX('Detalle individual'!$F:$F,$K539))</f>
        <v/>
      </c>
      <c r="I539" s="20" t="str">
        <f>IF($K539="","",IF(INDEX('Detalle individual'!$F:$F,$K539)="Completado",INDEX('Detalle individual'!$H:$H,$K539),""))</f>
        <v/>
      </c>
      <c r="J539" s="21" t="str">
        <f>IF($K539="","",IF(INDEX('Detalle individual'!$F:$F,$K539)="Completado",INDEX('Detalle individual'!$J:$J,$K539),""))</f>
        <v/>
      </c>
      <c r="K539" t="str">
        <f>IFERROR(MOD(SMALL(Cálculos!$Z$5:$Z$1000,531),10000),"")</f>
        <v/>
      </c>
    </row>
    <row r="540">
      <c r="B540" s="13" t="str">
        <f>IF($K540="","",532)</f>
        <v/>
      </c>
      <c r="C540" s="13" t="str">
        <f>IF($K540="","",INDEX('Detalle individual'!$A:$A,$K540))</f>
        <v/>
      </c>
      <c r="D540" s="72" t="str">
        <f>IF($K540="","",TRIM(INDEX('Detalle individual'!$B:$B,$K540)))</f>
        <v/>
      </c>
      <c r="E540" s="72" t="str">
        <f>IF($K540="","",TRIM(INDEX('Detalle individual'!$E:$E,$K540)))</f>
        <v/>
      </c>
      <c r="F540" s="72" t="str">
        <f>IF($K540="","",TRIM(INDEX('Detalle individual'!$C:$C,$K540)))</f>
        <v/>
      </c>
      <c r="G540" s="72" t="str">
        <f>IF($K540="","",INDEX('Detalle individual'!$D:$D,$K540))</f>
        <v/>
      </c>
      <c r="H540" s="13" t="str">
        <f>IF($K540="","",INDEX('Detalle individual'!$F:$F,$K540))</f>
        <v/>
      </c>
      <c r="I540" s="20" t="str">
        <f>IF($K540="","",IF(INDEX('Detalle individual'!$F:$F,$K540)="Completado",INDEX('Detalle individual'!$H:$H,$K540),""))</f>
        <v/>
      </c>
      <c r="J540" s="21" t="str">
        <f>IF($K540="","",IF(INDEX('Detalle individual'!$F:$F,$K540)="Completado",INDEX('Detalle individual'!$J:$J,$K540),""))</f>
        <v/>
      </c>
      <c r="K540" t="str">
        <f>IFERROR(MOD(SMALL(Cálculos!$Z$5:$Z$1000,532),10000),"")</f>
        <v/>
      </c>
    </row>
    <row r="541">
      <c r="B541" s="13" t="str">
        <f>IF($K541="","",533)</f>
        <v/>
      </c>
      <c r="C541" s="13" t="str">
        <f>IF($K541="","",INDEX('Detalle individual'!$A:$A,$K541))</f>
        <v/>
      </c>
      <c r="D541" s="72" t="str">
        <f>IF($K541="","",TRIM(INDEX('Detalle individual'!$B:$B,$K541)))</f>
        <v/>
      </c>
      <c r="E541" s="72" t="str">
        <f>IF($K541="","",TRIM(INDEX('Detalle individual'!$E:$E,$K541)))</f>
        <v/>
      </c>
      <c r="F541" s="72" t="str">
        <f>IF($K541="","",TRIM(INDEX('Detalle individual'!$C:$C,$K541)))</f>
        <v/>
      </c>
      <c r="G541" s="72" t="str">
        <f>IF($K541="","",INDEX('Detalle individual'!$D:$D,$K541))</f>
        <v/>
      </c>
      <c r="H541" s="13" t="str">
        <f>IF($K541="","",INDEX('Detalle individual'!$F:$F,$K541))</f>
        <v/>
      </c>
      <c r="I541" s="20" t="str">
        <f>IF($K541="","",IF(INDEX('Detalle individual'!$F:$F,$K541)="Completado",INDEX('Detalle individual'!$H:$H,$K541),""))</f>
        <v/>
      </c>
      <c r="J541" s="21" t="str">
        <f>IF($K541="","",IF(INDEX('Detalle individual'!$F:$F,$K541)="Completado",INDEX('Detalle individual'!$J:$J,$K541),""))</f>
        <v/>
      </c>
      <c r="K541" t="str">
        <f>IFERROR(MOD(SMALL(Cálculos!$Z$5:$Z$1000,533),10000),"")</f>
        <v/>
      </c>
    </row>
    <row r="542">
      <c r="B542" s="13" t="str">
        <f>IF($K542="","",534)</f>
        <v/>
      </c>
      <c r="C542" s="13" t="str">
        <f>IF($K542="","",INDEX('Detalle individual'!$A:$A,$K542))</f>
        <v/>
      </c>
      <c r="D542" s="72" t="str">
        <f>IF($K542="","",TRIM(INDEX('Detalle individual'!$B:$B,$K542)))</f>
        <v/>
      </c>
      <c r="E542" s="72" t="str">
        <f>IF($K542="","",TRIM(INDEX('Detalle individual'!$E:$E,$K542)))</f>
        <v/>
      </c>
      <c r="F542" s="72" t="str">
        <f>IF($K542="","",TRIM(INDEX('Detalle individual'!$C:$C,$K542)))</f>
        <v/>
      </c>
      <c r="G542" s="72" t="str">
        <f>IF($K542="","",INDEX('Detalle individual'!$D:$D,$K542))</f>
        <v/>
      </c>
      <c r="H542" s="13" t="str">
        <f>IF($K542="","",INDEX('Detalle individual'!$F:$F,$K542))</f>
        <v/>
      </c>
      <c r="I542" s="20" t="str">
        <f>IF($K542="","",IF(INDEX('Detalle individual'!$F:$F,$K542)="Completado",INDEX('Detalle individual'!$H:$H,$K542),""))</f>
        <v/>
      </c>
      <c r="J542" s="21" t="str">
        <f>IF($K542="","",IF(INDEX('Detalle individual'!$F:$F,$K542)="Completado",INDEX('Detalle individual'!$J:$J,$K542),""))</f>
        <v/>
      </c>
      <c r="K542" t="str">
        <f>IFERROR(MOD(SMALL(Cálculos!$Z$5:$Z$1000,534),10000),"")</f>
        <v/>
      </c>
    </row>
    <row r="543">
      <c r="B543" s="13" t="str">
        <f>IF($K543="","",535)</f>
        <v/>
      </c>
      <c r="C543" s="13" t="str">
        <f>IF($K543="","",INDEX('Detalle individual'!$A:$A,$K543))</f>
        <v/>
      </c>
      <c r="D543" s="72" t="str">
        <f>IF($K543="","",TRIM(INDEX('Detalle individual'!$B:$B,$K543)))</f>
        <v/>
      </c>
      <c r="E543" s="72" t="str">
        <f>IF($K543="","",TRIM(INDEX('Detalle individual'!$E:$E,$K543)))</f>
        <v/>
      </c>
      <c r="F543" s="72" t="str">
        <f>IF($K543="","",TRIM(INDEX('Detalle individual'!$C:$C,$K543)))</f>
        <v/>
      </c>
      <c r="G543" s="72" t="str">
        <f>IF($K543="","",INDEX('Detalle individual'!$D:$D,$K543))</f>
        <v/>
      </c>
      <c r="H543" s="13" t="str">
        <f>IF($K543="","",INDEX('Detalle individual'!$F:$F,$K543))</f>
        <v/>
      </c>
      <c r="I543" s="20" t="str">
        <f>IF($K543="","",IF(INDEX('Detalle individual'!$F:$F,$K543)="Completado",INDEX('Detalle individual'!$H:$H,$K543),""))</f>
        <v/>
      </c>
      <c r="J543" s="21" t="str">
        <f>IF($K543="","",IF(INDEX('Detalle individual'!$F:$F,$K543)="Completado",INDEX('Detalle individual'!$J:$J,$K543),""))</f>
        <v/>
      </c>
      <c r="K543" t="str">
        <f>IFERROR(MOD(SMALL(Cálculos!$Z$5:$Z$1000,535),10000),"")</f>
        <v/>
      </c>
    </row>
    <row r="544">
      <c r="B544" s="13" t="str">
        <f>IF($K544="","",536)</f>
        <v/>
      </c>
      <c r="C544" s="13" t="str">
        <f>IF($K544="","",INDEX('Detalle individual'!$A:$A,$K544))</f>
        <v/>
      </c>
      <c r="D544" s="72" t="str">
        <f>IF($K544="","",TRIM(INDEX('Detalle individual'!$B:$B,$K544)))</f>
        <v/>
      </c>
      <c r="E544" s="72" t="str">
        <f>IF($K544="","",TRIM(INDEX('Detalle individual'!$E:$E,$K544)))</f>
        <v/>
      </c>
      <c r="F544" s="72" t="str">
        <f>IF($K544="","",TRIM(INDEX('Detalle individual'!$C:$C,$K544)))</f>
        <v/>
      </c>
      <c r="G544" s="72" t="str">
        <f>IF($K544="","",INDEX('Detalle individual'!$D:$D,$K544))</f>
        <v/>
      </c>
      <c r="H544" s="13" t="str">
        <f>IF($K544="","",INDEX('Detalle individual'!$F:$F,$K544))</f>
        <v/>
      </c>
      <c r="I544" s="20" t="str">
        <f>IF($K544="","",IF(INDEX('Detalle individual'!$F:$F,$K544)="Completado",INDEX('Detalle individual'!$H:$H,$K544),""))</f>
        <v/>
      </c>
      <c r="J544" s="21" t="str">
        <f>IF($K544="","",IF(INDEX('Detalle individual'!$F:$F,$K544)="Completado",INDEX('Detalle individual'!$J:$J,$K544),""))</f>
        <v/>
      </c>
      <c r="K544" t="str">
        <f>IFERROR(MOD(SMALL(Cálculos!$Z$5:$Z$1000,536),10000),"")</f>
        <v/>
      </c>
    </row>
    <row r="545">
      <c r="B545" s="13" t="str">
        <f>IF($K545="","",537)</f>
        <v/>
      </c>
      <c r="C545" s="13" t="str">
        <f>IF($K545="","",INDEX('Detalle individual'!$A:$A,$K545))</f>
        <v/>
      </c>
      <c r="D545" s="72" t="str">
        <f>IF($K545="","",TRIM(INDEX('Detalle individual'!$B:$B,$K545)))</f>
        <v/>
      </c>
      <c r="E545" s="72" t="str">
        <f>IF($K545="","",TRIM(INDEX('Detalle individual'!$E:$E,$K545)))</f>
        <v/>
      </c>
      <c r="F545" s="72" t="str">
        <f>IF($K545="","",TRIM(INDEX('Detalle individual'!$C:$C,$K545)))</f>
        <v/>
      </c>
      <c r="G545" s="72" t="str">
        <f>IF($K545="","",INDEX('Detalle individual'!$D:$D,$K545))</f>
        <v/>
      </c>
      <c r="H545" s="13" t="str">
        <f>IF($K545="","",INDEX('Detalle individual'!$F:$F,$K545))</f>
        <v/>
      </c>
      <c r="I545" s="20" t="str">
        <f>IF($K545="","",IF(INDEX('Detalle individual'!$F:$F,$K545)="Completado",INDEX('Detalle individual'!$H:$H,$K545),""))</f>
        <v/>
      </c>
      <c r="J545" s="21" t="str">
        <f>IF($K545="","",IF(INDEX('Detalle individual'!$F:$F,$K545)="Completado",INDEX('Detalle individual'!$J:$J,$K545),""))</f>
        <v/>
      </c>
      <c r="K545" t="str">
        <f>IFERROR(MOD(SMALL(Cálculos!$Z$5:$Z$1000,537),10000),"")</f>
        <v/>
      </c>
    </row>
    <row r="546">
      <c r="B546" s="13" t="str">
        <f>IF($K546="","",538)</f>
        <v/>
      </c>
      <c r="C546" s="13" t="str">
        <f>IF($K546="","",INDEX('Detalle individual'!$A:$A,$K546))</f>
        <v/>
      </c>
      <c r="D546" s="72" t="str">
        <f>IF($K546="","",TRIM(INDEX('Detalle individual'!$B:$B,$K546)))</f>
        <v/>
      </c>
      <c r="E546" s="72" t="str">
        <f>IF($K546="","",TRIM(INDEX('Detalle individual'!$E:$E,$K546)))</f>
        <v/>
      </c>
      <c r="F546" s="72" t="str">
        <f>IF($K546="","",TRIM(INDEX('Detalle individual'!$C:$C,$K546)))</f>
        <v/>
      </c>
      <c r="G546" s="72" t="str">
        <f>IF($K546="","",INDEX('Detalle individual'!$D:$D,$K546))</f>
        <v/>
      </c>
      <c r="H546" s="13" t="str">
        <f>IF($K546="","",INDEX('Detalle individual'!$F:$F,$K546))</f>
        <v/>
      </c>
      <c r="I546" s="20" t="str">
        <f>IF($K546="","",IF(INDEX('Detalle individual'!$F:$F,$K546)="Completado",INDEX('Detalle individual'!$H:$H,$K546),""))</f>
        <v/>
      </c>
      <c r="J546" s="21" t="str">
        <f>IF($K546="","",IF(INDEX('Detalle individual'!$F:$F,$K546)="Completado",INDEX('Detalle individual'!$J:$J,$K546),""))</f>
        <v/>
      </c>
      <c r="K546" t="str">
        <f>IFERROR(MOD(SMALL(Cálculos!$Z$5:$Z$1000,538),10000),"")</f>
        <v/>
      </c>
    </row>
    <row r="547">
      <c r="B547" s="13" t="str">
        <f>IF($K547="","",539)</f>
        <v/>
      </c>
      <c r="C547" s="13" t="str">
        <f>IF($K547="","",INDEX('Detalle individual'!$A:$A,$K547))</f>
        <v/>
      </c>
      <c r="D547" s="72" t="str">
        <f>IF($K547="","",TRIM(INDEX('Detalle individual'!$B:$B,$K547)))</f>
        <v/>
      </c>
      <c r="E547" s="72" t="str">
        <f>IF($K547="","",TRIM(INDEX('Detalle individual'!$E:$E,$K547)))</f>
        <v/>
      </c>
      <c r="F547" s="72" t="str">
        <f>IF($K547="","",TRIM(INDEX('Detalle individual'!$C:$C,$K547)))</f>
        <v/>
      </c>
      <c r="G547" s="72" t="str">
        <f>IF($K547="","",INDEX('Detalle individual'!$D:$D,$K547))</f>
        <v/>
      </c>
      <c r="H547" s="13" t="str">
        <f>IF($K547="","",INDEX('Detalle individual'!$F:$F,$K547))</f>
        <v/>
      </c>
      <c r="I547" s="20" t="str">
        <f>IF($K547="","",IF(INDEX('Detalle individual'!$F:$F,$K547)="Completado",INDEX('Detalle individual'!$H:$H,$K547),""))</f>
        <v/>
      </c>
      <c r="J547" s="21" t="str">
        <f>IF($K547="","",IF(INDEX('Detalle individual'!$F:$F,$K547)="Completado",INDEX('Detalle individual'!$J:$J,$K547),""))</f>
        <v/>
      </c>
      <c r="K547" t="str">
        <f>IFERROR(MOD(SMALL(Cálculos!$Z$5:$Z$1000,539),10000),"")</f>
        <v/>
      </c>
    </row>
    <row r="548">
      <c r="B548" s="13" t="str">
        <f>IF($K548="","",540)</f>
        <v/>
      </c>
      <c r="C548" s="13" t="str">
        <f>IF($K548="","",INDEX('Detalle individual'!$A:$A,$K548))</f>
        <v/>
      </c>
      <c r="D548" s="72" t="str">
        <f>IF($K548="","",TRIM(INDEX('Detalle individual'!$B:$B,$K548)))</f>
        <v/>
      </c>
      <c r="E548" s="72" t="str">
        <f>IF($K548="","",TRIM(INDEX('Detalle individual'!$E:$E,$K548)))</f>
        <v/>
      </c>
      <c r="F548" s="72" t="str">
        <f>IF($K548="","",TRIM(INDEX('Detalle individual'!$C:$C,$K548)))</f>
        <v/>
      </c>
      <c r="G548" s="72" t="str">
        <f>IF($K548="","",INDEX('Detalle individual'!$D:$D,$K548))</f>
        <v/>
      </c>
      <c r="H548" s="13" t="str">
        <f>IF($K548="","",INDEX('Detalle individual'!$F:$F,$K548))</f>
        <v/>
      </c>
      <c r="I548" s="20" t="str">
        <f>IF($K548="","",IF(INDEX('Detalle individual'!$F:$F,$K548)="Completado",INDEX('Detalle individual'!$H:$H,$K548),""))</f>
        <v/>
      </c>
      <c r="J548" s="21" t="str">
        <f>IF($K548="","",IF(INDEX('Detalle individual'!$F:$F,$K548)="Completado",INDEX('Detalle individual'!$J:$J,$K548),""))</f>
        <v/>
      </c>
      <c r="K548" t="str">
        <f>IFERROR(MOD(SMALL(Cálculos!$Z$5:$Z$1000,540),10000),"")</f>
        <v/>
      </c>
    </row>
    <row r="549">
      <c r="B549" s="13" t="str">
        <f>IF($K549="","",541)</f>
        <v/>
      </c>
      <c r="C549" s="13" t="str">
        <f>IF($K549="","",INDEX('Detalle individual'!$A:$A,$K549))</f>
        <v/>
      </c>
      <c r="D549" s="72" t="str">
        <f>IF($K549="","",TRIM(INDEX('Detalle individual'!$B:$B,$K549)))</f>
        <v/>
      </c>
      <c r="E549" s="72" t="str">
        <f>IF($K549="","",TRIM(INDEX('Detalle individual'!$E:$E,$K549)))</f>
        <v/>
      </c>
      <c r="F549" s="72" t="str">
        <f>IF($K549="","",TRIM(INDEX('Detalle individual'!$C:$C,$K549)))</f>
        <v/>
      </c>
      <c r="G549" s="72" t="str">
        <f>IF($K549="","",INDEX('Detalle individual'!$D:$D,$K549))</f>
        <v/>
      </c>
      <c r="H549" s="13" t="str">
        <f>IF($K549="","",INDEX('Detalle individual'!$F:$F,$K549))</f>
        <v/>
      </c>
      <c r="I549" s="20" t="str">
        <f>IF($K549="","",IF(INDEX('Detalle individual'!$F:$F,$K549)="Completado",INDEX('Detalle individual'!$H:$H,$K549),""))</f>
        <v/>
      </c>
      <c r="J549" s="21" t="str">
        <f>IF($K549="","",IF(INDEX('Detalle individual'!$F:$F,$K549)="Completado",INDEX('Detalle individual'!$J:$J,$K549),""))</f>
        <v/>
      </c>
      <c r="K549" t="str">
        <f>IFERROR(MOD(SMALL(Cálculos!$Z$5:$Z$1000,541),10000),"")</f>
        <v/>
      </c>
    </row>
    <row r="550">
      <c r="B550" s="13" t="str">
        <f>IF($K550="","",542)</f>
        <v/>
      </c>
      <c r="C550" s="13" t="str">
        <f>IF($K550="","",INDEX('Detalle individual'!$A:$A,$K550))</f>
        <v/>
      </c>
      <c r="D550" s="72" t="str">
        <f>IF($K550="","",TRIM(INDEX('Detalle individual'!$B:$B,$K550)))</f>
        <v/>
      </c>
      <c r="E550" s="72" t="str">
        <f>IF($K550="","",TRIM(INDEX('Detalle individual'!$E:$E,$K550)))</f>
        <v/>
      </c>
      <c r="F550" s="72" t="str">
        <f>IF($K550="","",TRIM(INDEX('Detalle individual'!$C:$C,$K550)))</f>
        <v/>
      </c>
      <c r="G550" s="72" t="str">
        <f>IF($K550="","",INDEX('Detalle individual'!$D:$D,$K550))</f>
        <v/>
      </c>
      <c r="H550" s="13" t="str">
        <f>IF($K550="","",INDEX('Detalle individual'!$F:$F,$K550))</f>
        <v/>
      </c>
      <c r="I550" s="20" t="str">
        <f>IF($K550="","",IF(INDEX('Detalle individual'!$F:$F,$K550)="Completado",INDEX('Detalle individual'!$H:$H,$K550),""))</f>
        <v/>
      </c>
      <c r="J550" s="21" t="str">
        <f>IF($K550="","",IF(INDEX('Detalle individual'!$F:$F,$K550)="Completado",INDEX('Detalle individual'!$J:$J,$K550),""))</f>
        <v/>
      </c>
      <c r="K550" t="str">
        <f>IFERROR(MOD(SMALL(Cálculos!$Z$5:$Z$1000,542),10000),"")</f>
        <v/>
      </c>
    </row>
    <row r="551">
      <c r="B551" s="13" t="str">
        <f>IF($K551="","",543)</f>
        <v/>
      </c>
      <c r="C551" s="13" t="str">
        <f>IF($K551="","",INDEX('Detalle individual'!$A:$A,$K551))</f>
        <v/>
      </c>
      <c r="D551" s="72" t="str">
        <f>IF($K551="","",TRIM(INDEX('Detalle individual'!$B:$B,$K551)))</f>
        <v/>
      </c>
      <c r="E551" s="72" t="str">
        <f>IF($K551="","",TRIM(INDEX('Detalle individual'!$E:$E,$K551)))</f>
        <v/>
      </c>
      <c r="F551" s="72" t="str">
        <f>IF($K551="","",TRIM(INDEX('Detalle individual'!$C:$C,$K551)))</f>
        <v/>
      </c>
      <c r="G551" s="72" t="str">
        <f>IF($K551="","",INDEX('Detalle individual'!$D:$D,$K551))</f>
        <v/>
      </c>
      <c r="H551" s="13" t="str">
        <f>IF($K551="","",INDEX('Detalle individual'!$F:$F,$K551))</f>
        <v/>
      </c>
      <c r="I551" s="20" t="str">
        <f>IF($K551="","",IF(INDEX('Detalle individual'!$F:$F,$K551)="Completado",INDEX('Detalle individual'!$H:$H,$K551),""))</f>
        <v/>
      </c>
      <c r="J551" s="21" t="str">
        <f>IF($K551="","",IF(INDEX('Detalle individual'!$F:$F,$K551)="Completado",INDEX('Detalle individual'!$J:$J,$K551),""))</f>
        <v/>
      </c>
      <c r="K551" t="str">
        <f>IFERROR(MOD(SMALL(Cálculos!$Z$5:$Z$1000,543),10000),"")</f>
        <v/>
      </c>
    </row>
    <row r="552">
      <c r="B552" s="13" t="str">
        <f>IF($K552="","",544)</f>
        <v/>
      </c>
      <c r="C552" s="13" t="str">
        <f>IF($K552="","",INDEX('Detalle individual'!$A:$A,$K552))</f>
        <v/>
      </c>
      <c r="D552" s="72" t="str">
        <f>IF($K552="","",TRIM(INDEX('Detalle individual'!$B:$B,$K552)))</f>
        <v/>
      </c>
      <c r="E552" s="72" t="str">
        <f>IF($K552="","",TRIM(INDEX('Detalle individual'!$E:$E,$K552)))</f>
        <v/>
      </c>
      <c r="F552" s="72" t="str">
        <f>IF($K552="","",TRIM(INDEX('Detalle individual'!$C:$C,$K552)))</f>
        <v/>
      </c>
      <c r="G552" s="72" t="str">
        <f>IF($K552="","",INDEX('Detalle individual'!$D:$D,$K552))</f>
        <v/>
      </c>
      <c r="H552" s="13" t="str">
        <f>IF($K552="","",INDEX('Detalle individual'!$F:$F,$K552))</f>
        <v/>
      </c>
      <c r="I552" s="20" t="str">
        <f>IF($K552="","",IF(INDEX('Detalle individual'!$F:$F,$K552)="Completado",INDEX('Detalle individual'!$H:$H,$K552),""))</f>
        <v/>
      </c>
      <c r="J552" s="21" t="str">
        <f>IF($K552="","",IF(INDEX('Detalle individual'!$F:$F,$K552)="Completado",INDEX('Detalle individual'!$J:$J,$K552),""))</f>
        <v/>
      </c>
      <c r="K552" t="str">
        <f>IFERROR(MOD(SMALL(Cálculos!$Z$5:$Z$1000,544),10000),"")</f>
        <v/>
      </c>
    </row>
    <row r="553">
      <c r="B553" s="13" t="str">
        <f>IF($K553="","",545)</f>
        <v/>
      </c>
      <c r="C553" s="13" t="str">
        <f>IF($K553="","",INDEX('Detalle individual'!$A:$A,$K553))</f>
        <v/>
      </c>
      <c r="D553" s="72" t="str">
        <f>IF($K553="","",TRIM(INDEX('Detalle individual'!$B:$B,$K553)))</f>
        <v/>
      </c>
      <c r="E553" s="72" t="str">
        <f>IF($K553="","",TRIM(INDEX('Detalle individual'!$E:$E,$K553)))</f>
        <v/>
      </c>
      <c r="F553" s="72" t="str">
        <f>IF($K553="","",TRIM(INDEX('Detalle individual'!$C:$C,$K553)))</f>
        <v/>
      </c>
      <c r="G553" s="72" t="str">
        <f>IF($K553="","",INDEX('Detalle individual'!$D:$D,$K553))</f>
        <v/>
      </c>
      <c r="H553" s="13" t="str">
        <f>IF($K553="","",INDEX('Detalle individual'!$F:$F,$K553))</f>
        <v/>
      </c>
      <c r="I553" s="20" t="str">
        <f>IF($K553="","",IF(INDEX('Detalle individual'!$F:$F,$K553)="Completado",INDEX('Detalle individual'!$H:$H,$K553),""))</f>
        <v/>
      </c>
      <c r="J553" s="21" t="str">
        <f>IF($K553="","",IF(INDEX('Detalle individual'!$F:$F,$K553)="Completado",INDEX('Detalle individual'!$J:$J,$K553),""))</f>
        <v/>
      </c>
      <c r="K553" t="str">
        <f>IFERROR(MOD(SMALL(Cálculos!$Z$5:$Z$1000,545),10000),"")</f>
        <v/>
      </c>
    </row>
    <row r="554">
      <c r="B554" s="13" t="str">
        <f>IF($K554="","",546)</f>
        <v/>
      </c>
      <c r="C554" s="13" t="str">
        <f>IF($K554="","",INDEX('Detalle individual'!$A:$A,$K554))</f>
        <v/>
      </c>
      <c r="D554" s="72" t="str">
        <f>IF($K554="","",TRIM(INDEX('Detalle individual'!$B:$B,$K554)))</f>
        <v/>
      </c>
      <c r="E554" s="72" t="str">
        <f>IF($K554="","",TRIM(INDEX('Detalle individual'!$E:$E,$K554)))</f>
        <v/>
      </c>
      <c r="F554" s="72" t="str">
        <f>IF($K554="","",TRIM(INDEX('Detalle individual'!$C:$C,$K554)))</f>
        <v/>
      </c>
      <c r="G554" s="72" t="str">
        <f>IF($K554="","",INDEX('Detalle individual'!$D:$D,$K554))</f>
        <v/>
      </c>
      <c r="H554" s="13" t="str">
        <f>IF($K554="","",INDEX('Detalle individual'!$F:$F,$K554))</f>
        <v/>
      </c>
      <c r="I554" s="20" t="str">
        <f>IF($K554="","",IF(INDEX('Detalle individual'!$F:$F,$K554)="Completado",INDEX('Detalle individual'!$H:$H,$K554),""))</f>
        <v/>
      </c>
      <c r="J554" s="21" t="str">
        <f>IF($K554="","",IF(INDEX('Detalle individual'!$F:$F,$K554)="Completado",INDEX('Detalle individual'!$J:$J,$K554),""))</f>
        <v/>
      </c>
      <c r="K554" t="str">
        <f>IFERROR(MOD(SMALL(Cálculos!$Z$5:$Z$1000,546),10000),"")</f>
        <v/>
      </c>
    </row>
    <row r="555">
      <c r="B555" s="13" t="str">
        <f>IF($K555="","",547)</f>
        <v/>
      </c>
      <c r="C555" s="13" t="str">
        <f>IF($K555="","",INDEX('Detalle individual'!$A:$A,$K555))</f>
        <v/>
      </c>
      <c r="D555" s="72" t="str">
        <f>IF($K555="","",TRIM(INDEX('Detalle individual'!$B:$B,$K555)))</f>
        <v/>
      </c>
      <c r="E555" s="72" t="str">
        <f>IF($K555="","",TRIM(INDEX('Detalle individual'!$E:$E,$K555)))</f>
        <v/>
      </c>
      <c r="F555" s="72" t="str">
        <f>IF($K555="","",TRIM(INDEX('Detalle individual'!$C:$C,$K555)))</f>
        <v/>
      </c>
      <c r="G555" s="72" t="str">
        <f>IF($K555="","",INDEX('Detalle individual'!$D:$D,$K555))</f>
        <v/>
      </c>
      <c r="H555" s="13" t="str">
        <f>IF($K555="","",INDEX('Detalle individual'!$F:$F,$K555))</f>
        <v/>
      </c>
      <c r="I555" s="20" t="str">
        <f>IF($K555="","",IF(INDEX('Detalle individual'!$F:$F,$K555)="Completado",INDEX('Detalle individual'!$H:$H,$K555),""))</f>
        <v/>
      </c>
      <c r="J555" s="21" t="str">
        <f>IF($K555="","",IF(INDEX('Detalle individual'!$F:$F,$K555)="Completado",INDEX('Detalle individual'!$J:$J,$K555),""))</f>
        <v/>
      </c>
      <c r="K555" t="str">
        <f>IFERROR(MOD(SMALL(Cálculos!$Z$5:$Z$1000,547),10000),"")</f>
        <v/>
      </c>
    </row>
    <row r="556">
      <c r="B556" s="13" t="str">
        <f>IF($K556="","",548)</f>
        <v/>
      </c>
      <c r="C556" s="13" t="str">
        <f>IF($K556="","",INDEX('Detalle individual'!$A:$A,$K556))</f>
        <v/>
      </c>
      <c r="D556" s="72" t="str">
        <f>IF($K556="","",TRIM(INDEX('Detalle individual'!$B:$B,$K556)))</f>
        <v/>
      </c>
      <c r="E556" s="72" t="str">
        <f>IF($K556="","",TRIM(INDEX('Detalle individual'!$E:$E,$K556)))</f>
        <v/>
      </c>
      <c r="F556" s="72" t="str">
        <f>IF($K556="","",TRIM(INDEX('Detalle individual'!$C:$C,$K556)))</f>
        <v/>
      </c>
      <c r="G556" s="72" t="str">
        <f>IF($K556="","",INDEX('Detalle individual'!$D:$D,$K556))</f>
        <v/>
      </c>
      <c r="H556" s="13" t="str">
        <f>IF($K556="","",INDEX('Detalle individual'!$F:$F,$K556))</f>
        <v/>
      </c>
      <c r="I556" s="20" t="str">
        <f>IF($K556="","",IF(INDEX('Detalle individual'!$F:$F,$K556)="Completado",INDEX('Detalle individual'!$H:$H,$K556),""))</f>
        <v/>
      </c>
      <c r="J556" s="21" t="str">
        <f>IF($K556="","",IF(INDEX('Detalle individual'!$F:$F,$K556)="Completado",INDEX('Detalle individual'!$J:$J,$K556),""))</f>
        <v/>
      </c>
      <c r="K556" t="str">
        <f>IFERROR(MOD(SMALL(Cálculos!$Z$5:$Z$1000,548),10000),"")</f>
        <v/>
      </c>
    </row>
    <row r="557">
      <c r="B557" s="13" t="str">
        <f>IF($K557="","",549)</f>
        <v/>
      </c>
      <c r="C557" s="13" t="str">
        <f>IF($K557="","",INDEX('Detalle individual'!$A:$A,$K557))</f>
        <v/>
      </c>
      <c r="D557" s="72" t="str">
        <f>IF($K557="","",TRIM(INDEX('Detalle individual'!$B:$B,$K557)))</f>
        <v/>
      </c>
      <c r="E557" s="72" t="str">
        <f>IF($K557="","",TRIM(INDEX('Detalle individual'!$E:$E,$K557)))</f>
        <v/>
      </c>
      <c r="F557" s="72" t="str">
        <f>IF($K557="","",TRIM(INDEX('Detalle individual'!$C:$C,$K557)))</f>
        <v/>
      </c>
      <c r="G557" s="72" t="str">
        <f>IF($K557="","",INDEX('Detalle individual'!$D:$D,$K557))</f>
        <v/>
      </c>
      <c r="H557" s="13" t="str">
        <f>IF($K557="","",INDEX('Detalle individual'!$F:$F,$K557))</f>
        <v/>
      </c>
      <c r="I557" s="20" t="str">
        <f>IF($K557="","",IF(INDEX('Detalle individual'!$F:$F,$K557)="Completado",INDEX('Detalle individual'!$H:$H,$K557),""))</f>
        <v/>
      </c>
      <c r="J557" s="21" t="str">
        <f>IF($K557="","",IF(INDEX('Detalle individual'!$F:$F,$K557)="Completado",INDEX('Detalle individual'!$J:$J,$K557),""))</f>
        <v/>
      </c>
      <c r="K557" t="str">
        <f>IFERROR(MOD(SMALL(Cálculos!$Z$5:$Z$1000,549),10000),"")</f>
        <v/>
      </c>
    </row>
    <row r="558">
      <c r="B558" s="13" t="str">
        <f>IF($K558="","",550)</f>
        <v/>
      </c>
      <c r="C558" s="13" t="str">
        <f>IF($K558="","",INDEX('Detalle individual'!$A:$A,$K558))</f>
        <v/>
      </c>
      <c r="D558" s="72" t="str">
        <f>IF($K558="","",TRIM(INDEX('Detalle individual'!$B:$B,$K558)))</f>
        <v/>
      </c>
      <c r="E558" s="72" t="str">
        <f>IF($K558="","",TRIM(INDEX('Detalle individual'!$E:$E,$K558)))</f>
        <v/>
      </c>
      <c r="F558" s="72" t="str">
        <f>IF($K558="","",TRIM(INDEX('Detalle individual'!$C:$C,$K558)))</f>
        <v/>
      </c>
      <c r="G558" s="72" t="str">
        <f>IF($K558="","",INDEX('Detalle individual'!$D:$D,$K558))</f>
        <v/>
      </c>
      <c r="H558" s="13" t="str">
        <f>IF($K558="","",INDEX('Detalle individual'!$F:$F,$K558))</f>
        <v/>
      </c>
      <c r="I558" s="20" t="str">
        <f>IF($K558="","",IF(INDEX('Detalle individual'!$F:$F,$K558)="Completado",INDEX('Detalle individual'!$H:$H,$K558),""))</f>
        <v/>
      </c>
      <c r="J558" s="21" t="str">
        <f>IF($K558="","",IF(INDEX('Detalle individual'!$F:$F,$K558)="Completado",INDEX('Detalle individual'!$J:$J,$K558),""))</f>
        <v/>
      </c>
      <c r="K558" t="str">
        <f>IFERROR(MOD(SMALL(Cálculos!$Z$5:$Z$1000,550),10000),"")</f>
        <v/>
      </c>
    </row>
    <row r="559">
      <c r="B559" s="13" t="str">
        <f>IF($K559="","",551)</f>
        <v/>
      </c>
      <c r="C559" s="13" t="str">
        <f>IF($K559="","",INDEX('Detalle individual'!$A:$A,$K559))</f>
        <v/>
      </c>
      <c r="D559" s="72" t="str">
        <f>IF($K559="","",TRIM(INDEX('Detalle individual'!$B:$B,$K559)))</f>
        <v/>
      </c>
      <c r="E559" s="72" t="str">
        <f>IF($K559="","",TRIM(INDEX('Detalle individual'!$E:$E,$K559)))</f>
        <v/>
      </c>
      <c r="F559" s="72" t="str">
        <f>IF($K559="","",TRIM(INDEX('Detalle individual'!$C:$C,$K559)))</f>
        <v/>
      </c>
      <c r="G559" s="72" t="str">
        <f>IF($K559="","",INDEX('Detalle individual'!$D:$D,$K559))</f>
        <v/>
      </c>
      <c r="H559" s="13" t="str">
        <f>IF($K559="","",INDEX('Detalle individual'!$F:$F,$K559))</f>
        <v/>
      </c>
      <c r="I559" s="20" t="str">
        <f>IF($K559="","",IF(INDEX('Detalle individual'!$F:$F,$K559)="Completado",INDEX('Detalle individual'!$H:$H,$K559),""))</f>
        <v/>
      </c>
      <c r="J559" s="21" t="str">
        <f>IF($K559="","",IF(INDEX('Detalle individual'!$F:$F,$K559)="Completado",INDEX('Detalle individual'!$J:$J,$K559),""))</f>
        <v/>
      </c>
      <c r="K559" t="str">
        <f>IFERROR(MOD(SMALL(Cálculos!$Z$5:$Z$1000,551),10000),"")</f>
        <v/>
      </c>
    </row>
    <row r="560">
      <c r="B560" s="13" t="str">
        <f>IF($K560="","",552)</f>
        <v/>
      </c>
      <c r="C560" s="13" t="str">
        <f>IF($K560="","",INDEX('Detalle individual'!$A:$A,$K560))</f>
        <v/>
      </c>
      <c r="D560" s="72" t="str">
        <f>IF($K560="","",TRIM(INDEX('Detalle individual'!$B:$B,$K560)))</f>
        <v/>
      </c>
      <c r="E560" s="72" t="str">
        <f>IF($K560="","",TRIM(INDEX('Detalle individual'!$E:$E,$K560)))</f>
        <v/>
      </c>
      <c r="F560" s="72" t="str">
        <f>IF($K560="","",TRIM(INDEX('Detalle individual'!$C:$C,$K560)))</f>
        <v/>
      </c>
      <c r="G560" s="72" t="str">
        <f>IF($K560="","",INDEX('Detalle individual'!$D:$D,$K560))</f>
        <v/>
      </c>
      <c r="H560" s="13" t="str">
        <f>IF($K560="","",INDEX('Detalle individual'!$F:$F,$K560))</f>
        <v/>
      </c>
      <c r="I560" s="20" t="str">
        <f>IF($K560="","",IF(INDEX('Detalle individual'!$F:$F,$K560)="Completado",INDEX('Detalle individual'!$H:$H,$K560),""))</f>
        <v/>
      </c>
      <c r="J560" s="21" t="str">
        <f>IF($K560="","",IF(INDEX('Detalle individual'!$F:$F,$K560)="Completado",INDEX('Detalle individual'!$J:$J,$K560),""))</f>
        <v/>
      </c>
      <c r="K560" t="str">
        <f>IFERROR(MOD(SMALL(Cálculos!$Z$5:$Z$1000,552),10000),"")</f>
        <v/>
      </c>
    </row>
    <row r="561">
      <c r="B561" s="13" t="str">
        <f>IF($K561="","",553)</f>
        <v/>
      </c>
      <c r="C561" s="13" t="str">
        <f>IF($K561="","",INDEX('Detalle individual'!$A:$A,$K561))</f>
        <v/>
      </c>
      <c r="D561" s="72" t="str">
        <f>IF($K561="","",TRIM(INDEX('Detalle individual'!$B:$B,$K561)))</f>
        <v/>
      </c>
      <c r="E561" s="72" t="str">
        <f>IF($K561="","",TRIM(INDEX('Detalle individual'!$E:$E,$K561)))</f>
        <v/>
      </c>
      <c r="F561" s="72" t="str">
        <f>IF($K561="","",TRIM(INDEX('Detalle individual'!$C:$C,$K561)))</f>
        <v/>
      </c>
      <c r="G561" s="72" t="str">
        <f>IF($K561="","",INDEX('Detalle individual'!$D:$D,$K561))</f>
        <v/>
      </c>
      <c r="H561" s="13" t="str">
        <f>IF($K561="","",INDEX('Detalle individual'!$F:$F,$K561))</f>
        <v/>
      </c>
      <c r="I561" s="20" t="str">
        <f>IF($K561="","",IF(INDEX('Detalle individual'!$F:$F,$K561)="Completado",INDEX('Detalle individual'!$H:$H,$K561),""))</f>
        <v/>
      </c>
      <c r="J561" s="21" t="str">
        <f>IF($K561="","",IF(INDEX('Detalle individual'!$F:$F,$K561)="Completado",INDEX('Detalle individual'!$J:$J,$K561),""))</f>
        <v/>
      </c>
      <c r="K561" t="str">
        <f>IFERROR(MOD(SMALL(Cálculos!$Z$5:$Z$1000,553),10000),"")</f>
        <v/>
      </c>
    </row>
    <row r="562">
      <c r="B562" s="13" t="str">
        <f>IF($K562="","",554)</f>
        <v/>
      </c>
      <c r="C562" s="13" t="str">
        <f>IF($K562="","",INDEX('Detalle individual'!$A:$A,$K562))</f>
        <v/>
      </c>
      <c r="D562" s="72" t="str">
        <f>IF($K562="","",TRIM(INDEX('Detalle individual'!$B:$B,$K562)))</f>
        <v/>
      </c>
      <c r="E562" s="72" t="str">
        <f>IF($K562="","",TRIM(INDEX('Detalle individual'!$E:$E,$K562)))</f>
        <v/>
      </c>
      <c r="F562" s="72" t="str">
        <f>IF($K562="","",TRIM(INDEX('Detalle individual'!$C:$C,$K562)))</f>
        <v/>
      </c>
      <c r="G562" s="72" t="str">
        <f>IF($K562="","",INDEX('Detalle individual'!$D:$D,$K562))</f>
        <v/>
      </c>
      <c r="H562" s="13" t="str">
        <f>IF($K562="","",INDEX('Detalle individual'!$F:$F,$K562))</f>
        <v/>
      </c>
      <c r="I562" s="20" t="str">
        <f>IF($K562="","",IF(INDEX('Detalle individual'!$F:$F,$K562)="Completado",INDEX('Detalle individual'!$H:$H,$K562),""))</f>
        <v/>
      </c>
      <c r="J562" s="21" t="str">
        <f>IF($K562="","",IF(INDEX('Detalle individual'!$F:$F,$K562)="Completado",INDEX('Detalle individual'!$J:$J,$K562),""))</f>
        <v/>
      </c>
      <c r="K562" t="str">
        <f>IFERROR(MOD(SMALL(Cálculos!$Z$5:$Z$1000,554),10000),"")</f>
        <v/>
      </c>
    </row>
    <row r="563">
      <c r="B563" s="13" t="str">
        <f>IF($K563="","",555)</f>
        <v/>
      </c>
      <c r="C563" s="13" t="str">
        <f>IF($K563="","",INDEX('Detalle individual'!$A:$A,$K563))</f>
        <v/>
      </c>
      <c r="D563" s="72" t="str">
        <f>IF($K563="","",TRIM(INDEX('Detalle individual'!$B:$B,$K563)))</f>
        <v/>
      </c>
      <c r="E563" s="72" t="str">
        <f>IF($K563="","",TRIM(INDEX('Detalle individual'!$E:$E,$K563)))</f>
        <v/>
      </c>
      <c r="F563" s="72" t="str">
        <f>IF($K563="","",TRIM(INDEX('Detalle individual'!$C:$C,$K563)))</f>
        <v/>
      </c>
      <c r="G563" s="72" t="str">
        <f>IF($K563="","",INDEX('Detalle individual'!$D:$D,$K563))</f>
        <v/>
      </c>
      <c r="H563" s="13" t="str">
        <f>IF($K563="","",INDEX('Detalle individual'!$F:$F,$K563))</f>
        <v/>
      </c>
      <c r="I563" s="20" t="str">
        <f>IF($K563="","",IF(INDEX('Detalle individual'!$F:$F,$K563)="Completado",INDEX('Detalle individual'!$H:$H,$K563),""))</f>
        <v/>
      </c>
      <c r="J563" s="21" t="str">
        <f>IF($K563="","",IF(INDEX('Detalle individual'!$F:$F,$K563)="Completado",INDEX('Detalle individual'!$J:$J,$K563),""))</f>
        <v/>
      </c>
      <c r="K563" t="str">
        <f>IFERROR(MOD(SMALL(Cálculos!$Z$5:$Z$1000,555),10000),"")</f>
        <v/>
      </c>
    </row>
    <row r="564">
      <c r="B564" s="13" t="str">
        <f>IF($K564="","",556)</f>
        <v/>
      </c>
      <c r="C564" s="13" t="str">
        <f>IF($K564="","",INDEX('Detalle individual'!$A:$A,$K564))</f>
        <v/>
      </c>
      <c r="D564" s="72" t="str">
        <f>IF($K564="","",TRIM(INDEX('Detalle individual'!$B:$B,$K564)))</f>
        <v/>
      </c>
      <c r="E564" s="72" t="str">
        <f>IF($K564="","",TRIM(INDEX('Detalle individual'!$E:$E,$K564)))</f>
        <v/>
      </c>
      <c r="F564" s="72" t="str">
        <f>IF($K564="","",TRIM(INDEX('Detalle individual'!$C:$C,$K564)))</f>
        <v/>
      </c>
      <c r="G564" s="72" t="str">
        <f>IF($K564="","",INDEX('Detalle individual'!$D:$D,$K564))</f>
        <v/>
      </c>
      <c r="H564" s="13" t="str">
        <f>IF($K564="","",INDEX('Detalle individual'!$F:$F,$K564))</f>
        <v/>
      </c>
      <c r="I564" s="20" t="str">
        <f>IF($K564="","",IF(INDEX('Detalle individual'!$F:$F,$K564)="Completado",INDEX('Detalle individual'!$H:$H,$K564),""))</f>
        <v/>
      </c>
      <c r="J564" s="21" t="str">
        <f>IF($K564="","",IF(INDEX('Detalle individual'!$F:$F,$K564)="Completado",INDEX('Detalle individual'!$J:$J,$K564),""))</f>
        <v/>
      </c>
      <c r="K564" t="str">
        <f>IFERROR(MOD(SMALL(Cálculos!$Z$5:$Z$1000,556),10000),"")</f>
        <v/>
      </c>
    </row>
    <row r="565">
      <c r="B565" s="13" t="str">
        <f>IF($K565="","",557)</f>
        <v/>
      </c>
      <c r="C565" s="13" t="str">
        <f>IF($K565="","",INDEX('Detalle individual'!$A:$A,$K565))</f>
        <v/>
      </c>
      <c r="D565" s="72" t="str">
        <f>IF($K565="","",TRIM(INDEX('Detalle individual'!$B:$B,$K565)))</f>
        <v/>
      </c>
      <c r="E565" s="72" t="str">
        <f>IF($K565="","",TRIM(INDEX('Detalle individual'!$E:$E,$K565)))</f>
        <v/>
      </c>
      <c r="F565" s="72" t="str">
        <f>IF($K565="","",TRIM(INDEX('Detalle individual'!$C:$C,$K565)))</f>
        <v/>
      </c>
      <c r="G565" s="72" t="str">
        <f>IF($K565="","",INDEX('Detalle individual'!$D:$D,$K565))</f>
        <v/>
      </c>
      <c r="H565" s="13" t="str">
        <f>IF($K565="","",INDEX('Detalle individual'!$F:$F,$K565))</f>
        <v/>
      </c>
      <c r="I565" s="20" t="str">
        <f>IF($K565="","",IF(INDEX('Detalle individual'!$F:$F,$K565)="Completado",INDEX('Detalle individual'!$H:$H,$K565),""))</f>
        <v/>
      </c>
      <c r="J565" s="21" t="str">
        <f>IF($K565="","",IF(INDEX('Detalle individual'!$F:$F,$K565)="Completado",INDEX('Detalle individual'!$J:$J,$K565),""))</f>
        <v/>
      </c>
      <c r="K565" t="str">
        <f>IFERROR(MOD(SMALL(Cálculos!$Z$5:$Z$1000,557),10000),"")</f>
        <v/>
      </c>
    </row>
    <row r="566">
      <c r="B566" s="13" t="str">
        <f>IF($K566="","",558)</f>
        <v/>
      </c>
      <c r="C566" s="13" t="str">
        <f>IF($K566="","",INDEX('Detalle individual'!$A:$A,$K566))</f>
        <v/>
      </c>
      <c r="D566" s="72" t="str">
        <f>IF($K566="","",TRIM(INDEX('Detalle individual'!$B:$B,$K566)))</f>
        <v/>
      </c>
      <c r="E566" s="72" t="str">
        <f>IF($K566="","",TRIM(INDEX('Detalle individual'!$E:$E,$K566)))</f>
        <v/>
      </c>
      <c r="F566" s="72" t="str">
        <f>IF($K566="","",TRIM(INDEX('Detalle individual'!$C:$C,$K566)))</f>
        <v/>
      </c>
      <c r="G566" s="72" t="str">
        <f>IF($K566="","",INDEX('Detalle individual'!$D:$D,$K566))</f>
        <v/>
      </c>
      <c r="H566" s="13" t="str">
        <f>IF($K566="","",INDEX('Detalle individual'!$F:$F,$K566))</f>
        <v/>
      </c>
      <c r="I566" s="20" t="str">
        <f>IF($K566="","",IF(INDEX('Detalle individual'!$F:$F,$K566)="Completado",INDEX('Detalle individual'!$H:$H,$K566),""))</f>
        <v/>
      </c>
      <c r="J566" s="21" t="str">
        <f>IF($K566="","",IF(INDEX('Detalle individual'!$F:$F,$K566)="Completado",INDEX('Detalle individual'!$J:$J,$K566),""))</f>
        <v/>
      </c>
      <c r="K566" t="str">
        <f>IFERROR(MOD(SMALL(Cálculos!$Z$5:$Z$1000,558),10000),"")</f>
        <v/>
      </c>
    </row>
    <row r="567">
      <c r="B567" s="13" t="str">
        <f>IF($K567="","",559)</f>
        <v/>
      </c>
      <c r="C567" s="13" t="str">
        <f>IF($K567="","",INDEX('Detalle individual'!$A:$A,$K567))</f>
        <v/>
      </c>
      <c r="D567" s="72" t="str">
        <f>IF($K567="","",TRIM(INDEX('Detalle individual'!$B:$B,$K567)))</f>
        <v/>
      </c>
      <c r="E567" s="72" t="str">
        <f>IF($K567="","",TRIM(INDEX('Detalle individual'!$E:$E,$K567)))</f>
        <v/>
      </c>
      <c r="F567" s="72" t="str">
        <f>IF($K567="","",TRIM(INDEX('Detalle individual'!$C:$C,$K567)))</f>
        <v/>
      </c>
      <c r="G567" s="72" t="str">
        <f>IF($K567="","",INDEX('Detalle individual'!$D:$D,$K567))</f>
        <v/>
      </c>
      <c r="H567" s="13" t="str">
        <f>IF($K567="","",INDEX('Detalle individual'!$F:$F,$K567))</f>
        <v/>
      </c>
      <c r="I567" s="20" t="str">
        <f>IF($K567="","",IF(INDEX('Detalle individual'!$F:$F,$K567)="Completado",INDEX('Detalle individual'!$H:$H,$K567),""))</f>
        <v/>
      </c>
      <c r="J567" s="21" t="str">
        <f>IF($K567="","",IF(INDEX('Detalle individual'!$F:$F,$K567)="Completado",INDEX('Detalle individual'!$J:$J,$K567),""))</f>
        <v/>
      </c>
      <c r="K567" t="str">
        <f>IFERROR(MOD(SMALL(Cálculos!$Z$5:$Z$1000,559),10000),"")</f>
        <v/>
      </c>
    </row>
    <row r="568">
      <c r="B568" s="13" t="str">
        <f>IF($K568="","",560)</f>
        <v/>
      </c>
      <c r="C568" s="13" t="str">
        <f>IF($K568="","",INDEX('Detalle individual'!$A:$A,$K568))</f>
        <v/>
      </c>
      <c r="D568" s="72" t="str">
        <f>IF($K568="","",TRIM(INDEX('Detalle individual'!$B:$B,$K568)))</f>
        <v/>
      </c>
      <c r="E568" s="72" t="str">
        <f>IF($K568="","",TRIM(INDEX('Detalle individual'!$E:$E,$K568)))</f>
        <v/>
      </c>
      <c r="F568" s="72" t="str">
        <f>IF($K568="","",TRIM(INDEX('Detalle individual'!$C:$C,$K568)))</f>
        <v/>
      </c>
      <c r="G568" s="72" t="str">
        <f>IF($K568="","",INDEX('Detalle individual'!$D:$D,$K568))</f>
        <v/>
      </c>
      <c r="H568" s="13" t="str">
        <f>IF($K568="","",INDEX('Detalle individual'!$F:$F,$K568))</f>
        <v/>
      </c>
      <c r="I568" s="20" t="str">
        <f>IF($K568="","",IF(INDEX('Detalle individual'!$F:$F,$K568)="Completado",INDEX('Detalle individual'!$H:$H,$K568),""))</f>
        <v/>
      </c>
      <c r="J568" s="21" t="str">
        <f>IF($K568="","",IF(INDEX('Detalle individual'!$F:$F,$K568)="Completado",INDEX('Detalle individual'!$J:$J,$K568),""))</f>
        <v/>
      </c>
      <c r="K568" t="str">
        <f>IFERROR(MOD(SMALL(Cálculos!$Z$5:$Z$1000,560),10000),"")</f>
        <v/>
      </c>
    </row>
    <row r="569">
      <c r="B569" s="13" t="str">
        <f>IF($K569="","",561)</f>
        <v/>
      </c>
      <c r="C569" s="13" t="str">
        <f>IF($K569="","",INDEX('Detalle individual'!$A:$A,$K569))</f>
        <v/>
      </c>
      <c r="D569" s="72" t="str">
        <f>IF($K569="","",TRIM(INDEX('Detalle individual'!$B:$B,$K569)))</f>
        <v/>
      </c>
      <c r="E569" s="72" t="str">
        <f>IF($K569="","",TRIM(INDEX('Detalle individual'!$E:$E,$K569)))</f>
        <v/>
      </c>
      <c r="F569" s="72" t="str">
        <f>IF($K569="","",TRIM(INDEX('Detalle individual'!$C:$C,$K569)))</f>
        <v/>
      </c>
      <c r="G569" s="72" t="str">
        <f>IF($K569="","",INDEX('Detalle individual'!$D:$D,$K569))</f>
        <v/>
      </c>
      <c r="H569" s="13" t="str">
        <f>IF($K569="","",INDEX('Detalle individual'!$F:$F,$K569))</f>
        <v/>
      </c>
      <c r="I569" s="20" t="str">
        <f>IF($K569="","",IF(INDEX('Detalle individual'!$F:$F,$K569)="Completado",INDEX('Detalle individual'!$H:$H,$K569),""))</f>
        <v/>
      </c>
      <c r="J569" s="21" t="str">
        <f>IF($K569="","",IF(INDEX('Detalle individual'!$F:$F,$K569)="Completado",INDEX('Detalle individual'!$J:$J,$K569),""))</f>
        <v/>
      </c>
      <c r="K569" t="str">
        <f>IFERROR(MOD(SMALL(Cálculos!$Z$5:$Z$1000,561),10000),"")</f>
        <v/>
      </c>
    </row>
    <row r="570">
      <c r="B570" s="13" t="str">
        <f>IF($K570="","",562)</f>
        <v/>
      </c>
      <c r="C570" s="13" t="str">
        <f>IF($K570="","",INDEX('Detalle individual'!$A:$A,$K570))</f>
        <v/>
      </c>
      <c r="D570" s="72" t="str">
        <f>IF($K570="","",TRIM(INDEX('Detalle individual'!$B:$B,$K570)))</f>
        <v/>
      </c>
      <c r="E570" s="72" t="str">
        <f>IF($K570="","",TRIM(INDEX('Detalle individual'!$E:$E,$K570)))</f>
        <v/>
      </c>
      <c r="F570" s="72" t="str">
        <f>IF($K570="","",TRIM(INDEX('Detalle individual'!$C:$C,$K570)))</f>
        <v/>
      </c>
      <c r="G570" s="72" t="str">
        <f>IF($K570="","",INDEX('Detalle individual'!$D:$D,$K570))</f>
        <v/>
      </c>
      <c r="H570" s="13" t="str">
        <f>IF($K570="","",INDEX('Detalle individual'!$F:$F,$K570))</f>
        <v/>
      </c>
      <c r="I570" s="20" t="str">
        <f>IF($K570="","",IF(INDEX('Detalle individual'!$F:$F,$K570)="Completado",INDEX('Detalle individual'!$H:$H,$K570),""))</f>
        <v/>
      </c>
      <c r="J570" s="21" t="str">
        <f>IF($K570="","",IF(INDEX('Detalle individual'!$F:$F,$K570)="Completado",INDEX('Detalle individual'!$J:$J,$K570),""))</f>
        <v/>
      </c>
      <c r="K570" t="str">
        <f>IFERROR(MOD(SMALL(Cálculos!$Z$5:$Z$1000,562),10000),"")</f>
        <v/>
      </c>
    </row>
    <row r="571">
      <c r="B571" s="13" t="str">
        <f>IF($K571="","",563)</f>
        <v/>
      </c>
      <c r="C571" s="13" t="str">
        <f>IF($K571="","",INDEX('Detalle individual'!$A:$A,$K571))</f>
        <v/>
      </c>
      <c r="D571" s="72" t="str">
        <f>IF($K571="","",TRIM(INDEX('Detalle individual'!$B:$B,$K571)))</f>
        <v/>
      </c>
      <c r="E571" s="72" t="str">
        <f>IF($K571="","",TRIM(INDEX('Detalle individual'!$E:$E,$K571)))</f>
        <v/>
      </c>
      <c r="F571" s="72" t="str">
        <f>IF($K571="","",TRIM(INDEX('Detalle individual'!$C:$C,$K571)))</f>
        <v/>
      </c>
      <c r="G571" s="72" t="str">
        <f>IF($K571="","",INDEX('Detalle individual'!$D:$D,$K571))</f>
        <v/>
      </c>
      <c r="H571" s="13" t="str">
        <f>IF($K571="","",INDEX('Detalle individual'!$F:$F,$K571))</f>
        <v/>
      </c>
      <c r="I571" s="20" t="str">
        <f>IF($K571="","",IF(INDEX('Detalle individual'!$F:$F,$K571)="Completado",INDEX('Detalle individual'!$H:$H,$K571),""))</f>
        <v/>
      </c>
      <c r="J571" s="21" t="str">
        <f>IF($K571="","",IF(INDEX('Detalle individual'!$F:$F,$K571)="Completado",INDEX('Detalle individual'!$J:$J,$K571),""))</f>
        <v/>
      </c>
      <c r="K571" t="str">
        <f>IFERROR(MOD(SMALL(Cálculos!$Z$5:$Z$1000,563),10000),"")</f>
        <v/>
      </c>
    </row>
    <row r="572">
      <c r="B572" s="13" t="str">
        <f>IF($K572="","",564)</f>
        <v/>
      </c>
      <c r="C572" s="13" t="str">
        <f>IF($K572="","",INDEX('Detalle individual'!$A:$A,$K572))</f>
        <v/>
      </c>
      <c r="D572" s="72" t="str">
        <f>IF($K572="","",TRIM(INDEX('Detalle individual'!$B:$B,$K572)))</f>
        <v/>
      </c>
      <c r="E572" s="72" t="str">
        <f>IF($K572="","",TRIM(INDEX('Detalle individual'!$E:$E,$K572)))</f>
        <v/>
      </c>
      <c r="F572" s="72" t="str">
        <f>IF($K572="","",TRIM(INDEX('Detalle individual'!$C:$C,$K572)))</f>
        <v/>
      </c>
      <c r="G572" s="72" t="str">
        <f>IF($K572="","",INDEX('Detalle individual'!$D:$D,$K572))</f>
        <v/>
      </c>
      <c r="H572" s="13" t="str">
        <f>IF($K572="","",INDEX('Detalle individual'!$F:$F,$K572))</f>
        <v/>
      </c>
      <c r="I572" s="20" t="str">
        <f>IF($K572="","",IF(INDEX('Detalle individual'!$F:$F,$K572)="Completado",INDEX('Detalle individual'!$H:$H,$K572),""))</f>
        <v/>
      </c>
      <c r="J572" s="21" t="str">
        <f>IF($K572="","",IF(INDEX('Detalle individual'!$F:$F,$K572)="Completado",INDEX('Detalle individual'!$J:$J,$K572),""))</f>
        <v/>
      </c>
      <c r="K572" t="str">
        <f>IFERROR(MOD(SMALL(Cálculos!$Z$5:$Z$1000,564),10000),"")</f>
        <v/>
      </c>
    </row>
    <row r="573">
      <c r="B573" s="13" t="str">
        <f>IF($K573="","",565)</f>
        <v/>
      </c>
      <c r="C573" s="13" t="str">
        <f>IF($K573="","",INDEX('Detalle individual'!$A:$A,$K573))</f>
        <v/>
      </c>
      <c r="D573" s="72" t="str">
        <f>IF($K573="","",TRIM(INDEX('Detalle individual'!$B:$B,$K573)))</f>
        <v/>
      </c>
      <c r="E573" s="72" t="str">
        <f>IF($K573="","",TRIM(INDEX('Detalle individual'!$E:$E,$K573)))</f>
        <v/>
      </c>
      <c r="F573" s="72" t="str">
        <f>IF($K573="","",TRIM(INDEX('Detalle individual'!$C:$C,$K573)))</f>
        <v/>
      </c>
      <c r="G573" s="72" t="str">
        <f>IF($K573="","",INDEX('Detalle individual'!$D:$D,$K573))</f>
        <v/>
      </c>
      <c r="H573" s="13" t="str">
        <f>IF($K573="","",INDEX('Detalle individual'!$F:$F,$K573))</f>
        <v/>
      </c>
      <c r="I573" s="20" t="str">
        <f>IF($K573="","",IF(INDEX('Detalle individual'!$F:$F,$K573)="Completado",INDEX('Detalle individual'!$H:$H,$K573),""))</f>
        <v/>
      </c>
      <c r="J573" s="21" t="str">
        <f>IF($K573="","",IF(INDEX('Detalle individual'!$F:$F,$K573)="Completado",INDEX('Detalle individual'!$J:$J,$K573),""))</f>
        <v/>
      </c>
      <c r="K573" t="str">
        <f>IFERROR(MOD(SMALL(Cálculos!$Z$5:$Z$1000,565),10000),"")</f>
        <v/>
      </c>
    </row>
    <row r="574">
      <c r="B574" s="13" t="str">
        <f>IF($K574="","",566)</f>
        <v/>
      </c>
      <c r="C574" s="13" t="str">
        <f>IF($K574="","",INDEX('Detalle individual'!$A:$A,$K574))</f>
        <v/>
      </c>
      <c r="D574" s="72" t="str">
        <f>IF($K574="","",TRIM(INDEX('Detalle individual'!$B:$B,$K574)))</f>
        <v/>
      </c>
      <c r="E574" s="72" t="str">
        <f>IF($K574="","",TRIM(INDEX('Detalle individual'!$E:$E,$K574)))</f>
        <v/>
      </c>
      <c r="F574" s="72" t="str">
        <f>IF($K574="","",TRIM(INDEX('Detalle individual'!$C:$C,$K574)))</f>
        <v/>
      </c>
      <c r="G574" s="72" t="str">
        <f>IF($K574="","",INDEX('Detalle individual'!$D:$D,$K574))</f>
        <v/>
      </c>
      <c r="H574" s="13" t="str">
        <f>IF($K574="","",INDEX('Detalle individual'!$F:$F,$K574))</f>
        <v/>
      </c>
      <c r="I574" s="20" t="str">
        <f>IF($K574="","",IF(INDEX('Detalle individual'!$F:$F,$K574)="Completado",INDEX('Detalle individual'!$H:$H,$K574),""))</f>
        <v/>
      </c>
      <c r="J574" s="21" t="str">
        <f>IF($K574="","",IF(INDEX('Detalle individual'!$F:$F,$K574)="Completado",INDEX('Detalle individual'!$J:$J,$K574),""))</f>
        <v/>
      </c>
      <c r="K574" t="str">
        <f>IFERROR(MOD(SMALL(Cálculos!$Z$5:$Z$1000,566),10000),"")</f>
        <v/>
      </c>
    </row>
    <row r="575">
      <c r="B575" s="13" t="str">
        <f>IF($K575="","",567)</f>
        <v/>
      </c>
      <c r="C575" s="13" t="str">
        <f>IF($K575="","",INDEX('Detalle individual'!$A:$A,$K575))</f>
        <v/>
      </c>
      <c r="D575" s="72" t="str">
        <f>IF($K575="","",TRIM(INDEX('Detalle individual'!$B:$B,$K575)))</f>
        <v/>
      </c>
      <c r="E575" s="72" t="str">
        <f>IF($K575="","",TRIM(INDEX('Detalle individual'!$E:$E,$K575)))</f>
        <v/>
      </c>
      <c r="F575" s="72" t="str">
        <f>IF($K575="","",TRIM(INDEX('Detalle individual'!$C:$C,$K575)))</f>
        <v/>
      </c>
      <c r="G575" s="72" t="str">
        <f>IF($K575="","",INDEX('Detalle individual'!$D:$D,$K575))</f>
        <v/>
      </c>
      <c r="H575" s="13" t="str">
        <f>IF($K575="","",INDEX('Detalle individual'!$F:$F,$K575))</f>
        <v/>
      </c>
      <c r="I575" s="20" t="str">
        <f>IF($K575="","",IF(INDEX('Detalle individual'!$F:$F,$K575)="Completado",INDEX('Detalle individual'!$H:$H,$K575),""))</f>
        <v/>
      </c>
      <c r="J575" s="21" t="str">
        <f>IF($K575="","",IF(INDEX('Detalle individual'!$F:$F,$K575)="Completado",INDEX('Detalle individual'!$J:$J,$K575),""))</f>
        <v/>
      </c>
      <c r="K575" t="str">
        <f>IFERROR(MOD(SMALL(Cálculos!$Z$5:$Z$1000,567),10000),"")</f>
        <v/>
      </c>
    </row>
    <row r="576">
      <c r="B576" s="13" t="str">
        <f>IF($K576="","",568)</f>
        <v/>
      </c>
      <c r="C576" s="13" t="str">
        <f>IF($K576="","",INDEX('Detalle individual'!$A:$A,$K576))</f>
        <v/>
      </c>
      <c r="D576" s="72" t="str">
        <f>IF($K576="","",TRIM(INDEX('Detalle individual'!$B:$B,$K576)))</f>
        <v/>
      </c>
      <c r="E576" s="72" t="str">
        <f>IF($K576="","",TRIM(INDEX('Detalle individual'!$E:$E,$K576)))</f>
        <v/>
      </c>
      <c r="F576" s="72" t="str">
        <f>IF($K576="","",TRIM(INDEX('Detalle individual'!$C:$C,$K576)))</f>
        <v/>
      </c>
      <c r="G576" s="72" t="str">
        <f>IF($K576="","",INDEX('Detalle individual'!$D:$D,$K576))</f>
        <v/>
      </c>
      <c r="H576" s="13" t="str">
        <f>IF($K576="","",INDEX('Detalle individual'!$F:$F,$K576))</f>
        <v/>
      </c>
      <c r="I576" s="20" t="str">
        <f>IF($K576="","",IF(INDEX('Detalle individual'!$F:$F,$K576)="Completado",INDEX('Detalle individual'!$H:$H,$K576),""))</f>
        <v/>
      </c>
      <c r="J576" s="21" t="str">
        <f>IF($K576="","",IF(INDEX('Detalle individual'!$F:$F,$K576)="Completado",INDEX('Detalle individual'!$J:$J,$K576),""))</f>
        <v/>
      </c>
      <c r="K576" t="str">
        <f>IFERROR(MOD(SMALL(Cálculos!$Z$5:$Z$1000,568),10000),"")</f>
        <v/>
      </c>
    </row>
    <row r="577">
      <c r="B577" s="13" t="str">
        <f>IF($K577="","",569)</f>
        <v/>
      </c>
      <c r="C577" s="13" t="str">
        <f>IF($K577="","",INDEX('Detalle individual'!$A:$A,$K577))</f>
        <v/>
      </c>
      <c r="D577" s="72" t="str">
        <f>IF($K577="","",TRIM(INDEX('Detalle individual'!$B:$B,$K577)))</f>
        <v/>
      </c>
      <c r="E577" s="72" t="str">
        <f>IF($K577="","",TRIM(INDEX('Detalle individual'!$E:$E,$K577)))</f>
        <v/>
      </c>
      <c r="F577" s="72" t="str">
        <f>IF($K577="","",TRIM(INDEX('Detalle individual'!$C:$C,$K577)))</f>
        <v/>
      </c>
      <c r="G577" s="72" t="str">
        <f>IF($K577="","",INDEX('Detalle individual'!$D:$D,$K577))</f>
        <v/>
      </c>
      <c r="H577" s="13" t="str">
        <f>IF($K577="","",INDEX('Detalle individual'!$F:$F,$K577))</f>
        <v/>
      </c>
      <c r="I577" s="20" t="str">
        <f>IF($K577="","",IF(INDEX('Detalle individual'!$F:$F,$K577)="Completado",INDEX('Detalle individual'!$H:$H,$K577),""))</f>
        <v/>
      </c>
      <c r="J577" s="21" t="str">
        <f>IF($K577="","",IF(INDEX('Detalle individual'!$F:$F,$K577)="Completado",INDEX('Detalle individual'!$J:$J,$K577),""))</f>
        <v/>
      </c>
      <c r="K577" t="str">
        <f>IFERROR(MOD(SMALL(Cálculos!$Z$5:$Z$1000,569),10000),"")</f>
        <v/>
      </c>
    </row>
    <row r="578">
      <c r="B578" s="13" t="str">
        <f>IF($K578="","",570)</f>
        <v/>
      </c>
      <c r="C578" s="13" t="str">
        <f>IF($K578="","",INDEX('Detalle individual'!$A:$A,$K578))</f>
        <v/>
      </c>
      <c r="D578" s="72" t="str">
        <f>IF($K578="","",TRIM(INDEX('Detalle individual'!$B:$B,$K578)))</f>
        <v/>
      </c>
      <c r="E578" s="72" t="str">
        <f>IF($K578="","",TRIM(INDEX('Detalle individual'!$E:$E,$K578)))</f>
        <v/>
      </c>
      <c r="F578" s="72" t="str">
        <f>IF($K578="","",TRIM(INDEX('Detalle individual'!$C:$C,$K578)))</f>
        <v/>
      </c>
      <c r="G578" s="72" t="str">
        <f>IF($K578="","",INDEX('Detalle individual'!$D:$D,$K578))</f>
        <v/>
      </c>
      <c r="H578" s="13" t="str">
        <f>IF($K578="","",INDEX('Detalle individual'!$F:$F,$K578))</f>
        <v/>
      </c>
      <c r="I578" s="20" t="str">
        <f>IF($K578="","",IF(INDEX('Detalle individual'!$F:$F,$K578)="Completado",INDEX('Detalle individual'!$H:$H,$K578),""))</f>
        <v/>
      </c>
      <c r="J578" s="21" t="str">
        <f>IF($K578="","",IF(INDEX('Detalle individual'!$F:$F,$K578)="Completado",INDEX('Detalle individual'!$J:$J,$K578),""))</f>
        <v/>
      </c>
      <c r="K578" t="str">
        <f>IFERROR(MOD(SMALL(Cálculos!$Z$5:$Z$1000,570),10000),"")</f>
        <v/>
      </c>
    </row>
    <row r="579">
      <c r="B579" s="13" t="str">
        <f>IF($K579="","",571)</f>
        <v/>
      </c>
      <c r="C579" s="13" t="str">
        <f>IF($K579="","",INDEX('Detalle individual'!$A:$A,$K579))</f>
        <v/>
      </c>
      <c r="D579" s="72" t="str">
        <f>IF($K579="","",TRIM(INDEX('Detalle individual'!$B:$B,$K579)))</f>
        <v/>
      </c>
      <c r="E579" s="72" t="str">
        <f>IF($K579="","",TRIM(INDEX('Detalle individual'!$E:$E,$K579)))</f>
        <v/>
      </c>
      <c r="F579" s="72" t="str">
        <f>IF($K579="","",TRIM(INDEX('Detalle individual'!$C:$C,$K579)))</f>
        <v/>
      </c>
      <c r="G579" s="72" t="str">
        <f>IF($K579="","",INDEX('Detalle individual'!$D:$D,$K579))</f>
        <v/>
      </c>
      <c r="H579" s="13" t="str">
        <f>IF($K579="","",INDEX('Detalle individual'!$F:$F,$K579))</f>
        <v/>
      </c>
      <c r="I579" s="20" t="str">
        <f>IF($K579="","",IF(INDEX('Detalle individual'!$F:$F,$K579)="Completado",INDEX('Detalle individual'!$H:$H,$K579),""))</f>
        <v/>
      </c>
      <c r="J579" s="21" t="str">
        <f>IF($K579="","",IF(INDEX('Detalle individual'!$F:$F,$K579)="Completado",INDEX('Detalle individual'!$J:$J,$K579),""))</f>
        <v/>
      </c>
      <c r="K579" t="str">
        <f>IFERROR(MOD(SMALL(Cálculos!$Z$5:$Z$1000,571),10000),"")</f>
        <v/>
      </c>
    </row>
    <row r="580">
      <c r="B580" s="13" t="str">
        <f>IF($K580="","",572)</f>
        <v/>
      </c>
      <c r="C580" s="13" t="str">
        <f>IF($K580="","",INDEX('Detalle individual'!$A:$A,$K580))</f>
        <v/>
      </c>
      <c r="D580" s="72" t="str">
        <f>IF($K580="","",TRIM(INDEX('Detalle individual'!$B:$B,$K580)))</f>
        <v/>
      </c>
      <c r="E580" s="72" t="str">
        <f>IF($K580="","",TRIM(INDEX('Detalle individual'!$E:$E,$K580)))</f>
        <v/>
      </c>
      <c r="F580" s="72" t="str">
        <f>IF($K580="","",TRIM(INDEX('Detalle individual'!$C:$C,$K580)))</f>
        <v/>
      </c>
      <c r="G580" s="72" t="str">
        <f>IF($K580="","",INDEX('Detalle individual'!$D:$D,$K580))</f>
        <v/>
      </c>
      <c r="H580" s="13" t="str">
        <f>IF($K580="","",INDEX('Detalle individual'!$F:$F,$K580))</f>
        <v/>
      </c>
      <c r="I580" s="20" t="str">
        <f>IF($K580="","",IF(INDEX('Detalle individual'!$F:$F,$K580)="Completado",INDEX('Detalle individual'!$H:$H,$K580),""))</f>
        <v/>
      </c>
      <c r="J580" s="21" t="str">
        <f>IF($K580="","",IF(INDEX('Detalle individual'!$F:$F,$K580)="Completado",INDEX('Detalle individual'!$J:$J,$K580),""))</f>
        <v/>
      </c>
      <c r="K580" t="str">
        <f>IFERROR(MOD(SMALL(Cálculos!$Z$5:$Z$1000,572),10000),"")</f>
        <v/>
      </c>
    </row>
    <row r="581">
      <c r="B581" s="13" t="str">
        <f>IF($K581="","",573)</f>
        <v/>
      </c>
      <c r="C581" s="13" t="str">
        <f>IF($K581="","",INDEX('Detalle individual'!$A:$A,$K581))</f>
        <v/>
      </c>
      <c r="D581" s="72" t="str">
        <f>IF($K581="","",TRIM(INDEX('Detalle individual'!$B:$B,$K581)))</f>
        <v/>
      </c>
      <c r="E581" s="72" t="str">
        <f>IF($K581="","",TRIM(INDEX('Detalle individual'!$E:$E,$K581)))</f>
        <v/>
      </c>
      <c r="F581" s="72" t="str">
        <f>IF($K581="","",TRIM(INDEX('Detalle individual'!$C:$C,$K581)))</f>
        <v/>
      </c>
      <c r="G581" s="72" t="str">
        <f>IF($K581="","",INDEX('Detalle individual'!$D:$D,$K581))</f>
        <v/>
      </c>
      <c r="H581" s="13" t="str">
        <f>IF($K581="","",INDEX('Detalle individual'!$F:$F,$K581))</f>
        <v/>
      </c>
      <c r="I581" s="20" t="str">
        <f>IF($K581="","",IF(INDEX('Detalle individual'!$F:$F,$K581)="Completado",INDEX('Detalle individual'!$H:$H,$K581),""))</f>
        <v/>
      </c>
      <c r="J581" s="21" t="str">
        <f>IF($K581="","",IF(INDEX('Detalle individual'!$F:$F,$K581)="Completado",INDEX('Detalle individual'!$J:$J,$K581),""))</f>
        <v/>
      </c>
      <c r="K581" t="str">
        <f>IFERROR(MOD(SMALL(Cálculos!$Z$5:$Z$1000,573),10000),"")</f>
        <v/>
      </c>
    </row>
    <row r="582">
      <c r="B582" s="13" t="str">
        <f>IF($K582="","",574)</f>
        <v/>
      </c>
      <c r="C582" s="13" t="str">
        <f>IF($K582="","",INDEX('Detalle individual'!$A:$A,$K582))</f>
        <v/>
      </c>
      <c r="D582" s="72" t="str">
        <f>IF($K582="","",TRIM(INDEX('Detalle individual'!$B:$B,$K582)))</f>
        <v/>
      </c>
      <c r="E582" s="72" t="str">
        <f>IF($K582="","",TRIM(INDEX('Detalle individual'!$E:$E,$K582)))</f>
        <v/>
      </c>
      <c r="F582" s="72" t="str">
        <f>IF($K582="","",TRIM(INDEX('Detalle individual'!$C:$C,$K582)))</f>
        <v/>
      </c>
      <c r="G582" s="72" t="str">
        <f>IF($K582="","",INDEX('Detalle individual'!$D:$D,$K582))</f>
        <v/>
      </c>
      <c r="H582" s="13" t="str">
        <f>IF($K582="","",INDEX('Detalle individual'!$F:$F,$K582))</f>
        <v/>
      </c>
      <c r="I582" s="20" t="str">
        <f>IF($K582="","",IF(INDEX('Detalle individual'!$F:$F,$K582)="Completado",INDEX('Detalle individual'!$H:$H,$K582),""))</f>
        <v/>
      </c>
      <c r="J582" s="21" t="str">
        <f>IF($K582="","",IF(INDEX('Detalle individual'!$F:$F,$K582)="Completado",INDEX('Detalle individual'!$J:$J,$K582),""))</f>
        <v/>
      </c>
      <c r="K582" t="str">
        <f>IFERROR(MOD(SMALL(Cálculos!$Z$5:$Z$1000,574),10000),"")</f>
        <v/>
      </c>
    </row>
    <row r="583">
      <c r="B583" s="13" t="str">
        <f>IF($K583="","",575)</f>
        <v/>
      </c>
      <c r="C583" s="13" t="str">
        <f>IF($K583="","",INDEX('Detalle individual'!$A:$A,$K583))</f>
        <v/>
      </c>
      <c r="D583" s="72" t="str">
        <f>IF($K583="","",TRIM(INDEX('Detalle individual'!$B:$B,$K583)))</f>
        <v/>
      </c>
      <c r="E583" s="72" t="str">
        <f>IF($K583="","",TRIM(INDEX('Detalle individual'!$E:$E,$K583)))</f>
        <v/>
      </c>
      <c r="F583" s="72" t="str">
        <f>IF($K583="","",TRIM(INDEX('Detalle individual'!$C:$C,$K583)))</f>
        <v/>
      </c>
      <c r="G583" s="72" t="str">
        <f>IF($K583="","",INDEX('Detalle individual'!$D:$D,$K583))</f>
        <v/>
      </c>
      <c r="H583" s="13" t="str">
        <f>IF($K583="","",INDEX('Detalle individual'!$F:$F,$K583))</f>
        <v/>
      </c>
      <c r="I583" s="20" t="str">
        <f>IF($K583="","",IF(INDEX('Detalle individual'!$F:$F,$K583)="Completado",INDEX('Detalle individual'!$H:$H,$K583),""))</f>
        <v/>
      </c>
      <c r="J583" s="21" t="str">
        <f>IF($K583="","",IF(INDEX('Detalle individual'!$F:$F,$K583)="Completado",INDEX('Detalle individual'!$J:$J,$K583),""))</f>
        <v/>
      </c>
      <c r="K583" t="str">
        <f>IFERROR(MOD(SMALL(Cálculos!$Z$5:$Z$1000,575),10000),"")</f>
        <v/>
      </c>
    </row>
    <row r="584">
      <c r="B584" s="13" t="str">
        <f>IF($K584="","",576)</f>
        <v/>
      </c>
      <c r="C584" s="13" t="str">
        <f>IF($K584="","",INDEX('Detalle individual'!$A:$A,$K584))</f>
        <v/>
      </c>
      <c r="D584" s="72" t="str">
        <f>IF($K584="","",TRIM(INDEX('Detalle individual'!$B:$B,$K584)))</f>
        <v/>
      </c>
      <c r="E584" s="72" t="str">
        <f>IF($K584="","",TRIM(INDEX('Detalle individual'!$E:$E,$K584)))</f>
        <v/>
      </c>
      <c r="F584" s="72" t="str">
        <f>IF($K584="","",TRIM(INDEX('Detalle individual'!$C:$C,$K584)))</f>
        <v/>
      </c>
      <c r="G584" s="72" t="str">
        <f>IF($K584="","",INDEX('Detalle individual'!$D:$D,$K584))</f>
        <v/>
      </c>
      <c r="H584" s="13" t="str">
        <f>IF($K584="","",INDEX('Detalle individual'!$F:$F,$K584))</f>
        <v/>
      </c>
      <c r="I584" s="20" t="str">
        <f>IF($K584="","",IF(INDEX('Detalle individual'!$F:$F,$K584)="Completado",INDEX('Detalle individual'!$H:$H,$K584),""))</f>
        <v/>
      </c>
      <c r="J584" s="21" t="str">
        <f>IF($K584="","",IF(INDEX('Detalle individual'!$F:$F,$K584)="Completado",INDEX('Detalle individual'!$J:$J,$K584),""))</f>
        <v/>
      </c>
      <c r="K584" t="str">
        <f>IFERROR(MOD(SMALL(Cálculos!$Z$5:$Z$1000,576),10000),"")</f>
        <v/>
      </c>
    </row>
    <row r="585">
      <c r="B585" s="13" t="str">
        <f>IF($K585="","",577)</f>
        <v/>
      </c>
      <c r="C585" s="13" t="str">
        <f>IF($K585="","",INDEX('Detalle individual'!$A:$A,$K585))</f>
        <v/>
      </c>
      <c r="D585" s="72" t="str">
        <f>IF($K585="","",TRIM(INDEX('Detalle individual'!$B:$B,$K585)))</f>
        <v/>
      </c>
      <c r="E585" s="72" t="str">
        <f>IF($K585="","",TRIM(INDEX('Detalle individual'!$E:$E,$K585)))</f>
        <v/>
      </c>
      <c r="F585" s="72" t="str">
        <f>IF($K585="","",TRIM(INDEX('Detalle individual'!$C:$C,$K585)))</f>
        <v/>
      </c>
      <c r="G585" s="72" t="str">
        <f>IF($K585="","",INDEX('Detalle individual'!$D:$D,$K585))</f>
        <v/>
      </c>
      <c r="H585" s="13" t="str">
        <f>IF($K585="","",INDEX('Detalle individual'!$F:$F,$K585))</f>
        <v/>
      </c>
      <c r="I585" s="20" t="str">
        <f>IF($K585="","",IF(INDEX('Detalle individual'!$F:$F,$K585)="Completado",INDEX('Detalle individual'!$H:$H,$K585),""))</f>
        <v/>
      </c>
      <c r="J585" s="21" t="str">
        <f>IF($K585="","",IF(INDEX('Detalle individual'!$F:$F,$K585)="Completado",INDEX('Detalle individual'!$J:$J,$K585),""))</f>
        <v/>
      </c>
      <c r="K585" t="str">
        <f>IFERROR(MOD(SMALL(Cálculos!$Z$5:$Z$1000,577),10000),"")</f>
        <v/>
      </c>
    </row>
    <row r="586">
      <c r="B586" s="13" t="str">
        <f>IF($K586="","",578)</f>
        <v/>
      </c>
      <c r="C586" s="13" t="str">
        <f>IF($K586="","",INDEX('Detalle individual'!$A:$A,$K586))</f>
        <v/>
      </c>
      <c r="D586" s="72" t="str">
        <f>IF($K586="","",TRIM(INDEX('Detalle individual'!$B:$B,$K586)))</f>
        <v/>
      </c>
      <c r="E586" s="72" t="str">
        <f>IF($K586="","",TRIM(INDEX('Detalle individual'!$E:$E,$K586)))</f>
        <v/>
      </c>
      <c r="F586" s="72" t="str">
        <f>IF($K586="","",TRIM(INDEX('Detalle individual'!$C:$C,$K586)))</f>
        <v/>
      </c>
      <c r="G586" s="72" t="str">
        <f>IF($K586="","",INDEX('Detalle individual'!$D:$D,$K586))</f>
        <v/>
      </c>
      <c r="H586" s="13" t="str">
        <f>IF($K586="","",INDEX('Detalle individual'!$F:$F,$K586))</f>
        <v/>
      </c>
      <c r="I586" s="20" t="str">
        <f>IF($K586="","",IF(INDEX('Detalle individual'!$F:$F,$K586)="Completado",INDEX('Detalle individual'!$H:$H,$K586),""))</f>
        <v/>
      </c>
      <c r="J586" s="21" t="str">
        <f>IF($K586="","",IF(INDEX('Detalle individual'!$F:$F,$K586)="Completado",INDEX('Detalle individual'!$J:$J,$K586),""))</f>
        <v/>
      </c>
      <c r="K586" t="str">
        <f>IFERROR(MOD(SMALL(Cálculos!$Z$5:$Z$1000,578),10000),"")</f>
        <v/>
      </c>
    </row>
    <row r="587">
      <c r="B587" s="13" t="str">
        <f>IF($K587="","",579)</f>
        <v/>
      </c>
      <c r="C587" s="13" t="str">
        <f>IF($K587="","",INDEX('Detalle individual'!$A:$A,$K587))</f>
        <v/>
      </c>
      <c r="D587" s="72" t="str">
        <f>IF($K587="","",TRIM(INDEX('Detalle individual'!$B:$B,$K587)))</f>
        <v/>
      </c>
      <c r="E587" s="72" t="str">
        <f>IF($K587="","",TRIM(INDEX('Detalle individual'!$E:$E,$K587)))</f>
        <v/>
      </c>
      <c r="F587" s="72" t="str">
        <f>IF($K587="","",TRIM(INDEX('Detalle individual'!$C:$C,$K587)))</f>
        <v/>
      </c>
      <c r="G587" s="72" t="str">
        <f>IF($K587="","",INDEX('Detalle individual'!$D:$D,$K587))</f>
        <v/>
      </c>
      <c r="H587" s="13" t="str">
        <f>IF($K587="","",INDEX('Detalle individual'!$F:$F,$K587))</f>
        <v/>
      </c>
      <c r="I587" s="20" t="str">
        <f>IF($K587="","",IF(INDEX('Detalle individual'!$F:$F,$K587)="Completado",INDEX('Detalle individual'!$H:$H,$K587),""))</f>
        <v/>
      </c>
      <c r="J587" s="21" t="str">
        <f>IF($K587="","",IF(INDEX('Detalle individual'!$F:$F,$K587)="Completado",INDEX('Detalle individual'!$J:$J,$K587),""))</f>
        <v/>
      </c>
      <c r="K587" t="str">
        <f>IFERROR(MOD(SMALL(Cálculos!$Z$5:$Z$1000,579),10000),"")</f>
        <v/>
      </c>
    </row>
    <row r="588">
      <c r="B588" s="13" t="str">
        <f>IF($K588="","",580)</f>
        <v/>
      </c>
      <c r="C588" s="13" t="str">
        <f>IF($K588="","",INDEX('Detalle individual'!$A:$A,$K588))</f>
        <v/>
      </c>
      <c r="D588" s="72" t="str">
        <f>IF($K588="","",TRIM(INDEX('Detalle individual'!$B:$B,$K588)))</f>
        <v/>
      </c>
      <c r="E588" s="72" t="str">
        <f>IF($K588="","",TRIM(INDEX('Detalle individual'!$E:$E,$K588)))</f>
        <v/>
      </c>
      <c r="F588" s="72" t="str">
        <f>IF($K588="","",TRIM(INDEX('Detalle individual'!$C:$C,$K588)))</f>
        <v/>
      </c>
      <c r="G588" s="72" t="str">
        <f>IF($K588="","",INDEX('Detalle individual'!$D:$D,$K588))</f>
        <v/>
      </c>
      <c r="H588" s="13" t="str">
        <f>IF($K588="","",INDEX('Detalle individual'!$F:$F,$K588))</f>
        <v/>
      </c>
      <c r="I588" s="20" t="str">
        <f>IF($K588="","",IF(INDEX('Detalle individual'!$F:$F,$K588)="Completado",INDEX('Detalle individual'!$H:$H,$K588),""))</f>
        <v/>
      </c>
      <c r="J588" s="21" t="str">
        <f>IF($K588="","",IF(INDEX('Detalle individual'!$F:$F,$K588)="Completado",INDEX('Detalle individual'!$J:$J,$K588),""))</f>
        <v/>
      </c>
      <c r="K588" t="str">
        <f>IFERROR(MOD(SMALL(Cálculos!$Z$5:$Z$1000,580),10000),"")</f>
        <v/>
      </c>
    </row>
    <row r="589">
      <c r="B589" s="13" t="str">
        <f>IF($K589="","",581)</f>
        <v/>
      </c>
      <c r="C589" s="13" t="str">
        <f>IF($K589="","",INDEX('Detalle individual'!$A:$A,$K589))</f>
        <v/>
      </c>
      <c r="D589" s="72" t="str">
        <f>IF($K589="","",TRIM(INDEX('Detalle individual'!$B:$B,$K589)))</f>
        <v/>
      </c>
      <c r="E589" s="72" t="str">
        <f>IF($K589="","",TRIM(INDEX('Detalle individual'!$E:$E,$K589)))</f>
        <v/>
      </c>
      <c r="F589" s="72" t="str">
        <f>IF($K589="","",TRIM(INDEX('Detalle individual'!$C:$C,$K589)))</f>
        <v/>
      </c>
      <c r="G589" s="72" t="str">
        <f>IF($K589="","",INDEX('Detalle individual'!$D:$D,$K589))</f>
        <v/>
      </c>
      <c r="H589" s="13" t="str">
        <f>IF($K589="","",INDEX('Detalle individual'!$F:$F,$K589))</f>
        <v/>
      </c>
      <c r="I589" s="20" t="str">
        <f>IF($K589="","",IF(INDEX('Detalle individual'!$F:$F,$K589)="Completado",INDEX('Detalle individual'!$H:$H,$K589),""))</f>
        <v/>
      </c>
      <c r="J589" s="21" t="str">
        <f>IF($K589="","",IF(INDEX('Detalle individual'!$F:$F,$K589)="Completado",INDEX('Detalle individual'!$J:$J,$K589),""))</f>
        <v/>
      </c>
      <c r="K589" t="str">
        <f>IFERROR(MOD(SMALL(Cálculos!$Z$5:$Z$1000,581),10000),"")</f>
        <v/>
      </c>
    </row>
    <row r="590">
      <c r="B590" s="13" t="str">
        <f>IF($K590="","",582)</f>
        <v/>
      </c>
      <c r="C590" s="13" t="str">
        <f>IF($K590="","",INDEX('Detalle individual'!$A:$A,$K590))</f>
        <v/>
      </c>
      <c r="D590" s="72" t="str">
        <f>IF($K590="","",TRIM(INDEX('Detalle individual'!$B:$B,$K590)))</f>
        <v/>
      </c>
      <c r="E590" s="72" t="str">
        <f>IF($K590="","",TRIM(INDEX('Detalle individual'!$E:$E,$K590)))</f>
        <v/>
      </c>
      <c r="F590" s="72" t="str">
        <f>IF($K590="","",TRIM(INDEX('Detalle individual'!$C:$C,$K590)))</f>
        <v/>
      </c>
      <c r="G590" s="72" t="str">
        <f>IF($K590="","",INDEX('Detalle individual'!$D:$D,$K590))</f>
        <v/>
      </c>
      <c r="H590" s="13" t="str">
        <f>IF($K590="","",INDEX('Detalle individual'!$F:$F,$K590))</f>
        <v/>
      </c>
      <c r="I590" s="20" t="str">
        <f>IF($K590="","",IF(INDEX('Detalle individual'!$F:$F,$K590)="Completado",INDEX('Detalle individual'!$H:$H,$K590),""))</f>
        <v/>
      </c>
      <c r="J590" s="21" t="str">
        <f>IF($K590="","",IF(INDEX('Detalle individual'!$F:$F,$K590)="Completado",INDEX('Detalle individual'!$J:$J,$K590),""))</f>
        <v/>
      </c>
      <c r="K590" t="str">
        <f>IFERROR(MOD(SMALL(Cálculos!$Z$5:$Z$1000,582),10000),"")</f>
        <v/>
      </c>
    </row>
    <row r="591">
      <c r="B591" s="13" t="str">
        <f>IF($K591="","",583)</f>
        <v/>
      </c>
      <c r="C591" s="13" t="str">
        <f>IF($K591="","",INDEX('Detalle individual'!$A:$A,$K591))</f>
        <v/>
      </c>
      <c r="D591" s="72" t="str">
        <f>IF($K591="","",TRIM(INDEX('Detalle individual'!$B:$B,$K591)))</f>
        <v/>
      </c>
      <c r="E591" s="72" t="str">
        <f>IF($K591="","",TRIM(INDEX('Detalle individual'!$E:$E,$K591)))</f>
        <v/>
      </c>
      <c r="F591" s="72" t="str">
        <f>IF($K591="","",TRIM(INDEX('Detalle individual'!$C:$C,$K591)))</f>
        <v/>
      </c>
      <c r="G591" s="72" t="str">
        <f>IF($K591="","",INDEX('Detalle individual'!$D:$D,$K591))</f>
        <v/>
      </c>
      <c r="H591" s="13" t="str">
        <f>IF($K591="","",INDEX('Detalle individual'!$F:$F,$K591))</f>
        <v/>
      </c>
      <c r="I591" s="20" t="str">
        <f>IF($K591="","",IF(INDEX('Detalle individual'!$F:$F,$K591)="Completado",INDEX('Detalle individual'!$H:$H,$K591),""))</f>
        <v/>
      </c>
      <c r="J591" s="21" t="str">
        <f>IF($K591="","",IF(INDEX('Detalle individual'!$F:$F,$K591)="Completado",INDEX('Detalle individual'!$J:$J,$K591),""))</f>
        <v/>
      </c>
      <c r="K591" t="str">
        <f>IFERROR(MOD(SMALL(Cálculos!$Z$5:$Z$1000,583),10000),"")</f>
        <v/>
      </c>
    </row>
    <row r="592">
      <c r="B592" s="13" t="str">
        <f>IF($K592="","",584)</f>
        <v/>
      </c>
      <c r="C592" s="13" t="str">
        <f>IF($K592="","",INDEX('Detalle individual'!$A:$A,$K592))</f>
        <v/>
      </c>
      <c r="D592" s="72" t="str">
        <f>IF($K592="","",TRIM(INDEX('Detalle individual'!$B:$B,$K592)))</f>
        <v/>
      </c>
      <c r="E592" s="72" t="str">
        <f>IF($K592="","",TRIM(INDEX('Detalle individual'!$E:$E,$K592)))</f>
        <v/>
      </c>
      <c r="F592" s="72" t="str">
        <f>IF($K592="","",TRIM(INDEX('Detalle individual'!$C:$C,$K592)))</f>
        <v/>
      </c>
      <c r="G592" s="72" t="str">
        <f>IF($K592="","",INDEX('Detalle individual'!$D:$D,$K592))</f>
        <v/>
      </c>
      <c r="H592" s="13" t="str">
        <f>IF($K592="","",INDEX('Detalle individual'!$F:$F,$K592))</f>
        <v/>
      </c>
      <c r="I592" s="20" t="str">
        <f>IF($K592="","",IF(INDEX('Detalle individual'!$F:$F,$K592)="Completado",INDEX('Detalle individual'!$H:$H,$K592),""))</f>
        <v/>
      </c>
      <c r="J592" s="21" t="str">
        <f>IF($K592="","",IF(INDEX('Detalle individual'!$F:$F,$K592)="Completado",INDEX('Detalle individual'!$J:$J,$K592),""))</f>
        <v/>
      </c>
      <c r="K592" t="str">
        <f>IFERROR(MOD(SMALL(Cálculos!$Z$5:$Z$1000,584),10000),"")</f>
        <v/>
      </c>
    </row>
    <row r="593">
      <c r="B593" s="13" t="str">
        <f>IF($K593="","",585)</f>
        <v/>
      </c>
      <c r="C593" s="13" t="str">
        <f>IF($K593="","",INDEX('Detalle individual'!$A:$A,$K593))</f>
        <v/>
      </c>
      <c r="D593" s="72" t="str">
        <f>IF($K593="","",TRIM(INDEX('Detalle individual'!$B:$B,$K593)))</f>
        <v/>
      </c>
      <c r="E593" s="72" t="str">
        <f>IF($K593="","",TRIM(INDEX('Detalle individual'!$E:$E,$K593)))</f>
        <v/>
      </c>
      <c r="F593" s="72" t="str">
        <f>IF($K593="","",TRIM(INDEX('Detalle individual'!$C:$C,$K593)))</f>
        <v/>
      </c>
      <c r="G593" s="72" t="str">
        <f>IF($K593="","",INDEX('Detalle individual'!$D:$D,$K593))</f>
        <v/>
      </c>
      <c r="H593" s="13" t="str">
        <f>IF($K593="","",INDEX('Detalle individual'!$F:$F,$K593))</f>
        <v/>
      </c>
      <c r="I593" s="20" t="str">
        <f>IF($K593="","",IF(INDEX('Detalle individual'!$F:$F,$K593)="Completado",INDEX('Detalle individual'!$H:$H,$K593),""))</f>
        <v/>
      </c>
      <c r="J593" s="21" t="str">
        <f>IF($K593="","",IF(INDEX('Detalle individual'!$F:$F,$K593)="Completado",INDEX('Detalle individual'!$J:$J,$K593),""))</f>
        <v/>
      </c>
      <c r="K593" t="str">
        <f>IFERROR(MOD(SMALL(Cálculos!$Z$5:$Z$1000,585),10000),"")</f>
        <v/>
      </c>
    </row>
    <row r="594">
      <c r="B594" s="13" t="str">
        <f>IF($K594="","",586)</f>
        <v/>
      </c>
      <c r="C594" s="13" t="str">
        <f>IF($K594="","",INDEX('Detalle individual'!$A:$A,$K594))</f>
        <v/>
      </c>
      <c r="D594" s="72" t="str">
        <f>IF($K594="","",TRIM(INDEX('Detalle individual'!$B:$B,$K594)))</f>
        <v/>
      </c>
      <c r="E594" s="72" t="str">
        <f>IF($K594="","",TRIM(INDEX('Detalle individual'!$E:$E,$K594)))</f>
        <v/>
      </c>
      <c r="F594" s="72" t="str">
        <f>IF($K594="","",TRIM(INDEX('Detalle individual'!$C:$C,$K594)))</f>
        <v/>
      </c>
      <c r="G594" s="72" t="str">
        <f>IF($K594="","",INDEX('Detalle individual'!$D:$D,$K594))</f>
        <v/>
      </c>
      <c r="H594" s="13" t="str">
        <f>IF($K594="","",INDEX('Detalle individual'!$F:$F,$K594))</f>
        <v/>
      </c>
      <c r="I594" s="20" t="str">
        <f>IF($K594="","",IF(INDEX('Detalle individual'!$F:$F,$K594)="Completado",INDEX('Detalle individual'!$H:$H,$K594),""))</f>
        <v/>
      </c>
      <c r="J594" s="21" t="str">
        <f>IF($K594="","",IF(INDEX('Detalle individual'!$F:$F,$K594)="Completado",INDEX('Detalle individual'!$J:$J,$K594),""))</f>
        <v/>
      </c>
      <c r="K594" t="str">
        <f>IFERROR(MOD(SMALL(Cálculos!$Z$5:$Z$1000,586),10000),"")</f>
        <v/>
      </c>
    </row>
    <row r="595">
      <c r="B595" s="13" t="str">
        <f>IF($K595="","",587)</f>
        <v/>
      </c>
      <c r="C595" s="13" t="str">
        <f>IF($K595="","",INDEX('Detalle individual'!$A:$A,$K595))</f>
        <v/>
      </c>
      <c r="D595" s="72" t="str">
        <f>IF($K595="","",TRIM(INDEX('Detalle individual'!$B:$B,$K595)))</f>
        <v/>
      </c>
      <c r="E595" s="72" t="str">
        <f>IF($K595="","",TRIM(INDEX('Detalle individual'!$E:$E,$K595)))</f>
        <v/>
      </c>
      <c r="F595" s="72" t="str">
        <f>IF($K595="","",TRIM(INDEX('Detalle individual'!$C:$C,$K595)))</f>
        <v/>
      </c>
      <c r="G595" s="72" t="str">
        <f>IF($K595="","",INDEX('Detalle individual'!$D:$D,$K595))</f>
        <v/>
      </c>
      <c r="H595" s="13" t="str">
        <f>IF($K595="","",INDEX('Detalle individual'!$F:$F,$K595))</f>
        <v/>
      </c>
      <c r="I595" s="20" t="str">
        <f>IF($K595="","",IF(INDEX('Detalle individual'!$F:$F,$K595)="Completado",INDEX('Detalle individual'!$H:$H,$K595),""))</f>
        <v/>
      </c>
      <c r="J595" s="21" t="str">
        <f>IF($K595="","",IF(INDEX('Detalle individual'!$F:$F,$K595)="Completado",INDEX('Detalle individual'!$J:$J,$K595),""))</f>
        <v/>
      </c>
      <c r="K595" t="str">
        <f>IFERROR(MOD(SMALL(Cálculos!$Z$5:$Z$1000,587),10000),"")</f>
        <v/>
      </c>
    </row>
    <row r="596">
      <c r="B596" s="13" t="str">
        <f>IF($K596="","",588)</f>
        <v/>
      </c>
      <c r="C596" s="13" t="str">
        <f>IF($K596="","",INDEX('Detalle individual'!$A:$A,$K596))</f>
        <v/>
      </c>
      <c r="D596" s="72" t="str">
        <f>IF($K596="","",TRIM(INDEX('Detalle individual'!$B:$B,$K596)))</f>
        <v/>
      </c>
      <c r="E596" s="72" t="str">
        <f>IF($K596="","",TRIM(INDEX('Detalle individual'!$E:$E,$K596)))</f>
        <v/>
      </c>
      <c r="F596" s="72" t="str">
        <f>IF($K596="","",TRIM(INDEX('Detalle individual'!$C:$C,$K596)))</f>
        <v/>
      </c>
      <c r="G596" s="72" t="str">
        <f>IF($K596="","",INDEX('Detalle individual'!$D:$D,$K596))</f>
        <v/>
      </c>
      <c r="H596" s="13" t="str">
        <f>IF($K596="","",INDEX('Detalle individual'!$F:$F,$K596))</f>
        <v/>
      </c>
      <c r="I596" s="20" t="str">
        <f>IF($K596="","",IF(INDEX('Detalle individual'!$F:$F,$K596)="Completado",INDEX('Detalle individual'!$H:$H,$K596),""))</f>
        <v/>
      </c>
      <c r="J596" s="21" t="str">
        <f>IF($K596="","",IF(INDEX('Detalle individual'!$F:$F,$K596)="Completado",INDEX('Detalle individual'!$J:$J,$K596),""))</f>
        <v/>
      </c>
      <c r="K596" t="str">
        <f>IFERROR(MOD(SMALL(Cálculos!$Z$5:$Z$1000,588),10000),"")</f>
        <v/>
      </c>
    </row>
    <row r="597">
      <c r="B597" s="13" t="str">
        <f>IF($K597="","",589)</f>
        <v/>
      </c>
      <c r="C597" s="13" t="str">
        <f>IF($K597="","",INDEX('Detalle individual'!$A:$A,$K597))</f>
        <v/>
      </c>
      <c r="D597" s="72" t="str">
        <f>IF($K597="","",TRIM(INDEX('Detalle individual'!$B:$B,$K597)))</f>
        <v/>
      </c>
      <c r="E597" s="72" t="str">
        <f>IF($K597="","",TRIM(INDEX('Detalle individual'!$E:$E,$K597)))</f>
        <v/>
      </c>
      <c r="F597" s="72" t="str">
        <f>IF($K597="","",TRIM(INDEX('Detalle individual'!$C:$C,$K597)))</f>
        <v/>
      </c>
      <c r="G597" s="72" t="str">
        <f>IF($K597="","",INDEX('Detalle individual'!$D:$D,$K597))</f>
        <v/>
      </c>
      <c r="H597" s="13" t="str">
        <f>IF($K597="","",INDEX('Detalle individual'!$F:$F,$K597))</f>
        <v/>
      </c>
      <c r="I597" s="20" t="str">
        <f>IF($K597="","",IF(INDEX('Detalle individual'!$F:$F,$K597)="Completado",INDEX('Detalle individual'!$H:$H,$K597),""))</f>
        <v/>
      </c>
      <c r="J597" s="21" t="str">
        <f>IF($K597="","",IF(INDEX('Detalle individual'!$F:$F,$K597)="Completado",INDEX('Detalle individual'!$J:$J,$K597),""))</f>
        <v/>
      </c>
      <c r="K597" t="str">
        <f>IFERROR(MOD(SMALL(Cálculos!$Z$5:$Z$1000,589),10000),"")</f>
        <v/>
      </c>
    </row>
    <row r="598">
      <c r="B598" s="13" t="str">
        <f>IF($K598="","",590)</f>
        <v/>
      </c>
      <c r="C598" s="13" t="str">
        <f>IF($K598="","",INDEX('Detalle individual'!$A:$A,$K598))</f>
        <v/>
      </c>
      <c r="D598" s="72" t="str">
        <f>IF($K598="","",TRIM(INDEX('Detalle individual'!$B:$B,$K598)))</f>
        <v/>
      </c>
      <c r="E598" s="72" t="str">
        <f>IF($K598="","",TRIM(INDEX('Detalle individual'!$E:$E,$K598)))</f>
        <v/>
      </c>
      <c r="F598" s="72" t="str">
        <f>IF($K598="","",TRIM(INDEX('Detalle individual'!$C:$C,$K598)))</f>
        <v/>
      </c>
      <c r="G598" s="72" t="str">
        <f>IF($K598="","",INDEX('Detalle individual'!$D:$D,$K598))</f>
        <v/>
      </c>
      <c r="H598" s="13" t="str">
        <f>IF($K598="","",INDEX('Detalle individual'!$F:$F,$K598))</f>
        <v/>
      </c>
      <c r="I598" s="20" t="str">
        <f>IF($K598="","",IF(INDEX('Detalle individual'!$F:$F,$K598)="Completado",INDEX('Detalle individual'!$H:$H,$K598),""))</f>
        <v/>
      </c>
      <c r="J598" s="21" t="str">
        <f>IF($K598="","",IF(INDEX('Detalle individual'!$F:$F,$K598)="Completado",INDEX('Detalle individual'!$J:$J,$K598),""))</f>
        <v/>
      </c>
      <c r="K598" t="str">
        <f>IFERROR(MOD(SMALL(Cálculos!$Z$5:$Z$1000,590),10000),"")</f>
        <v/>
      </c>
    </row>
    <row r="599">
      <c r="B599" s="13" t="str">
        <f>IF($K599="","",591)</f>
        <v/>
      </c>
      <c r="C599" s="13" t="str">
        <f>IF($K599="","",INDEX('Detalle individual'!$A:$A,$K599))</f>
        <v/>
      </c>
      <c r="D599" s="72" t="str">
        <f>IF($K599="","",TRIM(INDEX('Detalle individual'!$B:$B,$K599)))</f>
        <v/>
      </c>
      <c r="E599" s="72" t="str">
        <f>IF($K599="","",TRIM(INDEX('Detalle individual'!$E:$E,$K599)))</f>
        <v/>
      </c>
      <c r="F599" s="72" t="str">
        <f>IF($K599="","",TRIM(INDEX('Detalle individual'!$C:$C,$K599)))</f>
        <v/>
      </c>
      <c r="G599" s="72" t="str">
        <f>IF($K599="","",INDEX('Detalle individual'!$D:$D,$K599))</f>
        <v/>
      </c>
      <c r="H599" s="13" t="str">
        <f>IF($K599="","",INDEX('Detalle individual'!$F:$F,$K599))</f>
        <v/>
      </c>
      <c r="I599" s="20" t="str">
        <f>IF($K599="","",IF(INDEX('Detalle individual'!$F:$F,$K599)="Completado",INDEX('Detalle individual'!$H:$H,$K599),""))</f>
        <v/>
      </c>
      <c r="J599" s="21" t="str">
        <f>IF($K599="","",IF(INDEX('Detalle individual'!$F:$F,$K599)="Completado",INDEX('Detalle individual'!$J:$J,$K599),""))</f>
        <v/>
      </c>
      <c r="K599" t="str">
        <f>IFERROR(MOD(SMALL(Cálculos!$Z$5:$Z$1000,591),10000),"")</f>
        <v/>
      </c>
    </row>
    <row r="600">
      <c r="B600" s="13" t="str">
        <f>IF($K600="","",592)</f>
        <v/>
      </c>
      <c r="C600" s="13" t="str">
        <f>IF($K600="","",INDEX('Detalle individual'!$A:$A,$K600))</f>
        <v/>
      </c>
      <c r="D600" s="72" t="str">
        <f>IF($K600="","",TRIM(INDEX('Detalle individual'!$B:$B,$K600)))</f>
        <v/>
      </c>
      <c r="E600" s="72" t="str">
        <f>IF($K600="","",TRIM(INDEX('Detalle individual'!$E:$E,$K600)))</f>
        <v/>
      </c>
      <c r="F600" s="72" t="str">
        <f>IF($K600="","",TRIM(INDEX('Detalle individual'!$C:$C,$K600)))</f>
        <v/>
      </c>
      <c r="G600" s="72" t="str">
        <f>IF($K600="","",INDEX('Detalle individual'!$D:$D,$K600))</f>
        <v/>
      </c>
      <c r="H600" s="13" t="str">
        <f>IF($K600="","",INDEX('Detalle individual'!$F:$F,$K600))</f>
        <v/>
      </c>
      <c r="I600" s="20" t="str">
        <f>IF($K600="","",IF(INDEX('Detalle individual'!$F:$F,$K600)="Completado",INDEX('Detalle individual'!$H:$H,$K600),""))</f>
        <v/>
      </c>
      <c r="J600" s="21" t="str">
        <f>IF($K600="","",IF(INDEX('Detalle individual'!$F:$F,$K600)="Completado",INDEX('Detalle individual'!$J:$J,$K600),""))</f>
        <v/>
      </c>
      <c r="K600" t="str">
        <f>IFERROR(MOD(SMALL(Cálculos!$Z$5:$Z$1000,592),10000),"")</f>
        <v/>
      </c>
    </row>
    <row r="601">
      <c r="B601" s="13" t="str">
        <f>IF($K601="","",593)</f>
        <v/>
      </c>
      <c r="C601" s="13" t="str">
        <f>IF($K601="","",INDEX('Detalle individual'!$A:$A,$K601))</f>
        <v/>
      </c>
      <c r="D601" s="72" t="str">
        <f>IF($K601="","",TRIM(INDEX('Detalle individual'!$B:$B,$K601)))</f>
        <v/>
      </c>
      <c r="E601" s="72" t="str">
        <f>IF($K601="","",TRIM(INDEX('Detalle individual'!$E:$E,$K601)))</f>
        <v/>
      </c>
      <c r="F601" s="72" t="str">
        <f>IF($K601="","",TRIM(INDEX('Detalle individual'!$C:$C,$K601)))</f>
        <v/>
      </c>
      <c r="G601" s="72" t="str">
        <f>IF($K601="","",INDEX('Detalle individual'!$D:$D,$K601))</f>
        <v/>
      </c>
      <c r="H601" s="13" t="str">
        <f>IF($K601="","",INDEX('Detalle individual'!$F:$F,$K601))</f>
        <v/>
      </c>
      <c r="I601" s="20" t="str">
        <f>IF($K601="","",IF(INDEX('Detalle individual'!$F:$F,$K601)="Completado",INDEX('Detalle individual'!$H:$H,$K601),""))</f>
        <v/>
      </c>
      <c r="J601" s="21" t="str">
        <f>IF($K601="","",IF(INDEX('Detalle individual'!$F:$F,$K601)="Completado",INDEX('Detalle individual'!$J:$J,$K601),""))</f>
        <v/>
      </c>
      <c r="K601" t="str">
        <f>IFERROR(MOD(SMALL(Cálculos!$Z$5:$Z$1000,593),10000),"")</f>
        <v/>
      </c>
    </row>
    <row r="602">
      <c r="B602" s="13" t="str">
        <f>IF($K602="","",594)</f>
        <v/>
      </c>
      <c r="C602" s="13" t="str">
        <f>IF($K602="","",INDEX('Detalle individual'!$A:$A,$K602))</f>
        <v/>
      </c>
      <c r="D602" s="72" t="str">
        <f>IF($K602="","",TRIM(INDEX('Detalle individual'!$B:$B,$K602)))</f>
        <v/>
      </c>
      <c r="E602" s="72" t="str">
        <f>IF($K602="","",TRIM(INDEX('Detalle individual'!$E:$E,$K602)))</f>
        <v/>
      </c>
      <c r="F602" s="72" t="str">
        <f>IF($K602="","",TRIM(INDEX('Detalle individual'!$C:$C,$K602)))</f>
        <v/>
      </c>
      <c r="G602" s="72" t="str">
        <f>IF($K602="","",INDEX('Detalle individual'!$D:$D,$K602))</f>
        <v/>
      </c>
      <c r="H602" s="13" t="str">
        <f>IF($K602="","",INDEX('Detalle individual'!$F:$F,$K602))</f>
        <v/>
      </c>
      <c r="I602" s="20" t="str">
        <f>IF($K602="","",IF(INDEX('Detalle individual'!$F:$F,$K602)="Completado",INDEX('Detalle individual'!$H:$H,$K602),""))</f>
        <v/>
      </c>
      <c r="J602" s="21" t="str">
        <f>IF($K602="","",IF(INDEX('Detalle individual'!$F:$F,$K602)="Completado",INDEX('Detalle individual'!$J:$J,$K602),""))</f>
        <v/>
      </c>
      <c r="K602" t="str">
        <f>IFERROR(MOD(SMALL(Cálculos!$Z$5:$Z$1000,594),10000),"")</f>
        <v/>
      </c>
    </row>
    <row r="603">
      <c r="B603" s="13" t="str">
        <f>IF($K603="","",595)</f>
        <v/>
      </c>
      <c r="C603" s="13" t="str">
        <f>IF($K603="","",INDEX('Detalle individual'!$A:$A,$K603))</f>
        <v/>
      </c>
      <c r="D603" s="72" t="str">
        <f>IF($K603="","",TRIM(INDEX('Detalle individual'!$B:$B,$K603)))</f>
        <v/>
      </c>
      <c r="E603" s="72" t="str">
        <f>IF($K603="","",TRIM(INDEX('Detalle individual'!$E:$E,$K603)))</f>
        <v/>
      </c>
      <c r="F603" s="72" t="str">
        <f>IF($K603="","",TRIM(INDEX('Detalle individual'!$C:$C,$K603)))</f>
        <v/>
      </c>
      <c r="G603" s="72" t="str">
        <f>IF($K603="","",INDEX('Detalle individual'!$D:$D,$K603))</f>
        <v/>
      </c>
      <c r="H603" s="13" t="str">
        <f>IF($K603="","",INDEX('Detalle individual'!$F:$F,$K603))</f>
        <v/>
      </c>
      <c r="I603" s="20" t="str">
        <f>IF($K603="","",IF(INDEX('Detalle individual'!$F:$F,$K603)="Completado",INDEX('Detalle individual'!$H:$H,$K603),""))</f>
        <v/>
      </c>
      <c r="J603" s="21" t="str">
        <f>IF($K603="","",IF(INDEX('Detalle individual'!$F:$F,$K603)="Completado",INDEX('Detalle individual'!$J:$J,$K603),""))</f>
        <v/>
      </c>
      <c r="K603" t="str">
        <f>IFERROR(MOD(SMALL(Cálculos!$Z$5:$Z$1000,595),10000),"")</f>
        <v/>
      </c>
    </row>
    <row r="604">
      <c r="B604" s="13" t="str">
        <f>IF($K604="","",596)</f>
        <v/>
      </c>
      <c r="C604" s="13" t="str">
        <f>IF($K604="","",INDEX('Detalle individual'!$A:$A,$K604))</f>
        <v/>
      </c>
      <c r="D604" s="72" t="str">
        <f>IF($K604="","",TRIM(INDEX('Detalle individual'!$B:$B,$K604)))</f>
        <v/>
      </c>
      <c r="E604" s="72" t="str">
        <f>IF($K604="","",TRIM(INDEX('Detalle individual'!$E:$E,$K604)))</f>
        <v/>
      </c>
      <c r="F604" s="72" t="str">
        <f>IF($K604="","",TRIM(INDEX('Detalle individual'!$C:$C,$K604)))</f>
        <v/>
      </c>
      <c r="G604" s="72" t="str">
        <f>IF($K604="","",INDEX('Detalle individual'!$D:$D,$K604))</f>
        <v/>
      </c>
      <c r="H604" s="13" t="str">
        <f>IF($K604="","",INDEX('Detalle individual'!$F:$F,$K604))</f>
        <v/>
      </c>
      <c r="I604" s="20" t="str">
        <f>IF($K604="","",IF(INDEX('Detalle individual'!$F:$F,$K604)="Completado",INDEX('Detalle individual'!$H:$H,$K604),""))</f>
        <v/>
      </c>
      <c r="J604" s="21" t="str">
        <f>IF($K604="","",IF(INDEX('Detalle individual'!$F:$F,$K604)="Completado",INDEX('Detalle individual'!$J:$J,$K604),""))</f>
        <v/>
      </c>
      <c r="K604" t="str">
        <f>IFERROR(MOD(SMALL(Cálculos!$Z$5:$Z$1000,596),10000),"")</f>
        <v/>
      </c>
    </row>
    <row r="605">
      <c r="B605" s="13" t="str">
        <f>IF($K605="","",597)</f>
        <v/>
      </c>
      <c r="C605" s="13" t="str">
        <f>IF($K605="","",INDEX('Detalle individual'!$A:$A,$K605))</f>
        <v/>
      </c>
      <c r="D605" s="72" t="str">
        <f>IF($K605="","",TRIM(INDEX('Detalle individual'!$B:$B,$K605)))</f>
        <v/>
      </c>
      <c r="E605" s="72" t="str">
        <f>IF($K605="","",TRIM(INDEX('Detalle individual'!$E:$E,$K605)))</f>
        <v/>
      </c>
      <c r="F605" s="72" t="str">
        <f>IF($K605="","",TRIM(INDEX('Detalle individual'!$C:$C,$K605)))</f>
        <v/>
      </c>
      <c r="G605" s="72" t="str">
        <f>IF($K605="","",INDEX('Detalle individual'!$D:$D,$K605))</f>
        <v/>
      </c>
      <c r="H605" s="13" t="str">
        <f>IF($K605="","",INDEX('Detalle individual'!$F:$F,$K605))</f>
        <v/>
      </c>
      <c r="I605" s="20" t="str">
        <f>IF($K605="","",IF(INDEX('Detalle individual'!$F:$F,$K605)="Completado",INDEX('Detalle individual'!$H:$H,$K605),""))</f>
        <v/>
      </c>
      <c r="J605" s="21" t="str">
        <f>IF($K605="","",IF(INDEX('Detalle individual'!$F:$F,$K605)="Completado",INDEX('Detalle individual'!$J:$J,$K605),""))</f>
        <v/>
      </c>
      <c r="K605" t="str">
        <f>IFERROR(MOD(SMALL(Cálculos!$Z$5:$Z$1000,597),10000),"")</f>
        <v/>
      </c>
    </row>
    <row r="606">
      <c r="B606" s="13" t="str">
        <f>IF($K606="","",598)</f>
        <v/>
      </c>
      <c r="C606" s="13" t="str">
        <f>IF($K606="","",INDEX('Detalle individual'!$A:$A,$K606))</f>
        <v/>
      </c>
      <c r="D606" s="72" t="str">
        <f>IF($K606="","",TRIM(INDEX('Detalle individual'!$B:$B,$K606)))</f>
        <v/>
      </c>
      <c r="E606" s="72" t="str">
        <f>IF($K606="","",TRIM(INDEX('Detalle individual'!$E:$E,$K606)))</f>
        <v/>
      </c>
      <c r="F606" s="72" t="str">
        <f>IF($K606="","",TRIM(INDEX('Detalle individual'!$C:$C,$K606)))</f>
        <v/>
      </c>
      <c r="G606" s="72" t="str">
        <f>IF($K606="","",INDEX('Detalle individual'!$D:$D,$K606))</f>
        <v/>
      </c>
      <c r="H606" s="13" t="str">
        <f>IF($K606="","",INDEX('Detalle individual'!$F:$F,$K606))</f>
        <v/>
      </c>
      <c r="I606" s="20" t="str">
        <f>IF($K606="","",IF(INDEX('Detalle individual'!$F:$F,$K606)="Completado",INDEX('Detalle individual'!$H:$H,$K606),""))</f>
        <v/>
      </c>
      <c r="J606" s="21" t="str">
        <f>IF($K606="","",IF(INDEX('Detalle individual'!$F:$F,$K606)="Completado",INDEX('Detalle individual'!$J:$J,$K606),""))</f>
        <v/>
      </c>
      <c r="K606" t="str">
        <f>IFERROR(MOD(SMALL(Cálculos!$Z$5:$Z$1000,598),10000),"")</f>
        <v/>
      </c>
    </row>
    <row r="607">
      <c r="B607" s="13" t="str">
        <f>IF($K607="","",599)</f>
        <v/>
      </c>
      <c r="C607" s="13" t="str">
        <f>IF($K607="","",INDEX('Detalle individual'!$A:$A,$K607))</f>
        <v/>
      </c>
      <c r="D607" s="72" t="str">
        <f>IF($K607="","",TRIM(INDEX('Detalle individual'!$B:$B,$K607)))</f>
        <v/>
      </c>
      <c r="E607" s="72" t="str">
        <f>IF($K607="","",TRIM(INDEX('Detalle individual'!$E:$E,$K607)))</f>
        <v/>
      </c>
      <c r="F607" s="72" t="str">
        <f>IF($K607="","",TRIM(INDEX('Detalle individual'!$C:$C,$K607)))</f>
        <v/>
      </c>
      <c r="G607" s="72" t="str">
        <f>IF($K607="","",INDEX('Detalle individual'!$D:$D,$K607))</f>
        <v/>
      </c>
      <c r="H607" s="13" t="str">
        <f>IF($K607="","",INDEX('Detalle individual'!$F:$F,$K607))</f>
        <v/>
      </c>
      <c r="I607" s="20" t="str">
        <f>IF($K607="","",IF(INDEX('Detalle individual'!$F:$F,$K607)="Completado",INDEX('Detalle individual'!$H:$H,$K607),""))</f>
        <v/>
      </c>
      <c r="J607" s="21" t="str">
        <f>IF($K607="","",IF(INDEX('Detalle individual'!$F:$F,$K607)="Completado",INDEX('Detalle individual'!$J:$J,$K607),""))</f>
        <v/>
      </c>
      <c r="K607" t="str">
        <f>IFERROR(MOD(SMALL(Cálculos!$Z$5:$Z$1000,599),10000),"")</f>
        <v/>
      </c>
    </row>
    <row r="608">
      <c r="B608" s="13" t="str">
        <f>IF($K608="","",600)</f>
        <v/>
      </c>
      <c r="C608" s="13" t="str">
        <f>IF($K608="","",INDEX('Detalle individual'!$A:$A,$K608))</f>
        <v/>
      </c>
      <c r="D608" s="72" t="str">
        <f>IF($K608="","",TRIM(INDEX('Detalle individual'!$B:$B,$K608)))</f>
        <v/>
      </c>
      <c r="E608" s="72" t="str">
        <f>IF($K608="","",TRIM(INDEX('Detalle individual'!$E:$E,$K608)))</f>
        <v/>
      </c>
      <c r="F608" s="72" t="str">
        <f>IF($K608="","",TRIM(INDEX('Detalle individual'!$C:$C,$K608)))</f>
        <v/>
      </c>
      <c r="G608" s="72" t="str">
        <f>IF($K608="","",INDEX('Detalle individual'!$D:$D,$K608))</f>
        <v/>
      </c>
      <c r="H608" s="13" t="str">
        <f>IF($K608="","",INDEX('Detalle individual'!$F:$F,$K608))</f>
        <v/>
      </c>
      <c r="I608" s="20" t="str">
        <f>IF($K608="","",IF(INDEX('Detalle individual'!$F:$F,$K608)="Completado",INDEX('Detalle individual'!$H:$H,$K608),""))</f>
        <v/>
      </c>
      <c r="J608" s="21" t="str">
        <f>IF($K608="","",IF(INDEX('Detalle individual'!$F:$F,$K608)="Completado",INDEX('Detalle individual'!$J:$J,$K608),""))</f>
        <v/>
      </c>
      <c r="K608" t="str">
        <f>IFERROR(MOD(SMALL(Cálculos!$Z$5:$Z$1000,600),10000),"")</f>
        <v/>
      </c>
    </row>
    <row r="609">
      <c r="B609" s="13" t="str">
        <f>IF($K609="","",601)</f>
        <v/>
      </c>
      <c r="C609" s="13" t="str">
        <f>IF($K609="","",INDEX('Detalle individual'!$A:$A,$K609))</f>
        <v/>
      </c>
      <c r="D609" s="72" t="str">
        <f>IF($K609="","",TRIM(INDEX('Detalle individual'!$B:$B,$K609)))</f>
        <v/>
      </c>
      <c r="E609" s="72" t="str">
        <f>IF($K609="","",TRIM(INDEX('Detalle individual'!$E:$E,$K609)))</f>
        <v/>
      </c>
      <c r="F609" s="72" t="str">
        <f>IF($K609="","",TRIM(INDEX('Detalle individual'!$C:$C,$K609)))</f>
        <v/>
      </c>
      <c r="G609" s="72" t="str">
        <f>IF($K609="","",INDEX('Detalle individual'!$D:$D,$K609))</f>
        <v/>
      </c>
      <c r="H609" s="13" t="str">
        <f>IF($K609="","",INDEX('Detalle individual'!$F:$F,$K609))</f>
        <v/>
      </c>
      <c r="I609" s="20" t="str">
        <f>IF($K609="","",IF(INDEX('Detalle individual'!$F:$F,$K609)="Completado",INDEX('Detalle individual'!$H:$H,$K609),""))</f>
        <v/>
      </c>
      <c r="J609" s="21" t="str">
        <f>IF($K609="","",IF(INDEX('Detalle individual'!$F:$F,$K609)="Completado",INDEX('Detalle individual'!$J:$J,$K609),""))</f>
        <v/>
      </c>
      <c r="K609" t="str">
        <f>IFERROR(MOD(SMALL(Cálculos!$Z$5:$Z$1000,601),10000),"")</f>
        <v/>
      </c>
    </row>
    <row r="610">
      <c r="B610" s="13" t="str">
        <f>IF($K610="","",602)</f>
        <v/>
      </c>
      <c r="C610" s="13" t="str">
        <f>IF($K610="","",INDEX('Detalle individual'!$A:$A,$K610))</f>
        <v/>
      </c>
      <c r="D610" s="72" t="str">
        <f>IF($K610="","",TRIM(INDEX('Detalle individual'!$B:$B,$K610)))</f>
        <v/>
      </c>
      <c r="E610" s="72" t="str">
        <f>IF($K610="","",TRIM(INDEX('Detalle individual'!$E:$E,$K610)))</f>
        <v/>
      </c>
      <c r="F610" s="72" t="str">
        <f>IF($K610="","",TRIM(INDEX('Detalle individual'!$C:$C,$K610)))</f>
        <v/>
      </c>
      <c r="G610" s="72" t="str">
        <f>IF($K610="","",INDEX('Detalle individual'!$D:$D,$K610))</f>
        <v/>
      </c>
      <c r="H610" s="13" t="str">
        <f>IF($K610="","",INDEX('Detalle individual'!$F:$F,$K610))</f>
        <v/>
      </c>
      <c r="I610" s="20" t="str">
        <f>IF($K610="","",IF(INDEX('Detalle individual'!$F:$F,$K610)="Completado",INDEX('Detalle individual'!$H:$H,$K610),""))</f>
        <v/>
      </c>
      <c r="J610" s="21" t="str">
        <f>IF($K610="","",IF(INDEX('Detalle individual'!$F:$F,$K610)="Completado",INDEX('Detalle individual'!$J:$J,$K610),""))</f>
        <v/>
      </c>
      <c r="K610" t="str">
        <f>IFERROR(MOD(SMALL(Cálculos!$Z$5:$Z$1000,602),10000),"")</f>
        <v/>
      </c>
    </row>
    <row r="611">
      <c r="B611" s="13" t="str">
        <f>IF($K611="","",603)</f>
        <v/>
      </c>
      <c r="C611" s="13" t="str">
        <f>IF($K611="","",INDEX('Detalle individual'!$A:$A,$K611))</f>
        <v/>
      </c>
      <c r="D611" s="72" t="str">
        <f>IF($K611="","",TRIM(INDEX('Detalle individual'!$B:$B,$K611)))</f>
        <v/>
      </c>
      <c r="E611" s="72" t="str">
        <f>IF($K611="","",TRIM(INDEX('Detalle individual'!$E:$E,$K611)))</f>
        <v/>
      </c>
      <c r="F611" s="72" t="str">
        <f>IF($K611="","",TRIM(INDEX('Detalle individual'!$C:$C,$K611)))</f>
        <v/>
      </c>
      <c r="G611" s="72" t="str">
        <f>IF($K611="","",INDEX('Detalle individual'!$D:$D,$K611))</f>
        <v/>
      </c>
      <c r="H611" s="13" t="str">
        <f>IF($K611="","",INDEX('Detalle individual'!$F:$F,$K611))</f>
        <v/>
      </c>
      <c r="I611" s="20" t="str">
        <f>IF($K611="","",IF(INDEX('Detalle individual'!$F:$F,$K611)="Completado",INDEX('Detalle individual'!$H:$H,$K611),""))</f>
        <v/>
      </c>
      <c r="J611" s="21" t="str">
        <f>IF($K611="","",IF(INDEX('Detalle individual'!$F:$F,$K611)="Completado",INDEX('Detalle individual'!$J:$J,$K611),""))</f>
        <v/>
      </c>
      <c r="K611" t="str">
        <f>IFERROR(MOD(SMALL(Cálculos!$Z$5:$Z$1000,603),10000),"")</f>
        <v/>
      </c>
    </row>
    <row r="612">
      <c r="B612" s="13" t="str">
        <f>IF($K612="","",604)</f>
        <v/>
      </c>
      <c r="C612" s="13" t="str">
        <f>IF($K612="","",INDEX('Detalle individual'!$A:$A,$K612))</f>
        <v/>
      </c>
      <c r="D612" s="72" t="str">
        <f>IF($K612="","",TRIM(INDEX('Detalle individual'!$B:$B,$K612)))</f>
        <v/>
      </c>
      <c r="E612" s="72" t="str">
        <f>IF($K612="","",TRIM(INDEX('Detalle individual'!$E:$E,$K612)))</f>
        <v/>
      </c>
      <c r="F612" s="72" t="str">
        <f>IF($K612="","",TRIM(INDEX('Detalle individual'!$C:$C,$K612)))</f>
        <v/>
      </c>
      <c r="G612" s="72" t="str">
        <f>IF($K612="","",INDEX('Detalle individual'!$D:$D,$K612))</f>
        <v/>
      </c>
      <c r="H612" s="13" t="str">
        <f>IF($K612="","",INDEX('Detalle individual'!$F:$F,$K612))</f>
        <v/>
      </c>
      <c r="I612" s="20" t="str">
        <f>IF($K612="","",IF(INDEX('Detalle individual'!$F:$F,$K612)="Completado",INDEX('Detalle individual'!$H:$H,$K612),""))</f>
        <v/>
      </c>
      <c r="J612" s="21" t="str">
        <f>IF($K612="","",IF(INDEX('Detalle individual'!$F:$F,$K612)="Completado",INDEX('Detalle individual'!$J:$J,$K612),""))</f>
        <v/>
      </c>
      <c r="K612" t="str">
        <f>IFERROR(MOD(SMALL(Cálculos!$Z$5:$Z$1000,604),10000),"")</f>
        <v/>
      </c>
    </row>
    <row r="613">
      <c r="B613" s="13" t="str">
        <f>IF($K613="","",605)</f>
        <v/>
      </c>
      <c r="C613" s="13" t="str">
        <f>IF($K613="","",INDEX('Detalle individual'!$A:$A,$K613))</f>
        <v/>
      </c>
      <c r="D613" s="72" t="str">
        <f>IF($K613="","",TRIM(INDEX('Detalle individual'!$B:$B,$K613)))</f>
        <v/>
      </c>
      <c r="E613" s="72" t="str">
        <f>IF($K613="","",TRIM(INDEX('Detalle individual'!$E:$E,$K613)))</f>
        <v/>
      </c>
      <c r="F613" s="72" t="str">
        <f>IF($K613="","",TRIM(INDEX('Detalle individual'!$C:$C,$K613)))</f>
        <v/>
      </c>
      <c r="G613" s="72" t="str">
        <f>IF($K613="","",INDEX('Detalle individual'!$D:$D,$K613))</f>
        <v/>
      </c>
      <c r="H613" s="13" t="str">
        <f>IF($K613="","",INDEX('Detalle individual'!$F:$F,$K613))</f>
        <v/>
      </c>
      <c r="I613" s="20" t="str">
        <f>IF($K613="","",IF(INDEX('Detalle individual'!$F:$F,$K613)="Completado",INDEX('Detalle individual'!$H:$H,$K613),""))</f>
        <v/>
      </c>
      <c r="J613" s="21" t="str">
        <f>IF($K613="","",IF(INDEX('Detalle individual'!$F:$F,$K613)="Completado",INDEX('Detalle individual'!$J:$J,$K613),""))</f>
        <v/>
      </c>
      <c r="K613" t="str">
        <f>IFERROR(MOD(SMALL(Cálculos!$Z$5:$Z$1000,605),10000),"")</f>
        <v/>
      </c>
    </row>
    <row r="614">
      <c r="B614" s="13" t="str">
        <f>IF($K614="","",606)</f>
        <v/>
      </c>
      <c r="C614" s="13" t="str">
        <f>IF($K614="","",INDEX('Detalle individual'!$A:$A,$K614))</f>
        <v/>
      </c>
      <c r="D614" s="72" t="str">
        <f>IF($K614="","",TRIM(INDEX('Detalle individual'!$B:$B,$K614)))</f>
        <v/>
      </c>
      <c r="E614" s="72" t="str">
        <f>IF($K614="","",TRIM(INDEX('Detalle individual'!$E:$E,$K614)))</f>
        <v/>
      </c>
      <c r="F614" s="72" t="str">
        <f>IF($K614="","",TRIM(INDEX('Detalle individual'!$C:$C,$K614)))</f>
        <v/>
      </c>
      <c r="G614" s="72" t="str">
        <f>IF($K614="","",INDEX('Detalle individual'!$D:$D,$K614))</f>
        <v/>
      </c>
      <c r="H614" s="13" t="str">
        <f>IF($K614="","",INDEX('Detalle individual'!$F:$F,$K614))</f>
        <v/>
      </c>
      <c r="I614" s="20" t="str">
        <f>IF($K614="","",IF(INDEX('Detalle individual'!$F:$F,$K614)="Completado",INDEX('Detalle individual'!$H:$H,$K614),""))</f>
        <v/>
      </c>
      <c r="J614" s="21" t="str">
        <f>IF($K614="","",IF(INDEX('Detalle individual'!$F:$F,$K614)="Completado",INDEX('Detalle individual'!$J:$J,$K614),""))</f>
        <v/>
      </c>
      <c r="K614" t="str">
        <f>IFERROR(MOD(SMALL(Cálculos!$Z$5:$Z$1000,606),10000),"")</f>
        <v/>
      </c>
    </row>
    <row r="615">
      <c r="B615" s="13" t="str">
        <f>IF($K615="","",607)</f>
        <v/>
      </c>
      <c r="C615" s="13" t="str">
        <f>IF($K615="","",INDEX('Detalle individual'!$A:$A,$K615))</f>
        <v/>
      </c>
      <c r="D615" s="72" t="str">
        <f>IF($K615="","",TRIM(INDEX('Detalle individual'!$B:$B,$K615)))</f>
        <v/>
      </c>
      <c r="E615" s="72" t="str">
        <f>IF($K615="","",TRIM(INDEX('Detalle individual'!$E:$E,$K615)))</f>
        <v/>
      </c>
      <c r="F615" s="72" t="str">
        <f>IF($K615="","",TRIM(INDEX('Detalle individual'!$C:$C,$K615)))</f>
        <v/>
      </c>
      <c r="G615" s="72" t="str">
        <f>IF($K615="","",INDEX('Detalle individual'!$D:$D,$K615))</f>
        <v/>
      </c>
      <c r="H615" s="13" t="str">
        <f>IF($K615="","",INDEX('Detalle individual'!$F:$F,$K615))</f>
        <v/>
      </c>
      <c r="I615" s="20" t="str">
        <f>IF($K615="","",IF(INDEX('Detalle individual'!$F:$F,$K615)="Completado",INDEX('Detalle individual'!$H:$H,$K615),""))</f>
        <v/>
      </c>
      <c r="J615" s="21" t="str">
        <f>IF($K615="","",IF(INDEX('Detalle individual'!$F:$F,$K615)="Completado",INDEX('Detalle individual'!$J:$J,$K615),""))</f>
        <v/>
      </c>
      <c r="K615" t="str">
        <f>IFERROR(MOD(SMALL(Cálculos!$Z$5:$Z$1000,607),10000),"")</f>
        <v/>
      </c>
    </row>
    <row r="616">
      <c r="B616" s="13" t="str">
        <f>IF($K616="","",608)</f>
        <v/>
      </c>
      <c r="C616" s="13" t="str">
        <f>IF($K616="","",INDEX('Detalle individual'!$A:$A,$K616))</f>
        <v/>
      </c>
      <c r="D616" s="72" t="str">
        <f>IF($K616="","",TRIM(INDEX('Detalle individual'!$B:$B,$K616)))</f>
        <v/>
      </c>
      <c r="E616" s="72" t="str">
        <f>IF($K616="","",TRIM(INDEX('Detalle individual'!$E:$E,$K616)))</f>
        <v/>
      </c>
      <c r="F616" s="72" t="str">
        <f>IF($K616="","",TRIM(INDEX('Detalle individual'!$C:$C,$K616)))</f>
        <v/>
      </c>
      <c r="G616" s="72" t="str">
        <f>IF($K616="","",INDEX('Detalle individual'!$D:$D,$K616))</f>
        <v/>
      </c>
      <c r="H616" s="13" t="str">
        <f>IF($K616="","",INDEX('Detalle individual'!$F:$F,$K616))</f>
        <v/>
      </c>
      <c r="I616" s="20" t="str">
        <f>IF($K616="","",IF(INDEX('Detalle individual'!$F:$F,$K616)="Completado",INDEX('Detalle individual'!$H:$H,$K616),""))</f>
        <v/>
      </c>
      <c r="J616" s="21" t="str">
        <f>IF($K616="","",IF(INDEX('Detalle individual'!$F:$F,$K616)="Completado",INDEX('Detalle individual'!$J:$J,$K616),""))</f>
        <v/>
      </c>
      <c r="K616" t="str">
        <f>IFERROR(MOD(SMALL(Cálculos!$Z$5:$Z$1000,608),10000),"")</f>
        <v/>
      </c>
    </row>
    <row r="617">
      <c r="B617" s="13" t="str">
        <f>IF($K617="","",609)</f>
        <v/>
      </c>
      <c r="C617" s="13" t="str">
        <f>IF($K617="","",INDEX('Detalle individual'!$A:$A,$K617))</f>
        <v/>
      </c>
      <c r="D617" s="72" t="str">
        <f>IF($K617="","",TRIM(INDEX('Detalle individual'!$B:$B,$K617)))</f>
        <v/>
      </c>
      <c r="E617" s="72" t="str">
        <f>IF($K617="","",TRIM(INDEX('Detalle individual'!$E:$E,$K617)))</f>
        <v/>
      </c>
      <c r="F617" s="72" t="str">
        <f>IF($K617="","",TRIM(INDEX('Detalle individual'!$C:$C,$K617)))</f>
        <v/>
      </c>
      <c r="G617" s="72" t="str">
        <f>IF($K617="","",INDEX('Detalle individual'!$D:$D,$K617))</f>
        <v/>
      </c>
      <c r="H617" s="13" t="str">
        <f>IF($K617="","",INDEX('Detalle individual'!$F:$F,$K617))</f>
        <v/>
      </c>
      <c r="I617" s="20" t="str">
        <f>IF($K617="","",IF(INDEX('Detalle individual'!$F:$F,$K617)="Completado",INDEX('Detalle individual'!$H:$H,$K617),""))</f>
        <v/>
      </c>
      <c r="J617" s="21" t="str">
        <f>IF($K617="","",IF(INDEX('Detalle individual'!$F:$F,$K617)="Completado",INDEX('Detalle individual'!$J:$J,$K617),""))</f>
        <v/>
      </c>
      <c r="K617" t="str">
        <f>IFERROR(MOD(SMALL(Cálculos!$Z$5:$Z$1000,609),10000),"")</f>
        <v/>
      </c>
    </row>
    <row r="618">
      <c r="B618" s="13" t="str">
        <f>IF($K618="","",610)</f>
        <v/>
      </c>
      <c r="C618" s="13" t="str">
        <f>IF($K618="","",INDEX('Detalle individual'!$A:$A,$K618))</f>
        <v/>
      </c>
      <c r="D618" s="72" t="str">
        <f>IF($K618="","",TRIM(INDEX('Detalle individual'!$B:$B,$K618)))</f>
        <v/>
      </c>
      <c r="E618" s="72" t="str">
        <f>IF($K618="","",TRIM(INDEX('Detalle individual'!$E:$E,$K618)))</f>
        <v/>
      </c>
      <c r="F618" s="72" t="str">
        <f>IF($K618="","",TRIM(INDEX('Detalle individual'!$C:$C,$K618)))</f>
        <v/>
      </c>
      <c r="G618" s="72" t="str">
        <f>IF($K618="","",INDEX('Detalle individual'!$D:$D,$K618))</f>
        <v/>
      </c>
      <c r="H618" s="13" t="str">
        <f>IF($K618="","",INDEX('Detalle individual'!$F:$F,$K618))</f>
        <v/>
      </c>
      <c r="I618" s="20" t="str">
        <f>IF($K618="","",IF(INDEX('Detalle individual'!$F:$F,$K618)="Completado",INDEX('Detalle individual'!$H:$H,$K618),""))</f>
        <v/>
      </c>
      <c r="J618" s="21" t="str">
        <f>IF($K618="","",IF(INDEX('Detalle individual'!$F:$F,$K618)="Completado",INDEX('Detalle individual'!$J:$J,$K618),""))</f>
        <v/>
      </c>
      <c r="K618" t="str">
        <f>IFERROR(MOD(SMALL(Cálculos!$Z$5:$Z$1000,610),10000),"")</f>
        <v/>
      </c>
    </row>
    <row r="619">
      <c r="B619" s="13" t="str">
        <f>IF($K619="","",611)</f>
        <v/>
      </c>
      <c r="C619" s="13" t="str">
        <f>IF($K619="","",INDEX('Detalle individual'!$A:$A,$K619))</f>
        <v/>
      </c>
      <c r="D619" s="72" t="str">
        <f>IF($K619="","",TRIM(INDEX('Detalle individual'!$B:$B,$K619)))</f>
        <v/>
      </c>
      <c r="E619" s="72" t="str">
        <f>IF($K619="","",TRIM(INDEX('Detalle individual'!$E:$E,$K619)))</f>
        <v/>
      </c>
      <c r="F619" s="72" t="str">
        <f>IF($K619="","",TRIM(INDEX('Detalle individual'!$C:$C,$K619)))</f>
        <v/>
      </c>
      <c r="G619" s="72" t="str">
        <f>IF($K619="","",INDEX('Detalle individual'!$D:$D,$K619))</f>
        <v/>
      </c>
      <c r="H619" s="13" t="str">
        <f>IF($K619="","",INDEX('Detalle individual'!$F:$F,$K619))</f>
        <v/>
      </c>
      <c r="I619" s="20" t="str">
        <f>IF($K619="","",IF(INDEX('Detalle individual'!$F:$F,$K619)="Completado",INDEX('Detalle individual'!$H:$H,$K619),""))</f>
        <v/>
      </c>
      <c r="J619" s="21" t="str">
        <f>IF($K619="","",IF(INDEX('Detalle individual'!$F:$F,$K619)="Completado",INDEX('Detalle individual'!$J:$J,$K619),""))</f>
        <v/>
      </c>
      <c r="K619" t="str">
        <f>IFERROR(MOD(SMALL(Cálculos!$Z$5:$Z$1000,611),10000),"")</f>
        <v/>
      </c>
    </row>
    <row r="620">
      <c r="B620" s="13" t="str">
        <f>IF($K620="","",612)</f>
        <v/>
      </c>
      <c r="C620" s="13" t="str">
        <f>IF($K620="","",INDEX('Detalle individual'!$A:$A,$K620))</f>
        <v/>
      </c>
      <c r="D620" s="72" t="str">
        <f>IF($K620="","",TRIM(INDEX('Detalle individual'!$B:$B,$K620)))</f>
        <v/>
      </c>
      <c r="E620" s="72" t="str">
        <f>IF($K620="","",TRIM(INDEX('Detalle individual'!$E:$E,$K620)))</f>
        <v/>
      </c>
      <c r="F620" s="72" t="str">
        <f>IF($K620="","",TRIM(INDEX('Detalle individual'!$C:$C,$K620)))</f>
        <v/>
      </c>
      <c r="G620" s="72" t="str">
        <f>IF($K620="","",INDEX('Detalle individual'!$D:$D,$K620))</f>
        <v/>
      </c>
      <c r="H620" s="13" t="str">
        <f>IF($K620="","",INDEX('Detalle individual'!$F:$F,$K620))</f>
        <v/>
      </c>
      <c r="I620" s="20" t="str">
        <f>IF($K620="","",IF(INDEX('Detalle individual'!$F:$F,$K620)="Completado",INDEX('Detalle individual'!$H:$H,$K620),""))</f>
        <v/>
      </c>
      <c r="J620" s="21" t="str">
        <f>IF($K620="","",IF(INDEX('Detalle individual'!$F:$F,$K620)="Completado",INDEX('Detalle individual'!$J:$J,$K620),""))</f>
        <v/>
      </c>
      <c r="K620" t="str">
        <f>IFERROR(MOD(SMALL(Cálculos!$Z$5:$Z$1000,612),10000),"")</f>
        <v/>
      </c>
    </row>
    <row r="621">
      <c r="B621" s="13" t="str">
        <f>IF($K621="","",613)</f>
        <v/>
      </c>
      <c r="C621" s="13" t="str">
        <f>IF($K621="","",INDEX('Detalle individual'!$A:$A,$K621))</f>
        <v/>
      </c>
      <c r="D621" s="72" t="str">
        <f>IF($K621="","",TRIM(INDEX('Detalle individual'!$B:$B,$K621)))</f>
        <v/>
      </c>
      <c r="E621" s="72" t="str">
        <f>IF($K621="","",TRIM(INDEX('Detalle individual'!$E:$E,$K621)))</f>
        <v/>
      </c>
      <c r="F621" s="72" t="str">
        <f>IF($K621="","",TRIM(INDEX('Detalle individual'!$C:$C,$K621)))</f>
        <v/>
      </c>
      <c r="G621" s="72" t="str">
        <f>IF($K621="","",INDEX('Detalle individual'!$D:$D,$K621))</f>
        <v/>
      </c>
      <c r="H621" s="13" t="str">
        <f>IF($K621="","",INDEX('Detalle individual'!$F:$F,$K621))</f>
        <v/>
      </c>
      <c r="I621" s="20" t="str">
        <f>IF($K621="","",IF(INDEX('Detalle individual'!$F:$F,$K621)="Completado",INDEX('Detalle individual'!$H:$H,$K621),""))</f>
        <v/>
      </c>
      <c r="J621" s="21" t="str">
        <f>IF($K621="","",IF(INDEX('Detalle individual'!$F:$F,$K621)="Completado",INDEX('Detalle individual'!$J:$J,$K621),""))</f>
        <v/>
      </c>
      <c r="K621" t="str">
        <f>IFERROR(MOD(SMALL(Cálculos!$Z$5:$Z$1000,613),10000),"")</f>
        <v/>
      </c>
    </row>
    <row r="622">
      <c r="B622" s="13" t="str">
        <f>IF($K622="","",614)</f>
        <v/>
      </c>
      <c r="C622" s="13" t="str">
        <f>IF($K622="","",INDEX('Detalle individual'!$A:$A,$K622))</f>
        <v/>
      </c>
      <c r="D622" s="72" t="str">
        <f>IF($K622="","",TRIM(INDEX('Detalle individual'!$B:$B,$K622)))</f>
        <v/>
      </c>
      <c r="E622" s="72" t="str">
        <f>IF($K622="","",TRIM(INDEX('Detalle individual'!$E:$E,$K622)))</f>
        <v/>
      </c>
      <c r="F622" s="72" t="str">
        <f>IF($K622="","",TRIM(INDEX('Detalle individual'!$C:$C,$K622)))</f>
        <v/>
      </c>
      <c r="G622" s="72" t="str">
        <f>IF($K622="","",INDEX('Detalle individual'!$D:$D,$K622))</f>
        <v/>
      </c>
      <c r="H622" s="13" t="str">
        <f>IF($K622="","",INDEX('Detalle individual'!$F:$F,$K622))</f>
        <v/>
      </c>
      <c r="I622" s="20" t="str">
        <f>IF($K622="","",IF(INDEX('Detalle individual'!$F:$F,$K622)="Completado",INDEX('Detalle individual'!$H:$H,$K622),""))</f>
        <v/>
      </c>
      <c r="J622" s="21" t="str">
        <f>IF($K622="","",IF(INDEX('Detalle individual'!$F:$F,$K622)="Completado",INDEX('Detalle individual'!$J:$J,$K622),""))</f>
        <v/>
      </c>
      <c r="K622" t="str">
        <f>IFERROR(MOD(SMALL(Cálculos!$Z$5:$Z$1000,614),10000),"")</f>
        <v/>
      </c>
    </row>
    <row r="623">
      <c r="B623" s="13" t="str">
        <f>IF($K623="","",615)</f>
        <v/>
      </c>
      <c r="C623" s="13" t="str">
        <f>IF($K623="","",INDEX('Detalle individual'!$A:$A,$K623))</f>
        <v/>
      </c>
      <c r="D623" s="72" t="str">
        <f>IF($K623="","",TRIM(INDEX('Detalle individual'!$B:$B,$K623)))</f>
        <v/>
      </c>
      <c r="E623" s="72" t="str">
        <f>IF($K623="","",TRIM(INDEX('Detalle individual'!$E:$E,$K623)))</f>
        <v/>
      </c>
      <c r="F623" s="72" t="str">
        <f>IF($K623="","",TRIM(INDEX('Detalle individual'!$C:$C,$K623)))</f>
        <v/>
      </c>
      <c r="G623" s="72" t="str">
        <f>IF($K623="","",INDEX('Detalle individual'!$D:$D,$K623))</f>
        <v/>
      </c>
      <c r="H623" s="13" t="str">
        <f>IF($K623="","",INDEX('Detalle individual'!$F:$F,$K623))</f>
        <v/>
      </c>
      <c r="I623" s="20" t="str">
        <f>IF($K623="","",IF(INDEX('Detalle individual'!$F:$F,$K623)="Completado",INDEX('Detalle individual'!$H:$H,$K623),""))</f>
        <v/>
      </c>
      <c r="J623" s="21" t="str">
        <f>IF($K623="","",IF(INDEX('Detalle individual'!$F:$F,$K623)="Completado",INDEX('Detalle individual'!$J:$J,$K623),""))</f>
        <v/>
      </c>
      <c r="K623" t="str">
        <f>IFERROR(MOD(SMALL(Cálculos!$Z$5:$Z$1000,615),10000),"")</f>
        <v/>
      </c>
    </row>
    <row r="624">
      <c r="B624" s="13" t="str">
        <f>IF($K624="","",616)</f>
        <v/>
      </c>
      <c r="C624" s="13" t="str">
        <f>IF($K624="","",INDEX('Detalle individual'!$A:$A,$K624))</f>
        <v/>
      </c>
      <c r="D624" s="72" t="str">
        <f>IF($K624="","",TRIM(INDEX('Detalle individual'!$B:$B,$K624)))</f>
        <v/>
      </c>
      <c r="E624" s="72" t="str">
        <f>IF($K624="","",TRIM(INDEX('Detalle individual'!$E:$E,$K624)))</f>
        <v/>
      </c>
      <c r="F624" s="72" t="str">
        <f>IF($K624="","",TRIM(INDEX('Detalle individual'!$C:$C,$K624)))</f>
        <v/>
      </c>
      <c r="G624" s="72" t="str">
        <f>IF($K624="","",INDEX('Detalle individual'!$D:$D,$K624))</f>
        <v/>
      </c>
      <c r="H624" s="13" t="str">
        <f>IF($K624="","",INDEX('Detalle individual'!$F:$F,$K624))</f>
        <v/>
      </c>
      <c r="I624" s="20" t="str">
        <f>IF($K624="","",IF(INDEX('Detalle individual'!$F:$F,$K624)="Completado",INDEX('Detalle individual'!$H:$H,$K624),""))</f>
        <v/>
      </c>
      <c r="J624" s="21" t="str">
        <f>IF($K624="","",IF(INDEX('Detalle individual'!$F:$F,$K624)="Completado",INDEX('Detalle individual'!$J:$J,$K624),""))</f>
        <v/>
      </c>
      <c r="K624" t="str">
        <f>IFERROR(MOD(SMALL(Cálculos!$Z$5:$Z$1000,616),10000),"")</f>
        <v/>
      </c>
    </row>
    <row r="625">
      <c r="B625" s="13" t="str">
        <f>IF($K625="","",617)</f>
        <v/>
      </c>
      <c r="C625" s="13" t="str">
        <f>IF($K625="","",INDEX('Detalle individual'!$A:$A,$K625))</f>
        <v/>
      </c>
      <c r="D625" s="72" t="str">
        <f>IF($K625="","",TRIM(INDEX('Detalle individual'!$B:$B,$K625)))</f>
        <v/>
      </c>
      <c r="E625" s="72" t="str">
        <f>IF($K625="","",TRIM(INDEX('Detalle individual'!$E:$E,$K625)))</f>
        <v/>
      </c>
      <c r="F625" s="72" t="str">
        <f>IF($K625="","",TRIM(INDEX('Detalle individual'!$C:$C,$K625)))</f>
        <v/>
      </c>
      <c r="G625" s="72" t="str">
        <f>IF($K625="","",INDEX('Detalle individual'!$D:$D,$K625))</f>
        <v/>
      </c>
      <c r="H625" s="13" t="str">
        <f>IF($K625="","",INDEX('Detalle individual'!$F:$F,$K625))</f>
        <v/>
      </c>
      <c r="I625" s="20" t="str">
        <f>IF($K625="","",IF(INDEX('Detalle individual'!$F:$F,$K625)="Completado",INDEX('Detalle individual'!$H:$H,$K625),""))</f>
        <v/>
      </c>
      <c r="J625" s="21" t="str">
        <f>IF($K625="","",IF(INDEX('Detalle individual'!$F:$F,$K625)="Completado",INDEX('Detalle individual'!$J:$J,$K625),""))</f>
        <v/>
      </c>
      <c r="K625" t="str">
        <f>IFERROR(MOD(SMALL(Cálculos!$Z$5:$Z$1000,617),10000),"")</f>
        <v/>
      </c>
    </row>
    <row r="626">
      <c r="B626" s="13" t="str">
        <f>IF($K626="","",618)</f>
        <v/>
      </c>
      <c r="C626" s="13" t="str">
        <f>IF($K626="","",INDEX('Detalle individual'!$A:$A,$K626))</f>
        <v/>
      </c>
      <c r="D626" s="72" t="str">
        <f>IF($K626="","",TRIM(INDEX('Detalle individual'!$B:$B,$K626)))</f>
        <v/>
      </c>
      <c r="E626" s="72" t="str">
        <f>IF($K626="","",TRIM(INDEX('Detalle individual'!$E:$E,$K626)))</f>
        <v/>
      </c>
      <c r="F626" s="72" t="str">
        <f>IF($K626="","",TRIM(INDEX('Detalle individual'!$C:$C,$K626)))</f>
        <v/>
      </c>
      <c r="G626" s="72" t="str">
        <f>IF($K626="","",INDEX('Detalle individual'!$D:$D,$K626))</f>
        <v/>
      </c>
      <c r="H626" s="13" t="str">
        <f>IF($K626="","",INDEX('Detalle individual'!$F:$F,$K626))</f>
        <v/>
      </c>
      <c r="I626" s="20" t="str">
        <f>IF($K626="","",IF(INDEX('Detalle individual'!$F:$F,$K626)="Completado",INDEX('Detalle individual'!$H:$H,$K626),""))</f>
        <v/>
      </c>
      <c r="J626" s="21" t="str">
        <f>IF($K626="","",IF(INDEX('Detalle individual'!$F:$F,$K626)="Completado",INDEX('Detalle individual'!$J:$J,$K626),""))</f>
        <v/>
      </c>
      <c r="K626" t="str">
        <f>IFERROR(MOD(SMALL(Cálculos!$Z$5:$Z$1000,618),10000),"")</f>
        <v/>
      </c>
    </row>
    <row r="627">
      <c r="B627" s="13" t="str">
        <f>IF($K627="","",619)</f>
        <v/>
      </c>
      <c r="C627" s="13" t="str">
        <f>IF($K627="","",INDEX('Detalle individual'!$A:$A,$K627))</f>
        <v/>
      </c>
      <c r="D627" s="72" t="str">
        <f>IF($K627="","",TRIM(INDEX('Detalle individual'!$B:$B,$K627)))</f>
        <v/>
      </c>
      <c r="E627" s="72" t="str">
        <f>IF($K627="","",TRIM(INDEX('Detalle individual'!$E:$E,$K627)))</f>
        <v/>
      </c>
      <c r="F627" s="72" t="str">
        <f>IF($K627="","",TRIM(INDEX('Detalle individual'!$C:$C,$K627)))</f>
        <v/>
      </c>
      <c r="G627" s="72" t="str">
        <f>IF($K627="","",INDEX('Detalle individual'!$D:$D,$K627))</f>
        <v/>
      </c>
      <c r="H627" s="13" t="str">
        <f>IF($K627="","",INDEX('Detalle individual'!$F:$F,$K627))</f>
        <v/>
      </c>
      <c r="I627" s="20" t="str">
        <f>IF($K627="","",IF(INDEX('Detalle individual'!$F:$F,$K627)="Completado",INDEX('Detalle individual'!$H:$H,$K627),""))</f>
        <v/>
      </c>
      <c r="J627" s="21" t="str">
        <f>IF($K627="","",IF(INDEX('Detalle individual'!$F:$F,$K627)="Completado",INDEX('Detalle individual'!$J:$J,$K627),""))</f>
        <v/>
      </c>
      <c r="K627" t="str">
        <f>IFERROR(MOD(SMALL(Cálculos!$Z$5:$Z$1000,619),10000),"")</f>
        <v/>
      </c>
    </row>
    <row r="628">
      <c r="B628" s="13" t="str">
        <f>IF($K628="","",620)</f>
        <v/>
      </c>
      <c r="C628" s="13" t="str">
        <f>IF($K628="","",INDEX('Detalle individual'!$A:$A,$K628))</f>
        <v/>
      </c>
      <c r="D628" s="72" t="str">
        <f>IF($K628="","",TRIM(INDEX('Detalle individual'!$B:$B,$K628)))</f>
        <v/>
      </c>
      <c r="E628" s="72" t="str">
        <f>IF($K628="","",TRIM(INDEX('Detalle individual'!$E:$E,$K628)))</f>
        <v/>
      </c>
      <c r="F628" s="72" t="str">
        <f>IF($K628="","",TRIM(INDEX('Detalle individual'!$C:$C,$K628)))</f>
        <v/>
      </c>
      <c r="G628" s="72" t="str">
        <f>IF($K628="","",INDEX('Detalle individual'!$D:$D,$K628))</f>
        <v/>
      </c>
      <c r="H628" s="13" t="str">
        <f>IF($K628="","",INDEX('Detalle individual'!$F:$F,$K628))</f>
        <v/>
      </c>
      <c r="I628" s="20" t="str">
        <f>IF($K628="","",IF(INDEX('Detalle individual'!$F:$F,$K628)="Completado",INDEX('Detalle individual'!$H:$H,$K628),""))</f>
        <v/>
      </c>
      <c r="J628" s="21" t="str">
        <f>IF($K628="","",IF(INDEX('Detalle individual'!$F:$F,$K628)="Completado",INDEX('Detalle individual'!$J:$J,$K628),""))</f>
        <v/>
      </c>
      <c r="K628" t="str">
        <f>IFERROR(MOD(SMALL(Cálculos!$Z$5:$Z$1000,620),10000),"")</f>
        <v/>
      </c>
    </row>
    <row r="629">
      <c r="B629" s="13" t="str">
        <f>IF($K629="","",621)</f>
        <v/>
      </c>
      <c r="C629" s="13" t="str">
        <f>IF($K629="","",INDEX('Detalle individual'!$A:$A,$K629))</f>
        <v/>
      </c>
      <c r="D629" s="72" t="str">
        <f>IF($K629="","",TRIM(INDEX('Detalle individual'!$B:$B,$K629)))</f>
        <v/>
      </c>
      <c r="E629" s="72" t="str">
        <f>IF($K629="","",TRIM(INDEX('Detalle individual'!$E:$E,$K629)))</f>
        <v/>
      </c>
      <c r="F629" s="72" t="str">
        <f>IF($K629="","",TRIM(INDEX('Detalle individual'!$C:$C,$K629)))</f>
        <v/>
      </c>
      <c r="G629" s="72" t="str">
        <f>IF($K629="","",INDEX('Detalle individual'!$D:$D,$K629))</f>
        <v/>
      </c>
      <c r="H629" s="13" t="str">
        <f>IF($K629="","",INDEX('Detalle individual'!$F:$F,$K629))</f>
        <v/>
      </c>
      <c r="I629" s="20" t="str">
        <f>IF($K629="","",IF(INDEX('Detalle individual'!$F:$F,$K629)="Completado",INDEX('Detalle individual'!$H:$H,$K629),""))</f>
        <v/>
      </c>
      <c r="J629" s="21" t="str">
        <f>IF($K629="","",IF(INDEX('Detalle individual'!$F:$F,$K629)="Completado",INDEX('Detalle individual'!$J:$J,$K629),""))</f>
        <v/>
      </c>
      <c r="K629" t="str">
        <f>IFERROR(MOD(SMALL(Cálculos!$Z$5:$Z$1000,621),10000),"")</f>
        <v/>
      </c>
    </row>
    <row r="630">
      <c r="B630" s="13" t="str">
        <f>IF($K630="","",622)</f>
        <v/>
      </c>
      <c r="C630" s="13" t="str">
        <f>IF($K630="","",INDEX('Detalle individual'!$A:$A,$K630))</f>
        <v/>
      </c>
      <c r="D630" s="72" t="str">
        <f>IF($K630="","",TRIM(INDEX('Detalle individual'!$B:$B,$K630)))</f>
        <v/>
      </c>
      <c r="E630" s="72" t="str">
        <f>IF($K630="","",TRIM(INDEX('Detalle individual'!$E:$E,$K630)))</f>
        <v/>
      </c>
      <c r="F630" s="72" t="str">
        <f>IF($K630="","",TRIM(INDEX('Detalle individual'!$C:$C,$K630)))</f>
        <v/>
      </c>
      <c r="G630" s="72" t="str">
        <f>IF($K630="","",INDEX('Detalle individual'!$D:$D,$K630))</f>
        <v/>
      </c>
      <c r="H630" s="13" t="str">
        <f>IF($K630="","",INDEX('Detalle individual'!$F:$F,$K630))</f>
        <v/>
      </c>
      <c r="I630" s="20" t="str">
        <f>IF($K630="","",IF(INDEX('Detalle individual'!$F:$F,$K630)="Completado",INDEX('Detalle individual'!$H:$H,$K630),""))</f>
        <v/>
      </c>
      <c r="J630" s="21" t="str">
        <f>IF($K630="","",IF(INDEX('Detalle individual'!$F:$F,$K630)="Completado",INDEX('Detalle individual'!$J:$J,$K630),""))</f>
        <v/>
      </c>
      <c r="K630" t="str">
        <f>IFERROR(MOD(SMALL(Cálculos!$Z$5:$Z$1000,622),10000),"")</f>
        <v/>
      </c>
    </row>
    <row r="631">
      <c r="B631" s="13" t="str">
        <f>IF($K631="","",623)</f>
        <v/>
      </c>
      <c r="C631" s="13" t="str">
        <f>IF($K631="","",INDEX('Detalle individual'!$A:$A,$K631))</f>
        <v/>
      </c>
      <c r="D631" s="72" t="str">
        <f>IF($K631="","",TRIM(INDEX('Detalle individual'!$B:$B,$K631)))</f>
        <v/>
      </c>
      <c r="E631" s="72" t="str">
        <f>IF($K631="","",TRIM(INDEX('Detalle individual'!$E:$E,$K631)))</f>
        <v/>
      </c>
      <c r="F631" s="72" t="str">
        <f>IF($K631="","",TRIM(INDEX('Detalle individual'!$C:$C,$K631)))</f>
        <v/>
      </c>
      <c r="G631" s="72" t="str">
        <f>IF($K631="","",INDEX('Detalle individual'!$D:$D,$K631))</f>
        <v/>
      </c>
      <c r="H631" s="13" t="str">
        <f>IF($K631="","",INDEX('Detalle individual'!$F:$F,$K631))</f>
        <v/>
      </c>
      <c r="I631" s="20" t="str">
        <f>IF($K631="","",IF(INDEX('Detalle individual'!$F:$F,$K631)="Completado",INDEX('Detalle individual'!$H:$H,$K631),""))</f>
        <v/>
      </c>
      <c r="J631" s="21" t="str">
        <f>IF($K631="","",IF(INDEX('Detalle individual'!$F:$F,$K631)="Completado",INDEX('Detalle individual'!$J:$J,$K631),""))</f>
        <v/>
      </c>
      <c r="K631" t="str">
        <f>IFERROR(MOD(SMALL(Cálculos!$Z$5:$Z$1000,623),10000),"")</f>
        <v/>
      </c>
    </row>
    <row r="632">
      <c r="B632" s="13" t="str">
        <f>IF($K632="","",624)</f>
        <v/>
      </c>
      <c r="C632" s="13" t="str">
        <f>IF($K632="","",INDEX('Detalle individual'!$A:$A,$K632))</f>
        <v/>
      </c>
      <c r="D632" s="72" t="str">
        <f>IF($K632="","",TRIM(INDEX('Detalle individual'!$B:$B,$K632)))</f>
        <v/>
      </c>
      <c r="E632" s="72" t="str">
        <f>IF($K632="","",TRIM(INDEX('Detalle individual'!$E:$E,$K632)))</f>
        <v/>
      </c>
      <c r="F632" s="72" t="str">
        <f>IF($K632="","",TRIM(INDEX('Detalle individual'!$C:$C,$K632)))</f>
        <v/>
      </c>
      <c r="G632" s="72" t="str">
        <f>IF($K632="","",INDEX('Detalle individual'!$D:$D,$K632))</f>
        <v/>
      </c>
      <c r="H632" s="13" t="str">
        <f>IF($K632="","",INDEX('Detalle individual'!$F:$F,$K632))</f>
        <v/>
      </c>
      <c r="I632" s="20" t="str">
        <f>IF($K632="","",IF(INDEX('Detalle individual'!$F:$F,$K632)="Completado",INDEX('Detalle individual'!$H:$H,$K632),""))</f>
        <v/>
      </c>
      <c r="J632" s="21" t="str">
        <f>IF($K632="","",IF(INDEX('Detalle individual'!$F:$F,$K632)="Completado",INDEX('Detalle individual'!$J:$J,$K632),""))</f>
        <v/>
      </c>
      <c r="K632" t="str">
        <f>IFERROR(MOD(SMALL(Cálculos!$Z$5:$Z$1000,624),10000),"")</f>
        <v/>
      </c>
    </row>
    <row r="633">
      <c r="B633" s="13" t="str">
        <f>IF($K633="","",625)</f>
        <v/>
      </c>
      <c r="C633" s="13" t="str">
        <f>IF($K633="","",INDEX('Detalle individual'!$A:$A,$K633))</f>
        <v/>
      </c>
      <c r="D633" s="72" t="str">
        <f>IF($K633="","",TRIM(INDEX('Detalle individual'!$B:$B,$K633)))</f>
        <v/>
      </c>
      <c r="E633" s="72" t="str">
        <f>IF($K633="","",TRIM(INDEX('Detalle individual'!$E:$E,$K633)))</f>
        <v/>
      </c>
      <c r="F633" s="72" t="str">
        <f>IF($K633="","",TRIM(INDEX('Detalle individual'!$C:$C,$K633)))</f>
        <v/>
      </c>
      <c r="G633" s="72" t="str">
        <f>IF($K633="","",INDEX('Detalle individual'!$D:$D,$K633))</f>
        <v/>
      </c>
      <c r="H633" s="13" t="str">
        <f>IF($K633="","",INDEX('Detalle individual'!$F:$F,$K633))</f>
        <v/>
      </c>
      <c r="I633" s="20" t="str">
        <f>IF($K633="","",IF(INDEX('Detalle individual'!$F:$F,$K633)="Completado",INDEX('Detalle individual'!$H:$H,$K633),""))</f>
        <v/>
      </c>
      <c r="J633" s="21" t="str">
        <f>IF($K633="","",IF(INDEX('Detalle individual'!$F:$F,$K633)="Completado",INDEX('Detalle individual'!$J:$J,$K633),""))</f>
        <v/>
      </c>
      <c r="K633" t="str">
        <f>IFERROR(MOD(SMALL(Cálculos!$Z$5:$Z$1000,625),10000),"")</f>
        <v/>
      </c>
    </row>
    <row r="634">
      <c r="B634" s="13" t="str">
        <f>IF($K634="","",626)</f>
        <v/>
      </c>
      <c r="C634" s="13" t="str">
        <f>IF($K634="","",INDEX('Detalle individual'!$A:$A,$K634))</f>
        <v/>
      </c>
      <c r="D634" s="72" t="str">
        <f>IF($K634="","",TRIM(INDEX('Detalle individual'!$B:$B,$K634)))</f>
        <v/>
      </c>
      <c r="E634" s="72" t="str">
        <f>IF($K634="","",TRIM(INDEX('Detalle individual'!$E:$E,$K634)))</f>
        <v/>
      </c>
      <c r="F634" s="72" t="str">
        <f>IF($K634="","",TRIM(INDEX('Detalle individual'!$C:$C,$K634)))</f>
        <v/>
      </c>
      <c r="G634" s="72" t="str">
        <f>IF($K634="","",INDEX('Detalle individual'!$D:$D,$K634))</f>
        <v/>
      </c>
      <c r="H634" s="13" t="str">
        <f>IF($K634="","",INDEX('Detalle individual'!$F:$F,$K634))</f>
        <v/>
      </c>
      <c r="I634" s="20" t="str">
        <f>IF($K634="","",IF(INDEX('Detalle individual'!$F:$F,$K634)="Completado",INDEX('Detalle individual'!$H:$H,$K634),""))</f>
        <v/>
      </c>
      <c r="J634" s="21" t="str">
        <f>IF($K634="","",IF(INDEX('Detalle individual'!$F:$F,$K634)="Completado",INDEX('Detalle individual'!$J:$J,$K634),""))</f>
        <v/>
      </c>
      <c r="K634" t="str">
        <f>IFERROR(MOD(SMALL(Cálculos!$Z$5:$Z$1000,626),10000),"")</f>
        <v/>
      </c>
    </row>
    <row r="635">
      <c r="B635" s="13" t="str">
        <f>IF($K635="","",627)</f>
        <v/>
      </c>
      <c r="C635" s="13" t="str">
        <f>IF($K635="","",INDEX('Detalle individual'!$A:$A,$K635))</f>
        <v/>
      </c>
      <c r="D635" s="72" t="str">
        <f>IF($K635="","",TRIM(INDEX('Detalle individual'!$B:$B,$K635)))</f>
        <v/>
      </c>
      <c r="E635" s="72" t="str">
        <f>IF($K635="","",TRIM(INDEX('Detalle individual'!$E:$E,$K635)))</f>
        <v/>
      </c>
      <c r="F635" s="72" t="str">
        <f>IF($K635="","",TRIM(INDEX('Detalle individual'!$C:$C,$K635)))</f>
        <v/>
      </c>
      <c r="G635" s="72" t="str">
        <f>IF($K635="","",INDEX('Detalle individual'!$D:$D,$K635))</f>
        <v/>
      </c>
      <c r="H635" s="13" t="str">
        <f>IF($K635="","",INDEX('Detalle individual'!$F:$F,$K635))</f>
        <v/>
      </c>
      <c r="I635" s="20" t="str">
        <f>IF($K635="","",IF(INDEX('Detalle individual'!$F:$F,$K635)="Completado",INDEX('Detalle individual'!$H:$H,$K635),""))</f>
        <v/>
      </c>
      <c r="J635" s="21" t="str">
        <f>IF($K635="","",IF(INDEX('Detalle individual'!$F:$F,$K635)="Completado",INDEX('Detalle individual'!$J:$J,$K635),""))</f>
        <v/>
      </c>
      <c r="K635" t="str">
        <f>IFERROR(MOD(SMALL(Cálculos!$Z$5:$Z$1000,627),10000),"")</f>
        <v/>
      </c>
    </row>
    <row r="636">
      <c r="B636" s="13" t="str">
        <f>IF($K636="","",628)</f>
        <v/>
      </c>
      <c r="C636" s="13" t="str">
        <f>IF($K636="","",INDEX('Detalle individual'!$A:$A,$K636))</f>
        <v/>
      </c>
      <c r="D636" s="72" t="str">
        <f>IF($K636="","",TRIM(INDEX('Detalle individual'!$B:$B,$K636)))</f>
        <v/>
      </c>
      <c r="E636" s="72" t="str">
        <f>IF($K636="","",TRIM(INDEX('Detalle individual'!$E:$E,$K636)))</f>
        <v/>
      </c>
      <c r="F636" s="72" t="str">
        <f>IF($K636="","",TRIM(INDEX('Detalle individual'!$C:$C,$K636)))</f>
        <v/>
      </c>
      <c r="G636" s="72" t="str">
        <f>IF($K636="","",INDEX('Detalle individual'!$D:$D,$K636))</f>
        <v/>
      </c>
      <c r="H636" s="13" t="str">
        <f>IF($K636="","",INDEX('Detalle individual'!$F:$F,$K636))</f>
        <v/>
      </c>
      <c r="I636" s="20" t="str">
        <f>IF($K636="","",IF(INDEX('Detalle individual'!$F:$F,$K636)="Completado",INDEX('Detalle individual'!$H:$H,$K636),""))</f>
        <v/>
      </c>
      <c r="J636" s="21" t="str">
        <f>IF($K636="","",IF(INDEX('Detalle individual'!$F:$F,$K636)="Completado",INDEX('Detalle individual'!$J:$J,$K636),""))</f>
        <v/>
      </c>
      <c r="K636" t="str">
        <f>IFERROR(MOD(SMALL(Cálculos!$Z$5:$Z$1000,628),10000),"")</f>
        <v/>
      </c>
    </row>
    <row r="637">
      <c r="B637" s="13" t="str">
        <f>IF($K637="","",629)</f>
        <v/>
      </c>
      <c r="C637" s="13" t="str">
        <f>IF($K637="","",INDEX('Detalle individual'!$A:$A,$K637))</f>
        <v/>
      </c>
      <c r="D637" s="72" t="str">
        <f>IF($K637="","",TRIM(INDEX('Detalle individual'!$B:$B,$K637)))</f>
        <v/>
      </c>
      <c r="E637" s="72" t="str">
        <f>IF($K637="","",TRIM(INDEX('Detalle individual'!$E:$E,$K637)))</f>
        <v/>
      </c>
      <c r="F637" s="72" t="str">
        <f>IF($K637="","",TRIM(INDEX('Detalle individual'!$C:$C,$K637)))</f>
        <v/>
      </c>
      <c r="G637" s="72" t="str">
        <f>IF($K637="","",INDEX('Detalle individual'!$D:$D,$K637))</f>
        <v/>
      </c>
      <c r="H637" s="13" t="str">
        <f>IF($K637="","",INDEX('Detalle individual'!$F:$F,$K637))</f>
        <v/>
      </c>
      <c r="I637" s="20" t="str">
        <f>IF($K637="","",IF(INDEX('Detalle individual'!$F:$F,$K637)="Completado",INDEX('Detalle individual'!$H:$H,$K637),""))</f>
        <v/>
      </c>
      <c r="J637" s="21" t="str">
        <f>IF($K637="","",IF(INDEX('Detalle individual'!$F:$F,$K637)="Completado",INDEX('Detalle individual'!$J:$J,$K637),""))</f>
        <v/>
      </c>
      <c r="K637" t="str">
        <f>IFERROR(MOD(SMALL(Cálculos!$Z$5:$Z$1000,629),10000),"")</f>
        <v/>
      </c>
    </row>
    <row r="638">
      <c r="B638" s="13" t="str">
        <f>IF($K638="","",630)</f>
        <v/>
      </c>
      <c r="C638" s="13" t="str">
        <f>IF($K638="","",INDEX('Detalle individual'!$A:$A,$K638))</f>
        <v/>
      </c>
      <c r="D638" s="72" t="str">
        <f>IF($K638="","",TRIM(INDEX('Detalle individual'!$B:$B,$K638)))</f>
        <v/>
      </c>
      <c r="E638" s="72" t="str">
        <f>IF($K638="","",TRIM(INDEX('Detalle individual'!$E:$E,$K638)))</f>
        <v/>
      </c>
      <c r="F638" s="72" t="str">
        <f>IF($K638="","",TRIM(INDEX('Detalle individual'!$C:$C,$K638)))</f>
        <v/>
      </c>
      <c r="G638" s="72" t="str">
        <f>IF($K638="","",INDEX('Detalle individual'!$D:$D,$K638))</f>
        <v/>
      </c>
      <c r="H638" s="13" t="str">
        <f>IF($K638="","",INDEX('Detalle individual'!$F:$F,$K638))</f>
        <v/>
      </c>
      <c r="I638" s="20" t="str">
        <f>IF($K638="","",IF(INDEX('Detalle individual'!$F:$F,$K638)="Completado",INDEX('Detalle individual'!$H:$H,$K638),""))</f>
        <v/>
      </c>
      <c r="J638" s="21" t="str">
        <f>IF($K638="","",IF(INDEX('Detalle individual'!$F:$F,$K638)="Completado",INDEX('Detalle individual'!$J:$J,$K638),""))</f>
        <v/>
      </c>
      <c r="K638" t="str">
        <f>IFERROR(MOD(SMALL(Cálculos!$Z$5:$Z$1000,630),10000),"")</f>
        <v/>
      </c>
    </row>
    <row r="639">
      <c r="B639" s="13" t="str">
        <f>IF($K639="","",631)</f>
        <v/>
      </c>
      <c r="C639" s="13" t="str">
        <f>IF($K639="","",INDEX('Detalle individual'!$A:$A,$K639))</f>
        <v/>
      </c>
      <c r="D639" s="72" t="str">
        <f>IF($K639="","",TRIM(INDEX('Detalle individual'!$B:$B,$K639)))</f>
        <v/>
      </c>
      <c r="E639" s="72" t="str">
        <f>IF($K639="","",TRIM(INDEX('Detalle individual'!$E:$E,$K639)))</f>
        <v/>
      </c>
      <c r="F639" s="72" t="str">
        <f>IF($K639="","",TRIM(INDEX('Detalle individual'!$C:$C,$K639)))</f>
        <v/>
      </c>
      <c r="G639" s="72" t="str">
        <f>IF($K639="","",INDEX('Detalle individual'!$D:$D,$K639))</f>
        <v/>
      </c>
      <c r="H639" s="13" t="str">
        <f>IF($K639="","",INDEX('Detalle individual'!$F:$F,$K639))</f>
        <v/>
      </c>
      <c r="I639" s="20" t="str">
        <f>IF($K639="","",IF(INDEX('Detalle individual'!$F:$F,$K639)="Completado",INDEX('Detalle individual'!$H:$H,$K639),""))</f>
        <v/>
      </c>
      <c r="J639" s="21" t="str">
        <f>IF($K639="","",IF(INDEX('Detalle individual'!$F:$F,$K639)="Completado",INDEX('Detalle individual'!$J:$J,$K639),""))</f>
        <v/>
      </c>
      <c r="K639" t="str">
        <f>IFERROR(MOD(SMALL(Cálculos!$Z$5:$Z$1000,631),10000),"")</f>
        <v/>
      </c>
    </row>
    <row r="640">
      <c r="B640" s="13" t="str">
        <f>IF($K640="","",632)</f>
        <v/>
      </c>
      <c r="C640" s="13" t="str">
        <f>IF($K640="","",INDEX('Detalle individual'!$A:$A,$K640))</f>
        <v/>
      </c>
      <c r="D640" s="72" t="str">
        <f>IF($K640="","",TRIM(INDEX('Detalle individual'!$B:$B,$K640)))</f>
        <v/>
      </c>
      <c r="E640" s="72" t="str">
        <f>IF($K640="","",TRIM(INDEX('Detalle individual'!$E:$E,$K640)))</f>
        <v/>
      </c>
      <c r="F640" s="72" t="str">
        <f>IF($K640="","",TRIM(INDEX('Detalle individual'!$C:$C,$K640)))</f>
        <v/>
      </c>
      <c r="G640" s="72" t="str">
        <f>IF($K640="","",INDEX('Detalle individual'!$D:$D,$K640))</f>
        <v/>
      </c>
      <c r="H640" s="13" t="str">
        <f>IF($K640="","",INDEX('Detalle individual'!$F:$F,$K640))</f>
        <v/>
      </c>
      <c r="I640" s="20" t="str">
        <f>IF($K640="","",IF(INDEX('Detalle individual'!$F:$F,$K640)="Completado",INDEX('Detalle individual'!$H:$H,$K640),""))</f>
        <v/>
      </c>
      <c r="J640" s="21" t="str">
        <f>IF($K640="","",IF(INDEX('Detalle individual'!$F:$F,$K640)="Completado",INDEX('Detalle individual'!$J:$J,$K640),""))</f>
        <v/>
      </c>
      <c r="K640" t="str">
        <f>IFERROR(MOD(SMALL(Cálculos!$Z$5:$Z$1000,632),10000),"")</f>
        <v/>
      </c>
    </row>
    <row r="641">
      <c r="B641" s="13" t="str">
        <f>IF($K641="","",633)</f>
        <v/>
      </c>
      <c r="C641" s="13" t="str">
        <f>IF($K641="","",INDEX('Detalle individual'!$A:$A,$K641))</f>
        <v/>
      </c>
      <c r="D641" s="72" t="str">
        <f>IF($K641="","",TRIM(INDEX('Detalle individual'!$B:$B,$K641)))</f>
        <v/>
      </c>
      <c r="E641" s="72" t="str">
        <f>IF($K641="","",TRIM(INDEX('Detalle individual'!$E:$E,$K641)))</f>
        <v/>
      </c>
      <c r="F641" s="72" t="str">
        <f>IF($K641="","",TRIM(INDEX('Detalle individual'!$C:$C,$K641)))</f>
        <v/>
      </c>
      <c r="G641" s="72" t="str">
        <f>IF($K641="","",INDEX('Detalle individual'!$D:$D,$K641))</f>
        <v/>
      </c>
      <c r="H641" s="13" t="str">
        <f>IF($K641="","",INDEX('Detalle individual'!$F:$F,$K641))</f>
        <v/>
      </c>
      <c r="I641" s="20" t="str">
        <f>IF($K641="","",IF(INDEX('Detalle individual'!$F:$F,$K641)="Completado",INDEX('Detalle individual'!$H:$H,$K641),""))</f>
        <v/>
      </c>
      <c r="J641" s="21" t="str">
        <f>IF($K641="","",IF(INDEX('Detalle individual'!$F:$F,$K641)="Completado",INDEX('Detalle individual'!$J:$J,$K641),""))</f>
        <v/>
      </c>
      <c r="K641" t="str">
        <f>IFERROR(MOD(SMALL(Cálculos!$Z$5:$Z$1000,633),10000),"")</f>
        <v/>
      </c>
    </row>
    <row r="642">
      <c r="B642" s="13" t="str">
        <f>IF($K642="","",634)</f>
        <v/>
      </c>
      <c r="C642" s="13" t="str">
        <f>IF($K642="","",INDEX('Detalle individual'!$A:$A,$K642))</f>
        <v/>
      </c>
      <c r="D642" s="72" t="str">
        <f>IF($K642="","",TRIM(INDEX('Detalle individual'!$B:$B,$K642)))</f>
        <v/>
      </c>
      <c r="E642" s="72" t="str">
        <f>IF($K642="","",TRIM(INDEX('Detalle individual'!$E:$E,$K642)))</f>
        <v/>
      </c>
      <c r="F642" s="72" t="str">
        <f>IF($K642="","",TRIM(INDEX('Detalle individual'!$C:$C,$K642)))</f>
        <v/>
      </c>
      <c r="G642" s="72" t="str">
        <f>IF($K642="","",INDEX('Detalle individual'!$D:$D,$K642))</f>
        <v/>
      </c>
      <c r="H642" s="13" t="str">
        <f>IF($K642="","",INDEX('Detalle individual'!$F:$F,$K642))</f>
        <v/>
      </c>
      <c r="I642" s="20" t="str">
        <f>IF($K642="","",IF(INDEX('Detalle individual'!$F:$F,$K642)="Completado",INDEX('Detalle individual'!$H:$H,$K642),""))</f>
        <v/>
      </c>
      <c r="J642" s="21" t="str">
        <f>IF($K642="","",IF(INDEX('Detalle individual'!$F:$F,$K642)="Completado",INDEX('Detalle individual'!$J:$J,$K642),""))</f>
        <v/>
      </c>
      <c r="K642" t="str">
        <f>IFERROR(MOD(SMALL(Cálculos!$Z$5:$Z$1000,634),10000),"")</f>
        <v/>
      </c>
    </row>
    <row r="643">
      <c r="B643" s="13" t="str">
        <f>IF($K643="","",635)</f>
        <v/>
      </c>
      <c r="C643" s="13" t="str">
        <f>IF($K643="","",INDEX('Detalle individual'!$A:$A,$K643))</f>
        <v/>
      </c>
      <c r="D643" s="72" t="str">
        <f>IF($K643="","",TRIM(INDEX('Detalle individual'!$B:$B,$K643)))</f>
        <v/>
      </c>
      <c r="E643" s="72" t="str">
        <f>IF($K643="","",TRIM(INDEX('Detalle individual'!$E:$E,$K643)))</f>
        <v/>
      </c>
      <c r="F643" s="72" t="str">
        <f>IF($K643="","",TRIM(INDEX('Detalle individual'!$C:$C,$K643)))</f>
        <v/>
      </c>
      <c r="G643" s="72" t="str">
        <f>IF($K643="","",INDEX('Detalle individual'!$D:$D,$K643))</f>
        <v/>
      </c>
      <c r="H643" s="13" t="str">
        <f>IF($K643="","",INDEX('Detalle individual'!$F:$F,$K643))</f>
        <v/>
      </c>
      <c r="I643" s="20" t="str">
        <f>IF($K643="","",IF(INDEX('Detalle individual'!$F:$F,$K643)="Completado",INDEX('Detalle individual'!$H:$H,$K643),""))</f>
        <v/>
      </c>
      <c r="J643" s="21" t="str">
        <f>IF($K643="","",IF(INDEX('Detalle individual'!$F:$F,$K643)="Completado",INDEX('Detalle individual'!$J:$J,$K643),""))</f>
        <v/>
      </c>
      <c r="K643" t="str">
        <f>IFERROR(MOD(SMALL(Cálculos!$Z$5:$Z$1000,635),10000),"")</f>
        <v/>
      </c>
    </row>
    <row r="644">
      <c r="B644" s="13" t="str">
        <f>IF($K644="","",636)</f>
        <v/>
      </c>
      <c r="C644" s="13" t="str">
        <f>IF($K644="","",INDEX('Detalle individual'!$A:$A,$K644))</f>
        <v/>
      </c>
      <c r="D644" s="72" t="str">
        <f>IF($K644="","",TRIM(INDEX('Detalle individual'!$B:$B,$K644)))</f>
        <v/>
      </c>
      <c r="E644" s="72" t="str">
        <f>IF($K644="","",TRIM(INDEX('Detalle individual'!$E:$E,$K644)))</f>
        <v/>
      </c>
      <c r="F644" s="72" t="str">
        <f>IF($K644="","",TRIM(INDEX('Detalle individual'!$C:$C,$K644)))</f>
        <v/>
      </c>
      <c r="G644" s="72" t="str">
        <f>IF($K644="","",INDEX('Detalle individual'!$D:$D,$K644))</f>
        <v/>
      </c>
      <c r="H644" s="13" t="str">
        <f>IF($K644="","",INDEX('Detalle individual'!$F:$F,$K644))</f>
        <v/>
      </c>
      <c r="I644" s="20" t="str">
        <f>IF($K644="","",IF(INDEX('Detalle individual'!$F:$F,$K644)="Completado",INDEX('Detalle individual'!$H:$H,$K644),""))</f>
        <v/>
      </c>
      <c r="J644" s="21" t="str">
        <f>IF($K644="","",IF(INDEX('Detalle individual'!$F:$F,$K644)="Completado",INDEX('Detalle individual'!$J:$J,$K644),""))</f>
        <v/>
      </c>
      <c r="K644" t="str">
        <f>IFERROR(MOD(SMALL(Cálculos!$Z$5:$Z$1000,636),10000),"")</f>
        <v/>
      </c>
    </row>
    <row r="645">
      <c r="B645" s="13" t="str">
        <f>IF($K645="","",637)</f>
        <v/>
      </c>
      <c r="C645" s="13" t="str">
        <f>IF($K645="","",INDEX('Detalle individual'!$A:$A,$K645))</f>
        <v/>
      </c>
      <c r="D645" s="72" t="str">
        <f>IF($K645="","",TRIM(INDEX('Detalle individual'!$B:$B,$K645)))</f>
        <v/>
      </c>
      <c r="E645" s="72" t="str">
        <f>IF($K645="","",TRIM(INDEX('Detalle individual'!$E:$E,$K645)))</f>
        <v/>
      </c>
      <c r="F645" s="72" t="str">
        <f>IF($K645="","",TRIM(INDEX('Detalle individual'!$C:$C,$K645)))</f>
        <v/>
      </c>
      <c r="G645" s="72" t="str">
        <f>IF($K645="","",INDEX('Detalle individual'!$D:$D,$K645))</f>
        <v/>
      </c>
      <c r="H645" s="13" t="str">
        <f>IF($K645="","",INDEX('Detalle individual'!$F:$F,$K645))</f>
        <v/>
      </c>
      <c r="I645" s="20" t="str">
        <f>IF($K645="","",IF(INDEX('Detalle individual'!$F:$F,$K645)="Completado",INDEX('Detalle individual'!$H:$H,$K645),""))</f>
        <v/>
      </c>
      <c r="J645" s="21" t="str">
        <f>IF($K645="","",IF(INDEX('Detalle individual'!$F:$F,$K645)="Completado",INDEX('Detalle individual'!$J:$J,$K645),""))</f>
        <v/>
      </c>
      <c r="K645" t="str">
        <f>IFERROR(MOD(SMALL(Cálculos!$Z$5:$Z$1000,637),10000),"")</f>
        <v/>
      </c>
    </row>
    <row r="646">
      <c r="B646" s="13" t="str">
        <f>IF($K646="","",638)</f>
        <v/>
      </c>
      <c r="C646" s="13" t="str">
        <f>IF($K646="","",INDEX('Detalle individual'!$A:$A,$K646))</f>
        <v/>
      </c>
      <c r="D646" s="72" t="str">
        <f>IF($K646="","",TRIM(INDEX('Detalle individual'!$B:$B,$K646)))</f>
        <v/>
      </c>
      <c r="E646" s="72" t="str">
        <f>IF($K646="","",TRIM(INDEX('Detalle individual'!$E:$E,$K646)))</f>
        <v/>
      </c>
      <c r="F646" s="72" t="str">
        <f>IF($K646="","",TRIM(INDEX('Detalle individual'!$C:$C,$K646)))</f>
        <v/>
      </c>
      <c r="G646" s="72" t="str">
        <f>IF($K646="","",INDEX('Detalle individual'!$D:$D,$K646))</f>
        <v/>
      </c>
      <c r="H646" s="13" t="str">
        <f>IF($K646="","",INDEX('Detalle individual'!$F:$F,$K646))</f>
        <v/>
      </c>
      <c r="I646" s="20" t="str">
        <f>IF($K646="","",IF(INDEX('Detalle individual'!$F:$F,$K646)="Completado",INDEX('Detalle individual'!$H:$H,$K646),""))</f>
        <v/>
      </c>
      <c r="J646" s="21" t="str">
        <f>IF($K646="","",IF(INDEX('Detalle individual'!$F:$F,$K646)="Completado",INDEX('Detalle individual'!$J:$J,$K646),""))</f>
        <v/>
      </c>
      <c r="K646" t="str">
        <f>IFERROR(MOD(SMALL(Cálculos!$Z$5:$Z$1000,638),10000),"")</f>
        <v/>
      </c>
    </row>
    <row r="647">
      <c r="B647" s="13" t="str">
        <f>IF($K647="","",639)</f>
        <v/>
      </c>
      <c r="C647" s="13" t="str">
        <f>IF($K647="","",INDEX('Detalle individual'!$A:$A,$K647))</f>
        <v/>
      </c>
      <c r="D647" s="72" t="str">
        <f>IF($K647="","",TRIM(INDEX('Detalle individual'!$B:$B,$K647)))</f>
        <v/>
      </c>
      <c r="E647" s="72" t="str">
        <f>IF($K647="","",TRIM(INDEX('Detalle individual'!$E:$E,$K647)))</f>
        <v/>
      </c>
      <c r="F647" s="72" t="str">
        <f>IF($K647="","",TRIM(INDEX('Detalle individual'!$C:$C,$K647)))</f>
        <v/>
      </c>
      <c r="G647" s="72" t="str">
        <f>IF($K647="","",INDEX('Detalle individual'!$D:$D,$K647))</f>
        <v/>
      </c>
      <c r="H647" s="13" t="str">
        <f>IF($K647="","",INDEX('Detalle individual'!$F:$F,$K647))</f>
        <v/>
      </c>
      <c r="I647" s="20" t="str">
        <f>IF($K647="","",IF(INDEX('Detalle individual'!$F:$F,$K647)="Completado",INDEX('Detalle individual'!$H:$H,$K647),""))</f>
        <v/>
      </c>
      <c r="J647" s="21" t="str">
        <f>IF($K647="","",IF(INDEX('Detalle individual'!$F:$F,$K647)="Completado",INDEX('Detalle individual'!$J:$J,$K647),""))</f>
        <v/>
      </c>
      <c r="K647" t="str">
        <f>IFERROR(MOD(SMALL(Cálculos!$Z$5:$Z$1000,639),10000),"")</f>
        <v/>
      </c>
    </row>
    <row r="648">
      <c r="B648" s="13" t="str">
        <f>IF($K648="","",640)</f>
        <v/>
      </c>
      <c r="C648" s="13" t="str">
        <f>IF($K648="","",INDEX('Detalle individual'!$A:$A,$K648))</f>
        <v/>
      </c>
      <c r="D648" s="72" t="str">
        <f>IF($K648="","",TRIM(INDEX('Detalle individual'!$B:$B,$K648)))</f>
        <v/>
      </c>
      <c r="E648" s="72" t="str">
        <f>IF($K648="","",TRIM(INDEX('Detalle individual'!$E:$E,$K648)))</f>
        <v/>
      </c>
      <c r="F648" s="72" t="str">
        <f>IF($K648="","",TRIM(INDEX('Detalle individual'!$C:$C,$K648)))</f>
        <v/>
      </c>
      <c r="G648" s="72" t="str">
        <f>IF($K648="","",INDEX('Detalle individual'!$D:$D,$K648))</f>
        <v/>
      </c>
      <c r="H648" s="13" t="str">
        <f>IF($K648="","",INDEX('Detalle individual'!$F:$F,$K648))</f>
        <v/>
      </c>
      <c r="I648" s="20" t="str">
        <f>IF($K648="","",IF(INDEX('Detalle individual'!$F:$F,$K648)="Completado",INDEX('Detalle individual'!$H:$H,$K648),""))</f>
        <v/>
      </c>
      <c r="J648" s="21" t="str">
        <f>IF($K648="","",IF(INDEX('Detalle individual'!$F:$F,$K648)="Completado",INDEX('Detalle individual'!$J:$J,$K648),""))</f>
        <v/>
      </c>
      <c r="K648" t="str">
        <f>IFERROR(MOD(SMALL(Cálculos!$Z$5:$Z$1000,640),10000),"")</f>
        <v/>
      </c>
    </row>
    <row r="649">
      <c r="B649" s="13" t="str">
        <f>IF($K649="","",641)</f>
        <v/>
      </c>
      <c r="C649" s="13" t="str">
        <f>IF($K649="","",INDEX('Detalle individual'!$A:$A,$K649))</f>
        <v/>
      </c>
      <c r="D649" s="72" t="str">
        <f>IF($K649="","",TRIM(INDEX('Detalle individual'!$B:$B,$K649)))</f>
        <v/>
      </c>
      <c r="E649" s="72" t="str">
        <f>IF($K649="","",TRIM(INDEX('Detalle individual'!$E:$E,$K649)))</f>
        <v/>
      </c>
      <c r="F649" s="72" t="str">
        <f>IF($K649="","",TRIM(INDEX('Detalle individual'!$C:$C,$K649)))</f>
        <v/>
      </c>
      <c r="G649" s="72" t="str">
        <f>IF($K649="","",INDEX('Detalle individual'!$D:$D,$K649))</f>
        <v/>
      </c>
      <c r="H649" s="13" t="str">
        <f>IF($K649="","",INDEX('Detalle individual'!$F:$F,$K649))</f>
        <v/>
      </c>
      <c r="I649" s="20" t="str">
        <f>IF($K649="","",IF(INDEX('Detalle individual'!$F:$F,$K649)="Completado",INDEX('Detalle individual'!$H:$H,$K649),""))</f>
        <v/>
      </c>
      <c r="J649" s="21" t="str">
        <f>IF($K649="","",IF(INDEX('Detalle individual'!$F:$F,$K649)="Completado",INDEX('Detalle individual'!$J:$J,$K649),""))</f>
        <v/>
      </c>
      <c r="K649" t="str">
        <f>IFERROR(MOD(SMALL(Cálculos!$Z$5:$Z$1000,641),10000),"")</f>
        <v/>
      </c>
    </row>
    <row r="650">
      <c r="B650" s="13" t="str">
        <f>IF($K650="","",642)</f>
        <v/>
      </c>
      <c r="C650" s="13" t="str">
        <f>IF($K650="","",INDEX('Detalle individual'!$A:$A,$K650))</f>
        <v/>
      </c>
      <c r="D650" s="72" t="str">
        <f>IF($K650="","",TRIM(INDEX('Detalle individual'!$B:$B,$K650)))</f>
        <v/>
      </c>
      <c r="E650" s="72" t="str">
        <f>IF($K650="","",TRIM(INDEX('Detalle individual'!$E:$E,$K650)))</f>
        <v/>
      </c>
      <c r="F650" s="72" t="str">
        <f>IF($K650="","",TRIM(INDEX('Detalle individual'!$C:$C,$K650)))</f>
        <v/>
      </c>
      <c r="G650" s="72" t="str">
        <f>IF($K650="","",INDEX('Detalle individual'!$D:$D,$K650))</f>
        <v/>
      </c>
      <c r="H650" s="13" t="str">
        <f>IF($K650="","",INDEX('Detalle individual'!$F:$F,$K650))</f>
        <v/>
      </c>
      <c r="I650" s="20" t="str">
        <f>IF($K650="","",IF(INDEX('Detalle individual'!$F:$F,$K650)="Completado",INDEX('Detalle individual'!$H:$H,$K650),""))</f>
        <v/>
      </c>
      <c r="J650" s="21" t="str">
        <f>IF($K650="","",IF(INDEX('Detalle individual'!$F:$F,$K650)="Completado",INDEX('Detalle individual'!$J:$J,$K650),""))</f>
        <v/>
      </c>
      <c r="K650" t="str">
        <f>IFERROR(MOD(SMALL(Cálculos!$Z$5:$Z$1000,642),10000),"")</f>
        <v/>
      </c>
    </row>
    <row r="651">
      <c r="B651" s="13" t="str">
        <f>IF($K651="","",643)</f>
        <v/>
      </c>
      <c r="C651" s="13" t="str">
        <f>IF($K651="","",INDEX('Detalle individual'!$A:$A,$K651))</f>
        <v/>
      </c>
      <c r="D651" s="72" t="str">
        <f>IF($K651="","",TRIM(INDEX('Detalle individual'!$B:$B,$K651)))</f>
        <v/>
      </c>
      <c r="E651" s="72" t="str">
        <f>IF($K651="","",TRIM(INDEX('Detalle individual'!$E:$E,$K651)))</f>
        <v/>
      </c>
      <c r="F651" s="72" t="str">
        <f>IF($K651="","",TRIM(INDEX('Detalle individual'!$C:$C,$K651)))</f>
        <v/>
      </c>
      <c r="G651" s="72" t="str">
        <f>IF($K651="","",INDEX('Detalle individual'!$D:$D,$K651))</f>
        <v/>
      </c>
      <c r="H651" s="13" t="str">
        <f>IF($K651="","",INDEX('Detalle individual'!$F:$F,$K651))</f>
        <v/>
      </c>
      <c r="I651" s="20" t="str">
        <f>IF($K651="","",IF(INDEX('Detalle individual'!$F:$F,$K651)="Completado",INDEX('Detalle individual'!$H:$H,$K651),""))</f>
        <v/>
      </c>
      <c r="J651" s="21" t="str">
        <f>IF($K651="","",IF(INDEX('Detalle individual'!$F:$F,$K651)="Completado",INDEX('Detalle individual'!$J:$J,$K651),""))</f>
        <v/>
      </c>
      <c r="K651" t="str">
        <f>IFERROR(MOD(SMALL(Cálculos!$Z$5:$Z$1000,643),10000),"")</f>
        <v/>
      </c>
    </row>
    <row r="652">
      <c r="B652" s="13" t="str">
        <f>IF($K652="","",644)</f>
        <v/>
      </c>
      <c r="C652" s="13" t="str">
        <f>IF($K652="","",INDEX('Detalle individual'!$A:$A,$K652))</f>
        <v/>
      </c>
      <c r="D652" s="72" t="str">
        <f>IF($K652="","",TRIM(INDEX('Detalle individual'!$B:$B,$K652)))</f>
        <v/>
      </c>
      <c r="E652" s="72" t="str">
        <f>IF($K652="","",TRIM(INDEX('Detalle individual'!$E:$E,$K652)))</f>
        <v/>
      </c>
      <c r="F652" s="72" t="str">
        <f>IF($K652="","",TRIM(INDEX('Detalle individual'!$C:$C,$K652)))</f>
        <v/>
      </c>
      <c r="G652" s="72" t="str">
        <f>IF($K652="","",INDEX('Detalle individual'!$D:$D,$K652))</f>
        <v/>
      </c>
      <c r="H652" s="13" t="str">
        <f>IF($K652="","",INDEX('Detalle individual'!$F:$F,$K652))</f>
        <v/>
      </c>
      <c r="I652" s="20" t="str">
        <f>IF($K652="","",IF(INDEX('Detalle individual'!$F:$F,$K652)="Completado",INDEX('Detalle individual'!$H:$H,$K652),""))</f>
        <v/>
      </c>
      <c r="J652" s="21" t="str">
        <f>IF($K652="","",IF(INDEX('Detalle individual'!$F:$F,$K652)="Completado",INDEX('Detalle individual'!$J:$J,$K652),""))</f>
        <v/>
      </c>
      <c r="K652" t="str">
        <f>IFERROR(MOD(SMALL(Cálculos!$Z$5:$Z$1000,644),10000),"")</f>
        <v/>
      </c>
    </row>
    <row r="653">
      <c r="B653" s="13" t="str">
        <f>IF($K653="","",645)</f>
        <v/>
      </c>
      <c r="C653" s="13" t="str">
        <f>IF($K653="","",INDEX('Detalle individual'!$A:$A,$K653))</f>
        <v/>
      </c>
      <c r="D653" s="72" t="str">
        <f>IF($K653="","",TRIM(INDEX('Detalle individual'!$B:$B,$K653)))</f>
        <v/>
      </c>
      <c r="E653" s="72" t="str">
        <f>IF($K653="","",TRIM(INDEX('Detalle individual'!$E:$E,$K653)))</f>
        <v/>
      </c>
      <c r="F653" s="72" t="str">
        <f>IF($K653="","",TRIM(INDEX('Detalle individual'!$C:$C,$K653)))</f>
        <v/>
      </c>
      <c r="G653" s="72" t="str">
        <f>IF($K653="","",INDEX('Detalle individual'!$D:$D,$K653))</f>
        <v/>
      </c>
      <c r="H653" s="13" t="str">
        <f>IF($K653="","",INDEX('Detalle individual'!$F:$F,$K653))</f>
        <v/>
      </c>
      <c r="I653" s="20" t="str">
        <f>IF($K653="","",IF(INDEX('Detalle individual'!$F:$F,$K653)="Completado",INDEX('Detalle individual'!$H:$H,$K653),""))</f>
        <v/>
      </c>
      <c r="J653" s="21" t="str">
        <f>IF($K653="","",IF(INDEX('Detalle individual'!$F:$F,$K653)="Completado",INDEX('Detalle individual'!$J:$J,$K653),""))</f>
        <v/>
      </c>
      <c r="K653" t="str">
        <f>IFERROR(MOD(SMALL(Cálculos!$Z$5:$Z$1000,645),10000),"")</f>
        <v/>
      </c>
    </row>
    <row r="654">
      <c r="B654" s="13" t="str">
        <f>IF($K654="","",646)</f>
        <v/>
      </c>
      <c r="C654" s="13" t="str">
        <f>IF($K654="","",INDEX('Detalle individual'!$A:$A,$K654))</f>
        <v/>
      </c>
      <c r="D654" s="72" t="str">
        <f>IF($K654="","",TRIM(INDEX('Detalle individual'!$B:$B,$K654)))</f>
        <v/>
      </c>
      <c r="E654" s="72" t="str">
        <f>IF($K654="","",TRIM(INDEX('Detalle individual'!$E:$E,$K654)))</f>
        <v/>
      </c>
      <c r="F654" s="72" t="str">
        <f>IF($K654="","",TRIM(INDEX('Detalle individual'!$C:$C,$K654)))</f>
        <v/>
      </c>
      <c r="G654" s="72" t="str">
        <f>IF($K654="","",INDEX('Detalle individual'!$D:$D,$K654))</f>
        <v/>
      </c>
      <c r="H654" s="13" t="str">
        <f>IF($K654="","",INDEX('Detalle individual'!$F:$F,$K654))</f>
        <v/>
      </c>
      <c r="I654" s="20" t="str">
        <f>IF($K654="","",IF(INDEX('Detalle individual'!$F:$F,$K654)="Completado",INDEX('Detalle individual'!$H:$H,$K654),""))</f>
        <v/>
      </c>
      <c r="J654" s="21" t="str">
        <f>IF($K654="","",IF(INDEX('Detalle individual'!$F:$F,$K654)="Completado",INDEX('Detalle individual'!$J:$J,$K654),""))</f>
        <v/>
      </c>
      <c r="K654" t="str">
        <f>IFERROR(MOD(SMALL(Cálculos!$Z$5:$Z$1000,646),10000),"")</f>
        <v/>
      </c>
    </row>
    <row r="655">
      <c r="B655" s="13" t="str">
        <f>IF($K655="","",647)</f>
        <v/>
      </c>
      <c r="C655" s="13" t="str">
        <f>IF($K655="","",INDEX('Detalle individual'!$A:$A,$K655))</f>
        <v/>
      </c>
      <c r="D655" s="72" t="str">
        <f>IF($K655="","",TRIM(INDEX('Detalle individual'!$B:$B,$K655)))</f>
        <v/>
      </c>
      <c r="E655" s="72" t="str">
        <f>IF($K655="","",TRIM(INDEX('Detalle individual'!$E:$E,$K655)))</f>
        <v/>
      </c>
      <c r="F655" s="72" t="str">
        <f>IF($K655="","",TRIM(INDEX('Detalle individual'!$C:$C,$K655)))</f>
        <v/>
      </c>
      <c r="G655" s="72" t="str">
        <f>IF($K655="","",INDEX('Detalle individual'!$D:$D,$K655))</f>
        <v/>
      </c>
      <c r="H655" s="13" t="str">
        <f>IF($K655="","",INDEX('Detalle individual'!$F:$F,$K655))</f>
        <v/>
      </c>
      <c r="I655" s="20" t="str">
        <f>IF($K655="","",IF(INDEX('Detalle individual'!$F:$F,$K655)="Completado",INDEX('Detalle individual'!$H:$H,$K655),""))</f>
        <v/>
      </c>
      <c r="J655" s="21" t="str">
        <f>IF($K655="","",IF(INDEX('Detalle individual'!$F:$F,$K655)="Completado",INDEX('Detalle individual'!$J:$J,$K655),""))</f>
        <v/>
      </c>
      <c r="K655" t="str">
        <f>IFERROR(MOD(SMALL(Cálculos!$Z$5:$Z$1000,647),10000),"")</f>
        <v/>
      </c>
    </row>
    <row r="656">
      <c r="B656" s="13" t="str">
        <f>IF($K656="","",648)</f>
        <v/>
      </c>
      <c r="C656" s="13" t="str">
        <f>IF($K656="","",INDEX('Detalle individual'!$A:$A,$K656))</f>
        <v/>
      </c>
      <c r="D656" s="72" t="str">
        <f>IF($K656="","",TRIM(INDEX('Detalle individual'!$B:$B,$K656)))</f>
        <v/>
      </c>
      <c r="E656" s="72" t="str">
        <f>IF($K656="","",TRIM(INDEX('Detalle individual'!$E:$E,$K656)))</f>
        <v/>
      </c>
      <c r="F656" s="72" t="str">
        <f>IF($K656="","",TRIM(INDEX('Detalle individual'!$C:$C,$K656)))</f>
        <v/>
      </c>
      <c r="G656" s="72" t="str">
        <f>IF($K656="","",INDEX('Detalle individual'!$D:$D,$K656))</f>
        <v/>
      </c>
      <c r="H656" s="13" t="str">
        <f>IF($K656="","",INDEX('Detalle individual'!$F:$F,$K656))</f>
        <v/>
      </c>
      <c r="I656" s="20" t="str">
        <f>IF($K656="","",IF(INDEX('Detalle individual'!$F:$F,$K656)="Completado",INDEX('Detalle individual'!$H:$H,$K656),""))</f>
        <v/>
      </c>
      <c r="J656" s="21" t="str">
        <f>IF($K656="","",IF(INDEX('Detalle individual'!$F:$F,$K656)="Completado",INDEX('Detalle individual'!$J:$J,$K656),""))</f>
        <v/>
      </c>
      <c r="K656" t="str">
        <f>IFERROR(MOD(SMALL(Cálculos!$Z$5:$Z$1000,648),10000),"")</f>
        <v/>
      </c>
    </row>
    <row r="657">
      <c r="B657" s="13" t="str">
        <f>IF($K657="","",649)</f>
        <v/>
      </c>
      <c r="C657" s="13" t="str">
        <f>IF($K657="","",INDEX('Detalle individual'!$A:$A,$K657))</f>
        <v/>
      </c>
      <c r="D657" s="72" t="str">
        <f>IF($K657="","",TRIM(INDEX('Detalle individual'!$B:$B,$K657)))</f>
        <v/>
      </c>
      <c r="E657" s="72" t="str">
        <f>IF($K657="","",TRIM(INDEX('Detalle individual'!$E:$E,$K657)))</f>
        <v/>
      </c>
      <c r="F657" s="72" t="str">
        <f>IF($K657="","",TRIM(INDEX('Detalle individual'!$C:$C,$K657)))</f>
        <v/>
      </c>
      <c r="G657" s="72" t="str">
        <f>IF($K657="","",INDEX('Detalle individual'!$D:$D,$K657))</f>
        <v/>
      </c>
      <c r="H657" s="13" t="str">
        <f>IF($K657="","",INDEX('Detalle individual'!$F:$F,$K657))</f>
        <v/>
      </c>
      <c r="I657" s="20" t="str">
        <f>IF($K657="","",IF(INDEX('Detalle individual'!$F:$F,$K657)="Completado",INDEX('Detalle individual'!$H:$H,$K657),""))</f>
        <v/>
      </c>
      <c r="J657" s="21" t="str">
        <f>IF($K657="","",IF(INDEX('Detalle individual'!$F:$F,$K657)="Completado",INDEX('Detalle individual'!$J:$J,$K657),""))</f>
        <v/>
      </c>
      <c r="K657" t="str">
        <f>IFERROR(MOD(SMALL(Cálculos!$Z$5:$Z$1000,649),10000),"")</f>
        <v/>
      </c>
    </row>
    <row r="658">
      <c r="B658" s="13" t="str">
        <f>IF($K658="","",650)</f>
        <v/>
      </c>
      <c r="C658" s="13" t="str">
        <f>IF($K658="","",INDEX('Detalle individual'!$A:$A,$K658))</f>
        <v/>
      </c>
      <c r="D658" s="72" t="str">
        <f>IF($K658="","",TRIM(INDEX('Detalle individual'!$B:$B,$K658)))</f>
        <v/>
      </c>
      <c r="E658" s="72" t="str">
        <f>IF($K658="","",TRIM(INDEX('Detalle individual'!$E:$E,$K658)))</f>
        <v/>
      </c>
      <c r="F658" s="72" t="str">
        <f>IF($K658="","",TRIM(INDEX('Detalle individual'!$C:$C,$K658)))</f>
        <v/>
      </c>
      <c r="G658" s="72" t="str">
        <f>IF($K658="","",INDEX('Detalle individual'!$D:$D,$K658))</f>
        <v/>
      </c>
      <c r="H658" s="13" t="str">
        <f>IF($K658="","",INDEX('Detalle individual'!$F:$F,$K658))</f>
        <v/>
      </c>
      <c r="I658" s="20" t="str">
        <f>IF($K658="","",IF(INDEX('Detalle individual'!$F:$F,$K658)="Completado",INDEX('Detalle individual'!$H:$H,$K658),""))</f>
        <v/>
      </c>
      <c r="J658" s="21" t="str">
        <f>IF($K658="","",IF(INDEX('Detalle individual'!$F:$F,$K658)="Completado",INDEX('Detalle individual'!$J:$J,$K658),""))</f>
        <v/>
      </c>
      <c r="K658" t="str">
        <f>IFERROR(MOD(SMALL(Cálculos!$Z$5:$Z$1000,650),10000),"")</f>
        <v/>
      </c>
    </row>
    <row r="659">
      <c r="B659" s="13" t="str">
        <f>IF($K659="","",651)</f>
        <v/>
      </c>
      <c r="C659" s="13" t="str">
        <f>IF($K659="","",INDEX('Detalle individual'!$A:$A,$K659))</f>
        <v/>
      </c>
      <c r="D659" s="72" t="str">
        <f>IF($K659="","",TRIM(INDEX('Detalle individual'!$B:$B,$K659)))</f>
        <v/>
      </c>
      <c r="E659" s="72" t="str">
        <f>IF($K659="","",TRIM(INDEX('Detalle individual'!$E:$E,$K659)))</f>
        <v/>
      </c>
      <c r="F659" s="72" t="str">
        <f>IF($K659="","",TRIM(INDEX('Detalle individual'!$C:$C,$K659)))</f>
        <v/>
      </c>
      <c r="G659" s="72" t="str">
        <f>IF($K659="","",INDEX('Detalle individual'!$D:$D,$K659))</f>
        <v/>
      </c>
      <c r="H659" s="13" t="str">
        <f>IF($K659="","",INDEX('Detalle individual'!$F:$F,$K659))</f>
        <v/>
      </c>
      <c r="I659" s="20" t="str">
        <f>IF($K659="","",IF(INDEX('Detalle individual'!$F:$F,$K659)="Completado",INDEX('Detalle individual'!$H:$H,$K659),""))</f>
        <v/>
      </c>
      <c r="J659" s="21" t="str">
        <f>IF($K659="","",IF(INDEX('Detalle individual'!$F:$F,$K659)="Completado",INDEX('Detalle individual'!$J:$J,$K659),""))</f>
        <v/>
      </c>
      <c r="K659" t="str">
        <f>IFERROR(MOD(SMALL(Cálculos!$Z$5:$Z$1000,651),10000),"")</f>
        <v/>
      </c>
    </row>
    <row r="660">
      <c r="B660" s="13" t="str">
        <f>IF($K660="","",652)</f>
        <v/>
      </c>
      <c r="C660" s="13" t="str">
        <f>IF($K660="","",INDEX('Detalle individual'!$A:$A,$K660))</f>
        <v/>
      </c>
      <c r="D660" s="72" t="str">
        <f>IF($K660="","",TRIM(INDEX('Detalle individual'!$B:$B,$K660)))</f>
        <v/>
      </c>
      <c r="E660" s="72" t="str">
        <f>IF($K660="","",TRIM(INDEX('Detalle individual'!$E:$E,$K660)))</f>
        <v/>
      </c>
      <c r="F660" s="72" t="str">
        <f>IF($K660="","",TRIM(INDEX('Detalle individual'!$C:$C,$K660)))</f>
        <v/>
      </c>
      <c r="G660" s="72" t="str">
        <f>IF($K660="","",INDEX('Detalle individual'!$D:$D,$K660))</f>
        <v/>
      </c>
      <c r="H660" s="13" t="str">
        <f>IF($K660="","",INDEX('Detalle individual'!$F:$F,$K660))</f>
        <v/>
      </c>
      <c r="I660" s="20" t="str">
        <f>IF($K660="","",IF(INDEX('Detalle individual'!$F:$F,$K660)="Completado",INDEX('Detalle individual'!$H:$H,$K660),""))</f>
        <v/>
      </c>
      <c r="J660" s="21" t="str">
        <f>IF($K660="","",IF(INDEX('Detalle individual'!$F:$F,$K660)="Completado",INDEX('Detalle individual'!$J:$J,$K660),""))</f>
        <v/>
      </c>
      <c r="K660" t="str">
        <f>IFERROR(MOD(SMALL(Cálculos!$Z$5:$Z$1000,652),10000),"")</f>
        <v/>
      </c>
    </row>
    <row r="661">
      <c r="B661" s="13" t="str">
        <f>IF($K661="","",653)</f>
        <v/>
      </c>
      <c r="C661" s="13" t="str">
        <f>IF($K661="","",INDEX('Detalle individual'!$A:$A,$K661))</f>
        <v/>
      </c>
      <c r="D661" s="72" t="str">
        <f>IF($K661="","",TRIM(INDEX('Detalle individual'!$B:$B,$K661)))</f>
        <v/>
      </c>
      <c r="E661" s="72" t="str">
        <f>IF($K661="","",TRIM(INDEX('Detalle individual'!$E:$E,$K661)))</f>
        <v/>
      </c>
      <c r="F661" s="72" t="str">
        <f>IF($K661="","",TRIM(INDEX('Detalle individual'!$C:$C,$K661)))</f>
        <v/>
      </c>
      <c r="G661" s="72" t="str">
        <f>IF($K661="","",INDEX('Detalle individual'!$D:$D,$K661))</f>
        <v/>
      </c>
      <c r="H661" s="13" t="str">
        <f>IF($K661="","",INDEX('Detalle individual'!$F:$F,$K661))</f>
        <v/>
      </c>
      <c r="I661" s="20" t="str">
        <f>IF($K661="","",IF(INDEX('Detalle individual'!$F:$F,$K661)="Completado",INDEX('Detalle individual'!$H:$H,$K661),""))</f>
        <v/>
      </c>
      <c r="J661" s="21" t="str">
        <f>IF($K661="","",IF(INDEX('Detalle individual'!$F:$F,$K661)="Completado",INDEX('Detalle individual'!$J:$J,$K661),""))</f>
        <v/>
      </c>
      <c r="K661" t="str">
        <f>IFERROR(MOD(SMALL(Cálculos!$Z$5:$Z$1000,653),10000),"")</f>
        <v/>
      </c>
    </row>
    <row r="662">
      <c r="B662" s="13" t="str">
        <f>IF($K662="","",654)</f>
        <v/>
      </c>
      <c r="C662" s="13" t="str">
        <f>IF($K662="","",INDEX('Detalle individual'!$A:$A,$K662))</f>
        <v/>
      </c>
      <c r="D662" s="72" t="str">
        <f>IF($K662="","",TRIM(INDEX('Detalle individual'!$B:$B,$K662)))</f>
        <v/>
      </c>
      <c r="E662" s="72" t="str">
        <f>IF($K662="","",TRIM(INDEX('Detalle individual'!$E:$E,$K662)))</f>
        <v/>
      </c>
      <c r="F662" s="72" t="str">
        <f>IF($K662="","",TRIM(INDEX('Detalle individual'!$C:$C,$K662)))</f>
        <v/>
      </c>
      <c r="G662" s="72" t="str">
        <f>IF($K662="","",INDEX('Detalle individual'!$D:$D,$K662))</f>
        <v/>
      </c>
      <c r="H662" s="13" t="str">
        <f>IF($K662="","",INDEX('Detalle individual'!$F:$F,$K662))</f>
        <v/>
      </c>
      <c r="I662" s="20" t="str">
        <f>IF($K662="","",IF(INDEX('Detalle individual'!$F:$F,$K662)="Completado",INDEX('Detalle individual'!$H:$H,$K662),""))</f>
        <v/>
      </c>
      <c r="J662" s="21" t="str">
        <f>IF($K662="","",IF(INDEX('Detalle individual'!$F:$F,$K662)="Completado",INDEX('Detalle individual'!$J:$J,$K662),""))</f>
        <v/>
      </c>
      <c r="K662" t="str">
        <f>IFERROR(MOD(SMALL(Cálculos!$Z$5:$Z$1000,654),10000),"")</f>
        <v/>
      </c>
    </row>
    <row r="663">
      <c r="B663" s="13" t="str">
        <f>IF($K663="","",655)</f>
        <v/>
      </c>
      <c r="C663" s="13" t="str">
        <f>IF($K663="","",INDEX('Detalle individual'!$A:$A,$K663))</f>
        <v/>
      </c>
      <c r="D663" s="72" t="str">
        <f>IF($K663="","",TRIM(INDEX('Detalle individual'!$B:$B,$K663)))</f>
        <v/>
      </c>
      <c r="E663" s="72" t="str">
        <f>IF($K663="","",TRIM(INDEX('Detalle individual'!$E:$E,$K663)))</f>
        <v/>
      </c>
      <c r="F663" s="72" t="str">
        <f>IF($K663="","",TRIM(INDEX('Detalle individual'!$C:$C,$K663)))</f>
        <v/>
      </c>
      <c r="G663" s="72" t="str">
        <f>IF($K663="","",INDEX('Detalle individual'!$D:$D,$K663))</f>
        <v/>
      </c>
      <c r="H663" s="13" t="str">
        <f>IF($K663="","",INDEX('Detalle individual'!$F:$F,$K663))</f>
        <v/>
      </c>
      <c r="I663" s="20" t="str">
        <f>IF($K663="","",IF(INDEX('Detalle individual'!$F:$F,$K663)="Completado",INDEX('Detalle individual'!$H:$H,$K663),""))</f>
        <v/>
      </c>
      <c r="J663" s="21" t="str">
        <f>IF($K663="","",IF(INDEX('Detalle individual'!$F:$F,$K663)="Completado",INDEX('Detalle individual'!$J:$J,$K663),""))</f>
        <v/>
      </c>
      <c r="K663" t="str">
        <f>IFERROR(MOD(SMALL(Cálculos!$Z$5:$Z$1000,655),10000),"")</f>
        <v/>
      </c>
    </row>
    <row r="664">
      <c r="B664" s="13" t="str">
        <f>IF($K664="","",656)</f>
        <v/>
      </c>
      <c r="C664" s="13" t="str">
        <f>IF($K664="","",INDEX('Detalle individual'!$A:$A,$K664))</f>
        <v/>
      </c>
      <c r="D664" s="72" t="str">
        <f>IF($K664="","",TRIM(INDEX('Detalle individual'!$B:$B,$K664)))</f>
        <v/>
      </c>
      <c r="E664" s="72" t="str">
        <f>IF($K664="","",TRIM(INDEX('Detalle individual'!$E:$E,$K664)))</f>
        <v/>
      </c>
      <c r="F664" s="72" t="str">
        <f>IF($K664="","",TRIM(INDEX('Detalle individual'!$C:$C,$K664)))</f>
        <v/>
      </c>
      <c r="G664" s="72" t="str">
        <f>IF($K664="","",INDEX('Detalle individual'!$D:$D,$K664))</f>
        <v/>
      </c>
      <c r="H664" s="13" t="str">
        <f>IF($K664="","",INDEX('Detalle individual'!$F:$F,$K664))</f>
        <v/>
      </c>
      <c r="I664" s="20" t="str">
        <f>IF($K664="","",IF(INDEX('Detalle individual'!$F:$F,$K664)="Completado",INDEX('Detalle individual'!$H:$H,$K664),""))</f>
        <v/>
      </c>
      <c r="J664" s="21" t="str">
        <f>IF($K664="","",IF(INDEX('Detalle individual'!$F:$F,$K664)="Completado",INDEX('Detalle individual'!$J:$J,$K664),""))</f>
        <v/>
      </c>
      <c r="K664" t="str">
        <f>IFERROR(MOD(SMALL(Cálculos!$Z$5:$Z$1000,656),10000),"")</f>
        <v/>
      </c>
    </row>
    <row r="665">
      <c r="B665" s="13" t="str">
        <f>IF($K665="","",657)</f>
        <v/>
      </c>
      <c r="C665" s="13" t="str">
        <f>IF($K665="","",INDEX('Detalle individual'!$A:$A,$K665))</f>
        <v/>
      </c>
      <c r="D665" s="72" t="str">
        <f>IF($K665="","",TRIM(INDEX('Detalle individual'!$B:$B,$K665)))</f>
        <v/>
      </c>
      <c r="E665" s="72" t="str">
        <f>IF($K665="","",TRIM(INDEX('Detalle individual'!$E:$E,$K665)))</f>
        <v/>
      </c>
      <c r="F665" s="72" t="str">
        <f>IF($K665="","",TRIM(INDEX('Detalle individual'!$C:$C,$K665)))</f>
        <v/>
      </c>
      <c r="G665" s="72" t="str">
        <f>IF($K665="","",INDEX('Detalle individual'!$D:$D,$K665))</f>
        <v/>
      </c>
      <c r="H665" s="13" t="str">
        <f>IF($K665="","",INDEX('Detalle individual'!$F:$F,$K665))</f>
        <v/>
      </c>
      <c r="I665" s="20" t="str">
        <f>IF($K665="","",IF(INDEX('Detalle individual'!$F:$F,$K665)="Completado",INDEX('Detalle individual'!$H:$H,$K665),""))</f>
        <v/>
      </c>
      <c r="J665" s="21" t="str">
        <f>IF($K665="","",IF(INDEX('Detalle individual'!$F:$F,$K665)="Completado",INDEX('Detalle individual'!$J:$J,$K665),""))</f>
        <v/>
      </c>
      <c r="K665" t="str">
        <f>IFERROR(MOD(SMALL(Cálculos!$Z$5:$Z$1000,657),10000),"")</f>
        <v/>
      </c>
    </row>
    <row r="666">
      <c r="B666" s="13" t="str">
        <f>IF($K666="","",658)</f>
        <v/>
      </c>
      <c r="C666" s="13" t="str">
        <f>IF($K666="","",INDEX('Detalle individual'!$A:$A,$K666))</f>
        <v/>
      </c>
      <c r="D666" s="72" t="str">
        <f>IF($K666="","",TRIM(INDEX('Detalle individual'!$B:$B,$K666)))</f>
        <v/>
      </c>
      <c r="E666" s="72" t="str">
        <f>IF($K666="","",TRIM(INDEX('Detalle individual'!$E:$E,$K666)))</f>
        <v/>
      </c>
      <c r="F666" s="72" t="str">
        <f>IF($K666="","",TRIM(INDEX('Detalle individual'!$C:$C,$K666)))</f>
        <v/>
      </c>
      <c r="G666" s="72" t="str">
        <f>IF($K666="","",INDEX('Detalle individual'!$D:$D,$K666))</f>
        <v/>
      </c>
      <c r="H666" s="13" t="str">
        <f>IF($K666="","",INDEX('Detalle individual'!$F:$F,$K666))</f>
        <v/>
      </c>
      <c r="I666" s="20" t="str">
        <f>IF($K666="","",IF(INDEX('Detalle individual'!$F:$F,$K666)="Completado",INDEX('Detalle individual'!$H:$H,$K666),""))</f>
        <v/>
      </c>
      <c r="J666" s="21" t="str">
        <f>IF($K666="","",IF(INDEX('Detalle individual'!$F:$F,$K666)="Completado",INDEX('Detalle individual'!$J:$J,$K666),""))</f>
        <v/>
      </c>
      <c r="K666" t="str">
        <f>IFERROR(MOD(SMALL(Cálculos!$Z$5:$Z$1000,658),10000),"")</f>
        <v/>
      </c>
    </row>
    <row r="667">
      <c r="B667" s="13" t="str">
        <f>IF($K667="","",659)</f>
        <v/>
      </c>
      <c r="C667" s="13" t="str">
        <f>IF($K667="","",INDEX('Detalle individual'!$A:$A,$K667))</f>
        <v/>
      </c>
      <c r="D667" s="72" t="str">
        <f>IF($K667="","",TRIM(INDEX('Detalle individual'!$B:$B,$K667)))</f>
        <v/>
      </c>
      <c r="E667" s="72" t="str">
        <f>IF($K667="","",TRIM(INDEX('Detalle individual'!$E:$E,$K667)))</f>
        <v/>
      </c>
      <c r="F667" s="72" t="str">
        <f>IF($K667="","",TRIM(INDEX('Detalle individual'!$C:$C,$K667)))</f>
        <v/>
      </c>
      <c r="G667" s="72" t="str">
        <f>IF($K667="","",INDEX('Detalle individual'!$D:$D,$K667))</f>
        <v/>
      </c>
      <c r="H667" s="13" t="str">
        <f>IF($K667="","",INDEX('Detalle individual'!$F:$F,$K667))</f>
        <v/>
      </c>
      <c r="I667" s="20" t="str">
        <f>IF($K667="","",IF(INDEX('Detalle individual'!$F:$F,$K667)="Completado",INDEX('Detalle individual'!$H:$H,$K667),""))</f>
        <v/>
      </c>
      <c r="J667" s="21" t="str">
        <f>IF($K667="","",IF(INDEX('Detalle individual'!$F:$F,$K667)="Completado",INDEX('Detalle individual'!$J:$J,$K667),""))</f>
        <v/>
      </c>
      <c r="K667" t="str">
        <f>IFERROR(MOD(SMALL(Cálculos!$Z$5:$Z$1000,659),10000),"")</f>
        <v/>
      </c>
    </row>
    <row r="668">
      <c r="B668" s="13" t="str">
        <f>IF($K668="","",660)</f>
        <v/>
      </c>
      <c r="C668" s="13" t="str">
        <f>IF($K668="","",INDEX('Detalle individual'!$A:$A,$K668))</f>
        <v/>
      </c>
      <c r="D668" s="72" t="str">
        <f>IF($K668="","",TRIM(INDEX('Detalle individual'!$B:$B,$K668)))</f>
        <v/>
      </c>
      <c r="E668" s="72" t="str">
        <f>IF($K668="","",TRIM(INDEX('Detalle individual'!$E:$E,$K668)))</f>
        <v/>
      </c>
      <c r="F668" s="72" t="str">
        <f>IF($K668="","",TRIM(INDEX('Detalle individual'!$C:$C,$K668)))</f>
        <v/>
      </c>
      <c r="G668" s="72" t="str">
        <f>IF($K668="","",INDEX('Detalle individual'!$D:$D,$K668))</f>
        <v/>
      </c>
      <c r="H668" s="13" t="str">
        <f>IF($K668="","",INDEX('Detalle individual'!$F:$F,$K668))</f>
        <v/>
      </c>
      <c r="I668" s="20" t="str">
        <f>IF($K668="","",IF(INDEX('Detalle individual'!$F:$F,$K668)="Completado",INDEX('Detalle individual'!$H:$H,$K668),""))</f>
        <v/>
      </c>
      <c r="J668" s="21" t="str">
        <f>IF($K668="","",IF(INDEX('Detalle individual'!$F:$F,$K668)="Completado",INDEX('Detalle individual'!$J:$J,$K668),""))</f>
        <v/>
      </c>
      <c r="K668" t="str">
        <f>IFERROR(MOD(SMALL(Cálculos!$Z$5:$Z$1000,660),10000),"")</f>
        <v/>
      </c>
    </row>
    <row r="669">
      <c r="B669" s="13" t="str">
        <f>IF($K669="","",661)</f>
        <v/>
      </c>
      <c r="C669" s="13" t="str">
        <f>IF($K669="","",INDEX('Detalle individual'!$A:$A,$K669))</f>
        <v/>
      </c>
      <c r="D669" s="72" t="str">
        <f>IF($K669="","",TRIM(INDEX('Detalle individual'!$B:$B,$K669)))</f>
        <v/>
      </c>
      <c r="E669" s="72" t="str">
        <f>IF($K669="","",TRIM(INDEX('Detalle individual'!$E:$E,$K669)))</f>
        <v/>
      </c>
      <c r="F669" s="72" t="str">
        <f>IF($K669="","",TRIM(INDEX('Detalle individual'!$C:$C,$K669)))</f>
        <v/>
      </c>
      <c r="G669" s="72" t="str">
        <f>IF($K669="","",INDEX('Detalle individual'!$D:$D,$K669))</f>
        <v/>
      </c>
      <c r="H669" s="13" t="str">
        <f>IF($K669="","",INDEX('Detalle individual'!$F:$F,$K669))</f>
        <v/>
      </c>
      <c r="I669" s="20" t="str">
        <f>IF($K669="","",IF(INDEX('Detalle individual'!$F:$F,$K669)="Completado",INDEX('Detalle individual'!$H:$H,$K669),""))</f>
        <v/>
      </c>
      <c r="J669" s="21" t="str">
        <f>IF($K669="","",IF(INDEX('Detalle individual'!$F:$F,$K669)="Completado",INDEX('Detalle individual'!$J:$J,$K669),""))</f>
        <v/>
      </c>
      <c r="K669" t="str">
        <f>IFERROR(MOD(SMALL(Cálculos!$Z$5:$Z$1000,661),10000),"")</f>
        <v/>
      </c>
    </row>
    <row r="670">
      <c r="B670" s="13" t="str">
        <f>IF($K670="","",662)</f>
        <v/>
      </c>
      <c r="C670" s="13" t="str">
        <f>IF($K670="","",INDEX('Detalle individual'!$A:$A,$K670))</f>
        <v/>
      </c>
      <c r="D670" s="72" t="str">
        <f>IF($K670="","",TRIM(INDEX('Detalle individual'!$B:$B,$K670)))</f>
        <v/>
      </c>
      <c r="E670" s="72" t="str">
        <f>IF($K670="","",TRIM(INDEX('Detalle individual'!$E:$E,$K670)))</f>
        <v/>
      </c>
      <c r="F670" s="72" t="str">
        <f>IF($K670="","",TRIM(INDEX('Detalle individual'!$C:$C,$K670)))</f>
        <v/>
      </c>
      <c r="G670" s="72" t="str">
        <f>IF($K670="","",INDEX('Detalle individual'!$D:$D,$K670))</f>
        <v/>
      </c>
      <c r="H670" s="13" t="str">
        <f>IF($K670="","",INDEX('Detalle individual'!$F:$F,$K670))</f>
        <v/>
      </c>
      <c r="I670" s="20" t="str">
        <f>IF($K670="","",IF(INDEX('Detalle individual'!$F:$F,$K670)="Completado",INDEX('Detalle individual'!$H:$H,$K670),""))</f>
        <v/>
      </c>
      <c r="J670" s="21" t="str">
        <f>IF($K670="","",IF(INDEX('Detalle individual'!$F:$F,$K670)="Completado",INDEX('Detalle individual'!$J:$J,$K670),""))</f>
        <v/>
      </c>
      <c r="K670" t="str">
        <f>IFERROR(MOD(SMALL(Cálculos!$Z$5:$Z$1000,662),10000),"")</f>
        <v/>
      </c>
    </row>
    <row r="671">
      <c r="B671" s="13" t="str">
        <f>IF($K671="","",663)</f>
        <v/>
      </c>
      <c r="C671" s="13" t="str">
        <f>IF($K671="","",INDEX('Detalle individual'!$A:$A,$K671))</f>
        <v/>
      </c>
      <c r="D671" s="72" t="str">
        <f>IF($K671="","",TRIM(INDEX('Detalle individual'!$B:$B,$K671)))</f>
        <v/>
      </c>
      <c r="E671" s="72" t="str">
        <f>IF($K671="","",TRIM(INDEX('Detalle individual'!$E:$E,$K671)))</f>
        <v/>
      </c>
      <c r="F671" s="72" t="str">
        <f>IF($K671="","",TRIM(INDEX('Detalle individual'!$C:$C,$K671)))</f>
        <v/>
      </c>
      <c r="G671" s="72" t="str">
        <f>IF($K671="","",INDEX('Detalle individual'!$D:$D,$K671))</f>
        <v/>
      </c>
      <c r="H671" s="13" t="str">
        <f>IF($K671="","",INDEX('Detalle individual'!$F:$F,$K671))</f>
        <v/>
      </c>
      <c r="I671" s="20" t="str">
        <f>IF($K671="","",IF(INDEX('Detalle individual'!$F:$F,$K671)="Completado",INDEX('Detalle individual'!$H:$H,$K671),""))</f>
        <v/>
      </c>
      <c r="J671" s="21" t="str">
        <f>IF($K671="","",IF(INDEX('Detalle individual'!$F:$F,$K671)="Completado",INDEX('Detalle individual'!$J:$J,$K671),""))</f>
        <v/>
      </c>
      <c r="K671" t="str">
        <f>IFERROR(MOD(SMALL(Cálculos!$Z$5:$Z$1000,663),10000),"")</f>
        <v/>
      </c>
    </row>
    <row r="672">
      <c r="B672" s="13" t="str">
        <f>IF($K672="","",664)</f>
        <v/>
      </c>
      <c r="C672" s="13" t="str">
        <f>IF($K672="","",INDEX('Detalle individual'!$A:$A,$K672))</f>
        <v/>
      </c>
      <c r="D672" s="72" t="str">
        <f>IF($K672="","",TRIM(INDEX('Detalle individual'!$B:$B,$K672)))</f>
        <v/>
      </c>
      <c r="E672" s="72" t="str">
        <f>IF($K672="","",TRIM(INDEX('Detalle individual'!$E:$E,$K672)))</f>
        <v/>
      </c>
      <c r="F672" s="72" t="str">
        <f>IF($K672="","",TRIM(INDEX('Detalle individual'!$C:$C,$K672)))</f>
        <v/>
      </c>
      <c r="G672" s="72" t="str">
        <f>IF($K672="","",INDEX('Detalle individual'!$D:$D,$K672))</f>
        <v/>
      </c>
      <c r="H672" s="13" t="str">
        <f>IF($K672="","",INDEX('Detalle individual'!$F:$F,$K672))</f>
        <v/>
      </c>
      <c r="I672" s="20" t="str">
        <f>IF($K672="","",IF(INDEX('Detalle individual'!$F:$F,$K672)="Completado",INDEX('Detalle individual'!$H:$H,$K672),""))</f>
        <v/>
      </c>
      <c r="J672" s="21" t="str">
        <f>IF($K672="","",IF(INDEX('Detalle individual'!$F:$F,$K672)="Completado",INDEX('Detalle individual'!$J:$J,$K672),""))</f>
        <v/>
      </c>
      <c r="K672" t="str">
        <f>IFERROR(MOD(SMALL(Cálculos!$Z$5:$Z$1000,664),10000),"")</f>
        <v/>
      </c>
    </row>
    <row r="673">
      <c r="B673" s="13" t="str">
        <f>IF($K673="","",665)</f>
        <v/>
      </c>
      <c r="C673" s="13" t="str">
        <f>IF($K673="","",INDEX('Detalle individual'!$A:$A,$K673))</f>
        <v/>
      </c>
      <c r="D673" s="72" t="str">
        <f>IF($K673="","",TRIM(INDEX('Detalle individual'!$B:$B,$K673)))</f>
        <v/>
      </c>
      <c r="E673" s="72" t="str">
        <f>IF($K673="","",TRIM(INDEX('Detalle individual'!$E:$E,$K673)))</f>
        <v/>
      </c>
      <c r="F673" s="72" t="str">
        <f>IF($K673="","",TRIM(INDEX('Detalle individual'!$C:$C,$K673)))</f>
        <v/>
      </c>
      <c r="G673" s="72" t="str">
        <f>IF($K673="","",INDEX('Detalle individual'!$D:$D,$K673))</f>
        <v/>
      </c>
      <c r="H673" s="13" t="str">
        <f>IF($K673="","",INDEX('Detalle individual'!$F:$F,$K673))</f>
        <v/>
      </c>
      <c r="I673" s="20" t="str">
        <f>IF($K673="","",IF(INDEX('Detalle individual'!$F:$F,$K673)="Completado",INDEX('Detalle individual'!$H:$H,$K673),""))</f>
        <v/>
      </c>
      <c r="J673" s="21" t="str">
        <f>IF($K673="","",IF(INDEX('Detalle individual'!$F:$F,$K673)="Completado",INDEX('Detalle individual'!$J:$J,$K673),""))</f>
        <v/>
      </c>
      <c r="K673" t="str">
        <f>IFERROR(MOD(SMALL(Cálculos!$Z$5:$Z$1000,665),10000),"")</f>
        <v/>
      </c>
    </row>
    <row r="674">
      <c r="B674" s="13" t="str">
        <f>IF($K674="","",666)</f>
        <v/>
      </c>
      <c r="C674" s="13" t="str">
        <f>IF($K674="","",INDEX('Detalle individual'!$A:$A,$K674))</f>
        <v/>
      </c>
      <c r="D674" s="72" t="str">
        <f>IF($K674="","",TRIM(INDEX('Detalle individual'!$B:$B,$K674)))</f>
        <v/>
      </c>
      <c r="E674" s="72" t="str">
        <f>IF($K674="","",TRIM(INDEX('Detalle individual'!$E:$E,$K674)))</f>
        <v/>
      </c>
      <c r="F674" s="72" t="str">
        <f>IF($K674="","",TRIM(INDEX('Detalle individual'!$C:$C,$K674)))</f>
        <v/>
      </c>
      <c r="G674" s="72" t="str">
        <f>IF($K674="","",INDEX('Detalle individual'!$D:$D,$K674))</f>
        <v/>
      </c>
      <c r="H674" s="13" t="str">
        <f>IF($K674="","",INDEX('Detalle individual'!$F:$F,$K674))</f>
        <v/>
      </c>
      <c r="I674" s="20" t="str">
        <f>IF($K674="","",IF(INDEX('Detalle individual'!$F:$F,$K674)="Completado",INDEX('Detalle individual'!$H:$H,$K674),""))</f>
        <v/>
      </c>
      <c r="J674" s="21" t="str">
        <f>IF($K674="","",IF(INDEX('Detalle individual'!$F:$F,$K674)="Completado",INDEX('Detalle individual'!$J:$J,$K674),""))</f>
        <v/>
      </c>
      <c r="K674" t="str">
        <f>IFERROR(MOD(SMALL(Cálculos!$Z$5:$Z$1000,666),10000),"")</f>
        <v/>
      </c>
    </row>
    <row r="675">
      <c r="B675" s="13" t="str">
        <f>IF($K675="","",667)</f>
        <v/>
      </c>
      <c r="C675" s="13" t="str">
        <f>IF($K675="","",INDEX('Detalle individual'!$A:$A,$K675))</f>
        <v/>
      </c>
      <c r="D675" s="72" t="str">
        <f>IF($K675="","",TRIM(INDEX('Detalle individual'!$B:$B,$K675)))</f>
        <v/>
      </c>
      <c r="E675" s="72" t="str">
        <f>IF($K675="","",TRIM(INDEX('Detalle individual'!$E:$E,$K675)))</f>
        <v/>
      </c>
      <c r="F675" s="72" t="str">
        <f>IF($K675="","",TRIM(INDEX('Detalle individual'!$C:$C,$K675)))</f>
        <v/>
      </c>
      <c r="G675" s="72" t="str">
        <f>IF($K675="","",INDEX('Detalle individual'!$D:$D,$K675))</f>
        <v/>
      </c>
      <c r="H675" s="13" t="str">
        <f>IF($K675="","",INDEX('Detalle individual'!$F:$F,$K675))</f>
        <v/>
      </c>
      <c r="I675" s="20" t="str">
        <f>IF($K675="","",IF(INDEX('Detalle individual'!$F:$F,$K675)="Completado",INDEX('Detalle individual'!$H:$H,$K675),""))</f>
        <v/>
      </c>
      <c r="J675" s="21" t="str">
        <f>IF($K675="","",IF(INDEX('Detalle individual'!$F:$F,$K675)="Completado",INDEX('Detalle individual'!$J:$J,$K675),""))</f>
        <v/>
      </c>
      <c r="K675" t="str">
        <f>IFERROR(MOD(SMALL(Cálculos!$Z$5:$Z$1000,667),10000),"")</f>
        <v/>
      </c>
    </row>
    <row r="676">
      <c r="B676" s="13" t="str">
        <f>IF($K676="","",668)</f>
        <v/>
      </c>
      <c r="C676" s="13" t="str">
        <f>IF($K676="","",INDEX('Detalle individual'!$A:$A,$K676))</f>
        <v/>
      </c>
      <c r="D676" s="72" t="str">
        <f>IF($K676="","",TRIM(INDEX('Detalle individual'!$B:$B,$K676)))</f>
        <v/>
      </c>
      <c r="E676" s="72" t="str">
        <f>IF($K676="","",TRIM(INDEX('Detalle individual'!$E:$E,$K676)))</f>
        <v/>
      </c>
      <c r="F676" s="72" t="str">
        <f>IF($K676="","",TRIM(INDEX('Detalle individual'!$C:$C,$K676)))</f>
        <v/>
      </c>
      <c r="G676" s="72" t="str">
        <f>IF($K676="","",INDEX('Detalle individual'!$D:$D,$K676))</f>
        <v/>
      </c>
      <c r="H676" s="13" t="str">
        <f>IF($K676="","",INDEX('Detalle individual'!$F:$F,$K676))</f>
        <v/>
      </c>
      <c r="I676" s="20" t="str">
        <f>IF($K676="","",IF(INDEX('Detalle individual'!$F:$F,$K676)="Completado",INDEX('Detalle individual'!$H:$H,$K676),""))</f>
        <v/>
      </c>
      <c r="J676" s="21" t="str">
        <f>IF($K676="","",IF(INDEX('Detalle individual'!$F:$F,$K676)="Completado",INDEX('Detalle individual'!$J:$J,$K676),""))</f>
        <v/>
      </c>
      <c r="K676" t="str">
        <f>IFERROR(MOD(SMALL(Cálculos!$Z$5:$Z$1000,668),10000),"")</f>
        <v/>
      </c>
    </row>
    <row r="677">
      <c r="B677" s="13" t="str">
        <f>IF($K677="","",669)</f>
        <v/>
      </c>
      <c r="C677" s="13" t="str">
        <f>IF($K677="","",INDEX('Detalle individual'!$A:$A,$K677))</f>
        <v/>
      </c>
      <c r="D677" s="72" t="str">
        <f>IF($K677="","",TRIM(INDEX('Detalle individual'!$B:$B,$K677)))</f>
        <v/>
      </c>
      <c r="E677" s="72" t="str">
        <f>IF($K677="","",TRIM(INDEX('Detalle individual'!$E:$E,$K677)))</f>
        <v/>
      </c>
      <c r="F677" s="72" t="str">
        <f>IF($K677="","",TRIM(INDEX('Detalle individual'!$C:$C,$K677)))</f>
        <v/>
      </c>
      <c r="G677" s="72" t="str">
        <f>IF($K677="","",INDEX('Detalle individual'!$D:$D,$K677))</f>
        <v/>
      </c>
      <c r="H677" s="13" t="str">
        <f>IF($K677="","",INDEX('Detalle individual'!$F:$F,$K677))</f>
        <v/>
      </c>
      <c r="I677" s="20" t="str">
        <f>IF($K677="","",IF(INDEX('Detalle individual'!$F:$F,$K677)="Completado",INDEX('Detalle individual'!$H:$H,$K677),""))</f>
        <v/>
      </c>
      <c r="J677" s="21" t="str">
        <f>IF($K677="","",IF(INDEX('Detalle individual'!$F:$F,$K677)="Completado",INDEX('Detalle individual'!$J:$J,$K677),""))</f>
        <v/>
      </c>
      <c r="K677" t="str">
        <f>IFERROR(MOD(SMALL(Cálculos!$Z$5:$Z$1000,669),10000),"")</f>
        <v/>
      </c>
    </row>
    <row r="678">
      <c r="B678" s="13" t="str">
        <f>IF($K678="","",670)</f>
        <v/>
      </c>
      <c r="C678" s="13" t="str">
        <f>IF($K678="","",INDEX('Detalle individual'!$A:$A,$K678))</f>
        <v/>
      </c>
      <c r="D678" s="72" t="str">
        <f>IF($K678="","",TRIM(INDEX('Detalle individual'!$B:$B,$K678)))</f>
        <v/>
      </c>
      <c r="E678" s="72" t="str">
        <f>IF($K678="","",TRIM(INDEX('Detalle individual'!$E:$E,$K678)))</f>
        <v/>
      </c>
      <c r="F678" s="72" t="str">
        <f>IF($K678="","",TRIM(INDEX('Detalle individual'!$C:$C,$K678)))</f>
        <v/>
      </c>
      <c r="G678" s="72" t="str">
        <f>IF($K678="","",INDEX('Detalle individual'!$D:$D,$K678))</f>
        <v/>
      </c>
      <c r="H678" s="13" t="str">
        <f>IF($K678="","",INDEX('Detalle individual'!$F:$F,$K678))</f>
        <v/>
      </c>
      <c r="I678" s="20" t="str">
        <f>IF($K678="","",IF(INDEX('Detalle individual'!$F:$F,$K678)="Completado",INDEX('Detalle individual'!$H:$H,$K678),""))</f>
        <v/>
      </c>
      <c r="J678" s="21" t="str">
        <f>IF($K678="","",IF(INDEX('Detalle individual'!$F:$F,$K678)="Completado",INDEX('Detalle individual'!$J:$J,$K678),""))</f>
        <v/>
      </c>
      <c r="K678" t="str">
        <f>IFERROR(MOD(SMALL(Cálculos!$Z$5:$Z$1000,670),10000),"")</f>
        <v/>
      </c>
    </row>
    <row r="679">
      <c r="B679" s="13" t="str">
        <f>IF($K679="","",671)</f>
        <v/>
      </c>
      <c r="C679" s="13" t="str">
        <f>IF($K679="","",INDEX('Detalle individual'!$A:$A,$K679))</f>
        <v/>
      </c>
      <c r="D679" s="72" t="str">
        <f>IF($K679="","",TRIM(INDEX('Detalle individual'!$B:$B,$K679)))</f>
        <v/>
      </c>
      <c r="E679" s="72" t="str">
        <f>IF($K679="","",TRIM(INDEX('Detalle individual'!$E:$E,$K679)))</f>
        <v/>
      </c>
      <c r="F679" s="72" t="str">
        <f>IF($K679="","",TRIM(INDEX('Detalle individual'!$C:$C,$K679)))</f>
        <v/>
      </c>
      <c r="G679" s="72" t="str">
        <f>IF($K679="","",INDEX('Detalle individual'!$D:$D,$K679))</f>
        <v/>
      </c>
      <c r="H679" s="13" t="str">
        <f>IF($K679="","",INDEX('Detalle individual'!$F:$F,$K679))</f>
        <v/>
      </c>
      <c r="I679" s="20" t="str">
        <f>IF($K679="","",IF(INDEX('Detalle individual'!$F:$F,$K679)="Completado",INDEX('Detalle individual'!$H:$H,$K679),""))</f>
        <v/>
      </c>
      <c r="J679" s="21" t="str">
        <f>IF($K679="","",IF(INDEX('Detalle individual'!$F:$F,$K679)="Completado",INDEX('Detalle individual'!$J:$J,$K679),""))</f>
        <v/>
      </c>
      <c r="K679" t="str">
        <f>IFERROR(MOD(SMALL(Cálculos!$Z$5:$Z$1000,671),10000),"")</f>
        <v/>
      </c>
    </row>
    <row r="680">
      <c r="B680" s="13" t="str">
        <f>IF($K680="","",672)</f>
        <v/>
      </c>
      <c r="C680" s="13" t="str">
        <f>IF($K680="","",INDEX('Detalle individual'!$A:$A,$K680))</f>
        <v/>
      </c>
      <c r="D680" s="72" t="str">
        <f>IF($K680="","",TRIM(INDEX('Detalle individual'!$B:$B,$K680)))</f>
        <v/>
      </c>
      <c r="E680" s="72" t="str">
        <f>IF($K680="","",TRIM(INDEX('Detalle individual'!$E:$E,$K680)))</f>
        <v/>
      </c>
      <c r="F680" s="72" t="str">
        <f>IF($K680="","",TRIM(INDEX('Detalle individual'!$C:$C,$K680)))</f>
        <v/>
      </c>
      <c r="G680" s="72" t="str">
        <f>IF($K680="","",INDEX('Detalle individual'!$D:$D,$K680))</f>
        <v/>
      </c>
      <c r="H680" s="13" t="str">
        <f>IF($K680="","",INDEX('Detalle individual'!$F:$F,$K680))</f>
        <v/>
      </c>
      <c r="I680" s="20" t="str">
        <f>IF($K680="","",IF(INDEX('Detalle individual'!$F:$F,$K680)="Completado",INDEX('Detalle individual'!$H:$H,$K680),""))</f>
        <v/>
      </c>
      <c r="J680" s="21" t="str">
        <f>IF($K680="","",IF(INDEX('Detalle individual'!$F:$F,$K680)="Completado",INDEX('Detalle individual'!$J:$J,$K680),""))</f>
        <v/>
      </c>
      <c r="K680" t="str">
        <f>IFERROR(MOD(SMALL(Cálculos!$Z$5:$Z$1000,672),10000),"")</f>
        <v/>
      </c>
    </row>
    <row r="681">
      <c r="B681" s="13" t="str">
        <f>IF($K681="","",673)</f>
        <v/>
      </c>
      <c r="C681" s="13" t="str">
        <f>IF($K681="","",INDEX('Detalle individual'!$A:$A,$K681))</f>
        <v/>
      </c>
      <c r="D681" s="72" t="str">
        <f>IF($K681="","",TRIM(INDEX('Detalle individual'!$B:$B,$K681)))</f>
        <v/>
      </c>
      <c r="E681" s="72" t="str">
        <f>IF($K681="","",TRIM(INDEX('Detalle individual'!$E:$E,$K681)))</f>
        <v/>
      </c>
      <c r="F681" s="72" t="str">
        <f>IF($K681="","",TRIM(INDEX('Detalle individual'!$C:$C,$K681)))</f>
        <v/>
      </c>
      <c r="G681" s="72" t="str">
        <f>IF($K681="","",INDEX('Detalle individual'!$D:$D,$K681))</f>
        <v/>
      </c>
      <c r="H681" s="13" t="str">
        <f>IF($K681="","",INDEX('Detalle individual'!$F:$F,$K681))</f>
        <v/>
      </c>
      <c r="I681" s="20" t="str">
        <f>IF($K681="","",IF(INDEX('Detalle individual'!$F:$F,$K681)="Completado",INDEX('Detalle individual'!$H:$H,$K681),""))</f>
        <v/>
      </c>
      <c r="J681" s="21" t="str">
        <f>IF($K681="","",IF(INDEX('Detalle individual'!$F:$F,$K681)="Completado",INDEX('Detalle individual'!$J:$J,$K681),""))</f>
        <v/>
      </c>
      <c r="K681" t="str">
        <f>IFERROR(MOD(SMALL(Cálculos!$Z$5:$Z$1000,673),10000),"")</f>
        <v/>
      </c>
    </row>
    <row r="682">
      <c r="B682" s="13" t="str">
        <f>IF($K682="","",674)</f>
        <v/>
      </c>
      <c r="C682" s="13" t="str">
        <f>IF($K682="","",INDEX('Detalle individual'!$A:$A,$K682))</f>
        <v/>
      </c>
      <c r="D682" s="72" t="str">
        <f>IF($K682="","",TRIM(INDEX('Detalle individual'!$B:$B,$K682)))</f>
        <v/>
      </c>
      <c r="E682" s="72" t="str">
        <f>IF($K682="","",TRIM(INDEX('Detalle individual'!$E:$E,$K682)))</f>
        <v/>
      </c>
      <c r="F682" s="72" t="str">
        <f>IF($K682="","",TRIM(INDEX('Detalle individual'!$C:$C,$K682)))</f>
        <v/>
      </c>
      <c r="G682" s="72" t="str">
        <f>IF($K682="","",INDEX('Detalle individual'!$D:$D,$K682))</f>
        <v/>
      </c>
      <c r="H682" s="13" t="str">
        <f>IF($K682="","",INDEX('Detalle individual'!$F:$F,$K682))</f>
        <v/>
      </c>
      <c r="I682" s="20" t="str">
        <f>IF($K682="","",IF(INDEX('Detalle individual'!$F:$F,$K682)="Completado",INDEX('Detalle individual'!$H:$H,$K682),""))</f>
        <v/>
      </c>
      <c r="J682" s="21" t="str">
        <f>IF($K682="","",IF(INDEX('Detalle individual'!$F:$F,$K682)="Completado",INDEX('Detalle individual'!$J:$J,$K682),""))</f>
        <v/>
      </c>
      <c r="K682" t="str">
        <f>IFERROR(MOD(SMALL(Cálculos!$Z$5:$Z$1000,674),10000),"")</f>
        <v/>
      </c>
    </row>
    <row r="683">
      <c r="B683" s="13" t="str">
        <f>IF($K683="","",675)</f>
        <v/>
      </c>
      <c r="C683" s="13" t="str">
        <f>IF($K683="","",INDEX('Detalle individual'!$A:$A,$K683))</f>
        <v/>
      </c>
      <c r="D683" s="72" t="str">
        <f>IF($K683="","",TRIM(INDEX('Detalle individual'!$B:$B,$K683)))</f>
        <v/>
      </c>
      <c r="E683" s="72" t="str">
        <f>IF($K683="","",TRIM(INDEX('Detalle individual'!$E:$E,$K683)))</f>
        <v/>
      </c>
      <c r="F683" s="72" t="str">
        <f>IF($K683="","",TRIM(INDEX('Detalle individual'!$C:$C,$K683)))</f>
        <v/>
      </c>
      <c r="G683" s="72" t="str">
        <f>IF($K683="","",INDEX('Detalle individual'!$D:$D,$K683))</f>
        <v/>
      </c>
      <c r="H683" s="13" t="str">
        <f>IF($K683="","",INDEX('Detalle individual'!$F:$F,$K683))</f>
        <v/>
      </c>
      <c r="I683" s="20" t="str">
        <f>IF($K683="","",IF(INDEX('Detalle individual'!$F:$F,$K683)="Completado",INDEX('Detalle individual'!$H:$H,$K683),""))</f>
        <v/>
      </c>
      <c r="J683" s="21" t="str">
        <f>IF($K683="","",IF(INDEX('Detalle individual'!$F:$F,$K683)="Completado",INDEX('Detalle individual'!$J:$J,$K683),""))</f>
        <v/>
      </c>
      <c r="K683" t="str">
        <f>IFERROR(MOD(SMALL(Cálculos!$Z$5:$Z$1000,675),10000),"")</f>
        <v/>
      </c>
    </row>
    <row r="684">
      <c r="B684" s="13" t="str">
        <f>IF($K684="","",676)</f>
        <v/>
      </c>
      <c r="C684" s="13" t="str">
        <f>IF($K684="","",INDEX('Detalle individual'!$A:$A,$K684))</f>
        <v/>
      </c>
      <c r="D684" s="72" t="str">
        <f>IF($K684="","",TRIM(INDEX('Detalle individual'!$B:$B,$K684)))</f>
        <v/>
      </c>
      <c r="E684" s="72" t="str">
        <f>IF($K684="","",TRIM(INDEX('Detalle individual'!$E:$E,$K684)))</f>
        <v/>
      </c>
      <c r="F684" s="72" t="str">
        <f>IF($K684="","",TRIM(INDEX('Detalle individual'!$C:$C,$K684)))</f>
        <v/>
      </c>
      <c r="G684" s="72" t="str">
        <f>IF($K684="","",INDEX('Detalle individual'!$D:$D,$K684))</f>
        <v/>
      </c>
      <c r="H684" s="13" t="str">
        <f>IF($K684="","",INDEX('Detalle individual'!$F:$F,$K684))</f>
        <v/>
      </c>
      <c r="I684" s="20" t="str">
        <f>IF($K684="","",IF(INDEX('Detalle individual'!$F:$F,$K684)="Completado",INDEX('Detalle individual'!$H:$H,$K684),""))</f>
        <v/>
      </c>
      <c r="J684" s="21" t="str">
        <f>IF($K684="","",IF(INDEX('Detalle individual'!$F:$F,$K684)="Completado",INDEX('Detalle individual'!$J:$J,$K684),""))</f>
        <v/>
      </c>
      <c r="K684" t="str">
        <f>IFERROR(MOD(SMALL(Cálculos!$Z$5:$Z$1000,676),10000),"")</f>
        <v/>
      </c>
    </row>
    <row r="685">
      <c r="B685" s="13" t="str">
        <f>IF($K685="","",677)</f>
        <v/>
      </c>
      <c r="C685" s="13" t="str">
        <f>IF($K685="","",INDEX('Detalle individual'!$A:$A,$K685))</f>
        <v/>
      </c>
      <c r="D685" s="72" t="str">
        <f>IF($K685="","",TRIM(INDEX('Detalle individual'!$B:$B,$K685)))</f>
        <v/>
      </c>
      <c r="E685" s="72" t="str">
        <f>IF($K685="","",TRIM(INDEX('Detalle individual'!$E:$E,$K685)))</f>
        <v/>
      </c>
      <c r="F685" s="72" t="str">
        <f>IF($K685="","",TRIM(INDEX('Detalle individual'!$C:$C,$K685)))</f>
        <v/>
      </c>
      <c r="G685" s="72" t="str">
        <f>IF($K685="","",INDEX('Detalle individual'!$D:$D,$K685))</f>
        <v/>
      </c>
      <c r="H685" s="13" t="str">
        <f>IF($K685="","",INDEX('Detalle individual'!$F:$F,$K685))</f>
        <v/>
      </c>
      <c r="I685" s="20" t="str">
        <f>IF($K685="","",IF(INDEX('Detalle individual'!$F:$F,$K685)="Completado",INDEX('Detalle individual'!$H:$H,$K685),""))</f>
        <v/>
      </c>
      <c r="J685" s="21" t="str">
        <f>IF($K685="","",IF(INDEX('Detalle individual'!$F:$F,$K685)="Completado",INDEX('Detalle individual'!$J:$J,$K685),""))</f>
        <v/>
      </c>
      <c r="K685" t="str">
        <f>IFERROR(MOD(SMALL(Cálculos!$Z$5:$Z$1000,677),10000),"")</f>
        <v/>
      </c>
    </row>
    <row r="686">
      <c r="B686" s="13" t="str">
        <f>IF($K686="","",678)</f>
        <v/>
      </c>
      <c r="C686" s="13" t="str">
        <f>IF($K686="","",INDEX('Detalle individual'!$A:$A,$K686))</f>
        <v/>
      </c>
      <c r="D686" s="72" t="str">
        <f>IF($K686="","",TRIM(INDEX('Detalle individual'!$B:$B,$K686)))</f>
        <v/>
      </c>
      <c r="E686" s="72" t="str">
        <f>IF($K686="","",TRIM(INDEX('Detalle individual'!$E:$E,$K686)))</f>
        <v/>
      </c>
      <c r="F686" s="72" t="str">
        <f>IF($K686="","",TRIM(INDEX('Detalle individual'!$C:$C,$K686)))</f>
        <v/>
      </c>
      <c r="G686" s="72" t="str">
        <f>IF($K686="","",INDEX('Detalle individual'!$D:$D,$K686))</f>
        <v/>
      </c>
      <c r="H686" s="13" t="str">
        <f>IF($K686="","",INDEX('Detalle individual'!$F:$F,$K686))</f>
        <v/>
      </c>
      <c r="I686" s="20" t="str">
        <f>IF($K686="","",IF(INDEX('Detalle individual'!$F:$F,$K686)="Completado",INDEX('Detalle individual'!$H:$H,$K686),""))</f>
        <v/>
      </c>
      <c r="J686" s="21" t="str">
        <f>IF($K686="","",IF(INDEX('Detalle individual'!$F:$F,$K686)="Completado",INDEX('Detalle individual'!$J:$J,$K686),""))</f>
        <v/>
      </c>
      <c r="K686" t="str">
        <f>IFERROR(MOD(SMALL(Cálculos!$Z$5:$Z$1000,678),10000),"")</f>
        <v/>
      </c>
    </row>
    <row r="687">
      <c r="B687" s="13" t="str">
        <f>IF($K687="","",679)</f>
        <v/>
      </c>
      <c r="C687" s="13" t="str">
        <f>IF($K687="","",INDEX('Detalle individual'!$A:$A,$K687))</f>
        <v/>
      </c>
      <c r="D687" s="72" t="str">
        <f>IF($K687="","",TRIM(INDEX('Detalle individual'!$B:$B,$K687)))</f>
        <v/>
      </c>
      <c r="E687" s="72" t="str">
        <f>IF($K687="","",TRIM(INDEX('Detalle individual'!$E:$E,$K687)))</f>
        <v/>
      </c>
      <c r="F687" s="72" t="str">
        <f>IF($K687="","",TRIM(INDEX('Detalle individual'!$C:$C,$K687)))</f>
        <v/>
      </c>
      <c r="G687" s="72" t="str">
        <f>IF($K687="","",INDEX('Detalle individual'!$D:$D,$K687))</f>
        <v/>
      </c>
      <c r="H687" s="13" t="str">
        <f>IF($K687="","",INDEX('Detalle individual'!$F:$F,$K687))</f>
        <v/>
      </c>
      <c r="I687" s="20" t="str">
        <f>IF($K687="","",IF(INDEX('Detalle individual'!$F:$F,$K687)="Completado",INDEX('Detalle individual'!$H:$H,$K687),""))</f>
        <v/>
      </c>
      <c r="J687" s="21" t="str">
        <f>IF($K687="","",IF(INDEX('Detalle individual'!$F:$F,$K687)="Completado",INDEX('Detalle individual'!$J:$J,$K687),""))</f>
        <v/>
      </c>
      <c r="K687" t="str">
        <f>IFERROR(MOD(SMALL(Cálculos!$Z$5:$Z$1000,679),10000),"")</f>
        <v/>
      </c>
    </row>
    <row r="688">
      <c r="B688" s="13" t="str">
        <f>IF($K688="","",680)</f>
        <v/>
      </c>
      <c r="C688" s="13" t="str">
        <f>IF($K688="","",INDEX('Detalle individual'!$A:$A,$K688))</f>
        <v/>
      </c>
      <c r="D688" s="72" t="str">
        <f>IF($K688="","",TRIM(INDEX('Detalle individual'!$B:$B,$K688)))</f>
        <v/>
      </c>
      <c r="E688" s="72" t="str">
        <f>IF($K688="","",TRIM(INDEX('Detalle individual'!$E:$E,$K688)))</f>
        <v/>
      </c>
      <c r="F688" s="72" t="str">
        <f>IF($K688="","",TRIM(INDEX('Detalle individual'!$C:$C,$K688)))</f>
        <v/>
      </c>
      <c r="G688" s="72" t="str">
        <f>IF($K688="","",INDEX('Detalle individual'!$D:$D,$K688))</f>
        <v/>
      </c>
      <c r="H688" s="13" t="str">
        <f>IF($K688="","",INDEX('Detalle individual'!$F:$F,$K688))</f>
        <v/>
      </c>
      <c r="I688" s="20" t="str">
        <f>IF($K688="","",IF(INDEX('Detalle individual'!$F:$F,$K688)="Completado",INDEX('Detalle individual'!$H:$H,$K688),""))</f>
        <v/>
      </c>
      <c r="J688" s="21" t="str">
        <f>IF($K688="","",IF(INDEX('Detalle individual'!$F:$F,$K688)="Completado",INDEX('Detalle individual'!$J:$J,$K688),""))</f>
        <v/>
      </c>
      <c r="K688" t="str">
        <f>IFERROR(MOD(SMALL(Cálculos!$Z$5:$Z$1000,680),10000),"")</f>
        <v/>
      </c>
    </row>
    <row r="689">
      <c r="B689" s="13" t="str">
        <f>IF($K689="","",681)</f>
        <v/>
      </c>
      <c r="C689" s="13" t="str">
        <f>IF($K689="","",INDEX('Detalle individual'!$A:$A,$K689))</f>
        <v/>
      </c>
      <c r="D689" s="72" t="str">
        <f>IF($K689="","",TRIM(INDEX('Detalle individual'!$B:$B,$K689)))</f>
        <v/>
      </c>
      <c r="E689" s="72" t="str">
        <f>IF($K689="","",TRIM(INDEX('Detalle individual'!$E:$E,$K689)))</f>
        <v/>
      </c>
      <c r="F689" s="72" t="str">
        <f>IF($K689="","",TRIM(INDEX('Detalle individual'!$C:$C,$K689)))</f>
        <v/>
      </c>
      <c r="G689" s="72" t="str">
        <f>IF($K689="","",INDEX('Detalle individual'!$D:$D,$K689))</f>
        <v/>
      </c>
      <c r="H689" s="13" t="str">
        <f>IF($K689="","",INDEX('Detalle individual'!$F:$F,$K689))</f>
        <v/>
      </c>
      <c r="I689" s="20" t="str">
        <f>IF($K689="","",IF(INDEX('Detalle individual'!$F:$F,$K689)="Completado",INDEX('Detalle individual'!$H:$H,$K689),""))</f>
        <v/>
      </c>
      <c r="J689" s="21" t="str">
        <f>IF($K689="","",IF(INDEX('Detalle individual'!$F:$F,$K689)="Completado",INDEX('Detalle individual'!$J:$J,$K689),""))</f>
        <v/>
      </c>
      <c r="K689" t="str">
        <f>IFERROR(MOD(SMALL(Cálculos!$Z$5:$Z$1000,681),10000),"")</f>
        <v/>
      </c>
    </row>
    <row r="690">
      <c r="B690" s="13" t="str">
        <f>IF($K690="","",682)</f>
        <v/>
      </c>
      <c r="C690" s="13" t="str">
        <f>IF($K690="","",INDEX('Detalle individual'!$A:$A,$K690))</f>
        <v/>
      </c>
      <c r="D690" s="72" t="str">
        <f>IF($K690="","",TRIM(INDEX('Detalle individual'!$B:$B,$K690)))</f>
        <v/>
      </c>
      <c r="E690" s="72" t="str">
        <f>IF($K690="","",TRIM(INDEX('Detalle individual'!$E:$E,$K690)))</f>
        <v/>
      </c>
      <c r="F690" s="72" t="str">
        <f>IF($K690="","",TRIM(INDEX('Detalle individual'!$C:$C,$K690)))</f>
        <v/>
      </c>
      <c r="G690" s="72" t="str">
        <f>IF($K690="","",INDEX('Detalle individual'!$D:$D,$K690))</f>
        <v/>
      </c>
      <c r="H690" s="13" t="str">
        <f>IF($K690="","",INDEX('Detalle individual'!$F:$F,$K690))</f>
        <v/>
      </c>
      <c r="I690" s="20" t="str">
        <f>IF($K690="","",IF(INDEX('Detalle individual'!$F:$F,$K690)="Completado",INDEX('Detalle individual'!$H:$H,$K690),""))</f>
        <v/>
      </c>
      <c r="J690" s="21" t="str">
        <f>IF($K690="","",IF(INDEX('Detalle individual'!$F:$F,$K690)="Completado",INDEX('Detalle individual'!$J:$J,$K690),""))</f>
        <v/>
      </c>
      <c r="K690" t="str">
        <f>IFERROR(MOD(SMALL(Cálculos!$Z$5:$Z$1000,682),10000),"")</f>
        <v/>
      </c>
    </row>
    <row r="691">
      <c r="B691" s="13" t="str">
        <f>IF($K691="","",683)</f>
        <v/>
      </c>
      <c r="C691" s="13" t="str">
        <f>IF($K691="","",INDEX('Detalle individual'!$A:$A,$K691))</f>
        <v/>
      </c>
      <c r="D691" s="72" t="str">
        <f>IF($K691="","",TRIM(INDEX('Detalle individual'!$B:$B,$K691)))</f>
        <v/>
      </c>
      <c r="E691" s="72" t="str">
        <f>IF($K691="","",TRIM(INDEX('Detalle individual'!$E:$E,$K691)))</f>
        <v/>
      </c>
      <c r="F691" s="72" t="str">
        <f>IF($K691="","",TRIM(INDEX('Detalle individual'!$C:$C,$K691)))</f>
        <v/>
      </c>
      <c r="G691" s="72" t="str">
        <f>IF($K691="","",INDEX('Detalle individual'!$D:$D,$K691))</f>
        <v/>
      </c>
      <c r="H691" s="13" t="str">
        <f>IF($K691="","",INDEX('Detalle individual'!$F:$F,$K691))</f>
        <v/>
      </c>
      <c r="I691" s="20" t="str">
        <f>IF($K691="","",IF(INDEX('Detalle individual'!$F:$F,$K691)="Completado",INDEX('Detalle individual'!$H:$H,$K691),""))</f>
        <v/>
      </c>
      <c r="J691" s="21" t="str">
        <f>IF($K691="","",IF(INDEX('Detalle individual'!$F:$F,$K691)="Completado",INDEX('Detalle individual'!$J:$J,$K691),""))</f>
        <v/>
      </c>
      <c r="K691" t="str">
        <f>IFERROR(MOD(SMALL(Cálculos!$Z$5:$Z$1000,683),10000),"")</f>
        <v/>
      </c>
    </row>
    <row r="692">
      <c r="B692" s="13" t="str">
        <f>IF($K692="","",684)</f>
        <v/>
      </c>
      <c r="C692" s="13" t="str">
        <f>IF($K692="","",INDEX('Detalle individual'!$A:$A,$K692))</f>
        <v/>
      </c>
      <c r="D692" s="72" t="str">
        <f>IF($K692="","",TRIM(INDEX('Detalle individual'!$B:$B,$K692)))</f>
        <v/>
      </c>
      <c r="E692" s="72" t="str">
        <f>IF($K692="","",TRIM(INDEX('Detalle individual'!$E:$E,$K692)))</f>
        <v/>
      </c>
      <c r="F692" s="72" t="str">
        <f>IF($K692="","",TRIM(INDEX('Detalle individual'!$C:$C,$K692)))</f>
        <v/>
      </c>
      <c r="G692" s="72" t="str">
        <f>IF($K692="","",INDEX('Detalle individual'!$D:$D,$K692))</f>
        <v/>
      </c>
      <c r="H692" s="13" t="str">
        <f>IF($K692="","",INDEX('Detalle individual'!$F:$F,$K692))</f>
        <v/>
      </c>
      <c r="I692" s="20" t="str">
        <f>IF($K692="","",IF(INDEX('Detalle individual'!$F:$F,$K692)="Completado",INDEX('Detalle individual'!$H:$H,$K692),""))</f>
        <v/>
      </c>
      <c r="J692" s="21" t="str">
        <f>IF($K692="","",IF(INDEX('Detalle individual'!$F:$F,$K692)="Completado",INDEX('Detalle individual'!$J:$J,$K692),""))</f>
        <v/>
      </c>
      <c r="K692" t="str">
        <f>IFERROR(MOD(SMALL(Cálculos!$Z$5:$Z$1000,684),10000),"")</f>
        <v/>
      </c>
    </row>
    <row r="693">
      <c r="B693" s="13" t="str">
        <f>IF($K693="","",685)</f>
        <v/>
      </c>
      <c r="C693" s="13" t="str">
        <f>IF($K693="","",INDEX('Detalle individual'!$A:$A,$K693))</f>
        <v/>
      </c>
      <c r="D693" s="72" t="str">
        <f>IF($K693="","",TRIM(INDEX('Detalle individual'!$B:$B,$K693)))</f>
        <v/>
      </c>
      <c r="E693" s="72" t="str">
        <f>IF($K693="","",TRIM(INDEX('Detalle individual'!$E:$E,$K693)))</f>
        <v/>
      </c>
      <c r="F693" s="72" t="str">
        <f>IF($K693="","",TRIM(INDEX('Detalle individual'!$C:$C,$K693)))</f>
        <v/>
      </c>
      <c r="G693" s="72" t="str">
        <f>IF($K693="","",INDEX('Detalle individual'!$D:$D,$K693))</f>
        <v/>
      </c>
      <c r="H693" s="13" t="str">
        <f>IF($K693="","",INDEX('Detalle individual'!$F:$F,$K693))</f>
        <v/>
      </c>
      <c r="I693" s="20" t="str">
        <f>IF($K693="","",IF(INDEX('Detalle individual'!$F:$F,$K693)="Completado",INDEX('Detalle individual'!$H:$H,$K693),""))</f>
        <v/>
      </c>
      <c r="J693" s="21" t="str">
        <f>IF($K693="","",IF(INDEX('Detalle individual'!$F:$F,$K693)="Completado",INDEX('Detalle individual'!$J:$J,$K693),""))</f>
        <v/>
      </c>
      <c r="K693" t="str">
        <f>IFERROR(MOD(SMALL(Cálculos!$Z$5:$Z$1000,685),10000),"")</f>
        <v/>
      </c>
    </row>
    <row r="694">
      <c r="B694" s="13" t="str">
        <f>IF($K694="","",686)</f>
        <v/>
      </c>
      <c r="C694" s="13" t="str">
        <f>IF($K694="","",INDEX('Detalle individual'!$A:$A,$K694))</f>
        <v/>
      </c>
      <c r="D694" s="72" t="str">
        <f>IF($K694="","",TRIM(INDEX('Detalle individual'!$B:$B,$K694)))</f>
        <v/>
      </c>
      <c r="E694" s="72" t="str">
        <f>IF($K694="","",TRIM(INDEX('Detalle individual'!$E:$E,$K694)))</f>
        <v/>
      </c>
      <c r="F694" s="72" t="str">
        <f>IF($K694="","",TRIM(INDEX('Detalle individual'!$C:$C,$K694)))</f>
        <v/>
      </c>
      <c r="G694" s="72" t="str">
        <f>IF($K694="","",INDEX('Detalle individual'!$D:$D,$K694))</f>
        <v/>
      </c>
      <c r="H694" s="13" t="str">
        <f>IF($K694="","",INDEX('Detalle individual'!$F:$F,$K694))</f>
        <v/>
      </c>
      <c r="I694" s="20" t="str">
        <f>IF($K694="","",IF(INDEX('Detalle individual'!$F:$F,$K694)="Completado",INDEX('Detalle individual'!$H:$H,$K694),""))</f>
        <v/>
      </c>
      <c r="J694" s="21" t="str">
        <f>IF($K694="","",IF(INDEX('Detalle individual'!$F:$F,$K694)="Completado",INDEX('Detalle individual'!$J:$J,$K694),""))</f>
        <v/>
      </c>
      <c r="K694" t="str">
        <f>IFERROR(MOD(SMALL(Cálculos!$Z$5:$Z$1000,686),10000),"")</f>
        <v/>
      </c>
    </row>
    <row r="695">
      <c r="B695" s="13" t="str">
        <f>IF($K695="","",687)</f>
        <v/>
      </c>
      <c r="C695" s="13" t="str">
        <f>IF($K695="","",INDEX('Detalle individual'!$A:$A,$K695))</f>
        <v/>
      </c>
      <c r="D695" s="72" t="str">
        <f>IF($K695="","",TRIM(INDEX('Detalle individual'!$B:$B,$K695)))</f>
        <v/>
      </c>
      <c r="E695" s="72" t="str">
        <f>IF($K695="","",TRIM(INDEX('Detalle individual'!$E:$E,$K695)))</f>
        <v/>
      </c>
      <c r="F695" s="72" t="str">
        <f>IF($K695="","",TRIM(INDEX('Detalle individual'!$C:$C,$K695)))</f>
        <v/>
      </c>
      <c r="G695" s="72" t="str">
        <f>IF($K695="","",INDEX('Detalle individual'!$D:$D,$K695))</f>
        <v/>
      </c>
      <c r="H695" s="13" t="str">
        <f>IF($K695="","",INDEX('Detalle individual'!$F:$F,$K695))</f>
        <v/>
      </c>
      <c r="I695" s="20" t="str">
        <f>IF($K695="","",IF(INDEX('Detalle individual'!$F:$F,$K695)="Completado",INDEX('Detalle individual'!$H:$H,$K695),""))</f>
        <v/>
      </c>
      <c r="J695" s="21" t="str">
        <f>IF($K695="","",IF(INDEX('Detalle individual'!$F:$F,$K695)="Completado",INDEX('Detalle individual'!$J:$J,$K695),""))</f>
        <v/>
      </c>
      <c r="K695" t="str">
        <f>IFERROR(MOD(SMALL(Cálculos!$Z$5:$Z$1000,687),10000),"")</f>
        <v/>
      </c>
    </row>
    <row r="696">
      <c r="B696" s="13" t="str">
        <f>IF($K696="","",688)</f>
        <v/>
      </c>
      <c r="C696" s="13" t="str">
        <f>IF($K696="","",INDEX('Detalle individual'!$A:$A,$K696))</f>
        <v/>
      </c>
      <c r="D696" s="72" t="str">
        <f>IF($K696="","",TRIM(INDEX('Detalle individual'!$B:$B,$K696)))</f>
        <v/>
      </c>
      <c r="E696" s="72" t="str">
        <f>IF($K696="","",TRIM(INDEX('Detalle individual'!$E:$E,$K696)))</f>
        <v/>
      </c>
      <c r="F696" s="72" t="str">
        <f>IF($K696="","",TRIM(INDEX('Detalle individual'!$C:$C,$K696)))</f>
        <v/>
      </c>
      <c r="G696" s="72" t="str">
        <f>IF($K696="","",INDEX('Detalle individual'!$D:$D,$K696))</f>
        <v/>
      </c>
      <c r="H696" s="13" t="str">
        <f>IF($K696="","",INDEX('Detalle individual'!$F:$F,$K696))</f>
        <v/>
      </c>
      <c r="I696" s="20" t="str">
        <f>IF($K696="","",IF(INDEX('Detalle individual'!$F:$F,$K696)="Completado",INDEX('Detalle individual'!$H:$H,$K696),""))</f>
        <v/>
      </c>
      <c r="J696" s="21" t="str">
        <f>IF($K696="","",IF(INDEX('Detalle individual'!$F:$F,$K696)="Completado",INDEX('Detalle individual'!$J:$J,$K696),""))</f>
        <v/>
      </c>
      <c r="K696" t="str">
        <f>IFERROR(MOD(SMALL(Cálculos!$Z$5:$Z$1000,688),10000),"")</f>
        <v/>
      </c>
    </row>
    <row r="697">
      <c r="B697" s="13" t="str">
        <f>IF($K697="","",689)</f>
        <v/>
      </c>
      <c r="C697" s="13" t="str">
        <f>IF($K697="","",INDEX('Detalle individual'!$A:$A,$K697))</f>
        <v/>
      </c>
      <c r="D697" s="72" t="str">
        <f>IF($K697="","",TRIM(INDEX('Detalle individual'!$B:$B,$K697)))</f>
        <v/>
      </c>
      <c r="E697" s="72" t="str">
        <f>IF($K697="","",TRIM(INDEX('Detalle individual'!$E:$E,$K697)))</f>
        <v/>
      </c>
      <c r="F697" s="72" t="str">
        <f>IF($K697="","",TRIM(INDEX('Detalle individual'!$C:$C,$K697)))</f>
        <v/>
      </c>
      <c r="G697" s="72" t="str">
        <f>IF($K697="","",INDEX('Detalle individual'!$D:$D,$K697))</f>
        <v/>
      </c>
      <c r="H697" s="13" t="str">
        <f>IF($K697="","",INDEX('Detalle individual'!$F:$F,$K697))</f>
        <v/>
      </c>
      <c r="I697" s="20" t="str">
        <f>IF($K697="","",IF(INDEX('Detalle individual'!$F:$F,$K697)="Completado",INDEX('Detalle individual'!$H:$H,$K697),""))</f>
        <v/>
      </c>
      <c r="J697" s="21" t="str">
        <f>IF($K697="","",IF(INDEX('Detalle individual'!$F:$F,$K697)="Completado",INDEX('Detalle individual'!$J:$J,$K697),""))</f>
        <v/>
      </c>
      <c r="K697" t="str">
        <f>IFERROR(MOD(SMALL(Cálculos!$Z$5:$Z$1000,689),10000),"")</f>
        <v/>
      </c>
    </row>
    <row r="698">
      <c r="B698" s="13" t="str">
        <f>IF($K698="","",690)</f>
        <v/>
      </c>
      <c r="C698" s="13" t="str">
        <f>IF($K698="","",INDEX('Detalle individual'!$A:$A,$K698))</f>
        <v/>
      </c>
      <c r="D698" s="72" t="str">
        <f>IF($K698="","",TRIM(INDEX('Detalle individual'!$B:$B,$K698)))</f>
        <v/>
      </c>
      <c r="E698" s="72" t="str">
        <f>IF($K698="","",TRIM(INDEX('Detalle individual'!$E:$E,$K698)))</f>
        <v/>
      </c>
      <c r="F698" s="72" t="str">
        <f>IF($K698="","",TRIM(INDEX('Detalle individual'!$C:$C,$K698)))</f>
        <v/>
      </c>
      <c r="G698" s="72" t="str">
        <f>IF($K698="","",INDEX('Detalle individual'!$D:$D,$K698))</f>
        <v/>
      </c>
      <c r="H698" s="13" t="str">
        <f>IF($K698="","",INDEX('Detalle individual'!$F:$F,$K698))</f>
        <v/>
      </c>
      <c r="I698" s="20" t="str">
        <f>IF($K698="","",IF(INDEX('Detalle individual'!$F:$F,$K698)="Completado",INDEX('Detalle individual'!$H:$H,$K698),""))</f>
        <v/>
      </c>
      <c r="J698" s="21" t="str">
        <f>IF($K698="","",IF(INDEX('Detalle individual'!$F:$F,$K698)="Completado",INDEX('Detalle individual'!$J:$J,$K698),""))</f>
        <v/>
      </c>
      <c r="K698" t="str">
        <f>IFERROR(MOD(SMALL(Cálculos!$Z$5:$Z$1000,690),10000),"")</f>
        <v/>
      </c>
    </row>
    <row r="699">
      <c r="B699" s="13" t="str">
        <f>IF($K699="","",691)</f>
        <v/>
      </c>
      <c r="C699" s="13" t="str">
        <f>IF($K699="","",INDEX('Detalle individual'!$A:$A,$K699))</f>
        <v/>
      </c>
      <c r="D699" s="72" t="str">
        <f>IF($K699="","",TRIM(INDEX('Detalle individual'!$B:$B,$K699)))</f>
        <v/>
      </c>
      <c r="E699" s="72" t="str">
        <f>IF($K699="","",TRIM(INDEX('Detalle individual'!$E:$E,$K699)))</f>
        <v/>
      </c>
      <c r="F699" s="72" t="str">
        <f>IF($K699="","",TRIM(INDEX('Detalle individual'!$C:$C,$K699)))</f>
        <v/>
      </c>
      <c r="G699" s="72" t="str">
        <f>IF($K699="","",INDEX('Detalle individual'!$D:$D,$K699))</f>
        <v/>
      </c>
      <c r="H699" s="13" t="str">
        <f>IF($K699="","",INDEX('Detalle individual'!$F:$F,$K699))</f>
        <v/>
      </c>
      <c r="I699" s="20" t="str">
        <f>IF($K699="","",IF(INDEX('Detalle individual'!$F:$F,$K699)="Completado",INDEX('Detalle individual'!$H:$H,$K699),""))</f>
        <v/>
      </c>
      <c r="J699" s="21" t="str">
        <f>IF($K699="","",IF(INDEX('Detalle individual'!$F:$F,$K699)="Completado",INDEX('Detalle individual'!$J:$J,$K699),""))</f>
        <v/>
      </c>
      <c r="K699" t="str">
        <f>IFERROR(MOD(SMALL(Cálculos!$Z$5:$Z$1000,691),10000),"")</f>
        <v/>
      </c>
    </row>
    <row r="700">
      <c r="B700" s="13" t="str">
        <f>IF($K700="","",692)</f>
        <v/>
      </c>
      <c r="C700" s="13" t="str">
        <f>IF($K700="","",INDEX('Detalle individual'!$A:$A,$K700))</f>
        <v/>
      </c>
      <c r="D700" s="72" t="str">
        <f>IF($K700="","",TRIM(INDEX('Detalle individual'!$B:$B,$K700)))</f>
        <v/>
      </c>
      <c r="E700" s="72" t="str">
        <f>IF($K700="","",TRIM(INDEX('Detalle individual'!$E:$E,$K700)))</f>
        <v/>
      </c>
      <c r="F700" s="72" t="str">
        <f>IF($K700="","",TRIM(INDEX('Detalle individual'!$C:$C,$K700)))</f>
        <v/>
      </c>
      <c r="G700" s="72" t="str">
        <f>IF($K700="","",INDEX('Detalle individual'!$D:$D,$K700))</f>
        <v/>
      </c>
      <c r="H700" s="13" t="str">
        <f>IF($K700="","",INDEX('Detalle individual'!$F:$F,$K700))</f>
        <v/>
      </c>
      <c r="I700" s="20" t="str">
        <f>IF($K700="","",IF(INDEX('Detalle individual'!$F:$F,$K700)="Completado",INDEX('Detalle individual'!$H:$H,$K700),""))</f>
        <v/>
      </c>
      <c r="J700" s="21" t="str">
        <f>IF($K700="","",IF(INDEX('Detalle individual'!$F:$F,$K700)="Completado",INDEX('Detalle individual'!$J:$J,$K700),""))</f>
        <v/>
      </c>
      <c r="K700" t="str">
        <f>IFERROR(MOD(SMALL(Cálculos!$Z$5:$Z$1000,692),10000),"")</f>
        <v/>
      </c>
    </row>
    <row r="701">
      <c r="B701" s="13" t="str">
        <f>IF($K701="","",693)</f>
        <v/>
      </c>
      <c r="C701" s="13" t="str">
        <f>IF($K701="","",INDEX('Detalle individual'!$A:$A,$K701))</f>
        <v/>
      </c>
      <c r="D701" s="72" t="str">
        <f>IF($K701="","",TRIM(INDEX('Detalle individual'!$B:$B,$K701)))</f>
        <v/>
      </c>
      <c r="E701" s="72" t="str">
        <f>IF($K701="","",TRIM(INDEX('Detalle individual'!$E:$E,$K701)))</f>
        <v/>
      </c>
      <c r="F701" s="72" t="str">
        <f>IF($K701="","",TRIM(INDEX('Detalle individual'!$C:$C,$K701)))</f>
        <v/>
      </c>
      <c r="G701" s="72" t="str">
        <f>IF($K701="","",INDEX('Detalle individual'!$D:$D,$K701))</f>
        <v/>
      </c>
      <c r="H701" s="13" t="str">
        <f>IF($K701="","",INDEX('Detalle individual'!$F:$F,$K701))</f>
        <v/>
      </c>
      <c r="I701" s="20" t="str">
        <f>IF($K701="","",IF(INDEX('Detalle individual'!$F:$F,$K701)="Completado",INDEX('Detalle individual'!$H:$H,$K701),""))</f>
        <v/>
      </c>
      <c r="J701" s="21" t="str">
        <f>IF($K701="","",IF(INDEX('Detalle individual'!$F:$F,$K701)="Completado",INDEX('Detalle individual'!$J:$J,$K701),""))</f>
        <v/>
      </c>
      <c r="K701" t="str">
        <f>IFERROR(MOD(SMALL(Cálculos!$Z$5:$Z$1000,693),10000),"")</f>
        <v/>
      </c>
    </row>
    <row r="702">
      <c r="B702" s="13" t="str">
        <f>IF($K702="","",694)</f>
        <v/>
      </c>
      <c r="C702" s="13" t="str">
        <f>IF($K702="","",INDEX('Detalle individual'!$A:$A,$K702))</f>
        <v/>
      </c>
      <c r="D702" s="72" t="str">
        <f>IF($K702="","",TRIM(INDEX('Detalle individual'!$B:$B,$K702)))</f>
        <v/>
      </c>
      <c r="E702" s="72" t="str">
        <f>IF($K702="","",TRIM(INDEX('Detalle individual'!$E:$E,$K702)))</f>
        <v/>
      </c>
      <c r="F702" s="72" t="str">
        <f>IF($K702="","",TRIM(INDEX('Detalle individual'!$C:$C,$K702)))</f>
        <v/>
      </c>
      <c r="G702" s="72" t="str">
        <f>IF($K702="","",INDEX('Detalle individual'!$D:$D,$K702))</f>
        <v/>
      </c>
      <c r="H702" s="13" t="str">
        <f>IF($K702="","",INDEX('Detalle individual'!$F:$F,$K702))</f>
        <v/>
      </c>
      <c r="I702" s="20" t="str">
        <f>IF($K702="","",IF(INDEX('Detalle individual'!$F:$F,$K702)="Completado",INDEX('Detalle individual'!$H:$H,$K702),""))</f>
        <v/>
      </c>
      <c r="J702" s="21" t="str">
        <f>IF($K702="","",IF(INDEX('Detalle individual'!$F:$F,$K702)="Completado",INDEX('Detalle individual'!$J:$J,$K702),""))</f>
        <v/>
      </c>
      <c r="K702" t="str">
        <f>IFERROR(MOD(SMALL(Cálculos!$Z$5:$Z$1000,694),10000),"")</f>
        <v/>
      </c>
    </row>
    <row r="703">
      <c r="B703" s="13" t="str">
        <f>IF($K703="","",695)</f>
        <v/>
      </c>
      <c r="C703" s="13" t="str">
        <f>IF($K703="","",INDEX('Detalle individual'!$A:$A,$K703))</f>
        <v/>
      </c>
      <c r="D703" s="72" t="str">
        <f>IF($K703="","",TRIM(INDEX('Detalle individual'!$B:$B,$K703)))</f>
        <v/>
      </c>
      <c r="E703" s="72" t="str">
        <f>IF($K703="","",TRIM(INDEX('Detalle individual'!$E:$E,$K703)))</f>
        <v/>
      </c>
      <c r="F703" s="72" t="str">
        <f>IF($K703="","",TRIM(INDEX('Detalle individual'!$C:$C,$K703)))</f>
        <v/>
      </c>
      <c r="G703" s="72" t="str">
        <f>IF($K703="","",INDEX('Detalle individual'!$D:$D,$K703))</f>
        <v/>
      </c>
      <c r="H703" s="13" t="str">
        <f>IF($K703="","",INDEX('Detalle individual'!$F:$F,$K703))</f>
        <v/>
      </c>
      <c r="I703" s="20" t="str">
        <f>IF($K703="","",IF(INDEX('Detalle individual'!$F:$F,$K703)="Completado",INDEX('Detalle individual'!$H:$H,$K703),""))</f>
        <v/>
      </c>
      <c r="J703" s="21" t="str">
        <f>IF($K703="","",IF(INDEX('Detalle individual'!$F:$F,$K703)="Completado",INDEX('Detalle individual'!$J:$J,$K703),""))</f>
        <v/>
      </c>
      <c r="K703" t="str">
        <f>IFERROR(MOD(SMALL(Cálculos!$Z$5:$Z$1000,695),10000),"")</f>
        <v/>
      </c>
    </row>
    <row r="704">
      <c r="B704" s="13" t="str">
        <f>IF($K704="","",696)</f>
        <v/>
      </c>
      <c r="C704" s="13" t="str">
        <f>IF($K704="","",INDEX('Detalle individual'!$A:$A,$K704))</f>
        <v/>
      </c>
      <c r="D704" s="72" t="str">
        <f>IF($K704="","",TRIM(INDEX('Detalle individual'!$B:$B,$K704)))</f>
        <v/>
      </c>
      <c r="E704" s="72" t="str">
        <f>IF($K704="","",TRIM(INDEX('Detalle individual'!$E:$E,$K704)))</f>
        <v/>
      </c>
      <c r="F704" s="72" t="str">
        <f>IF($K704="","",TRIM(INDEX('Detalle individual'!$C:$C,$K704)))</f>
        <v/>
      </c>
      <c r="G704" s="72" t="str">
        <f>IF($K704="","",INDEX('Detalle individual'!$D:$D,$K704))</f>
        <v/>
      </c>
      <c r="H704" s="13" t="str">
        <f>IF($K704="","",INDEX('Detalle individual'!$F:$F,$K704))</f>
        <v/>
      </c>
      <c r="I704" s="20" t="str">
        <f>IF($K704="","",IF(INDEX('Detalle individual'!$F:$F,$K704)="Completado",INDEX('Detalle individual'!$H:$H,$K704),""))</f>
        <v/>
      </c>
      <c r="J704" s="21" t="str">
        <f>IF($K704="","",IF(INDEX('Detalle individual'!$F:$F,$K704)="Completado",INDEX('Detalle individual'!$J:$J,$K704),""))</f>
        <v/>
      </c>
      <c r="K704" t="str">
        <f>IFERROR(MOD(SMALL(Cálculos!$Z$5:$Z$1000,696),10000),"")</f>
        <v/>
      </c>
    </row>
    <row r="705">
      <c r="B705" s="13" t="str">
        <f>IF($K705="","",697)</f>
        <v/>
      </c>
      <c r="C705" s="13" t="str">
        <f>IF($K705="","",INDEX('Detalle individual'!$A:$A,$K705))</f>
        <v/>
      </c>
      <c r="D705" s="72" t="str">
        <f>IF($K705="","",TRIM(INDEX('Detalle individual'!$B:$B,$K705)))</f>
        <v/>
      </c>
      <c r="E705" s="72" t="str">
        <f>IF($K705="","",TRIM(INDEX('Detalle individual'!$E:$E,$K705)))</f>
        <v/>
      </c>
      <c r="F705" s="72" t="str">
        <f>IF($K705="","",TRIM(INDEX('Detalle individual'!$C:$C,$K705)))</f>
        <v/>
      </c>
      <c r="G705" s="72" t="str">
        <f>IF($K705="","",INDEX('Detalle individual'!$D:$D,$K705))</f>
        <v/>
      </c>
      <c r="H705" s="13" t="str">
        <f>IF($K705="","",INDEX('Detalle individual'!$F:$F,$K705))</f>
        <v/>
      </c>
      <c r="I705" s="20" t="str">
        <f>IF($K705="","",IF(INDEX('Detalle individual'!$F:$F,$K705)="Completado",INDEX('Detalle individual'!$H:$H,$K705),""))</f>
        <v/>
      </c>
      <c r="J705" s="21" t="str">
        <f>IF($K705="","",IF(INDEX('Detalle individual'!$F:$F,$K705)="Completado",INDEX('Detalle individual'!$J:$J,$K705),""))</f>
        <v/>
      </c>
      <c r="K705" t="str">
        <f>IFERROR(MOD(SMALL(Cálculos!$Z$5:$Z$1000,697),10000),"")</f>
        <v/>
      </c>
    </row>
    <row r="706">
      <c r="B706" s="13" t="str">
        <f>IF($K706="","",698)</f>
        <v/>
      </c>
      <c r="C706" s="13" t="str">
        <f>IF($K706="","",INDEX('Detalle individual'!$A:$A,$K706))</f>
        <v/>
      </c>
      <c r="D706" s="72" t="str">
        <f>IF($K706="","",TRIM(INDEX('Detalle individual'!$B:$B,$K706)))</f>
        <v/>
      </c>
      <c r="E706" s="72" t="str">
        <f>IF($K706="","",TRIM(INDEX('Detalle individual'!$E:$E,$K706)))</f>
        <v/>
      </c>
      <c r="F706" s="72" t="str">
        <f>IF($K706="","",TRIM(INDEX('Detalle individual'!$C:$C,$K706)))</f>
        <v/>
      </c>
      <c r="G706" s="72" t="str">
        <f>IF($K706="","",INDEX('Detalle individual'!$D:$D,$K706))</f>
        <v/>
      </c>
      <c r="H706" s="13" t="str">
        <f>IF($K706="","",INDEX('Detalle individual'!$F:$F,$K706))</f>
        <v/>
      </c>
      <c r="I706" s="20" t="str">
        <f>IF($K706="","",IF(INDEX('Detalle individual'!$F:$F,$K706)="Completado",INDEX('Detalle individual'!$H:$H,$K706),""))</f>
        <v/>
      </c>
      <c r="J706" s="21" t="str">
        <f>IF($K706="","",IF(INDEX('Detalle individual'!$F:$F,$K706)="Completado",INDEX('Detalle individual'!$J:$J,$K706),""))</f>
        <v/>
      </c>
      <c r="K706" t="str">
        <f>IFERROR(MOD(SMALL(Cálculos!$Z$5:$Z$1000,698),10000),"")</f>
        <v/>
      </c>
    </row>
    <row r="707">
      <c r="B707" s="13" t="str">
        <f>IF($K707="","",699)</f>
        <v/>
      </c>
      <c r="C707" s="13" t="str">
        <f>IF($K707="","",INDEX('Detalle individual'!$A:$A,$K707))</f>
        <v/>
      </c>
      <c r="D707" s="72" t="str">
        <f>IF($K707="","",TRIM(INDEX('Detalle individual'!$B:$B,$K707)))</f>
        <v/>
      </c>
      <c r="E707" s="72" t="str">
        <f>IF($K707="","",TRIM(INDEX('Detalle individual'!$E:$E,$K707)))</f>
        <v/>
      </c>
      <c r="F707" s="72" t="str">
        <f>IF($K707="","",TRIM(INDEX('Detalle individual'!$C:$C,$K707)))</f>
        <v/>
      </c>
      <c r="G707" s="72" t="str">
        <f>IF($K707="","",INDEX('Detalle individual'!$D:$D,$K707))</f>
        <v/>
      </c>
      <c r="H707" s="13" t="str">
        <f>IF($K707="","",INDEX('Detalle individual'!$F:$F,$K707))</f>
        <v/>
      </c>
      <c r="I707" s="20" t="str">
        <f>IF($K707="","",IF(INDEX('Detalle individual'!$F:$F,$K707)="Completado",INDEX('Detalle individual'!$H:$H,$K707),""))</f>
        <v/>
      </c>
      <c r="J707" s="21" t="str">
        <f>IF($K707="","",IF(INDEX('Detalle individual'!$F:$F,$K707)="Completado",INDEX('Detalle individual'!$J:$J,$K707),""))</f>
        <v/>
      </c>
      <c r="K707" t="str">
        <f>IFERROR(MOD(SMALL(Cálculos!$Z$5:$Z$1000,699),10000),"")</f>
        <v/>
      </c>
    </row>
    <row r="708">
      <c r="B708" s="13" t="str">
        <f>IF($K708="","",700)</f>
        <v/>
      </c>
      <c r="C708" s="13" t="str">
        <f>IF($K708="","",INDEX('Detalle individual'!$A:$A,$K708))</f>
        <v/>
      </c>
      <c r="D708" s="72" t="str">
        <f>IF($K708="","",TRIM(INDEX('Detalle individual'!$B:$B,$K708)))</f>
        <v/>
      </c>
      <c r="E708" s="72" t="str">
        <f>IF($K708="","",TRIM(INDEX('Detalle individual'!$E:$E,$K708)))</f>
        <v/>
      </c>
      <c r="F708" s="72" t="str">
        <f>IF($K708="","",TRIM(INDEX('Detalle individual'!$C:$C,$K708)))</f>
        <v/>
      </c>
      <c r="G708" s="72" t="str">
        <f>IF($K708="","",INDEX('Detalle individual'!$D:$D,$K708))</f>
        <v/>
      </c>
      <c r="H708" s="13" t="str">
        <f>IF($K708="","",INDEX('Detalle individual'!$F:$F,$K708))</f>
        <v/>
      </c>
      <c r="I708" s="20" t="str">
        <f>IF($K708="","",IF(INDEX('Detalle individual'!$F:$F,$K708)="Completado",INDEX('Detalle individual'!$H:$H,$K708),""))</f>
        <v/>
      </c>
      <c r="J708" s="21" t="str">
        <f>IF($K708="","",IF(INDEX('Detalle individual'!$F:$F,$K708)="Completado",INDEX('Detalle individual'!$J:$J,$K708),""))</f>
        <v/>
      </c>
      <c r="K708" t="str">
        <f>IFERROR(MOD(SMALL(Cálculos!$Z$5:$Z$1000,700),10000),"")</f>
        <v/>
      </c>
    </row>
    <row r="709">
      <c r="B709" s="13" t="str">
        <f>IF($K709="","",701)</f>
        <v/>
      </c>
      <c r="C709" s="13" t="str">
        <f>IF($K709="","",INDEX('Detalle individual'!$A:$A,$K709))</f>
        <v/>
      </c>
      <c r="D709" s="72" t="str">
        <f>IF($K709="","",TRIM(INDEX('Detalle individual'!$B:$B,$K709)))</f>
        <v/>
      </c>
      <c r="E709" s="72" t="str">
        <f>IF($K709="","",TRIM(INDEX('Detalle individual'!$E:$E,$K709)))</f>
        <v/>
      </c>
      <c r="F709" s="72" t="str">
        <f>IF($K709="","",TRIM(INDEX('Detalle individual'!$C:$C,$K709)))</f>
        <v/>
      </c>
      <c r="G709" s="72" t="str">
        <f>IF($K709="","",INDEX('Detalle individual'!$D:$D,$K709))</f>
        <v/>
      </c>
      <c r="H709" s="13" t="str">
        <f>IF($K709="","",INDEX('Detalle individual'!$F:$F,$K709))</f>
        <v/>
      </c>
      <c r="I709" s="20" t="str">
        <f>IF($K709="","",IF(INDEX('Detalle individual'!$F:$F,$K709)="Completado",INDEX('Detalle individual'!$H:$H,$K709),""))</f>
        <v/>
      </c>
      <c r="J709" s="21" t="str">
        <f>IF($K709="","",IF(INDEX('Detalle individual'!$F:$F,$K709)="Completado",INDEX('Detalle individual'!$J:$J,$K709),""))</f>
        <v/>
      </c>
      <c r="K709" t="str">
        <f>IFERROR(MOD(SMALL(Cálculos!$Z$5:$Z$1000,701),10000),"")</f>
        <v/>
      </c>
    </row>
    <row r="710">
      <c r="B710" s="13" t="str">
        <f>IF($K710="","",702)</f>
        <v/>
      </c>
      <c r="C710" s="13" t="str">
        <f>IF($K710="","",INDEX('Detalle individual'!$A:$A,$K710))</f>
        <v/>
      </c>
      <c r="D710" s="72" t="str">
        <f>IF($K710="","",TRIM(INDEX('Detalle individual'!$B:$B,$K710)))</f>
        <v/>
      </c>
      <c r="E710" s="72" t="str">
        <f>IF($K710="","",TRIM(INDEX('Detalle individual'!$E:$E,$K710)))</f>
        <v/>
      </c>
      <c r="F710" s="72" t="str">
        <f>IF($K710="","",TRIM(INDEX('Detalle individual'!$C:$C,$K710)))</f>
        <v/>
      </c>
      <c r="G710" s="72" t="str">
        <f>IF($K710="","",INDEX('Detalle individual'!$D:$D,$K710))</f>
        <v/>
      </c>
      <c r="H710" s="13" t="str">
        <f>IF($K710="","",INDEX('Detalle individual'!$F:$F,$K710))</f>
        <v/>
      </c>
      <c r="I710" s="20" t="str">
        <f>IF($K710="","",IF(INDEX('Detalle individual'!$F:$F,$K710)="Completado",INDEX('Detalle individual'!$H:$H,$K710),""))</f>
        <v/>
      </c>
      <c r="J710" s="21" t="str">
        <f>IF($K710="","",IF(INDEX('Detalle individual'!$F:$F,$K710)="Completado",INDEX('Detalle individual'!$J:$J,$K710),""))</f>
        <v/>
      </c>
      <c r="K710" t="str">
        <f>IFERROR(MOD(SMALL(Cálculos!$Z$5:$Z$1000,702),10000),"")</f>
        <v/>
      </c>
    </row>
    <row r="711">
      <c r="B711" s="13" t="str">
        <f>IF($K711="","",703)</f>
        <v/>
      </c>
      <c r="C711" s="13" t="str">
        <f>IF($K711="","",INDEX('Detalle individual'!$A:$A,$K711))</f>
        <v/>
      </c>
      <c r="D711" s="72" t="str">
        <f>IF($K711="","",TRIM(INDEX('Detalle individual'!$B:$B,$K711)))</f>
        <v/>
      </c>
      <c r="E711" s="72" t="str">
        <f>IF($K711="","",TRIM(INDEX('Detalle individual'!$E:$E,$K711)))</f>
        <v/>
      </c>
      <c r="F711" s="72" t="str">
        <f>IF($K711="","",TRIM(INDEX('Detalle individual'!$C:$C,$K711)))</f>
        <v/>
      </c>
      <c r="G711" s="72" t="str">
        <f>IF($K711="","",INDEX('Detalle individual'!$D:$D,$K711))</f>
        <v/>
      </c>
      <c r="H711" s="13" t="str">
        <f>IF($K711="","",INDEX('Detalle individual'!$F:$F,$K711))</f>
        <v/>
      </c>
      <c r="I711" s="20" t="str">
        <f>IF($K711="","",IF(INDEX('Detalle individual'!$F:$F,$K711)="Completado",INDEX('Detalle individual'!$H:$H,$K711),""))</f>
        <v/>
      </c>
      <c r="J711" s="21" t="str">
        <f>IF($K711="","",IF(INDEX('Detalle individual'!$F:$F,$K711)="Completado",INDEX('Detalle individual'!$J:$J,$K711),""))</f>
        <v/>
      </c>
      <c r="K711" t="str">
        <f>IFERROR(MOD(SMALL(Cálculos!$Z$5:$Z$1000,703),10000),"")</f>
        <v/>
      </c>
    </row>
    <row r="712">
      <c r="B712" s="13" t="str">
        <f>IF($K712="","",704)</f>
        <v/>
      </c>
      <c r="C712" s="13" t="str">
        <f>IF($K712="","",INDEX('Detalle individual'!$A:$A,$K712))</f>
        <v/>
      </c>
      <c r="D712" s="72" t="str">
        <f>IF($K712="","",TRIM(INDEX('Detalle individual'!$B:$B,$K712)))</f>
        <v/>
      </c>
      <c r="E712" s="72" t="str">
        <f>IF($K712="","",TRIM(INDEX('Detalle individual'!$E:$E,$K712)))</f>
        <v/>
      </c>
      <c r="F712" s="72" t="str">
        <f>IF($K712="","",TRIM(INDEX('Detalle individual'!$C:$C,$K712)))</f>
        <v/>
      </c>
      <c r="G712" s="72" t="str">
        <f>IF($K712="","",INDEX('Detalle individual'!$D:$D,$K712))</f>
        <v/>
      </c>
      <c r="H712" s="13" t="str">
        <f>IF($K712="","",INDEX('Detalle individual'!$F:$F,$K712))</f>
        <v/>
      </c>
      <c r="I712" s="20" t="str">
        <f>IF($K712="","",IF(INDEX('Detalle individual'!$F:$F,$K712)="Completado",INDEX('Detalle individual'!$H:$H,$K712),""))</f>
        <v/>
      </c>
      <c r="J712" s="21" t="str">
        <f>IF($K712="","",IF(INDEX('Detalle individual'!$F:$F,$K712)="Completado",INDEX('Detalle individual'!$J:$J,$K712),""))</f>
        <v/>
      </c>
      <c r="K712" t="str">
        <f>IFERROR(MOD(SMALL(Cálculos!$Z$5:$Z$1000,704),10000),"")</f>
        <v/>
      </c>
    </row>
    <row r="713">
      <c r="B713" s="13" t="str">
        <f>IF($K713="","",705)</f>
        <v/>
      </c>
      <c r="C713" s="13" t="str">
        <f>IF($K713="","",INDEX('Detalle individual'!$A:$A,$K713))</f>
        <v/>
      </c>
      <c r="D713" s="72" t="str">
        <f>IF($K713="","",TRIM(INDEX('Detalle individual'!$B:$B,$K713)))</f>
        <v/>
      </c>
      <c r="E713" s="72" t="str">
        <f>IF($K713="","",TRIM(INDEX('Detalle individual'!$E:$E,$K713)))</f>
        <v/>
      </c>
      <c r="F713" s="72" t="str">
        <f>IF($K713="","",TRIM(INDEX('Detalle individual'!$C:$C,$K713)))</f>
        <v/>
      </c>
      <c r="G713" s="72" t="str">
        <f>IF($K713="","",INDEX('Detalle individual'!$D:$D,$K713))</f>
        <v/>
      </c>
      <c r="H713" s="13" t="str">
        <f>IF($K713="","",INDEX('Detalle individual'!$F:$F,$K713))</f>
        <v/>
      </c>
      <c r="I713" s="20" t="str">
        <f>IF($K713="","",IF(INDEX('Detalle individual'!$F:$F,$K713)="Completado",INDEX('Detalle individual'!$H:$H,$K713),""))</f>
        <v/>
      </c>
      <c r="J713" s="21" t="str">
        <f>IF($K713="","",IF(INDEX('Detalle individual'!$F:$F,$K713)="Completado",INDEX('Detalle individual'!$J:$J,$K713),""))</f>
        <v/>
      </c>
      <c r="K713" t="str">
        <f>IFERROR(MOD(SMALL(Cálculos!$Z$5:$Z$1000,705),10000),"")</f>
        <v/>
      </c>
    </row>
    <row r="714">
      <c r="B714" s="13" t="str">
        <f>IF($K714="","",706)</f>
        <v/>
      </c>
      <c r="C714" s="13" t="str">
        <f>IF($K714="","",INDEX('Detalle individual'!$A:$A,$K714))</f>
        <v/>
      </c>
      <c r="D714" s="72" t="str">
        <f>IF($K714="","",TRIM(INDEX('Detalle individual'!$B:$B,$K714)))</f>
        <v/>
      </c>
      <c r="E714" s="72" t="str">
        <f>IF($K714="","",TRIM(INDEX('Detalle individual'!$E:$E,$K714)))</f>
        <v/>
      </c>
      <c r="F714" s="72" t="str">
        <f>IF($K714="","",TRIM(INDEX('Detalle individual'!$C:$C,$K714)))</f>
        <v/>
      </c>
      <c r="G714" s="72" t="str">
        <f>IF($K714="","",INDEX('Detalle individual'!$D:$D,$K714))</f>
        <v/>
      </c>
      <c r="H714" s="13" t="str">
        <f>IF($K714="","",INDEX('Detalle individual'!$F:$F,$K714))</f>
        <v/>
      </c>
      <c r="I714" s="20" t="str">
        <f>IF($K714="","",IF(INDEX('Detalle individual'!$F:$F,$K714)="Completado",INDEX('Detalle individual'!$H:$H,$K714),""))</f>
        <v/>
      </c>
      <c r="J714" s="21" t="str">
        <f>IF($K714="","",IF(INDEX('Detalle individual'!$F:$F,$K714)="Completado",INDEX('Detalle individual'!$J:$J,$K714),""))</f>
        <v/>
      </c>
      <c r="K714" t="str">
        <f>IFERROR(MOD(SMALL(Cálculos!$Z$5:$Z$1000,706),10000),"")</f>
        <v/>
      </c>
    </row>
    <row r="715">
      <c r="B715" s="13" t="str">
        <f>IF($K715="","",707)</f>
        <v/>
      </c>
      <c r="C715" s="13" t="str">
        <f>IF($K715="","",INDEX('Detalle individual'!$A:$A,$K715))</f>
        <v/>
      </c>
      <c r="D715" s="72" t="str">
        <f>IF($K715="","",TRIM(INDEX('Detalle individual'!$B:$B,$K715)))</f>
        <v/>
      </c>
      <c r="E715" s="72" t="str">
        <f>IF($K715="","",TRIM(INDEX('Detalle individual'!$E:$E,$K715)))</f>
        <v/>
      </c>
      <c r="F715" s="72" t="str">
        <f>IF($K715="","",TRIM(INDEX('Detalle individual'!$C:$C,$K715)))</f>
        <v/>
      </c>
      <c r="G715" s="72" t="str">
        <f>IF($K715="","",INDEX('Detalle individual'!$D:$D,$K715))</f>
        <v/>
      </c>
      <c r="H715" s="13" t="str">
        <f>IF($K715="","",INDEX('Detalle individual'!$F:$F,$K715))</f>
        <v/>
      </c>
      <c r="I715" s="20" t="str">
        <f>IF($K715="","",IF(INDEX('Detalle individual'!$F:$F,$K715)="Completado",INDEX('Detalle individual'!$H:$H,$K715),""))</f>
        <v/>
      </c>
      <c r="J715" s="21" t="str">
        <f>IF($K715="","",IF(INDEX('Detalle individual'!$F:$F,$K715)="Completado",INDEX('Detalle individual'!$J:$J,$K715),""))</f>
        <v/>
      </c>
      <c r="K715" t="str">
        <f>IFERROR(MOD(SMALL(Cálculos!$Z$5:$Z$1000,707),10000),"")</f>
        <v/>
      </c>
    </row>
    <row r="716">
      <c r="B716" s="13" t="str">
        <f>IF($K716="","",708)</f>
        <v/>
      </c>
      <c r="C716" s="13" t="str">
        <f>IF($K716="","",INDEX('Detalle individual'!$A:$A,$K716))</f>
        <v/>
      </c>
      <c r="D716" s="72" t="str">
        <f>IF($K716="","",TRIM(INDEX('Detalle individual'!$B:$B,$K716)))</f>
        <v/>
      </c>
      <c r="E716" s="72" t="str">
        <f>IF($K716="","",TRIM(INDEX('Detalle individual'!$E:$E,$K716)))</f>
        <v/>
      </c>
      <c r="F716" s="72" t="str">
        <f>IF($K716="","",TRIM(INDEX('Detalle individual'!$C:$C,$K716)))</f>
        <v/>
      </c>
      <c r="G716" s="72" t="str">
        <f>IF($K716="","",INDEX('Detalle individual'!$D:$D,$K716))</f>
        <v/>
      </c>
      <c r="H716" s="13" t="str">
        <f>IF($K716="","",INDEX('Detalle individual'!$F:$F,$K716))</f>
        <v/>
      </c>
      <c r="I716" s="20" t="str">
        <f>IF($K716="","",IF(INDEX('Detalle individual'!$F:$F,$K716)="Completado",INDEX('Detalle individual'!$H:$H,$K716),""))</f>
        <v/>
      </c>
      <c r="J716" s="21" t="str">
        <f>IF($K716="","",IF(INDEX('Detalle individual'!$F:$F,$K716)="Completado",INDEX('Detalle individual'!$J:$J,$K716),""))</f>
        <v/>
      </c>
      <c r="K716" t="str">
        <f>IFERROR(MOD(SMALL(Cálculos!$Z$5:$Z$1000,708),10000),"")</f>
        <v/>
      </c>
    </row>
    <row r="717">
      <c r="B717" s="13" t="str">
        <f>IF($K717="","",709)</f>
        <v/>
      </c>
      <c r="C717" s="13" t="str">
        <f>IF($K717="","",INDEX('Detalle individual'!$A:$A,$K717))</f>
        <v/>
      </c>
      <c r="D717" s="72" t="str">
        <f>IF($K717="","",TRIM(INDEX('Detalle individual'!$B:$B,$K717)))</f>
        <v/>
      </c>
      <c r="E717" s="72" t="str">
        <f>IF($K717="","",TRIM(INDEX('Detalle individual'!$E:$E,$K717)))</f>
        <v/>
      </c>
      <c r="F717" s="72" t="str">
        <f>IF($K717="","",TRIM(INDEX('Detalle individual'!$C:$C,$K717)))</f>
        <v/>
      </c>
      <c r="G717" s="72" t="str">
        <f>IF($K717="","",INDEX('Detalle individual'!$D:$D,$K717))</f>
        <v/>
      </c>
      <c r="H717" s="13" t="str">
        <f>IF($K717="","",INDEX('Detalle individual'!$F:$F,$K717))</f>
        <v/>
      </c>
      <c r="I717" s="20" t="str">
        <f>IF($K717="","",IF(INDEX('Detalle individual'!$F:$F,$K717)="Completado",INDEX('Detalle individual'!$H:$H,$K717),""))</f>
        <v/>
      </c>
      <c r="J717" s="21" t="str">
        <f>IF($K717="","",IF(INDEX('Detalle individual'!$F:$F,$K717)="Completado",INDEX('Detalle individual'!$J:$J,$K717),""))</f>
        <v/>
      </c>
      <c r="K717" t="str">
        <f>IFERROR(MOD(SMALL(Cálculos!$Z$5:$Z$1000,709),10000),"")</f>
        <v/>
      </c>
    </row>
    <row r="718">
      <c r="B718" s="13" t="str">
        <f>IF($K718="","",710)</f>
        <v/>
      </c>
      <c r="C718" s="13" t="str">
        <f>IF($K718="","",INDEX('Detalle individual'!$A:$A,$K718))</f>
        <v/>
      </c>
      <c r="D718" s="72" t="str">
        <f>IF($K718="","",TRIM(INDEX('Detalle individual'!$B:$B,$K718)))</f>
        <v/>
      </c>
      <c r="E718" s="72" t="str">
        <f>IF($K718="","",TRIM(INDEX('Detalle individual'!$E:$E,$K718)))</f>
        <v/>
      </c>
      <c r="F718" s="72" t="str">
        <f>IF($K718="","",TRIM(INDEX('Detalle individual'!$C:$C,$K718)))</f>
        <v/>
      </c>
      <c r="G718" s="72" t="str">
        <f>IF($K718="","",INDEX('Detalle individual'!$D:$D,$K718))</f>
        <v/>
      </c>
      <c r="H718" s="13" t="str">
        <f>IF($K718="","",INDEX('Detalle individual'!$F:$F,$K718))</f>
        <v/>
      </c>
      <c r="I718" s="20" t="str">
        <f>IF($K718="","",IF(INDEX('Detalle individual'!$F:$F,$K718)="Completado",INDEX('Detalle individual'!$H:$H,$K718),""))</f>
        <v/>
      </c>
      <c r="J718" s="21" t="str">
        <f>IF($K718="","",IF(INDEX('Detalle individual'!$F:$F,$K718)="Completado",INDEX('Detalle individual'!$J:$J,$K718),""))</f>
        <v/>
      </c>
      <c r="K718" t="str">
        <f>IFERROR(MOD(SMALL(Cálculos!$Z$5:$Z$1000,710),10000),"")</f>
        <v/>
      </c>
    </row>
    <row r="719">
      <c r="B719" s="13" t="str">
        <f>IF($K719="","",711)</f>
        <v/>
      </c>
      <c r="C719" s="13" t="str">
        <f>IF($K719="","",INDEX('Detalle individual'!$A:$A,$K719))</f>
        <v/>
      </c>
      <c r="D719" s="72" t="str">
        <f>IF($K719="","",TRIM(INDEX('Detalle individual'!$B:$B,$K719)))</f>
        <v/>
      </c>
      <c r="E719" s="72" t="str">
        <f>IF($K719="","",TRIM(INDEX('Detalle individual'!$E:$E,$K719)))</f>
        <v/>
      </c>
      <c r="F719" s="72" t="str">
        <f>IF($K719="","",TRIM(INDEX('Detalle individual'!$C:$C,$K719)))</f>
        <v/>
      </c>
      <c r="G719" s="72" t="str">
        <f>IF($K719="","",INDEX('Detalle individual'!$D:$D,$K719))</f>
        <v/>
      </c>
      <c r="H719" s="13" t="str">
        <f>IF($K719="","",INDEX('Detalle individual'!$F:$F,$K719))</f>
        <v/>
      </c>
      <c r="I719" s="20" t="str">
        <f>IF($K719="","",IF(INDEX('Detalle individual'!$F:$F,$K719)="Completado",INDEX('Detalle individual'!$H:$H,$K719),""))</f>
        <v/>
      </c>
      <c r="J719" s="21" t="str">
        <f>IF($K719="","",IF(INDEX('Detalle individual'!$F:$F,$K719)="Completado",INDEX('Detalle individual'!$J:$J,$K719),""))</f>
        <v/>
      </c>
      <c r="K719" t="str">
        <f>IFERROR(MOD(SMALL(Cálculos!$Z$5:$Z$1000,711),10000),"")</f>
        <v/>
      </c>
    </row>
    <row r="720">
      <c r="B720" s="13" t="str">
        <f>IF($K720="","",712)</f>
        <v/>
      </c>
      <c r="C720" s="13" t="str">
        <f>IF($K720="","",INDEX('Detalle individual'!$A:$A,$K720))</f>
        <v/>
      </c>
      <c r="D720" s="72" t="str">
        <f>IF($K720="","",TRIM(INDEX('Detalle individual'!$B:$B,$K720)))</f>
        <v/>
      </c>
      <c r="E720" s="72" t="str">
        <f>IF($K720="","",TRIM(INDEX('Detalle individual'!$E:$E,$K720)))</f>
        <v/>
      </c>
      <c r="F720" s="72" t="str">
        <f>IF($K720="","",TRIM(INDEX('Detalle individual'!$C:$C,$K720)))</f>
        <v/>
      </c>
      <c r="G720" s="72" t="str">
        <f>IF($K720="","",INDEX('Detalle individual'!$D:$D,$K720))</f>
        <v/>
      </c>
      <c r="H720" s="13" t="str">
        <f>IF($K720="","",INDEX('Detalle individual'!$F:$F,$K720))</f>
        <v/>
      </c>
      <c r="I720" s="20" t="str">
        <f>IF($K720="","",IF(INDEX('Detalle individual'!$F:$F,$K720)="Completado",INDEX('Detalle individual'!$H:$H,$K720),""))</f>
        <v/>
      </c>
      <c r="J720" s="21" t="str">
        <f>IF($K720="","",IF(INDEX('Detalle individual'!$F:$F,$K720)="Completado",INDEX('Detalle individual'!$J:$J,$K720),""))</f>
        <v/>
      </c>
      <c r="K720" t="str">
        <f>IFERROR(MOD(SMALL(Cálculos!$Z$5:$Z$1000,712),10000),"")</f>
        <v/>
      </c>
    </row>
    <row r="721">
      <c r="B721" s="13" t="str">
        <f>IF($K721="","",713)</f>
        <v/>
      </c>
      <c r="C721" s="13" t="str">
        <f>IF($K721="","",INDEX('Detalle individual'!$A:$A,$K721))</f>
        <v/>
      </c>
      <c r="D721" s="72" t="str">
        <f>IF($K721="","",TRIM(INDEX('Detalle individual'!$B:$B,$K721)))</f>
        <v/>
      </c>
      <c r="E721" s="72" t="str">
        <f>IF($K721="","",TRIM(INDEX('Detalle individual'!$E:$E,$K721)))</f>
        <v/>
      </c>
      <c r="F721" s="72" t="str">
        <f>IF($K721="","",TRIM(INDEX('Detalle individual'!$C:$C,$K721)))</f>
        <v/>
      </c>
      <c r="G721" s="72" t="str">
        <f>IF($K721="","",INDEX('Detalle individual'!$D:$D,$K721))</f>
        <v/>
      </c>
      <c r="H721" s="13" t="str">
        <f>IF($K721="","",INDEX('Detalle individual'!$F:$F,$K721))</f>
        <v/>
      </c>
      <c r="I721" s="20" t="str">
        <f>IF($K721="","",IF(INDEX('Detalle individual'!$F:$F,$K721)="Completado",INDEX('Detalle individual'!$H:$H,$K721),""))</f>
        <v/>
      </c>
      <c r="J721" s="21" t="str">
        <f>IF($K721="","",IF(INDEX('Detalle individual'!$F:$F,$K721)="Completado",INDEX('Detalle individual'!$J:$J,$K721),""))</f>
        <v/>
      </c>
      <c r="K721" t="str">
        <f>IFERROR(MOD(SMALL(Cálculos!$Z$5:$Z$1000,713),10000),"")</f>
        <v/>
      </c>
    </row>
    <row r="722">
      <c r="B722" s="13" t="str">
        <f>IF($K722="","",714)</f>
        <v/>
      </c>
      <c r="C722" s="13" t="str">
        <f>IF($K722="","",INDEX('Detalle individual'!$A:$A,$K722))</f>
        <v/>
      </c>
      <c r="D722" s="72" t="str">
        <f>IF($K722="","",TRIM(INDEX('Detalle individual'!$B:$B,$K722)))</f>
        <v/>
      </c>
      <c r="E722" s="72" t="str">
        <f>IF($K722="","",TRIM(INDEX('Detalle individual'!$E:$E,$K722)))</f>
        <v/>
      </c>
      <c r="F722" s="72" t="str">
        <f>IF($K722="","",TRIM(INDEX('Detalle individual'!$C:$C,$K722)))</f>
        <v/>
      </c>
      <c r="G722" s="72" t="str">
        <f>IF($K722="","",INDEX('Detalle individual'!$D:$D,$K722))</f>
        <v/>
      </c>
      <c r="H722" s="13" t="str">
        <f>IF($K722="","",INDEX('Detalle individual'!$F:$F,$K722))</f>
        <v/>
      </c>
      <c r="I722" s="20" t="str">
        <f>IF($K722="","",IF(INDEX('Detalle individual'!$F:$F,$K722)="Completado",INDEX('Detalle individual'!$H:$H,$K722),""))</f>
        <v/>
      </c>
      <c r="J722" s="21" t="str">
        <f>IF($K722="","",IF(INDEX('Detalle individual'!$F:$F,$K722)="Completado",INDEX('Detalle individual'!$J:$J,$K722),""))</f>
        <v/>
      </c>
      <c r="K722" t="str">
        <f>IFERROR(MOD(SMALL(Cálculos!$Z$5:$Z$1000,714),10000),"")</f>
        <v/>
      </c>
    </row>
    <row r="723">
      <c r="B723" s="13" t="str">
        <f>IF($K723="","",715)</f>
        <v/>
      </c>
      <c r="C723" s="13" t="str">
        <f>IF($K723="","",INDEX('Detalle individual'!$A:$A,$K723))</f>
        <v/>
      </c>
      <c r="D723" s="72" t="str">
        <f>IF($K723="","",TRIM(INDEX('Detalle individual'!$B:$B,$K723)))</f>
        <v/>
      </c>
      <c r="E723" s="72" t="str">
        <f>IF($K723="","",TRIM(INDEX('Detalle individual'!$E:$E,$K723)))</f>
        <v/>
      </c>
      <c r="F723" s="72" t="str">
        <f>IF($K723="","",TRIM(INDEX('Detalle individual'!$C:$C,$K723)))</f>
        <v/>
      </c>
      <c r="G723" s="72" t="str">
        <f>IF($K723="","",INDEX('Detalle individual'!$D:$D,$K723))</f>
        <v/>
      </c>
      <c r="H723" s="13" t="str">
        <f>IF($K723="","",INDEX('Detalle individual'!$F:$F,$K723))</f>
        <v/>
      </c>
      <c r="I723" s="20" t="str">
        <f>IF($K723="","",IF(INDEX('Detalle individual'!$F:$F,$K723)="Completado",INDEX('Detalle individual'!$H:$H,$K723),""))</f>
        <v/>
      </c>
      <c r="J723" s="21" t="str">
        <f>IF($K723="","",IF(INDEX('Detalle individual'!$F:$F,$K723)="Completado",INDEX('Detalle individual'!$J:$J,$K723),""))</f>
        <v/>
      </c>
      <c r="K723" t="str">
        <f>IFERROR(MOD(SMALL(Cálculos!$Z$5:$Z$1000,715),10000),"")</f>
        <v/>
      </c>
    </row>
    <row r="724">
      <c r="B724" s="13" t="str">
        <f>IF($K724="","",716)</f>
        <v/>
      </c>
      <c r="C724" s="13" t="str">
        <f>IF($K724="","",INDEX('Detalle individual'!$A:$A,$K724))</f>
        <v/>
      </c>
      <c r="D724" s="72" t="str">
        <f>IF($K724="","",TRIM(INDEX('Detalle individual'!$B:$B,$K724)))</f>
        <v/>
      </c>
      <c r="E724" s="72" t="str">
        <f>IF($K724="","",TRIM(INDEX('Detalle individual'!$E:$E,$K724)))</f>
        <v/>
      </c>
      <c r="F724" s="72" t="str">
        <f>IF($K724="","",TRIM(INDEX('Detalle individual'!$C:$C,$K724)))</f>
        <v/>
      </c>
      <c r="G724" s="72" t="str">
        <f>IF($K724="","",INDEX('Detalle individual'!$D:$D,$K724))</f>
        <v/>
      </c>
      <c r="H724" s="13" t="str">
        <f>IF($K724="","",INDEX('Detalle individual'!$F:$F,$K724))</f>
        <v/>
      </c>
      <c r="I724" s="20" t="str">
        <f>IF($K724="","",IF(INDEX('Detalle individual'!$F:$F,$K724)="Completado",INDEX('Detalle individual'!$H:$H,$K724),""))</f>
        <v/>
      </c>
      <c r="J724" s="21" t="str">
        <f>IF($K724="","",IF(INDEX('Detalle individual'!$F:$F,$K724)="Completado",INDEX('Detalle individual'!$J:$J,$K724),""))</f>
        <v/>
      </c>
      <c r="K724" t="str">
        <f>IFERROR(MOD(SMALL(Cálculos!$Z$5:$Z$1000,716),10000),"")</f>
        <v/>
      </c>
    </row>
    <row r="725">
      <c r="B725" s="13" t="str">
        <f>IF($K725="","",717)</f>
        <v/>
      </c>
      <c r="C725" s="13" t="str">
        <f>IF($K725="","",INDEX('Detalle individual'!$A:$A,$K725))</f>
        <v/>
      </c>
      <c r="D725" s="72" t="str">
        <f>IF($K725="","",TRIM(INDEX('Detalle individual'!$B:$B,$K725)))</f>
        <v/>
      </c>
      <c r="E725" s="72" t="str">
        <f>IF($K725="","",TRIM(INDEX('Detalle individual'!$E:$E,$K725)))</f>
        <v/>
      </c>
      <c r="F725" s="72" t="str">
        <f>IF($K725="","",TRIM(INDEX('Detalle individual'!$C:$C,$K725)))</f>
        <v/>
      </c>
      <c r="G725" s="72" t="str">
        <f>IF($K725="","",INDEX('Detalle individual'!$D:$D,$K725))</f>
        <v/>
      </c>
      <c r="H725" s="13" t="str">
        <f>IF($K725="","",INDEX('Detalle individual'!$F:$F,$K725))</f>
        <v/>
      </c>
      <c r="I725" s="20" t="str">
        <f>IF($K725="","",IF(INDEX('Detalle individual'!$F:$F,$K725)="Completado",INDEX('Detalle individual'!$H:$H,$K725),""))</f>
        <v/>
      </c>
      <c r="J725" s="21" t="str">
        <f>IF($K725="","",IF(INDEX('Detalle individual'!$F:$F,$K725)="Completado",INDEX('Detalle individual'!$J:$J,$K725),""))</f>
        <v/>
      </c>
      <c r="K725" t="str">
        <f>IFERROR(MOD(SMALL(Cálculos!$Z$5:$Z$1000,717),10000),"")</f>
        <v/>
      </c>
    </row>
    <row r="726">
      <c r="B726" s="13" t="str">
        <f>IF($K726="","",718)</f>
        <v/>
      </c>
      <c r="C726" s="13" t="str">
        <f>IF($K726="","",INDEX('Detalle individual'!$A:$A,$K726))</f>
        <v/>
      </c>
      <c r="D726" s="72" t="str">
        <f>IF($K726="","",TRIM(INDEX('Detalle individual'!$B:$B,$K726)))</f>
        <v/>
      </c>
      <c r="E726" s="72" t="str">
        <f>IF($K726="","",TRIM(INDEX('Detalle individual'!$E:$E,$K726)))</f>
        <v/>
      </c>
      <c r="F726" s="72" t="str">
        <f>IF($K726="","",TRIM(INDEX('Detalle individual'!$C:$C,$K726)))</f>
        <v/>
      </c>
      <c r="G726" s="72" t="str">
        <f>IF($K726="","",INDEX('Detalle individual'!$D:$D,$K726))</f>
        <v/>
      </c>
      <c r="H726" s="13" t="str">
        <f>IF($K726="","",INDEX('Detalle individual'!$F:$F,$K726))</f>
        <v/>
      </c>
      <c r="I726" s="20" t="str">
        <f>IF($K726="","",IF(INDEX('Detalle individual'!$F:$F,$K726)="Completado",INDEX('Detalle individual'!$H:$H,$K726),""))</f>
        <v/>
      </c>
      <c r="J726" s="21" t="str">
        <f>IF($K726="","",IF(INDEX('Detalle individual'!$F:$F,$K726)="Completado",INDEX('Detalle individual'!$J:$J,$K726),""))</f>
        <v/>
      </c>
      <c r="K726" t="str">
        <f>IFERROR(MOD(SMALL(Cálculos!$Z$5:$Z$1000,718),10000),"")</f>
        <v/>
      </c>
    </row>
    <row r="727">
      <c r="B727" s="13" t="str">
        <f>IF($K727="","",719)</f>
        <v/>
      </c>
      <c r="C727" s="13" t="str">
        <f>IF($K727="","",INDEX('Detalle individual'!$A:$A,$K727))</f>
        <v/>
      </c>
      <c r="D727" s="72" t="str">
        <f>IF($K727="","",TRIM(INDEX('Detalle individual'!$B:$B,$K727)))</f>
        <v/>
      </c>
      <c r="E727" s="72" t="str">
        <f>IF($K727="","",TRIM(INDEX('Detalle individual'!$E:$E,$K727)))</f>
        <v/>
      </c>
      <c r="F727" s="72" t="str">
        <f>IF($K727="","",TRIM(INDEX('Detalle individual'!$C:$C,$K727)))</f>
        <v/>
      </c>
      <c r="G727" s="72" t="str">
        <f>IF($K727="","",INDEX('Detalle individual'!$D:$D,$K727))</f>
        <v/>
      </c>
      <c r="H727" s="13" t="str">
        <f>IF($K727="","",INDEX('Detalle individual'!$F:$F,$K727))</f>
        <v/>
      </c>
      <c r="I727" s="20" t="str">
        <f>IF($K727="","",IF(INDEX('Detalle individual'!$F:$F,$K727)="Completado",INDEX('Detalle individual'!$H:$H,$K727),""))</f>
        <v/>
      </c>
      <c r="J727" s="21" t="str">
        <f>IF($K727="","",IF(INDEX('Detalle individual'!$F:$F,$K727)="Completado",INDEX('Detalle individual'!$J:$J,$K727),""))</f>
        <v/>
      </c>
      <c r="K727" t="str">
        <f>IFERROR(MOD(SMALL(Cálculos!$Z$5:$Z$1000,719),10000),"")</f>
        <v/>
      </c>
    </row>
    <row r="728">
      <c r="B728" s="13" t="str">
        <f>IF($K728="","",720)</f>
        <v/>
      </c>
      <c r="C728" s="13" t="str">
        <f>IF($K728="","",INDEX('Detalle individual'!$A:$A,$K728))</f>
        <v/>
      </c>
      <c r="D728" s="72" t="str">
        <f>IF($K728="","",TRIM(INDEX('Detalle individual'!$B:$B,$K728)))</f>
        <v/>
      </c>
      <c r="E728" s="72" t="str">
        <f>IF($K728="","",TRIM(INDEX('Detalle individual'!$E:$E,$K728)))</f>
        <v/>
      </c>
      <c r="F728" s="72" t="str">
        <f>IF($K728="","",TRIM(INDEX('Detalle individual'!$C:$C,$K728)))</f>
        <v/>
      </c>
      <c r="G728" s="72" t="str">
        <f>IF($K728="","",INDEX('Detalle individual'!$D:$D,$K728))</f>
        <v/>
      </c>
      <c r="H728" s="13" t="str">
        <f>IF($K728="","",INDEX('Detalle individual'!$F:$F,$K728))</f>
        <v/>
      </c>
      <c r="I728" s="20" t="str">
        <f>IF($K728="","",IF(INDEX('Detalle individual'!$F:$F,$K728)="Completado",INDEX('Detalle individual'!$H:$H,$K728),""))</f>
        <v/>
      </c>
      <c r="J728" s="21" t="str">
        <f>IF($K728="","",IF(INDEX('Detalle individual'!$F:$F,$K728)="Completado",INDEX('Detalle individual'!$J:$J,$K728),""))</f>
        <v/>
      </c>
      <c r="K728" t="str">
        <f>IFERROR(MOD(SMALL(Cálculos!$Z$5:$Z$1000,720),10000),"")</f>
        <v/>
      </c>
    </row>
    <row r="729">
      <c r="B729" s="13" t="str">
        <f>IF($K729="","",721)</f>
        <v/>
      </c>
      <c r="C729" s="13" t="str">
        <f>IF($K729="","",INDEX('Detalle individual'!$A:$A,$K729))</f>
        <v/>
      </c>
      <c r="D729" s="72" t="str">
        <f>IF($K729="","",TRIM(INDEX('Detalle individual'!$B:$B,$K729)))</f>
        <v/>
      </c>
      <c r="E729" s="72" t="str">
        <f>IF($K729="","",TRIM(INDEX('Detalle individual'!$E:$E,$K729)))</f>
        <v/>
      </c>
      <c r="F729" s="72" t="str">
        <f>IF($K729="","",TRIM(INDEX('Detalle individual'!$C:$C,$K729)))</f>
        <v/>
      </c>
      <c r="G729" s="72" t="str">
        <f>IF($K729="","",INDEX('Detalle individual'!$D:$D,$K729))</f>
        <v/>
      </c>
      <c r="H729" s="13" t="str">
        <f>IF($K729="","",INDEX('Detalle individual'!$F:$F,$K729))</f>
        <v/>
      </c>
      <c r="I729" s="20" t="str">
        <f>IF($K729="","",IF(INDEX('Detalle individual'!$F:$F,$K729)="Completado",INDEX('Detalle individual'!$H:$H,$K729),""))</f>
        <v/>
      </c>
      <c r="J729" s="21" t="str">
        <f>IF($K729="","",IF(INDEX('Detalle individual'!$F:$F,$K729)="Completado",INDEX('Detalle individual'!$J:$J,$K729),""))</f>
        <v/>
      </c>
      <c r="K729" t="str">
        <f>IFERROR(MOD(SMALL(Cálculos!$Z$5:$Z$1000,721),10000),"")</f>
        <v/>
      </c>
    </row>
    <row r="730">
      <c r="B730" s="13" t="str">
        <f>IF($K730="","",722)</f>
        <v/>
      </c>
      <c r="C730" s="13" t="str">
        <f>IF($K730="","",INDEX('Detalle individual'!$A:$A,$K730))</f>
        <v/>
      </c>
      <c r="D730" s="72" t="str">
        <f>IF($K730="","",TRIM(INDEX('Detalle individual'!$B:$B,$K730)))</f>
        <v/>
      </c>
      <c r="E730" s="72" t="str">
        <f>IF($K730="","",TRIM(INDEX('Detalle individual'!$E:$E,$K730)))</f>
        <v/>
      </c>
      <c r="F730" s="72" t="str">
        <f>IF($K730="","",TRIM(INDEX('Detalle individual'!$C:$C,$K730)))</f>
        <v/>
      </c>
      <c r="G730" s="72" t="str">
        <f>IF($K730="","",INDEX('Detalle individual'!$D:$D,$K730))</f>
        <v/>
      </c>
      <c r="H730" s="13" t="str">
        <f>IF($K730="","",INDEX('Detalle individual'!$F:$F,$K730))</f>
        <v/>
      </c>
      <c r="I730" s="20" t="str">
        <f>IF($K730="","",IF(INDEX('Detalle individual'!$F:$F,$K730)="Completado",INDEX('Detalle individual'!$H:$H,$K730),""))</f>
        <v/>
      </c>
      <c r="J730" s="21" t="str">
        <f>IF($K730="","",IF(INDEX('Detalle individual'!$F:$F,$K730)="Completado",INDEX('Detalle individual'!$J:$J,$K730),""))</f>
        <v/>
      </c>
      <c r="K730" t="str">
        <f>IFERROR(MOD(SMALL(Cálculos!$Z$5:$Z$1000,722),10000),"")</f>
        <v/>
      </c>
    </row>
    <row r="731">
      <c r="B731" s="13" t="str">
        <f>IF($K731="","",723)</f>
        <v/>
      </c>
      <c r="C731" s="13" t="str">
        <f>IF($K731="","",INDEX('Detalle individual'!$A:$A,$K731))</f>
        <v/>
      </c>
      <c r="D731" s="72" t="str">
        <f>IF($K731="","",TRIM(INDEX('Detalle individual'!$B:$B,$K731)))</f>
        <v/>
      </c>
      <c r="E731" s="72" t="str">
        <f>IF($K731="","",TRIM(INDEX('Detalle individual'!$E:$E,$K731)))</f>
        <v/>
      </c>
      <c r="F731" s="72" t="str">
        <f>IF($K731="","",TRIM(INDEX('Detalle individual'!$C:$C,$K731)))</f>
        <v/>
      </c>
      <c r="G731" s="72" t="str">
        <f>IF($K731="","",INDEX('Detalle individual'!$D:$D,$K731))</f>
        <v/>
      </c>
      <c r="H731" s="13" t="str">
        <f>IF($K731="","",INDEX('Detalle individual'!$F:$F,$K731))</f>
        <v/>
      </c>
      <c r="I731" s="20" t="str">
        <f>IF($K731="","",IF(INDEX('Detalle individual'!$F:$F,$K731)="Completado",INDEX('Detalle individual'!$H:$H,$K731),""))</f>
        <v/>
      </c>
      <c r="J731" s="21" t="str">
        <f>IF($K731="","",IF(INDEX('Detalle individual'!$F:$F,$K731)="Completado",INDEX('Detalle individual'!$J:$J,$K731),""))</f>
        <v/>
      </c>
      <c r="K731" t="str">
        <f>IFERROR(MOD(SMALL(Cálculos!$Z$5:$Z$1000,723),10000),"")</f>
        <v/>
      </c>
    </row>
    <row r="732">
      <c r="B732" s="13" t="str">
        <f>IF($K732="","",724)</f>
        <v/>
      </c>
      <c r="C732" s="13" t="str">
        <f>IF($K732="","",INDEX('Detalle individual'!$A:$A,$K732))</f>
        <v/>
      </c>
      <c r="D732" s="72" t="str">
        <f>IF($K732="","",TRIM(INDEX('Detalle individual'!$B:$B,$K732)))</f>
        <v/>
      </c>
      <c r="E732" s="72" t="str">
        <f>IF($K732="","",TRIM(INDEX('Detalle individual'!$E:$E,$K732)))</f>
        <v/>
      </c>
      <c r="F732" s="72" t="str">
        <f>IF($K732="","",TRIM(INDEX('Detalle individual'!$C:$C,$K732)))</f>
        <v/>
      </c>
      <c r="G732" s="72" t="str">
        <f>IF($K732="","",INDEX('Detalle individual'!$D:$D,$K732))</f>
        <v/>
      </c>
      <c r="H732" s="13" t="str">
        <f>IF($K732="","",INDEX('Detalle individual'!$F:$F,$K732))</f>
        <v/>
      </c>
      <c r="I732" s="20" t="str">
        <f>IF($K732="","",IF(INDEX('Detalle individual'!$F:$F,$K732)="Completado",INDEX('Detalle individual'!$H:$H,$K732),""))</f>
        <v/>
      </c>
      <c r="J732" s="21" t="str">
        <f>IF($K732="","",IF(INDEX('Detalle individual'!$F:$F,$K732)="Completado",INDEX('Detalle individual'!$J:$J,$K732),""))</f>
        <v/>
      </c>
      <c r="K732" t="str">
        <f>IFERROR(MOD(SMALL(Cálculos!$Z$5:$Z$1000,724),10000),"")</f>
        <v/>
      </c>
    </row>
    <row r="733">
      <c r="B733" s="13" t="str">
        <f>IF($K733="","",725)</f>
        <v/>
      </c>
      <c r="C733" s="13" t="str">
        <f>IF($K733="","",INDEX('Detalle individual'!$A:$A,$K733))</f>
        <v/>
      </c>
      <c r="D733" s="72" t="str">
        <f>IF($K733="","",TRIM(INDEX('Detalle individual'!$B:$B,$K733)))</f>
        <v/>
      </c>
      <c r="E733" s="72" t="str">
        <f>IF($K733="","",TRIM(INDEX('Detalle individual'!$E:$E,$K733)))</f>
        <v/>
      </c>
      <c r="F733" s="72" t="str">
        <f>IF($K733="","",TRIM(INDEX('Detalle individual'!$C:$C,$K733)))</f>
        <v/>
      </c>
      <c r="G733" s="72" t="str">
        <f>IF($K733="","",INDEX('Detalle individual'!$D:$D,$K733))</f>
        <v/>
      </c>
      <c r="H733" s="13" t="str">
        <f>IF($K733="","",INDEX('Detalle individual'!$F:$F,$K733))</f>
        <v/>
      </c>
      <c r="I733" s="20" t="str">
        <f>IF($K733="","",IF(INDEX('Detalle individual'!$F:$F,$K733)="Completado",INDEX('Detalle individual'!$H:$H,$K733),""))</f>
        <v/>
      </c>
      <c r="J733" s="21" t="str">
        <f>IF($K733="","",IF(INDEX('Detalle individual'!$F:$F,$K733)="Completado",INDEX('Detalle individual'!$J:$J,$K733),""))</f>
        <v/>
      </c>
      <c r="K733" t="str">
        <f>IFERROR(MOD(SMALL(Cálculos!$Z$5:$Z$1000,725),10000),"")</f>
        <v/>
      </c>
    </row>
    <row r="734">
      <c r="B734" s="13" t="str">
        <f>IF($K734="","",726)</f>
        <v/>
      </c>
      <c r="C734" s="13" t="str">
        <f>IF($K734="","",INDEX('Detalle individual'!$A:$A,$K734))</f>
        <v/>
      </c>
      <c r="D734" s="72" t="str">
        <f>IF($K734="","",TRIM(INDEX('Detalle individual'!$B:$B,$K734)))</f>
        <v/>
      </c>
      <c r="E734" s="72" t="str">
        <f>IF($K734="","",TRIM(INDEX('Detalle individual'!$E:$E,$K734)))</f>
        <v/>
      </c>
      <c r="F734" s="72" t="str">
        <f>IF($K734="","",TRIM(INDEX('Detalle individual'!$C:$C,$K734)))</f>
        <v/>
      </c>
      <c r="G734" s="72" t="str">
        <f>IF($K734="","",INDEX('Detalle individual'!$D:$D,$K734))</f>
        <v/>
      </c>
      <c r="H734" s="13" t="str">
        <f>IF($K734="","",INDEX('Detalle individual'!$F:$F,$K734))</f>
        <v/>
      </c>
      <c r="I734" s="20" t="str">
        <f>IF($K734="","",IF(INDEX('Detalle individual'!$F:$F,$K734)="Completado",INDEX('Detalle individual'!$H:$H,$K734),""))</f>
        <v/>
      </c>
      <c r="J734" s="21" t="str">
        <f>IF($K734="","",IF(INDEX('Detalle individual'!$F:$F,$K734)="Completado",INDEX('Detalle individual'!$J:$J,$K734),""))</f>
        <v/>
      </c>
      <c r="K734" t="str">
        <f>IFERROR(MOD(SMALL(Cálculos!$Z$5:$Z$1000,726),10000),"")</f>
        <v/>
      </c>
    </row>
    <row r="735">
      <c r="B735" s="13" t="str">
        <f>IF($K735="","",727)</f>
        <v/>
      </c>
      <c r="C735" s="13" t="str">
        <f>IF($K735="","",INDEX('Detalle individual'!$A:$A,$K735))</f>
        <v/>
      </c>
      <c r="D735" s="72" t="str">
        <f>IF($K735="","",TRIM(INDEX('Detalle individual'!$B:$B,$K735)))</f>
        <v/>
      </c>
      <c r="E735" s="72" t="str">
        <f>IF($K735="","",TRIM(INDEX('Detalle individual'!$E:$E,$K735)))</f>
        <v/>
      </c>
      <c r="F735" s="72" t="str">
        <f>IF($K735="","",TRIM(INDEX('Detalle individual'!$C:$C,$K735)))</f>
        <v/>
      </c>
      <c r="G735" s="72" t="str">
        <f>IF($K735="","",INDEX('Detalle individual'!$D:$D,$K735))</f>
        <v/>
      </c>
      <c r="H735" s="13" t="str">
        <f>IF($K735="","",INDEX('Detalle individual'!$F:$F,$K735))</f>
        <v/>
      </c>
      <c r="I735" s="20" t="str">
        <f>IF($K735="","",IF(INDEX('Detalle individual'!$F:$F,$K735)="Completado",INDEX('Detalle individual'!$H:$H,$K735),""))</f>
        <v/>
      </c>
      <c r="J735" s="21" t="str">
        <f>IF($K735="","",IF(INDEX('Detalle individual'!$F:$F,$K735)="Completado",INDEX('Detalle individual'!$J:$J,$K735),""))</f>
        <v/>
      </c>
      <c r="K735" t="str">
        <f>IFERROR(MOD(SMALL(Cálculos!$Z$5:$Z$1000,727),10000),"")</f>
        <v/>
      </c>
    </row>
    <row r="736">
      <c r="B736" s="13" t="str">
        <f>IF($K736="","",728)</f>
        <v/>
      </c>
      <c r="C736" s="13" t="str">
        <f>IF($K736="","",INDEX('Detalle individual'!$A:$A,$K736))</f>
        <v/>
      </c>
      <c r="D736" s="72" t="str">
        <f>IF($K736="","",TRIM(INDEX('Detalle individual'!$B:$B,$K736)))</f>
        <v/>
      </c>
      <c r="E736" s="72" t="str">
        <f>IF($K736="","",TRIM(INDEX('Detalle individual'!$E:$E,$K736)))</f>
        <v/>
      </c>
      <c r="F736" s="72" t="str">
        <f>IF($K736="","",TRIM(INDEX('Detalle individual'!$C:$C,$K736)))</f>
        <v/>
      </c>
      <c r="G736" s="72" t="str">
        <f>IF($K736="","",INDEX('Detalle individual'!$D:$D,$K736))</f>
        <v/>
      </c>
      <c r="H736" s="13" t="str">
        <f>IF($K736="","",INDEX('Detalle individual'!$F:$F,$K736))</f>
        <v/>
      </c>
      <c r="I736" s="20" t="str">
        <f>IF($K736="","",IF(INDEX('Detalle individual'!$F:$F,$K736)="Completado",INDEX('Detalle individual'!$H:$H,$K736),""))</f>
        <v/>
      </c>
      <c r="J736" s="21" t="str">
        <f>IF($K736="","",IF(INDEX('Detalle individual'!$F:$F,$K736)="Completado",INDEX('Detalle individual'!$J:$J,$K736),""))</f>
        <v/>
      </c>
      <c r="K736" t="str">
        <f>IFERROR(MOD(SMALL(Cálculos!$Z$5:$Z$1000,728),10000),"")</f>
        <v/>
      </c>
    </row>
    <row r="737">
      <c r="B737" s="13" t="str">
        <f>IF($K737="","",729)</f>
        <v/>
      </c>
      <c r="C737" s="13" t="str">
        <f>IF($K737="","",INDEX('Detalle individual'!$A:$A,$K737))</f>
        <v/>
      </c>
      <c r="D737" s="72" t="str">
        <f>IF($K737="","",TRIM(INDEX('Detalle individual'!$B:$B,$K737)))</f>
        <v/>
      </c>
      <c r="E737" s="72" t="str">
        <f>IF($K737="","",TRIM(INDEX('Detalle individual'!$E:$E,$K737)))</f>
        <v/>
      </c>
      <c r="F737" s="72" t="str">
        <f>IF($K737="","",TRIM(INDEX('Detalle individual'!$C:$C,$K737)))</f>
        <v/>
      </c>
      <c r="G737" s="72" t="str">
        <f>IF($K737="","",INDEX('Detalle individual'!$D:$D,$K737))</f>
        <v/>
      </c>
      <c r="H737" s="13" t="str">
        <f>IF($K737="","",INDEX('Detalle individual'!$F:$F,$K737))</f>
        <v/>
      </c>
      <c r="I737" s="20" t="str">
        <f>IF($K737="","",IF(INDEX('Detalle individual'!$F:$F,$K737)="Completado",INDEX('Detalle individual'!$H:$H,$K737),""))</f>
        <v/>
      </c>
      <c r="J737" s="21" t="str">
        <f>IF($K737="","",IF(INDEX('Detalle individual'!$F:$F,$K737)="Completado",INDEX('Detalle individual'!$J:$J,$K737),""))</f>
        <v/>
      </c>
      <c r="K737" t="str">
        <f>IFERROR(MOD(SMALL(Cálculos!$Z$5:$Z$1000,729),10000),"")</f>
        <v/>
      </c>
    </row>
    <row r="738">
      <c r="B738" s="13" t="str">
        <f>IF($K738="","",730)</f>
        <v/>
      </c>
      <c r="C738" s="13" t="str">
        <f>IF($K738="","",INDEX('Detalle individual'!$A:$A,$K738))</f>
        <v/>
      </c>
      <c r="D738" s="72" t="str">
        <f>IF($K738="","",TRIM(INDEX('Detalle individual'!$B:$B,$K738)))</f>
        <v/>
      </c>
      <c r="E738" s="72" t="str">
        <f>IF($K738="","",TRIM(INDEX('Detalle individual'!$E:$E,$K738)))</f>
        <v/>
      </c>
      <c r="F738" s="72" t="str">
        <f>IF($K738="","",TRIM(INDEX('Detalle individual'!$C:$C,$K738)))</f>
        <v/>
      </c>
      <c r="G738" s="72" t="str">
        <f>IF($K738="","",INDEX('Detalle individual'!$D:$D,$K738))</f>
        <v/>
      </c>
      <c r="H738" s="13" t="str">
        <f>IF($K738="","",INDEX('Detalle individual'!$F:$F,$K738))</f>
        <v/>
      </c>
      <c r="I738" s="20" t="str">
        <f>IF($K738="","",IF(INDEX('Detalle individual'!$F:$F,$K738)="Completado",INDEX('Detalle individual'!$H:$H,$K738),""))</f>
        <v/>
      </c>
      <c r="J738" s="21" t="str">
        <f>IF($K738="","",IF(INDEX('Detalle individual'!$F:$F,$K738)="Completado",INDEX('Detalle individual'!$J:$J,$K738),""))</f>
        <v/>
      </c>
      <c r="K738" t="str">
        <f>IFERROR(MOD(SMALL(Cálculos!$Z$5:$Z$1000,730),10000),"")</f>
        <v/>
      </c>
    </row>
    <row r="739">
      <c r="B739" s="13" t="str">
        <f>IF($K739="","",731)</f>
        <v/>
      </c>
      <c r="C739" s="13" t="str">
        <f>IF($K739="","",INDEX('Detalle individual'!$A:$A,$K739))</f>
        <v/>
      </c>
      <c r="D739" s="72" t="str">
        <f>IF($K739="","",TRIM(INDEX('Detalle individual'!$B:$B,$K739)))</f>
        <v/>
      </c>
      <c r="E739" s="72" t="str">
        <f>IF($K739="","",TRIM(INDEX('Detalle individual'!$E:$E,$K739)))</f>
        <v/>
      </c>
      <c r="F739" s="72" t="str">
        <f>IF($K739="","",TRIM(INDEX('Detalle individual'!$C:$C,$K739)))</f>
        <v/>
      </c>
      <c r="G739" s="72" t="str">
        <f>IF($K739="","",INDEX('Detalle individual'!$D:$D,$K739))</f>
        <v/>
      </c>
      <c r="H739" s="13" t="str">
        <f>IF($K739="","",INDEX('Detalle individual'!$F:$F,$K739))</f>
        <v/>
      </c>
      <c r="I739" s="20" t="str">
        <f>IF($K739="","",IF(INDEX('Detalle individual'!$F:$F,$K739)="Completado",INDEX('Detalle individual'!$H:$H,$K739),""))</f>
        <v/>
      </c>
      <c r="J739" s="21" t="str">
        <f>IF($K739="","",IF(INDEX('Detalle individual'!$F:$F,$K739)="Completado",INDEX('Detalle individual'!$J:$J,$K739),""))</f>
        <v/>
      </c>
      <c r="K739" t="str">
        <f>IFERROR(MOD(SMALL(Cálculos!$Z$5:$Z$1000,731),10000),"")</f>
        <v/>
      </c>
    </row>
    <row r="740">
      <c r="B740" s="13" t="str">
        <f>IF($K740="","",732)</f>
        <v/>
      </c>
      <c r="C740" s="13" t="str">
        <f>IF($K740="","",INDEX('Detalle individual'!$A:$A,$K740))</f>
        <v/>
      </c>
      <c r="D740" s="72" t="str">
        <f>IF($K740="","",TRIM(INDEX('Detalle individual'!$B:$B,$K740)))</f>
        <v/>
      </c>
      <c r="E740" s="72" t="str">
        <f>IF($K740="","",TRIM(INDEX('Detalle individual'!$E:$E,$K740)))</f>
        <v/>
      </c>
      <c r="F740" s="72" t="str">
        <f>IF($K740="","",TRIM(INDEX('Detalle individual'!$C:$C,$K740)))</f>
        <v/>
      </c>
      <c r="G740" s="72" t="str">
        <f>IF($K740="","",INDEX('Detalle individual'!$D:$D,$K740))</f>
        <v/>
      </c>
      <c r="H740" s="13" t="str">
        <f>IF($K740="","",INDEX('Detalle individual'!$F:$F,$K740))</f>
        <v/>
      </c>
      <c r="I740" s="20" t="str">
        <f>IF($K740="","",IF(INDEX('Detalle individual'!$F:$F,$K740)="Completado",INDEX('Detalle individual'!$H:$H,$K740),""))</f>
        <v/>
      </c>
      <c r="J740" s="21" t="str">
        <f>IF($K740="","",IF(INDEX('Detalle individual'!$F:$F,$K740)="Completado",INDEX('Detalle individual'!$J:$J,$K740),""))</f>
        <v/>
      </c>
      <c r="K740" t="str">
        <f>IFERROR(MOD(SMALL(Cálculos!$Z$5:$Z$1000,732),10000),"")</f>
        <v/>
      </c>
    </row>
    <row r="741">
      <c r="B741" s="13" t="str">
        <f>IF($K741="","",733)</f>
        <v/>
      </c>
      <c r="C741" s="13" t="str">
        <f>IF($K741="","",INDEX('Detalle individual'!$A:$A,$K741))</f>
        <v/>
      </c>
      <c r="D741" s="72" t="str">
        <f>IF($K741="","",TRIM(INDEX('Detalle individual'!$B:$B,$K741)))</f>
        <v/>
      </c>
      <c r="E741" s="72" t="str">
        <f>IF($K741="","",TRIM(INDEX('Detalle individual'!$E:$E,$K741)))</f>
        <v/>
      </c>
      <c r="F741" s="72" t="str">
        <f>IF($K741="","",TRIM(INDEX('Detalle individual'!$C:$C,$K741)))</f>
        <v/>
      </c>
      <c r="G741" s="72" t="str">
        <f>IF($K741="","",INDEX('Detalle individual'!$D:$D,$K741))</f>
        <v/>
      </c>
      <c r="H741" s="13" t="str">
        <f>IF($K741="","",INDEX('Detalle individual'!$F:$F,$K741))</f>
        <v/>
      </c>
      <c r="I741" s="20" t="str">
        <f>IF($K741="","",IF(INDEX('Detalle individual'!$F:$F,$K741)="Completado",INDEX('Detalle individual'!$H:$H,$K741),""))</f>
        <v/>
      </c>
      <c r="J741" s="21" t="str">
        <f>IF($K741="","",IF(INDEX('Detalle individual'!$F:$F,$K741)="Completado",INDEX('Detalle individual'!$J:$J,$K741),""))</f>
        <v/>
      </c>
      <c r="K741" t="str">
        <f>IFERROR(MOD(SMALL(Cálculos!$Z$5:$Z$1000,733),10000),"")</f>
        <v/>
      </c>
    </row>
    <row r="742">
      <c r="B742" s="13" t="str">
        <f>IF($K742="","",734)</f>
        <v/>
      </c>
      <c r="C742" s="13" t="str">
        <f>IF($K742="","",INDEX('Detalle individual'!$A:$A,$K742))</f>
        <v/>
      </c>
      <c r="D742" s="72" t="str">
        <f>IF($K742="","",TRIM(INDEX('Detalle individual'!$B:$B,$K742)))</f>
        <v/>
      </c>
      <c r="E742" s="72" t="str">
        <f>IF($K742="","",TRIM(INDEX('Detalle individual'!$E:$E,$K742)))</f>
        <v/>
      </c>
      <c r="F742" s="72" t="str">
        <f>IF($K742="","",TRIM(INDEX('Detalle individual'!$C:$C,$K742)))</f>
        <v/>
      </c>
      <c r="G742" s="72" t="str">
        <f>IF($K742="","",INDEX('Detalle individual'!$D:$D,$K742))</f>
        <v/>
      </c>
      <c r="H742" s="13" t="str">
        <f>IF($K742="","",INDEX('Detalle individual'!$F:$F,$K742))</f>
        <v/>
      </c>
      <c r="I742" s="20" t="str">
        <f>IF($K742="","",IF(INDEX('Detalle individual'!$F:$F,$K742)="Completado",INDEX('Detalle individual'!$H:$H,$K742),""))</f>
        <v/>
      </c>
      <c r="J742" s="21" t="str">
        <f>IF($K742="","",IF(INDEX('Detalle individual'!$F:$F,$K742)="Completado",INDEX('Detalle individual'!$J:$J,$K742),""))</f>
        <v/>
      </c>
      <c r="K742" t="str">
        <f>IFERROR(MOD(SMALL(Cálculos!$Z$5:$Z$1000,734),10000),"")</f>
        <v/>
      </c>
    </row>
    <row r="743">
      <c r="B743" s="13" t="str">
        <f>IF($K743="","",735)</f>
        <v/>
      </c>
      <c r="C743" s="13" t="str">
        <f>IF($K743="","",INDEX('Detalle individual'!$A:$A,$K743))</f>
        <v/>
      </c>
      <c r="D743" s="72" t="str">
        <f>IF($K743="","",TRIM(INDEX('Detalle individual'!$B:$B,$K743)))</f>
        <v/>
      </c>
      <c r="E743" s="72" t="str">
        <f>IF($K743="","",TRIM(INDEX('Detalle individual'!$E:$E,$K743)))</f>
        <v/>
      </c>
      <c r="F743" s="72" t="str">
        <f>IF($K743="","",TRIM(INDEX('Detalle individual'!$C:$C,$K743)))</f>
        <v/>
      </c>
      <c r="G743" s="72" t="str">
        <f>IF($K743="","",INDEX('Detalle individual'!$D:$D,$K743))</f>
        <v/>
      </c>
      <c r="H743" s="13" t="str">
        <f>IF($K743="","",INDEX('Detalle individual'!$F:$F,$K743))</f>
        <v/>
      </c>
      <c r="I743" s="20" t="str">
        <f>IF($K743="","",IF(INDEX('Detalle individual'!$F:$F,$K743)="Completado",INDEX('Detalle individual'!$H:$H,$K743),""))</f>
        <v/>
      </c>
      <c r="J743" s="21" t="str">
        <f>IF($K743="","",IF(INDEX('Detalle individual'!$F:$F,$K743)="Completado",INDEX('Detalle individual'!$J:$J,$K743),""))</f>
        <v/>
      </c>
      <c r="K743" t="str">
        <f>IFERROR(MOD(SMALL(Cálculos!$Z$5:$Z$1000,735),10000),"")</f>
        <v/>
      </c>
    </row>
    <row r="744">
      <c r="B744" s="13" t="str">
        <f>IF($K744="","",736)</f>
        <v/>
      </c>
      <c r="C744" s="13" t="str">
        <f>IF($K744="","",INDEX('Detalle individual'!$A:$A,$K744))</f>
        <v/>
      </c>
      <c r="D744" s="72" t="str">
        <f>IF($K744="","",TRIM(INDEX('Detalle individual'!$B:$B,$K744)))</f>
        <v/>
      </c>
      <c r="E744" s="72" t="str">
        <f>IF($K744="","",TRIM(INDEX('Detalle individual'!$E:$E,$K744)))</f>
        <v/>
      </c>
      <c r="F744" s="72" t="str">
        <f>IF($K744="","",TRIM(INDEX('Detalle individual'!$C:$C,$K744)))</f>
        <v/>
      </c>
      <c r="G744" s="72" t="str">
        <f>IF($K744="","",INDEX('Detalle individual'!$D:$D,$K744))</f>
        <v/>
      </c>
      <c r="H744" s="13" t="str">
        <f>IF($K744="","",INDEX('Detalle individual'!$F:$F,$K744))</f>
        <v/>
      </c>
      <c r="I744" s="20" t="str">
        <f>IF($K744="","",IF(INDEX('Detalle individual'!$F:$F,$K744)="Completado",INDEX('Detalle individual'!$H:$H,$K744),""))</f>
        <v/>
      </c>
      <c r="J744" s="21" t="str">
        <f>IF($K744="","",IF(INDEX('Detalle individual'!$F:$F,$K744)="Completado",INDEX('Detalle individual'!$J:$J,$K744),""))</f>
        <v/>
      </c>
      <c r="K744" t="str">
        <f>IFERROR(MOD(SMALL(Cálculos!$Z$5:$Z$1000,736),10000),"")</f>
        <v/>
      </c>
    </row>
    <row r="745">
      <c r="B745" s="13" t="str">
        <f>IF($K745="","",737)</f>
        <v/>
      </c>
      <c r="C745" s="13" t="str">
        <f>IF($K745="","",INDEX('Detalle individual'!$A:$A,$K745))</f>
        <v/>
      </c>
      <c r="D745" s="72" t="str">
        <f>IF($K745="","",TRIM(INDEX('Detalle individual'!$B:$B,$K745)))</f>
        <v/>
      </c>
      <c r="E745" s="72" t="str">
        <f>IF($K745="","",TRIM(INDEX('Detalle individual'!$E:$E,$K745)))</f>
        <v/>
      </c>
      <c r="F745" s="72" t="str">
        <f>IF($K745="","",TRIM(INDEX('Detalle individual'!$C:$C,$K745)))</f>
        <v/>
      </c>
      <c r="G745" s="72" t="str">
        <f>IF($K745="","",INDEX('Detalle individual'!$D:$D,$K745))</f>
        <v/>
      </c>
      <c r="H745" s="13" t="str">
        <f>IF($K745="","",INDEX('Detalle individual'!$F:$F,$K745))</f>
        <v/>
      </c>
      <c r="I745" s="20" t="str">
        <f>IF($K745="","",IF(INDEX('Detalle individual'!$F:$F,$K745)="Completado",INDEX('Detalle individual'!$H:$H,$K745),""))</f>
        <v/>
      </c>
      <c r="J745" s="21" t="str">
        <f>IF($K745="","",IF(INDEX('Detalle individual'!$F:$F,$K745)="Completado",INDEX('Detalle individual'!$J:$J,$K745),""))</f>
        <v/>
      </c>
      <c r="K745" t="str">
        <f>IFERROR(MOD(SMALL(Cálculos!$Z$5:$Z$1000,737),10000),"")</f>
        <v/>
      </c>
    </row>
    <row r="746">
      <c r="B746" s="13" t="str">
        <f>IF($K746="","",738)</f>
        <v/>
      </c>
      <c r="C746" s="13" t="str">
        <f>IF($K746="","",INDEX('Detalle individual'!$A:$A,$K746))</f>
        <v/>
      </c>
      <c r="D746" s="72" t="str">
        <f>IF($K746="","",TRIM(INDEX('Detalle individual'!$B:$B,$K746)))</f>
        <v/>
      </c>
      <c r="E746" s="72" t="str">
        <f>IF($K746="","",TRIM(INDEX('Detalle individual'!$E:$E,$K746)))</f>
        <v/>
      </c>
      <c r="F746" s="72" t="str">
        <f>IF($K746="","",TRIM(INDEX('Detalle individual'!$C:$C,$K746)))</f>
        <v/>
      </c>
      <c r="G746" s="72" t="str">
        <f>IF($K746="","",INDEX('Detalle individual'!$D:$D,$K746))</f>
        <v/>
      </c>
      <c r="H746" s="13" t="str">
        <f>IF($K746="","",INDEX('Detalle individual'!$F:$F,$K746))</f>
        <v/>
      </c>
      <c r="I746" s="20" t="str">
        <f>IF($K746="","",IF(INDEX('Detalle individual'!$F:$F,$K746)="Completado",INDEX('Detalle individual'!$H:$H,$K746),""))</f>
        <v/>
      </c>
      <c r="J746" s="21" t="str">
        <f>IF($K746="","",IF(INDEX('Detalle individual'!$F:$F,$K746)="Completado",INDEX('Detalle individual'!$J:$J,$K746),""))</f>
        <v/>
      </c>
      <c r="K746" t="str">
        <f>IFERROR(MOD(SMALL(Cálculos!$Z$5:$Z$1000,738),10000),"")</f>
        <v/>
      </c>
    </row>
    <row r="747">
      <c r="B747" s="13" t="str">
        <f>IF($K747="","",739)</f>
        <v/>
      </c>
      <c r="C747" s="13" t="str">
        <f>IF($K747="","",INDEX('Detalle individual'!$A:$A,$K747))</f>
        <v/>
      </c>
      <c r="D747" s="72" t="str">
        <f>IF($K747="","",TRIM(INDEX('Detalle individual'!$B:$B,$K747)))</f>
        <v/>
      </c>
      <c r="E747" s="72" t="str">
        <f>IF($K747="","",TRIM(INDEX('Detalle individual'!$E:$E,$K747)))</f>
        <v/>
      </c>
      <c r="F747" s="72" t="str">
        <f>IF($K747="","",TRIM(INDEX('Detalle individual'!$C:$C,$K747)))</f>
        <v/>
      </c>
      <c r="G747" s="72" t="str">
        <f>IF($K747="","",INDEX('Detalle individual'!$D:$D,$K747))</f>
        <v/>
      </c>
      <c r="H747" s="13" t="str">
        <f>IF($K747="","",INDEX('Detalle individual'!$F:$F,$K747))</f>
        <v/>
      </c>
      <c r="I747" s="20" t="str">
        <f>IF($K747="","",IF(INDEX('Detalle individual'!$F:$F,$K747)="Completado",INDEX('Detalle individual'!$H:$H,$K747),""))</f>
        <v/>
      </c>
      <c r="J747" s="21" t="str">
        <f>IF($K747="","",IF(INDEX('Detalle individual'!$F:$F,$K747)="Completado",INDEX('Detalle individual'!$J:$J,$K747),""))</f>
        <v/>
      </c>
      <c r="K747" t="str">
        <f>IFERROR(MOD(SMALL(Cálculos!$Z$5:$Z$1000,739),10000),"")</f>
        <v/>
      </c>
    </row>
    <row r="748">
      <c r="B748" s="13" t="str">
        <f>IF($K748="","",740)</f>
        <v/>
      </c>
      <c r="C748" s="13" t="str">
        <f>IF($K748="","",INDEX('Detalle individual'!$A:$A,$K748))</f>
        <v/>
      </c>
      <c r="D748" s="72" t="str">
        <f>IF($K748="","",TRIM(INDEX('Detalle individual'!$B:$B,$K748)))</f>
        <v/>
      </c>
      <c r="E748" s="72" t="str">
        <f>IF($K748="","",TRIM(INDEX('Detalle individual'!$E:$E,$K748)))</f>
        <v/>
      </c>
      <c r="F748" s="72" t="str">
        <f>IF($K748="","",TRIM(INDEX('Detalle individual'!$C:$C,$K748)))</f>
        <v/>
      </c>
      <c r="G748" s="72" t="str">
        <f>IF($K748="","",INDEX('Detalle individual'!$D:$D,$K748))</f>
        <v/>
      </c>
      <c r="H748" s="13" t="str">
        <f>IF($K748="","",INDEX('Detalle individual'!$F:$F,$K748))</f>
        <v/>
      </c>
      <c r="I748" s="20" t="str">
        <f>IF($K748="","",IF(INDEX('Detalle individual'!$F:$F,$K748)="Completado",INDEX('Detalle individual'!$H:$H,$K748),""))</f>
        <v/>
      </c>
      <c r="J748" s="21" t="str">
        <f>IF($K748="","",IF(INDEX('Detalle individual'!$F:$F,$K748)="Completado",INDEX('Detalle individual'!$J:$J,$K748),""))</f>
        <v/>
      </c>
      <c r="K748" t="str">
        <f>IFERROR(MOD(SMALL(Cálculos!$Z$5:$Z$1000,740),10000),"")</f>
        <v/>
      </c>
    </row>
    <row r="749">
      <c r="B749" s="13" t="str">
        <f>IF($K749="","",741)</f>
        <v/>
      </c>
      <c r="C749" s="13" t="str">
        <f>IF($K749="","",INDEX('Detalle individual'!$A:$A,$K749))</f>
        <v/>
      </c>
      <c r="D749" s="72" t="str">
        <f>IF($K749="","",TRIM(INDEX('Detalle individual'!$B:$B,$K749)))</f>
        <v/>
      </c>
      <c r="E749" s="72" t="str">
        <f>IF($K749="","",TRIM(INDEX('Detalle individual'!$E:$E,$K749)))</f>
        <v/>
      </c>
      <c r="F749" s="72" t="str">
        <f>IF($K749="","",TRIM(INDEX('Detalle individual'!$C:$C,$K749)))</f>
        <v/>
      </c>
      <c r="G749" s="72" t="str">
        <f>IF($K749="","",INDEX('Detalle individual'!$D:$D,$K749))</f>
        <v/>
      </c>
      <c r="H749" s="13" t="str">
        <f>IF($K749="","",INDEX('Detalle individual'!$F:$F,$K749))</f>
        <v/>
      </c>
      <c r="I749" s="20" t="str">
        <f>IF($K749="","",IF(INDEX('Detalle individual'!$F:$F,$K749)="Completado",INDEX('Detalle individual'!$H:$H,$K749),""))</f>
        <v/>
      </c>
      <c r="J749" s="21" t="str">
        <f>IF($K749="","",IF(INDEX('Detalle individual'!$F:$F,$K749)="Completado",INDEX('Detalle individual'!$J:$J,$K749),""))</f>
        <v/>
      </c>
      <c r="K749" t="str">
        <f>IFERROR(MOD(SMALL(Cálculos!$Z$5:$Z$1000,741),10000),"")</f>
        <v/>
      </c>
    </row>
    <row r="750">
      <c r="B750" s="13" t="str">
        <f>IF($K750="","",742)</f>
        <v/>
      </c>
      <c r="C750" s="13" t="str">
        <f>IF($K750="","",INDEX('Detalle individual'!$A:$A,$K750))</f>
        <v/>
      </c>
      <c r="D750" s="72" t="str">
        <f>IF($K750="","",TRIM(INDEX('Detalle individual'!$B:$B,$K750)))</f>
        <v/>
      </c>
      <c r="E750" s="72" t="str">
        <f>IF($K750="","",TRIM(INDEX('Detalle individual'!$E:$E,$K750)))</f>
        <v/>
      </c>
      <c r="F750" s="72" t="str">
        <f>IF($K750="","",TRIM(INDEX('Detalle individual'!$C:$C,$K750)))</f>
        <v/>
      </c>
      <c r="G750" s="72" t="str">
        <f>IF($K750="","",INDEX('Detalle individual'!$D:$D,$K750))</f>
        <v/>
      </c>
      <c r="H750" s="13" t="str">
        <f>IF($K750="","",INDEX('Detalle individual'!$F:$F,$K750))</f>
        <v/>
      </c>
      <c r="I750" s="20" t="str">
        <f>IF($K750="","",IF(INDEX('Detalle individual'!$F:$F,$K750)="Completado",INDEX('Detalle individual'!$H:$H,$K750),""))</f>
        <v/>
      </c>
      <c r="J750" s="21" t="str">
        <f>IF($K750="","",IF(INDEX('Detalle individual'!$F:$F,$K750)="Completado",INDEX('Detalle individual'!$J:$J,$K750),""))</f>
        <v/>
      </c>
      <c r="K750" t="str">
        <f>IFERROR(MOD(SMALL(Cálculos!$Z$5:$Z$1000,742),10000),"")</f>
        <v/>
      </c>
    </row>
    <row r="751">
      <c r="B751" s="13" t="str">
        <f>IF($K751="","",743)</f>
        <v/>
      </c>
      <c r="C751" s="13" t="str">
        <f>IF($K751="","",INDEX('Detalle individual'!$A:$A,$K751))</f>
        <v/>
      </c>
      <c r="D751" s="72" t="str">
        <f>IF($K751="","",TRIM(INDEX('Detalle individual'!$B:$B,$K751)))</f>
        <v/>
      </c>
      <c r="E751" s="72" t="str">
        <f>IF($K751="","",TRIM(INDEX('Detalle individual'!$E:$E,$K751)))</f>
        <v/>
      </c>
      <c r="F751" s="72" t="str">
        <f>IF($K751="","",TRIM(INDEX('Detalle individual'!$C:$C,$K751)))</f>
        <v/>
      </c>
      <c r="G751" s="72" t="str">
        <f>IF($K751="","",INDEX('Detalle individual'!$D:$D,$K751))</f>
        <v/>
      </c>
      <c r="H751" s="13" t="str">
        <f>IF($K751="","",INDEX('Detalle individual'!$F:$F,$K751))</f>
        <v/>
      </c>
      <c r="I751" s="20" t="str">
        <f>IF($K751="","",IF(INDEX('Detalle individual'!$F:$F,$K751)="Completado",INDEX('Detalle individual'!$H:$H,$K751),""))</f>
        <v/>
      </c>
      <c r="J751" s="21" t="str">
        <f>IF($K751="","",IF(INDEX('Detalle individual'!$F:$F,$K751)="Completado",INDEX('Detalle individual'!$J:$J,$K751),""))</f>
        <v/>
      </c>
      <c r="K751" t="str">
        <f>IFERROR(MOD(SMALL(Cálculos!$Z$5:$Z$1000,743),10000),"")</f>
        <v/>
      </c>
    </row>
    <row r="752">
      <c r="B752" s="13" t="str">
        <f>IF($K752="","",744)</f>
        <v/>
      </c>
      <c r="C752" s="13" t="str">
        <f>IF($K752="","",INDEX('Detalle individual'!$A:$A,$K752))</f>
        <v/>
      </c>
      <c r="D752" s="72" t="str">
        <f>IF($K752="","",TRIM(INDEX('Detalle individual'!$B:$B,$K752)))</f>
        <v/>
      </c>
      <c r="E752" s="72" t="str">
        <f>IF($K752="","",TRIM(INDEX('Detalle individual'!$E:$E,$K752)))</f>
        <v/>
      </c>
      <c r="F752" s="72" t="str">
        <f>IF($K752="","",TRIM(INDEX('Detalle individual'!$C:$C,$K752)))</f>
        <v/>
      </c>
      <c r="G752" s="72" t="str">
        <f>IF($K752="","",INDEX('Detalle individual'!$D:$D,$K752))</f>
        <v/>
      </c>
      <c r="H752" s="13" t="str">
        <f>IF($K752="","",INDEX('Detalle individual'!$F:$F,$K752))</f>
        <v/>
      </c>
      <c r="I752" s="20" t="str">
        <f>IF($K752="","",IF(INDEX('Detalle individual'!$F:$F,$K752)="Completado",INDEX('Detalle individual'!$H:$H,$K752),""))</f>
        <v/>
      </c>
      <c r="J752" s="21" t="str">
        <f>IF($K752="","",IF(INDEX('Detalle individual'!$F:$F,$K752)="Completado",INDEX('Detalle individual'!$J:$J,$K752),""))</f>
        <v/>
      </c>
      <c r="K752" t="str">
        <f>IFERROR(MOD(SMALL(Cálculos!$Z$5:$Z$1000,744),10000),"")</f>
        <v/>
      </c>
    </row>
    <row r="753">
      <c r="B753" s="13" t="str">
        <f>IF($K753="","",745)</f>
        <v/>
      </c>
      <c r="C753" s="13" t="str">
        <f>IF($K753="","",INDEX('Detalle individual'!$A:$A,$K753))</f>
        <v/>
      </c>
      <c r="D753" s="72" t="str">
        <f>IF($K753="","",TRIM(INDEX('Detalle individual'!$B:$B,$K753)))</f>
        <v/>
      </c>
      <c r="E753" s="72" t="str">
        <f>IF($K753="","",TRIM(INDEX('Detalle individual'!$E:$E,$K753)))</f>
        <v/>
      </c>
      <c r="F753" s="72" t="str">
        <f>IF($K753="","",TRIM(INDEX('Detalle individual'!$C:$C,$K753)))</f>
        <v/>
      </c>
      <c r="G753" s="72" t="str">
        <f>IF($K753="","",INDEX('Detalle individual'!$D:$D,$K753))</f>
        <v/>
      </c>
      <c r="H753" s="13" t="str">
        <f>IF($K753="","",INDEX('Detalle individual'!$F:$F,$K753))</f>
        <v/>
      </c>
      <c r="I753" s="20" t="str">
        <f>IF($K753="","",IF(INDEX('Detalle individual'!$F:$F,$K753)="Completado",INDEX('Detalle individual'!$H:$H,$K753),""))</f>
        <v/>
      </c>
      <c r="J753" s="21" t="str">
        <f>IF($K753="","",IF(INDEX('Detalle individual'!$F:$F,$K753)="Completado",INDEX('Detalle individual'!$J:$J,$K753),""))</f>
        <v/>
      </c>
      <c r="K753" t="str">
        <f>IFERROR(MOD(SMALL(Cálculos!$Z$5:$Z$1000,745),10000),"")</f>
        <v/>
      </c>
    </row>
    <row r="754">
      <c r="B754" s="13" t="str">
        <f>IF($K754="","",746)</f>
        <v/>
      </c>
      <c r="C754" s="13" t="str">
        <f>IF($K754="","",INDEX('Detalle individual'!$A:$A,$K754))</f>
        <v/>
      </c>
      <c r="D754" s="72" t="str">
        <f>IF($K754="","",TRIM(INDEX('Detalle individual'!$B:$B,$K754)))</f>
        <v/>
      </c>
      <c r="E754" s="72" t="str">
        <f>IF($K754="","",TRIM(INDEX('Detalle individual'!$E:$E,$K754)))</f>
        <v/>
      </c>
      <c r="F754" s="72" t="str">
        <f>IF($K754="","",TRIM(INDEX('Detalle individual'!$C:$C,$K754)))</f>
        <v/>
      </c>
      <c r="G754" s="72" t="str">
        <f>IF($K754="","",INDEX('Detalle individual'!$D:$D,$K754))</f>
        <v/>
      </c>
      <c r="H754" s="13" t="str">
        <f>IF($K754="","",INDEX('Detalle individual'!$F:$F,$K754))</f>
        <v/>
      </c>
      <c r="I754" s="20" t="str">
        <f>IF($K754="","",IF(INDEX('Detalle individual'!$F:$F,$K754)="Completado",INDEX('Detalle individual'!$H:$H,$K754),""))</f>
        <v/>
      </c>
      <c r="J754" s="21" t="str">
        <f>IF($K754="","",IF(INDEX('Detalle individual'!$F:$F,$K754)="Completado",INDEX('Detalle individual'!$J:$J,$K754),""))</f>
        <v/>
      </c>
      <c r="K754" t="str">
        <f>IFERROR(MOD(SMALL(Cálculos!$Z$5:$Z$1000,746),10000),"")</f>
        <v/>
      </c>
    </row>
    <row r="755">
      <c r="B755" s="13" t="str">
        <f>IF($K755="","",747)</f>
        <v/>
      </c>
      <c r="C755" s="13" t="str">
        <f>IF($K755="","",INDEX('Detalle individual'!$A:$A,$K755))</f>
        <v/>
      </c>
      <c r="D755" s="72" t="str">
        <f>IF($K755="","",TRIM(INDEX('Detalle individual'!$B:$B,$K755)))</f>
        <v/>
      </c>
      <c r="E755" s="72" t="str">
        <f>IF($K755="","",TRIM(INDEX('Detalle individual'!$E:$E,$K755)))</f>
        <v/>
      </c>
      <c r="F755" s="72" t="str">
        <f>IF($K755="","",TRIM(INDEX('Detalle individual'!$C:$C,$K755)))</f>
        <v/>
      </c>
      <c r="G755" s="72" t="str">
        <f>IF($K755="","",INDEX('Detalle individual'!$D:$D,$K755))</f>
        <v/>
      </c>
      <c r="H755" s="13" t="str">
        <f>IF($K755="","",INDEX('Detalle individual'!$F:$F,$K755))</f>
        <v/>
      </c>
      <c r="I755" s="20" t="str">
        <f>IF($K755="","",IF(INDEX('Detalle individual'!$F:$F,$K755)="Completado",INDEX('Detalle individual'!$H:$H,$K755),""))</f>
        <v/>
      </c>
      <c r="J755" s="21" t="str">
        <f>IF($K755="","",IF(INDEX('Detalle individual'!$F:$F,$K755)="Completado",INDEX('Detalle individual'!$J:$J,$K755),""))</f>
        <v/>
      </c>
      <c r="K755" t="str">
        <f>IFERROR(MOD(SMALL(Cálculos!$Z$5:$Z$1000,747),10000),"")</f>
        <v/>
      </c>
    </row>
    <row r="756">
      <c r="B756" s="13" t="str">
        <f>IF($K756="","",748)</f>
        <v/>
      </c>
      <c r="C756" s="13" t="str">
        <f>IF($K756="","",INDEX('Detalle individual'!$A:$A,$K756))</f>
        <v/>
      </c>
      <c r="D756" s="72" t="str">
        <f>IF($K756="","",TRIM(INDEX('Detalle individual'!$B:$B,$K756)))</f>
        <v/>
      </c>
      <c r="E756" s="72" t="str">
        <f>IF($K756="","",TRIM(INDEX('Detalle individual'!$E:$E,$K756)))</f>
        <v/>
      </c>
      <c r="F756" s="72" t="str">
        <f>IF($K756="","",TRIM(INDEX('Detalle individual'!$C:$C,$K756)))</f>
        <v/>
      </c>
      <c r="G756" s="72" t="str">
        <f>IF($K756="","",INDEX('Detalle individual'!$D:$D,$K756))</f>
        <v/>
      </c>
      <c r="H756" s="13" t="str">
        <f>IF($K756="","",INDEX('Detalle individual'!$F:$F,$K756))</f>
        <v/>
      </c>
      <c r="I756" s="20" t="str">
        <f>IF($K756="","",IF(INDEX('Detalle individual'!$F:$F,$K756)="Completado",INDEX('Detalle individual'!$H:$H,$K756),""))</f>
        <v/>
      </c>
      <c r="J756" s="21" t="str">
        <f>IF($K756="","",IF(INDEX('Detalle individual'!$F:$F,$K756)="Completado",INDEX('Detalle individual'!$J:$J,$K756),""))</f>
        <v/>
      </c>
      <c r="K756" t="str">
        <f>IFERROR(MOD(SMALL(Cálculos!$Z$5:$Z$1000,748),10000),"")</f>
        <v/>
      </c>
    </row>
    <row r="757">
      <c r="B757" s="13" t="str">
        <f>IF($K757="","",749)</f>
        <v/>
      </c>
      <c r="C757" s="13" t="str">
        <f>IF($K757="","",INDEX('Detalle individual'!$A:$A,$K757))</f>
        <v/>
      </c>
      <c r="D757" s="72" t="str">
        <f>IF($K757="","",TRIM(INDEX('Detalle individual'!$B:$B,$K757)))</f>
        <v/>
      </c>
      <c r="E757" s="72" t="str">
        <f>IF($K757="","",TRIM(INDEX('Detalle individual'!$E:$E,$K757)))</f>
        <v/>
      </c>
      <c r="F757" s="72" t="str">
        <f>IF($K757="","",TRIM(INDEX('Detalle individual'!$C:$C,$K757)))</f>
        <v/>
      </c>
      <c r="G757" s="72" t="str">
        <f>IF($K757="","",INDEX('Detalle individual'!$D:$D,$K757))</f>
        <v/>
      </c>
      <c r="H757" s="13" t="str">
        <f>IF($K757="","",INDEX('Detalle individual'!$F:$F,$K757))</f>
        <v/>
      </c>
      <c r="I757" s="20" t="str">
        <f>IF($K757="","",IF(INDEX('Detalle individual'!$F:$F,$K757)="Completado",INDEX('Detalle individual'!$H:$H,$K757),""))</f>
        <v/>
      </c>
      <c r="J757" s="21" t="str">
        <f>IF($K757="","",IF(INDEX('Detalle individual'!$F:$F,$K757)="Completado",INDEX('Detalle individual'!$J:$J,$K757),""))</f>
        <v/>
      </c>
      <c r="K757" t="str">
        <f>IFERROR(MOD(SMALL(Cálculos!$Z$5:$Z$1000,749),10000),"")</f>
        <v/>
      </c>
    </row>
    <row r="758">
      <c r="B758" s="13" t="str">
        <f>IF($K758="","",750)</f>
        <v/>
      </c>
      <c r="C758" s="13" t="str">
        <f>IF($K758="","",INDEX('Detalle individual'!$A:$A,$K758))</f>
        <v/>
      </c>
      <c r="D758" s="72" t="str">
        <f>IF($K758="","",TRIM(INDEX('Detalle individual'!$B:$B,$K758)))</f>
        <v/>
      </c>
      <c r="E758" s="72" t="str">
        <f>IF($K758="","",TRIM(INDEX('Detalle individual'!$E:$E,$K758)))</f>
        <v/>
      </c>
      <c r="F758" s="72" t="str">
        <f>IF($K758="","",TRIM(INDEX('Detalle individual'!$C:$C,$K758)))</f>
        <v/>
      </c>
      <c r="G758" s="72" t="str">
        <f>IF($K758="","",INDEX('Detalle individual'!$D:$D,$K758))</f>
        <v/>
      </c>
      <c r="H758" s="13" t="str">
        <f>IF($K758="","",INDEX('Detalle individual'!$F:$F,$K758))</f>
        <v/>
      </c>
      <c r="I758" s="20" t="str">
        <f>IF($K758="","",IF(INDEX('Detalle individual'!$F:$F,$K758)="Completado",INDEX('Detalle individual'!$H:$H,$K758),""))</f>
        <v/>
      </c>
      <c r="J758" s="21" t="str">
        <f>IF($K758="","",IF(INDEX('Detalle individual'!$F:$F,$K758)="Completado",INDEX('Detalle individual'!$J:$J,$K758),""))</f>
        <v/>
      </c>
      <c r="K758" t="str">
        <f>IFERROR(MOD(SMALL(Cálculos!$Z$5:$Z$1000,750),10000),"")</f>
        <v/>
      </c>
    </row>
    <row r="759">
      <c r="B759" s="13" t="str">
        <f>IF($K759="","",751)</f>
        <v/>
      </c>
      <c r="C759" s="13" t="str">
        <f>IF($K759="","",INDEX('Detalle individual'!$A:$A,$K759))</f>
        <v/>
      </c>
      <c r="D759" s="72" t="str">
        <f>IF($K759="","",TRIM(INDEX('Detalle individual'!$B:$B,$K759)))</f>
        <v/>
      </c>
      <c r="E759" s="72" t="str">
        <f>IF($K759="","",TRIM(INDEX('Detalle individual'!$E:$E,$K759)))</f>
        <v/>
      </c>
      <c r="F759" s="72" t="str">
        <f>IF($K759="","",TRIM(INDEX('Detalle individual'!$C:$C,$K759)))</f>
        <v/>
      </c>
      <c r="G759" s="72" t="str">
        <f>IF($K759="","",INDEX('Detalle individual'!$D:$D,$K759))</f>
        <v/>
      </c>
      <c r="H759" s="13" t="str">
        <f>IF($K759="","",INDEX('Detalle individual'!$F:$F,$K759))</f>
        <v/>
      </c>
      <c r="I759" s="20" t="str">
        <f>IF($K759="","",IF(INDEX('Detalle individual'!$F:$F,$K759)="Completado",INDEX('Detalle individual'!$H:$H,$K759),""))</f>
        <v/>
      </c>
      <c r="J759" s="21" t="str">
        <f>IF($K759="","",IF(INDEX('Detalle individual'!$F:$F,$K759)="Completado",INDEX('Detalle individual'!$J:$J,$K759),""))</f>
        <v/>
      </c>
      <c r="K759" t="str">
        <f>IFERROR(MOD(SMALL(Cálculos!$Z$5:$Z$1000,751),10000),"")</f>
        <v/>
      </c>
    </row>
    <row r="760">
      <c r="B760" s="13" t="str">
        <f>IF($K760="","",752)</f>
        <v/>
      </c>
      <c r="C760" s="13" t="str">
        <f>IF($K760="","",INDEX('Detalle individual'!$A:$A,$K760))</f>
        <v/>
      </c>
      <c r="D760" s="72" t="str">
        <f>IF($K760="","",TRIM(INDEX('Detalle individual'!$B:$B,$K760)))</f>
        <v/>
      </c>
      <c r="E760" s="72" t="str">
        <f>IF($K760="","",TRIM(INDEX('Detalle individual'!$E:$E,$K760)))</f>
        <v/>
      </c>
      <c r="F760" s="72" t="str">
        <f>IF($K760="","",TRIM(INDEX('Detalle individual'!$C:$C,$K760)))</f>
        <v/>
      </c>
      <c r="G760" s="72" t="str">
        <f>IF($K760="","",INDEX('Detalle individual'!$D:$D,$K760))</f>
        <v/>
      </c>
      <c r="H760" s="13" t="str">
        <f>IF($K760="","",INDEX('Detalle individual'!$F:$F,$K760))</f>
        <v/>
      </c>
      <c r="I760" s="20" t="str">
        <f>IF($K760="","",IF(INDEX('Detalle individual'!$F:$F,$K760)="Completado",INDEX('Detalle individual'!$H:$H,$K760),""))</f>
        <v/>
      </c>
      <c r="J760" s="21" t="str">
        <f>IF($K760="","",IF(INDEX('Detalle individual'!$F:$F,$K760)="Completado",INDEX('Detalle individual'!$J:$J,$K760),""))</f>
        <v/>
      </c>
      <c r="K760" t="str">
        <f>IFERROR(MOD(SMALL(Cálculos!$Z$5:$Z$1000,752),10000),"")</f>
        <v/>
      </c>
    </row>
    <row r="761">
      <c r="B761" s="13" t="str">
        <f>IF($K761="","",753)</f>
        <v/>
      </c>
      <c r="C761" s="13" t="str">
        <f>IF($K761="","",INDEX('Detalle individual'!$A:$A,$K761))</f>
        <v/>
      </c>
      <c r="D761" s="72" t="str">
        <f>IF($K761="","",TRIM(INDEX('Detalle individual'!$B:$B,$K761)))</f>
        <v/>
      </c>
      <c r="E761" s="72" t="str">
        <f>IF($K761="","",TRIM(INDEX('Detalle individual'!$E:$E,$K761)))</f>
        <v/>
      </c>
      <c r="F761" s="72" t="str">
        <f>IF($K761="","",TRIM(INDEX('Detalle individual'!$C:$C,$K761)))</f>
        <v/>
      </c>
      <c r="G761" s="72" t="str">
        <f>IF($K761="","",INDEX('Detalle individual'!$D:$D,$K761))</f>
        <v/>
      </c>
      <c r="H761" s="13" t="str">
        <f>IF($K761="","",INDEX('Detalle individual'!$F:$F,$K761))</f>
        <v/>
      </c>
      <c r="I761" s="20" t="str">
        <f>IF($K761="","",IF(INDEX('Detalle individual'!$F:$F,$K761)="Completado",INDEX('Detalle individual'!$H:$H,$K761),""))</f>
        <v/>
      </c>
      <c r="J761" s="21" t="str">
        <f>IF($K761="","",IF(INDEX('Detalle individual'!$F:$F,$K761)="Completado",INDEX('Detalle individual'!$J:$J,$K761),""))</f>
        <v/>
      </c>
      <c r="K761" t="str">
        <f>IFERROR(MOD(SMALL(Cálculos!$Z$5:$Z$1000,753),10000),"")</f>
        <v/>
      </c>
    </row>
    <row r="762">
      <c r="B762" s="13" t="str">
        <f>IF($K762="","",754)</f>
        <v/>
      </c>
      <c r="C762" s="13" t="str">
        <f>IF($K762="","",INDEX('Detalle individual'!$A:$A,$K762))</f>
        <v/>
      </c>
      <c r="D762" s="72" t="str">
        <f>IF($K762="","",TRIM(INDEX('Detalle individual'!$B:$B,$K762)))</f>
        <v/>
      </c>
      <c r="E762" s="72" t="str">
        <f>IF($K762="","",TRIM(INDEX('Detalle individual'!$E:$E,$K762)))</f>
        <v/>
      </c>
      <c r="F762" s="72" t="str">
        <f>IF($K762="","",TRIM(INDEX('Detalle individual'!$C:$C,$K762)))</f>
        <v/>
      </c>
      <c r="G762" s="72" t="str">
        <f>IF($K762="","",INDEX('Detalle individual'!$D:$D,$K762))</f>
        <v/>
      </c>
      <c r="H762" s="13" t="str">
        <f>IF($K762="","",INDEX('Detalle individual'!$F:$F,$K762))</f>
        <v/>
      </c>
      <c r="I762" s="20" t="str">
        <f>IF($K762="","",IF(INDEX('Detalle individual'!$F:$F,$K762)="Completado",INDEX('Detalle individual'!$H:$H,$K762),""))</f>
        <v/>
      </c>
      <c r="J762" s="21" t="str">
        <f>IF($K762="","",IF(INDEX('Detalle individual'!$F:$F,$K762)="Completado",INDEX('Detalle individual'!$J:$J,$K762),""))</f>
        <v/>
      </c>
      <c r="K762" t="str">
        <f>IFERROR(MOD(SMALL(Cálculos!$Z$5:$Z$1000,754),10000),"")</f>
        <v/>
      </c>
    </row>
    <row r="763">
      <c r="B763" s="13" t="str">
        <f>IF($K763="","",755)</f>
        <v/>
      </c>
      <c r="C763" s="13" t="str">
        <f>IF($K763="","",INDEX('Detalle individual'!$A:$A,$K763))</f>
        <v/>
      </c>
      <c r="D763" s="72" t="str">
        <f>IF($K763="","",TRIM(INDEX('Detalle individual'!$B:$B,$K763)))</f>
        <v/>
      </c>
      <c r="E763" s="72" t="str">
        <f>IF($K763="","",TRIM(INDEX('Detalle individual'!$E:$E,$K763)))</f>
        <v/>
      </c>
      <c r="F763" s="72" t="str">
        <f>IF($K763="","",TRIM(INDEX('Detalle individual'!$C:$C,$K763)))</f>
        <v/>
      </c>
      <c r="G763" s="72" t="str">
        <f>IF($K763="","",INDEX('Detalle individual'!$D:$D,$K763))</f>
        <v/>
      </c>
      <c r="H763" s="13" t="str">
        <f>IF($K763="","",INDEX('Detalle individual'!$F:$F,$K763))</f>
        <v/>
      </c>
      <c r="I763" s="20" t="str">
        <f>IF($K763="","",IF(INDEX('Detalle individual'!$F:$F,$K763)="Completado",INDEX('Detalle individual'!$H:$H,$K763),""))</f>
        <v/>
      </c>
      <c r="J763" s="21" t="str">
        <f>IF($K763="","",IF(INDEX('Detalle individual'!$F:$F,$K763)="Completado",INDEX('Detalle individual'!$J:$J,$K763),""))</f>
        <v/>
      </c>
      <c r="K763" t="str">
        <f>IFERROR(MOD(SMALL(Cálculos!$Z$5:$Z$1000,755),10000),"")</f>
        <v/>
      </c>
    </row>
    <row r="764">
      <c r="B764" s="13" t="str">
        <f>IF($K764="","",756)</f>
        <v/>
      </c>
      <c r="C764" s="13" t="str">
        <f>IF($K764="","",INDEX('Detalle individual'!$A:$A,$K764))</f>
        <v/>
      </c>
      <c r="D764" s="72" t="str">
        <f>IF($K764="","",TRIM(INDEX('Detalle individual'!$B:$B,$K764)))</f>
        <v/>
      </c>
      <c r="E764" s="72" t="str">
        <f>IF($K764="","",TRIM(INDEX('Detalle individual'!$E:$E,$K764)))</f>
        <v/>
      </c>
      <c r="F764" s="72" t="str">
        <f>IF($K764="","",TRIM(INDEX('Detalle individual'!$C:$C,$K764)))</f>
        <v/>
      </c>
      <c r="G764" s="72" t="str">
        <f>IF($K764="","",INDEX('Detalle individual'!$D:$D,$K764))</f>
        <v/>
      </c>
      <c r="H764" s="13" t="str">
        <f>IF($K764="","",INDEX('Detalle individual'!$F:$F,$K764))</f>
        <v/>
      </c>
      <c r="I764" s="20" t="str">
        <f>IF($K764="","",IF(INDEX('Detalle individual'!$F:$F,$K764)="Completado",INDEX('Detalle individual'!$H:$H,$K764),""))</f>
        <v/>
      </c>
      <c r="J764" s="21" t="str">
        <f>IF($K764="","",IF(INDEX('Detalle individual'!$F:$F,$K764)="Completado",INDEX('Detalle individual'!$J:$J,$K764),""))</f>
        <v/>
      </c>
      <c r="K764" t="str">
        <f>IFERROR(MOD(SMALL(Cálculos!$Z$5:$Z$1000,756),10000),"")</f>
        <v/>
      </c>
    </row>
    <row r="765">
      <c r="B765" s="13" t="str">
        <f>IF($K765="","",757)</f>
        <v/>
      </c>
      <c r="C765" s="13" t="str">
        <f>IF($K765="","",INDEX('Detalle individual'!$A:$A,$K765))</f>
        <v/>
      </c>
      <c r="D765" s="72" t="str">
        <f>IF($K765="","",TRIM(INDEX('Detalle individual'!$B:$B,$K765)))</f>
        <v/>
      </c>
      <c r="E765" s="72" t="str">
        <f>IF($K765="","",TRIM(INDEX('Detalle individual'!$E:$E,$K765)))</f>
        <v/>
      </c>
      <c r="F765" s="72" t="str">
        <f>IF($K765="","",TRIM(INDEX('Detalle individual'!$C:$C,$K765)))</f>
        <v/>
      </c>
      <c r="G765" s="72" t="str">
        <f>IF($K765="","",INDEX('Detalle individual'!$D:$D,$K765))</f>
        <v/>
      </c>
      <c r="H765" s="13" t="str">
        <f>IF($K765="","",INDEX('Detalle individual'!$F:$F,$K765))</f>
        <v/>
      </c>
      <c r="I765" s="20" t="str">
        <f>IF($K765="","",IF(INDEX('Detalle individual'!$F:$F,$K765)="Completado",INDEX('Detalle individual'!$H:$H,$K765),""))</f>
        <v/>
      </c>
      <c r="J765" s="21" t="str">
        <f>IF($K765="","",IF(INDEX('Detalle individual'!$F:$F,$K765)="Completado",INDEX('Detalle individual'!$J:$J,$K765),""))</f>
        <v/>
      </c>
      <c r="K765" t="str">
        <f>IFERROR(MOD(SMALL(Cálculos!$Z$5:$Z$1000,757),10000),"")</f>
        <v/>
      </c>
    </row>
    <row r="766">
      <c r="B766" s="13" t="str">
        <f>IF($K766="","",758)</f>
        <v/>
      </c>
      <c r="C766" s="13" t="str">
        <f>IF($K766="","",INDEX('Detalle individual'!$A:$A,$K766))</f>
        <v/>
      </c>
      <c r="D766" s="72" t="str">
        <f>IF($K766="","",TRIM(INDEX('Detalle individual'!$B:$B,$K766)))</f>
        <v/>
      </c>
      <c r="E766" s="72" t="str">
        <f>IF($K766="","",TRIM(INDEX('Detalle individual'!$E:$E,$K766)))</f>
        <v/>
      </c>
      <c r="F766" s="72" t="str">
        <f>IF($K766="","",TRIM(INDEX('Detalle individual'!$C:$C,$K766)))</f>
        <v/>
      </c>
      <c r="G766" s="72" t="str">
        <f>IF($K766="","",INDEX('Detalle individual'!$D:$D,$K766))</f>
        <v/>
      </c>
      <c r="H766" s="13" t="str">
        <f>IF($K766="","",INDEX('Detalle individual'!$F:$F,$K766))</f>
        <v/>
      </c>
      <c r="I766" s="20" t="str">
        <f>IF($K766="","",IF(INDEX('Detalle individual'!$F:$F,$K766)="Completado",INDEX('Detalle individual'!$H:$H,$K766),""))</f>
        <v/>
      </c>
      <c r="J766" s="21" t="str">
        <f>IF($K766="","",IF(INDEX('Detalle individual'!$F:$F,$K766)="Completado",INDEX('Detalle individual'!$J:$J,$K766),""))</f>
        <v/>
      </c>
      <c r="K766" t="str">
        <f>IFERROR(MOD(SMALL(Cálculos!$Z$5:$Z$1000,758),10000),"")</f>
        <v/>
      </c>
    </row>
    <row r="767">
      <c r="B767" s="13" t="str">
        <f>IF($K767="","",759)</f>
        <v/>
      </c>
      <c r="C767" s="13" t="str">
        <f>IF($K767="","",INDEX('Detalle individual'!$A:$A,$K767))</f>
        <v/>
      </c>
      <c r="D767" s="72" t="str">
        <f>IF($K767="","",TRIM(INDEX('Detalle individual'!$B:$B,$K767)))</f>
        <v/>
      </c>
      <c r="E767" s="72" t="str">
        <f>IF($K767="","",TRIM(INDEX('Detalle individual'!$E:$E,$K767)))</f>
        <v/>
      </c>
      <c r="F767" s="72" t="str">
        <f>IF($K767="","",TRIM(INDEX('Detalle individual'!$C:$C,$K767)))</f>
        <v/>
      </c>
      <c r="G767" s="72" t="str">
        <f>IF($K767="","",INDEX('Detalle individual'!$D:$D,$K767))</f>
        <v/>
      </c>
      <c r="H767" s="13" t="str">
        <f>IF($K767="","",INDEX('Detalle individual'!$F:$F,$K767))</f>
        <v/>
      </c>
      <c r="I767" s="20" t="str">
        <f>IF($K767="","",IF(INDEX('Detalle individual'!$F:$F,$K767)="Completado",INDEX('Detalle individual'!$H:$H,$K767),""))</f>
        <v/>
      </c>
      <c r="J767" s="21" t="str">
        <f>IF($K767="","",IF(INDEX('Detalle individual'!$F:$F,$K767)="Completado",INDEX('Detalle individual'!$J:$J,$K767),""))</f>
        <v/>
      </c>
      <c r="K767" t="str">
        <f>IFERROR(MOD(SMALL(Cálculos!$Z$5:$Z$1000,759),10000),"")</f>
        <v/>
      </c>
    </row>
    <row r="768">
      <c r="B768" s="13" t="str">
        <f>IF($K768="","",760)</f>
        <v/>
      </c>
      <c r="C768" s="13" t="str">
        <f>IF($K768="","",INDEX('Detalle individual'!$A:$A,$K768))</f>
        <v/>
      </c>
      <c r="D768" s="72" t="str">
        <f>IF($K768="","",TRIM(INDEX('Detalle individual'!$B:$B,$K768)))</f>
        <v/>
      </c>
      <c r="E768" s="72" t="str">
        <f>IF($K768="","",TRIM(INDEX('Detalle individual'!$E:$E,$K768)))</f>
        <v/>
      </c>
      <c r="F768" s="72" t="str">
        <f>IF($K768="","",TRIM(INDEX('Detalle individual'!$C:$C,$K768)))</f>
        <v/>
      </c>
      <c r="G768" s="72" t="str">
        <f>IF($K768="","",INDEX('Detalle individual'!$D:$D,$K768))</f>
        <v/>
      </c>
      <c r="H768" s="13" t="str">
        <f>IF($K768="","",INDEX('Detalle individual'!$F:$F,$K768))</f>
        <v/>
      </c>
      <c r="I768" s="20" t="str">
        <f>IF($K768="","",IF(INDEX('Detalle individual'!$F:$F,$K768)="Completado",INDEX('Detalle individual'!$H:$H,$K768),""))</f>
        <v/>
      </c>
      <c r="J768" s="21" t="str">
        <f>IF($K768="","",IF(INDEX('Detalle individual'!$F:$F,$K768)="Completado",INDEX('Detalle individual'!$J:$J,$K768),""))</f>
        <v/>
      </c>
      <c r="K768" t="str">
        <f>IFERROR(MOD(SMALL(Cálculos!$Z$5:$Z$1000,760),10000),"")</f>
        <v/>
      </c>
    </row>
    <row r="769">
      <c r="B769" s="13" t="str">
        <f>IF($K769="","",761)</f>
        <v/>
      </c>
      <c r="C769" s="13" t="str">
        <f>IF($K769="","",INDEX('Detalle individual'!$A:$A,$K769))</f>
        <v/>
      </c>
      <c r="D769" s="72" t="str">
        <f>IF($K769="","",TRIM(INDEX('Detalle individual'!$B:$B,$K769)))</f>
        <v/>
      </c>
      <c r="E769" s="72" t="str">
        <f>IF($K769="","",TRIM(INDEX('Detalle individual'!$E:$E,$K769)))</f>
        <v/>
      </c>
      <c r="F769" s="72" t="str">
        <f>IF($K769="","",TRIM(INDEX('Detalle individual'!$C:$C,$K769)))</f>
        <v/>
      </c>
      <c r="G769" s="72" t="str">
        <f>IF($K769="","",INDEX('Detalle individual'!$D:$D,$K769))</f>
        <v/>
      </c>
      <c r="H769" s="13" t="str">
        <f>IF($K769="","",INDEX('Detalle individual'!$F:$F,$K769))</f>
        <v/>
      </c>
      <c r="I769" s="20" t="str">
        <f>IF($K769="","",IF(INDEX('Detalle individual'!$F:$F,$K769)="Completado",INDEX('Detalle individual'!$H:$H,$K769),""))</f>
        <v/>
      </c>
      <c r="J769" s="21" t="str">
        <f>IF($K769="","",IF(INDEX('Detalle individual'!$F:$F,$K769)="Completado",INDEX('Detalle individual'!$J:$J,$K769),""))</f>
        <v/>
      </c>
      <c r="K769" t="str">
        <f>IFERROR(MOD(SMALL(Cálculos!$Z$5:$Z$1000,761),10000),"")</f>
        <v/>
      </c>
    </row>
    <row r="770">
      <c r="B770" s="13" t="str">
        <f>IF($K770="","",762)</f>
        <v/>
      </c>
      <c r="C770" s="13" t="str">
        <f>IF($K770="","",INDEX('Detalle individual'!$A:$A,$K770))</f>
        <v/>
      </c>
      <c r="D770" s="72" t="str">
        <f>IF($K770="","",TRIM(INDEX('Detalle individual'!$B:$B,$K770)))</f>
        <v/>
      </c>
      <c r="E770" s="72" t="str">
        <f>IF($K770="","",TRIM(INDEX('Detalle individual'!$E:$E,$K770)))</f>
        <v/>
      </c>
      <c r="F770" s="72" t="str">
        <f>IF($K770="","",TRIM(INDEX('Detalle individual'!$C:$C,$K770)))</f>
        <v/>
      </c>
      <c r="G770" s="72" t="str">
        <f>IF($K770="","",INDEX('Detalle individual'!$D:$D,$K770))</f>
        <v/>
      </c>
      <c r="H770" s="13" t="str">
        <f>IF($K770="","",INDEX('Detalle individual'!$F:$F,$K770))</f>
        <v/>
      </c>
      <c r="I770" s="20" t="str">
        <f>IF($K770="","",IF(INDEX('Detalle individual'!$F:$F,$K770)="Completado",INDEX('Detalle individual'!$H:$H,$K770),""))</f>
        <v/>
      </c>
      <c r="J770" s="21" t="str">
        <f>IF($K770="","",IF(INDEX('Detalle individual'!$F:$F,$K770)="Completado",INDEX('Detalle individual'!$J:$J,$K770),""))</f>
        <v/>
      </c>
      <c r="K770" t="str">
        <f>IFERROR(MOD(SMALL(Cálculos!$Z$5:$Z$1000,762),10000),"")</f>
        <v/>
      </c>
    </row>
    <row r="771">
      <c r="B771" s="13" t="str">
        <f>IF($K771="","",763)</f>
        <v/>
      </c>
      <c r="C771" s="13" t="str">
        <f>IF($K771="","",INDEX('Detalle individual'!$A:$A,$K771))</f>
        <v/>
      </c>
      <c r="D771" s="72" t="str">
        <f>IF($K771="","",TRIM(INDEX('Detalle individual'!$B:$B,$K771)))</f>
        <v/>
      </c>
      <c r="E771" s="72" t="str">
        <f>IF($K771="","",TRIM(INDEX('Detalle individual'!$E:$E,$K771)))</f>
        <v/>
      </c>
      <c r="F771" s="72" t="str">
        <f>IF($K771="","",TRIM(INDEX('Detalle individual'!$C:$C,$K771)))</f>
        <v/>
      </c>
      <c r="G771" s="72" t="str">
        <f>IF($K771="","",INDEX('Detalle individual'!$D:$D,$K771))</f>
        <v/>
      </c>
      <c r="H771" s="13" t="str">
        <f>IF($K771="","",INDEX('Detalle individual'!$F:$F,$K771))</f>
        <v/>
      </c>
      <c r="I771" s="20" t="str">
        <f>IF($K771="","",IF(INDEX('Detalle individual'!$F:$F,$K771)="Completado",INDEX('Detalle individual'!$H:$H,$K771),""))</f>
        <v/>
      </c>
      <c r="J771" s="21" t="str">
        <f>IF($K771="","",IF(INDEX('Detalle individual'!$F:$F,$K771)="Completado",INDEX('Detalle individual'!$J:$J,$K771),""))</f>
        <v/>
      </c>
      <c r="K771" t="str">
        <f>IFERROR(MOD(SMALL(Cálculos!$Z$5:$Z$1000,763),10000),"")</f>
        <v/>
      </c>
    </row>
    <row r="772">
      <c r="B772" s="13" t="str">
        <f>IF($K772="","",764)</f>
        <v/>
      </c>
      <c r="C772" s="13" t="str">
        <f>IF($K772="","",INDEX('Detalle individual'!$A:$A,$K772))</f>
        <v/>
      </c>
      <c r="D772" s="72" t="str">
        <f>IF($K772="","",TRIM(INDEX('Detalle individual'!$B:$B,$K772)))</f>
        <v/>
      </c>
      <c r="E772" s="72" t="str">
        <f>IF($K772="","",TRIM(INDEX('Detalle individual'!$E:$E,$K772)))</f>
        <v/>
      </c>
      <c r="F772" s="72" t="str">
        <f>IF($K772="","",TRIM(INDEX('Detalle individual'!$C:$C,$K772)))</f>
        <v/>
      </c>
      <c r="G772" s="72" t="str">
        <f>IF($K772="","",INDEX('Detalle individual'!$D:$D,$K772))</f>
        <v/>
      </c>
      <c r="H772" s="13" t="str">
        <f>IF($K772="","",INDEX('Detalle individual'!$F:$F,$K772))</f>
        <v/>
      </c>
      <c r="I772" s="20" t="str">
        <f>IF($K772="","",IF(INDEX('Detalle individual'!$F:$F,$K772)="Completado",INDEX('Detalle individual'!$H:$H,$K772),""))</f>
        <v/>
      </c>
      <c r="J772" s="21" t="str">
        <f>IF($K772="","",IF(INDEX('Detalle individual'!$F:$F,$K772)="Completado",INDEX('Detalle individual'!$J:$J,$K772),""))</f>
        <v/>
      </c>
      <c r="K772" t="str">
        <f>IFERROR(MOD(SMALL(Cálculos!$Z$5:$Z$1000,764),10000),"")</f>
        <v/>
      </c>
    </row>
    <row r="773">
      <c r="B773" s="13" t="str">
        <f>IF($K773="","",765)</f>
        <v/>
      </c>
      <c r="C773" s="13" t="str">
        <f>IF($K773="","",INDEX('Detalle individual'!$A:$A,$K773))</f>
        <v/>
      </c>
      <c r="D773" s="72" t="str">
        <f>IF($K773="","",TRIM(INDEX('Detalle individual'!$B:$B,$K773)))</f>
        <v/>
      </c>
      <c r="E773" s="72" t="str">
        <f>IF($K773="","",TRIM(INDEX('Detalle individual'!$E:$E,$K773)))</f>
        <v/>
      </c>
      <c r="F773" s="72" t="str">
        <f>IF($K773="","",TRIM(INDEX('Detalle individual'!$C:$C,$K773)))</f>
        <v/>
      </c>
      <c r="G773" s="72" t="str">
        <f>IF($K773="","",INDEX('Detalle individual'!$D:$D,$K773))</f>
        <v/>
      </c>
      <c r="H773" s="13" t="str">
        <f>IF($K773="","",INDEX('Detalle individual'!$F:$F,$K773))</f>
        <v/>
      </c>
      <c r="I773" s="20" t="str">
        <f>IF($K773="","",IF(INDEX('Detalle individual'!$F:$F,$K773)="Completado",INDEX('Detalle individual'!$H:$H,$K773),""))</f>
        <v/>
      </c>
      <c r="J773" s="21" t="str">
        <f>IF($K773="","",IF(INDEX('Detalle individual'!$F:$F,$K773)="Completado",INDEX('Detalle individual'!$J:$J,$K773),""))</f>
        <v/>
      </c>
      <c r="K773" t="str">
        <f>IFERROR(MOD(SMALL(Cálculos!$Z$5:$Z$1000,765),10000),"")</f>
        <v/>
      </c>
    </row>
    <row r="774">
      <c r="B774" s="13" t="str">
        <f>IF($K774="","",766)</f>
        <v/>
      </c>
      <c r="C774" s="13" t="str">
        <f>IF($K774="","",INDEX('Detalle individual'!$A:$A,$K774))</f>
        <v/>
      </c>
      <c r="D774" s="72" t="str">
        <f>IF($K774="","",TRIM(INDEX('Detalle individual'!$B:$B,$K774)))</f>
        <v/>
      </c>
      <c r="E774" s="72" t="str">
        <f>IF($K774="","",TRIM(INDEX('Detalle individual'!$E:$E,$K774)))</f>
        <v/>
      </c>
      <c r="F774" s="72" t="str">
        <f>IF($K774="","",TRIM(INDEX('Detalle individual'!$C:$C,$K774)))</f>
        <v/>
      </c>
      <c r="G774" s="72" t="str">
        <f>IF($K774="","",INDEX('Detalle individual'!$D:$D,$K774))</f>
        <v/>
      </c>
      <c r="H774" s="13" t="str">
        <f>IF($K774="","",INDEX('Detalle individual'!$F:$F,$K774))</f>
        <v/>
      </c>
      <c r="I774" s="20" t="str">
        <f>IF($K774="","",IF(INDEX('Detalle individual'!$F:$F,$K774)="Completado",INDEX('Detalle individual'!$H:$H,$K774),""))</f>
        <v/>
      </c>
      <c r="J774" s="21" t="str">
        <f>IF($K774="","",IF(INDEX('Detalle individual'!$F:$F,$K774)="Completado",INDEX('Detalle individual'!$J:$J,$K774),""))</f>
        <v/>
      </c>
      <c r="K774" t="str">
        <f>IFERROR(MOD(SMALL(Cálculos!$Z$5:$Z$1000,766),10000),"")</f>
        <v/>
      </c>
    </row>
    <row r="775">
      <c r="B775" s="13" t="str">
        <f>IF($K775="","",767)</f>
        <v/>
      </c>
      <c r="C775" s="13" t="str">
        <f>IF($K775="","",INDEX('Detalle individual'!$A:$A,$K775))</f>
        <v/>
      </c>
      <c r="D775" s="72" t="str">
        <f>IF($K775="","",TRIM(INDEX('Detalle individual'!$B:$B,$K775)))</f>
        <v/>
      </c>
      <c r="E775" s="72" t="str">
        <f>IF($K775="","",TRIM(INDEX('Detalle individual'!$E:$E,$K775)))</f>
        <v/>
      </c>
      <c r="F775" s="72" t="str">
        <f>IF($K775="","",TRIM(INDEX('Detalle individual'!$C:$C,$K775)))</f>
        <v/>
      </c>
      <c r="G775" s="72" t="str">
        <f>IF($K775="","",INDEX('Detalle individual'!$D:$D,$K775))</f>
        <v/>
      </c>
      <c r="H775" s="13" t="str">
        <f>IF($K775="","",INDEX('Detalle individual'!$F:$F,$K775))</f>
        <v/>
      </c>
      <c r="I775" s="20" t="str">
        <f>IF($K775="","",IF(INDEX('Detalle individual'!$F:$F,$K775)="Completado",INDEX('Detalle individual'!$H:$H,$K775),""))</f>
        <v/>
      </c>
      <c r="J775" s="21" t="str">
        <f>IF($K775="","",IF(INDEX('Detalle individual'!$F:$F,$K775)="Completado",INDEX('Detalle individual'!$J:$J,$K775),""))</f>
        <v/>
      </c>
      <c r="K775" t="str">
        <f>IFERROR(MOD(SMALL(Cálculos!$Z$5:$Z$1000,767),10000),"")</f>
        <v/>
      </c>
    </row>
    <row r="776">
      <c r="B776" s="13" t="str">
        <f>IF($K776="","",768)</f>
        <v/>
      </c>
      <c r="C776" s="13" t="str">
        <f>IF($K776="","",INDEX('Detalle individual'!$A:$A,$K776))</f>
        <v/>
      </c>
      <c r="D776" s="72" t="str">
        <f>IF($K776="","",TRIM(INDEX('Detalle individual'!$B:$B,$K776)))</f>
        <v/>
      </c>
      <c r="E776" s="72" t="str">
        <f>IF($K776="","",TRIM(INDEX('Detalle individual'!$E:$E,$K776)))</f>
        <v/>
      </c>
      <c r="F776" s="72" t="str">
        <f>IF($K776="","",TRIM(INDEX('Detalle individual'!$C:$C,$K776)))</f>
        <v/>
      </c>
      <c r="G776" s="72" t="str">
        <f>IF($K776="","",INDEX('Detalle individual'!$D:$D,$K776))</f>
        <v/>
      </c>
      <c r="H776" s="13" t="str">
        <f>IF($K776="","",INDEX('Detalle individual'!$F:$F,$K776))</f>
        <v/>
      </c>
      <c r="I776" s="20" t="str">
        <f>IF($K776="","",IF(INDEX('Detalle individual'!$F:$F,$K776)="Completado",INDEX('Detalle individual'!$H:$H,$K776),""))</f>
        <v/>
      </c>
      <c r="J776" s="21" t="str">
        <f>IF($K776="","",IF(INDEX('Detalle individual'!$F:$F,$K776)="Completado",INDEX('Detalle individual'!$J:$J,$K776),""))</f>
        <v/>
      </c>
      <c r="K776" t="str">
        <f>IFERROR(MOD(SMALL(Cálculos!$Z$5:$Z$1000,768),10000),"")</f>
        <v/>
      </c>
    </row>
    <row r="777">
      <c r="B777" s="13" t="str">
        <f>IF($K777="","",769)</f>
        <v/>
      </c>
      <c r="C777" s="13" t="str">
        <f>IF($K777="","",INDEX('Detalle individual'!$A:$A,$K777))</f>
        <v/>
      </c>
      <c r="D777" s="72" t="str">
        <f>IF($K777="","",TRIM(INDEX('Detalle individual'!$B:$B,$K777)))</f>
        <v/>
      </c>
      <c r="E777" s="72" t="str">
        <f>IF($K777="","",TRIM(INDEX('Detalle individual'!$E:$E,$K777)))</f>
        <v/>
      </c>
      <c r="F777" s="72" t="str">
        <f>IF($K777="","",TRIM(INDEX('Detalle individual'!$C:$C,$K777)))</f>
        <v/>
      </c>
      <c r="G777" s="72" t="str">
        <f>IF($K777="","",INDEX('Detalle individual'!$D:$D,$K777))</f>
        <v/>
      </c>
      <c r="H777" s="13" t="str">
        <f>IF($K777="","",INDEX('Detalle individual'!$F:$F,$K777))</f>
        <v/>
      </c>
      <c r="I777" s="20" t="str">
        <f>IF($K777="","",IF(INDEX('Detalle individual'!$F:$F,$K777)="Completado",INDEX('Detalle individual'!$H:$H,$K777),""))</f>
        <v/>
      </c>
      <c r="J777" s="21" t="str">
        <f>IF($K777="","",IF(INDEX('Detalle individual'!$F:$F,$K777)="Completado",INDEX('Detalle individual'!$J:$J,$K777),""))</f>
        <v/>
      </c>
      <c r="K777" t="str">
        <f>IFERROR(MOD(SMALL(Cálculos!$Z$5:$Z$1000,769),10000),"")</f>
        <v/>
      </c>
    </row>
    <row r="778">
      <c r="B778" s="13" t="str">
        <f>IF($K778="","",770)</f>
        <v/>
      </c>
      <c r="C778" s="13" t="str">
        <f>IF($K778="","",INDEX('Detalle individual'!$A:$A,$K778))</f>
        <v/>
      </c>
      <c r="D778" s="72" t="str">
        <f>IF($K778="","",TRIM(INDEX('Detalle individual'!$B:$B,$K778)))</f>
        <v/>
      </c>
      <c r="E778" s="72" t="str">
        <f>IF($K778="","",TRIM(INDEX('Detalle individual'!$E:$E,$K778)))</f>
        <v/>
      </c>
      <c r="F778" s="72" t="str">
        <f>IF($K778="","",TRIM(INDEX('Detalle individual'!$C:$C,$K778)))</f>
        <v/>
      </c>
      <c r="G778" s="72" t="str">
        <f>IF($K778="","",INDEX('Detalle individual'!$D:$D,$K778))</f>
        <v/>
      </c>
      <c r="H778" s="13" t="str">
        <f>IF($K778="","",INDEX('Detalle individual'!$F:$F,$K778))</f>
        <v/>
      </c>
      <c r="I778" s="20" t="str">
        <f>IF($K778="","",IF(INDEX('Detalle individual'!$F:$F,$K778)="Completado",INDEX('Detalle individual'!$H:$H,$K778),""))</f>
        <v/>
      </c>
      <c r="J778" s="21" t="str">
        <f>IF($K778="","",IF(INDEX('Detalle individual'!$F:$F,$K778)="Completado",INDEX('Detalle individual'!$J:$J,$K778),""))</f>
        <v/>
      </c>
      <c r="K778" t="str">
        <f>IFERROR(MOD(SMALL(Cálculos!$Z$5:$Z$1000,770),10000),"")</f>
        <v/>
      </c>
    </row>
    <row r="779">
      <c r="B779" s="13" t="str">
        <f>IF($K779="","",771)</f>
        <v/>
      </c>
      <c r="C779" s="13" t="str">
        <f>IF($K779="","",INDEX('Detalle individual'!$A:$A,$K779))</f>
        <v/>
      </c>
      <c r="D779" s="72" t="str">
        <f>IF($K779="","",TRIM(INDEX('Detalle individual'!$B:$B,$K779)))</f>
        <v/>
      </c>
      <c r="E779" s="72" t="str">
        <f>IF($K779="","",TRIM(INDEX('Detalle individual'!$E:$E,$K779)))</f>
        <v/>
      </c>
      <c r="F779" s="72" t="str">
        <f>IF($K779="","",TRIM(INDEX('Detalle individual'!$C:$C,$K779)))</f>
        <v/>
      </c>
      <c r="G779" s="72" t="str">
        <f>IF($K779="","",INDEX('Detalle individual'!$D:$D,$K779))</f>
        <v/>
      </c>
      <c r="H779" s="13" t="str">
        <f>IF($K779="","",INDEX('Detalle individual'!$F:$F,$K779))</f>
        <v/>
      </c>
      <c r="I779" s="20" t="str">
        <f>IF($K779="","",IF(INDEX('Detalle individual'!$F:$F,$K779)="Completado",INDEX('Detalle individual'!$H:$H,$K779),""))</f>
        <v/>
      </c>
      <c r="J779" s="21" t="str">
        <f>IF($K779="","",IF(INDEX('Detalle individual'!$F:$F,$K779)="Completado",INDEX('Detalle individual'!$J:$J,$K779),""))</f>
        <v/>
      </c>
      <c r="K779" t="str">
        <f>IFERROR(MOD(SMALL(Cálculos!$Z$5:$Z$1000,771),10000),"")</f>
        <v/>
      </c>
    </row>
    <row r="780">
      <c r="B780" s="13" t="str">
        <f>IF($K780="","",772)</f>
        <v/>
      </c>
      <c r="C780" s="13" t="str">
        <f>IF($K780="","",INDEX('Detalle individual'!$A:$A,$K780))</f>
        <v/>
      </c>
      <c r="D780" s="72" t="str">
        <f>IF($K780="","",TRIM(INDEX('Detalle individual'!$B:$B,$K780)))</f>
        <v/>
      </c>
      <c r="E780" s="72" t="str">
        <f>IF($K780="","",TRIM(INDEX('Detalle individual'!$E:$E,$K780)))</f>
        <v/>
      </c>
      <c r="F780" s="72" t="str">
        <f>IF($K780="","",TRIM(INDEX('Detalle individual'!$C:$C,$K780)))</f>
        <v/>
      </c>
      <c r="G780" s="72" t="str">
        <f>IF($K780="","",INDEX('Detalle individual'!$D:$D,$K780))</f>
        <v/>
      </c>
      <c r="H780" s="13" t="str">
        <f>IF($K780="","",INDEX('Detalle individual'!$F:$F,$K780))</f>
        <v/>
      </c>
      <c r="I780" s="20" t="str">
        <f>IF($K780="","",IF(INDEX('Detalle individual'!$F:$F,$K780)="Completado",INDEX('Detalle individual'!$H:$H,$K780),""))</f>
        <v/>
      </c>
      <c r="J780" s="21" t="str">
        <f>IF($K780="","",IF(INDEX('Detalle individual'!$F:$F,$K780)="Completado",INDEX('Detalle individual'!$J:$J,$K780),""))</f>
        <v/>
      </c>
      <c r="K780" t="str">
        <f>IFERROR(MOD(SMALL(Cálculos!$Z$5:$Z$1000,772),10000),"")</f>
        <v/>
      </c>
    </row>
    <row r="781">
      <c r="B781" s="13" t="str">
        <f>IF($K781="","",773)</f>
        <v/>
      </c>
      <c r="C781" s="13" t="str">
        <f>IF($K781="","",INDEX('Detalle individual'!$A:$A,$K781))</f>
        <v/>
      </c>
      <c r="D781" s="72" t="str">
        <f>IF($K781="","",TRIM(INDEX('Detalle individual'!$B:$B,$K781)))</f>
        <v/>
      </c>
      <c r="E781" s="72" t="str">
        <f>IF($K781="","",TRIM(INDEX('Detalle individual'!$E:$E,$K781)))</f>
        <v/>
      </c>
      <c r="F781" s="72" t="str">
        <f>IF($K781="","",TRIM(INDEX('Detalle individual'!$C:$C,$K781)))</f>
        <v/>
      </c>
      <c r="G781" s="72" t="str">
        <f>IF($K781="","",INDEX('Detalle individual'!$D:$D,$K781))</f>
        <v/>
      </c>
      <c r="H781" s="13" t="str">
        <f>IF($K781="","",INDEX('Detalle individual'!$F:$F,$K781))</f>
        <v/>
      </c>
      <c r="I781" s="20" t="str">
        <f>IF($K781="","",IF(INDEX('Detalle individual'!$F:$F,$K781)="Completado",INDEX('Detalle individual'!$H:$H,$K781),""))</f>
        <v/>
      </c>
      <c r="J781" s="21" t="str">
        <f>IF($K781="","",IF(INDEX('Detalle individual'!$F:$F,$K781)="Completado",INDEX('Detalle individual'!$J:$J,$K781),""))</f>
        <v/>
      </c>
      <c r="K781" t="str">
        <f>IFERROR(MOD(SMALL(Cálculos!$Z$5:$Z$1000,773),10000),"")</f>
        <v/>
      </c>
    </row>
    <row r="782">
      <c r="B782" s="13" t="str">
        <f>IF($K782="","",774)</f>
        <v/>
      </c>
      <c r="C782" s="13" t="str">
        <f>IF($K782="","",INDEX('Detalle individual'!$A:$A,$K782))</f>
        <v/>
      </c>
      <c r="D782" s="72" t="str">
        <f>IF($K782="","",TRIM(INDEX('Detalle individual'!$B:$B,$K782)))</f>
        <v/>
      </c>
      <c r="E782" s="72" t="str">
        <f>IF($K782="","",TRIM(INDEX('Detalle individual'!$E:$E,$K782)))</f>
        <v/>
      </c>
      <c r="F782" s="72" t="str">
        <f>IF($K782="","",TRIM(INDEX('Detalle individual'!$C:$C,$K782)))</f>
        <v/>
      </c>
      <c r="G782" s="72" t="str">
        <f>IF($K782="","",INDEX('Detalle individual'!$D:$D,$K782))</f>
        <v/>
      </c>
      <c r="H782" s="13" t="str">
        <f>IF($K782="","",INDEX('Detalle individual'!$F:$F,$K782))</f>
        <v/>
      </c>
      <c r="I782" s="20" t="str">
        <f>IF($K782="","",IF(INDEX('Detalle individual'!$F:$F,$K782)="Completado",INDEX('Detalle individual'!$H:$H,$K782),""))</f>
        <v/>
      </c>
      <c r="J782" s="21" t="str">
        <f>IF($K782="","",IF(INDEX('Detalle individual'!$F:$F,$K782)="Completado",INDEX('Detalle individual'!$J:$J,$K782),""))</f>
        <v/>
      </c>
      <c r="K782" t="str">
        <f>IFERROR(MOD(SMALL(Cálculos!$Z$5:$Z$1000,774),10000),"")</f>
        <v/>
      </c>
    </row>
    <row r="783">
      <c r="B783" s="13" t="str">
        <f>IF($K783="","",775)</f>
        <v/>
      </c>
      <c r="C783" s="13" t="str">
        <f>IF($K783="","",INDEX('Detalle individual'!$A:$A,$K783))</f>
        <v/>
      </c>
      <c r="D783" s="72" t="str">
        <f>IF($K783="","",TRIM(INDEX('Detalle individual'!$B:$B,$K783)))</f>
        <v/>
      </c>
      <c r="E783" s="72" t="str">
        <f>IF($K783="","",TRIM(INDEX('Detalle individual'!$E:$E,$K783)))</f>
        <v/>
      </c>
      <c r="F783" s="72" t="str">
        <f>IF($K783="","",TRIM(INDEX('Detalle individual'!$C:$C,$K783)))</f>
        <v/>
      </c>
      <c r="G783" s="72" t="str">
        <f>IF($K783="","",INDEX('Detalle individual'!$D:$D,$K783))</f>
        <v/>
      </c>
      <c r="H783" s="13" t="str">
        <f>IF($K783="","",INDEX('Detalle individual'!$F:$F,$K783))</f>
        <v/>
      </c>
      <c r="I783" s="20" t="str">
        <f>IF($K783="","",IF(INDEX('Detalle individual'!$F:$F,$K783)="Completado",INDEX('Detalle individual'!$H:$H,$K783),""))</f>
        <v/>
      </c>
      <c r="J783" s="21" t="str">
        <f>IF($K783="","",IF(INDEX('Detalle individual'!$F:$F,$K783)="Completado",INDEX('Detalle individual'!$J:$J,$K783),""))</f>
        <v/>
      </c>
      <c r="K783" t="str">
        <f>IFERROR(MOD(SMALL(Cálculos!$Z$5:$Z$1000,775),10000),"")</f>
        <v/>
      </c>
    </row>
    <row r="784">
      <c r="B784" s="13" t="str">
        <f>IF($K784="","",776)</f>
        <v/>
      </c>
      <c r="C784" s="13" t="str">
        <f>IF($K784="","",INDEX('Detalle individual'!$A:$A,$K784))</f>
        <v/>
      </c>
      <c r="D784" s="72" t="str">
        <f>IF($K784="","",TRIM(INDEX('Detalle individual'!$B:$B,$K784)))</f>
        <v/>
      </c>
      <c r="E784" s="72" t="str">
        <f>IF($K784="","",TRIM(INDEX('Detalle individual'!$E:$E,$K784)))</f>
        <v/>
      </c>
      <c r="F784" s="72" t="str">
        <f>IF($K784="","",TRIM(INDEX('Detalle individual'!$C:$C,$K784)))</f>
        <v/>
      </c>
      <c r="G784" s="72" t="str">
        <f>IF($K784="","",INDEX('Detalle individual'!$D:$D,$K784))</f>
        <v/>
      </c>
      <c r="H784" s="13" t="str">
        <f>IF($K784="","",INDEX('Detalle individual'!$F:$F,$K784))</f>
        <v/>
      </c>
      <c r="I784" s="20" t="str">
        <f>IF($K784="","",IF(INDEX('Detalle individual'!$F:$F,$K784)="Completado",INDEX('Detalle individual'!$H:$H,$K784),""))</f>
        <v/>
      </c>
      <c r="J784" s="21" t="str">
        <f>IF($K784="","",IF(INDEX('Detalle individual'!$F:$F,$K784)="Completado",INDEX('Detalle individual'!$J:$J,$K784),""))</f>
        <v/>
      </c>
      <c r="K784" t="str">
        <f>IFERROR(MOD(SMALL(Cálculos!$Z$5:$Z$1000,776),10000),"")</f>
        <v/>
      </c>
    </row>
    <row r="785">
      <c r="B785" s="13" t="str">
        <f>IF($K785="","",777)</f>
        <v/>
      </c>
      <c r="C785" s="13" t="str">
        <f>IF($K785="","",INDEX('Detalle individual'!$A:$A,$K785))</f>
        <v/>
      </c>
      <c r="D785" s="72" t="str">
        <f>IF($K785="","",TRIM(INDEX('Detalle individual'!$B:$B,$K785)))</f>
        <v/>
      </c>
      <c r="E785" s="72" t="str">
        <f>IF($K785="","",TRIM(INDEX('Detalle individual'!$E:$E,$K785)))</f>
        <v/>
      </c>
      <c r="F785" s="72" t="str">
        <f>IF($K785="","",TRIM(INDEX('Detalle individual'!$C:$C,$K785)))</f>
        <v/>
      </c>
      <c r="G785" s="72" t="str">
        <f>IF($K785="","",INDEX('Detalle individual'!$D:$D,$K785))</f>
        <v/>
      </c>
      <c r="H785" s="13" t="str">
        <f>IF($K785="","",INDEX('Detalle individual'!$F:$F,$K785))</f>
        <v/>
      </c>
      <c r="I785" s="20" t="str">
        <f>IF($K785="","",IF(INDEX('Detalle individual'!$F:$F,$K785)="Completado",INDEX('Detalle individual'!$H:$H,$K785),""))</f>
        <v/>
      </c>
      <c r="J785" s="21" t="str">
        <f>IF($K785="","",IF(INDEX('Detalle individual'!$F:$F,$K785)="Completado",INDEX('Detalle individual'!$J:$J,$K785),""))</f>
        <v/>
      </c>
      <c r="K785" t="str">
        <f>IFERROR(MOD(SMALL(Cálculos!$Z$5:$Z$1000,777),10000),"")</f>
        <v/>
      </c>
    </row>
    <row r="786">
      <c r="B786" s="13" t="str">
        <f>IF($K786="","",778)</f>
        <v/>
      </c>
      <c r="C786" s="13" t="str">
        <f>IF($K786="","",INDEX('Detalle individual'!$A:$A,$K786))</f>
        <v/>
      </c>
      <c r="D786" s="72" t="str">
        <f>IF($K786="","",TRIM(INDEX('Detalle individual'!$B:$B,$K786)))</f>
        <v/>
      </c>
      <c r="E786" s="72" t="str">
        <f>IF($K786="","",TRIM(INDEX('Detalle individual'!$E:$E,$K786)))</f>
        <v/>
      </c>
      <c r="F786" s="72" t="str">
        <f>IF($K786="","",TRIM(INDEX('Detalle individual'!$C:$C,$K786)))</f>
        <v/>
      </c>
      <c r="G786" s="72" t="str">
        <f>IF($K786="","",INDEX('Detalle individual'!$D:$D,$K786))</f>
        <v/>
      </c>
      <c r="H786" s="13" t="str">
        <f>IF($K786="","",INDEX('Detalle individual'!$F:$F,$K786))</f>
        <v/>
      </c>
      <c r="I786" s="20" t="str">
        <f>IF($K786="","",IF(INDEX('Detalle individual'!$F:$F,$K786)="Completado",INDEX('Detalle individual'!$H:$H,$K786),""))</f>
        <v/>
      </c>
      <c r="J786" s="21" t="str">
        <f>IF($K786="","",IF(INDEX('Detalle individual'!$F:$F,$K786)="Completado",INDEX('Detalle individual'!$J:$J,$K786),""))</f>
        <v/>
      </c>
      <c r="K786" t="str">
        <f>IFERROR(MOD(SMALL(Cálculos!$Z$5:$Z$1000,778),10000),"")</f>
        <v/>
      </c>
    </row>
    <row r="787">
      <c r="B787" s="13" t="str">
        <f>IF($K787="","",779)</f>
        <v/>
      </c>
      <c r="C787" s="13" t="str">
        <f>IF($K787="","",INDEX('Detalle individual'!$A:$A,$K787))</f>
        <v/>
      </c>
      <c r="D787" s="72" t="str">
        <f>IF($K787="","",TRIM(INDEX('Detalle individual'!$B:$B,$K787)))</f>
        <v/>
      </c>
      <c r="E787" s="72" t="str">
        <f>IF($K787="","",TRIM(INDEX('Detalle individual'!$E:$E,$K787)))</f>
        <v/>
      </c>
      <c r="F787" s="72" t="str">
        <f>IF($K787="","",TRIM(INDEX('Detalle individual'!$C:$C,$K787)))</f>
        <v/>
      </c>
      <c r="G787" s="72" t="str">
        <f>IF($K787="","",INDEX('Detalle individual'!$D:$D,$K787))</f>
        <v/>
      </c>
      <c r="H787" s="13" t="str">
        <f>IF($K787="","",INDEX('Detalle individual'!$F:$F,$K787))</f>
        <v/>
      </c>
      <c r="I787" s="20" t="str">
        <f>IF($K787="","",IF(INDEX('Detalle individual'!$F:$F,$K787)="Completado",INDEX('Detalle individual'!$H:$H,$K787),""))</f>
        <v/>
      </c>
      <c r="J787" s="21" t="str">
        <f>IF($K787="","",IF(INDEX('Detalle individual'!$F:$F,$K787)="Completado",INDEX('Detalle individual'!$J:$J,$K787),""))</f>
        <v/>
      </c>
      <c r="K787" t="str">
        <f>IFERROR(MOD(SMALL(Cálculos!$Z$5:$Z$1000,779),10000),"")</f>
        <v/>
      </c>
    </row>
    <row r="788">
      <c r="B788" s="13" t="str">
        <f>IF($K788="","",780)</f>
        <v/>
      </c>
      <c r="C788" s="13" t="str">
        <f>IF($K788="","",INDEX('Detalle individual'!$A:$A,$K788))</f>
        <v/>
      </c>
      <c r="D788" s="72" t="str">
        <f>IF($K788="","",TRIM(INDEX('Detalle individual'!$B:$B,$K788)))</f>
        <v/>
      </c>
      <c r="E788" s="72" t="str">
        <f>IF($K788="","",TRIM(INDEX('Detalle individual'!$E:$E,$K788)))</f>
        <v/>
      </c>
      <c r="F788" s="72" t="str">
        <f>IF($K788="","",TRIM(INDEX('Detalle individual'!$C:$C,$K788)))</f>
        <v/>
      </c>
      <c r="G788" s="72" t="str">
        <f>IF($K788="","",INDEX('Detalle individual'!$D:$D,$K788))</f>
        <v/>
      </c>
      <c r="H788" s="13" t="str">
        <f>IF($K788="","",INDEX('Detalle individual'!$F:$F,$K788))</f>
        <v/>
      </c>
      <c r="I788" s="20" t="str">
        <f>IF($K788="","",IF(INDEX('Detalle individual'!$F:$F,$K788)="Completado",INDEX('Detalle individual'!$H:$H,$K788),""))</f>
        <v/>
      </c>
      <c r="J788" s="21" t="str">
        <f>IF($K788="","",IF(INDEX('Detalle individual'!$F:$F,$K788)="Completado",INDEX('Detalle individual'!$J:$J,$K788),""))</f>
        <v/>
      </c>
      <c r="K788" t="str">
        <f>IFERROR(MOD(SMALL(Cálculos!$Z$5:$Z$1000,780),10000),"")</f>
        <v/>
      </c>
    </row>
    <row r="789">
      <c r="B789" s="13" t="str">
        <f>IF($K789="","",781)</f>
        <v/>
      </c>
      <c r="C789" s="13" t="str">
        <f>IF($K789="","",INDEX('Detalle individual'!$A:$A,$K789))</f>
        <v/>
      </c>
      <c r="D789" s="72" t="str">
        <f>IF($K789="","",TRIM(INDEX('Detalle individual'!$B:$B,$K789)))</f>
        <v/>
      </c>
      <c r="E789" s="72" t="str">
        <f>IF($K789="","",TRIM(INDEX('Detalle individual'!$E:$E,$K789)))</f>
        <v/>
      </c>
      <c r="F789" s="72" t="str">
        <f>IF($K789="","",TRIM(INDEX('Detalle individual'!$C:$C,$K789)))</f>
        <v/>
      </c>
      <c r="G789" s="72" t="str">
        <f>IF($K789="","",INDEX('Detalle individual'!$D:$D,$K789))</f>
        <v/>
      </c>
      <c r="H789" s="13" t="str">
        <f>IF($K789="","",INDEX('Detalle individual'!$F:$F,$K789))</f>
        <v/>
      </c>
      <c r="I789" s="20" t="str">
        <f>IF($K789="","",IF(INDEX('Detalle individual'!$F:$F,$K789)="Completado",INDEX('Detalle individual'!$H:$H,$K789),""))</f>
        <v/>
      </c>
      <c r="J789" s="21" t="str">
        <f>IF($K789="","",IF(INDEX('Detalle individual'!$F:$F,$K789)="Completado",INDEX('Detalle individual'!$J:$J,$K789),""))</f>
        <v/>
      </c>
      <c r="K789" t="str">
        <f>IFERROR(MOD(SMALL(Cálculos!$Z$5:$Z$1000,781),10000),"")</f>
        <v/>
      </c>
    </row>
    <row r="790">
      <c r="B790" s="13" t="str">
        <f>IF($K790="","",782)</f>
        <v/>
      </c>
      <c r="C790" s="13" t="str">
        <f>IF($K790="","",INDEX('Detalle individual'!$A:$A,$K790))</f>
        <v/>
      </c>
      <c r="D790" s="72" t="str">
        <f>IF($K790="","",TRIM(INDEX('Detalle individual'!$B:$B,$K790)))</f>
        <v/>
      </c>
      <c r="E790" s="72" t="str">
        <f>IF($K790="","",TRIM(INDEX('Detalle individual'!$E:$E,$K790)))</f>
        <v/>
      </c>
      <c r="F790" s="72" t="str">
        <f>IF($K790="","",TRIM(INDEX('Detalle individual'!$C:$C,$K790)))</f>
        <v/>
      </c>
      <c r="G790" s="72" t="str">
        <f>IF($K790="","",INDEX('Detalle individual'!$D:$D,$K790))</f>
        <v/>
      </c>
      <c r="H790" s="13" t="str">
        <f>IF($K790="","",INDEX('Detalle individual'!$F:$F,$K790))</f>
        <v/>
      </c>
      <c r="I790" s="20" t="str">
        <f>IF($K790="","",IF(INDEX('Detalle individual'!$F:$F,$K790)="Completado",INDEX('Detalle individual'!$H:$H,$K790),""))</f>
        <v/>
      </c>
      <c r="J790" s="21" t="str">
        <f>IF($K790="","",IF(INDEX('Detalle individual'!$F:$F,$K790)="Completado",INDEX('Detalle individual'!$J:$J,$K790),""))</f>
        <v/>
      </c>
      <c r="K790" t="str">
        <f>IFERROR(MOD(SMALL(Cálculos!$Z$5:$Z$1000,782),10000),"")</f>
        <v/>
      </c>
    </row>
    <row r="791">
      <c r="B791" s="13" t="str">
        <f>IF($K791="","",783)</f>
        <v/>
      </c>
      <c r="C791" s="13" t="str">
        <f>IF($K791="","",INDEX('Detalle individual'!$A:$A,$K791))</f>
        <v/>
      </c>
      <c r="D791" s="72" t="str">
        <f>IF($K791="","",TRIM(INDEX('Detalle individual'!$B:$B,$K791)))</f>
        <v/>
      </c>
      <c r="E791" s="72" t="str">
        <f>IF($K791="","",TRIM(INDEX('Detalle individual'!$E:$E,$K791)))</f>
        <v/>
      </c>
      <c r="F791" s="72" t="str">
        <f>IF($K791="","",TRIM(INDEX('Detalle individual'!$C:$C,$K791)))</f>
        <v/>
      </c>
      <c r="G791" s="72" t="str">
        <f>IF($K791="","",INDEX('Detalle individual'!$D:$D,$K791))</f>
        <v/>
      </c>
      <c r="H791" s="13" t="str">
        <f>IF($K791="","",INDEX('Detalle individual'!$F:$F,$K791))</f>
        <v/>
      </c>
      <c r="I791" s="20" t="str">
        <f>IF($K791="","",IF(INDEX('Detalle individual'!$F:$F,$K791)="Completado",INDEX('Detalle individual'!$H:$H,$K791),""))</f>
        <v/>
      </c>
      <c r="J791" s="21" t="str">
        <f>IF($K791="","",IF(INDEX('Detalle individual'!$F:$F,$K791)="Completado",INDEX('Detalle individual'!$J:$J,$K791),""))</f>
        <v/>
      </c>
      <c r="K791" t="str">
        <f>IFERROR(MOD(SMALL(Cálculos!$Z$5:$Z$1000,783),10000),"")</f>
        <v/>
      </c>
    </row>
    <row r="792">
      <c r="B792" s="13" t="str">
        <f>IF($K792="","",784)</f>
        <v/>
      </c>
      <c r="C792" s="13" t="str">
        <f>IF($K792="","",INDEX('Detalle individual'!$A:$A,$K792))</f>
        <v/>
      </c>
      <c r="D792" s="72" t="str">
        <f>IF($K792="","",TRIM(INDEX('Detalle individual'!$B:$B,$K792)))</f>
        <v/>
      </c>
      <c r="E792" s="72" t="str">
        <f>IF($K792="","",TRIM(INDEX('Detalle individual'!$E:$E,$K792)))</f>
        <v/>
      </c>
      <c r="F792" s="72" t="str">
        <f>IF($K792="","",TRIM(INDEX('Detalle individual'!$C:$C,$K792)))</f>
        <v/>
      </c>
      <c r="G792" s="72" t="str">
        <f>IF($K792="","",INDEX('Detalle individual'!$D:$D,$K792))</f>
        <v/>
      </c>
      <c r="H792" s="13" t="str">
        <f>IF($K792="","",INDEX('Detalle individual'!$F:$F,$K792))</f>
        <v/>
      </c>
      <c r="I792" s="20" t="str">
        <f>IF($K792="","",IF(INDEX('Detalle individual'!$F:$F,$K792)="Completado",INDEX('Detalle individual'!$H:$H,$K792),""))</f>
        <v/>
      </c>
      <c r="J792" s="21" t="str">
        <f>IF($K792="","",IF(INDEX('Detalle individual'!$F:$F,$K792)="Completado",INDEX('Detalle individual'!$J:$J,$K792),""))</f>
        <v/>
      </c>
      <c r="K792" t="str">
        <f>IFERROR(MOD(SMALL(Cálculos!$Z$5:$Z$1000,784),10000),"")</f>
        <v/>
      </c>
    </row>
    <row r="793">
      <c r="B793" s="13" t="str">
        <f>IF($K793="","",785)</f>
        <v/>
      </c>
      <c r="C793" s="13" t="str">
        <f>IF($K793="","",INDEX('Detalle individual'!$A:$A,$K793))</f>
        <v/>
      </c>
      <c r="D793" s="72" t="str">
        <f>IF($K793="","",TRIM(INDEX('Detalle individual'!$B:$B,$K793)))</f>
        <v/>
      </c>
      <c r="E793" s="72" t="str">
        <f>IF($K793="","",TRIM(INDEX('Detalle individual'!$E:$E,$K793)))</f>
        <v/>
      </c>
      <c r="F793" s="72" t="str">
        <f>IF($K793="","",TRIM(INDEX('Detalle individual'!$C:$C,$K793)))</f>
        <v/>
      </c>
      <c r="G793" s="72" t="str">
        <f>IF($K793="","",INDEX('Detalle individual'!$D:$D,$K793))</f>
        <v/>
      </c>
      <c r="H793" s="13" t="str">
        <f>IF($K793="","",INDEX('Detalle individual'!$F:$F,$K793))</f>
        <v/>
      </c>
      <c r="I793" s="20" t="str">
        <f>IF($K793="","",IF(INDEX('Detalle individual'!$F:$F,$K793)="Completado",INDEX('Detalle individual'!$H:$H,$K793),""))</f>
        <v/>
      </c>
      <c r="J793" s="21" t="str">
        <f>IF($K793="","",IF(INDEX('Detalle individual'!$F:$F,$K793)="Completado",INDEX('Detalle individual'!$J:$J,$K793),""))</f>
        <v/>
      </c>
      <c r="K793" t="str">
        <f>IFERROR(MOD(SMALL(Cálculos!$Z$5:$Z$1000,785),10000),"")</f>
        <v/>
      </c>
    </row>
    <row r="794">
      <c r="B794" s="13" t="str">
        <f>IF($K794="","",786)</f>
        <v/>
      </c>
      <c r="C794" s="13" t="str">
        <f>IF($K794="","",INDEX('Detalle individual'!$A:$A,$K794))</f>
        <v/>
      </c>
      <c r="D794" s="72" t="str">
        <f>IF($K794="","",TRIM(INDEX('Detalle individual'!$B:$B,$K794)))</f>
        <v/>
      </c>
      <c r="E794" s="72" t="str">
        <f>IF($K794="","",TRIM(INDEX('Detalle individual'!$E:$E,$K794)))</f>
        <v/>
      </c>
      <c r="F794" s="72" t="str">
        <f>IF($K794="","",TRIM(INDEX('Detalle individual'!$C:$C,$K794)))</f>
        <v/>
      </c>
      <c r="G794" s="72" t="str">
        <f>IF($K794="","",INDEX('Detalle individual'!$D:$D,$K794))</f>
        <v/>
      </c>
      <c r="H794" s="13" t="str">
        <f>IF($K794="","",INDEX('Detalle individual'!$F:$F,$K794))</f>
        <v/>
      </c>
      <c r="I794" s="20" t="str">
        <f>IF($K794="","",IF(INDEX('Detalle individual'!$F:$F,$K794)="Completado",INDEX('Detalle individual'!$H:$H,$K794),""))</f>
        <v/>
      </c>
      <c r="J794" s="21" t="str">
        <f>IF($K794="","",IF(INDEX('Detalle individual'!$F:$F,$K794)="Completado",INDEX('Detalle individual'!$J:$J,$K794),""))</f>
        <v/>
      </c>
      <c r="K794" t="str">
        <f>IFERROR(MOD(SMALL(Cálculos!$Z$5:$Z$1000,786),10000),"")</f>
        <v/>
      </c>
    </row>
    <row r="795">
      <c r="B795" s="13" t="str">
        <f>IF($K795="","",787)</f>
        <v/>
      </c>
      <c r="C795" s="13" t="str">
        <f>IF($K795="","",INDEX('Detalle individual'!$A:$A,$K795))</f>
        <v/>
      </c>
      <c r="D795" s="72" t="str">
        <f>IF($K795="","",TRIM(INDEX('Detalle individual'!$B:$B,$K795)))</f>
        <v/>
      </c>
      <c r="E795" s="72" t="str">
        <f>IF($K795="","",TRIM(INDEX('Detalle individual'!$E:$E,$K795)))</f>
        <v/>
      </c>
      <c r="F795" s="72" t="str">
        <f>IF($K795="","",TRIM(INDEX('Detalle individual'!$C:$C,$K795)))</f>
        <v/>
      </c>
      <c r="G795" s="72" t="str">
        <f>IF($K795="","",INDEX('Detalle individual'!$D:$D,$K795))</f>
        <v/>
      </c>
      <c r="H795" s="13" t="str">
        <f>IF($K795="","",INDEX('Detalle individual'!$F:$F,$K795))</f>
        <v/>
      </c>
      <c r="I795" s="20" t="str">
        <f>IF($K795="","",IF(INDEX('Detalle individual'!$F:$F,$K795)="Completado",INDEX('Detalle individual'!$H:$H,$K795),""))</f>
        <v/>
      </c>
      <c r="J795" s="21" t="str">
        <f>IF($K795="","",IF(INDEX('Detalle individual'!$F:$F,$K795)="Completado",INDEX('Detalle individual'!$J:$J,$K795),""))</f>
        <v/>
      </c>
      <c r="K795" t="str">
        <f>IFERROR(MOD(SMALL(Cálculos!$Z$5:$Z$1000,787),10000),"")</f>
        <v/>
      </c>
    </row>
    <row r="796">
      <c r="B796" s="13" t="str">
        <f>IF($K796="","",788)</f>
        <v/>
      </c>
      <c r="C796" s="13" t="str">
        <f>IF($K796="","",INDEX('Detalle individual'!$A:$A,$K796))</f>
        <v/>
      </c>
      <c r="D796" s="72" t="str">
        <f>IF($K796="","",TRIM(INDEX('Detalle individual'!$B:$B,$K796)))</f>
        <v/>
      </c>
      <c r="E796" s="72" t="str">
        <f>IF($K796="","",TRIM(INDEX('Detalle individual'!$E:$E,$K796)))</f>
        <v/>
      </c>
      <c r="F796" s="72" t="str">
        <f>IF($K796="","",TRIM(INDEX('Detalle individual'!$C:$C,$K796)))</f>
        <v/>
      </c>
      <c r="G796" s="72" t="str">
        <f>IF($K796="","",INDEX('Detalle individual'!$D:$D,$K796))</f>
        <v/>
      </c>
      <c r="H796" s="13" t="str">
        <f>IF($K796="","",INDEX('Detalle individual'!$F:$F,$K796))</f>
        <v/>
      </c>
      <c r="I796" s="20" t="str">
        <f>IF($K796="","",IF(INDEX('Detalle individual'!$F:$F,$K796)="Completado",INDEX('Detalle individual'!$H:$H,$K796),""))</f>
        <v/>
      </c>
      <c r="J796" s="21" t="str">
        <f>IF($K796="","",IF(INDEX('Detalle individual'!$F:$F,$K796)="Completado",INDEX('Detalle individual'!$J:$J,$K796),""))</f>
        <v/>
      </c>
      <c r="K796" t="str">
        <f>IFERROR(MOD(SMALL(Cálculos!$Z$5:$Z$1000,788),10000),"")</f>
        <v/>
      </c>
    </row>
    <row r="797">
      <c r="B797" s="13" t="str">
        <f>IF($K797="","",789)</f>
        <v/>
      </c>
      <c r="C797" s="13" t="str">
        <f>IF($K797="","",INDEX('Detalle individual'!$A:$A,$K797))</f>
        <v/>
      </c>
      <c r="D797" s="72" t="str">
        <f>IF($K797="","",TRIM(INDEX('Detalle individual'!$B:$B,$K797)))</f>
        <v/>
      </c>
      <c r="E797" s="72" t="str">
        <f>IF($K797="","",TRIM(INDEX('Detalle individual'!$E:$E,$K797)))</f>
        <v/>
      </c>
      <c r="F797" s="72" t="str">
        <f>IF($K797="","",TRIM(INDEX('Detalle individual'!$C:$C,$K797)))</f>
        <v/>
      </c>
      <c r="G797" s="72" t="str">
        <f>IF($K797="","",INDEX('Detalle individual'!$D:$D,$K797))</f>
        <v/>
      </c>
      <c r="H797" s="13" t="str">
        <f>IF($K797="","",INDEX('Detalle individual'!$F:$F,$K797))</f>
        <v/>
      </c>
      <c r="I797" s="20" t="str">
        <f>IF($K797="","",IF(INDEX('Detalle individual'!$F:$F,$K797)="Completado",INDEX('Detalle individual'!$H:$H,$K797),""))</f>
        <v/>
      </c>
      <c r="J797" s="21" t="str">
        <f>IF($K797="","",IF(INDEX('Detalle individual'!$F:$F,$K797)="Completado",INDEX('Detalle individual'!$J:$J,$K797),""))</f>
        <v/>
      </c>
      <c r="K797" t="str">
        <f>IFERROR(MOD(SMALL(Cálculos!$Z$5:$Z$1000,789),10000),"")</f>
        <v/>
      </c>
    </row>
    <row r="798">
      <c r="B798" s="13" t="str">
        <f>IF($K798="","",790)</f>
        <v/>
      </c>
      <c r="C798" s="13" t="str">
        <f>IF($K798="","",INDEX('Detalle individual'!$A:$A,$K798))</f>
        <v/>
      </c>
      <c r="D798" s="72" t="str">
        <f>IF($K798="","",TRIM(INDEX('Detalle individual'!$B:$B,$K798)))</f>
        <v/>
      </c>
      <c r="E798" s="72" t="str">
        <f>IF($K798="","",TRIM(INDEX('Detalle individual'!$E:$E,$K798)))</f>
        <v/>
      </c>
      <c r="F798" s="72" t="str">
        <f>IF($K798="","",TRIM(INDEX('Detalle individual'!$C:$C,$K798)))</f>
        <v/>
      </c>
      <c r="G798" s="72" t="str">
        <f>IF($K798="","",INDEX('Detalle individual'!$D:$D,$K798))</f>
        <v/>
      </c>
      <c r="H798" s="13" t="str">
        <f>IF($K798="","",INDEX('Detalle individual'!$F:$F,$K798))</f>
        <v/>
      </c>
      <c r="I798" s="20" t="str">
        <f>IF($K798="","",IF(INDEX('Detalle individual'!$F:$F,$K798)="Completado",INDEX('Detalle individual'!$H:$H,$K798),""))</f>
        <v/>
      </c>
      <c r="J798" s="21" t="str">
        <f>IF($K798="","",IF(INDEX('Detalle individual'!$F:$F,$K798)="Completado",INDEX('Detalle individual'!$J:$J,$K798),""))</f>
        <v/>
      </c>
      <c r="K798" t="str">
        <f>IFERROR(MOD(SMALL(Cálculos!$Z$5:$Z$1000,790),10000),"")</f>
        <v/>
      </c>
    </row>
    <row r="799">
      <c r="B799" s="13" t="str">
        <f>IF($K799="","",791)</f>
        <v/>
      </c>
      <c r="C799" s="13" t="str">
        <f>IF($K799="","",INDEX('Detalle individual'!$A:$A,$K799))</f>
        <v/>
      </c>
      <c r="D799" s="72" t="str">
        <f>IF($K799="","",TRIM(INDEX('Detalle individual'!$B:$B,$K799)))</f>
        <v/>
      </c>
      <c r="E799" s="72" t="str">
        <f>IF($K799="","",TRIM(INDEX('Detalle individual'!$E:$E,$K799)))</f>
        <v/>
      </c>
      <c r="F799" s="72" t="str">
        <f>IF($K799="","",TRIM(INDEX('Detalle individual'!$C:$C,$K799)))</f>
        <v/>
      </c>
      <c r="G799" s="72" t="str">
        <f>IF($K799="","",INDEX('Detalle individual'!$D:$D,$K799))</f>
        <v/>
      </c>
      <c r="H799" s="13" t="str">
        <f>IF($K799="","",INDEX('Detalle individual'!$F:$F,$K799))</f>
        <v/>
      </c>
      <c r="I799" s="20" t="str">
        <f>IF($K799="","",IF(INDEX('Detalle individual'!$F:$F,$K799)="Completado",INDEX('Detalle individual'!$H:$H,$K799),""))</f>
        <v/>
      </c>
      <c r="J799" s="21" t="str">
        <f>IF($K799="","",IF(INDEX('Detalle individual'!$F:$F,$K799)="Completado",INDEX('Detalle individual'!$J:$J,$K799),""))</f>
        <v/>
      </c>
      <c r="K799" t="str">
        <f>IFERROR(MOD(SMALL(Cálculos!$Z$5:$Z$1000,791),10000),"")</f>
        <v/>
      </c>
    </row>
    <row r="800">
      <c r="B800" s="13" t="str">
        <f>IF($K800="","",792)</f>
        <v/>
      </c>
      <c r="C800" s="13" t="str">
        <f>IF($K800="","",INDEX('Detalle individual'!$A:$A,$K800))</f>
        <v/>
      </c>
      <c r="D800" s="72" t="str">
        <f>IF($K800="","",TRIM(INDEX('Detalle individual'!$B:$B,$K800)))</f>
        <v/>
      </c>
      <c r="E800" s="72" t="str">
        <f>IF($K800="","",TRIM(INDEX('Detalle individual'!$E:$E,$K800)))</f>
        <v/>
      </c>
      <c r="F800" s="72" t="str">
        <f>IF($K800="","",TRIM(INDEX('Detalle individual'!$C:$C,$K800)))</f>
        <v/>
      </c>
      <c r="G800" s="72" t="str">
        <f>IF($K800="","",INDEX('Detalle individual'!$D:$D,$K800))</f>
        <v/>
      </c>
      <c r="H800" s="13" t="str">
        <f>IF($K800="","",INDEX('Detalle individual'!$F:$F,$K800))</f>
        <v/>
      </c>
      <c r="I800" s="20" t="str">
        <f>IF($K800="","",IF(INDEX('Detalle individual'!$F:$F,$K800)="Completado",INDEX('Detalle individual'!$H:$H,$K800),""))</f>
        <v/>
      </c>
      <c r="J800" s="21" t="str">
        <f>IF($K800="","",IF(INDEX('Detalle individual'!$F:$F,$K800)="Completado",INDEX('Detalle individual'!$J:$J,$K800),""))</f>
        <v/>
      </c>
      <c r="K800" t="str">
        <f>IFERROR(MOD(SMALL(Cálculos!$Z$5:$Z$1000,792),10000),"")</f>
        <v/>
      </c>
    </row>
    <row r="801">
      <c r="B801" s="13" t="str">
        <f>IF($K801="","",793)</f>
        <v/>
      </c>
      <c r="C801" s="13" t="str">
        <f>IF($K801="","",INDEX('Detalle individual'!$A:$A,$K801))</f>
        <v/>
      </c>
      <c r="D801" s="72" t="str">
        <f>IF($K801="","",TRIM(INDEX('Detalle individual'!$B:$B,$K801)))</f>
        <v/>
      </c>
      <c r="E801" s="72" t="str">
        <f>IF($K801="","",TRIM(INDEX('Detalle individual'!$E:$E,$K801)))</f>
        <v/>
      </c>
      <c r="F801" s="72" t="str">
        <f>IF($K801="","",TRIM(INDEX('Detalle individual'!$C:$C,$K801)))</f>
        <v/>
      </c>
      <c r="G801" s="72" t="str">
        <f>IF($K801="","",INDEX('Detalle individual'!$D:$D,$K801))</f>
        <v/>
      </c>
      <c r="H801" s="13" t="str">
        <f>IF($K801="","",INDEX('Detalle individual'!$F:$F,$K801))</f>
        <v/>
      </c>
      <c r="I801" s="20" t="str">
        <f>IF($K801="","",IF(INDEX('Detalle individual'!$F:$F,$K801)="Completado",INDEX('Detalle individual'!$H:$H,$K801),""))</f>
        <v/>
      </c>
      <c r="J801" s="21" t="str">
        <f>IF($K801="","",IF(INDEX('Detalle individual'!$F:$F,$K801)="Completado",INDEX('Detalle individual'!$J:$J,$K801),""))</f>
        <v/>
      </c>
      <c r="K801" t="str">
        <f>IFERROR(MOD(SMALL(Cálculos!$Z$5:$Z$1000,793),10000),"")</f>
        <v/>
      </c>
    </row>
    <row r="802">
      <c r="B802" s="13" t="str">
        <f>IF($K802="","",794)</f>
        <v/>
      </c>
      <c r="C802" s="13" t="str">
        <f>IF($K802="","",INDEX('Detalle individual'!$A:$A,$K802))</f>
        <v/>
      </c>
      <c r="D802" s="72" t="str">
        <f>IF($K802="","",TRIM(INDEX('Detalle individual'!$B:$B,$K802)))</f>
        <v/>
      </c>
      <c r="E802" s="72" t="str">
        <f>IF($K802="","",TRIM(INDEX('Detalle individual'!$E:$E,$K802)))</f>
        <v/>
      </c>
      <c r="F802" s="72" t="str">
        <f>IF($K802="","",TRIM(INDEX('Detalle individual'!$C:$C,$K802)))</f>
        <v/>
      </c>
      <c r="G802" s="72" t="str">
        <f>IF($K802="","",INDEX('Detalle individual'!$D:$D,$K802))</f>
        <v/>
      </c>
      <c r="H802" s="13" t="str">
        <f>IF($K802="","",INDEX('Detalle individual'!$F:$F,$K802))</f>
        <v/>
      </c>
      <c r="I802" s="20" t="str">
        <f>IF($K802="","",IF(INDEX('Detalle individual'!$F:$F,$K802)="Completado",INDEX('Detalle individual'!$H:$H,$K802),""))</f>
        <v/>
      </c>
      <c r="J802" s="21" t="str">
        <f>IF($K802="","",IF(INDEX('Detalle individual'!$F:$F,$K802)="Completado",INDEX('Detalle individual'!$J:$J,$K802),""))</f>
        <v/>
      </c>
      <c r="K802" t="str">
        <f>IFERROR(MOD(SMALL(Cálculos!$Z$5:$Z$1000,794),10000),"")</f>
        <v/>
      </c>
    </row>
    <row r="803">
      <c r="B803" s="13" t="str">
        <f>IF($K803="","",795)</f>
        <v/>
      </c>
      <c r="C803" s="13" t="str">
        <f>IF($K803="","",INDEX('Detalle individual'!$A:$A,$K803))</f>
        <v/>
      </c>
      <c r="D803" s="72" t="str">
        <f>IF($K803="","",TRIM(INDEX('Detalle individual'!$B:$B,$K803)))</f>
        <v/>
      </c>
      <c r="E803" s="72" t="str">
        <f>IF($K803="","",TRIM(INDEX('Detalle individual'!$E:$E,$K803)))</f>
        <v/>
      </c>
      <c r="F803" s="72" t="str">
        <f>IF($K803="","",TRIM(INDEX('Detalle individual'!$C:$C,$K803)))</f>
        <v/>
      </c>
      <c r="G803" s="72" t="str">
        <f>IF($K803="","",INDEX('Detalle individual'!$D:$D,$K803))</f>
        <v/>
      </c>
      <c r="H803" s="13" t="str">
        <f>IF($K803="","",INDEX('Detalle individual'!$F:$F,$K803))</f>
        <v/>
      </c>
      <c r="I803" s="20" t="str">
        <f>IF($K803="","",IF(INDEX('Detalle individual'!$F:$F,$K803)="Completado",INDEX('Detalle individual'!$H:$H,$K803),""))</f>
        <v/>
      </c>
      <c r="J803" s="21" t="str">
        <f>IF($K803="","",IF(INDEX('Detalle individual'!$F:$F,$K803)="Completado",INDEX('Detalle individual'!$J:$J,$K803),""))</f>
        <v/>
      </c>
      <c r="K803" t="str">
        <f>IFERROR(MOD(SMALL(Cálculos!$Z$5:$Z$1000,795),10000),"")</f>
        <v/>
      </c>
    </row>
    <row r="804">
      <c r="B804" s="13" t="str">
        <f>IF($K804="","",796)</f>
        <v/>
      </c>
      <c r="C804" s="13" t="str">
        <f>IF($K804="","",INDEX('Detalle individual'!$A:$A,$K804))</f>
        <v/>
      </c>
      <c r="D804" s="72" t="str">
        <f>IF($K804="","",TRIM(INDEX('Detalle individual'!$B:$B,$K804)))</f>
        <v/>
      </c>
      <c r="E804" s="72" t="str">
        <f>IF($K804="","",TRIM(INDEX('Detalle individual'!$E:$E,$K804)))</f>
        <v/>
      </c>
      <c r="F804" s="72" t="str">
        <f>IF($K804="","",TRIM(INDEX('Detalle individual'!$C:$C,$K804)))</f>
        <v/>
      </c>
      <c r="G804" s="72" t="str">
        <f>IF($K804="","",INDEX('Detalle individual'!$D:$D,$K804))</f>
        <v/>
      </c>
      <c r="H804" s="13" t="str">
        <f>IF($K804="","",INDEX('Detalle individual'!$F:$F,$K804))</f>
        <v/>
      </c>
      <c r="I804" s="20" t="str">
        <f>IF($K804="","",IF(INDEX('Detalle individual'!$F:$F,$K804)="Completado",INDEX('Detalle individual'!$H:$H,$K804),""))</f>
        <v/>
      </c>
      <c r="J804" s="21" t="str">
        <f>IF($K804="","",IF(INDEX('Detalle individual'!$F:$F,$K804)="Completado",INDEX('Detalle individual'!$J:$J,$K804),""))</f>
        <v/>
      </c>
      <c r="K804" t="str">
        <f>IFERROR(MOD(SMALL(Cálculos!$Z$5:$Z$1000,796),10000),"")</f>
        <v/>
      </c>
    </row>
    <row r="805">
      <c r="B805" s="13" t="str">
        <f>IF($K805="","",797)</f>
        <v/>
      </c>
      <c r="C805" s="13" t="str">
        <f>IF($K805="","",INDEX('Detalle individual'!$A:$A,$K805))</f>
        <v/>
      </c>
      <c r="D805" s="72" t="str">
        <f>IF($K805="","",TRIM(INDEX('Detalle individual'!$B:$B,$K805)))</f>
        <v/>
      </c>
      <c r="E805" s="72" t="str">
        <f>IF($K805="","",TRIM(INDEX('Detalle individual'!$E:$E,$K805)))</f>
        <v/>
      </c>
      <c r="F805" s="72" t="str">
        <f>IF($K805="","",TRIM(INDEX('Detalle individual'!$C:$C,$K805)))</f>
        <v/>
      </c>
      <c r="G805" s="72" t="str">
        <f>IF($K805="","",INDEX('Detalle individual'!$D:$D,$K805))</f>
        <v/>
      </c>
      <c r="H805" s="13" t="str">
        <f>IF($K805="","",INDEX('Detalle individual'!$F:$F,$K805))</f>
        <v/>
      </c>
      <c r="I805" s="20" t="str">
        <f>IF($K805="","",IF(INDEX('Detalle individual'!$F:$F,$K805)="Completado",INDEX('Detalle individual'!$H:$H,$K805),""))</f>
        <v/>
      </c>
      <c r="J805" s="21" t="str">
        <f>IF($K805="","",IF(INDEX('Detalle individual'!$F:$F,$K805)="Completado",INDEX('Detalle individual'!$J:$J,$K805),""))</f>
        <v/>
      </c>
      <c r="K805" t="str">
        <f>IFERROR(MOD(SMALL(Cálculos!$Z$5:$Z$1000,797),10000),"")</f>
        <v/>
      </c>
    </row>
    <row r="806">
      <c r="B806" s="13" t="str">
        <f>IF($K806="","",798)</f>
        <v/>
      </c>
      <c r="C806" s="13" t="str">
        <f>IF($K806="","",INDEX('Detalle individual'!$A:$A,$K806))</f>
        <v/>
      </c>
      <c r="D806" s="72" t="str">
        <f>IF($K806="","",TRIM(INDEX('Detalle individual'!$B:$B,$K806)))</f>
        <v/>
      </c>
      <c r="E806" s="72" t="str">
        <f>IF($K806="","",TRIM(INDEX('Detalle individual'!$E:$E,$K806)))</f>
        <v/>
      </c>
      <c r="F806" s="72" t="str">
        <f>IF($K806="","",TRIM(INDEX('Detalle individual'!$C:$C,$K806)))</f>
        <v/>
      </c>
      <c r="G806" s="72" t="str">
        <f>IF($K806="","",INDEX('Detalle individual'!$D:$D,$K806))</f>
        <v/>
      </c>
      <c r="H806" s="13" t="str">
        <f>IF($K806="","",INDEX('Detalle individual'!$F:$F,$K806))</f>
        <v/>
      </c>
      <c r="I806" s="20" t="str">
        <f>IF($K806="","",IF(INDEX('Detalle individual'!$F:$F,$K806)="Completado",INDEX('Detalle individual'!$H:$H,$K806),""))</f>
        <v/>
      </c>
      <c r="J806" s="21" t="str">
        <f>IF($K806="","",IF(INDEX('Detalle individual'!$F:$F,$K806)="Completado",INDEX('Detalle individual'!$J:$J,$K806),""))</f>
        <v/>
      </c>
      <c r="K806" t="str">
        <f>IFERROR(MOD(SMALL(Cálculos!$Z$5:$Z$1000,798),10000),"")</f>
        <v/>
      </c>
    </row>
    <row r="807">
      <c r="B807" s="13" t="str">
        <f>IF($K807="","",799)</f>
        <v/>
      </c>
      <c r="C807" s="13" t="str">
        <f>IF($K807="","",INDEX('Detalle individual'!$A:$A,$K807))</f>
        <v/>
      </c>
      <c r="D807" s="72" t="str">
        <f>IF($K807="","",TRIM(INDEX('Detalle individual'!$B:$B,$K807)))</f>
        <v/>
      </c>
      <c r="E807" s="72" t="str">
        <f>IF($K807="","",TRIM(INDEX('Detalle individual'!$E:$E,$K807)))</f>
        <v/>
      </c>
      <c r="F807" s="72" t="str">
        <f>IF($K807="","",TRIM(INDEX('Detalle individual'!$C:$C,$K807)))</f>
        <v/>
      </c>
      <c r="G807" s="72" t="str">
        <f>IF($K807="","",INDEX('Detalle individual'!$D:$D,$K807))</f>
        <v/>
      </c>
      <c r="H807" s="13" t="str">
        <f>IF($K807="","",INDEX('Detalle individual'!$F:$F,$K807))</f>
        <v/>
      </c>
      <c r="I807" s="20" t="str">
        <f>IF($K807="","",IF(INDEX('Detalle individual'!$F:$F,$K807)="Completado",INDEX('Detalle individual'!$H:$H,$K807),""))</f>
        <v/>
      </c>
      <c r="J807" s="21" t="str">
        <f>IF($K807="","",IF(INDEX('Detalle individual'!$F:$F,$K807)="Completado",INDEX('Detalle individual'!$J:$J,$K807),""))</f>
        <v/>
      </c>
      <c r="K807" t="str">
        <f>IFERROR(MOD(SMALL(Cálculos!$Z$5:$Z$1000,799),10000),"")</f>
        <v/>
      </c>
    </row>
    <row r="808">
      <c r="B808" s="13" t="str">
        <f>IF($K808="","",800)</f>
        <v/>
      </c>
      <c r="C808" s="13" t="str">
        <f>IF($K808="","",INDEX('Detalle individual'!$A:$A,$K808))</f>
        <v/>
      </c>
      <c r="D808" s="72" t="str">
        <f>IF($K808="","",TRIM(INDEX('Detalle individual'!$B:$B,$K808)))</f>
        <v/>
      </c>
      <c r="E808" s="72" t="str">
        <f>IF($K808="","",TRIM(INDEX('Detalle individual'!$E:$E,$K808)))</f>
        <v/>
      </c>
      <c r="F808" s="72" t="str">
        <f>IF($K808="","",TRIM(INDEX('Detalle individual'!$C:$C,$K808)))</f>
        <v/>
      </c>
      <c r="G808" s="72" t="str">
        <f>IF($K808="","",INDEX('Detalle individual'!$D:$D,$K808))</f>
        <v/>
      </c>
      <c r="H808" s="13" t="str">
        <f>IF($K808="","",INDEX('Detalle individual'!$F:$F,$K808))</f>
        <v/>
      </c>
      <c r="I808" s="20" t="str">
        <f>IF($K808="","",IF(INDEX('Detalle individual'!$F:$F,$K808)="Completado",INDEX('Detalle individual'!$H:$H,$K808),""))</f>
        <v/>
      </c>
      <c r="J808" s="21" t="str">
        <f>IF($K808="","",IF(INDEX('Detalle individual'!$F:$F,$K808)="Completado",INDEX('Detalle individual'!$J:$J,$K808),""))</f>
        <v/>
      </c>
      <c r="K808" t="str">
        <f>IFERROR(MOD(SMALL(Cálculos!$Z$5:$Z$1000,800),10000),"")</f>
        <v/>
      </c>
    </row>
    <row r="809">
      <c r="B809" s="13" t="str">
        <f>IF($K809="","",801)</f>
        <v/>
      </c>
      <c r="C809" s="13" t="str">
        <f>IF($K809="","",INDEX('Detalle individual'!$A:$A,$K809))</f>
        <v/>
      </c>
      <c r="D809" s="72" t="str">
        <f>IF($K809="","",TRIM(INDEX('Detalle individual'!$B:$B,$K809)))</f>
        <v/>
      </c>
      <c r="E809" s="72" t="str">
        <f>IF($K809="","",TRIM(INDEX('Detalle individual'!$E:$E,$K809)))</f>
        <v/>
      </c>
      <c r="F809" s="72" t="str">
        <f>IF($K809="","",TRIM(INDEX('Detalle individual'!$C:$C,$K809)))</f>
        <v/>
      </c>
      <c r="G809" s="72" t="str">
        <f>IF($K809="","",INDEX('Detalle individual'!$D:$D,$K809))</f>
        <v/>
      </c>
      <c r="H809" s="13" t="str">
        <f>IF($K809="","",INDEX('Detalle individual'!$F:$F,$K809))</f>
        <v/>
      </c>
      <c r="I809" s="20" t="str">
        <f>IF($K809="","",IF(INDEX('Detalle individual'!$F:$F,$K809)="Completado",INDEX('Detalle individual'!$H:$H,$K809),""))</f>
        <v/>
      </c>
      <c r="J809" s="21" t="str">
        <f>IF($K809="","",IF(INDEX('Detalle individual'!$F:$F,$K809)="Completado",INDEX('Detalle individual'!$J:$J,$K809),""))</f>
        <v/>
      </c>
      <c r="K809" t="str">
        <f>IFERROR(MOD(SMALL(Cálculos!$Z$5:$Z$1000,801),10000),"")</f>
        <v/>
      </c>
    </row>
    <row r="810">
      <c r="B810" s="13" t="str">
        <f>IF($K810="","",802)</f>
        <v/>
      </c>
      <c r="C810" s="13" t="str">
        <f>IF($K810="","",INDEX('Detalle individual'!$A:$A,$K810))</f>
        <v/>
      </c>
      <c r="D810" s="72" t="str">
        <f>IF($K810="","",TRIM(INDEX('Detalle individual'!$B:$B,$K810)))</f>
        <v/>
      </c>
      <c r="E810" s="72" t="str">
        <f>IF($K810="","",TRIM(INDEX('Detalle individual'!$E:$E,$K810)))</f>
        <v/>
      </c>
      <c r="F810" s="72" t="str">
        <f>IF($K810="","",TRIM(INDEX('Detalle individual'!$C:$C,$K810)))</f>
        <v/>
      </c>
      <c r="G810" s="72" t="str">
        <f>IF($K810="","",INDEX('Detalle individual'!$D:$D,$K810))</f>
        <v/>
      </c>
      <c r="H810" s="13" t="str">
        <f>IF($K810="","",INDEX('Detalle individual'!$F:$F,$K810))</f>
        <v/>
      </c>
      <c r="I810" s="20" t="str">
        <f>IF($K810="","",IF(INDEX('Detalle individual'!$F:$F,$K810)="Completado",INDEX('Detalle individual'!$H:$H,$K810),""))</f>
        <v/>
      </c>
      <c r="J810" s="21" t="str">
        <f>IF($K810="","",IF(INDEX('Detalle individual'!$F:$F,$K810)="Completado",INDEX('Detalle individual'!$J:$J,$K810),""))</f>
        <v/>
      </c>
      <c r="K810" t="str">
        <f>IFERROR(MOD(SMALL(Cálculos!$Z$5:$Z$1000,802),10000),"")</f>
        <v/>
      </c>
    </row>
    <row r="811">
      <c r="B811" s="13" t="str">
        <f>IF($K811="","",803)</f>
        <v/>
      </c>
      <c r="C811" s="13" t="str">
        <f>IF($K811="","",INDEX('Detalle individual'!$A:$A,$K811))</f>
        <v/>
      </c>
      <c r="D811" s="72" t="str">
        <f>IF($K811="","",TRIM(INDEX('Detalle individual'!$B:$B,$K811)))</f>
        <v/>
      </c>
      <c r="E811" s="72" t="str">
        <f>IF($K811="","",TRIM(INDEX('Detalle individual'!$E:$E,$K811)))</f>
        <v/>
      </c>
      <c r="F811" s="72" t="str">
        <f>IF($K811="","",TRIM(INDEX('Detalle individual'!$C:$C,$K811)))</f>
        <v/>
      </c>
      <c r="G811" s="72" t="str">
        <f>IF($K811="","",INDEX('Detalle individual'!$D:$D,$K811))</f>
        <v/>
      </c>
      <c r="H811" s="13" t="str">
        <f>IF($K811="","",INDEX('Detalle individual'!$F:$F,$K811))</f>
        <v/>
      </c>
      <c r="I811" s="20" t="str">
        <f>IF($K811="","",IF(INDEX('Detalle individual'!$F:$F,$K811)="Completado",INDEX('Detalle individual'!$H:$H,$K811),""))</f>
        <v/>
      </c>
      <c r="J811" s="21" t="str">
        <f>IF($K811="","",IF(INDEX('Detalle individual'!$F:$F,$K811)="Completado",INDEX('Detalle individual'!$J:$J,$K811),""))</f>
        <v/>
      </c>
      <c r="K811" t="str">
        <f>IFERROR(MOD(SMALL(Cálculos!$Z$5:$Z$1000,803),10000),"")</f>
        <v/>
      </c>
    </row>
    <row r="812">
      <c r="B812" s="13" t="str">
        <f>IF($K812="","",804)</f>
        <v/>
      </c>
      <c r="C812" s="13" t="str">
        <f>IF($K812="","",INDEX('Detalle individual'!$A:$A,$K812))</f>
        <v/>
      </c>
      <c r="D812" s="72" t="str">
        <f>IF($K812="","",TRIM(INDEX('Detalle individual'!$B:$B,$K812)))</f>
        <v/>
      </c>
      <c r="E812" s="72" t="str">
        <f>IF($K812="","",TRIM(INDEX('Detalle individual'!$E:$E,$K812)))</f>
        <v/>
      </c>
      <c r="F812" s="72" t="str">
        <f>IF($K812="","",TRIM(INDEX('Detalle individual'!$C:$C,$K812)))</f>
        <v/>
      </c>
      <c r="G812" s="72" t="str">
        <f>IF($K812="","",INDEX('Detalle individual'!$D:$D,$K812))</f>
        <v/>
      </c>
      <c r="H812" s="13" t="str">
        <f>IF($K812="","",INDEX('Detalle individual'!$F:$F,$K812))</f>
        <v/>
      </c>
      <c r="I812" s="20" t="str">
        <f>IF($K812="","",IF(INDEX('Detalle individual'!$F:$F,$K812)="Completado",INDEX('Detalle individual'!$H:$H,$K812),""))</f>
        <v/>
      </c>
      <c r="J812" s="21" t="str">
        <f>IF($K812="","",IF(INDEX('Detalle individual'!$F:$F,$K812)="Completado",INDEX('Detalle individual'!$J:$J,$K812),""))</f>
        <v/>
      </c>
      <c r="K812" t="str">
        <f>IFERROR(MOD(SMALL(Cálculos!$Z$5:$Z$1000,804),10000),"")</f>
        <v/>
      </c>
    </row>
    <row r="813">
      <c r="B813" s="13" t="str">
        <f>IF($K813="","",805)</f>
        <v/>
      </c>
      <c r="C813" s="13" t="str">
        <f>IF($K813="","",INDEX('Detalle individual'!$A:$A,$K813))</f>
        <v/>
      </c>
      <c r="D813" s="72" t="str">
        <f>IF($K813="","",TRIM(INDEX('Detalle individual'!$B:$B,$K813)))</f>
        <v/>
      </c>
      <c r="E813" s="72" t="str">
        <f>IF($K813="","",TRIM(INDEX('Detalle individual'!$E:$E,$K813)))</f>
        <v/>
      </c>
      <c r="F813" s="72" t="str">
        <f>IF($K813="","",TRIM(INDEX('Detalle individual'!$C:$C,$K813)))</f>
        <v/>
      </c>
      <c r="G813" s="72" t="str">
        <f>IF($K813="","",INDEX('Detalle individual'!$D:$D,$K813))</f>
        <v/>
      </c>
      <c r="H813" s="13" t="str">
        <f>IF($K813="","",INDEX('Detalle individual'!$F:$F,$K813))</f>
        <v/>
      </c>
      <c r="I813" s="20" t="str">
        <f>IF($K813="","",IF(INDEX('Detalle individual'!$F:$F,$K813)="Completado",INDEX('Detalle individual'!$H:$H,$K813),""))</f>
        <v/>
      </c>
      <c r="J813" s="21" t="str">
        <f>IF($K813="","",IF(INDEX('Detalle individual'!$F:$F,$K813)="Completado",INDEX('Detalle individual'!$J:$J,$K813),""))</f>
        <v/>
      </c>
      <c r="K813" t="str">
        <f>IFERROR(MOD(SMALL(Cálculos!$Z$5:$Z$1000,805),10000),"")</f>
        <v/>
      </c>
    </row>
    <row r="814">
      <c r="B814" s="13" t="str">
        <f>IF($K814="","",806)</f>
        <v/>
      </c>
      <c r="C814" s="13" t="str">
        <f>IF($K814="","",INDEX('Detalle individual'!$A:$A,$K814))</f>
        <v/>
      </c>
      <c r="D814" s="72" t="str">
        <f>IF($K814="","",TRIM(INDEX('Detalle individual'!$B:$B,$K814)))</f>
        <v/>
      </c>
      <c r="E814" s="72" t="str">
        <f>IF($K814="","",TRIM(INDEX('Detalle individual'!$E:$E,$K814)))</f>
        <v/>
      </c>
      <c r="F814" s="72" t="str">
        <f>IF($K814="","",TRIM(INDEX('Detalle individual'!$C:$C,$K814)))</f>
        <v/>
      </c>
      <c r="G814" s="72" t="str">
        <f>IF($K814="","",INDEX('Detalle individual'!$D:$D,$K814))</f>
        <v/>
      </c>
      <c r="H814" s="13" t="str">
        <f>IF($K814="","",INDEX('Detalle individual'!$F:$F,$K814))</f>
        <v/>
      </c>
      <c r="I814" s="20" t="str">
        <f>IF($K814="","",IF(INDEX('Detalle individual'!$F:$F,$K814)="Completado",INDEX('Detalle individual'!$H:$H,$K814),""))</f>
        <v/>
      </c>
      <c r="J814" s="21" t="str">
        <f>IF($K814="","",IF(INDEX('Detalle individual'!$F:$F,$K814)="Completado",INDEX('Detalle individual'!$J:$J,$K814),""))</f>
        <v/>
      </c>
      <c r="K814" t="str">
        <f>IFERROR(MOD(SMALL(Cálculos!$Z$5:$Z$1000,806),10000),"")</f>
        <v/>
      </c>
    </row>
    <row r="815">
      <c r="B815" s="13" t="str">
        <f>IF($K815="","",807)</f>
        <v/>
      </c>
      <c r="C815" s="13" t="str">
        <f>IF($K815="","",INDEX('Detalle individual'!$A:$A,$K815))</f>
        <v/>
      </c>
      <c r="D815" s="72" t="str">
        <f>IF($K815="","",TRIM(INDEX('Detalle individual'!$B:$B,$K815)))</f>
        <v/>
      </c>
      <c r="E815" s="72" t="str">
        <f>IF($K815="","",TRIM(INDEX('Detalle individual'!$E:$E,$K815)))</f>
        <v/>
      </c>
      <c r="F815" s="72" t="str">
        <f>IF($K815="","",TRIM(INDEX('Detalle individual'!$C:$C,$K815)))</f>
        <v/>
      </c>
      <c r="G815" s="72" t="str">
        <f>IF($K815="","",INDEX('Detalle individual'!$D:$D,$K815))</f>
        <v/>
      </c>
      <c r="H815" s="13" t="str">
        <f>IF($K815="","",INDEX('Detalle individual'!$F:$F,$K815))</f>
        <v/>
      </c>
      <c r="I815" s="20" t="str">
        <f>IF($K815="","",IF(INDEX('Detalle individual'!$F:$F,$K815)="Completado",INDEX('Detalle individual'!$H:$H,$K815),""))</f>
        <v/>
      </c>
      <c r="J815" s="21" t="str">
        <f>IF($K815="","",IF(INDEX('Detalle individual'!$F:$F,$K815)="Completado",INDEX('Detalle individual'!$J:$J,$K815),""))</f>
        <v/>
      </c>
      <c r="K815" t="str">
        <f>IFERROR(MOD(SMALL(Cálculos!$Z$5:$Z$1000,807),10000),"")</f>
        <v/>
      </c>
    </row>
    <row r="816">
      <c r="B816" s="13" t="str">
        <f>IF($K816="","",808)</f>
        <v/>
      </c>
      <c r="C816" s="13" t="str">
        <f>IF($K816="","",INDEX('Detalle individual'!$A:$A,$K816))</f>
        <v/>
      </c>
      <c r="D816" s="72" t="str">
        <f>IF($K816="","",TRIM(INDEX('Detalle individual'!$B:$B,$K816)))</f>
        <v/>
      </c>
      <c r="E816" s="72" t="str">
        <f>IF($K816="","",TRIM(INDEX('Detalle individual'!$E:$E,$K816)))</f>
        <v/>
      </c>
      <c r="F816" s="72" t="str">
        <f>IF($K816="","",TRIM(INDEX('Detalle individual'!$C:$C,$K816)))</f>
        <v/>
      </c>
      <c r="G816" s="72" t="str">
        <f>IF($K816="","",INDEX('Detalle individual'!$D:$D,$K816))</f>
        <v/>
      </c>
      <c r="H816" s="13" t="str">
        <f>IF($K816="","",INDEX('Detalle individual'!$F:$F,$K816))</f>
        <v/>
      </c>
      <c r="I816" s="20" t="str">
        <f>IF($K816="","",IF(INDEX('Detalle individual'!$F:$F,$K816)="Completado",INDEX('Detalle individual'!$H:$H,$K816),""))</f>
        <v/>
      </c>
      <c r="J816" s="21" t="str">
        <f>IF($K816="","",IF(INDEX('Detalle individual'!$F:$F,$K816)="Completado",INDEX('Detalle individual'!$J:$J,$K816),""))</f>
        <v/>
      </c>
      <c r="K816" t="str">
        <f>IFERROR(MOD(SMALL(Cálculos!$Z$5:$Z$1000,808),10000),"")</f>
        <v/>
      </c>
    </row>
    <row r="817">
      <c r="B817" s="13" t="str">
        <f>IF($K817="","",809)</f>
        <v/>
      </c>
      <c r="C817" s="13" t="str">
        <f>IF($K817="","",INDEX('Detalle individual'!$A:$A,$K817))</f>
        <v/>
      </c>
      <c r="D817" s="72" t="str">
        <f>IF($K817="","",TRIM(INDEX('Detalle individual'!$B:$B,$K817)))</f>
        <v/>
      </c>
      <c r="E817" s="72" t="str">
        <f>IF($K817="","",TRIM(INDEX('Detalle individual'!$E:$E,$K817)))</f>
        <v/>
      </c>
      <c r="F817" s="72" t="str">
        <f>IF($K817="","",TRIM(INDEX('Detalle individual'!$C:$C,$K817)))</f>
        <v/>
      </c>
      <c r="G817" s="72" t="str">
        <f>IF($K817="","",INDEX('Detalle individual'!$D:$D,$K817))</f>
        <v/>
      </c>
      <c r="H817" s="13" t="str">
        <f>IF($K817="","",INDEX('Detalle individual'!$F:$F,$K817))</f>
        <v/>
      </c>
      <c r="I817" s="20" t="str">
        <f>IF($K817="","",IF(INDEX('Detalle individual'!$F:$F,$K817)="Completado",INDEX('Detalle individual'!$H:$H,$K817),""))</f>
        <v/>
      </c>
      <c r="J817" s="21" t="str">
        <f>IF($K817="","",IF(INDEX('Detalle individual'!$F:$F,$K817)="Completado",INDEX('Detalle individual'!$J:$J,$K817),""))</f>
        <v/>
      </c>
      <c r="K817" t="str">
        <f>IFERROR(MOD(SMALL(Cálculos!$Z$5:$Z$1000,809),10000),"")</f>
        <v/>
      </c>
    </row>
    <row r="818">
      <c r="B818" s="13" t="str">
        <f>IF($K818="","",810)</f>
        <v/>
      </c>
      <c r="C818" s="13" t="str">
        <f>IF($K818="","",INDEX('Detalle individual'!$A:$A,$K818))</f>
        <v/>
      </c>
      <c r="D818" s="72" t="str">
        <f>IF($K818="","",TRIM(INDEX('Detalle individual'!$B:$B,$K818)))</f>
        <v/>
      </c>
      <c r="E818" s="72" t="str">
        <f>IF($K818="","",TRIM(INDEX('Detalle individual'!$E:$E,$K818)))</f>
        <v/>
      </c>
      <c r="F818" s="72" t="str">
        <f>IF($K818="","",TRIM(INDEX('Detalle individual'!$C:$C,$K818)))</f>
        <v/>
      </c>
      <c r="G818" s="72" t="str">
        <f>IF($K818="","",INDEX('Detalle individual'!$D:$D,$K818))</f>
        <v/>
      </c>
      <c r="H818" s="13" t="str">
        <f>IF($K818="","",INDEX('Detalle individual'!$F:$F,$K818))</f>
        <v/>
      </c>
      <c r="I818" s="20" t="str">
        <f>IF($K818="","",IF(INDEX('Detalle individual'!$F:$F,$K818)="Completado",INDEX('Detalle individual'!$H:$H,$K818),""))</f>
        <v/>
      </c>
      <c r="J818" s="21" t="str">
        <f>IF($K818="","",IF(INDEX('Detalle individual'!$F:$F,$K818)="Completado",INDEX('Detalle individual'!$J:$J,$K818),""))</f>
        <v/>
      </c>
      <c r="K818" t="str">
        <f>IFERROR(MOD(SMALL(Cálculos!$Z$5:$Z$1000,810),10000),"")</f>
        <v/>
      </c>
    </row>
    <row r="819">
      <c r="B819" s="13" t="str">
        <f>IF($K819="","",811)</f>
        <v/>
      </c>
      <c r="C819" s="13" t="str">
        <f>IF($K819="","",INDEX('Detalle individual'!$A:$A,$K819))</f>
        <v/>
      </c>
      <c r="D819" s="72" t="str">
        <f>IF($K819="","",TRIM(INDEX('Detalle individual'!$B:$B,$K819)))</f>
        <v/>
      </c>
      <c r="E819" s="72" t="str">
        <f>IF($K819="","",TRIM(INDEX('Detalle individual'!$E:$E,$K819)))</f>
        <v/>
      </c>
      <c r="F819" s="72" t="str">
        <f>IF($K819="","",TRIM(INDEX('Detalle individual'!$C:$C,$K819)))</f>
        <v/>
      </c>
      <c r="G819" s="72" t="str">
        <f>IF($K819="","",INDEX('Detalle individual'!$D:$D,$K819))</f>
        <v/>
      </c>
      <c r="H819" s="13" t="str">
        <f>IF($K819="","",INDEX('Detalle individual'!$F:$F,$K819))</f>
        <v/>
      </c>
      <c r="I819" s="20" t="str">
        <f>IF($K819="","",IF(INDEX('Detalle individual'!$F:$F,$K819)="Completado",INDEX('Detalle individual'!$H:$H,$K819),""))</f>
        <v/>
      </c>
      <c r="J819" s="21" t="str">
        <f>IF($K819="","",IF(INDEX('Detalle individual'!$F:$F,$K819)="Completado",INDEX('Detalle individual'!$J:$J,$K819),""))</f>
        <v/>
      </c>
      <c r="K819" t="str">
        <f>IFERROR(MOD(SMALL(Cálculos!$Z$5:$Z$1000,811),10000),"")</f>
        <v/>
      </c>
    </row>
    <row r="820">
      <c r="B820" s="13" t="str">
        <f>IF($K820="","",812)</f>
        <v/>
      </c>
      <c r="C820" s="13" t="str">
        <f>IF($K820="","",INDEX('Detalle individual'!$A:$A,$K820))</f>
        <v/>
      </c>
      <c r="D820" s="72" t="str">
        <f>IF($K820="","",TRIM(INDEX('Detalle individual'!$B:$B,$K820)))</f>
        <v/>
      </c>
      <c r="E820" s="72" t="str">
        <f>IF($K820="","",TRIM(INDEX('Detalle individual'!$E:$E,$K820)))</f>
        <v/>
      </c>
      <c r="F820" s="72" t="str">
        <f>IF($K820="","",TRIM(INDEX('Detalle individual'!$C:$C,$K820)))</f>
        <v/>
      </c>
      <c r="G820" s="72" t="str">
        <f>IF($K820="","",INDEX('Detalle individual'!$D:$D,$K820))</f>
        <v/>
      </c>
      <c r="H820" s="13" t="str">
        <f>IF($K820="","",INDEX('Detalle individual'!$F:$F,$K820))</f>
        <v/>
      </c>
      <c r="I820" s="20" t="str">
        <f>IF($K820="","",IF(INDEX('Detalle individual'!$F:$F,$K820)="Completado",INDEX('Detalle individual'!$H:$H,$K820),""))</f>
        <v/>
      </c>
      <c r="J820" s="21" t="str">
        <f>IF($K820="","",IF(INDEX('Detalle individual'!$F:$F,$K820)="Completado",INDEX('Detalle individual'!$J:$J,$K820),""))</f>
        <v/>
      </c>
      <c r="K820" t="str">
        <f>IFERROR(MOD(SMALL(Cálculos!$Z$5:$Z$1000,812),10000),"")</f>
        <v/>
      </c>
    </row>
    <row r="821">
      <c r="B821" s="13" t="str">
        <f>IF($K821="","",813)</f>
        <v/>
      </c>
      <c r="C821" s="13" t="str">
        <f>IF($K821="","",INDEX('Detalle individual'!$A:$A,$K821))</f>
        <v/>
      </c>
      <c r="D821" s="72" t="str">
        <f>IF($K821="","",TRIM(INDEX('Detalle individual'!$B:$B,$K821)))</f>
        <v/>
      </c>
      <c r="E821" s="72" t="str">
        <f>IF($K821="","",TRIM(INDEX('Detalle individual'!$E:$E,$K821)))</f>
        <v/>
      </c>
      <c r="F821" s="72" t="str">
        <f>IF($K821="","",TRIM(INDEX('Detalle individual'!$C:$C,$K821)))</f>
        <v/>
      </c>
      <c r="G821" s="72" t="str">
        <f>IF($K821="","",INDEX('Detalle individual'!$D:$D,$K821))</f>
        <v/>
      </c>
      <c r="H821" s="13" t="str">
        <f>IF($K821="","",INDEX('Detalle individual'!$F:$F,$K821))</f>
        <v/>
      </c>
      <c r="I821" s="20" t="str">
        <f>IF($K821="","",IF(INDEX('Detalle individual'!$F:$F,$K821)="Completado",INDEX('Detalle individual'!$H:$H,$K821),""))</f>
        <v/>
      </c>
      <c r="J821" s="21" t="str">
        <f>IF($K821="","",IF(INDEX('Detalle individual'!$F:$F,$K821)="Completado",INDEX('Detalle individual'!$J:$J,$K821),""))</f>
        <v/>
      </c>
      <c r="K821" t="str">
        <f>IFERROR(MOD(SMALL(Cálculos!$Z$5:$Z$1000,813),10000),"")</f>
        <v/>
      </c>
    </row>
    <row r="822">
      <c r="B822" s="13" t="str">
        <f>IF($K822="","",814)</f>
        <v/>
      </c>
      <c r="C822" s="13" t="str">
        <f>IF($K822="","",INDEX('Detalle individual'!$A:$A,$K822))</f>
        <v/>
      </c>
      <c r="D822" s="72" t="str">
        <f>IF($K822="","",TRIM(INDEX('Detalle individual'!$B:$B,$K822)))</f>
        <v/>
      </c>
      <c r="E822" s="72" t="str">
        <f>IF($K822="","",TRIM(INDEX('Detalle individual'!$E:$E,$K822)))</f>
        <v/>
      </c>
      <c r="F822" s="72" t="str">
        <f>IF($K822="","",TRIM(INDEX('Detalle individual'!$C:$C,$K822)))</f>
        <v/>
      </c>
      <c r="G822" s="72" t="str">
        <f>IF($K822="","",INDEX('Detalle individual'!$D:$D,$K822))</f>
        <v/>
      </c>
      <c r="H822" s="13" t="str">
        <f>IF($K822="","",INDEX('Detalle individual'!$F:$F,$K822))</f>
        <v/>
      </c>
      <c r="I822" s="20" t="str">
        <f>IF($K822="","",IF(INDEX('Detalle individual'!$F:$F,$K822)="Completado",INDEX('Detalle individual'!$H:$H,$K822),""))</f>
        <v/>
      </c>
      <c r="J822" s="21" t="str">
        <f>IF($K822="","",IF(INDEX('Detalle individual'!$F:$F,$K822)="Completado",INDEX('Detalle individual'!$J:$J,$K822),""))</f>
        <v/>
      </c>
      <c r="K822" t="str">
        <f>IFERROR(MOD(SMALL(Cálculos!$Z$5:$Z$1000,814),10000),"")</f>
        <v/>
      </c>
    </row>
    <row r="823">
      <c r="B823" s="13" t="str">
        <f>IF($K823="","",815)</f>
        <v/>
      </c>
      <c r="C823" s="13" t="str">
        <f>IF($K823="","",INDEX('Detalle individual'!$A:$A,$K823))</f>
        <v/>
      </c>
      <c r="D823" s="72" t="str">
        <f>IF($K823="","",TRIM(INDEX('Detalle individual'!$B:$B,$K823)))</f>
        <v/>
      </c>
      <c r="E823" s="72" t="str">
        <f>IF($K823="","",TRIM(INDEX('Detalle individual'!$E:$E,$K823)))</f>
        <v/>
      </c>
      <c r="F823" s="72" t="str">
        <f>IF($K823="","",TRIM(INDEX('Detalle individual'!$C:$C,$K823)))</f>
        <v/>
      </c>
      <c r="G823" s="72" t="str">
        <f>IF($K823="","",INDEX('Detalle individual'!$D:$D,$K823))</f>
        <v/>
      </c>
      <c r="H823" s="13" t="str">
        <f>IF($K823="","",INDEX('Detalle individual'!$F:$F,$K823))</f>
        <v/>
      </c>
      <c r="I823" s="20" t="str">
        <f>IF($K823="","",IF(INDEX('Detalle individual'!$F:$F,$K823)="Completado",INDEX('Detalle individual'!$H:$H,$K823),""))</f>
        <v/>
      </c>
      <c r="J823" s="21" t="str">
        <f>IF($K823="","",IF(INDEX('Detalle individual'!$F:$F,$K823)="Completado",INDEX('Detalle individual'!$J:$J,$K823),""))</f>
        <v/>
      </c>
      <c r="K823" t="str">
        <f>IFERROR(MOD(SMALL(Cálculos!$Z$5:$Z$1000,815),10000),"")</f>
        <v/>
      </c>
    </row>
    <row r="824">
      <c r="B824" s="13" t="str">
        <f>IF($K824="","",816)</f>
        <v/>
      </c>
      <c r="C824" s="13" t="str">
        <f>IF($K824="","",INDEX('Detalle individual'!$A:$A,$K824))</f>
        <v/>
      </c>
      <c r="D824" s="72" t="str">
        <f>IF($K824="","",TRIM(INDEX('Detalle individual'!$B:$B,$K824)))</f>
        <v/>
      </c>
      <c r="E824" s="72" t="str">
        <f>IF($K824="","",TRIM(INDEX('Detalle individual'!$E:$E,$K824)))</f>
        <v/>
      </c>
      <c r="F824" s="72" t="str">
        <f>IF($K824="","",TRIM(INDEX('Detalle individual'!$C:$C,$K824)))</f>
        <v/>
      </c>
      <c r="G824" s="72" t="str">
        <f>IF($K824="","",INDEX('Detalle individual'!$D:$D,$K824))</f>
        <v/>
      </c>
      <c r="H824" s="13" t="str">
        <f>IF($K824="","",INDEX('Detalle individual'!$F:$F,$K824))</f>
        <v/>
      </c>
      <c r="I824" s="20" t="str">
        <f>IF($K824="","",IF(INDEX('Detalle individual'!$F:$F,$K824)="Completado",INDEX('Detalle individual'!$H:$H,$K824),""))</f>
        <v/>
      </c>
      <c r="J824" s="21" t="str">
        <f>IF($K824="","",IF(INDEX('Detalle individual'!$F:$F,$K824)="Completado",INDEX('Detalle individual'!$J:$J,$K824),""))</f>
        <v/>
      </c>
      <c r="K824" t="str">
        <f>IFERROR(MOD(SMALL(Cálculos!$Z$5:$Z$1000,816),10000),"")</f>
        <v/>
      </c>
    </row>
    <row r="825">
      <c r="B825" s="13" t="str">
        <f>IF($K825="","",817)</f>
        <v/>
      </c>
      <c r="C825" s="13" t="str">
        <f>IF($K825="","",INDEX('Detalle individual'!$A:$A,$K825))</f>
        <v/>
      </c>
      <c r="D825" s="72" t="str">
        <f>IF($K825="","",TRIM(INDEX('Detalle individual'!$B:$B,$K825)))</f>
        <v/>
      </c>
      <c r="E825" s="72" t="str">
        <f>IF($K825="","",TRIM(INDEX('Detalle individual'!$E:$E,$K825)))</f>
        <v/>
      </c>
      <c r="F825" s="72" t="str">
        <f>IF($K825="","",TRIM(INDEX('Detalle individual'!$C:$C,$K825)))</f>
        <v/>
      </c>
      <c r="G825" s="72" t="str">
        <f>IF($K825="","",INDEX('Detalle individual'!$D:$D,$K825))</f>
        <v/>
      </c>
      <c r="H825" s="13" t="str">
        <f>IF($K825="","",INDEX('Detalle individual'!$F:$F,$K825))</f>
        <v/>
      </c>
      <c r="I825" s="20" t="str">
        <f>IF($K825="","",IF(INDEX('Detalle individual'!$F:$F,$K825)="Completado",INDEX('Detalle individual'!$H:$H,$K825),""))</f>
        <v/>
      </c>
      <c r="J825" s="21" t="str">
        <f>IF($K825="","",IF(INDEX('Detalle individual'!$F:$F,$K825)="Completado",INDEX('Detalle individual'!$J:$J,$K825),""))</f>
        <v/>
      </c>
      <c r="K825" t="str">
        <f>IFERROR(MOD(SMALL(Cálculos!$Z$5:$Z$1000,817),10000),"")</f>
        <v/>
      </c>
    </row>
    <row r="826">
      <c r="B826" s="13" t="str">
        <f>IF($K826="","",818)</f>
        <v/>
      </c>
      <c r="C826" s="13" t="str">
        <f>IF($K826="","",INDEX('Detalle individual'!$A:$A,$K826))</f>
        <v/>
      </c>
      <c r="D826" s="72" t="str">
        <f>IF($K826="","",TRIM(INDEX('Detalle individual'!$B:$B,$K826)))</f>
        <v/>
      </c>
      <c r="E826" s="72" t="str">
        <f>IF($K826="","",TRIM(INDEX('Detalle individual'!$E:$E,$K826)))</f>
        <v/>
      </c>
      <c r="F826" s="72" t="str">
        <f>IF($K826="","",TRIM(INDEX('Detalle individual'!$C:$C,$K826)))</f>
        <v/>
      </c>
      <c r="G826" s="72" t="str">
        <f>IF($K826="","",INDEX('Detalle individual'!$D:$D,$K826))</f>
        <v/>
      </c>
      <c r="H826" s="13" t="str">
        <f>IF($K826="","",INDEX('Detalle individual'!$F:$F,$K826))</f>
        <v/>
      </c>
      <c r="I826" s="20" t="str">
        <f>IF($K826="","",IF(INDEX('Detalle individual'!$F:$F,$K826)="Completado",INDEX('Detalle individual'!$H:$H,$K826),""))</f>
        <v/>
      </c>
      <c r="J826" s="21" t="str">
        <f>IF($K826="","",IF(INDEX('Detalle individual'!$F:$F,$K826)="Completado",INDEX('Detalle individual'!$J:$J,$K826),""))</f>
        <v/>
      </c>
      <c r="K826" t="str">
        <f>IFERROR(MOD(SMALL(Cálculos!$Z$5:$Z$1000,818),10000),"")</f>
        <v/>
      </c>
    </row>
    <row r="827">
      <c r="B827" s="13" t="str">
        <f>IF($K827="","",819)</f>
        <v/>
      </c>
      <c r="C827" s="13" t="str">
        <f>IF($K827="","",INDEX('Detalle individual'!$A:$A,$K827))</f>
        <v/>
      </c>
      <c r="D827" s="72" t="str">
        <f>IF($K827="","",TRIM(INDEX('Detalle individual'!$B:$B,$K827)))</f>
        <v/>
      </c>
      <c r="E827" s="72" t="str">
        <f>IF($K827="","",TRIM(INDEX('Detalle individual'!$E:$E,$K827)))</f>
        <v/>
      </c>
      <c r="F827" s="72" t="str">
        <f>IF($K827="","",TRIM(INDEX('Detalle individual'!$C:$C,$K827)))</f>
        <v/>
      </c>
      <c r="G827" s="72" t="str">
        <f>IF($K827="","",INDEX('Detalle individual'!$D:$D,$K827))</f>
        <v/>
      </c>
      <c r="H827" s="13" t="str">
        <f>IF($K827="","",INDEX('Detalle individual'!$F:$F,$K827))</f>
        <v/>
      </c>
      <c r="I827" s="20" t="str">
        <f>IF($K827="","",IF(INDEX('Detalle individual'!$F:$F,$K827)="Completado",INDEX('Detalle individual'!$H:$H,$K827),""))</f>
        <v/>
      </c>
      <c r="J827" s="21" t="str">
        <f>IF($K827="","",IF(INDEX('Detalle individual'!$F:$F,$K827)="Completado",INDEX('Detalle individual'!$J:$J,$K827),""))</f>
        <v/>
      </c>
      <c r="K827" t="str">
        <f>IFERROR(MOD(SMALL(Cálculos!$Z$5:$Z$1000,819),10000),"")</f>
        <v/>
      </c>
    </row>
    <row r="828">
      <c r="B828" s="13" t="str">
        <f>IF($K828="","",820)</f>
        <v/>
      </c>
      <c r="C828" s="13" t="str">
        <f>IF($K828="","",INDEX('Detalle individual'!$A:$A,$K828))</f>
        <v/>
      </c>
      <c r="D828" s="72" t="str">
        <f>IF($K828="","",TRIM(INDEX('Detalle individual'!$B:$B,$K828)))</f>
        <v/>
      </c>
      <c r="E828" s="72" t="str">
        <f>IF($K828="","",TRIM(INDEX('Detalle individual'!$E:$E,$K828)))</f>
        <v/>
      </c>
      <c r="F828" s="72" t="str">
        <f>IF($K828="","",TRIM(INDEX('Detalle individual'!$C:$C,$K828)))</f>
        <v/>
      </c>
      <c r="G828" s="72" t="str">
        <f>IF($K828="","",INDEX('Detalle individual'!$D:$D,$K828))</f>
        <v/>
      </c>
      <c r="H828" s="13" t="str">
        <f>IF($K828="","",INDEX('Detalle individual'!$F:$F,$K828))</f>
        <v/>
      </c>
      <c r="I828" s="20" t="str">
        <f>IF($K828="","",IF(INDEX('Detalle individual'!$F:$F,$K828)="Completado",INDEX('Detalle individual'!$H:$H,$K828),""))</f>
        <v/>
      </c>
      <c r="J828" s="21" t="str">
        <f>IF($K828="","",IF(INDEX('Detalle individual'!$F:$F,$K828)="Completado",INDEX('Detalle individual'!$J:$J,$K828),""))</f>
        <v/>
      </c>
      <c r="K828" t="str">
        <f>IFERROR(MOD(SMALL(Cálculos!$Z$5:$Z$1000,820),10000),"")</f>
        <v/>
      </c>
    </row>
    <row r="829">
      <c r="B829" s="13" t="str">
        <f>IF($K829="","",821)</f>
        <v/>
      </c>
      <c r="C829" s="13" t="str">
        <f>IF($K829="","",INDEX('Detalle individual'!$A:$A,$K829))</f>
        <v/>
      </c>
      <c r="D829" s="72" t="str">
        <f>IF($K829="","",TRIM(INDEX('Detalle individual'!$B:$B,$K829)))</f>
        <v/>
      </c>
      <c r="E829" s="72" t="str">
        <f>IF($K829="","",TRIM(INDEX('Detalle individual'!$E:$E,$K829)))</f>
        <v/>
      </c>
      <c r="F829" s="72" t="str">
        <f>IF($K829="","",TRIM(INDEX('Detalle individual'!$C:$C,$K829)))</f>
        <v/>
      </c>
      <c r="G829" s="72" t="str">
        <f>IF($K829="","",INDEX('Detalle individual'!$D:$D,$K829))</f>
        <v/>
      </c>
      <c r="H829" s="13" t="str">
        <f>IF($K829="","",INDEX('Detalle individual'!$F:$F,$K829))</f>
        <v/>
      </c>
      <c r="I829" s="20" t="str">
        <f>IF($K829="","",IF(INDEX('Detalle individual'!$F:$F,$K829)="Completado",INDEX('Detalle individual'!$H:$H,$K829),""))</f>
        <v/>
      </c>
      <c r="J829" s="21" t="str">
        <f>IF($K829="","",IF(INDEX('Detalle individual'!$F:$F,$K829)="Completado",INDEX('Detalle individual'!$J:$J,$K829),""))</f>
        <v/>
      </c>
      <c r="K829" t="str">
        <f>IFERROR(MOD(SMALL(Cálculos!$Z$5:$Z$1000,821),10000),"")</f>
        <v/>
      </c>
    </row>
    <row r="830">
      <c r="B830" s="13" t="str">
        <f>IF($K830="","",822)</f>
        <v/>
      </c>
      <c r="C830" s="13" t="str">
        <f>IF($K830="","",INDEX('Detalle individual'!$A:$A,$K830))</f>
        <v/>
      </c>
      <c r="D830" s="72" t="str">
        <f>IF($K830="","",TRIM(INDEX('Detalle individual'!$B:$B,$K830)))</f>
        <v/>
      </c>
      <c r="E830" s="72" t="str">
        <f>IF($K830="","",TRIM(INDEX('Detalle individual'!$E:$E,$K830)))</f>
        <v/>
      </c>
      <c r="F830" s="72" t="str">
        <f>IF($K830="","",TRIM(INDEX('Detalle individual'!$C:$C,$K830)))</f>
        <v/>
      </c>
      <c r="G830" s="72" t="str">
        <f>IF($K830="","",INDEX('Detalle individual'!$D:$D,$K830))</f>
        <v/>
      </c>
      <c r="H830" s="13" t="str">
        <f>IF($K830="","",INDEX('Detalle individual'!$F:$F,$K830))</f>
        <v/>
      </c>
      <c r="I830" s="20" t="str">
        <f>IF($K830="","",IF(INDEX('Detalle individual'!$F:$F,$K830)="Completado",INDEX('Detalle individual'!$H:$H,$K830),""))</f>
        <v/>
      </c>
      <c r="J830" s="21" t="str">
        <f>IF($K830="","",IF(INDEX('Detalle individual'!$F:$F,$K830)="Completado",INDEX('Detalle individual'!$J:$J,$K830),""))</f>
        <v/>
      </c>
      <c r="K830" t="str">
        <f>IFERROR(MOD(SMALL(Cálculos!$Z$5:$Z$1000,822),10000),"")</f>
        <v/>
      </c>
    </row>
    <row r="831">
      <c r="B831" s="13" t="str">
        <f>IF($K831="","",823)</f>
        <v/>
      </c>
      <c r="C831" s="13" t="str">
        <f>IF($K831="","",INDEX('Detalle individual'!$A:$A,$K831))</f>
        <v/>
      </c>
      <c r="D831" s="72" t="str">
        <f>IF($K831="","",TRIM(INDEX('Detalle individual'!$B:$B,$K831)))</f>
        <v/>
      </c>
      <c r="E831" s="72" t="str">
        <f>IF($K831="","",TRIM(INDEX('Detalle individual'!$E:$E,$K831)))</f>
        <v/>
      </c>
      <c r="F831" s="72" t="str">
        <f>IF($K831="","",TRIM(INDEX('Detalle individual'!$C:$C,$K831)))</f>
        <v/>
      </c>
      <c r="G831" s="72" t="str">
        <f>IF($K831="","",INDEX('Detalle individual'!$D:$D,$K831))</f>
        <v/>
      </c>
      <c r="H831" s="13" t="str">
        <f>IF($K831="","",INDEX('Detalle individual'!$F:$F,$K831))</f>
        <v/>
      </c>
      <c r="I831" s="20" t="str">
        <f>IF($K831="","",IF(INDEX('Detalle individual'!$F:$F,$K831)="Completado",INDEX('Detalle individual'!$H:$H,$K831),""))</f>
        <v/>
      </c>
      <c r="J831" s="21" t="str">
        <f>IF($K831="","",IF(INDEX('Detalle individual'!$F:$F,$K831)="Completado",INDEX('Detalle individual'!$J:$J,$K831),""))</f>
        <v/>
      </c>
      <c r="K831" t="str">
        <f>IFERROR(MOD(SMALL(Cálculos!$Z$5:$Z$1000,823),10000),"")</f>
        <v/>
      </c>
    </row>
    <row r="832">
      <c r="B832" s="13" t="str">
        <f>IF($K832="","",824)</f>
        <v/>
      </c>
      <c r="C832" s="13" t="str">
        <f>IF($K832="","",INDEX('Detalle individual'!$A:$A,$K832))</f>
        <v/>
      </c>
      <c r="D832" s="72" t="str">
        <f>IF($K832="","",TRIM(INDEX('Detalle individual'!$B:$B,$K832)))</f>
        <v/>
      </c>
      <c r="E832" s="72" t="str">
        <f>IF($K832="","",TRIM(INDEX('Detalle individual'!$E:$E,$K832)))</f>
        <v/>
      </c>
      <c r="F832" s="72" t="str">
        <f>IF($K832="","",TRIM(INDEX('Detalle individual'!$C:$C,$K832)))</f>
        <v/>
      </c>
      <c r="G832" s="72" t="str">
        <f>IF($K832="","",INDEX('Detalle individual'!$D:$D,$K832))</f>
        <v/>
      </c>
      <c r="H832" s="13" t="str">
        <f>IF($K832="","",INDEX('Detalle individual'!$F:$F,$K832))</f>
        <v/>
      </c>
      <c r="I832" s="20" t="str">
        <f>IF($K832="","",IF(INDEX('Detalle individual'!$F:$F,$K832)="Completado",INDEX('Detalle individual'!$H:$H,$K832),""))</f>
        <v/>
      </c>
      <c r="J832" s="21" t="str">
        <f>IF($K832="","",IF(INDEX('Detalle individual'!$F:$F,$K832)="Completado",INDEX('Detalle individual'!$J:$J,$K832),""))</f>
        <v/>
      </c>
      <c r="K832" t="str">
        <f>IFERROR(MOD(SMALL(Cálculos!$Z$5:$Z$1000,824),10000),"")</f>
        <v/>
      </c>
    </row>
    <row r="833">
      <c r="B833" s="13" t="str">
        <f>IF($K833="","",825)</f>
        <v/>
      </c>
      <c r="C833" s="13" t="str">
        <f>IF($K833="","",INDEX('Detalle individual'!$A:$A,$K833))</f>
        <v/>
      </c>
      <c r="D833" s="72" t="str">
        <f>IF($K833="","",TRIM(INDEX('Detalle individual'!$B:$B,$K833)))</f>
        <v/>
      </c>
      <c r="E833" s="72" t="str">
        <f>IF($K833="","",TRIM(INDEX('Detalle individual'!$E:$E,$K833)))</f>
        <v/>
      </c>
      <c r="F833" s="72" t="str">
        <f>IF($K833="","",TRIM(INDEX('Detalle individual'!$C:$C,$K833)))</f>
        <v/>
      </c>
      <c r="G833" s="72" t="str">
        <f>IF($K833="","",INDEX('Detalle individual'!$D:$D,$K833))</f>
        <v/>
      </c>
      <c r="H833" s="13" t="str">
        <f>IF($K833="","",INDEX('Detalle individual'!$F:$F,$K833))</f>
        <v/>
      </c>
      <c r="I833" s="20" t="str">
        <f>IF($K833="","",IF(INDEX('Detalle individual'!$F:$F,$K833)="Completado",INDEX('Detalle individual'!$H:$H,$K833),""))</f>
        <v/>
      </c>
      <c r="J833" s="21" t="str">
        <f>IF($K833="","",IF(INDEX('Detalle individual'!$F:$F,$K833)="Completado",INDEX('Detalle individual'!$J:$J,$K833),""))</f>
        <v/>
      </c>
      <c r="K833" t="str">
        <f>IFERROR(MOD(SMALL(Cálculos!$Z$5:$Z$1000,825),10000),"")</f>
        <v/>
      </c>
    </row>
    <row r="834">
      <c r="B834" s="13" t="str">
        <f>IF($K834="","",826)</f>
        <v/>
      </c>
      <c r="C834" s="13" t="str">
        <f>IF($K834="","",INDEX('Detalle individual'!$A:$A,$K834))</f>
        <v/>
      </c>
      <c r="D834" s="72" t="str">
        <f>IF($K834="","",TRIM(INDEX('Detalle individual'!$B:$B,$K834)))</f>
        <v/>
      </c>
      <c r="E834" s="72" t="str">
        <f>IF($K834="","",TRIM(INDEX('Detalle individual'!$E:$E,$K834)))</f>
        <v/>
      </c>
      <c r="F834" s="72" t="str">
        <f>IF($K834="","",TRIM(INDEX('Detalle individual'!$C:$C,$K834)))</f>
        <v/>
      </c>
      <c r="G834" s="72" t="str">
        <f>IF($K834="","",INDEX('Detalle individual'!$D:$D,$K834))</f>
        <v/>
      </c>
      <c r="H834" s="13" t="str">
        <f>IF($K834="","",INDEX('Detalle individual'!$F:$F,$K834))</f>
        <v/>
      </c>
      <c r="I834" s="20" t="str">
        <f>IF($K834="","",IF(INDEX('Detalle individual'!$F:$F,$K834)="Completado",INDEX('Detalle individual'!$H:$H,$K834),""))</f>
        <v/>
      </c>
      <c r="J834" s="21" t="str">
        <f>IF($K834="","",IF(INDEX('Detalle individual'!$F:$F,$K834)="Completado",INDEX('Detalle individual'!$J:$J,$K834),""))</f>
        <v/>
      </c>
      <c r="K834" t="str">
        <f>IFERROR(MOD(SMALL(Cálculos!$Z$5:$Z$1000,826),10000),"")</f>
        <v/>
      </c>
    </row>
    <row r="835">
      <c r="B835" s="13" t="str">
        <f>IF($K835="","",827)</f>
        <v/>
      </c>
      <c r="C835" s="13" t="str">
        <f>IF($K835="","",INDEX('Detalle individual'!$A:$A,$K835))</f>
        <v/>
      </c>
      <c r="D835" s="72" t="str">
        <f>IF($K835="","",TRIM(INDEX('Detalle individual'!$B:$B,$K835)))</f>
        <v/>
      </c>
      <c r="E835" s="72" t="str">
        <f>IF($K835="","",TRIM(INDEX('Detalle individual'!$E:$E,$K835)))</f>
        <v/>
      </c>
      <c r="F835" s="72" t="str">
        <f>IF($K835="","",TRIM(INDEX('Detalle individual'!$C:$C,$K835)))</f>
        <v/>
      </c>
      <c r="G835" s="72" t="str">
        <f>IF($K835="","",INDEX('Detalle individual'!$D:$D,$K835))</f>
        <v/>
      </c>
      <c r="H835" s="13" t="str">
        <f>IF($K835="","",INDEX('Detalle individual'!$F:$F,$K835))</f>
        <v/>
      </c>
      <c r="I835" s="20" t="str">
        <f>IF($K835="","",IF(INDEX('Detalle individual'!$F:$F,$K835)="Completado",INDEX('Detalle individual'!$H:$H,$K835),""))</f>
        <v/>
      </c>
      <c r="J835" s="21" t="str">
        <f>IF($K835="","",IF(INDEX('Detalle individual'!$F:$F,$K835)="Completado",INDEX('Detalle individual'!$J:$J,$K835),""))</f>
        <v/>
      </c>
      <c r="K835" t="str">
        <f>IFERROR(MOD(SMALL(Cálculos!$Z$5:$Z$1000,827),10000),"")</f>
        <v/>
      </c>
    </row>
    <row r="836">
      <c r="B836" s="13" t="str">
        <f>IF($K836="","",828)</f>
        <v/>
      </c>
      <c r="C836" s="13" t="str">
        <f>IF($K836="","",INDEX('Detalle individual'!$A:$A,$K836))</f>
        <v/>
      </c>
      <c r="D836" s="72" t="str">
        <f>IF($K836="","",TRIM(INDEX('Detalle individual'!$B:$B,$K836)))</f>
        <v/>
      </c>
      <c r="E836" s="72" t="str">
        <f>IF($K836="","",TRIM(INDEX('Detalle individual'!$E:$E,$K836)))</f>
        <v/>
      </c>
      <c r="F836" s="72" t="str">
        <f>IF($K836="","",TRIM(INDEX('Detalle individual'!$C:$C,$K836)))</f>
        <v/>
      </c>
      <c r="G836" s="72" t="str">
        <f>IF($K836="","",INDEX('Detalle individual'!$D:$D,$K836))</f>
        <v/>
      </c>
      <c r="H836" s="13" t="str">
        <f>IF($K836="","",INDEX('Detalle individual'!$F:$F,$K836))</f>
        <v/>
      </c>
      <c r="I836" s="20" t="str">
        <f>IF($K836="","",IF(INDEX('Detalle individual'!$F:$F,$K836)="Completado",INDEX('Detalle individual'!$H:$H,$K836),""))</f>
        <v/>
      </c>
      <c r="J836" s="21" t="str">
        <f>IF($K836="","",IF(INDEX('Detalle individual'!$F:$F,$K836)="Completado",INDEX('Detalle individual'!$J:$J,$K836),""))</f>
        <v/>
      </c>
      <c r="K836" t="str">
        <f>IFERROR(MOD(SMALL(Cálculos!$Z$5:$Z$1000,828),10000),"")</f>
        <v/>
      </c>
    </row>
    <row r="837">
      <c r="B837" s="13" t="str">
        <f>IF($K837="","",829)</f>
        <v/>
      </c>
      <c r="C837" s="13" t="str">
        <f>IF($K837="","",INDEX('Detalle individual'!$A:$A,$K837))</f>
        <v/>
      </c>
      <c r="D837" s="72" t="str">
        <f>IF($K837="","",TRIM(INDEX('Detalle individual'!$B:$B,$K837)))</f>
        <v/>
      </c>
      <c r="E837" s="72" t="str">
        <f>IF($K837="","",TRIM(INDEX('Detalle individual'!$E:$E,$K837)))</f>
        <v/>
      </c>
      <c r="F837" s="72" t="str">
        <f>IF($K837="","",TRIM(INDEX('Detalle individual'!$C:$C,$K837)))</f>
        <v/>
      </c>
      <c r="G837" s="72" t="str">
        <f>IF($K837="","",INDEX('Detalle individual'!$D:$D,$K837))</f>
        <v/>
      </c>
      <c r="H837" s="13" t="str">
        <f>IF($K837="","",INDEX('Detalle individual'!$F:$F,$K837))</f>
        <v/>
      </c>
      <c r="I837" s="20" t="str">
        <f>IF($K837="","",IF(INDEX('Detalle individual'!$F:$F,$K837)="Completado",INDEX('Detalle individual'!$H:$H,$K837),""))</f>
        <v/>
      </c>
      <c r="J837" s="21" t="str">
        <f>IF($K837="","",IF(INDEX('Detalle individual'!$F:$F,$K837)="Completado",INDEX('Detalle individual'!$J:$J,$K837),""))</f>
        <v/>
      </c>
      <c r="K837" t="str">
        <f>IFERROR(MOD(SMALL(Cálculos!$Z$5:$Z$1000,829),10000),"")</f>
        <v/>
      </c>
    </row>
    <row r="838">
      <c r="B838" s="13" t="str">
        <f>IF($K838="","",830)</f>
        <v/>
      </c>
      <c r="C838" s="13" t="str">
        <f>IF($K838="","",INDEX('Detalle individual'!$A:$A,$K838))</f>
        <v/>
      </c>
      <c r="D838" s="72" t="str">
        <f>IF($K838="","",TRIM(INDEX('Detalle individual'!$B:$B,$K838)))</f>
        <v/>
      </c>
      <c r="E838" s="72" t="str">
        <f>IF($K838="","",TRIM(INDEX('Detalle individual'!$E:$E,$K838)))</f>
        <v/>
      </c>
      <c r="F838" s="72" t="str">
        <f>IF($K838="","",TRIM(INDEX('Detalle individual'!$C:$C,$K838)))</f>
        <v/>
      </c>
      <c r="G838" s="72" t="str">
        <f>IF($K838="","",INDEX('Detalle individual'!$D:$D,$K838))</f>
        <v/>
      </c>
      <c r="H838" s="13" t="str">
        <f>IF($K838="","",INDEX('Detalle individual'!$F:$F,$K838))</f>
        <v/>
      </c>
      <c r="I838" s="20" t="str">
        <f>IF($K838="","",IF(INDEX('Detalle individual'!$F:$F,$K838)="Completado",INDEX('Detalle individual'!$H:$H,$K838),""))</f>
        <v/>
      </c>
      <c r="J838" s="21" t="str">
        <f>IF($K838="","",IF(INDEX('Detalle individual'!$F:$F,$K838)="Completado",INDEX('Detalle individual'!$J:$J,$K838),""))</f>
        <v/>
      </c>
      <c r="K838" t="str">
        <f>IFERROR(MOD(SMALL(Cálculos!$Z$5:$Z$1000,830),10000),"")</f>
        <v/>
      </c>
    </row>
    <row r="839">
      <c r="B839" s="13" t="str">
        <f>IF($K839="","",831)</f>
        <v/>
      </c>
      <c r="C839" s="13" t="str">
        <f>IF($K839="","",INDEX('Detalle individual'!$A:$A,$K839))</f>
        <v/>
      </c>
      <c r="D839" s="72" t="str">
        <f>IF($K839="","",TRIM(INDEX('Detalle individual'!$B:$B,$K839)))</f>
        <v/>
      </c>
      <c r="E839" s="72" t="str">
        <f>IF($K839="","",TRIM(INDEX('Detalle individual'!$E:$E,$K839)))</f>
        <v/>
      </c>
      <c r="F839" s="72" t="str">
        <f>IF($K839="","",TRIM(INDEX('Detalle individual'!$C:$C,$K839)))</f>
        <v/>
      </c>
      <c r="G839" s="72" t="str">
        <f>IF($K839="","",INDEX('Detalle individual'!$D:$D,$K839))</f>
        <v/>
      </c>
      <c r="H839" s="13" t="str">
        <f>IF($K839="","",INDEX('Detalle individual'!$F:$F,$K839))</f>
        <v/>
      </c>
      <c r="I839" s="20" t="str">
        <f>IF($K839="","",IF(INDEX('Detalle individual'!$F:$F,$K839)="Completado",INDEX('Detalle individual'!$H:$H,$K839),""))</f>
        <v/>
      </c>
      <c r="J839" s="21" t="str">
        <f>IF($K839="","",IF(INDEX('Detalle individual'!$F:$F,$K839)="Completado",INDEX('Detalle individual'!$J:$J,$K839),""))</f>
        <v/>
      </c>
      <c r="K839" t="str">
        <f>IFERROR(MOD(SMALL(Cálculos!$Z$5:$Z$1000,831),10000),"")</f>
        <v/>
      </c>
    </row>
    <row r="840">
      <c r="B840" s="13" t="str">
        <f>IF($K840="","",832)</f>
        <v/>
      </c>
      <c r="C840" s="13" t="str">
        <f>IF($K840="","",INDEX('Detalle individual'!$A:$A,$K840))</f>
        <v/>
      </c>
      <c r="D840" s="72" t="str">
        <f>IF($K840="","",TRIM(INDEX('Detalle individual'!$B:$B,$K840)))</f>
        <v/>
      </c>
      <c r="E840" s="72" t="str">
        <f>IF($K840="","",TRIM(INDEX('Detalle individual'!$E:$E,$K840)))</f>
        <v/>
      </c>
      <c r="F840" s="72" t="str">
        <f>IF($K840="","",TRIM(INDEX('Detalle individual'!$C:$C,$K840)))</f>
        <v/>
      </c>
      <c r="G840" s="72" t="str">
        <f>IF($K840="","",INDEX('Detalle individual'!$D:$D,$K840))</f>
        <v/>
      </c>
      <c r="H840" s="13" t="str">
        <f>IF($K840="","",INDEX('Detalle individual'!$F:$F,$K840))</f>
        <v/>
      </c>
      <c r="I840" s="20" t="str">
        <f>IF($K840="","",IF(INDEX('Detalle individual'!$F:$F,$K840)="Completado",INDEX('Detalle individual'!$H:$H,$K840),""))</f>
        <v/>
      </c>
      <c r="J840" s="21" t="str">
        <f>IF($K840="","",IF(INDEX('Detalle individual'!$F:$F,$K840)="Completado",INDEX('Detalle individual'!$J:$J,$K840),""))</f>
        <v/>
      </c>
      <c r="K840" t="str">
        <f>IFERROR(MOD(SMALL(Cálculos!$Z$5:$Z$1000,832),10000),"")</f>
        <v/>
      </c>
    </row>
    <row r="841">
      <c r="B841" s="13" t="str">
        <f>IF($K841="","",833)</f>
        <v/>
      </c>
      <c r="C841" s="13" t="str">
        <f>IF($K841="","",INDEX('Detalle individual'!$A:$A,$K841))</f>
        <v/>
      </c>
      <c r="D841" s="72" t="str">
        <f>IF($K841="","",TRIM(INDEX('Detalle individual'!$B:$B,$K841)))</f>
        <v/>
      </c>
      <c r="E841" s="72" t="str">
        <f>IF($K841="","",TRIM(INDEX('Detalle individual'!$E:$E,$K841)))</f>
        <v/>
      </c>
      <c r="F841" s="72" t="str">
        <f>IF($K841="","",TRIM(INDEX('Detalle individual'!$C:$C,$K841)))</f>
        <v/>
      </c>
      <c r="G841" s="72" t="str">
        <f>IF($K841="","",INDEX('Detalle individual'!$D:$D,$K841))</f>
        <v/>
      </c>
      <c r="H841" s="13" t="str">
        <f>IF($K841="","",INDEX('Detalle individual'!$F:$F,$K841))</f>
        <v/>
      </c>
      <c r="I841" s="20" t="str">
        <f>IF($K841="","",IF(INDEX('Detalle individual'!$F:$F,$K841)="Completado",INDEX('Detalle individual'!$H:$H,$K841),""))</f>
        <v/>
      </c>
      <c r="J841" s="21" t="str">
        <f>IF($K841="","",IF(INDEX('Detalle individual'!$F:$F,$K841)="Completado",INDEX('Detalle individual'!$J:$J,$K841),""))</f>
        <v/>
      </c>
      <c r="K841" t="str">
        <f>IFERROR(MOD(SMALL(Cálculos!$Z$5:$Z$1000,833),10000),"")</f>
        <v/>
      </c>
    </row>
    <row r="842">
      <c r="B842" s="13" t="str">
        <f>IF($K842="","",834)</f>
        <v/>
      </c>
      <c r="C842" s="13" t="str">
        <f>IF($K842="","",INDEX('Detalle individual'!$A:$A,$K842))</f>
        <v/>
      </c>
      <c r="D842" s="72" t="str">
        <f>IF($K842="","",TRIM(INDEX('Detalle individual'!$B:$B,$K842)))</f>
        <v/>
      </c>
      <c r="E842" s="72" t="str">
        <f>IF($K842="","",TRIM(INDEX('Detalle individual'!$E:$E,$K842)))</f>
        <v/>
      </c>
      <c r="F842" s="72" t="str">
        <f>IF($K842="","",TRIM(INDEX('Detalle individual'!$C:$C,$K842)))</f>
        <v/>
      </c>
      <c r="G842" s="72" t="str">
        <f>IF($K842="","",INDEX('Detalle individual'!$D:$D,$K842))</f>
        <v/>
      </c>
      <c r="H842" s="13" t="str">
        <f>IF($K842="","",INDEX('Detalle individual'!$F:$F,$K842))</f>
        <v/>
      </c>
      <c r="I842" s="20" t="str">
        <f>IF($K842="","",IF(INDEX('Detalle individual'!$F:$F,$K842)="Completado",INDEX('Detalle individual'!$H:$H,$K842),""))</f>
        <v/>
      </c>
      <c r="J842" s="21" t="str">
        <f>IF($K842="","",IF(INDEX('Detalle individual'!$F:$F,$K842)="Completado",INDEX('Detalle individual'!$J:$J,$K842),""))</f>
        <v/>
      </c>
      <c r="K842" t="str">
        <f>IFERROR(MOD(SMALL(Cálculos!$Z$5:$Z$1000,834),10000),"")</f>
        <v/>
      </c>
    </row>
    <row r="843">
      <c r="B843" s="13" t="str">
        <f>IF($K843="","",835)</f>
        <v/>
      </c>
      <c r="C843" s="13" t="str">
        <f>IF($K843="","",INDEX('Detalle individual'!$A:$A,$K843))</f>
        <v/>
      </c>
      <c r="D843" s="72" t="str">
        <f>IF($K843="","",TRIM(INDEX('Detalle individual'!$B:$B,$K843)))</f>
        <v/>
      </c>
      <c r="E843" s="72" t="str">
        <f>IF($K843="","",TRIM(INDEX('Detalle individual'!$E:$E,$K843)))</f>
        <v/>
      </c>
      <c r="F843" s="72" t="str">
        <f>IF($K843="","",TRIM(INDEX('Detalle individual'!$C:$C,$K843)))</f>
        <v/>
      </c>
      <c r="G843" s="72" t="str">
        <f>IF($K843="","",INDEX('Detalle individual'!$D:$D,$K843))</f>
        <v/>
      </c>
      <c r="H843" s="13" t="str">
        <f>IF($K843="","",INDEX('Detalle individual'!$F:$F,$K843))</f>
        <v/>
      </c>
      <c r="I843" s="20" t="str">
        <f>IF($K843="","",IF(INDEX('Detalle individual'!$F:$F,$K843)="Completado",INDEX('Detalle individual'!$H:$H,$K843),""))</f>
        <v/>
      </c>
      <c r="J843" s="21" t="str">
        <f>IF($K843="","",IF(INDEX('Detalle individual'!$F:$F,$K843)="Completado",INDEX('Detalle individual'!$J:$J,$K843),""))</f>
        <v/>
      </c>
      <c r="K843" t="str">
        <f>IFERROR(MOD(SMALL(Cálculos!$Z$5:$Z$1000,835),10000),"")</f>
        <v/>
      </c>
    </row>
    <row r="844">
      <c r="B844" s="13" t="str">
        <f>IF($K844="","",836)</f>
        <v/>
      </c>
      <c r="C844" s="13" t="str">
        <f>IF($K844="","",INDEX('Detalle individual'!$A:$A,$K844))</f>
        <v/>
      </c>
      <c r="D844" s="72" t="str">
        <f>IF($K844="","",TRIM(INDEX('Detalle individual'!$B:$B,$K844)))</f>
        <v/>
      </c>
      <c r="E844" s="72" t="str">
        <f>IF($K844="","",TRIM(INDEX('Detalle individual'!$E:$E,$K844)))</f>
        <v/>
      </c>
      <c r="F844" s="72" t="str">
        <f>IF($K844="","",TRIM(INDEX('Detalle individual'!$C:$C,$K844)))</f>
        <v/>
      </c>
      <c r="G844" s="72" t="str">
        <f>IF($K844="","",INDEX('Detalle individual'!$D:$D,$K844))</f>
        <v/>
      </c>
      <c r="H844" s="13" t="str">
        <f>IF($K844="","",INDEX('Detalle individual'!$F:$F,$K844))</f>
        <v/>
      </c>
      <c r="I844" s="20" t="str">
        <f>IF($K844="","",IF(INDEX('Detalle individual'!$F:$F,$K844)="Completado",INDEX('Detalle individual'!$H:$H,$K844),""))</f>
        <v/>
      </c>
      <c r="J844" s="21" t="str">
        <f>IF($K844="","",IF(INDEX('Detalle individual'!$F:$F,$K844)="Completado",INDEX('Detalle individual'!$J:$J,$K844),""))</f>
        <v/>
      </c>
      <c r="K844" t="str">
        <f>IFERROR(MOD(SMALL(Cálculos!$Z$5:$Z$1000,836),10000),"")</f>
        <v/>
      </c>
    </row>
    <row r="845">
      <c r="B845" s="13" t="str">
        <f>IF($K845="","",837)</f>
        <v/>
      </c>
      <c r="C845" s="13" t="str">
        <f>IF($K845="","",INDEX('Detalle individual'!$A:$A,$K845))</f>
        <v/>
      </c>
      <c r="D845" s="72" t="str">
        <f>IF($K845="","",TRIM(INDEX('Detalle individual'!$B:$B,$K845)))</f>
        <v/>
      </c>
      <c r="E845" s="72" t="str">
        <f>IF($K845="","",TRIM(INDEX('Detalle individual'!$E:$E,$K845)))</f>
        <v/>
      </c>
      <c r="F845" s="72" t="str">
        <f>IF($K845="","",TRIM(INDEX('Detalle individual'!$C:$C,$K845)))</f>
        <v/>
      </c>
      <c r="G845" s="72" t="str">
        <f>IF($K845="","",INDEX('Detalle individual'!$D:$D,$K845))</f>
        <v/>
      </c>
      <c r="H845" s="13" t="str">
        <f>IF($K845="","",INDEX('Detalle individual'!$F:$F,$K845))</f>
        <v/>
      </c>
      <c r="I845" s="20" t="str">
        <f>IF($K845="","",IF(INDEX('Detalle individual'!$F:$F,$K845)="Completado",INDEX('Detalle individual'!$H:$H,$K845),""))</f>
        <v/>
      </c>
      <c r="J845" s="21" t="str">
        <f>IF($K845="","",IF(INDEX('Detalle individual'!$F:$F,$K845)="Completado",INDEX('Detalle individual'!$J:$J,$K845),""))</f>
        <v/>
      </c>
      <c r="K845" t="str">
        <f>IFERROR(MOD(SMALL(Cálculos!$Z$5:$Z$1000,837),10000),"")</f>
        <v/>
      </c>
    </row>
    <row r="846">
      <c r="B846" s="13" t="str">
        <f>IF($K846="","",838)</f>
        <v/>
      </c>
      <c r="C846" s="13" t="str">
        <f>IF($K846="","",INDEX('Detalle individual'!$A:$A,$K846))</f>
        <v/>
      </c>
      <c r="D846" s="72" t="str">
        <f>IF($K846="","",TRIM(INDEX('Detalle individual'!$B:$B,$K846)))</f>
        <v/>
      </c>
      <c r="E846" s="72" t="str">
        <f>IF($K846="","",TRIM(INDEX('Detalle individual'!$E:$E,$K846)))</f>
        <v/>
      </c>
      <c r="F846" s="72" t="str">
        <f>IF($K846="","",TRIM(INDEX('Detalle individual'!$C:$C,$K846)))</f>
        <v/>
      </c>
      <c r="G846" s="72" t="str">
        <f>IF($K846="","",INDEX('Detalle individual'!$D:$D,$K846))</f>
        <v/>
      </c>
      <c r="H846" s="13" t="str">
        <f>IF($K846="","",INDEX('Detalle individual'!$F:$F,$K846))</f>
        <v/>
      </c>
      <c r="I846" s="20" t="str">
        <f>IF($K846="","",IF(INDEX('Detalle individual'!$F:$F,$K846)="Completado",INDEX('Detalle individual'!$H:$H,$K846),""))</f>
        <v/>
      </c>
      <c r="J846" s="21" t="str">
        <f>IF($K846="","",IF(INDEX('Detalle individual'!$F:$F,$K846)="Completado",INDEX('Detalle individual'!$J:$J,$K846),""))</f>
        <v/>
      </c>
      <c r="K846" t="str">
        <f>IFERROR(MOD(SMALL(Cálculos!$Z$5:$Z$1000,838),10000),"")</f>
        <v/>
      </c>
    </row>
    <row r="847">
      <c r="B847" s="13" t="str">
        <f>IF($K847="","",839)</f>
        <v/>
      </c>
      <c r="C847" s="13" t="str">
        <f>IF($K847="","",INDEX('Detalle individual'!$A:$A,$K847))</f>
        <v/>
      </c>
      <c r="D847" s="72" t="str">
        <f>IF($K847="","",TRIM(INDEX('Detalle individual'!$B:$B,$K847)))</f>
        <v/>
      </c>
      <c r="E847" s="72" t="str">
        <f>IF($K847="","",TRIM(INDEX('Detalle individual'!$E:$E,$K847)))</f>
        <v/>
      </c>
      <c r="F847" s="72" t="str">
        <f>IF($K847="","",TRIM(INDEX('Detalle individual'!$C:$C,$K847)))</f>
        <v/>
      </c>
      <c r="G847" s="72" t="str">
        <f>IF($K847="","",INDEX('Detalle individual'!$D:$D,$K847))</f>
        <v/>
      </c>
      <c r="H847" s="13" t="str">
        <f>IF($K847="","",INDEX('Detalle individual'!$F:$F,$K847))</f>
        <v/>
      </c>
      <c r="I847" s="20" t="str">
        <f>IF($K847="","",IF(INDEX('Detalle individual'!$F:$F,$K847)="Completado",INDEX('Detalle individual'!$H:$H,$K847),""))</f>
        <v/>
      </c>
      <c r="J847" s="21" t="str">
        <f>IF($K847="","",IF(INDEX('Detalle individual'!$F:$F,$K847)="Completado",INDEX('Detalle individual'!$J:$J,$K847),""))</f>
        <v/>
      </c>
      <c r="K847" t="str">
        <f>IFERROR(MOD(SMALL(Cálculos!$Z$5:$Z$1000,839),10000),"")</f>
        <v/>
      </c>
    </row>
    <row r="848">
      <c r="B848" s="13" t="str">
        <f>IF($K848="","",840)</f>
        <v/>
      </c>
      <c r="C848" s="13" t="str">
        <f>IF($K848="","",INDEX('Detalle individual'!$A:$A,$K848))</f>
        <v/>
      </c>
      <c r="D848" s="72" t="str">
        <f>IF($K848="","",TRIM(INDEX('Detalle individual'!$B:$B,$K848)))</f>
        <v/>
      </c>
      <c r="E848" s="72" t="str">
        <f>IF($K848="","",TRIM(INDEX('Detalle individual'!$E:$E,$K848)))</f>
        <v/>
      </c>
      <c r="F848" s="72" t="str">
        <f>IF($K848="","",TRIM(INDEX('Detalle individual'!$C:$C,$K848)))</f>
        <v/>
      </c>
      <c r="G848" s="72" t="str">
        <f>IF($K848="","",INDEX('Detalle individual'!$D:$D,$K848))</f>
        <v/>
      </c>
      <c r="H848" s="13" t="str">
        <f>IF($K848="","",INDEX('Detalle individual'!$F:$F,$K848))</f>
        <v/>
      </c>
      <c r="I848" s="20" t="str">
        <f>IF($K848="","",IF(INDEX('Detalle individual'!$F:$F,$K848)="Completado",INDEX('Detalle individual'!$H:$H,$K848),""))</f>
        <v/>
      </c>
      <c r="J848" s="21" t="str">
        <f>IF($K848="","",IF(INDEX('Detalle individual'!$F:$F,$K848)="Completado",INDEX('Detalle individual'!$J:$J,$K848),""))</f>
        <v/>
      </c>
      <c r="K848" t="str">
        <f>IFERROR(MOD(SMALL(Cálculos!$Z$5:$Z$1000,840),10000),"")</f>
        <v/>
      </c>
    </row>
    <row r="849">
      <c r="B849" s="13" t="str">
        <f>IF($K849="","",841)</f>
        <v/>
      </c>
      <c r="C849" s="13" t="str">
        <f>IF($K849="","",INDEX('Detalle individual'!$A:$A,$K849))</f>
        <v/>
      </c>
      <c r="D849" s="72" t="str">
        <f>IF($K849="","",TRIM(INDEX('Detalle individual'!$B:$B,$K849)))</f>
        <v/>
      </c>
      <c r="E849" s="72" t="str">
        <f>IF($K849="","",TRIM(INDEX('Detalle individual'!$E:$E,$K849)))</f>
        <v/>
      </c>
      <c r="F849" s="72" t="str">
        <f>IF($K849="","",TRIM(INDEX('Detalle individual'!$C:$C,$K849)))</f>
        <v/>
      </c>
      <c r="G849" s="72" t="str">
        <f>IF($K849="","",INDEX('Detalle individual'!$D:$D,$K849))</f>
        <v/>
      </c>
      <c r="H849" s="13" t="str">
        <f>IF($K849="","",INDEX('Detalle individual'!$F:$F,$K849))</f>
        <v/>
      </c>
      <c r="I849" s="20" t="str">
        <f>IF($K849="","",IF(INDEX('Detalle individual'!$F:$F,$K849)="Completado",INDEX('Detalle individual'!$H:$H,$K849),""))</f>
        <v/>
      </c>
      <c r="J849" s="21" t="str">
        <f>IF($K849="","",IF(INDEX('Detalle individual'!$F:$F,$K849)="Completado",INDEX('Detalle individual'!$J:$J,$K849),""))</f>
        <v/>
      </c>
      <c r="K849" t="str">
        <f>IFERROR(MOD(SMALL(Cálculos!$Z$5:$Z$1000,841),10000),"")</f>
        <v/>
      </c>
    </row>
    <row r="850">
      <c r="B850" s="13" t="str">
        <f>IF($K850="","",842)</f>
        <v/>
      </c>
      <c r="C850" s="13" t="str">
        <f>IF($K850="","",INDEX('Detalle individual'!$A:$A,$K850))</f>
        <v/>
      </c>
      <c r="D850" s="72" t="str">
        <f>IF($K850="","",TRIM(INDEX('Detalle individual'!$B:$B,$K850)))</f>
        <v/>
      </c>
      <c r="E850" s="72" t="str">
        <f>IF($K850="","",TRIM(INDEX('Detalle individual'!$E:$E,$K850)))</f>
        <v/>
      </c>
      <c r="F850" s="72" t="str">
        <f>IF($K850="","",TRIM(INDEX('Detalle individual'!$C:$C,$K850)))</f>
        <v/>
      </c>
      <c r="G850" s="72" t="str">
        <f>IF($K850="","",INDEX('Detalle individual'!$D:$D,$K850))</f>
        <v/>
      </c>
      <c r="H850" s="13" t="str">
        <f>IF($K850="","",INDEX('Detalle individual'!$F:$F,$K850))</f>
        <v/>
      </c>
      <c r="I850" s="20" t="str">
        <f>IF($K850="","",IF(INDEX('Detalle individual'!$F:$F,$K850)="Completado",INDEX('Detalle individual'!$H:$H,$K850),""))</f>
        <v/>
      </c>
      <c r="J850" s="21" t="str">
        <f>IF($K850="","",IF(INDEX('Detalle individual'!$F:$F,$K850)="Completado",INDEX('Detalle individual'!$J:$J,$K850),""))</f>
        <v/>
      </c>
      <c r="K850" t="str">
        <f>IFERROR(MOD(SMALL(Cálculos!$Z$5:$Z$1000,842),10000),"")</f>
        <v/>
      </c>
    </row>
    <row r="851">
      <c r="B851" s="13" t="str">
        <f>IF($K851="","",843)</f>
        <v/>
      </c>
      <c r="C851" s="13" t="str">
        <f>IF($K851="","",INDEX('Detalle individual'!$A:$A,$K851))</f>
        <v/>
      </c>
      <c r="D851" s="72" t="str">
        <f>IF($K851="","",TRIM(INDEX('Detalle individual'!$B:$B,$K851)))</f>
        <v/>
      </c>
      <c r="E851" s="72" t="str">
        <f>IF($K851="","",TRIM(INDEX('Detalle individual'!$E:$E,$K851)))</f>
        <v/>
      </c>
      <c r="F851" s="72" t="str">
        <f>IF($K851="","",TRIM(INDEX('Detalle individual'!$C:$C,$K851)))</f>
        <v/>
      </c>
      <c r="G851" s="72" t="str">
        <f>IF($K851="","",INDEX('Detalle individual'!$D:$D,$K851))</f>
        <v/>
      </c>
      <c r="H851" s="13" t="str">
        <f>IF($K851="","",INDEX('Detalle individual'!$F:$F,$K851))</f>
        <v/>
      </c>
      <c r="I851" s="20" t="str">
        <f>IF($K851="","",IF(INDEX('Detalle individual'!$F:$F,$K851)="Completado",INDEX('Detalle individual'!$H:$H,$K851),""))</f>
        <v/>
      </c>
      <c r="J851" s="21" t="str">
        <f>IF($K851="","",IF(INDEX('Detalle individual'!$F:$F,$K851)="Completado",INDEX('Detalle individual'!$J:$J,$K851),""))</f>
        <v/>
      </c>
      <c r="K851" t="str">
        <f>IFERROR(MOD(SMALL(Cálculos!$Z$5:$Z$1000,843),10000),"")</f>
        <v/>
      </c>
    </row>
    <row r="852">
      <c r="B852" s="13" t="str">
        <f>IF($K852="","",844)</f>
        <v/>
      </c>
      <c r="C852" s="13" t="str">
        <f>IF($K852="","",INDEX('Detalle individual'!$A:$A,$K852))</f>
        <v/>
      </c>
      <c r="D852" s="72" t="str">
        <f>IF($K852="","",TRIM(INDEX('Detalle individual'!$B:$B,$K852)))</f>
        <v/>
      </c>
      <c r="E852" s="72" t="str">
        <f>IF($K852="","",TRIM(INDEX('Detalle individual'!$E:$E,$K852)))</f>
        <v/>
      </c>
      <c r="F852" s="72" t="str">
        <f>IF($K852="","",TRIM(INDEX('Detalle individual'!$C:$C,$K852)))</f>
        <v/>
      </c>
      <c r="G852" s="72" t="str">
        <f>IF($K852="","",INDEX('Detalle individual'!$D:$D,$K852))</f>
        <v/>
      </c>
      <c r="H852" s="13" t="str">
        <f>IF($K852="","",INDEX('Detalle individual'!$F:$F,$K852))</f>
        <v/>
      </c>
      <c r="I852" s="20" t="str">
        <f>IF($K852="","",IF(INDEX('Detalle individual'!$F:$F,$K852)="Completado",INDEX('Detalle individual'!$H:$H,$K852),""))</f>
        <v/>
      </c>
      <c r="J852" s="21" t="str">
        <f>IF($K852="","",IF(INDEX('Detalle individual'!$F:$F,$K852)="Completado",INDEX('Detalle individual'!$J:$J,$K852),""))</f>
        <v/>
      </c>
      <c r="K852" t="str">
        <f>IFERROR(MOD(SMALL(Cálculos!$Z$5:$Z$1000,844),10000),"")</f>
        <v/>
      </c>
    </row>
    <row r="853">
      <c r="B853" s="13" t="str">
        <f>IF($K853="","",845)</f>
        <v/>
      </c>
      <c r="C853" s="13" t="str">
        <f>IF($K853="","",INDEX('Detalle individual'!$A:$A,$K853))</f>
        <v/>
      </c>
      <c r="D853" s="72" t="str">
        <f>IF($K853="","",TRIM(INDEX('Detalle individual'!$B:$B,$K853)))</f>
        <v/>
      </c>
      <c r="E853" s="72" t="str">
        <f>IF($K853="","",TRIM(INDEX('Detalle individual'!$E:$E,$K853)))</f>
        <v/>
      </c>
      <c r="F853" s="72" t="str">
        <f>IF($K853="","",TRIM(INDEX('Detalle individual'!$C:$C,$K853)))</f>
        <v/>
      </c>
      <c r="G853" s="72" t="str">
        <f>IF($K853="","",INDEX('Detalle individual'!$D:$D,$K853))</f>
        <v/>
      </c>
      <c r="H853" s="13" t="str">
        <f>IF($K853="","",INDEX('Detalle individual'!$F:$F,$K853))</f>
        <v/>
      </c>
      <c r="I853" s="20" t="str">
        <f>IF($K853="","",IF(INDEX('Detalle individual'!$F:$F,$K853)="Completado",INDEX('Detalle individual'!$H:$H,$K853),""))</f>
        <v/>
      </c>
      <c r="J853" s="21" t="str">
        <f>IF($K853="","",IF(INDEX('Detalle individual'!$F:$F,$K853)="Completado",INDEX('Detalle individual'!$J:$J,$K853),""))</f>
        <v/>
      </c>
      <c r="K853" t="str">
        <f>IFERROR(MOD(SMALL(Cálculos!$Z$5:$Z$1000,845),10000),"")</f>
        <v/>
      </c>
    </row>
    <row r="854">
      <c r="B854" s="13" t="str">
        <f>IF($K854="","",846)</f>
        <v/>
      </c>
      <c r="C854" s="13" t="str">
        <f>IF($K854="","",INDEX('Detalle individual'!$A:$A,$K854))</f>
        <v/>
      </c>
      <c r="D854" s="72" t="str">
        <f>IF($K854="","",TRIM(INDEX('Detalle individual'!$B:$B,$K854)))</f>
        <v/>
      </c>
      <c r="E854" s="72" t="str">
        <f>IF($K854="","",TRIM(INDEX('Detalle individual'!$E:$E,$K854)))</f>
        <v/>
      </c>
      <c r="F854" s="72" t="str">
        <f>IF($K854="","",TRIM(INDEX('Detalle individual'!$C:$C,$K854)))</f>
        <v/>
      </c>
      <c r="G854" s="72" t="str">
        <f>IF($K854="","",INDEX('Detalle individual'!$D:$D,$K854))</f>
        <v/>
      </c>
      <c r="H854" s="13" t="str">
        <f>IF($K854="","",INDEX('Detalle individual'!$F:$F,$K854))</f>
        <v/>
      </c>
      <c r="I854" s="20" t="str">
        <f>IF($K854="","",IF(INDEX('Detalle individual'!$F:$F,$K854)="Completado",INDEX('Detalle individual'!$H:$H,$K854),""))</f>
        <v/>
      </c>
      <c r="J854" s="21" t="str">
        <f>IF($K854="","",IF(INDEX('Detalle individual'!$F:$F,$K854)="Completado",INDEX('Detalle individual'!$J:$J,$K854),""))</f>
        <v/>
      </c>
      <c r="K854" t="str">
        <f>IFERROR(MOD(SMALL(Cálculos!$Z$5:$Z$1000,846),10000),"")</f>
        <v/>
      </c>
    </row>
    <row r="855">
      <c r="B855" s="13" t="str">
        <f>IF($K855="","",847)</f>
        <v/>
      </c>
      <c r="C855" s="13" t="str">
        <f>IF($K855="","",INDEX('Detalle individual'!$A:$A,$K855))</f>
        <v/>
      </c>
      <c r="D855" s="72" t="str">
        <f>IF($K855="","",TRIM(INDEX('Detalle individual'!$B:$B,$K855)))</f>
        <v/>
      </c>
      <c r="E855" s="72" t="str">
        <f>IF($K855="","",TRIM(INDEX('Detalle individual'!$E:$E,$K855)))</f>
        <v/>
      </c>
      <c r="F855" s="72" t="str">
        <f>IF($K855="","",TRIM(INDEX('Detalle individual'!$C:$C,$K855)))</f>
        <v/>
      </c>
      <c r="G855" s="72" t="str">
        <f>IF($K855="","",INDEX('Detalle individual'!$D:$D,$K855))</f>
        <v/>
      </c>
      <c r="H855" s="13" t="str">
        <f>IF($K855="","",INDEX('Detalle individual'!$F:$F,$K855))</f>
        <v/>
      </c>
      <c r="I855" s="20" t="str">
        <f>IF($K855="","",IF(INDEX('Detalle individual'!$F:$F,$K855)="Completado",INDEX('Detalle individual'!$H:$H,$K855),""))</f>
        <v/>
      </c>
      <c r="J855" s="21" t="str">
        <f>IF($K855="","",IF(INDEX('Detalle individual'!$F:$F,$K855)="Completado",INDEX('Detalle individual'!$J:$J,$K855),""))</f>
        <v/>
      </c>
      <c r="K855" t="str">
        <f>IFERROR(MOD(SMALL(Cálculos!$Z$5:$Z$1000,847),10000),"")</f>
        <v/>
      </c>
    </row>
    <row r="856">
      <c r="B856" s="13" t="str">
        <f>IF($K856="","",848)</f>
        <v/>
      </c>
      <c r="C856" s="13" t="str">
        <f>IF($K856="","",INDEX('Detalle individual'!$A:$A,$K856))</f>
        <v/>
      </c>
      <c r="D856" s="72" t="str">
        <f>IF($K856="","",TRIM(INDEX('Detalle individual'!$B:$B,$K856)))</f>
        <v/>
      </c>
      <c r="E856" s="72" t="str">
        <f>IF($K856="","",TRIM(INDEX('Detalle individual'!$E:$E,$K856)))</f>
        <v/>
      </c>
      <c r="F856" s="72" t="str">
        <f>IF($K856="","",TRIM(INDEX('Detalle individual'!$C:$C,$K856)))</f>
        <v/>
      </c>
      <c r="G856" s="72" t="str">
        <f>IF($K856="","",INDEX('Detalle individual'!$D:$D,$K856))</f>
        <v/>
      </c>
      <c r="H856" s="13" t="str">
        <f>IF($K856="","",INDEX('Detalle individual'!$F:$F,$K856))</f>
        <v/>
      </c>
      <c r="I856" s="20" t="str">
        <f>IF($K856="","",IF(INDEX('Detalle individual'!$F:$F,$K856)="Completado",INDEX('Detalle individual'!$H:$H,$K856),""))</f>
        <v/>
      </c>
      <c r="J856" s="21" t="str">
        <f>IF($K856="","",IF(INDEX('Detalle individual'!$F:$F,$K856)="Completado",INDEX('Detalle individual'!$J:$J,$K856),""))</f>
        <v/>
      </c>
      <c r="K856" t="str">
        <f>IFERROR(MOD(SMALL(Cálculos!$Z$5:$Z$1000,848),10000),"")</f>
        <v/>
      </c>
    </row>
    <row r="857">
      <c r="B857" s="13" t="str">
        <f>IF($K857="","",849)</f>
        <v/>
      </c>
      <c r="C857" s="13" t="str">
        <f>IF($K857="","",INDEX('Detalle individual'!$A:$A,$K857))</f>
        <v/>
      </c>
      <c r="D857" s="72" t="str">
        <f>IF($K857="","",TRIM(INDEX('Detalle individual'!$B:$B,$K857)))</f>
        <v/>
      </c>
      <c r="E857" s="72" t="str">
        <f>IF($K857="","",TRIM(INDEX('Detalle individual'!$E:$E,$K857)))</f>
        <v/>
      </c>
      <c r="F857" s="72" t="str">
        <f>IF($K857="","",TRIM(INDEX('Detalle individual'!$C:$C,$K857)))</f>
        <v/>
      </c>
      <c r="G857" s="72" t="str">
        <f>IF($K857="","",INDEX('Detalle individual'!$D:$D,$K857))</f>
        <v/>
      </c>
      <c r="H857" s="13" t="str">
        <f>IF($K857="","",INDEX('Detalle individual'!$F:$F,$K857))</f>
        <v/>
      </c>
      <c r="I857" s="20" t="str">
        <f>IF($K857="","",IF(INDEX('Detalle individual'!$F:$F,$K857)="Completado",INDEX('Detalle individual'!$H:$H,$K857),""))</f>
        <v/>
      </c>
      <c r="J857" s="21" t="str">
        <f>IF($K857="","",IF(INDEX('Detalle individual'!$F:$F,$K857)="Completado",INDEX('Detalle individual'!$J:$J,$K857),""))</f>
        <v/>
      </c>
      <c r="K857" t="str">
        <f>IFERROR(MOD(SMALL(Cálculos!$Z$5:$Z$1000,849),10000),"")</f>
        <v/>
      </c>
    </row>
    <row r="858">
      <c r="B858" s="13" t="str">
        <f>IF($K858="","",850)</f>
        <v/>
      </c>
      <c r="C858" s="13" t="str">
        <f>IF($K858="","",INDEX('Detalle individual'!$A:$A,$K858))</f>
        <v/>
      </c>
      <c r="D858" s="72" t="str">
        <f>IF($K858="","",TRIM(INDEX('Detalle individual'!$B:$B,$K858)))</f>
        <v/>
      </c>
      <c r="E858" s="72" t="str">
        <f>IF($K858="","",TRIM(INDEX('Detalle individual'!$E:$E,$K858)))</f>
        <v/>
      </c>
      <c r="F858" s="72" t="str">
        <f>IF($K858="","",TRIM(INDEX('Detalle individual'!$C:$C,$K858)))</f>
        <v/>
      </c>
      <c r="G858" s="72" t="str">
        <f>IF($K858="","",INDEX('Detalle individual'!$D:$D,$K858))</f>
        <v/>
      </c>
      <c r="H858" s="13" t="str">
        <f>IF($K858="","",INDEX('Detalle individual'!$F:$F,$K858))</f>
        <v/>
      </c>
      <c r="I858" s="20" t="str">
        <f>IF($K858="","",IF(INDEX('Detalle individual'!$F:$F,$K858)="Completado",INDEX('Detalle individual'!$H:$H,$K858),""))</f>
        <v/>
      </c>
      <c r="J858" s="21" t="str">
        <f>IF($K858="","",IF(INDEX('Detalle individual'!$F:$F,$K858)="Completado",INDEX('Detalle individual'!$J:$J,$K858),""))</f>
        <v/>
      </c>
      <c r="K858" t="str">
        <f>IFERROR(MOD(SMALL(Cálculos!$Z$5:$Z$1000,850),10000),"")</f>
        <v/>
      </c>
    </row>
    <row r="859">
      <c r="B859" s="13" t="str">
        <f>IF($K859="","",851)</f>
        <v/>
      </c>
      <c r="C859" s="13" t="str">
        <f>IF($K859="","",INDEX('Detalle individual'!$A:$A,$K859))</f>
        <v/>
      </c>
      <c r="D859" s="72" t="str">
        <f>IF($K859="","",TRIM(INDEX('Detalle individual'!$B:$B,$K859)))</f>
        <v/>
      </c>
      <c r="E859" s="72" t="str">
        <f>IF($K859="","",TRIM(INDEX('Detalle individual'!$E:$E,$K859)))</f>
        <v/>
      </c>
      <c r="F859" s="72" t="str">
        <f>IF($K859="","",TRIM(INDEX('Detalle individual'!$C:$C,$K859)))</f>
        <v/>
      </c>
      <c r="G859" s="72" t="str">
        <f>IF($K859="","",INDEX('Detalle individual'!$D:$D,$K859))</f>
        <v/>
      </c>
      <c r="H859" s="13" t="str">
        <f>IF($K859="","",INDEX('Detalle individual'!$F:$F,$K859))</f>
        <v/>
      </c>
      <c r="I859" s="20" t="str">
        <f>IF($K859="","",IF(INDEX('Detalle individual'!$F:$F,$K859)="Completado",INDEX('Detalle individual'!$H:$H,$K859),""))</f>
        <v/>
      </c>
      <c r="J859" s="21" t="str">
        <f>IF($K859="","",IF(INDEX('Detalle individual'!$F:$F,$K859)="Completado",INDEX('Detalle individual'!$J:$J,$K859),""))</f>
        <v/>
      </c>
      <c r="K859" t="str">
        <f>IFERROR(MOD(SMALL(Cálculos!$Z$5:$Z$1000,851),10000),"")</f>
        <v/>
      </c>
    </row>
    <row r="860">
      <c r="B860" s="13" t="str">
        <f>IF($K860="","",852)</f>
        <v/>
      </c>
      <c r="C860" s="13" t="str">
        <f>IF($K860="","",INDEX('Detalle individual'!$A:$A,$K860))</f>
        <v/>
      </c>
      <c r="D860" s="72" t="str">
        <f>IF($K860="","",TRIM(INDEX('Detalle individual'!$B:$B,$K860)))</f>
        <v/>
      </c>
      <c r="E860" s="72" t="str">
        <f>IF($K860="","",TRIM(INDEX('Detalle individual'!$E:$E,$K860)))</f>
        <v/>
      </c>
      <c r="F860" s="72" t="str">
        <f>IF($K860="","",TRIM(INDEX('Detalle individual'!$C:$C,$K860)))</f>
        <v/>
      </c>
      <c r="G860" s="72" t="str">
        <f>IF($K860="","",INDEX('Detalle individual'!$D:$D,$K860))</f>
        <v/>
      </c>
      <c r="H860" s="13" t="str">
        <f>IF($K860="","",INDEX('Detalle individual'!$F:$F,$K860))</f>
        <v/>
      </c>
      <c r="I860" s="20" t="str">
        <f>IF($K860="","",IF(INDEX('Detalle individual'!$F:$F,$K860)="Completado",INDEX('Detalle individual'!$H:$H,$K860),""))</f>
        <v/>
      </c>
      <c r="J860" s="21" t="str">
        <f>IF($K860="","",IF(INDEX('Detalle individual'!$F:$F,$K860)="Completado",INDEX('Detalle individual'!$J:$J,$K860),""))</f>
        <v/>
      </c>
      <c r="K860" t="str">
        <f>IFERROR(MOD(SMALL(Cálculos!$Z$5:$Z$1000,852),10000),"")</f>
        <v/>
      </c>
    </row>
    <row r="861">
      <c r="B861" s="13" t="str">
        <f>IF($K861="","",853)</f>
        <v/>
      </c>
      <c r="C861" s="13" t="str">
        <f>IF($K861="","",INDEX('Detalle individual'!$A:$A,$K861))</f>
        <v/>
      </c>
      <c r="D861" s="72" t="str">
        <f>IF($K861="","",TRIM(INDEX('Detalle individual'!$B:$B,$K861)))</f>
        <v/>
      </c>
      <c r="E861" s="72" t="str">
        <f>IF($K861="","",TRIM(INDEX('Detalle individual'!$E:$E,$K861)))</f>
        <v/>
      </c>
      <c r="F861" s="72" t="str">
        <f>IF($K861="","",TRIM(INDEX('Detalle individual'!$C:$C,$K861)))</f>
        <v/>
      </c>
      <c r="G861" s="72" t="str">
        <f>IF($K861="","",INDEX('Detalle individual'!$D:$D,$K861))</f>
        <v/>
      </c>
      <c r="H861" s="13" t="str">
        <f>IF($K861="","",INDEX('Detalle individual'!$F:$F,$K861))</f>
        <v/>
      </c>
      <c r="I861" s="20" t="str">
        <f>IF($K861="","",IF(INDEX('Detalle individual'!$F:$F,$K861)="Completado",INDEX('Detalle individual'!$H:$H,$K861),""))</f>
        <v/>
      </c>
      <c r="J861" s="21" t="str">
        <f>IF($K861="","",IF(INDEX('Detalle individual'!$F:$F,$K861)="Completado",INDEX('Detalle individual'!$J:$J,$K861),""))</f>
        <v/>
      </c>
      <c r="K861" t="str">
        <f>IFERROR(MOD(SMALL(Cálculos!$Z$5:$Z$1000,853),10000),"")</f>
        <v/>
      </c>
    </row>
    <row r="862">
      <c r="B862" s="13" t="str">
        <f>IF($K862="","",854)</f>
        <v/>
      </c>
      <c r="C862" s="13" t="str">
        <f>IF($K862="","",INDEX('Detalle individual'!$A:$A,$K862))</f>
        <v/>
      </c>
      <c r="D862" s="72" t="str">
        <f>IF($K862="","",TRIM(INDEX('Detalle individual'!$B:$B,$K862)))</f>
        <v/>
      </c>
      <c r="E862" s="72" t="str">
        <f>IF($K862="","",TRIM(INDEX('Detalle individual'!$E:$E,$K862)))</f>
        <v/>
      </c>
      <c r="F862" s="72" t="str">
        <f>IF($K862="","",TRIM(INDEX('Detalle individual'!$C:$C,$K862)))</f>
        <v/>
      </c>
      <c r="G862" s="72" t="str">
        <f>IF($K862="","",INDEX('Detalle individual'!$D:$D,$K862))</f>
        <v/>
      </c>
      <c r="H862" s="13" t="str">
        <f>IF($K862="","",INDEX('Detalle individual'!$F:$F,$K862))</f>
        <v/>
      </c>
      <c r="I862" s="20" t="str">
        <f>IF($K862="","",IF(INDEX('Detalle individual'!$F:$F,$K862)="Completado",INDEX('Detalle individual'!$H:$H,$K862),""))</f>
        <v/>
      </c>
      <c r="J862" s="21" t="str">
        <f>IF($K862="","",IF(INDEX('Detalle individual'!$F:$F,$K862)="Completado",INDEX('Detalle individual'!$J:$J,$K862),""))</f>
        <v/>
      </c>
      <c r="K862" t="str">
        <f>IFERROR(MOD(SMALL(Cálculos!$Z$5:$Z$1000,854),10000),"")</f>
        <v/>
      </c>
    </row>
    <row r="863">
      <c r="B863" s="13" t="str">
        <f>IF($K863="","",855)</f>
        <v/>
      </c>
      <c r="C863" s="13" t="str">
        <f>IF($K863="","",INDEX('Detalle individual'!$A:$A,$K863))</f>
        <v/>
      </c>
      <c r="D863" s="72" t="str">
        <f>IF($K863="","",TRIM(INDEX('Detalle individual'!$B:$B,$K863)))</f>
        <v/>
      </c>
      <c r="E863" s="72" t="str">
        <f>IF($K863="","",TRIM(INDEX('Detalle individual'!$E:$E,$K863)))</f>
        <v/>
      </c>
      <c r="F863" s="72" t="str">
        <f>IF($K863="","",TRIM(INDEX('Detalle individual'!$C:$C,$K863)))</f>
        <v/>
      </c>
      <c r="G863" s="72" t="str">
        <f>IF($K863="","",INDEX('Detalle individual'!$D:$D,$K863))</f>
        <v/>
      </c>
      <c r="H863" s="13" t="str">
        <f>IF($K863="","",INDEX('Detalle individual'!$F:$F,$K863))</f>
        <v/>
      </c>
      <c r="I863" s="20" t="str">
        <f>IF($K863="","",IF(INDEX('Detalle individual'!$F:$F,$K863)="Completado",INDEX('Detalle individual'!$H:$H,$K863),""))</f>
        <v/>
      </c>
      <c r="J863" s="21" t="str">
        <f>IF($K863="","",IF(INDEX('Detalle individual'!$F:$F,$K863)="Completado",INDEX('Detalle individual'!$J:$J,$K863),""))</f>
        <v/>
      </c>
      <c r="K863" t="str">
        <f>IFERROR(MOD(SMALL(Cálculos!$Z$5:$Z$1000,855),10000),"")</f>
        <v/>
      </c>
    </row>
    <row r="864">
      <c r="B864" s="13" t="str">
        <f>IF($K864="","",856)</f>
        <v/>
      </c>
      <c r="C864" s="13" t="str">
        <f>IF($K864="","",INDEX('Detalle individual'!$A:$A,$K864))</f>
        <v/>
      </c>
      <c r="D864" s="72" t="str">
        <f>IF($K864="","",TRIM(INDEX('Detalle individual'!$B:$B,$K864)))</f>
        <v/>
      </c>
      <c r="E864" s="72" t="str">
        <f>IF($K864="","",TRIM(INDEX('Detalle individual'!$E:$E,$K864)))</f>
        <v/>
      </c>
      <c r="F864" s="72" t="str">
        <f>IF($K864="","",TRIM(INDEX('Detalle individual'!$C:$C,$K864)))</f>
        <v/>
      </c>
      <c r="G864" s="72" t="str">
        <f>IF($K864="","",INDEX('Detalle individual'!$D:$D,$K864))</f>
        <v/>
      </c>
      <c r="H864" s="13" t="str">
        <f>IF($K864="","",INDEX('Detalle individual'!$F:$F,$K864))</f>
        <v/>
      </c>
      <c r="I864" s="20" t="str">
        <f>IF($K864="","",IF(INDEX('Detalle individual'!$F:$F,$K864)="Completado",INDEX('Detalle individual'!$H:$H,$K864),""))</f>
        <v/>
      </c>
      <c r="J864" s="21" t="str">
        <f>IF($K864="","",IF(INDEX('Detalle individual'!$F:$F,$K864)="Completado",INDEX('Detalle individual'!$J:$J,$K864),""))</f>
        <v/>
      </c>
      <c r="K864" t="str">
        <f>IFERROR(MOD(SMALL(Cálculos!$Z$5:$Z$1000,856),10000),"")</f>
        <v/>
      </c>
    </row>
    <row r="865">
      <c r="B865" s="13" t="str">
        <f>IF($K865="","",857)</f>
        <v/>
      </c>
      <c r="C865" s="13" t="str">
        <f>IF($K865="","",INDEX('Detalle individual'!$A:$A,$K865))</f>
        <v/>
      </c>
      <c r="D865" s="72" t="str">
        <f>IF($K865="","",TRIM(INDEX('Detalle individual'!$B:$B,$K865)))</f>
        <v/>
      </c>
      <c r="E865" s="72" t="str">
        <f>IF($K865="","",TRIM(INDEX('Detalle individual'!$E:$E,$K865)))</f>
        <v/>
      </c>
      <c r="F865" s="72" t="str">
        <f>IF($K865="","",TRIM(INDEX('Detalle individual'!$C:$C,$K865)))</f>
        <v/>
      </c>
      <c r="G865" s="72" t="str">
        <f>IF($K865="","",INDEX('Detalle individual'!$D:$D,$K865))</f>
        <v/>
      </c>
      <c r="H865" s="13" t="str">
        <f>IF($K865="","",INDEX('Detalle individual'!$F:$F,$K865))</f>
        <v/>
      </c>
      <c r="I865" s="20" t="str">
        <f>IF($K865="","",IF(INDEX('Detalle individual'!$F:$F,$K865)="Completado",INDEX('Detalle individual'!$H:$H,$K865),""))</f>
        <v/>
      </c>
      <c r="J865" s="21" t="str">
        <f>IF($K865="","",IF(INDEX('Detalle individual'!$F:$F,$K865)="Completado",INDEX('Detalle individual'!$J:$J,$K865),""))</f>
        <v/>
      </c>
      <c r="K865" t="str">
        <f>IFERROR(MOD(SMALL(Cálculos!$Z$5:$Z$1000,857),10000),"")</f>
        <v/>
      </c>
    </row>
    <row r="866">
      <c r="B866" s="13" t="str">
        <f>IF($K866="","",858)</f>
        <v/>
      </c>
      <c r="C866" s="13" t="str">
        <f>IF($K866="","",INDEX('Detalle individual'!$A:$A,$K866))</f>
        <v/>
      </c>
      <c r="D866" s="72" t="str">
        <f>IF($K866="","",TRIM(INDEX('Detalle individual'!$B:$B,$K866)))</f>
        <v/>
      </c>
      <c r="E866" s="72" t="str">
        <f>IF($K866="","",TRIM(INDEX('Detalle individual'!$E:$E,$K866)))</f>
        <v/>
      </c>
      <c r="F866" s="72" t="str">
        <f>IF($K866="","",TRIM(INDEX('Detalle individual'!$C:$C,$K866)))</f>
        <v/>
      </c>
      <c r="G866" s="72" t="str">
        <f>IF($K866="","",INDEX('Detalle individual'!$D:$D,$K866))</f>
        <v/>
      </c>
      <c r="H866" s="13" t="str">
        <f>IF($K866="","",INDEX('Detalle individual'!$F:$F,$K866))</f>
        <v/>
      </c>
      <c r="I866" s="20" t="str">
        <f>IF($K866="","",IF(INDEX('Detalle individual'!$F:$F,$K866)="Completado",INDEX('Detalle individual'!$H:$H,$K866),""))</f>
        <v/>
      </c>
      <c r="J866" s="21" t="str">
        <f>IF($K866="","",IF(INDEX('Detalle individual'!$F:$F,$K866)="Completado",INDEX('Detalle individual'!$J:$J,$K866),""))</f>
        <v/>
      </c>
      <c r="K866" t="str">
        <f>IFERROR(MOD(SMALL(Cálculos!$Z$5:$Z$1000,858),10000),"")</f>
        <v/>
      </c>
    </row>
    <row r="867">
      <c r="B867" s="13" t="str">
        <f>IF($K867="","",859)</f>
        <v/>
      </c>
      <c r="C867" s="13" t="str">
        <f>IF($K867="","",INDEX('Detalle individual'!$A:$A,$K867))</f>
        <v/>
      </c>
      <c r="D867" s="72" t="str">
        <f>IF($K867="","",TRIM(INDEX('Detalle individual'!$B:$B,$K867)))</f>
        <v/>
      </c>
      <c r="E867" s="72" t="str">
        <f>IF($K867="","",TRIM(INDEX('Detalle individual'!$E:$E,$K867)))</f>
        <v/>
      </c>
      <c r="F867" s="72" t="str">
        <f>IF($K867="","",TRIM(INDEX('Detalle individual'!$C:$C,$K867)))</f>
        <v/>
      </c>
      <c r="G867" s="72" t="str">
        <f>IF($K867="","",INDEX('Detalle individual'!$D:$D,$K867))</f>
        <v/>
      </c>
      <c r="H867" s="13" t="str">
        <f>IF($K867="","",INDEX('Detalle individual'!$F:$F,$K867))</f>
        <v/>
      </c>
      <c r="I867" s="20" t="str">
        <f>IF($K867="","",IF(INDEX('Detalle individual'!$F:$F,$K867)="Completado",INDEX('Detalle individual'!$H:$H,$K867),""))</f>
        <v/>
      </c>
      <c r="J867" s="21" t="str">
        <f>IF($K867="","",IF(INDEX('Detalle individual'!$F:$F,$K867)="Completado",INDEX('Detalle individual'!$J:$J,$K867),""))</f>
        <v/>
      </c>
      <c r="K867" t="str">
        <f>IFERROR(MOD(SMALL(Cálculos!$Z$5:$Z$1000,859),10000),"")</f>
        <v/>
      </c>
    </row>
    <row r="868">
      <c r="B868" s="13" t="str">
        <f>IF($K868="","",860)</f>
        <v/>
      </c>
      <c r="C868" s="13" t="str">
        <f>IF($K868="","",INDEX('Detalle individual'!$A:$A,$K868))</f>
        <v/>
      </c>
      <c r="D868" s="72" t="str">
        <f>IF($K868="","",TRIM(INDEX('Detalle individual'!$B:$B,$K868)))</f>
        <v/>
      </c>
      <c r="E868" s="72" t="str">
        <f>IF($K868="","",TRIM(INDEX('Detalle individual'!$E:$E,$K868)))</f>
        <v/>
      </c>
      <c r="F868" s="72" t="str">
        <f>IF($K868="","",TRIM(INDEX('Detalle individual'!$C:$C,$K868)))</f>
        <v/>
      </c>
      <c r="G868" s="72" t="str">
        <f>IF($K868="","",INDEX('Detalle individual'!$D:$D,$K868))</f>
        <v/>
      </c>
      <c r="H868" s="13" t="str">
        <f>IF($K868="","",INDEX('Detalle individual'!$F:$F,$K868))</f>
        <v/>
      </c>
      <c r="I868" s="20" t="str">
        <f>IF($K868="","",IF(INDEX('Detalle individual'!$F:$F,$K868)="Completado",INDEX('Detalle individual'!$H:$H,$K868),""))</f>
        <v/>
      </c>
      <c r="J868" s="21" t="str">
        <f>IF($K868="","",IF(INDEX('Detalle individual'!$F:$F,$K868)="Completado",INDEX('Detalle individual'!$J:$J,$K868),""))</f>
        <v/>
      </c>
      <c r="K868" t="str">
        <f>IFERROR(MOD(SMALL(Cálculos!$Z$5:$Z$1000,860),10000),"")</f>
        <v/>
      </c>
    </row>
    <row r="869">
      <c r="B869" s="13" t="str">
        <f>IF($K869="","",861)</f>
        <v/>
      </c>
      <c r="C869" s="13" t="str">
        <f>IF($K869="","",INDEX('Detalle individual'!$A:$A,$K869))</f>
        <v/>
      </c>
      <c r="D869" s="72" t="str">
        <f>IF($K869="","",TRIM(INDEX('Detalle individual'!$B:$B,$K869)))</f>
        <v/>
      </c>
      <c r="E869" s="72" t="str">
        <f>IF($K869="","",TRIM(INDEX('Detalle individual'!$E:$E,$K869)))</f>
        <v/>
      </c>
      <c r="F869" s="72" t="str">
        <f>IF($K869="","",TRIM(INDEX('Detalle individual'!$C:$C,$K869)))</f>
        <v/>
      </c>
      <c r="G869" s="72" t="str">
        <f>IF($K869="","",INDEX('Detalle individual'!$D:$D,$K869))</f>
        <v/>
      </c>
      <c r="H869" s="13" t="str">
        <f>IF($K869="","",INDEX('Detalle individual'!$F:$F,$K869))</f>
        <v/>
      </c>
      <c r="I869" s="20" t="str">
        <f>IF($K869="","",IF(INDEX('Detalle individual'!$F:$F,$K869)="Completado",INDEX('Detalle individual'!$H:$H,$K869),""))</f>
        <v/>
      </c>
      <c r="J869" s="21" t="str">
        <f>IF($K869="","",IF(INDEX('Detalle individual'!$F:$F,$K869)="Completado",INDEX('Detalle individual'!$J:$J,$K869),""))</f>
        <v/>
      </c>
      <c r="K869" t="str">
        <f>IFERROR(MOD(SMALL(Cálculos!$Z$5:$Z$1000,861),10000),"")</f>
        <v/>
      </c>
    </row>
    <row r="870">
      <c r="B870" s="13" t="str">
        <f>IF($K870="","",862)</f>
        <v/>
      </c>
      <c r="C870" s="13" t="str">
        <f>IF($K870="","",INDEX('Detalle individual'!$A:$A,$K870))</f>
        <v/>
      </c>
      <c r="D870" s="72" t="str">
        <f>IF($K870="","",TRIM(INDEX('Detalle individual'!$B:$B,$K870)))</f>
        <v/>
      </c>
      <c r="E870" s="72" t="str">
        <f>IF($K870="","",TRIM(INDEX('Detalle individual'!$E:$E,$K870)))</f>
        <v/>
      </c>
      <c r="F870" s="72" t="str">
        <f>IF($K870="","",TRIM(INDEX('Detalle individual'!$C:$C,$K870)))</f>
        <v/>
      </c>
      <c r="G870" s="72" t="str">
        <f>IF($K870="","",INDEX('Detalle individual'!$D:$D,$K870))</f>
        <v/>
      </c>
      <c r="H870" s="13" t="str">
        <f>IF($K870="","",INDEX('Detalle individual'!$F:$F,$K870))</f>
        <v/>
      </c>
      <c r="I870" s="20" t="str">
        <f>IF($K870="","",IF(INDEX('Detalle individual'!$F:$F,$K870)="Completado",INDEX('Detalle individual'!$H:$H,$K870),""))</f>
        <v/>
      </c>
      <c r="J870" s="21" t="str">
        <f>IF($K870="","",IF(INDEX('Detalle individual'!$F:$F,$K870)="Completado",INDEX('Detalle individual'!$J:$J,$K870),""))</f>
        <v/>
      </c>
      <c r="K870" t="str">
        <f>IFERROR(MOD(SMALL(Cálculos!$Z$5:$Z$1000,862),10000),"")</f>
        <v/>
      </c>
    </row>
    <row r="871">
      <c r="B871" s="13" t="str">
        <f>IF($K871="","",863)</f>
        <v/>
      </c>
      <c r="C871" s="13" t="str">
        <f>IF($K871="","",INDEX('Detalle individual'!$A:$A,$K871))</f>
        <v/>
      </c>
      <c r="D871" s="72" t="str">
        <f>IF($K871="","",TRIM(INDEX('Detalle individual'!$B:$B,$K871)))</f>
        <v/>
      </c>
      <c r="E871" s="72" t="str">
        <f>IF($K871="","",TRIM(INDEX('Detalle individual'!$E:$E,$K871)))</f>
        <v/>
      </c>
      <c r="F871" s="72" t="str">
        <f>IF($K871="","",TRIM(INDEX('Detalle individual'!$C:$C,$K871)))</f>
        <v/>
      </c>
      <c r="G871" s="72" t="str">
        <f>IF($K871="","",INDEX('Detalle individual'!$D:$D,$K871))</f>
        <v/>
      </c>
      <c r="H871" s="13" t="str">
        <f>IF($K871="","",INDEX('Detalle individual'!$F:$F,$K871))</f>
        <v/>
      </c>
      <c r="I871" s="20" t="str">
        <f>IF($K871="","",IF(INDEX('Detalle individual'!$F:$F,$K871)="Completado",INDEX('Detalle individual'!$H:$H,$K871),""))</f>
        <v/>
      </c>
      <c r="J871" s="21" t="str">
        <f>IF($K871="","",IF(INDEX('Detalle individual'!$F:$F,$K871)="Completado",INDEX('Detalle individual'!$J:$J,$K871),""))</f>
        <v/>
      </c>
      <c r="K871" t="str">
        <f>IFERROR(MOD(SMALL(Cálculos!$Z$5:$Z$1000,863),10000),"")</f>
        <v/>
      </c>
    </row>
    <row r="872">
      <c r="B872" s="13" t="str">
        <f>IF($K872="","",864)</f>
        <v/>
      </c>
      <c r="C872" s="13" t="str">
        <f>IF($K872="","",INDEX('Detalle individual'!$A:$A,$K872))</f>
        <v/>
      </c>
      <c r="D872" s="72" t="str">
        <f>IF($K872="","",TRIM(INDEX('Detalle individual'!$B:$B,$K872)))</f>
        <v/>
      </c>
      <c r="E872" s="72" t="str">
        <f>IF($K872="","",TRIM(INDEX('Detalle individual'!$E:$E,$K872)))</f>
        <v/>
      </c>
      <c r="F872" s="72" t="str">
        <f>IF($K872="","",TRIM(INDEX('Detalle individual'!$C:$C,$K872)))</f>
        <v/>
      </c>
      <c r="G872" s="72" t="str">
        <f>IF($K872="","",INDEX('Detalle individual'!$D:$D,$K872))</f>
        <v/>
      </c>
      <c r="H872" s="13" t="str">
        <f>IF($K872="","",INDEX('Detalle individual'!$F:$F,$K872))</f>
        <v/>
      </c>
      <c r="I872" s="20" t="str">
        <f>IF($K872="","",IF(INDEX('Detalle individual'!$F:$F,$K872)="Completado",INDEX('Detalle individual'!$H:$H,$K872),""))</f>
        <v/>
      </c>
      <c r="J872" s="21" t="str">
        <f>IF($K872="","",IF(INDEX('Detalle individual'!$F:$F,$K872)="Completado",INDEX('Detalle individual'!$J:$J,$K872),""))</f>
        <v/>
      </c>
      <c r="K872" t="str">
        <f>IFERROR(MOD(SMALL(Cálculos!$Z$5:$Z$1000,864),10000),"")</f>
        <v/>
      </c>
    </row>
    <row r="873">
      <c r="B873" s="13" t="str">
        <f>IF($K873="","",865)</f>
        <v/>
      </c>
      <c r="C873" s="13" t="str">
        <f>IF($K873="","",INDEX('Detalle individual'!$A:$A,$K873))</f>
        <v/>
      </c>
      <c r="D873" s="72" t="str">
        <f>IF($K873="","",TRIM(INDEX('Detalle individual'!$B:$B,$K873)))</f>
        <v/>
      </c>
      <c r="E873" s="72" t="str">
        <f>IF($K873="","",TRIM(INDEX('Detalle individual'!$E:$E,$K873)))</f>
        <v/>
      </c>
      <c r="F873" s="72" t="str">
        <f>IF($K873="","",TRIM(INDEX('Detalle individual'!$C:$C,$K873)))</f>
        <v/>
      </c>
      <c r="G873" s="72" t="str">
        <f>IF($K873="","",INDEX('Detalle individual'!$D:$D,$K873))</f>
        <v/>
      </c>
      <c r="H873" s="13" t="str">
        <f>IF($K873="","",INDEX('Detalle individual'!$F:$F,$K873))</f>
        <v/>
      </c>
      <c r="I873" s="20" t="str">
        <f>IF($K873="","",IF(INDEX('Detalle individual'!$F:$F,$K873)="Completado",INDEX('Detalle individual'!$H:$H,$K873),""))</f>
        <v/>
      </c>
      <c r="J873" s="21" t="str">
        <f>IF($K873="","",IF(INDEX('Detalle individual'!$F:$F,$K873)="Completado",INDEX('Detalle individual'!$J:$J,$K873),""))</f>
        <v/>
      </c>
      <c r="K873" t="str">
        <f>IFERROR(MOD(SMALL(Cálculos!$Z$5:$Z$1000,865),10000),"")</f>
        <v/>
      </c>
    </row>
    <row r="874">
      <c r="B874" s="13" t="str">
        <f>IF($K874="","",866)</f>
        <v/>
      </c>
      <c r="C874" s="13" t="str">
        <f>IF($K874="","",INDEX('Detalle individual'!$A:$A,$K874))</f>
        <v/>
      </c>
      <c r="D874" s="72" t="str">
        <f>IF($K874="","",TRIM(INDEX('Detalle individual'!$B:$B,$K874)))</f>
        <v/>
      </c>
      <c r="E874" s="72" t="str">
        <f>IF($K874="","",TRIM(INDEX('Detalle individual'!$E:$E,$K874)))</f>
        <v/>
      </c>
      <c r="F874" s="72" t="str">
        <f>IF($K874="","",TRIM(INDEX('Detalle individual'!$C:$C,$K874)))</f>
        <v/>
      </c>
      <c r="G874" s="72" t="str">
        <f>IF($K874="","",INDEX('Detalle individual'!$D:$D,$K874))</f>
        <v/>
      </c>
      <c r="H874" s="13" t="str">
        <f>IF($K874="","",INDEX('Detalle individual'!$F:$F,$K874))</f>
        <v/>
      </c>
      <c r="I874" s="20" t="str">
        <f>IF($K874="","",IF(INDEX('Detalle individual'!$F:$F,$K874)="Completado",INDEX('Detalle individual'!$H:$H,$K874),""))</f>
        <v/>
      </c>
      <c r="J874" s="21" t="str">
        <f>IF($K874="","",IF(INDEX('Detalle individual'!$F:$F,$K874)="Completado",INDEX('Detalle individual'!$J:$J,$K874),""))</f>
        <v/>
      </c>
      <c r="K874" t="str">
        <f>IFERROR(MOD(SMALL(Cálculos!$Z$5:$Z$1000,866),10000),"")</f>
        <v/>
      </c>
    </row>
    <row r="875">
      <c r="B875" s="13" t="str">
        <f>IF($K875="","",867)</f>
        <v/>
      </c>
      <c r="C875" s="13" t="str">
        <f>IF($K875="","",INDEX('Detalle individual'!$A:$A,$K875))</f>
        <v/>
      </c>
      <c r="D875" s="72" t="str">
        <f>IF($K875="","",TRIM(INDEX('Detalle individual'!$B:$B,$K875)))</f>
        <v/>
      </c>
      <c r="E875" s="72" t="str">
        <f>IF($K875="","",TRIM(INDEX('Detalle individual'!$E:$E,$K875)))</f>
        <v/>
      </c>
      <c r="F875" s="72" t="str">
        <f>IF($K875="","",TRIM(INDEX('Detalle individual'!$C:$C,$K875)))</f>
        <v/>
      </c>
      <c r="G875" s="72" t="str">
        <f>IF($K875="","",INDEX('Detalle individual'!$D:$D,$K875))</f>
        <v/>
      </c>
      <c r="H875" s="13" t="str">
        <f>IF($K875="","",INDEX('Detalle individual'!$F:$F,$K875))</f>
        <v/>
      </c>
      <c r="I875" s="20" t="str">
        <f>IF($K875="","",IF(INDEX('Detalle individual'!$F:$F,$K875)="Completado",INDEX('Detalle individual'!$H:$H,$K875),""))</f>
        <v/>
      </c>
      <c r="J875" s="21" t="str">
        <f>IF($K875="","",IF(INDEX('Detalle individual'!$F:$F,$K875)="Completado",INDEX('Detalle individual'!$J:$J,$K875),""))</f>
        <v/>
      </c>
      <c r="K875" t="str">
        <f>IFERROR(MOD(SMALL(Cálculos!$Z$5:$Z$1000,867),10000),"")</f>
        <v/>
      </c>
    </row>
    <row r="876">
      <c r="B876" s="13" t="str">
        <f>IF($K876="","",868)</f>
        <v/>
      </c>
      <c r="C876" s="13" t="str">
        <f>IF($K876="","",INDEX('Detalle individual'!$A:$A,$K876))</f>
        <v/>
      </c>
      <c r="D876" s="72" t="str">
        <f>IF($K876="","",TRIM(INDEX('Detalle individual'!$B:$B,$K876)))</f>
        <v/>
      </c>
      <c r="E876" s="72" t="str">
        <f>IF($K876="","",TRIM(INDEX('Detalle individual'!$E:$E,$K876)))</f>
        <v/>
      </c>
      <c r="F876" s="72" t="str">
        <f>IF($K876="","",TRIM(INDEX('Detalle individual'!$C:$C,$K876)))</f>
        <v/>
      </c>
      <c r="G876" s="72" t="str">
        <f>IF($K876="","",INDEX('Detalle individual'!$D:$D,$K876))</f>
        <v/>
      </c>
      <c r="H876" s="13" t="str">
        <f>IF($K876="","",INDEX('Detalle individual'!$F:$F,$K876))</f>
        <v/>
      </c>
      <c r="I876" s="20" t="str">
        <f>IF($K876="","",IF(INDEX('Detalle individual'!$F:$F,$K876)="Completado",INDEX('Detalle individual'!$H:$H,$K876),""))</f>
        <v/>
      </c>
      <c r="J876" s="21" t="str">
        <f>IF($K876="","",IF(INDEX('Detalle individual'!$F:$F,$K876)="Completado",INDEX('Detalle individual'!$J:$J,$K876),""))</f>
        <v/>
      </c>
      <c r="K876" t="str">
        <f>IFERROR(MOD(SMALL(Cálculos!$Z$5:$Z$1000,868),10000),"")</f>
        <v/>
      </c>
    </row>
    <row r="877">
      <c r="B877" s="13" t="str">
        <f>IF($K877="","",869)</f>
        <v/>
      </c>
      <c r="C877" s="13" t="str">
        <f>IF($K877="","",INDEX('Detalle individual'!$A:$A,$K877))</f>
        <v/>
      </c>
      <c r="D877" s="72" t="str">
        <f>IF($K877="","",TRIM(INDEX('Detalle individual'!$B:$B,$K877)))</f>
        <v/>
      </c>
      <c r="E877" s="72" t="str">
        <f>IF($K877="","",TRIM(INDEX('Detalle individual'!$E:$E,$K877)))</f>
        <v/>
      </c>
      <c r="F877" s="72" t="str">
        <f>IF($K877="","",TRIM(INDEX('Detalle individual'!$C:$C,$K877)))</f>
        <v/>
      </c>
      <c r="G877" s="72" t="str">
        <f>IF($K877="","",INDEX('Detalle individual'!$D:$D,$K877))</f>
        <v/>
      </c>
      <c r="H877" s="13" t="str">
        <f>IF($K877="","",INDEX('Detalle individual'!$F:$F,$K877))</f>
        <v/>
      </c>
      <c r="I877" s="20" t="str">
        <f>IF($K877="","",IF(INDEX('Detalle individual'!$F:$F,$K877)="Completado",INDEX('Detalle individual'!$H:$H,$K877),""))</f>
        <v/>
      </c>
      <c r="J877" s="21" t="str">
        <f>IF($K877="","",IF(INDEX('Detalle individual'!$F:$F,$K877)="Completado",INDEX('Detalle individual'!$J:$J,$K877),""))</f>
        <v/>
      </c>
      <c r="K877" t="str">
        <f>IFERROR(MOD(SMALL(Cálculos!$Z$5:$Z$1000,869),10000),"")</f>
        <v/>
      </c>
    </row>
    <row r="878">
      <c r="B878" s="13" t="str">
        <f>IF($K878="","",870)</f>
        <v/>
      </c>
      <c r="C878" s="13" t="str">
        <f>IF($K878="","",INDEX('Detalle individual'!$A:$A,$K878))</f>
        <v/>
      </c>
      <c r="D878" s="72" t="str">
        <f>IF($K878="","",TRIM(INDEX('Detalle individual'!$B:$B,$K878)))</f>
        <v/>
      </c>
      <c r="E878" s="72" t="str">
        <f>IF($K878="","",TRIM(INDEX('Detalle individual'!$E:$E,$K878)))</f>
        <v/>
      </c>
      <c r="F878" s="72" t="str">
        <f>IF($K878="","",TRIM(INDEX('Detalle individual'!$C:$C,$K878)))</f>
        <v/>
      </c>
      <c r="G878" s="72" t="str">
        <f>IF($K878="","",INDEX('Detalle individual'!$D:$D,$K878))</f>
        <v/>
      </c>
      <c r="H878" s="13" t="str">
        <f>IF($K878="","",INDEX('Detalle individual'!$F:$F,$K878))</f>
        <v/>
      </c>
      <c r="I878" s="20" t="str">
        <f>IF($K878="","",IF(INDEX('Detalle individual'!$F:$F,$K878)="Completado",INDEX('Detalle individual'!$H:$H,$K878),""))</f>
        <v/>
      </c>
      <c r="J878" s="21" t="str">
        <f>IF($K878="","",IF(INDEX('Detalle individual'!$F:$F,$K878)="Completado",INDEX('Detalle individual'!$J:$J,$K878),""))</f>
        <v/>
      </c>
      <c r="K878" t="str">
        <f>IFERROR(MOD(SMALL(Cálculos!$Z$5:$Z$1000,870),10000),"")</f>
        <v/>
      </c>
    </row>
    <row r="879">
      <c r="B879" s="13" t="str">
        <f>IF($K879="","",871)</f>
        <v/>
      </c>
      <c r="C879" s="13" t="str">
        <f>IF($K879="","",INDEX('Detalle individual'!$A:$A,$K879))</f>
        <v/>
      </c>
      <c r="D879" s="72" t="str">
        <f>IF($K879="","",TRIM(INDEX('Detalle individual'!$B:$B,$K879)))</f>
        <v/>
      </c>
      <c r="E879" s="72" t="str">
        <f>IF($K879="","",TRIM(INDEX('Detalle individual'!$E:$E,$K879)))</f>
        <v/>
      </c>
      <c r="F879" s="72" t="str">
        <f>IF($K879="","",TRIM(INDEX('Detalle individual'!$C:$C,$K879)))</f>
        <v/>
      </c>
      <c r="G879" s="72" t="str">
        <f>IF($K879="","",INDEX('Detalle individual'!$D:$D,$K879))</f>
        <v/>
      </c>
      <c r="H879" s="13" t="str">
        <f>IF($K879="","",INDEX('Detalle individual'!$F:$F,$K879))</f>
        <v/>
      </c>
      <c r="I879" s="20" t="str">
        <f>IF($K879="","",IF(INDEX('Detalle individual'!$F:$F,$K879)="Completado",INDEX('Detalle individual'!$H:$H,$K879),""))</f>
        <v/>
      </c>
      <c r="J879" s="21" t="str">
        <f>IF($K879="","",IF(INDEX('Detalle individual'!$F:$F,$K879)="Completado",INDEX('Detalle individual'!$J:$J,$K879),""))</f>
        <v/>
      </c>
      <c r="K879" t="str">
        <f>IFERROR(MOD(SMALL(Cálculos!$Z$5:$Z$1000,871),10000),"")</f>
        <v/>
      </c>
    </row>
    <row r="880">
      <c r="B880" s="13" t="str">
        <f>IF($K880="","",872)</f>
        <v/>
      </c>
      <c r="C880" s="13" t="str">
        <f>IF($K880="","",INDEX('Detalle individual'!$A:$A,$K880))</f>
        <v/>
      </c>
      <c r="D880" s="72" t="str">
        <f>IF($K880="","",TRIM(INDEX('Detalle individual'!$B:$B,$K880)))</f>
        <v/>
      </c>
      <c r="E880" s="72" t="str">
        <f>IF($K880="","",TRIM(INDEX('Detalle individual'!$E:$E,$K880)))</f>
        <v/>
      </c>
      <c r="F880" s="72" t="str">
        <f>IF($K880="","",TRIM(INDEX('Detalle individual'!$C:$C,$K880)))</f>
        <v/>
      </c>
      <c r="G880" s="72" t="str">
        <f>IF($K880="","",INDEX('Detalle individual'!$D:$D,$K880))</f>
        <v/>
      </c>
      <c r="H880" s="13" t="str">
        <f>IF($K880="","",INDEX('Detalle individual'!$F:$F,$K880))</f>
        <v/>
      </c>
      <c r="I880" s="20" t="str">
        <f>IF($K880="","",IF(INDEX('Detalle individual'!$F:$F,$K880)="Completado",INDEX('Detalle individual'!$H:$H,$K880),""))</f>
        <v/>
      </c>
      <c r="J880" s="21" t="str">
        <f>IF($K880="","",IF(INDEX('Detalle individual'!$F:$F,$K880)="Completado",INDEX('Detalle individual'!$J:$J,$K880),""))</f>
        <v/>
      </c>
      <c r="K880" t="str">
        <f>IFERROR(MOD(SMALL(Cálculos!$Z$5:$Z$1000,872),10000),"")</f>
        <v/>
      </c>
    </row>
    <row r="881">
      <c r="B881" s="13" t="str">
        <f>IF($K881="","",873)</f>
        <v/>
      </c>
      <c r="C881" s="13" t="str">
        <f>IF($K881="","",INDEX('Detalle individual'!$A:$A,$K881))</f>
        <v/>
      </c>
      <c r="D881" s="72" t="str">
        <f>IF($K881="","",TRIM(INDEX('Detalle individual'!$B:$B,$K881)))</f>
        <v/>
      </c>
      <c r="E881" s="72" t="str">
        <f>IF($K881="","",TRIM(INDEX('Detalle individual'!$E:$E,$K881)))</f>
        <v/>
      </c>
      <c r="F881" s="72" t="str">
        <f>IF($K881="","",TRIM(INDEX('Detalle individual'!$C:$C,$K881)))</f>
        <v/>
      </c>
      <c r="G881" s="72" t="str">
        <f>IF($K881="","",INDEX('Detalle individual'!$D:$D,$K881))</f>
        <v/>
      </c>
      <c r="H881" s="13" t="str">
        <f>IF($K881="","",INDEX('Detalle individual'!$F:$F,$K881))</f>
        <v/>
      </c>
      <c r="I881" s="20" t="str">
        <f>IF($K881="","",IF(INDEX('Detalle individual'!$F:$F,$K881)="Completado",INDEX('Detalle individual'!$H:$H,$K881),""))</f>
        <v/>
      </c>
      <c r="J881" s="21" t="str">
        <f>IF($K881="","",IF(INDEX('Detalle individual'!$F:$F,$K881)="Completado",INDEX('Detalle individual'!$J:$J,$K881),""))</f>
        <v/>
      </c>
      <c r="K881" t="str">
        <f>IFERROR(MOD(SMALL(Cálculos!$Z$5:$Z$1000,873),10000),"")</f>
        <v/>
      </c>
    </row>
    <row r="882">
      <c r="B882" s="13" t="str">
        <f>IF($K882="","",874)</f>
        <v/>
      </c>
      <c r="C882" s="13" t="str">
        <f>IF($K882="","",INDEX('Detalle individual'!$A:$A,$K882))</f>
        <v/>
      </c>
      <c r="D882" s="72" t="str">
        <f>IF($K882="","",TRIM(INDEX('Detalle individual'!$B:$B,$K882)))</f>
        <v/>
      </c>
      <c r="E882" s="72" t="str">
        <f>IF($K882="","",TRIM(INDEX('Detalle individual'!$E:$E,$K882)))</f>
        <v/>
      </c>
      <c r="F882" s="72" t="str">
        <f>IF($K882="","",TRIM(INDEX('Detalle individual'!$C:$C,$K882)))</f>
        <v/>
      </c>
      <c r="G882" s="72" t="str">
        <f>IF($K882="","",INDEX('Detalle individual'!$D:$D,$K882))</f>
        <v/>
      </c>
      <c r="H882" s="13" t="str">
        <f>IF($K882="","",INDEX('Detalle individual'!$F:$F,$K882))</f>
        <v/>
      </c>
      <c r="I882" s="20" t="str">
        <f>IF($K882="","",IF(INDEX('Detalle individual'!$F:$F,$K882)="Completado",INDEX('Detalle individual'!$H:$H,$K882),""))</f>
        <v/>
      </c>
      <c r="J882" s="21" t="str">
        <f>IF($K882="","",IF(INDEX('Detalle individual'!$F:$F,$K882)="Completado",INDEX('Detalle individual'!$J:$J,$K882),""))</f>
        <v/>
      </c>
      <c r="K882" t="str">
        <f>IFERROR(MOD(SMALL(Cálculos!$Z$5:$Z$1000,874),10000),"")</f>
        <v/>
      </c>
    </row>
    <row r="883">
      <c r="B883" s="13" t="str">
        <f>IF($K883="","",875)</f>
        <v/>
      </c>
      <c r="C883" s="13" t="str">
        <f>IF($K883="","",INDEX('Detalle individual'!$A:$A,$K883))</f>
        <v/>
      </c>
      <c r="D883" s="72" t="str">
        <f>IF($K883="","",TRIM(INDEX('Detalle individual'!$B:$B,$K883)))</f>
        <v/>
      </c>
      <c r="E883" s="72" t="str">
        <f>IF($K883="","",TRIM(INDEX('Detalle individual'!$E:$E,$K883)))</f>
        <v/>
      </c>
      <c r="F883" s="72" t="str">
        <f>IF($K883="","",TRIM(INDEX('Detalle individual'!$C:$C,$K883)))</f>
        <v/>
      </c>
      <c r="G883" s="72" t="str">
        <f>IF($K883="","",INDEX('Detalle individual'!$D:$D,$K883))</f>
        <v/>
      </c>
      <c r="H883" s="13" t="str">
        <f>IF($K883="","",INDEX('Detalle individual'!$F:$F,$K883))</f>
        <v/>
      </c>
      <c r="I883" s="20" t="str">
        <f>IF($K883="","",IF(INDEX('Detalle individual'!$F:$F,$K883)="Completado",INDEX('Detalle individual'!$H:$H,$K883),""))</f>
        <v/>
      </c>
      <c r="J883" s="21" t="str">
        <f>IF($K883="","",IF(INDEX('Detalle individual'!$F:$F,$K883)="Completado",INDEX('Detalle individual'!$J:$J,$K883),""))</f>
        <v/>
      </c>
      <c r="K883" t="str">
        <f>IFERROR(MOD(SMALL(Cálculos!$Z$5:$Z$1000,875),10000),"")</f>
        <v/>
      </c>
    </row>
    <row r="884">
      <c r="B884" s="13" t="str">
        <f>IF($K884="","",876)</f>
        <v/>
      </c>
      <c r="C884" s="13" t="str">
        <f>IF($K884="","",INDEX('Detalle individual'!$A:$A,$K884))</f>
        <v/>
      </c>
      <c r="D884" s="72" t="str">
        <f>IF($K884="","",TRIM(INDEX('Detalle individual'!$B:$B,$K884)))</f>
        <v/>
      </c>
      <c r="E884" s="72" t="str">
        <f>IF($K884="","",TRIM(INDEX('Detalle individual'!$E:$E,$K884)))</f>
        <v/>
      </c>
      <c r="F884" s="72" t="str">
        <f>IF($K884="","",TRIM(INDEX('Detalle individual'!$C:$C,$K884)))</f>
        <v/>
      </c>
      <c r="G884" s="72" t="str">
        <f>IF($K884="","",INDEX('Detalle individual'!$D:$D,$K884))</f>
        <v/>
      </c>
      <c r="H884" s="13" t="str">
        <f>IF($K884="","",INDEX('Detalle individual'!$F:$F,$K884))</f>
        <v/>
      </c>
      <c r="I884" s="20" t="str">
        <f>IF($K884="","",IF(INDEX('Detalle individual'!$F:$F,$K884)="Completado",INDEX('Detalle individual'!$H:$H,$K884),""))</f>
        <v/>
      </c>
      <c r="J884" s="21" t="str">
        <f>IF($K884="","",IF(INDEX('Detalle individual'!$F:$F,$K884)="Completado",INDEX('Detalle individual'!$J:$J,$K884),""))</f>
        <v/>
      </c>
      <c r="K884" t="str">
        <f>IFERROR(MOD(SMALL(Cálculos!$Z$5:$Z$1000,876),10000),"")</f>
        <v/>
      </c>
    </row>
    <row r="885">
      <c r="B885" s="13" t="str">
        <f>IF($K885="","",877)</f>
        <v/>
      </c>
      <c r="C885" s="13" t="str">
        <f>IF($K885="","",INDEX('Detalle individual'!$A:$A,$K885))</f>
        <v/>
      </c>
      <c r="D885" s="72" t="str">
        <f>IF($K885="","",TRIM(INDEX('Detalle individual'!$B:$B,$K885)))</f>
        <v/>
      </c>
      <c r="E885" s="72" t="str">
        <f>IF($K885="","",TRIM(INDEX('Detalle individual'!$E:$E,$K885)))</f>
        <v/>
      </c>
      <c r="F885" s="72" t="str">
        <f>IF($K885="","",TRIM(INDEX('Detalle individual'!$C:$C,$K885)))</f>
        <v/>
      </c>
      <c r="G885" s="72" t="str">
        <f>IF($K885="","",INDEX('Detalle individual'!$D:$D,$K885))</f>
        <v/>
      </c>
      <c r="H885" s="13" t="str">
        <f>IF($K885="","",INDEX('Detalle individual'!$F:$F,$K885))</f>
        <v/>
      </c>
      <c r="I885" s="20" t="str">
        <f>IF($K885="","",IF(INDEX('Detalle individual'!$F:$F,$K885)="Completado",INDEX('Detalle individual'!$H:$H,$K885),""))</f>
        <v/>
      </c>
      <c r="J885" s="21" t="str">
        <f>IF($K885="","",IF(INDEX('Detalle individual'!$F:$F,$K885)="Completado",INDEX('Detalle individual'!$J:$J,$K885),""))</f>
        <v/>
      </c>
      <c r="K885" t="str">
        <f>IFERROR(MOD(SMALL(Cálculos!$Z$5:$Z$1000,877),10000),"")</f>
        <v/>
      </c>
    </row>
    <row r="886">
      <c r="B886" s="13" t="str">
        <f>IF($K886="","",878)</f>
        <v/>
      </c>
      <c r="C886" s="13" t="str">
        <f>IF($K886="","",INDEX('Detalle individual'!$A:$A,$K886))</f>
        <v/>
      </c>
      <c r="D886" s="72" t="str">
        <f>IF($K886="","",TRIM(INDEX('Detalle individual'!$B:$B,$K886)))</f>
        <v/>
      </c>
      <c r="E886" s="72" t="str">
        <f>IF($K886="","",TRIM(INDEX('Detalle individual'!$E:$E,$K886)))</f>
        <v/>
      </c>
      <c r="F886" s="72" t="str">
        <f>IF($K886="","",TRIM(INDEX('Detalle individual'!$C:$C,$K886)))</f>
        <v/>
      </c>
      <c r="G886" s="72" t="str">
        <f>IF($K886="","",INDEX('Detalle individual'!$D:$D,$K886))</f>
        <v/>
      </c>
      <c r="H886" s="13" t="str">
        <f>IF($K886="","",INDEX('Detalle individual'!$F:$F,$K886))</f>
        <v/>
      </c>
      <c r="I886" s="20" t="str">
        <f>IF($K886="","",IF(INDEX('Detalle individual'!$F:$F,$K886)="Completado",INDEX('Detalle individual'!$H:$H,$K886),""))</f>
        <v/>
      </c>
      <c r="J886" s="21" t="str">
        <f>IF($K886="","",IF(INDEX('Detalle individual'!$F:$F,$K886)="Completado",INDEX('Detalle individual'!$J:$J,$K886),""))</f>
        <v/>
      </c>
      <c r="K886" t="str">
        <f>IFERROR(MOD(SMALL(Cálculos!$Z$5:$Z$1000,878),10000),"")</f>
        <v/>
      </c>
    </row>
    <row r="887">
      <c r="B887" s="13" t="str">
        <f>IF($K887="","",879)</f>
        <v/>
      </c>
      <c r="C887" s="13" t="str">
        <f>IF($K887="","",INDEX('Detalle individual'!$A:$A,$K887))</f>
        <v/>
      </c>
      <c r="D887" s="72" t="str">
        <f>IF($K887="","",TRIM(INDEX('Detalle individual'!$B:$B,$K887)))</f>
        <v/>
      </c>
      <c r="E887" s="72" t="str">
        <f>IF($K887="","",TRIM(INDEX('Detalle individual'!$E:$E,$K887)))</f>
        <v/>
      </c>
      <c r="F887" s="72" t="str">
        <f>IF($K887="","",TRIM(INDEX('Detalle individual'!$C:$C,$K887)))</f>
        <v/>
      </c>
      <c r="G887" s="72" t="str">
        <f>IF($K887="","",INDEX('Detalle individual'!$D:$D,$K887))</f>
        <v/>
      </c>
      <c r="H887" s="13" t="str">
        <f>IF($K887="","",INDEX('Detalle individual'!$F:$F,$K887))</f>
        <v/>
      </c>
      <c r="I887" s="20" t="str">
        <f>IF($K887="","",IF(INDEX('Detalle individual'!$F:$F,$K887)="Completado",INDEX('Detalle individual'!$H:$H,$K887),""))</f>
        <v/>
      </c>
      <c r="J887" s="21" t="str">
        <f>IF($K887="","",IF(INDEX('Detalle individual'!$F:$F,$K887)="Completado",INDEX('Detalle individual'!$J:$J,$K887),""))</f>
        <v/>
      </c>
      <c r="K887" t="str">
        <f>IFERROR(MOD(SMALL(Cálculos!$Z$5:$Z$1000,879),10000),"")</f>
        <v/>
      </c>
    </row>
    <row r="888">
      <c r="B888" s="13" t="str">
        <f>IF($K888="","",880)</f>
        <v/>
      </c>
      <c r="C888" s="13" t="str">
        <f>IF($K888="","",INDEX('Detalle individual'!$A:$A,$K888))</f>
        <v/>
      </c>
      <c r="D888" s="72" t="str">
        <f>IF($K888="","",TRIM(INDEX('Detalle individual'!$B:$B,$K888)))</f>
        <v/>
      </c>
      <c r="E888" s="72" t="str">
        <f>IF($K888="","",TRIM(INDEX('Detalle individual'!$E:$E,$K888)))</f>
        <v/>
      </c>
      <c r="F888" s="72" t="str">
        <f>IF($K888="","",TRIM(INDEX('Detalle individual'!$C:$C,$K888)))</f>
        <v/>
      </c>
      <c r="G888" s="72" t="str">
        <f>IF($K888="","",INDEX('Detalle individual'!$D:$D,$K888))</f>
        <v/>
      </c>
      <c r="H888" s="13" t="str">
        <f>IF($K888="","",INDEX('Detalle individual'!$F:$F,$K888))</f>
        <v/>
      </c>
      <c r="I888" s="20" t="str">
        <f>IF($K888="","",IF(INDEX('Detalle individual'!$F:$F,$K888)="Completado",INDEX('Detalle individual'!$H:$H,$K888),""))</f>
        <v/>
      </c>
      <c r="J888" s="21" t="str">
        <f>IF($K888="","",IF(INDEX('Detalle individual'!$F:$F,$K888)="Completado",INDEX('Detalle individual'!$J:$J,$K888),""))</f>
        <v/>
      </c>
      <c r="K888" t="str">
        <f>IFERROR(MOD(SMALL(Cálculos!$Z$5:$Z$1000,880),10000),"")</f>
        <v/>
      </c>
    </row>
    <row r="889">
      <c r="B889" s="13" t="str">
        <f>IF($K889="","",881)</f>
        <v/>
      </c>
      <c r="C889" s="13" t="str">
        <f>IF($K889="","",INDEX('Detalle individual'!$A:$A,$K889))</f>
        <v/>
      </c>
      <c r="D889" s="72" t="str">
        <f>IF($K889="","",TRIM(INDEX('Detalle individual'!$B:$B,$K889)))</f>
        <v/>
      </c>
      <c r="E889" s="72" t="str">
        <f>IF($K889="","",TRIM(INDEX('Detalle individual'!$E:$E,$K889)))</f>
        <v/>
      </c>
      <c r="F889" s="72" t="str">
        <f>IF($K889="","",TRIM(INDEX('Detalle individual'!$C:$C,$K889)))</f>
        <v/>
      </c>
      <c r="G889" s="72" t="str">
        <f>IF($K889="","",INDEX('Detalle individual'!$D:$D,$K889))</f>
        <v/>
      </c>
      <c r="H889" s="13" t="str">
        <f>IF($K889="","",INDEX('Detalle individual'!$F:$F,$K889))</f>
        <v/>
      </c>
      <c r="I889" s="20" t="str">
        <f>IF($K889="","",IF(INDEX('Detalle individual'!$F:$F,$K889)="Completado",INDEX('Detalle individual'!$H:$H,$K889),""))</f>
        <v/>
      </c>
      <c r="J889" s="21" t="str">
        <f>IF($K889="","",IF(INDEX('Detalle individual'!$F:$F,$K889)="Completado",INDEX('Detalle individual'!$J:$J,$K889),""))</f>
        <v/>
      </c>
      <c r="K889" t="str">
        <f>IFERROR(MOD(SMALL(Cálculos!$Z$5:$Z$1000,881),10000),"")</f>
        <v/>
      </c>
    </row>
    <row r="890">
      <c r="B890" s="13" t="str">
        <f>IF($K890="","",882)</f>
        <v/>
      </c>
      <c r="C890" s="13" t="str">
        <f>IF($K890="","",INDEX('Detalle individual'!$A:$A,$K890))</f>
        <v/>
      </c>
      <c r="D890" s="72" t="str">
        <f>IF($K890="","",TRIM(INDEX('Detalle individual'!$B:$B,$K890)))</f>
        <v/>
      </c>
      <c r="E890" s="72" t="str">
        <f>IF($K890="","",TRIM(INDEX('Detalle individual'!$E:$E,$K890)))</f>
        <v/>
      </c>
      <c r="F890" s="72" t="str">
        <f>IF($K890="","",TRIM(INDEX('Detalle individual'!$C:$C,$K890)))</f>
        <v/>
      </c>
      <c r="G890" s="72" t="str">
        <f>IF($K890="","",INDEX('Detalle individual'!$D:$D,$K890))</f>
        <v/>
      </c>
      <c r="H890" s="13" t="str">
        <f>IF($K890="","",INDEX('Detalle individual'!$F:$F,$K890))</f>
        <v/>
      </c>
      <c r="I890" s="20" t="str">
        <f>IF($K890="","",IF(INDEX('Detalle individual'!$F:$F,$K890)="Completado",INDEX('Detalle individual'!$H:$H,$K890),""))</f>
        <v/>
      </c>
      <c r="J890" s="21" t="str">
        <f>IF($K890="","",IF(INDEX('Detalle individual'!$F:$F,$K890)="Completado",INDEX('Detalle individual'!$J:$J,$K890),""))</f>
        <v/>
      </c>
      <c r="K890" t="str">
        <f>IFERROR(MOD(SMALL(Cálculos!$Z$5:$Z$1000,882),10000),"")</f>
        <v/>
      </c>
    </row>
    <row r="891">
      <c r="B891" s="13" t="str">
        <f>IF($K891="","",883)</f>
        <v/>
      </c>
      <c r="C891" s="13" t="str">
        <f>IF($K891="","",INDEX('Detalle individual'!$A:$A,$K891))</f>
        <v/>
      </c>
      <c r="D891" s="72" t="str">
        <f>IF($K891="","",TRIM(INDEX('Detalle individual'!$B:$B,$K891)))</f>
        <v/>
      </c>
      <c r="E891" s="72" t="str">
        <f>IF($K891="","",TRIM(INDEX('Detalle individual'!$E:$E,$K891)))</f>
        <v/>
      </c>
      <c r="F891" s="72" t="str">
        <f>IF($K891="","",TRIM(INDEX('Detalle individual'!$C:$C,$K891)))</f>
        <v/>
      </c>
      <c r="G891" s="72" t="str">
        <f>IF($K891="","",INDEX('Detalle individual'!$D:$D,$K891))</f>
        <v/>
      </c>
      <c r="H891" s="13" t="str">
        <f>IF($K891="","",INDEX('Detalle individual'!$F:$F,$K891))</f>
        <v/>
      </c>
      <c r="I891" s="20" t="str">
        <f>IF($K891="","",IF(INDEX('Detalle individual'!$F:$F,$K891)="Completado",INDEX('Detalle individual'!$H:$H,$K891),""))</f>
        <v/>
      </c>
      <c r="J891" s="21" t="str">
        <f>IF($K891="","",IF(INDEX('Detalle individual'!$F:$F,$K891)="Completado",INDEX('Detalle individual'!$J:$J,$K891),""))</f>
        <v/>
      </c>
      <c r="K891" t="str">
        <f>IFERROR(MOD(SMALL(Cálculos!$Z$5:$Z$1000,883),10000),"")</f>
        <v/>
      </c>
    </row>
    <row r="892">
      <c r="B892" s="13" t="str">
        <f>IF($K892="","",884)</f>
        <v/>
      </c>
      <c r="C892" s="13" t="str">
        <f>IF($K892="","",INDEX('Detalle individual'!$A:$A,$K892))</f>
        <v/>
      </c>
      <c r="D892" s="72" t="str">
        <f>IF($K892="","",TRIM(INDEX('Detalle individual'!$B:$B,$K892)))</f>
        <v/>
      </c>
      <c r="E892" s="72" t="str">
        <f>IF($K892="","",TRIM(INDEX('Detalle individual'!$E:$E,$K892)))</f>
        <v/>
      </c>
      <c r="F892" s="72" t="str">
        <f>IF($K892="","",TRIM(INDEX('Detalle individual'!$C:$C,$K892)))</f>
        <v/>
      </c>
      <c r="G892" s="72" t="str">
        <f>IF($K892="","",INDEX('Detalle individual'!$D:$D,$K892))</f>
        <v/>
      </c>
      <c r="H892" s="13" t="str">
        <f>IF($K892="","",INDEX('Detalle individual'!$F:$F,$K892))</f>
        <v/>
      </c>
      <c r="I892" s="20" t="str">
        <f>IF($K892="","",IF(INDEX('Detalle individual'!$F:$F,$K892)="Completado",INDEX('Detalle individual'!$H:$H,$K892),""))</f>
        <v/>
      </c>
      <c r="J892" s="21" t="str">
        <f>IF($K892="","",IF(INDEX('Detalle individual'!$F:$F,$K892)="Completado",INDEX('Detalle individual'!$J:$J,$K892),""))</f>
        <v/>
      </c>
      <c r="K892" t="str">
        <f>IFERROR(MOD(SMALL(Cálculos!$Z$5:$Z$1000,884),10000),"")</f>
        <v/>
      </c>
    </row>
    <row r="893">
      <c r="B893" s="13" t="str">
        <f>IF($K893="","",885)</f>
        <v/>
      </c>
      <c r="C893" s="13" t="str">
        <f>IF($K893="","",INDEX('Detalle individual'!$A:$A,$K893))</f>
        <v/>
      </c>
      <c r="D893" s="72" t="str">
        <f>IF($K893="","",TRIM(INDEX('Detalle individual'!$B:$B,$K893)))</f>
        <v/>
      </c>
      <c r="E893" s="72" t="str">
        <f>IF($K893="","",TRIM(INDEX('Detalle individual'!$E:$E,$K893)))</f>
        <v/>
      </c>
      <c r="F893" s="72" t="str">
        <f>IF($K893="","",TRIM(INDEX('Detalle individual'!$C:$C,$K893)))</f>
        <v/>
      </c>
      <c r="G893" s="72" t="str">
        <f>IF($K893="","",INDEX('Detalle individual'!$D:$D,$K893))</f>
        <v/>
      </c>
      <c r="H893" s="13" t="str">
        <f>IF($K893="","",INDEX('Detalle individual'!$F:$F,$K893))</f>
        <v/>
      </c>
      <c r="I893" s="20" t="str">
        <f>IF($K893="","",IF(INDEX('Detalle individual'!$F:$F,$K893)="Completado",INDEX('Detalle individual'!$H:$H,$K893),""))</f>
        <v/>
      </c>
      <c r="J893" s="21" t="str">
        <f>IF($K893="","",IF(INDEX('Detalle individual'!$F:$F,$K893)="Completado",INDEX('Detalle individual'!$J:$J,$K893),""))</f>
        <v/>
      </c>
      <c r="K893" t="str">
        <f>IFERROR(MOD(SMALL(Cálculos!$Z$5:$Z$1000,885),10000),"")</f>
        <v/>
      </c>
    </row>
    <row r="894">
      <c r="B894" s="13" t="str">
        <f>IF($K894="","",886)</f>
        <v/>
      </c>
      <c r="C894" s="13" t="str">
        <f>IF($K894="","",INDEX('Detalle individual'!$A:$A,$K894))</f>
        <v/>
      </c>
      <c r="D894" s="72" t="str">
        <f>IF($K894="","",TRIM(INDEX('Detalle individual'!$B:$B,$K894)))</f>
        <v/>
      </c>
      <c r="E894" s="72" t="str">
        <f>IF($K894="","",TRIM(INDEX('Detalle individual'!$E:$E,$K894)))</f>
        <v/>
      </c>
      <c r="F894" s="72" t="str">
        <f>IF($K894="","",TRIM(INDEX('Detalle individual'!$C:$C,$K894)))</f>
        <v/>
      </c>
      <c r="G894" s="72" t="str">
        <f>IF($K894="","",INDEX('Detalle individual'!$D:$D,$K894))</f>
        <v/>
      </c>
      <c r="H894" s="13" t="str">
        <f>IF($K894="","",INDEX('Detalle individual'!$F:$F,$K894))</f>
        <v/>
      </c>
      <c r="I894" s="20" t="str">
        <f>IF($K894="","",IF(INDEX('Detalle individual'!$F:$F,$K894)="Completado",INDEX('Detalle individual'!$H:$H,$K894),""))</f>
        <v/>
      </c>
      <c r="J894" s="21" t="str">
        <f>IF($K894="","",IF(INDEX('Detalle individual'!$F:$F,$K894)="Completado",INDEX('Detalle individual'!$J:$J,$K894),""))</f>
        <v/>
      </c>
      <c r="K894" t="str">
        <f>IFERROR(MOD(SMALL(Cálculos!$Z$5:$Z$1000,886),10000),"")</f>
        <v/>
      </c>
    </row>
    <row r="895">
      <c r="B895" s="13" t="str">
        <f>IF($K895="","",887)</f>
        <v/>
      </c>
      <c r="C895" s="13" t="str">
        <f>IF($K895="","",INDEX('Detalle individual'!$A:$A,$K895))</f>
        <v/>
      </c>
      <c r="D895" s="72" t="str">
        <f>IF($K895="","",TRIM(INDEX('Detalle individual'!$B:$B,$K895)))</f>
        <v/>
      </c>
      <c r="E895" s="72" t="str">
        <f>IF($K895="","",TRIM(INDEX('Detalle individual'!$E:$E,$K895)))</f>
        <v/>
      </c>
      <c r="F895" s="72" t="str">
        <f>IF($K895="","",TRIM(INDEX('Detalle individual'!$C:$C,$K895)))</f>
        <v/>
      </c>
      <c r="G895" s="72" t="str">
        <f>IF($K895="","",INDEX('Detalle individual'!$D:$D,$K895))</f>
        <v/>
      </c>
      <c r="H895" s="13" t="str">
        <f>IF($K895="","",INDEX('Detalle individual'!$F:$F,$K895))</f>
        <v/>
      </c>
      <c r="I895" s="20" t="str">
        <f>IF($K895="","",IF(INDEX('Detalle individual'!$F:$F,$K895)="Completado",INDEX('Detalle individual'!$H:$H,$K895),""))</f>
        <v/>
      </c>
      <c r="J895" s="21" t="str">
        <f>IF($K895="","",IF(INDEX('Detalle individual'!$F:$F,$K895)="Completado",INDEX('Detalle individual'!$J:$J,$K895),""))</f>
        <v/>
      </c>
      <c r="K895" t="str">
        <f>IFERROR(MOD(SMALL(Cálculos!$Z$5:$Z$1000,887),10000),"")</f>
        <v/>
      </c>
    </row>
    <row r="896">
      <c r="B896" s="13" t="str">
        <f>IF($K896="","",888)</f>
        <v/>
      </c>
      <c r="C896" s="13" t="str">
        <f>IF($K896="","",INDEX('Detalle individual'!$A:$A,$K896))</f>
        <v/>
      </c>
      <c r="D896" s="72" t="str">
        <f>IF($K896="","",TRIM(INDEX('Detalle individual'!$B:$B,$K896)))</f>
        <v/>
      </c>
      <c r="E896" s="72" t="str">
        <f>IF($K896="","",TRIM(INDEX('Detalle individual'!$E:$E,$K896)))</f>
        <v/>
      </c>
      <c r="F896" s="72" t="str">
        <f>IF($K896="","",TRIM(INDEX('Detalle individual'!$C:$C,$K896)))</f>
        <v/>
      </c>
      <c r="G896" s="72" t="str">
        <f>IF($K896="","",INDEX('Detalle individual'!$D:$D,$K896))</f>
        <v/>
      </c>
      <c r="H896" s="13" t="str">
        <f>IF($K896="","",INDEX('Detalle individual'!$F:$F,$K896))</f>
        <v/>
      </c>
      <c r="I896" s="20" t="str">
        <f>IF($K896="","",IF(INDEX('Detalle individual'!$F:$F,$K896)="Completado",INDEX('Detalle individual'!$H:$H,$K896),""))</f>
        <v/>
      </c>
      <c r="J896" s="21" t="str">
        <f>IF($K896="","",IF(INDEX('Detalle individual'!$F:$F,$K896)="Completado",INDEX('Detalle individual'!$J:$J,$K896),""))</f>
        <v/>
      </c>
      <c r="K896" t="str">
        <f>IFERROR(MOD(SMALL(Cálculos!$Z$5:$Z$1000,888),10000),"")</f>
        <v/>
      </c>
    </row>
    <row r="897">
      <c r="B897" s="13" t="str">
        <f>IF($K897="","",889)</f>
        <v/>
      </c>
      <c r="C897" s="13" t="str">
        <f>IF($K897="","",INDEX('Detalle individual'!$A:$A,$K897))</f>
        <v/>
      </c>
      <c r="D897" s="72" t="str">
        <f>IF($K897="","",TRIM(INDEX('Detalle individual'!$B:$B,$K897)))</f>
        <v/>
      </c>
      <c r="E897" s="72" t="str">
        <f>IF($K897="","",TRIM(INDEX('Detalle individual'!$E:$E,$K897)))</f>
        <v/>
      </c>
      <c r="F897" s="72" t="str">
        <f>IF($K897="","",TRIM(INDEX('Detalle individual'!$C:$C,$K897)))</f>
        <v/>
      </c>
      <c r="G897" s="72" t="str">
        <f>IF($K897="","",INDEX('Detalle individual'!$D:$D,$K897))</f>
        <v/>
      </c>
      <c r="H897" s="13" t="str">
        <f>IF($K897="","",INDEX('Detalle individual'!$F:$F,$K897))</f>
        <v/>
      </c>
      <c r="I897" s="20" t="str">
        <f>IF($K897="","",IF(INDEX('Detalle individual'!$F:$F,$K897)="Completado",INDEX('Detalle individual'!$H:$H,$K897),""))</f>
        <v/>
      </c>
      <c r="J897" s="21" t="str">
        <f>IF($K897="","",IF(INDEX('Detalle individual'!$F:$F,$K897)="Completado",INDEX('Detalle individual'!$J:$J,$K897),""))</f>
        <v/>
      </c>
      <c r="K897" t="str">
        <f>IFERROR(MOD(SMALL(Cálculos!$Z$5:$Z$1000,889),10000),"")</f>
        <v/>
      </c>
    </row>
    <row r="898">
      <c r="B898" s="13" t="str">
        <f>IF($K898="","",890)</f>
        <v/>
      </c>
      <c r="C898" s="13" t="str">
        <f>IF($K898="","",INDEX('Detalle individual'!$A:$A,$K898))</f>
        <v/>
      </c>
      <c r="D898" s="72" t="str">
        <f>IF($K898="","",TRIM(INDEX('Detalle individual'!$B:$B,$K898)))</f>
        <v/>
      </c>
      <c r="E898" s="72" t="str">
        <f>IF($K898="","",TRIM(INDEX('Detalle individual'!$E:$E,$K898)))</f>
        <v/>
      </c>
      <c r="F898" s="72" t="str">
        <f>IF($K898="","",TRIM(INDEX('Detalle individual'!$C:$C,$K898)))</f>
        <v/>
      </c>
      <c r="G898" s="72" t="str">
        <f>IF($K898="","",INDEX('Detalle individual'!$D:$D,$K898))</f>
        <v/>
      </c>
      <c r="H898" s="13" t="str">
        <f>IF($K898="","",INDEX('Detalle individual'!$F:$F,$K898))</f>
        <v/>
      </c>
      <c r="I898" s="20" t="str">
        <f>IF($K898="","",IF(INDEX('Detalle individual'!$F:$F,$K898)="Completado",INDEX('Detalle individual'!$H:$H,$K898),""))</f>
        <v/>
      </c>
      <c r="J898" s="21" t="str">
        <f>IF($K898="","",IF(INDEX('Detalle individual'!$F:$F,$K898)="Completado",INDEX('Detalle individual'!$J:$J,$K898),""))</f>
        <v/>
      </c>
      <c r="K898" t="str">
        <f>IFERROR(MOD(SMALL(Cálculos!$Z$5:$Z$1000,890),10000),"")</f>
        <v/>
      </c>
    </row>
    <row r="899">
      <c r="B899" s="13" t="str">
        <f>IF($K899="","",891)</f>
        <v/>
      </c>
      <c r="C899" s="13" t="str">
        <f>IF($K899="","",INDEX('Detalle individual'!$A:$A,$K899))</f>
        <v/>
      </c>
      <c r="D899" s="72" t="str">
        <f>IF($K899="","",TRIM(INDEX('Detalle individual'!$B:$B,$K899)))</f>
        <v/>
      </c>
      <c r="E899" s="72" t="str">
        <f>IF($K899="","",TRIM(INDEX('Detalle individual'!$E:$E,$K899)))</f>
        <v/>
      </c>
      <c r="F899" s="72" t="str">
        <f>IF($K899="","",TRIM(INDEX('Detalle individual'!$C:$C,$K899)))</f>
        <v/>
      </c>
      <c r="G899" s="72" t="str">
        <f>IF($K899="","",INDEX('Detalle individual'!$D:$D,$K899))</f>
        <v/>
      </c>
      <c r="H899" s="13" t="str">
        <f>IF($K899="","",INDEX('Detalle individual'!$F:$F,$K899))</f>
        <v/>
      </c>
      <c r="I899" s="20" t="str">
        <f>IF($K899="","",IF(INDEX('Detalle individual'!$F:$F,$K899)="Completado",INDEX('Detalle individual'!$H:$H,$K899),""))</f>
        <v/>
      </c>
      <c r="J899" s="21" t="str">
        <f>IF($K899="","",IF(INDEX('Detalle individual'!$F:$F,$K899)="Completado",INDEX('Detalle individual'!$J:$J,$K899),""))</f>
        <v/>
      </c>
      <c r="K899" t="str">
        <f>IFERROR(MOD(SMALL(Cálculos!$Z$5:$Z$1000,891),10000),"")</f>
        <v/>
      </c>
    </row>
    <row r="900">
      <c r="B900" s="13" t="str">
        <f>IF($K900="","",892)</f>
        <v/>
      </c>
      <c r="C900" s="13" t="str">
        <f>IF($K900="","",INDEX('Detalle individual'!$A:$A,$K900))</f>
        <v/>
      </c>
      <c r="D900" s="72" t="str">
        <f>IF($K900="","",TRIM(INDEX('Detalle individual'!$B:$B,$K900)))</f>
        <v/>
      </c>
      <c r="E900" s="72" t="str">
        <f>IF($K900="","",TRIM(INDEX('Detalle individual'!$E:$E,$K900)))</f>
        <v/>
      </c>
      <c r="F900" s="72" t="str">
        <f>IF($K900="","",TRIM(INDEX('Detalle individual'!$C:$C,$K900)))</f>
        <v/>
      </c>
      <c r="G900" s="72" t="str">
        <f>IF($K900="","",INDEX('Detalle individual'!$D:$D,$K900))</f>
        <v/>
      </c>
      <c r="H900" s="13" t="str">
        <f>IF($K900="","",INDEX('Detalle individual'!$F:$F,$K900))</f>
        <v/>
      </c>
      <c r="I900" s="20" t="str">
        <f>IF($K900="","",IF(INDEX('Detalle individual'!$F:$F,$K900)="Completado",INDEX('Detalle individual'!$H:$H,$K900),""))</f>
        <v/>
      </c>
      <c r="J900" s="21" t="str">
        <f>IF($K900="","",IF(INDEX('Detalle individual'!$F:$F,$K900)="Completado",INDEX('Detalle individual'!$J:$J,$K900),""))</f>
        <v/>
      </c>
      <c r="K900" t="str">
        <f>IFERROR(MOD(SMALL(Cálculos!$Z$5:$Z$1000,892),10000),"")</f>
        <v/>
      </c>
    </row>
    <row r="901">
      <c r="B901" s="13" t="str">
        <f>IF($K901="","",893)</f>
        <v/>
      </c>
      <c r="C901" s="13" t="str">
        <f>IF($K901="","",INDEX('Detalle individual'!$A:$A,$K901))</f>
        <v/>
      </c>
      <c r="D901" s="72" t="str">
        <f>IF($K901="","",TRIM(INDEX('Detalle individual'!$B:$B,$K901)))</f>
        <v/>
      </c>
      <c r="E901" s="72" t="str">
        <f>IF($K901="","",TRIM(INDEX('Detalle individual'!$E:$E,$K901)))</f>
        <v/>
      </c>
      <c r="F901" s="72" t="str">
        <f>IF($K901="","",TRIM(INDEX('Detalle individual'!$C:$C,$K901)))</f>
        <v/>
      </c>
      <c r="G901" s="72" t="str">
        <f>IF($K901="","",INDEX('Detalle individual'!$D:$D,$K901))</f>
        <v/>
      </c>
      <c r="H901" s="13" t="str">
        <f>IF($K901="","",INDEX('Detalle individual'!$F:$F,$K901))</f>
        <v/>
      </c>
      <c r="I901" s="20" t="str">
        <f>IF($K901="","",IF(INDEX('Detalle individual'!$F:$F,$K901)="Completado",INDEX('Detalle individual'!$H:$H,$K901),""))</f>
        <v/>
      </c>
      <c r="J901" s="21" t="str">
        <f>IF($K901="","",IF(INDEX('Detalle individual'!$F:$F,$K901)="Completado",INDEX('Detalle individual'!$J:$J,$K901),""))</f>
        <v/>
      </c>
      <c r="K901" t="str">
        <f>IFERROR(MOD(SMALL(Cálculos!$Z$5:$Z$1000,893),10000),"")</f>
        <v/>
      </c>
    </row>
    <row r="902">
      <c r="B902" s="13" t="str">
        <f>IF($K902="","",894)</f>
        <v/>
      </c>
      <c r="C902" s="13" t="str">
        <f>IF($K902="","",INDEX('Detalle individual'!$A:$A,$K902))</f>
        <v/>
      </c>
      <c r="D902" s="72" t="str">
        <f>IF($K902="","",TRIM(INDEX('Detalle individual'!$B:$B,$K902)))</f>
        <v/>
      </c>
      <c r="E902" s="72" t="str">
        <f>IF($K902="","",TRIM(INDEX('Detalle individual'!$E:$E,$K902)))</f>
        <v/>
      </c>
      <c r="F902" s="72" t="str">
        <f>IF($K902="","",TRIM(INDEX('Detalle individual'!$C:$C,$K902)))</f>
        <v/>
      </c>
      <c r="G902" s="72" t="str">
        <f>IF($K902="","",INDEX('Detalle individual'!$D:$D,$K902))</f>
        <v/>
      </c>
      <c r="H902" s="13" t="str">
        <f>IF($K902="","",INDEX('Detalle individual'!$F:$F,$K902))</f>
        <v/>
      </c>
      <c r="I902" s="20" t="str">
        <f>IF($K902="","",IF(INDEX('Detalle individual'!$F:$F,$K902)="Completado",INDEX('Detalle individual'!$H:$H,$K902),""))</f>
        <v/>
      </c>
      <c r="J902" s="21" t="str">
        <f>IF($K902="","",IF(INDEX('Detalle individual'!$F:$F,$K902)="Completado",INDEX('Detalle individual'!$J:$J,$K902),""))</f>
        <v/>
      </c>
      <c r="K902" t="str">
        <f>IFERROR(MOD(SMALL(Cálculos!$Z$5:$Z$1000,894),10000),"")</f>
        <v/>
      </c>
    </row>
    <row r="903">
      <c r="B903" s="13" t="str">
        <f>IF($K903="","",895)</f>
        <v/>
      </c>
      <c r="C903" s="13" t="str">
        <f>IF($K903="","",INDEX('Detalle individual'!$A:$A,$K903))</f>
        <v/>
      </c>
      <c r="D903" s="72" t="str">
        <f>IF($K903="","",TRIM(INDEX('Detalle individual'!$B:$B,$K903)))</f>
        <v/>
      </c>
      <c r="E903" s="72" t="str">
        <f>IF($K903="","",TRIM(INDEX('Detalle individual'!$E:$E,$K903)))</f>
        <v/>
      </c>
      <c r="F903" s="72" t="str">
        <f>IF($K903="","",TRIM(INDEX('Detalle individual'!$C:$C,$K903)))</f>
        <v/>
      </c>
      <c r="G903" s="72" t="str">
        <f>IF($K903="","",INDEX('Detalle individual'!$D:$D,$K903))</f>
        <v/>
      </c>
      <c r="H903" s="13" t="str">
        <f>IF($K903="","",INDEX('Detalle individual'!$F:$F,$K903))</f>
        <v/>
      </c>
      <c r="I903" s="20" t="str">
        <f>IF($K903="","",IF(INDEX('Detalle individual'!$F:$F,$K903)="Completado",INDEX('Detalle individual'!$H:$H,$K903),""))</f>
        <v/>
      </c>
      <c r="J903" s="21" t="str">
        <f>IF($K903="","",IF(INDEX('Detalle individual'!$F:$F,$K903)="Completado",INDEX('Detalle individual'!$J:$J,$K903),""))</f>
        <v/>
      </c>
      <c r="K903" t="str">
        <f>IFERROR(MOD(SMALL(Cálculos!$Z$5:$Z$1000,895),10000),"")</f>
        <v/>
      </c>
    </row>
    <row r="904">
      <c r="B904" s="13" t="str">
        <f>IF($K904="","",896)</f>
        <v/>
      </c>
      <c r="C904" s="13" t="str">
        <f>IF($K904="","",INDEX('Detalle individual'!$A:$A,$K904))</f>
        <v/>
      </c>
      <c r="D904" s="72" t="str">
        <f>IF($K904="","",TRIM(INDEX('Detalle individual'!$B:$B,$K904)))</f>
        <v/>
      </c>
      <c r="E904" s="72" t="str">
        <f>IF($K904="","",TRIM(INDEX('Detalle individual'!$E:$E,$K904)))</f>
        <v/>
      </c>
      <c r="F904" s="72" t="str">
        <f>IF($K904="","",TRIM(INDEX('Detalle individual'!$C:$C,$K904)))</f>
        <v/>
      </c>
      <c r="G904" s="72" t="str">
        <f>IF($K904="","",INDEX('Detalle individual'!$D:$D,$K904))</f>
        <v/>
      </c>
      <c r="H904" s="13" t="str">
        <f>IF($K904="","",INDEX('Detalle individual'!$F:$F,$K904))</f>
        <v/>
      </c>
      <c r="I904" s="20" t="str">
        <f>IF($K904="","",IF(INDEX('Detalle individual'!$F:$F,$K904)="Completado",INDEX('Detalle individual'!$H:$H,$K904),""))</f>
        <v/>
      </c>
      <c r="J904" s="21" t="str">
        <f>IF($K904="","",IF(INDEX('Detalle individual'!$F:$F,$K904)="Completado",INDEX('Detalle individual'!$J:$J,$K904),""))</f>
        <v/>
      </c>
      <c r="K904" t="str">
        <f>IFERROR(MOD(SMALL(Cálculos!$Z$5:$Z$1000,896),10000),"")</f>
        <v/>
      </c>
    </row>
    <row r="905">
      <c r="B905" s="13" t="str">
        <f>IF($K905="","",897)</f>
        <v/>
      </c>
      <c r="C905" s="13" t="str">
        <f>IF($K905="","",INDEX('Detalle individual'!$A:$A,$K905))</f>
        <v/>
      </c>
      <c r="D905" s="72" t="str">
        <f>IF($K905="","",TRIM(INDEX('Detalle individual'!$B:$B,$K905)))</f>
        <v/>
      </c>
      <c r="E905" s="72" t="str">
        <f>IF($K905="","",TRIM(INDEX('Detalle individual'!$E:$E,$K905)))</f>
        <v/>
      </c>
      <c r="F905" s="72" t="str">
        <f>IF($K905="","",TRIM(INDEX('Detalle individual'!$C:$C,$K905)))</f>
        <v/>
      </c>
      <c r="G905" s="72" t="str">
        <f>IF($K905="","",INDEX('Detalle individual'!$D:$D,$K905))</f>
        <v/>
      </c>
      <c r="H905" s="13" t="str">
        <f>IF($K905="","",INDEX('Detalle individual'!$F:$F,$K905))</f>
        <v/>
      </c>
      <c r="I905" s="20" t="str">
        <f>IF($K905="","",IF(INDEX('Detalle individual'!$F:$F,$K905)="Completado",INDEX('Detalle individual'!$H:$H,$K905),""))</f>
        <v/>
      </c>
      <c r="J905" s="21" t="str">
        <f>IF($K905="","",IF(INDEX('Detalle individual'!$F:$F,$K905)="Completado",INDEX('Detalle individual'!$J:$J,$K905),""))</f>
        <v/>
      </c>
      <c r="K905" t="str">
        <f>IFERROR(MOD(SMALL(Cálculos!$Z$5:$Z$1000,897),10000),"")</f>
        <v/>
      </c>
    </row>
    <row r="906">
      <c r="B906" s="13" t="str">
        <f>IF($K906="","",898)</f>
        <v/>
      </c>
      <c r="C906" s="13" t="str">
        <f>IF($K906="","",INDEX('Detalle individual'!$A:$A,$K906))</f>
        <v/>
      </c>
      <c r="D906" s="72" t="str">
        <f>IF($K906="","",TRIM(INDEX('Detalle individual'!$B:$B,$K906)))</f>
        <v/>
      </c>
      <c r="E906" s="72" t="str">
        <f>IF($K906="","",TRIM(INDEX('Detalle individual'!$E:$E,$K906)))</f>
        <v/>
      </c>
      <c r="F906" s="72" t="str">
        <f>IF($K906="","",TRIM(INDEX('Detalle individual'!$C:$C,$K906)))</f>
        <v/>
      </c>
      <c r="G906" s="72" t="str">
        <f>IF($K906="","",INDEX('Detalle individual'!$D:$D,$K906))</f>
        <v/>
      </c>
      <c r="H906" s="13" t="str">
        <f>IF($K906="","",INDEX('Detalle individual'!$F:$F,$K906))</f>
        <v/>
      </c>
      <c r="I906" s="20" t="str">
        <f>IF($K906="","",IF(INDEX('Detalle individual'!$F:$F,$K906)="Completado",INDEX('Detalle individual'!$H:$H,$K906),""))</f>
        <v/>
      </c>
      <c r="J906" s="21" t="str">
        <f>IF($K906="","",IF(INDEX('Detalle individual'!$F:$F,$K906)="Completado",INDEX('Detalle individual'!$J:$J,$K906),""))</f>
        <v/>
      </c>
      <c r="K906" t="str">
        <f>IFERROR(MOD(SMALL(Cálculos!$Z$5:$Z$1000,898),10000),"")</f>
        <v/>
      </c>
    </row>
    <row r="907">
      <c r="B907" s="13" t="str">
        <f>IF($K907="","",899)</f>
        <v/>
      </c>
      <c r="C907" s="13" t="str">
        <f>IF($K907="","",INDEX('Detalle individual'!$A:$A,$K907))</f>
        <v/>
      </c>
      <c r="D907" s="72" t="str">
        <f>IF($K907="","",TRIM(INDEX('Detalle individual'!$B:$B,$K907)))</f>
        <v/>
      </c>
      <c r="E907" s="72" t="str">
        <f>IF($K907="","",TRIM(INDEX('Detalle individual'!$E:$E,$K907)))</f>
        <v/>
      </c>
      <c r="F907" s="72" t="str">
        <f>IF($K907="","",TRIM(INDEX('Detalle individual'!$C:$C,$K907)))</f>
        <v/>
      </c>
      <c r="G907" s="72" t="str">
        <f>IF($K907="","",INDEX('Detalle individual'!$D:$D,$K907))</f>
        <v/>
      </c>
      <c r="H907" s="13" t="str">
        <f>IF($K907="","",INDEX('Detalle individual'!$F:$F,$K907))</f>
        <v/>
      </c>
      <c r="I907" s="20" t="str">
        <f>IF($K907="","",IF(INDEX('Detalle individual'!$F:$F,$K907)="Completado",INDEX('Detalle individual'!$H:$H,$K907),""))</f>
        <v/>
      </c>
      <c r="J907" s="21" t="str">
        <f>IF($K907="","",IF(INDEX('Detalle individual'!$F:$F,$K907)="Completado",INDEX('Detalle individual'!$J:$J,$K907),""))</f>
        <v/>
      </c>
      <c r="K907" t="str">
        <f>IFERROR(MOD(SMALL(Cálculos!$Z$5:$Z$1000,899),10000),"")</f>
        <v/>
      </c>
    </row>
    <row r="908">
      <c r="B908" s="13" t="str">
        <f>IF($K908="","",900)</f>
        <v/>
      </c>
      <c r="C908" s="13" t="str">
        <f>IF($K908="","",INDEX('Detalle individual'!$A:$A,$K908))</f>
        <v/>
      </c>
      <c r="D908" s="72" t="str">
        <f>IF($K908="","",TRIM(INDEX('Detalle individual'!$B:$B,$K908)))</f>
        <v/>
      </c>
      <c r="E908" s="72" t="str">
        <f>IF($K908="","",TRIM(INDEX('Detalle individual'!$E:$E,$K908)))</f>
        <v/>
      </c>
      <c r="F908" s="72" t="str">
        <f>IF($K908="","",TRIM(INDEX('Detalle individual'!$C:$C,$K908)))</f>
        <v/>
      </c>
      <c r="G908" s="72" t="str">
        <f>IF($K908="","",INDEX('Detalle individual'!$D:$D,$K908))</f>
        <v/>
      </c>
      <c r="H908" s="13" t="str">
        <f>IF($K908="","",INDEX('Detalle individual'!$F:$F,$K908))</f>
        <v/>
      </c>
      <c r="I908" s="20" t="str">
        <f>IF($K908="","",IF(INDEX('Detalle individual'!$F:$F,$K908)="Completado",INDEX('Detalle individual'!$H:$H,$K908),""))</f>
        <v/>
      </c>
      <c r="J908" s="21" t="str">
        <f>IF($K908="","",IF(INDEX('Detalle individual'!$F:$F,$K908)="Completado",INDEX('Detalle individual'!$J:$J,$K908),""))</f>
        <v/>
      </c>
      <c r="K908" t="str">
        <f>IFERROR(MOD(SMALL(Cálculos!$Z$5:$Z$1000,900),10000),"")</f>
        <v/>
      </c>
    </row>
    <row r="909">
      <c r="B909" s="13" t="str">
        <f>IF($K909="","",901)</f>
        <v/>
      </c>
      <c r="C909" s="13" t="str">
        <f>IF($K909="","",INDEX('Detalle individual'!$A:$A,$K909))</f>
        <v/>
      </c>
      <c r="D909" s="72" t="str">
        <f>IF($K909="","",TRIM(INDEX('Detalle individual'!$B:$B,$K909)))</f>
        <v/>
      </c>
      <c r="E909" s="72" t="str">
        <f>IF($K909="","",TRIM(INDEX('Detalle individual'!$E:$E,$K909)))</f>
        <v/>
      </c>
      <c r="F909" s="72" t="str">
        <f>IF($K909="","",TRIM(INDEX('Detalle individual'!$C:$C,$K909)))</f>
        <v/>
      </c>
      <c r="G909" s="72" t="str">
        <f>IF($K909="","",INDEX('Detalle individual'!$D:$D,$K909))</f>
        <v/>
      </c>
      <c r="H909" s="13" t="str">
        <f>IF($K909="","",INDEX('Detalle individual'!$F:$F,$K909))</f>
        <v/>
      </c>
      <c r="I909" s="20" t="str">
        <f>IF($K909="","",IF(INDEX('Detalle individual'!$F:$F,$K909)="Completado",INDEX('Detalle individual'!$H:$H,$K909),""))</f>
        <v/>
      </c>
      <c r="J909" s="21" t="str">
        <f>IF($K909="","",IF(INDEX('Detalle individual'!$F:$F,$K909)="Completado",INDEX('Detalle individual'!$J:$J,$K909),""))</f>
        <v/>
      </c>
      <c r="K909" t="str">
        <f>IFERROR(MOD(SMALL(Cálculos!$Z$5:$Z$1000,901),10000),"")</f>
        <v/>
      </c>
    </row>
    <row r="910">
      <c r="B910" s="13" t="str">
        <f>IF($K910="","",902)</f>
        <v/>
      </c>
      <c r="C910" s="13" t="str">
        <f>IF($K910="","",INDEX('Detalle individual'!$A:$A,$K910))</f>
        <v/>
      </c>
      <c r="D910" s="72" t="str">
        <f>IF($K910="","",TRIM(INDEX('Detalle individual'!$B:$B,$K910)))</f>
        <v/>
      </c>
      <c r="E910" s="72" t="str">
        <f>IF($K910="","",TRIM(INDEX('Detalle individual'!$E:$E,$K910)))</f>
        <v/>
      </c>
      <c r="F910" s="72" t="str">
        <f>IF($K910="","",TRIM(INDEX('Detalle individual'!$C:$C,$K910)))</f>
        <v/>
      </c>
      <c r="G910" s="72" t="str">
        <f>IF($K910="","",INDEX('Detalle individual'!$D:$D,$K910))</f>
        <v/>
      </c>
      <c r="H910" s="13" t="str">
        <f>IF($K910="","",INDEX('Detalle individual'!$F:$F,$K910))</f>
        <v/>
      </c>
      <c r="I910" s="20" t="str">
        <f>IF($K910="","",IF(INDEX('Detalle individual'!$F:$F,$K910)="Completado",INDEX('Detalle individual'!$H:$H,$K910),""))</f>
        <v/>
      </c>
      <c r="J910" s="21" t="str">
        <f>IF($K910="","",IF(INDEX('Detalle individual'!$F:$F,$K910)="Completado",INDEX('Detalle individual'!$J:$J,$K910),""))</f>
        <v/>
      </c>
      <c r="K910" t="str">
        <f>IFERROR(MOD(SMALL(Cálculos!$Z$5:$Z$1000,902),10000),"")</f>
        <v/>
      </c>
    </row>
    <row r="911">
      <c r="B911" s="13" t="str">
        <f>IF($K911="","",903)</f>
        <v/>
      </c>
      <c r="C911" s="13" t="str">
        <f>IF($K911="","",INDEX('Detalle individual'!$A:$A,$K911))</f>
        <v/>
      </c>
      <c r="D911" s="72" t="str">
        <f>IF($K911="","",TRIM(INDEX('Detalle individual'!$B:$B,$K911)))</f>
        <v/>
      </c>
      <c r="E911" s="72" t="str">
        <f>IF($K911="","",TRIM(INDEX('Detalle individual'!$E:$E,$K911)))</f>
        <v/>
      </c>
      <c r="F911" s="72" t="str">
        <f>IF($K911="","",TRIM(INDEX('Detalle individual'!$C:$C,$K911)))</f>
        <v/>
      </c>
      <c r="G911" s="72" t="str">
        <f>IF($K911="","",INDEX('Detalle individual'!$D:$D,$K911))</f>
        <v/>
      </c>
      <c r="H911" s="13" t="str">
        <f>IF($K911="","",INDEX('Detalle individual'!$F:$F,$K911))</f>
        <v/>
      </c>
      <c r="I911" s="20" t="str">
        <f>IF($K911="","",IF(INDEX('Detalle individual'!$F:$F,$K911)="Completado",INDEX('Detalle individual'!$H:$H,$K911),""))</f>
        <v/>
      </c>
      <c r="J911" s="21" t="str">
        <f>IF($K911="","",IF(INDEX('Detalle individual'!$F:$F,$K911)="Completado",INDEX('Detalle individual'!$J:$J,$K911),""))</f>
        <v/>
      </c>
      <c r="K911" t="str">
        <f>IFERROR(MOD(SMALL(Cálculos!$Z$5:$Z$1000,903),10000),"")</f>
        <v/>
      </c>
    </row>
    <row r="912">
      <c r="B912" s="13" t="str">
        <f>IF($K912="","",904)</f>
        <v/>
      </c>
      <c r="C912" s="13" t="str">
        <f>IF($K912="","",INDEX('Detalle individual'!$A:$A,$K912))</f>
        <v/>
      </c>
      <c r="D912" s="72" t="str">
        <f>IF($K912="","",TRIM(INDEX('Detalle individual'!$B:$B,$K912)))</f>
        <v/>
      </c>
      <c r="E912" s="72" t="str">
        <f>IF($K912="","",TRIM(INDEX('Detalle individual'!$E:$E,$K912)))</f>
        <v/>
      </c>
      <c r="F912" s="72" t="str">
        <f>IF($K912="","",TRIM(INDEX('Detalle individual'!$C:$C,$K912)))</f>
        <v/>
      </c>
      <c r="G912" s="72" t="str">
        <f>IF($K912="","",INDEX('Detalle individual'!$D:$D,$K912))</f>
        <v/>
      </c>
      <c r="H912" s="13" t="str">
        <f>IF($K912="","",INDEX('Detalle individual'!$F:$F,$K912))</f>
        <v/>
      </c>
      <c r="I912" s="20" t="str">
        <f>IF($K912="","",IF(INDEX('Detalle individual'!$F:$F,$K912)="Completado",INDEX('Detalle individual'!$H:$H,$K912),""))</f>
        <v/>
      </c>
      <c r="J912" s="21" t="str">
        <f>IF($K912="","",IF(INDEX('Detalle individual'!$F:$F,$K912)="Completado",INDEX('Detalle individual'!$J:$J,$K912),""))</f>
        <v/>
      </c>
      <c r="K912" t="str">
        <f>IFERROR(MOD(SMALL(Cálculos!$Z$5:$Z$1000,904),10000),"")</f>
        <v/>
      </c>
    </row>
    <row r="913">
      <c r="B913" s="13" t="str">
        <f>IF($K913="","",905)</f>
        <v/>
      </c>
      <c r="C913" s="13" t="str">
        <f>IF($K913="","",INDEX('Detalle individual'!$A:$A,$K913))</f>
        <v/>
      </c>
      <c r="D913" s="72" t="str">
        <f>IF($K913="","",TRIM(INDEX('Detalle individual'!$B:$B,$K913)))</f>
        <v/>
      </c>
      <c r="E913" s="72" t="str">
        <f>IF($K913="","",TRIM(INDEX('Detalle individual'!$E:$E,$K913)))</f>
        <v/>
      </c>
      <c r="F913" s="72" t="str">
        <f>IF($K913="","",TRIM(INDEX('Detalle individual'!$C:$C,$K913)))</f>
        <v/>
      </c>
      <c r="G913" s="72" t="str">
        <f>IF($K913="","",INDEX('Detalle individual'!$D:$D,$K913))</f>
        <v/>
      </c>
      <c r="H913" s="13" t="str">
        <f>IF($K913="","",INDEX('Detalle individual'!$F:$F,$K913))</f>
        <v/>
      </c>
      <c r="I913" s="20" t="str">
        <f>IF($K913="","",IF(INDEX('Detalle individual'!$F:$F,$K913)="Completado",INDEX('Detalle individual'!$H:$H,$K913),""))</f>
        <v/>
      </c>
      <c r="J913" s="21" t="str">
        <f>IF($K913="","",IF(INDEX('Detalle individual'!$F:$F,$K913)="Completado",INDEX('Detalle individual'!$J:$J,$K913),""))</f>
        <v/>
      </c>
      <c r="K913" t="str">
        <f>IFERROR(MOD(SMALL(Cálculos!$Z$5:$Z$1000,905),10000),"")</f>
        <v/>
      </c>
    </row>
    <row r="914">
      <c r="B914" s="13" t="str">
        <f>IF($K914="","",906)</f>
        <v/>
      </c>
      <c r="C914" s="13" t="str">
        <f>IF($K914="","",INDEX('Detalle individual'!$A:$A,$K914))</f>
        <v/>
      </c>
      <c r="D914" s="72" t="str">
        <f>IF($K914="","",TRIM(INDEX('Detalle individual'!$B:$B,$K914)))</f>
        <v/>
      </c>
      <c r="E914" s="72" t="str">
        <f>IF($K914="","",TRIM(INDEX('Detalle individual'!$E:$E,$K914)))</f>
        <v/>
      </c>
      <c r="F914" s="72" t="str">
        <f>IF($K914="","",TRIM(INDEX('Detalle individual'!$C:$C,$K914)))</f>
        <v/>
      </c>
      <c r="G914" s="72" t="str">
        <f>IF($K914="","",INDEX('Detalle individual'!$D:$D,$K914))</f>
        <v/>
      </c>
      <c r="H914" s="13" t="str">
        <f>IF($K914="","",INDEX('Detalle individual'!$F:$F,$K914))</f>
        <v/>
      </c>
      <c r="I914" s="20" t="str">
        <f>IF($K914="","",IF(INDEX('Detalle individual'!$F:$F,$K914)="Completado",INDEX('Detalle individual'!$H:$H,$K914),""))</f>
        <v/>
      </c>
      <c r="J914" s="21" t="str">
        <f>IF($K914="","",IF(INDEX('Detalle individual'!$F:$F,$K914)="Completado",INDEX('Detalle individual'!$J:$J,$K914),""))</f>
        <v/>
      </c>
      <c r="K914" t="str">
        <f>IFERROR(MOD(SMALL(Cálculos!$Z$5:$Z$1000,906),10000),"")</f>
        <v/>
      </c>
    </row>
    <row r="915">
      <c r="B915" s="13" t="str">
        <f>IF($K915="","",907)</f>
        <v/>
      </c>
      <c r="C915" s="13" t="str">
        <f>IF($K915="","",INDEX('Detalle individual'!$A:$A,$K915))</f>
        <v/>
      </c>
      <c r="D915" s="72" t="str">
        <f>IF($K915="","",TRIM(INDEX('Detalle individual'!$B:$B,$K915)))</f>
        <v/>
      </c>
      <c r="E915" s="72" t="str">
        <f>IF($K915="","",TRIM(INDEX('Detalle individual'!$E:$E,$K915)))</f>
        <v/>
      </c>
      <c r="F915" s="72" t="str">
        <f>IF($K915="","",TRIM(INDEX('Detalle individual'!$C:$C,$K915)))</f>
        <v/>
      </c>
      <c r="G915" s="72" t="str">
        <f>IF($K915="","",INDEX('Detalle individual'!$D:$D,$K915))</f>
        <v/>
      </c>
      <c r="H915" s="13" t="str">
        <f>IF($K915="","",INDEX('Detalle individual'!$F:$F,$K915))</f>
        <v/>
      </c>
      <c r="I915" s="20" t="str">
        <f>IF($K915="","",IF(INDEX('Detalle individual'!$F:$F,$K915)="Completado",INDEX('Detalle individual'!$H:$H,$K915),""))</f>
        <v/>
      </c>
      <c r="J915" s="21" t="str">
        <f>IF($K915="","",IF(INDEX('Detalle individual'!$F:$F,$K915)="Completado",INDEX('Detalle individual'!$J:$J,$K915),""))</f>
        <v/>
      </c>
      <c r="K915" t="str">
        <f>IFERROR(MOD(SMALL(Cálculos!$Z$5:$Z$1000,907),10000),"")</f>
        <v/>
      </c>
    </row>
    <row r="916">
      <c r="B916" s="13" t="str">
        <f>IF($K916="","",908)</f>
        <v/>
      </c>
      <c r="C916" s="13" t="str">
        <f>IF($K916="","",INDEX('Detalle individual'!$A:$A,$K916))</f>
        <v/>
      </c>
      <c r="D916" s="72" t="str">
        <f>IF($K916="","",TRIM(INDEX('Detalle individual'!$B:$B,$K916)))</f>
        <v/>
      </c>
      <c r="E916" s="72" t="str">
        <f>IF($K916="","",TRIM(INDEX('Detalle individual'!$E:$E,$K916)))</f>
        <v/>
      </c>
      <c r="F916" s="72" t="str">
        <f>IF($K916="","",TRIM(INDEX('Detalle individual'!$C:$C,$K916)))</f>
        <v/>
      </c>
      <c r="G916" s="72" t="str">
        <f>IF($K916="","",INDEX('Detalle individual'!$D:$D,$K916))</f>
        <v/>
      </c>
      <c r="H916" s="13" t="str">
        <f>IF($K916="","",INDEX('Detalle individual'!$F:$F,$K916))</f>
        <v/>
      </c>
      <c r="I916" s="20" t="str">
        <f>IF($K916="","",IF(INDEX('Detalle individual'!$F:$F,$K916)="Completado",INDEX('Detalle individual'!$H:$H,$K916),""))</f>
        <v/>
      </c>
      <c r="J916" s="21" t="str">
        <f>IF($K916="","",IF(INDEX('Detalle individual'!$F:$F,$K916)="Completado",INDEX('Detalle individual'!$J:$J,$K916),""))</f>
        <v/>
      </c>
      <c r="K916" t="str">
        <f>IFERROR(MOD(SMALL(Cálculos!$Z$5:$Z$1000,908),10000),"")</f>
        <v/>
      </c>
    </row>
    <row r="917">
      <c r="B917" s="13" t="str">
        <f>IF($K917="","",909)</f>
        <v/>
      </c>
      <c r="C917" s="13" t="str">
        <f>IF($K917="","",INDEX('Detalle individual'!$A:$A,$K917))</f>
        <v/>
      </c>
      <c r="D917" s="72" t="str">
        <f>IF($K917="","",TRIM(INDEX('Detalle individual'!$B:$B,$K917)))</f>
        <v/>
      </c>
      <c r="E917" s="72" t="str">
        <f>IF($K917="","",TRIM(INDEX('Detalle individual'!$E:$E,$K917)))</f>
        <v/>
      </c>
      <c r="F917" s="72" t="str">
        <f>IF($K917="","",TRIM(INDEX('Detalle individual'!$C:$C,$K917)))</f>
        <v/>
      </c>
      <c r="G917" s="72" t="str">
        <f>IF($K917="","",INDEX('Detalle individual'!$D:$D,$K917))</f>
        <v/>
      </c>
      <c r="H917" s="13" t="str">
        <f>IF($K917="","",INDEX('Detalle individual'!$F:$F,$K917))</f>
        <v/>
      </c>
      <c r="I917" s="20" t="str">
        <f>IF($K917="","",IF(INDEX('Detalle individual'!$F:$F,$K917)="Completado",INDEX('Detalle individual'!$H:$H,$K917),""))</f>
        <v/>
      </c>
      <c r="J917" s="21" t="str">
        <f>IF($K917="","",IF(INDEX('Detalle individual'!$F:$F,$K917)="Completado",INDEX('Detalle individual'!$J:$J,$K917),""))</f>
        <v/>
      </c>
      <c r="K917" t="str">
        <f>IFERROR(MOD(SMALL(Cálculos!$Z$5:$Z$1000,909),10000),"")</f>
        <v/>
      </c>
    </row>
    <row r="918">
      <c r="B918" s="13" t="str">
        <f>IF($K918="","",910)</f>
        <v/>
      </c>
      <c r="C918" s="13" t="str">
        <f>IF($K918="","",INDEX('Detalle individual'!$A:$A,$K918))</f>
        <v/>
      </c>
      <c r="D918" s="72" t="str">
        <f>IF($K918="","",TRIM(INDEX('Detalle individual'!$B:$B,$K918)))</f>
        <v/>
      </c>
      <c r="E918" s="72" t="str">
        <f>IF($K918="","",TRIM(INDEX('Detalle individual'!$E:$E,$K918)))</f>
        <v/>
      </c>
      <c r="F918" s="72" t="str">
        <f>IF($K918="","",TRIM(INDEX('Detalle individual'!$C:$C,$K918)))</f>
        <v/>
      </c>
      <c r="G918" s="72" t="str">
        <f>IF($K918="","",INDEX('Detalle individual'!$D:$D,$K918))</f>
        <v/>
      </c>
      <c r="H918" s="13" t="str">
        <f>IF($K918="","",INDEX('Detalle individual'!$F:$F,$K918))</f>
        <v/>
      </c>
      <c r="I918" s="20" t="str">
        <f>IF($K918="","",IF(INDEX('Detalle individual'!$F:$F,$K918)="Completado",INDEX('Detalle individual'!$H:$H,$K918),""))</f>
        <v/>
      </c>
      <c r="J918" s="21" t="str">
        <f>IF($K918="","",IF(INDEX('Detalle individual'!$F:$F,$K918)="Completado",INDEX('Detalle individual'!$J:$J,$K918),""))</f>
        <v/>
      </c>
      <c r="K918" t="str">
        <f>IFERROR(MOD(SMALL(Cálculos!$Z$5:$Z$1000,910),10000),"")</f>
        <v/>
      </c>
    </row>
    <row r="919">
      <c r="B919" s="13" t="str">
        <f>IF($K919="","",911)</f>
        <v/>
      </c>
      <c r="C919" s="13" t="str">
        <f>IF($K919="","",INDEX('Detalle individual'!$A:$A,$K919))</f>
        <v/>
      </c>
      <c r="D919" s="72" t="str">
        <f>IF($K919="","",TRIM(INDEX('Detalle individual'!$B:$B,$K919)))</f>
        <v/>
      </c>
      <c r="E919" s="72" t="str">
        <f>IF($K919="","",TRIM(INDEX('Detalle individual'!$E:$E,$K919)))</f>
        <v/>
      </c>
      <c r="F919" s="72" t="str">
        <f>IF($K919="","",TRIM(INDEX('Detalle individual'!$C:$C,$K919)))</f>
        <v/>
      </c>
      <c r="G919" s="72" t="str">
        <f>IF($K919="","",INDEX('Detalle individual'!$D:$D,$K919))</f>
        <v/>
      </c>
      <c r="H919" s="13" t="str">
        <f>IF($K919="","",INDEX('Detalle individual'!$F:$F,$K919))</f>
        <v/>
      </c>
      <c r="I919" s="20" t="str">
        <f>IF($K919="","",IF(INDEX('Detalle individual'!$F:$F,$K919)="Completado",INDEX('Detalle individual'!$H:$H,$K919),""))</f>
        <v/>
      </c>
      <c r="J919" s="21" t="str">
        <f>IF($K919="","",IF(INDEX('Detalle individual'!$F:$F,$K919)="Completado",INDEX('Detalle individual'!$J:$J,$K919),""))</f>
        <v/>
      </c>
      <c r="K919" t="str">
        <f>IFERROR(MOD(SMALL(Cálculos!$Z$5:$Z$1000,911),10000),"")</f>
        <v/>
      </c>
    </row>
    <row r="920">
      <c r="B920" s="13" t="str">
        <f>IF($K920="","",912)</f>
        <v/>
      </c>
      <c r="C920" s="13" t="str">
        <f>IF($K920="","",INDEX('Detalle individual'!$A:$A,$K920))</f>
        <v/>
      </c>
      <c r="D920" s="72" t="str">
        <f>IF($K920="","",TRIM(INDEX('Detalle individual'!$B:$B,$K920)))</f>
        <v/>
      </c>
      <c r="E920" s="72" t="str">
        <f>IF($K920="","",TRIM(INDEX('Detalle individual'!$E:$E,$K920)))</f>
        <v/>
      </c>
      <c r="F920" s="72" t="str">
        <f>IF($K920="","",TRIM(INDEX('Detalle individual'!$C:$C,$K920)))</f>
        <v/>
      </c>
      <c r="G920" s="72" t="str">
        <f>IF($K920="","",INDEX('Detalle individual'!$D:$D,$K920))</f>
        <v/>
      </c>
      <c r="H920" s="13" t="str">
        <f>IF($K920="","",INDEX('Detalle individual'!$F:$F,$K920))</f>
        <v/>
      </c>
      <c r="I920" s="20" t="str">
        <f>IF($K920="","",IF(INDEX('Detalle individual'!$F:$F,$K920)="Completado",INDEX('Detalle individual'!$H:$H,$K920),""))</f>
        <v/>
      </c>
      <c r="J920" s="21" t="str">
        <f>IF($K920="","",IF(INDEX('Detalle individual'!$F:$F,$K920)="Completado",INDEX('Detalle individual'!$J:$J,$K920),""))</f>
        <v/>
      </c>
      <c r="K920" t="str">
        <f>IFERROR(MOD(SMALL(Cálculos!$Z$5:$Z$1000,912),10000),"")</f>
        <v/>
      </c>
    </row>
    <row r="921">
      <c r="B921" s="13" t="str">
        <f>IF($K921="","",913)</f>
        <v/>
      </c>
      <c r="C921" s="13" t="str">
        <f>IF($K921="","",INDEX('Detalle individual'!$A:$A,$K921))</f>
        <v/>
      </c>
      <c r="D921" s="72" t="str">
        <f>IF($K921="","",TRIM(INDEX('Detalle individual'!$B:$B,$K921)))</f>
        <v/>
      </c>
      <c r="E921" s="72" t="str">
        <f>IF($K921="","",TRIM(INDEX('Detalle individual'!$E:$E,$K921)))</f>
        <v/>
      </c>
      <c r="F921" s="72" t="str">
        <f>IF($K921="","",TRIM(INDEX('Detalle individual'!$C:$C,$K921)))</f>
        <v/>
      </c>
      <c r="G921" s="72" t="str">
        <f>IF($K921="","",INDEX('Detalle individual'!$D:$D,$K921))</f>
        <v/>
      </c>
      <c r="H921" s="13" t="str">
        <f>IF($K921="","",INDEX('Detalle individual'!$F:$F,$K921))</f>
        <v/>
      </c>
      <c r="I921" s="20" t="str">
        <f>IF($K921="","",IF(INDEX('Detalle individual'!$F:$F,$K921)="Completado",INDEX('Detalle individual'!$H:$H,$K921),""))</f>
        <v/>
      </c>
      <c r="J921" s="21" t="str">
        <f>IF($K921="","",IF(INDEX('Detalle individual'!$F:$F,$K921)="Completado",INDEX('Detalle individual'!$J:$J,$K921),""))</f>
        <v/>
      </c>
      <c r="K921" t="str">
        <f>IFERROR(MOD(SMALL(Cálculos!$Z$5:$Z$1000,913),10000),"")</f>
        <v/>
      </c>
    </row>
    <row r="922">
      <c r="B922" s="13" t="str">
        <f>IF($K922="","",914)</f>
        <v/>
      </c>
      <c r="C922" s="13" t="str">
        <f>IF($K922="","",INDEX('Detalle individual'!$A:$A,$K922))</f>
        <v/>
      </c>
      <c r="D922" s="72" t="str">
        <f>IF($K922="","",TRIM(INDEX('Detalle individual'!$B:$B,$K922)))</f>
        <v/>
      </c>
      <c r="E922" s="72" t="str">
        <f>IF($K922="","",TRIM(INDEX('Detalle individual'!$E:$E,$K922)))</f>
        <v/>
      </c>
      <c r="F922" s="72" t="str">
        <f>IF($K922="","",TRIM(INDEX('Detalle individual'!$C:$C,$K922)))</f>
        <v/>
      </c>
      <c r="G922" s="72" t="str">
        <f>IF($K922="","",INDEX('Detalle individual'!$D:$D,$K922))</f>
        <v/>
      </c>
      <c r="H922" s="13" t="str">
        <f>IF($K922="","",INDEX('Detalle individual'!$F:$F,$K922))</f>
        <v/>
      </c>
      <c r="I922" s="20" t="str">
        <f>IF($K922="","",IF(INDEX('Detalle individual'!$F:$F,$K922)="Completado",INDEX('Detalle individual'!$H:$H,$K922),""))</f>
        <v/>
      </c>
      <c r="J922" s="21" t="str">
        <f>IF($K922="","",IF(INDEX('Detalle individual'!$F:$F,$K922)="Completado",INDEX('Detalle individual'!$J:$J,$K922),""))</f>
        <v/>
      </c>
      <c r="K922" t="str">
        <f>IFERROR(MOD(SMALL(Cálculos!$Z$5:$Z$1000,914),10000),"")</f>
        <v/>
      </c>
    </row>
    <row r="923">
      <c r="B923" s="13" t="str">
        <f>IF($K923="","",915)</f>
        <v/>
      </c>
      <c r="C923" s="13" t="str">
        <f>IF($K923="","",INDEX('Detalle individual'!$A:$A,$K923))</f>
        <v/>
      </c>
      <c r="D923" s="72" t="str">
        <f>IF($K923="","",TRIM(INDEX('Detalle individual'!$B:$B,$K923)))</f>
        <v/>
      </c>
      <c r="E923" s="72" t="str">
        <f>IF($K923="","",TRIM(INDEX('Detalle individual'!$E:$E,$K923)))</f>
        <v/>
      </c>
      <c r="F923" s="72" t="str">
        <f>IF($K923="","",TRIM(INDEX('Detalle individual'!$C:$C,$K923)))</f>
        <v/>
      </c>
      <c r="G923" s="72" t="str">
        <f>IF($K923="","",INDEX('Detalle individual'!$D:$D,$K923))</f>
        <v/>
      </c>
      <c r="H923" s="13" t="str">
        <f>IF($K923="","",INDEX('Detalle individual'!$F:$F,$K923))</f>
        <v/>
      </c>
      <c r="I923" s="20" t="str">
        <f>IF($K923="","",IF(INDEX('Detalle individual'!$F:$F,$K923)="Completado",INDEX('Detalle individual'!$H:$H,$K923),""))</f>
        <v/>
      </c>
      <c r="J923" s="21" t="str">
        <f>IF($K923="","",IF(INDEX('Detalle individual'!$F:$F,$K923)="Completado",INDEX('Detalle individual'!$J:$J,$K923),""))</f>
        <v/>
      </c>
      <c r="K923" t="str">
        <f>IFERROR(MOD(SMALL(Cálculos!$Z$5:$Z$1000,915),10000),"")</f>
        <v/>
      </c>
    </row>
    <row r="924">
      <c r="B924" s="13" t="str">
        <f>IF($K924="","",916)</f>
        <v/>
      </c>
      <c r="C924" s="13" t="str">
        <f>IF($K924="","",INDEX('Detalle individual'!$A:$A,$K924))</f>
        <v/>
      </c>
      <c r="D924" s="72" t="str">
        <f>IF($K924="","",TRIM(INDEX('Detalle individual'!$B:$B,$K924)))</f>
        <v/>
      </c>
      <c r="E924" s="72" t="str">
        <f>IF($K924="","",TRIM(INDEX('Detalle individual'!$E:$E,$K924)))</f>
        <v/>
      </c>
      <c r="F924" s="72" t="str">
        <f>IF($K924="","",TRIM(INDEX('Detalle individual'!$C:$C,$K924)))</f>
        <v/>
      </c>
      <c r="G924" s="72" t="str">
        <f>IF($K924="","",INDEX('Detalle individual'!$D:$D,$K924))</f>
        <v/>
      </c>
      <c r="H924" s="13" t="str">
        <f>IF($K924="","",INDEX('Detalle individual'!$F:$F,$K924))</f>
        <v/>
      </c>
      <c r="I924" s="20" t="str">
        <f>IF($K924="","",IF(INDEX('Detalle individual'!$F:$F,$K924)="Completado",INDEX('Detalle individual'!$H:$H,$K924),""))</f>
        <v/>
      </c>
      <c r="J924" s="21" t="str">
        <f>IF($K924="","",IF(INDEX('Detalle individual'!$F:$F,$K924)="Completado",INDEX('Detalle individual'!$J:$J,$K924),""))</f>
        <v/>
      </c>
      <c r="K924" t="str">
        <f>IFERROR(MOD(SMALL(Cálculos!$Z$5:$Z$1000,916),10000),"")</f>
        <v/>
      </c>
    </row>
    <row r="925">
      <c r="B925" s="13" t="str">
        <f>IF($K925="","",917)</f>
        <v/>
      </c>
      <c r="C925" s="13" t="str">
        <f>IF($K925="","",INDEX('Detalle individual'!$A:$A,$K925))</f>
        <v/>
      </c>
      <c r="D925" s="72" t="str">
        <f>IF($K925="","",TRIM(INDEX('Detalle individual'!$B:$B,$K925)))</f>
        <v/>
      </c>
      <c r="E925" s="72" t="str">
        <f>IF($K925="","",TRIM(INDEX('Detalle individual'!$E:$E,$K925)))</f>
        <v/>
      </c>
      <c r="F925" s="72" t="str">
        <f>IF($K925="","",TRIM(INDEX('Detalle individual'!$C:$C,$K925)))</f>
        <v/>
      </c>
      <c r="G925" s="72" t="str">
        <f>IF($K925="","",INDEX('Detalle individual'!$D:$D,$K925))</f>
        <v/>
      </c>
      <c r="H925" s="13" t="str">
        <f>IF($K925="","",INDEX('Detalle individual'!$F:$F,$K925))</f>
        <v/>
      </c>
      <c r="I925" s="20" t="str">
        <f>IF($K925="","",IF(INDEX('Detalle individual'!$F:$F,$K925)="Completado",INDEX('Detalle individual'!$H:$H,$K925),""))</f>
        <v/>
      </c>
      <c r="J925" s="21" t="str">
        <f>IF($K925="","",IF(INDEX('Detalle individual'!$F:$F,$K925)="Completado",INDEX('Detalle individual'!$J:$J,$K925),""))</f>
        <v/>
      </c>
      <c r="K925" t="str">
        <f>IFERROR(MOD(SMALL(Cálculos!$Z$5:$Z$1000,917),10000),"")</f>
        <v/>
      </c>
    </row>
    <row r="926">
      <c r="B926" s="13" t="str">
        <f>IF($K926="","",918)</f>
        <v/>
      </c>
      <c r="C926" s="13" t="str">
        <f>IF($K926="","",INDEX('Detalle individual'!$A:$A,$K926))</f>
        <v/>
      </c>
      <c r="D926" s="72" t="str">
        <f>IF($K926="","",TRIM(INDEX('Detalle individual'!$B:$B,$K926)))</f>
        <v/>
      </c>
      <c r="E926" s="72" t="str">
        <f>IF($K926="","",TRIM(INDEX('Detalle individual'!$E:$E,$K926)))</f>
        <v/>
      </c>
      <c r="F926" s="72" t="str">
        <f>IF($K926="","",TRIM(INDEX('Detalle individual'!$C:$C,$K926)))</f>
        <v/>
      </c>
      <c r="G926" s="72" t="str">
        <f>IF($K926="","",INDEX('Detalle individual'!$D:$D,$K926))</f>
        <v/>
      </c>
      <c r="H926" s="13" t="str">
        <f>IF($K926="","",INDEX('Detalle individual'!$F:$F,$K926))</f>
        <v/>
      </c>
      <c r="I926" s="20" t="str">
        <f>IF($K926="","",IF(INDEX('Detalle individual'!$F:$F,$K926)="Completado",INDEX('Detalle individual'!$H:$H,$K926),""))</f>
        <v/>
      </c>
      <c r="J926" s="21" t="str">
        <f>IF($K926="","",IF(INDEX('Detalle individual'!$F:$F,$K926)="Completado",INDEX('Detalle individual'!$J:$J,$K926),""))</f>
        <v/>
      </c>
      <c r="K926" t="str">
        <f>IFERROR(MOD(SMALL(Cálculos!$Z$5:$Z$1000,918),10000),"")</f>
        <v/>
      </c>
    </row>
    <row r="927">
      <c r="B927" s="13" t="str">
        <f>IF($K927="","",919)</f>
        <v/>
      </c>
      <c r="C927" s="13" t="str">
        <f>IF($K927="","",INDEX('Detalle individual'!$A:$A,$K927))</f>
        <v/>
      </c>
      <c r="D927" s="72" t="str">
        <f>IF($K927="","",TRIM(INDEX('Detalle individual'!$B:$B,$K927)))</f>
        <v/>
      </c>
      <c r="E927" s="72" t="str">
        <f>IF($K927="","",TRIM(INDEX('Detalle individual'!$E:$E,$K927)))</f>
        <v/>
      </c>
      <c r="F927" s="72" t="str">
        <f>IF($K927="","",TRIM(INDEX('Detalle individual'!$C:$C,$K927)))</f>
        <v/>
      </c>
      <c r="G927" s="72" t="str">
        <f>IF($K927="","",INDEX('Detalle individual'!$D:$D,$K927))</f>
        <v/>
      </c>
      <c r="H927" s="13" t="str">
        <f>IF($K927="","",INDEX('Detalle individual'!$F:$F,$K927))</f>
        <v/>
      </c>
      <c r="I927" s="20" t="str">
        <f>IF($K927="","",IF(INDEX('Detalle individual'!$F:$F,$K927)="Completado",INDEX('Detalle individual'!$H:$H,$K927),""))</f>
        <v/>
      </c>
      <c r="J927" s="21" t="str">
        <f>IF($K927="","",IF(INDEX('Detalle individual'!$F:$F,$K927)="Completado",INDEX('Detalle individual'!$J:$J,$K927),""))</f>
        <v/>
      </c>
      <c r="K927" t="str">
        <f>IFERROR(MOD(SMALL(Cálculos!$Z$5:$Z$1000,919),10000),"")</f>
        <v/>
      </c>
    </row>
    <row r="928">
      <c r="B928" s="13" t="str">
        <f>IF($K928="","",920)</f>
        <v/>
      </c>
      <c r="C928" s="13" t="str">
        <f>IF($K928="","",INDEX('Detalle individual'!$A:$A,$K928))</f>
        <v/>
      </c>
      <c r="D928" s="72" t="str">
        <f>IF($K928="","",TRIM(INDEX('Detalle individual'!$B:$B,$K928)))</f>
        <v/>
      </c>
      <c r="E928" s="72" t="str">
        <f>IF($K928="","",TRIM(INDEX('Detalle individual'!$E:$E,$K928)))</f>
        <v/>
      </c>
      <c r="F928" s="72" t="str">
        <f>IF($K928="","",TRIM(INDEX('Detalle individual'!$C:$C,$K928)))</f>
        <v/>
      </c>
      <c r="G928" s="72" t="str">
        <f>IF($K928="","",INDEX('Detalle individual'!$D:$D,$K928))</f>
        <v/>
      </c>
      <c r="H928" s="13" t="str">
        <f>IF($K928="","",INDEX('Detalle individual'!$F:$F,$K928))</f>
        <v/>
      </c>
      <c r="I928" s="20" t="str">
        <f>IF($K928="","",IF(INDEX('Detalle individual'!$F:$F,$K928)="Completado",INDEX('Detalle individual'!$H:$H,$K928),""))</f>
        <v/>
      </c>
      <c r="J928" s="21" t="str">
        <f>IF($K928="","",IF(INDEX('Detalle individual'!$F:$F,$K928)="Completado",INDEX('Detalle individual'!$J:$J,$K928),""))</f>
        <v/>
      </c>
      <c r="K928" t="str">
        <f>IFERROR(MOD(SMALL(Cálculos!$Z$5:$Z$1000,920),10000),"")</f>
        <v/>
      </c>
    </row>
    <row r="929">
      <c r="B929" s="13" t="str">
        <f>IF($K929="","",921)</f>
        <v/>
      </c>
      <c r="C929" s="13" t="str">
        <f>IF($K929="","",INDEX('Detalle individual'!$A:$A,$K929))</f>
        <v/>
      </c>
      <c r="D929" s="72" t="str">
        <f>IF($K929="","",TRIM(INDEX('Detalle individual'!$B:$B,$K929)))</f>
        <v/>
      </c>
      <c r="E929" s="72" t="str">
        <f>IF($K929="","",TRIM(INDEX('Detalle individual'!$E:$E,$K929)))</f>
        <v/>
      </c>
      <c r="F929" s="72" t="str">
        <f>IF($K929="","",TRIM(INDEX('Detalle individual'!$C:$C,$K929)))</f>
        <v/>
      </c>
      <c r="G929" s="72" t="str">
        <f>IF($K929="","",INDEX('Detalle individual'!$D:$D,$K929))</f>
        <v/>
      </c>
      <c r="H929" s="13" t="str">
        <f>IF($K929="","",INDEX('Detalle individual'!$F:$F,$K929))</f>
        <v/>
      </c>
      <c r="I929" s="20" t="str">
        <f>IF($K929="","",IF(INDEX('Detalle individual'!$F:$F,$K929)="Completado",INDEX('Detalle individual'!$H:$H,$K929),""))</f>
        <v/>
      </c>
      <c r="J929" s="21" t="str">
        <f>IF($K929="","",IF(INDEX('Detalle individual'!$F:$F,$K929)="Completado",INDEX('Detalle individual'!$J:$J,$K929),""))</f>
        <v/>
      </c>
      <c r="K929" t="str">
        <f>IFERROR(MOD(SMALL(Cálculos!$Z$5:$Z$1000,921),10000),"")</f>
        <v/>
      </c>
    </row>
    <row r="930">
      <c r="B930" s="13" t="str">
        <f>IF($K930="","",922)</f>
        <v/>
      </c>
      <c r="C930" s="13" t="str">
        <f>IF($K930="","",INDEX('Detalle individual'!$A:$A,$K930))</f>
        <v/>
      </c>
      <c r="D930" s="72" t="str">
        <f>IF($K930="","",TRIM(INDEX('Detalle individual'!$B:$B,$K930)))</f>
        <v/>
      </c>
      <c r="E930" s="72" t="str">
        <f>IF($K930="","",TRIM(INDEX('Detalle individual'!$E:$E,$K930)))</f>
        <v/>
      </c>
      <c r="F930" s="72" t="str">
        <f>IF($K930="","",TRIM(INDEX('Detalle individual'!$C:$C,$K930)))</f>
        <v/>
      </c>
      <c r="G930" s="72" t="str">
        <f>IF($K930="","",INDEX('Detalle individual'!$D:$D,$K930))</f>
        <v/>
      </c>
      <c r="H930" s="13" t="str">
        <f>IF($K930="","",INDEX('Detalle individual'!$F:$F,$K930))</f>
        <v/>
      </c>
      <c r="I930" s="20" t="str">
        <f>IF($K930="","",IF(INDEX('Detalle individual'!$F:$F,$K930)="Completado",INDEX('Detalle individual'!$H:$H,$K930),""))</f>
        <v/>
      </c>
      <c r="J930" s="21" t="str">
        <f>IF($K930="","",IF(INDEX('Detalle individual'!$F:$F,$K930)="Completado",INDEX('Detalle individual'!$J:$J,$K930),""))</f>
        <v/>
      </c>
      <c r="K930" t="str">
        <f>IFERROR(MOD(SMALL(Cálculos!$Z$5:$Z$1000,922),10000),"")</f>
        <v/>
      </c>
    </row>
    <row r="931">
      <c r="B931" s="13" t="str">
        <f>IF($K931="","",923)</f>
        <v/>
      </c>
      <c r="C931" s="13" t="str">
        <f>IF($K931="","",INDEX('Detalle individual'!$A:$A,$K931))</f>
        <v/>
      </c>
      <c r="D931" s="72" t="str">
        <f>IF($K931="","",TRIM(INDEX('Detalle individual'!$B:$B,$K931)))</f>
        <v/>
      </c>
      <c r="E931" s="72" t="str">
        <f>IF($K931="","",TRIM(INDEX('Detalle individual'!$E:$E,$K931)))</f>
        <v/>
      </c>
      <c r="F931" s="72" t="str">
        <f>IF($K931="","",TRIM(INDEX('Detalle individual'!$C:$C,$K931)))</f>
        <v/>
      </c>
      <c r="G931" s="72" t="str">
        <f>IF($K931="","",INDEX('Detalle individual'!$D:$D,$K931))</f>
        <v/>
      </c>
      <c r="H931" s="13" t="str">
        <f>IF($K931="","",INDEX('Detalle individual'!$F:$F,$K931))</f>
        <v/>
      </c>
      <c r="I931" s="20" t="str">
        <f>IF($K931="","",IF(INDEX('Detalle individual'!$F:$F,$K931)="Completado",INDEX('Detalle individual'!$H:$H,$K931),""))</f>
        <v/>
      </c>
      <c r="J931" s="21" t="str">
        <f>IF($K931="","",IF(INDEX('Detalle individual'!$F:$F,$K931)="Completado",INDEX('Detalle individual'!$J:$J,$K931),""))</f>
        <v/>
      </c>
      <c r="K931" t="str">
        <f>IFERROR(MOD(SMALL(Cálculos!$Z$5:$Z$1000,923),10000),"")</f>
        <v/>
      </c>
    </row>
    <row r="932">
      <c r="B932" s="13" t="str">
        <f>IF($K932="","",924)</f>
        <v/>
      </c>
      <c r="C932" s="13" t="str">
        <f>IF($K932="","",INDEX('Detalle individual'!$A:$A,$K932))</f>
        <v/>
      </c>
      <c r="D932" s="72" t="str">
        <f>IF($K932="","",TRIM(INDEX('Detalle individual'!$B:$B,$K932)))</f>
        <v/>
      </c>
      <c r="E932" s="72" t="str">
        <f>IF($K932="","",TRIM(INDEX('Detalle individual'!$E:$E,$K932)))</f>
        <v/>
      </c>
      <c r="F932" s="72" t="str">
        <f>IF($K932="","",TRIM(INDEX('Detalle individual'!$C:$C,$K932)))</f>
        <v/>
      </c>
      <c r="G932" s="72" t="str">
        <f>IF($K932="","",INDEX('Detalle individual'!$D:$D,$K932))</f>
        <v/>
      </c>
      <c r="H932" s="13" t="str">
        <f>IF($K932="","",INDEX('Detalle individual'!$F:$F,$K932))</f>
        <v/>
      </c>
      <c r="I932" s="20" t="str">
        <f>IF($K932="","",IF(INDEX('Detalle individual'!$F:$F,$K932)="Completado",INDEX('Detalle individual'!$H:$H,$K932),""))</f>
        <v/>
      </c>
      <c r="J932" s="21" t="str">
        <f>IF($K932="","",IF(INDEX('Detalle individual'!$F:$F,$K932)="Completado",INDEX('Detalle individual'!$J:$J,$K932),""))</f>
        <v/>
      </c>
      <c r="K932" t="str">
        <f>IFERROR(MOD(SMALL(Cálculos!$Z$5:$Z$1000,924),10000),"")</f>
        <v/>
      </c>
    </row>
    <row r="933">
      <c r="B933" s="13" t="str">
        <f>IF($K933="","",925)</f>
        <v/>
      </c>
      <c r="C933" s="13" t="str">
        <f>IF($K933="","",INDEX('Detalle individual'!$A:$A,$K933))</f>
        <v/>
      </c>
      <c r="D933" s="72" t="str">
        <f>IF($K933="","",TRIM(INDEX('Detalle individual'!$B:$B,$K933)))</f>
        <v/>
      </c>
      <c r="E933" s="72" t="str">
        <f>IF($K933="","",TRIM(INDEX('Detalle individual'!$E:$E,$K933)))</f>
        <v/>
      </c>
      <c r="F933" s="72" t="str">
        <f>IF($K933="","",TRIM(INDEX('Detalle individual'!$C:$C,$K933)))</f>
        <v/>
      </c>
      <c r="G933" s="72" t="str">
        <f>IF($K933="","",INDEX('Detalle individual'!$D:$D,$K933))</f>
        <v/>
      </c>
      <c r="H933" s="13" t="str">
        <f>IF($K933="","",INDEX('Detalle individual'!$F:$F,$K933))</f>
        <v/>
      </c>
      <c r="I933" s="20" t="str">
        <f>IF($K933="","",IF(INDEX('Detalle individual'!$F:$F,$K933)="Completado",INDEX('Detalle individual'!$H:$H,$K933),""))</f>
        <v/>
      </c>
      <c r="J933" s="21" t="str">
        <f>IF($K933="","",IF(INDEX('Detalle individual'!$F:$F,$K933)="Completado",INDEX('Detalle individual'!$J:$J,$K933),""))</f>
        <v/>
      </c>
      <c r="K933" t="str">
        <f>IFERROR(MOD(SMALL(Cálculos!$Z$5:$Z$1000,925),10000),"")</f>
        <v/>
      </c>
    </row>
    <row r="934">
      <c r="B934" s="13" t="str">
        <f>IF($K934="","",926)</f>
        <v/>
      </c>
      <c r="C934" s="13" t="str">
        <f>IF($K934="","",INDEX('Detalle individual'!$A:$A,$K934))</f>
        <v/>
      </c>
      <c r="D934" s="72" t="str">
        <f>IF($K934="","",TRIM(INDEX('Detalle individual'!$B:$B,$K934)))</f>
        <v/>
      </c>
      <c r="E934" s="72" t="str">
        <f>IF($K934="","",TRIM(INDEX('Detalle individual'!$E:$E,$K934)))</f>
        <v/>
      </c>
      <c r="F934" s="72" t="str">
        <f>IF($K934="","",TRIM(INDEX('Detalle individual'!$C:$C,$K934)))</f>
        <v/>
      </c>
      <c r="G934" s="72" t="str">
        <f>IF($K934="","",INDEX('Detalle individual'!$D:$D,$K934))</f>
        <v/>
      </c>
      <c r="H934" s="13" t="str">
        <f>IF($K934="","",INDEX('Detalle individual'!$F:$F,$K934))</f>
        <v/>
      </c>
      <c r="I934" s="20" t="str">
        <f>IF($K934="","",IF(INDEX('Detalle individual'!$F:$F,$K934)="Completado",INDEX('Detalle individual'!$H:$H,$K934),""))</f>
        <v/>
      </c>
      <c r="J934" s="21" t="str">
        <f>IF($K934="","",IF(INDEX('Detalle individual'!$F:$F,$K934)="Completado",INDEX('Detalle individual'!$J:$J,$K934),""))</f>
        <v/>
      </c>
      <c r="K934" t="str">
        <f>IFERROR(MOD(SMALL(Cálculos!$Z$5:$Z$1000,926),10000),"")</f>
        <v/>
      </c>
    </row>
    <row r="935">
      <c r="B935" s="13" t="str">
        <f>IF($K935="","",927)</f>
        <v/>
      </c>
      <c r="C935" s="13" t="str">
        <f>IF($K935="","",INDEX('Detalle individual'!$A:$A,$K935))</f>
        <v/>
      </c>
      <c r="D935" s="72" t="str">
        <f>IF($K935="","",TRIM(INDEX('Detalle individual'!$B:$B,$K935)))</f>
        <v/>
      </c>
      <c r="E935" s="72" t="str">
        <f>IF($K935="","",TRIM(INDEX('Detalle individual'!$E:$E,$K935)))</f>
        <v/>
      </c>
      <c r="F935" s="72" t="str">
        <f>IF($K935="","",TRIM(INDEX('Detalle individual'!$C:$C,$K935)))</f>
        <v/>
      </c>
      <c r="G935" s="72" t="str">
        <f>IF($K935="","",INDEX('Detalle individual'!$D:$D,$K935))</f>
        <v/>
      </c>
      <c r="H935" s="13" t="str">
        <f>IF($K935="","",INDEX('Detalle individual'!$F:$F,$K935))</f>
        <v/>
      </c>
      <c r="I935" s="20" t="str">
        <f>IF($K935="","",IF(INDEX('Detalle individual'!$F:$F,$K935)="Completado",INDEX('Detalle individual'!$H:$H,$K935),""))</f>
        <v/>
      </c>
      <c r="J935" s="21" t="str">
        <f>IF($K935="","",IF(INDEX('Detalle individual'!$F:$F,$K935)="Completado",INDEX('Detalle individual'!$J:$J,$K935),""))</f>
        <v/>
      </c>
      <c r="K935" t="str">
        <f>IFERROR(MOD(SMALL(Cálculos!$Z$5:$Z$1000,927),10000),"")</f>
        <v/>
      </c>
    </row>
    <row r="936">
      <c r="B936" s="13" t="str">
        <f>IF($K936="","",928)</f>
        <v/>
      </c>
      <c r="C936" s="13" t="str">
        <f>IF($K936="","",INDEX('Detalle individual'!$A:$A,$K936))</f>
        <v/>
      </c>
      <c r="D936" s="72" t="str">
        <f>IF($K936="","",TRIM(INDEX('Detalle individual'!$B:$B,$K936)))</f>
        <v/>
      </c>
      <c r="E936" s="72" t="str">
        <f>IF($K936="","",TRIM(INDEX('Detalle individual'!$E:$E,$K936)))</f>
        <v/>
      </c>
      <c r="F936" s="72" t="str">
        <f>IF($K936="","",TRIM(INDEX('Detalle individual'!$C:$C,$K936)))</f>
        <v/>
      </c>
      <c r="G936" s="72" t="str">
        <f>IF($K936="","",INDEX('Detalle individual'!$D:$D,$K936))</f>
        <v/>
      </c>
      <c r="H936" s="13" t="str">
        <f>IF($K936="","",INDEX('Detalle individual'!$F:$F,$K936))</f>
        <v/>
      </c>
      <c r="I936" s="20" t="str">
        <f>IF($K936="","",IF(INDEX('Detalle individual'!$F:$F,$K936)="Completado",INDEX('Detalle individual'!$H:$H,$K936),""))</f>
        <v/>
      </c>
      <c r="J936" s="21" t="str">
        <f>IF($K936="","",IF(INDEX('Detalle individual'!$F:$F,$K936)="Completado",INDEX('Detalle individual'!$J:$J,$K936),""))</f>
        <v/>
      </c>
      <c r="K936" t="str">
        <f>IFERROR(MOD(SMALL(Cálculos!$Z$5:$Z$1000,928),10000),"")</f>
        <v/>
      </c>
    </row>
    <row r="937">
      <c r="B937" s="13" t="str">
        <f>IF($K937="","",929)</f>
        <v/>
      </c>
      <c r="C937" s="13" t="str">
        <f>IF($K937="","",INDEX('Detalle individual'!$A:$A,$K937))</f>
        <v/>
      </c>
      <c r="D937" s="72" t="str">
        <f>IF($K937="","",TRIM(INDEX('Detalle individual'!$B:$B,$K937)))</f>
        <v/>
      </c>
      <c r="E937" s="72" t="str">
        <f>IF($K937="","",TRIM(INDEX('Detalle individual'!$E:$E,$K937)))</f>
        <v/>
      </c>
      <c r="F937" s="72" t="str">
        <f>IF($K937="","",TRIM(INDEX('Detalle individual'!$C:$C,$K937)))</f>
        <v/>
      </c>
      <c r="G937" s="72" t="str">
        <f>IF($K937="","",INDEX('Detalle individual'!$D:$D,$K937))</f>
        <v/>
      </c>
      <c r="H937" s="13" t="str">
        <f>IF($K937="","",INDEX('Detalle individual'!$F:$F,$K937))</f>
        <v/>
      </c>
      <c r="I937" s="20" t="str">
        <f>IF($K937="","",IF(INDEX('Detalle individual'!$F:$F,$K937)="Completado",INDEX('Detalle individual'!$H:$H,$K937),""))</f>
        <v/>
      </c>
      <c r="J937" s="21" t="str">
        <f>IF($K937="","",IF(INDEX('Detalle individual'!$F:$F,$K937)="Completado",INDEX('Detalle individual'!$J:$J,$K937),""))</f>
        <v/>
      </c>
      <c r="K937" t="str">
        <f>IFERROR(MOD(SMALL(Cálculos!$Z$5:$Z$1000,929),10000),"")</f>
        <v/>
      </c>
    </row>
    <row r="938">
      <c r="B938" s="13" t="str">
        <f>IF($K938="","",930)</f>
        <v/>
      </c>
      <c r="C938" s="13" t="str">
        <f>IF($K938="","",INDEX('Detalle individual'!$A:$A,$K938))</f>
        <v/>
      </c>
      <c r="D938" s="72" t="str">
        <f>IF($K938="","",TRIM(INDEX('Detalle individual'!$B:$B,$K938)))</f>
        <v/>
      </c>
      <c r="E938" s="72" t="str">
        <f>IF($K938="","",TRIM(INDEX('Detalle individual'!$E:$E,$K938)))</f>
        <v/>
      </c>
      <c r="F938" s="72" t="str">
        <f>IF($K938="","",TRIM(INDEX('Detalle individual'!$C:$C,$K938)))</f>
        <v/>
      </c>
      <c r="G938" s="72" t="str">
        <f>IF($K938="","",INDEX('Detalle individual'!$D:$D,$K938))</f>
        <v/>
      </c>
      <c r="H938" s="13" t="str">
        <f>IF($K938="","",INDEX('Detalle individual'!$F:$F,$K938))</f>
        <v/>
      </c>
      <c r="I938" s="20" t="str">
        <f>IF($K938="","",IF(INDEX('Detalle individual'!$F:$F,$K938)="Completado",INDEX('Detalle individual'!$H:$H,$K938),""))</f>
        <v/>
      </c>
      <c r="J938" s="21" t="str">
        <f>IF($K938="","",IF(INDEX('Detalle individual'!$F:$F,$K938)="Completado",INDEX('Detalle individual'!$J:$J,$K938),""))</f>
        <v/>
      </c>
      <c r="K938" t="str">
        <f>IFERROR(MOD(SMALL(Cálculos!$Z$5:$Z$1000,930),10000),"")</f>
        <v/>
      </c>
    </row>
    <row r="939">
      <c r="B939" s="13" t="str">
        <f>IF($K939="","",931)</f>
        <v/>
      </c>
      <c r="C939" s="13" t="str">
        <f>IF($K939="","",INDEX('Detalle individual'!$A:$A,$K939))</f>
        <v/>
      </c>
      <c r="D939" s="72" t="str">
        <f>IF($K939="","",TRIM(INDEX('Detalle individual'!$B:$B,$K939)))</f>
        <v/>
      </c>
      <c r="E939" s="72" t="str">
        <f>IF($K939="","",TRIM(INDEX('Detalle individual'!$E:$E,$K939)))</f>
        <v/>
      </c>
      <c r="F939" s="72" t="str">
        <f>IF($K939="","",TRIM(INDEX('Detalle individual'!$C:$C,$K939)))</f>
        <v/>
      </c>
      <c r="G939" s="72" t="str">
        <f>IF($K939="","",INDEX('Detalle individual'!$D:$D,$K939))</f>
        <v/>
      </c>
      <c r="H939" s="13" t="str">
        <f>IF($K939="","",INDEX('Detalle individual'!$F:$F,$K939))</f>
        <v/>
      </c>
      <c r="I939" s="20" t="str">
        <f>IF($K939="","",IF(INDEX('Detalle individual'!$F:$F,$K939)="Completado",INDEX('Detalle individual'!$H:$H,$K939),""))</f>
        <v/>
      </c>
      <c r="J939" s="21" t="str">
        <f>IF($K939="","",IF(INDEX('Detalle individual'!$F:$F,$K939)="Completado",INDEX('Detalle individual'!$J:$J,$K939),""))</f>
        <v/>
      </c>
      <c r="K939" t="str">
        <f>IFERROR(MOD(SMALL(Cálculos!$Z$5:$Z$1000,931),10000),"")</f>
        <v/>
      </c>
    </row>
    <row r="940">
      <c r="B940" s="13" t="str">
        <f>IF($K940="","",932)</f>
        <v/>
      </c>
      <c r="C940" s="13" t="str">
        <f>IF($K940="","",INDEX('Detalle individual'!$A:$A,$K940))</f>
        <v/>
      </c>
      <c r="D940" s="72" t="str">
        <f>IF($K940="","",TRIM(INDEX('Detalle individual'!$B:$B,$K940)))</f>
        <v/>
      </c>
      <c r="E940" s="72" t="str">
        <f>IF($K940="","",TRIM(INDEX('Detalle individual'!$E:$E,$K940)))</f>
        <v/>
      </c>
      <c r="F940" s="72" t="str">
        <f>IF($K940="","",TRIM(INDEX('Detalle individual'!$C:$C,$K940)))</f>
        <v/>
      </c>
      <c r="G940" s="72" t="str">
        <f>IF($K940="","",INDEX('Detalle individual'!$D:$D,$K940))</f>
        <v/>
      </c>
      <c r="H940" s="13" t="str">
        <f>IF($K940="","",INDEX('Detalle individual'!$F:$F,$K940))</f>
        <v/>
      </c>
      <c r="I940" s="20" t="str">
        <f>IF($K940="","",IF(INDEX('Detalle individual'!$F:$F,$K940)="Completado",INDEX('Detalle individual'!$H:$H,$K940),""))</f>
        <v/>
      </c>
      <c r="J940" s="21" t="str">
        <f>IF($K940="","",IF(INDEX('Detalle individual'!$F:$F,$K940)="Completado",INDEX('Detalle individual'!$J:$J,$K940),""))</f>
        <v/>
      </c>
      <c r="K940" t="str">
        <f>IFERROR(MOD(SMALL(Cálculos!$Z$5:$Z$1000,932),10000),"")</f>
        <v/>
      </c>
    </row>
    <row r="941">
      <c r="B941" s="13" t="str">
        <f>IF($K941="","",933)</f>
        <v/>
      </c>
      <c r="C941" s="13" t="str">
        <f>IF($K941="","",INDEX('Detalle individual'!$A:$A,$K941))</f>
        <v/>
      </c>
      <c r="D941" s="72" t="str">
        <f>IF($K941="","",TRIM(INDEX('Detalle individual'!$B:$B,$K941)))</f>
        <v/>
      </c>
      <c r="E941" s="72" t="str">
        <f>IF($K941="","",TRIM(INDEX('Detalle individual'!$E:$E,$K941)))</f>
        <v/>
      </c>
      <c r="F941" s="72" t="str">
        <f>IF($K941="","",TRIM(INDEX('Detalle individual'!$C:$C,$K941)))</f>
        <v/>
      </c>
      <c r="G941" s="72" t="str">
        <f>IF($K941="","",INDEX('Detalle individual'!$D:$D,$K941))</f>
        <v/>
      </c>
      <c r="H941" s="13" t="str">
        <f>IF($K941="","",INDEX('Detalle individual'!$F:$F,$K941))</f>
        <v/>
      </c>
      <c r="I941" s="20" t="str">
        <f>IF($K941="","",IF(INDEX('Detalle individual'!$F:$F,$K941)="Completado",INDEX('Detalle individual'!$H:$H,$K941),""))</f>
        <v/>
      </c>
      <c r="J941" s="21" t="str">
        <f>IF($K941="","",IF(INDEX('Detalle individual'!$F:$F,$K941)="Completado",INDEX('Detalle individual'!$J:$J,$K941),""))</f>
        <v/>
      </c>
      <c r="K941" t="str">
        <f>IFERROR(MOD(SMALL(Cálculos!$Z$5:$Z$1000,933),10000),"")</f>
        <v/>
      </c>
    </row>
    <row r="942">
      <c r="B942" s="13" t="str">
        <f>IF($K942="","",934)</f>
        <v/>
      </c>
      <c r="C942" s="13" t="str">
        <f>IF($K942="","",INDEX('Detalle individual'!$A:$A,$K942))</f>
        <v/>
      </c>
      <c r="D942" s="72" t="str">
        <f>IF($K942="","",TRIM(INDEX('Detalle individual'!$B:$B,$K942)))</f>
        <v/>
      </c>
      <c r="E942" s="72" t="str">
        <f>IF($K942="","",TRIM(INDEX('Detalle individual'!$E:$E,$K942)))</f>
        <v/>
      </c>
      <c r="F942" s="72" t="str">
        <f>IF($K942="","",TRIM(INDEX('Detalle individual'!$C:$C,$K942)))</f>
        <v/>
      </c>
      <c r="G942" s="72" t="str">
        <f>IF($K942="","",INDEX('Detalle individual'!$D:$D,$K942))</f>
        <v/>
      </c>
      <c r="H942" s="13" t="str">
        <f>IF($K942="","",INDEX('Detalle individual'!$F:$F,$K942))</f>
        <v/>
      </c>
      <c r="I942" s="20" t="str">
        <f>IF($K942="","",IF(INDEX('Detalle individual'!$F:$F,$K942)="Completado",INDEX('Detalle individual'!$H:$H,$K942),""))</f>
        <v/>
      </c>
      <c r="J942" s="21" t="str">
        <f>IF($K942="","",IF(INDEX('Detalle individual'!$F:$F,$K942)="Completado",INDEX('Detalle individual'!$J:$J,$K942),""))</f>
        <v/>
      </c>
      <c r="K942" t="str">
        <f>IFERROR(MOD(SMALL(Cálculos!$Z$5:$Z$1000,934),10000),"")</f>
        <v/>
      </c>
    </row>
    <row r="943">
      <c r="B943" s="13" t="str">
        <f>IF($K943="","",935)</f>
        <v/>
      </c>
      <c r="C943" s="13" t="str">
        <f>IF($K943="","",INDEX('Detalle individual'!$A:$A,$K943))</f>
        <v/>
      </c>
      <c r="D943" s="72" t="str">
        <f>IF($K943="","",TRIM(INDEX('Detalle individual'!$B:$B,$K943)))</f>
        <v/>
      </c>
      <c r="E943" s="72" t="str">
        <f>IF($K943="","",TRIM(INDEX('Detalle individual'!$E:$E,$K943)))</f>
        <v/>
      </c>
      <c r="F943" s="72" t="str">
        <f>IF($K943="","",TRIM(INDEX('Detalle individual'!$C:$C,$K943)))</f>
        <v/>
      </c>
      <c r="G943" s="72" t="str">
        <f>IF($K943="","",INDEX('Detalle individual'!$D:$D,$K943))</f>
        <v/>
      </c>
      <c r="H943" s="13" t="str">
        <f>IF($K943="","",INDEX('Detalle individual'!$F:$F,$K943))</f>
        <v/>
      </c>
      <c r="I943" s="20" t="str">
        <f>IF($K943="","",IF(INDEX('Detalle individual'!$F:$F,$K943)="Completado",INDEX('Detalle individual'!$H:$H,$K943),""))</f>
        <v/>
      </c>
      <c r="J943" s="21" t="str">
        <f>IF($K943="","",IF(INDEX('Detalle individual'!$F:$F,$K943)="Completado",INDEX('Detalle individual'!$J:$J,$K943),""))</f>
        <v/>
      </c>
      <c r="K943" t="str">
        <f>IFERROR(MOD(SMALL(Cálculos!$Z$5:$Z$1000,935),10000),"")</f>
        <v/>
      </c>
    </row>
    <row r="944">
      <c r="B944" s="13" t="str">
        <f>IF($K944="","",936)</f>
        <v/>
      </c>
      <c r="C944" s="13" t="str">
        <f>IF($K944="","",INDEX('Detalle individual'!$A:$A,$K944))</f>
        <v/>
      </c>
      <c r="D944" s="72" t="str">
        <f>IF($K944="","",TRIM(INDEX('Detalle individual'!$B:$B,$K944)))</f>
        <v/>
      </c>
      <c r="E944" s="72" t="str">
        <f>IF($K944="","",TRIM(INDEX('Detalle individual'!$E:$E,$K944)))</f>
        <v/>
      </c>
      <c r="F944" s="72" t="str">
        <f>IF($K944="","",TRIM(INDEX('Detalle individual'!$C:$C,$K944)))</f>
        <v/>
      </c>
      <c r="G944" s="72" t="str">
        <f>IF($K944="","",INDEX('Detalle individual'!$D:$D,$K944))</f>
        <v/>
      </c>
      <c r="H944" s="13" t="str">
        <f>IF($K944="","",INDEX('Detalle individual'!$F:$F,$K944))</f>
        <v/>
      </c>
      <c r="I944" s="20" t="str">
        <f>IF($K944="","",IF(INDEX('Detalle individual'!$F:$F,$K944)="Completado",INDEX('Detalle individual'!$H:$H,$K944),""))</f>
        <v/>
      </c>
      <c r="J944" s="21" t="str">
        <f>IF($K944="","",IF(INDEX('Detalle individual'!$F:$F,$K944)="Completado",INDEX('Detalle individual'!$J:$J,$K944),""))</f>
        <v/>
      </c>
      <c r="K944" t="str">
        <f>IFERROR(MOD(SMALL(Cálculos!$Z$5:$Z$1000,936),10000),"")</f>
        <v/>
      </c>
    </row>
    <row r="945">
      <c r="B945" s="13" t="str">
        <f>IF($K945="","",937)</f>
        <v/>
      </c>
      <c r="C945" s="13" t="str">
        <f>IF($K945="","",INDEX('Detalle individual'!$A:$A,$K945))</f>
        <v/>
      </c>
      <c r="D945" s="72" t="str">
        <f>IF($K945="","",TRIM(INDEX('Detalle individual'!$B:$B,$K945)))</f>
        <v/>
      </c>
      <c r="E945" s="72" t="str">
        <f>IF($K945="","",TRIM(INDEX('Detalle individual'!$E:$E,$K945)))</f>
        <v/>
      </c>
      <c r="F945" s="72" t="str">
        <f>IF($K945="","",TRIM(INDEX('Detalle individual'!$C:$C,$K945)))</f>
        <v/>
      </c>
      <c r="G945" s="72" t="str">
        <f>IF($K945="","",INDEX('Detalle individual'!$D:$D,$K945))</f>
        <v/>
      </c>
      <c r="H945" s="13" t="str">
        <f>IF($K945="","",INDEX('Detalle individual'!$F:$F,$K945))</f>
        <v/>
      </c>
      <c r="I945" s="20" t="str">
        <f>IF($K945="","",IF(INDEX('Detalle individual'!$F:$F,$K945)="Completado",INDEX('Detalle individual'!$H:$H,$K945),""))</f>
        <v/>
      </c>
      <c r="J945" s="21" t="str">
        <f>IF($K945="","",IF(INDEX('Detalle individual'!$F:$F,$K945)="Completado",INDEX('Detalle individual'!$J:$J,$K945),""))</f>
        <v/>
      </c>
      <c r="K945" t="str">
        <f>IFERROR(MOD(SMALL(Cálculos!$Z$5:$Z$1000,937),10000),"")</f>
        <v/>
      </c>
    </row>
    <row r="946">
      <c r="B946" s="13" t="str">
        <f>IF($K946="","",938)</f>
        <v/>
      </c>
      <c r="C946" s="13" t="str">
        <f>IF($K946="","",INDEX('Detalle individual'!$A:$A,$K946))</f>
        <v/>
      </c>
      <c r="D946" s="72" t="str">
        <f>IF($K946="","",TRIM(INDEX('Detalle individual'!$B:$B,$K946)))</f>
        <v/>
      </c>
      <c r="E946" s="72" t="str">
        <f>IF($K946="","",TRIM(INDEX('Detalle individual'!$E:$E,$K946)))</f>
        <v/>
      </c>
      <c r="F946" s="72" t="str">
        <f>IF($K946="","",TRIM(INDEX('Detalle individual'!$C:$C,$K946)))</f>
        <v/>
      </c>
      <c r="G946" s="72" t="str">
        <f>IF($K946="","",INDEX('Detalle individual'!$D:$D,$K946))</f>
        <v/>
      </c>
      <c r="H946" s="13" t="str">
        <f>IF($K946="","",INDEX('Detalle individual'!$F:$F,$K946))</f>
        <v/>
      </c>
      <c r="I946" s="20" t="str">
        <f>IF($K946="","",IF(INDEX('Detalle individual'!$F:$F,$K946)="Completado",INDEX('Detalle individual'!$H:$H,$K946),""))</f>
        <v/>
      </c>
      <c r="J946" s="21" t="str">
        <f>IF($K946="","",IF(INDEX('Detalle individual'!$F:$F,$K946)="Completado",INDEX('Detalle individual'!$J:$J,$K946),""))</f>
        <v/>
      </c>
      <c r="K946" t="str">
        <f>IFERROR(MOD(SMALL(Cálculos!$Z$5:$Z$1000,938),10000),"")</f>
        <v/>
      </c>
    </row>
    <row r="947">
      <c r="B947" s="13" t="str">
        <f>IF($K947="","",939)</f>
        <v/>
      </c>
      <c r="C947" s="13" t="str">
        <f>IF($K947="","",INDEX('Detalle individual'!$A:$A,$K947))</f>
        <v/>
      </c>
      <c r="D947" s="72" t="str">
        <f>IF($K947="","",TRIM(INDEX('Detalle individual'!$B:$B,$K947)))</f>
        <v/>
      </c>
      <c r="E947" s="72" t="str">
        <f>IF($K947="","",TRIM(INDEX('Detalle individual'!$E:$E,$K947)))</f>
        <v/>
      </c>
      <c r="F947" s="72" t="str">
        <f>IF($K947="","",TRIM(INDEX('Detalle individual'!$C:$C,$K947)))</f>
        <v/>
      </c>
      <c r="G947" s="72" t="str">
        <f>IF($K947="","",INDEX('Detalle individual'!$D:$D,$K947))</f>
        <v/>
      </c>
      <c r="H947" s="13" t="str">
        <f>IF($K947="","",INDEX('Detalle individual'!$F:$F,$K947))</f>
        <v/>
      </c>
      <c r="I947" s="20" t="str">
        <f>IF($K947="","",IF(INDEX('Detalle individual'!$F:$F,$K947)="Completado",INDEX('Detalle individual'!$H:$H,$K947),""))</f>
        <v/>
      </c>
      <c r="J947" s="21" t="str">
        <f>IF($K947="","",IF(INDEX('Detalle individual'!$F:$F,$K947)="Completado",INDEX('Detalle individual'!$J:$J,$K947),""))</f>
        <v/>
      </c>
      <c r="K947" t="str">
        <f>IFERROR(MOD(SMALL(Cálculos!$Z$5:$Z$1000,939),10000),"")</f>
        <v/>
      </c>
    </row>
    <row r="948">
      <c r="B948" s="13" t="str">
        <f>IF($K948="","",940)</f>
        <v/>
      </c>
      <c r="C948" s="13" t="str">
        <f>IF($K948="","",INDEX('Detalle individual'!$A:$A,$K948))</f>
        <v/>
      </c>
      <c r="D948" s="72" t="str">
        <f>IF($K948="","",TRIM(INDEX('Detalle individual'!$B:$B,$K948)))</f>
        <v/>
      </c>
      <c r="E948" s="72" t="str">
        <f>IF($K948="","",TRIM(INDEX('Detalle individual'!$E:$E,$K948)))</f>
        <v/>
      </c>
      <c r="F948" s="72" t="str">
        <f>IF($K948="","",TRIM(INDEX('Detalle individual'!$C:$C,$K948)))</f>
        <v/>
      </c>
      <c r="G948" s="72" t="str">
        <f>IF($K948="","",INDEX('Detalle individual'!$D:$D,$K948))</f>
        <v/>
      </c>
      <c r="H948" s="13" t="str">
        <f>IF($K948="","",INDEX('Detalle individual'!$F:$F,$K948))</f>
        <v/>
      </c>
      <c r="I948" s="20" t="str">
        <f>IF($K948="","",IF(INDEX('Detalle individual'!$F:$F,$K948)="Completado",INDEX('Detalle individual'!$H:$H,$K948),""))</f>
        <v/>
      </c>
      <c r="J948" s="21" t="str">
        <f>IF($K948="","",IF(INDEX('Detalle individual'!$F:$F,$K948)="Completado",INDEX('Detalle individual'!$J:$J,$K948),""))</f>
        <v/>
      </c>
      <c r="K948" t="str">
        <f>IFERROR(MOD(SMALL(Cálculos!$Z$5:$Z$1000,940),10000),"")</f>
        <v/>
      </c>
    </row>
    <row r="949">
      <c r="B949" s="13" t="str">
        <f>IF($K949="","",941)</f>
        <v/>
      </c>
      <c r="C949" s="13" t="str">
        <f>IF($K949="","",INDEX('Detalle individual'!$A:$A,$K949))</f>
        <v/>
      </c>
      <c r="D949" s="72" t="str">
        <f>IF($K949="","",TRIM(INDEX('Detalle individual'!$B:$B,$K949)))</f>
        <v/>
      </c>
      <c r="E949" s="72" t="str">
        <f>IF($K949="","",TRIM(INDEX('Detalle individual'!$E:$E,$K949)))</f>
        <v/>
      </c>
      <c r="F949" s="72" t="str">
        <f>IF($K949="","",TRIM(INDEX('Detalle individual'!$C:$C,$K949)))</f>
        <v/>
      </c>
      <c r="G949" s="72" t="str">
        <f>IF($K949="","",INDEX('Detalle individual'!$D:$D,$K949))</f>
        <v/>
      </c>
      <c r="H949" s="13" t="str">
        <f>IF($K949="","",INDEX('Detalle individual'!$F:$F,$K949))</f>
        <v/>
      </c>
      <c r="I949" s="20" t="str">
        <f>IF($K949="","",IF(INDEX('Detalle individual'!$F:$F,$K949)="Completado",INDEX('Detalle individual'!$H:$H,$K949),""))</f>
        <v/>
      </c>
      <c r="J949" s="21" t="str">
        <f>IF($K949="","",IF(INDEX('Detalle individual'!$F:$F,$K949)="Completado",INDEX('Detalle individual'!$J:$J,$K949),""))</f>
        <v/>
      </c>
      <c r="K949" t="str">
        <f>IFERROR(MOD(SMALL(Cálculos!$Z$5:$Z$1000,941),10000),"")</f>
        <v/>
      </c>
    </row>
    <row r="950">
      <c r="B950" s="13" t="str">
        <f>IF($K950="","",942)</f>
        <v/>
      </c>
      <c r="C950" s="13" t="str">
        <f>IF($K950="","",INDEX('Detalle individual'!$A:$A,$K950))</f>
        <v/>
      </c>
      <c r="D950" s="72" t="str">
        <f>IF($K950="","",TRIM(INDEX('Detalle individual'!$B:$B,$K950)))</f>
        <v/>
      </c>
      <c r="E950" s="72" t="str">
        <f>IF($K950="","",TRIM(INDEX('Detalle individual'!$E:$E,$K950)))</f>
        <v/>
      </c>
      <c r="F950" s="72" t="str">
        <f>IF($K950="","",TRIM(INDEX('Detalle individual'!$C:$C,$K950)))</f>
        <v/>
      </c>
      <c r="G950" s="72" t="str">
        <f>IF($K950="","",INDEX('Detalle individual'!$D:$D,$K950))</f>
        <v/>
      </c>
      <c r="H950" s="13" t="str">
        <f>IF($K950="","",INDEX('Detalle individual'!$F:$F,$K950))</f>
        <v/>
      </c>
      <c r="I950" s="20" t="str">
        <f>IF($K950="","",IF(INDEX('Detalle individual'!$F:$F,$K950)="Completado",INDEX('Detalle individual'!$H:$H,$K950),""))</f>
        <v/>
      </c>
      <c r="J950" s="21" t="str">
        <f>IF($K950="","",IF(INDEX('Detalle individual'!$F:$F,$K950)="Completado",INDEX('Detalle individual'!$J:$J,$K950),""))</f>
        <v/>
      </c>
      <c r="K950" t="str">
        <f>IFERROR(MOD(SMALL(Cálculos!$Z$5:$Z$1000,942),10000),"")</f>
        <v/>
      </c>
    </row>
    <row r="951">
      <c r="B951" s="13" t="str">
        <f>IF($K951="","",943)</f>
        <v/>
      </c>
      <c r="C951" s="13" t="str">
        <f>IF($K951="","",INDEX('Detalle individual'!$A:$A,$K951))</f>
        <v/>
      </c>
      <c r="D951" s="72" t="str">
        <f>IF($K951="","",TRIM(INDEX('Detalle individual'!$B:$B,$K951)))</f>
        <v/>
      </c>
      <c r="E951" s="72" t="str">
        <f>IF($K951="","",TRIM(INDEX('Detalle individual'!$E:$E,$K951)))</f>
        <v/>
      </c>
      <c r="F951" s="72" t="str">
        <f>IF($K951="","",TRIM(INDEX('Detalle individual'!$C:$C,$K951)))</f>
        <v/>
      </c>
      <c r="G951" s="72" t="str">
        <f>IF($K951="","",INDEX('Detalle individual'!$D:$D,$K951))</f>
        <v/>
      </c>
      <c r="H951" s="13" t="str">
        <f>IF($K951="","",INDEX('Detalle individual'!$F:$F,$K951))</f>
        <v/>
      </c>
      <c r="I951" s="20" t="str">
        <f>IF($K951="","",IF(INDEX('Detalle individual'!$F:$F,$K951)="Completado",INDEX('Detalle individual'!$H:$H,$K951),""))</f>
        <v/>
      </c>
      <c r="J951" s="21" t="str">
        <f>IF($K951="","",IF(INDEX('Detalle individual'!$F:$F,$K951)="Completado",INDEX('Detalle individual'!$J:$J,$K951),""))</f>
        <v/>
      </c>
      <c r="K951" t="str">
        <f>IFERROR(MOD(SMALL(Cálculos!$Z$5:$Z$1000,943),10000),"")</f>
        <v/>
      </c>
    </row>
    <row r="952">
      <c r="B952" s="13" t="str">
        <f>IF($K952="","",944)</f>
        <v/>
      </c>
      <c r="C952" s="13" t="str">
        <f>IF($K952="","",INDEX('Detalle individual'!$A:$A,$K952))</f>
        <v/>
      </c>
      <c r="D952" s="72" t="str">
        <f>IF($K952="","",TRIM(INDEX('Detalle individual'!$B:$B,$K952)))</f>
        <v/>
      </c>
      <c r="E952" s="72" t="str">
        <f>IF($K952="","",TRIM(INDEX('Detalle individual'!$E:$E,$K952)))</f>
        <v/>
      </c>
      <c r="F952" s="72" t="str">
        <f>IF($K952="","",TRIM(INDEX('Detalle individual'!$C:$C,$K952)))</f>
        <v/>
      </c>
      <c r="G952" s="72" t="str">
        <f>IF($K952="","",INDEX('Detalle individual'!$D:$D,$K952))</f>
        <v/>
      </c>
      <c r="H952" s="13" t="str">
        <f>IF($K952="","",INDEX('Detalle individual'!$F:$F,$K952))</f>
        <v/>
      </c>
      <c r="I952" s="20" t="str">
        <f>IF($K952="","",IF(INDEX('Detalle individual'!$F:$F,$K952)="Completado",INDEX('Detalle individual'!$H:$H,$K952),""))</f>
        <v/>
      </c>
      <c r="J952" s="21" t="str">
        <f>IF($K952="","",IF(INDEX('Detalle individual'!$F:$F,$K952)="Completado",INDEX('Detalle individual'!$J:$J,$K952),""))</f>
        <v/>
      </c>
      <c r="K952" t="str">
        <f>IFERROR(MOD(SMALL(Cálculos!$Z$5:$Z$1000,944),10000),"")</f>
        <v/>
      </c>
    </row>
    <row r="953">
      <c r="B953" s="13" t="str">
        <f>IF($K953="","",945)</f>
        <v/>
      </c>
      <c r="C953" s="13" t="str">
        <f>IF($K953="","",INDEX('Detalle individual'!$A:$A,$K953))</f>
        <v/>
      </c>
      <c r="D953" s="72" t="str">
        <f>IF($K953="","",TRIM(INDEX('Detalle individual'!$B:$B,$K953)))</f>
        <v/>
      </c>
      <c r="E953" s="72" t="str">
        <f>IF($K953="","",TRIM(INDEX('Detalle individual'!$E:$E,$K953)))</f>
        <v/>
      </c>
      <c r="F953" s="72" t="str">
        <f>IF($K953="","",TRIM(INDEX('Detalle individual'!$C:$C,$K953)))</f>
        <v/>
      </c>
      <c r="G953" s="72" t="str">
        <f>IF($K953="","",INDEX('Detalle individual'!$D:$D,$K953))</f>
        <v/>
      </c>
      <c r="H953" s="13" t="str">
        <f>IF($K953="","",INDEX('Detalle individual'!$F:$F,$K953))</f>
        <v/>
      </c>
      <c r="I953" s="20" t="str">
        <f>IF($K953="","",IF(INDEX('Detalle individual'!$F:$F,$K953)="Completado",INDEX('Detalle individual'!$H:$H,$K953),""))</f>
        <v/>
      </c>
      <c r="J953" s="21" t="str">
        <f>IF($K953="","",IF(INDEX('Detalle individual'!$F:$F,$K953)="Completado",INDEX('Detalle individual'!$J:$J,$K953),""))</f>
        <v/>
      </c>
      <c r="K953" t="str">
        <f>IFERROR(MOD(SMALL(Cálculos!$Z$5:$Z$1000,945),10000),"")</f>
        <v/>
      </c>
    </row>
    <row r="954">
      <c r="B954" s="13" t="str">
        <f>IF($K954="","",946)</f>
        <v/>
      </c>
      <c r="C954" s="13" t="str">
        <f>IF($K954="","",INDEX('Detalle individual'!$A:$A,$K954))</f>
        <v/>
      </c>
      <c r="D954" s="72" t="str">
        <f>IF($K954="","",TRIM(INDEX('Detalle individual'!$B:$B,$K954)))</f>
        <v/>
      </c>
      <c r="E954" s="72" t="str">
        <f>IF($K954="","",TRIM(INDEX('Detalle individual'!$E:$E,$K954)))</f>
        <v/>
      </c>
      <c r="F954" s="72" t="str">
        <f>IF($K954="","",TRIM(INDEX('Detalle individual'!$C:$C,$K954)))</f>
        <v/>
      </c>
      <c r="G954" s="72" t="str">
        <f>IF($K954="","",INDEX('Detalle individual'!$D:$D,$K954))</f>
        <v/>
      </c>
      <c r="H954" s="13" t="str">
        <f>IF($K954="","",INDEX('Detalle individual'!$F:$F,$K954))</f>
        <v/>
      </c>
      <c r="I954" s="20" t="str">
        <f>IF($K954="","",IF(INDEX('Detalle individual'!$F:$F,$K954)="Completado",INDEX('Detalle individual'!$H:$H,$K954),""))</f>
        <v/>
      </c>
      <c r="J954" s="21" t="str">
        <f>IF($K954="","",IF(INDEX('Detalle individual'!$F:$F,$K954)="Completado",INDEX('Detalle individual'!$J:$J,$K954),""))</f>
        <v/>
      </c>
      <c r="K954" t="str">
        <f>IFERROR(MOD(SMALL(Cálculos!$Z$5:$Z$1000,946),10000),"")</f>
        <v/>
      </c>
    </row>
    <row r="955">
      <c r="B955" s="13" t="str">
        <f>IF($K955="","",947)</f>
        <v/>
      </c>
      <c r="C955" s="13" t="str">
        <f>IF($K955="","",INDEX('Detalle individual'!$A:$A,$K955))</f>
        <v/>
      </c>
      <c r="D955" s="72" t="str">
        <f>IF($K955="","",TRIM(INDEX('Detalle individual'!$B:$B,$K955)))</f>
        <v/>
      </c>
      <c r="E955" s="72" t="str">
        <f>IF($K955="","",TRIM(INDEX('Detalle individual'!$E:$E,$K955)))</f>
        <v/>
      </c>
      <c r="F955" s="72" t="str">
        <f>IF($K955="","",TRIM(INDEX('Detalle individual'!$C:$C,$K955)))</f>
        <v/>
      </c>
      <c r="G955" s="72" t="str">
        <f>IF($K955="","",INDEX('Detalle individual'!$D:$D,$K955))</f>
        <v/>
      </c>
      <c r="H955" s="13" t="str">
        <f>IF($K955="","",INDEX('Detalle individual'!$F:$F,$K955))</f>
        <v/>
      </c>
      <c r="I955" s="20" t="str">
        <f>IF($K955="","",IF(INDEX('Detalle individual'!$F:$F,$K955)="Completado",INDEX('Detalle individual'!$H:$H,$K955),""))</f>
        <v/>
      </c>
      <c r="J955" s="21" t="str">
        <f>IF($K955="","",IF(INDEX('Detalle individual'!$F:$F,$K955)="Completado",INDEX('Detalle individual'!$J:$J,$K955),""))</f>
        <v/>
      </c>
      <c r="K955" t="str">
        <f>IFERROR(MOD(SMALL(Cálculos!$Z$5:$Z$1000,947),10000),"")</f>
        <v/>
      </c>
    </row>
    <row r="956">
      <c r="B956" s="13" t="str">
        <f>IF($K956="","",948)</f>
        <v/>
      </c>
      <c r="C956" s="13" t="str">
        <f>IF($K956="","",INDEX('Detalle individual'!$A:$A,$K956))</f>
        <v/>
      </c>
      <c r="D956" s="72" t="str">
        <f>IF($K956="","",TRIM(INDEX('Detalle individual'!$B:$B,$K956)))</f>
        <v/>
      </c>
      <c r="E956" s="72" t="str">
        <f>IF($K956="","",TRIM(INDEX('Detalle individual'!$E:$E,$K956)))</f>
        <v/>
      </c>
      <c r="F956" s="72" t="str">
        <f>IF($K956="","",TRIM(INDEX('Detalle individual'!$C:$C,$K956)))</f>
        <v/>
      </c>
      <c r="G956" s="72" t="str">
        <f>IF($K956="","",INDEX('Detalle individual'!$D:$D,$K956))</f>
        <v/>
      </c>
      <c r="H956" s="13" t="str">
        <f>IF($K956="","",INDEX('Detalle individual'!$F:$F,$K956))</f>
        <v/>
      </c>
      <c r="I956" s="20" t="str">
        <f>IF($K956="","",IF(INDEX('Detalle individual'!$F:$F,$K956)="Completado",INDEX('Detalle individual'!$H:$H,$K956),""))</f>
        <v/>
      </c>
      <c r="J956" s="21" t="str">
        <f>IF($K956="","",IF(INDEX('Detalle individual'!$F:$F,$K956)="Completado",INDEX('Detalle individual'!$J:$J,$K956),""))</f>
        <v/>
      </c>
      <c r="K956" t="str">
        <f>IFERROR(MOD(SMALL(Cálculos!$Z$5:$Z$1000,948),10000),"")</f>
        <v/>
      </c>
    </row>
    <row r="957">
      <c r="B957" s="13" t="str">
        <f>IF($K957="","",949)</f>
        <v/>
      </c>
      <c r="C957" s="13" t="str">
        <f>IF($K957="","",INDEX('Detalle individual'!$A:$A,$K957))</f>
        <v/>
      </c>
      <c r="D957" s="72" t="str">
        <f>IF($K957="","",TRIM(INDEX('Detalle individual'!$B:$B,$K957)))</f>
        <v/>
      </c>
      <c r="E957" s="72" t="str">
        <f>IF($K957="","",TRIM(INDEX('Detalle individual'!$E:$E,$K957)))</f>
        <v/>
      </c>
      <c r="F957" s="72" t="str">
        <f>IF($K957="","",TRIM(INDEX('Detalle individual'!$C:$C,$K957)))</f>
        <v/>
      </c>
      <c r="G957" s="72" t="str">
        <f>IF($K957="","",INDEX('Detalle individual'!$D:$D,$K957))</f>
        <v/>
      </c>
      <c r="H957" s="13" t="str">
        <f>IF($K957="","",INDEX('Detalle individual'!$F:$F,$K957))</f>
        <v/>
      </c>
      <c r="I957" s="20" t="str">
        <f>IF($K957="","",IF(INDEX('Detalle individual'!$F:$F,$K957)="Completado",INDEX('Detalle individual'!$H:$H,$K957),""))</f>
        <v/>
      </c>
      <c r="J957" s="21" t="str">
        <f>IF($K957="","",IF(INDEX('Detalle individual'!$F:$F,$K957)="Completado",INDEX('Detalle individual'!$J:$J,$K957),""))</f>
        <v/>
      </c>
      <c r="K957" t="str">
        <f>IFERROR(MOD(SMALL(Cálculos!$Z$5:$Z$1000,949),10000),"")</f>
        <v/>
      </c>
    </row>
    <row r="958">
      <c r="B958" s="13" t="str">
        <f>IF($K958="","",950)</f>
        <v/>
      </c>
      <c r="C958" s="13" t="str">
        <f>IF($K958="","",INDEX('Detalle individual'!$A:$A,$K958))</f>
        <v/>
      </c>
      <c r="D958" s="72" t="str">
        <f>IF($K958="","",TRIM(INDEX('Detalle individual'!$B:$B,$K958)))</f>
        <v/>
      </c>
      <c r="E958" s="72" t="str">
        <f>IF($K958="","",TRIM(INDEX('Detalle individual'!$E:$E,$K958)))</f>
        <v/>
      </c>
      <c r="F958" s="72" t="str">
        <f>IF($K958="","",TRIM(INDEX('Detalle individual'!$C:$C,$K958)))</f>
        <v/>
      </c>
      <c r="G958" s="72" t="str">
        <f>IF($K958="","",INDEX('Detalle individual'!$D:$D,$K958))</f>
        <v/>
      </c>
      <c r="H958" s="13" t="str">
        <f>IF($K958="","",INDEX('Detalle individual'!$F:$F,$K958))</f>
        <v/>
      </c>
      <c r="I958" s="20" t="str">
        <f>IF($K958="","",IF(INDEX('Detalle individual'!$F:$F,$K958)="Completado",INDEX('Detalle individual'!$H:$H,$K958),""))</f>
        <v/>
      </c>
      <c r="J958" s="21" t="str">
        <f>IF($K958="","",IF(INDEX('Detalle individual'!$F:$F,$K958)="Completado",INDEX('Detalle individual'!$J:$J,$K958),""))</f>
        <v/>
      </c>
      <c r="K958" t="str">
        <f>IFERROR(MOD(SMALL(Cálculos!$Z$5:$Z$1000,950),10000),"")</f>
        <v/>
      </c>
    </row>
    <row r="959">
      <c r="B959" s="13" t="str">
        <f>IF($K959="","",951)</f>
        <v/>
      </c>
      <c r="C959" s="13" t="str">
        <f>IF($K959="","",INDEX('Detalle individual'!$A:$A,$K959))</f>
        <v/>
      </c>
      <c r="D959" s="72" t="str">
        <f>IF($K959="","",TRIM(INDEX('Detalle individual'!$B:$B,$K959)))</f>
        <v/>
      </c>
      <c r="E959" s="72" t="str">
        <f>IF($K959="","",TRIM(INDEX('Detalle individual'!$E:$E,$K959)))</f>
        <v/>
      </c>
      <c r="F959" s="72" t="str">
        <f>IF($K959="","",TRIM(INDEX('Detalle individual'!$C:$C,$K959)))</f>
        <v/>
      </c>
      <c r="G959" s="72" t="str">
        <f>IF($K959="","",INDEX('Detalle individual'!$D:$D,$K959))</f>
        <v/>
      </c>
      <c r="H959" s="13" t="str">
        <f>IF($K959="","",INDEX('Detalle individual'!$F:$F,$K959))</f>
        <v/>
      </c>
      <c r="I959" s="20" t="str">
        <f>IF($K959="","",IF(INDEX('Detalle individual'!$F:$F,$K959)="Completado",INDEX('Detalle individual'!$H:$H,$K959),""))</f>
        <v/>
      </c>
      <c r="J959" s="21" t="str">
        <f>IF($K959="","",IF(INDEX('Detalle individual'!$F:$F,$K959)="Completado",INDEX('Detalle individual'!$J:$J,$K959),""))</f>
        <v/>
      </c>
      <c r="K959" t="str">
        <f>IFERROR(MOD(SMALL(Cálculos!$Z$5:$Z$1000,951),10000),"")</f>
        <v/>
      </c>
    </row>
    <row r="960">
      <c r="B960" s="13" t="str">
        <f>IF($K960="","",952)</f>
        <v/>
      </c>
      <c r="C960" s="13" t="str">
        <f>IF($K960="","",INDEX('Detalle individual'!$A:$A,$K960))</f>
        <v/>
      </c>
      <c r="D960" s="72" t="str">
        <f>IF($K960="","",TRIM(INDEX('Detalle individual'!$B:$B,$K960)))</f>
        <v/>
      </c>
      <c r="E960" s="72" t="str">
        <f>IF($K960="","",TRIM(INDEX('Detalle individual'!$E:$E,$K960)))</f>
        <v/>
      </c>
      <c r="F960" s="72" t="str">
        <f>IF($K960="","",TRIM(INDEX('Detalle individual'!$C:$C,$K960)))</f>
        <v/>
      </c>
      <c r="G960" s="72" t="str">
        <f>IF($K960="","",INDEX('Detalle individual'!$D:$D,$K960))</f>
        <v/>
      </c>
      <c r="H960" s="13" t="str">
        <f>IF($K960="","",INDEX('Detalle individual'!$F:$F,$K960))</f>
        <v/>
      </c>
      <c r="I960" s="20" t="str">
        <f>IF($K960="","",IF(INDEX('Detalle individual'!$F:$F,$K960)="Completado",INDEX('Detalle individual'!$H:$H,$K960),""))</f>
        <v/>
      </c>
      <c r="J960" s="21" t="str">
        <f>IF($K960="","",IF(INDEX('Detalle individual'!$F:$F,$K960)="Completado",INDEX('Detalle individual'!$J:$J,$K960),""))</f>
        <v/>
      </c>
      <c r="K960" t="str">
        <f>IFERROR(MOD(SMALL(Cálculos!$Z$5:$Z$1000,952),10000),"")</f>
        <v/>
      </c>
    </row>
    <row r="961">
      <c r="B961" s="13" t="str">
        <f>IF($K961="","",953)</f>
        <v/>
      </c>
      <c r="C961" s="13" t="str">
        <f>IF($K961="","",INDEX('Detalle individual'!$A:$A,$K961))</f>
        <v/>
      </c>
      <c r="D961" s="72" t="str">
        <f>IF($K961="","",TRIM(INDEX('Detalle individual'!$B:$B,$K961)))</f>
        <v/>
      </c>
      <c r="E961" s="72" t="str">
        <f>IF($K961="","",TRIM(INDEX('Detalle individual'!$E:$E,$K961)))</f>
        <v/>
      </c>
      <c r="F961" s="72" t="str">
        <f>IF($K961="","",TRIM(INDEX('Detalle individual'!$C:$C,$K961)))</f>
        <v/>
      </c>
      <c r="G961" s="72" t="str">
        <f>IF($K961="","",INDEX('Detalle individual'!$D:$D,$K961))</f>
        <v/>
      </c>
      <c r="H961" s="13" t="str">
        <f>IF($K961="","",INDEX('Detalle individual'!$F:$F,$K961))</f>
        <v/>
      </c>
      <c r="I961" s="20" t="str">
        <f>IF($K961="","",IF(INDEX('Detalle individual'!$F:$F,$K961)="Completado",INDEX('Detalle individual'!$H:$H,$K961),""))</f>
        <v/>
      </c>
      <c r="J961" s="21" t="str">
        <f>IF($K961="","",IF(INDEX('Detalle individual'!$F:$F,$K961)="Completado",INDEX('Detalle individual'!$J:$J,$K961),""))</f>
        <v/>
      </c>
      <c r="K961" t="str">
        <f>IFERROR(MOD(SMALL(Cálculos!$Z$5:$Z$1000,953),10000),"")</f>
        <v/>
      </c>
    </row>
    <row r="962">
      <c r="B962" s="13" t="str">
        <f>IF($K962="","",954)</f>
        <v/>
      </c>
      <c r="C962" s="13" t="str">
        <f>IF($K962="","",INDEX('Detalle individual'!$A:$A,$K962))</f>
        <v/>
      </c>
      <c r="D962" s="72" t="str">
        <f>IF($K962="","",TRIM(INDEX('Detalle individual'!$B:$B,$K962)))</f>
        <v/>
      </c>
      <c r="E962" s="72" t="str">
        <f>IF($K962="","",TRIM(INDEX('Detalle individual'!$E:$E,$K962)))</f>
        <v/>
      </c>
      <c r="F962" s="72" t="str">
        <f>IF($K962="","",TRIM(INDEX('Detalle individual'!$C:$C,$K962)))</f>
        <v/>
      </c>
      <c r="G962" s="72" t="str">
        <f>IF($K962="","",INDEX('Detalle individual'!$D:$D,$K962))</f>
        <v/>
      </c>
      <c r="H962" s="13" t="str">
        <f>IF($K962="","",INDEX('Detalle individual'!$F:$F,$K962))</f>
        <v/>
      </c>
      <c r="I962" s="20" t="str">
        <f>IF($K962="","",IF(INDEX('Detalle individual'!$F:$F,$K962)="Completado",INDEX('Detalle individual'!$H:$H,$K962),""))</f>
        <v/>
      </c>
      <c r="J962" s="21" t="str">
        <f>IF($K962="","",IF(INDEX('Detalle individual'!$F:$F,$K962)="Completado",INDEX('Detalle individual'!$J:$J,$K962),""))</f>
        <v/>
      </c>
      <c r="K962" t="str">
        <f>IFERROR(MOD(SMALL(Cálculos!$Z$5:$Z$1000,954),10000),"")</f>
        <v/>
      </c>
    </row>
    <row r="963">
      <c r="B963" s="13" t="str">
        <f>IF($K963="","",955)</f>
        <v/>
      </c>
      <c r="C963" s="13" t="str">
        <f>IF($K963="","",INDEX('Detalle individual'!$A:$A,$K963))</f>
        <v/>
      </c>
      <c r="D963" s="72" t="str">
        <f>IF($K963="","",TRIM(INDEX('Detalle individual'!$B:$B,$K963)))</f>
        <v/>
      </c>
      <c r="E963" s="72" t="str">
        <f>IF($K963="","",TRIM(INDEX('Detalle individual'!$E:$E,$K963)))</f>
        <v/>
      </c>
      <c r="F963" s="72" t="str">
        <f>IF($K963="","",TRIM(INDEX('Detalle individual'!$C:$C,$K963)))</f>
        <v/>
      </c>
      <c r="G963" s="72" t="str">
        <f>IF($K963="","",INDEX('Detalle individual'!$D:$D,$K963))</f>
        <v/>
      </c>
      <c r="H963" s="13" t="str">
        <f>IF($K963="","",INDEX('Detalle individual'!$F:$F,$K963))</f>
        <v/>
      </c>
      <c r="I963" s="20" t="str">
        <f>IF($K963="","",IF(INDEX('Detalle individual'!$F:$F,$K963)="Completado",INDEX('Detalle individual'!$H:$H,$K963),""))</f>
        <v/>
      </c>
      <c r="J963" s="21" t="str">
        <f>IF($K963="","",IF(INDEX('Detalle individual'!$F:$F,$K963)="Completado",INDEX('Detalle individual'!$J:$J,$K963),""))</f>
        <v/>
      </c>
      <c r="K963" t="str">
        <f>IFERROR(MOD(SMALL(Cálculos!$Z$5:$Z$1000,955),10000),"")</f>
        <v/>
      </c>
    </row>
    <row r="964">
      <c r="B964" s="13" t="str">
        <f>IF($K964="","",956)</f>
        <v/>
      </c>
      <c r="C964" s="13" t="str">
        <f>IF($K964="","",INDEX('Detalle individual'!$A:$A,$K964))</f>
        <v/>
      </c>
      <c r="D964" s="72" t="str">
        <f>IF($K964="","",TRIM(INDEX('Detalle individual'!$B:$B,$K964)))</f>
        <v/>
      </c>
      <c r="E964" s="72" t="str">
        <f>IF($K964="","",TRIM(INDEX('Detalle individual'!$E:$E,$K964)))</f>
        <v/>
      </c>
      <c r="F964" s="72" t="str">
        <f>IF($K964="","",TRIM(INDEX('Detalle individual'!$C:$C,$K964)))</f>
        <v/>
      </c>
      <c r="G964" s="72" t="str">
        <f>IF($K964="","",INDEX('Detalle individual'!$D:$D,$K964))</f>
        <v/>
      </c>
      <c r="H964" s="13" t="str">
        <f>IF($K964="","",INDEX('Detalle individual'!$F:$F,$K964))</f>
        <v/>
      </c>
      <c r="I964" s="20" t="str">
        <f>IF($K964="","",IF(INDEX('Detalle individual'!$F:$F,$K964)="Completado",INDEX('Detalle individual'!$H:$H,$K964),""))</f>
        <v/>
      </c>
      <c r="J964" s="21" t="str">
        <f>IF($K964="","",IF(INDEX('Detalle individual'!$F:$F,$K964)="Completado",INDEX('Detalle individual'!$J:$J,$K964),""))</f>
        <v/>
      </c>
      <c r="K964" t="str">
        <f>IFERROR(MOD(SMALL(Cálculos!$Z$5:$Z$1000,956),10000),"")</f>
        <v/>
      </c>
    </row>
    <row r="965">
      <c r="B965" s="13" t="str">
        <f>IF($K965="","",957)</f>
        <v/>
      </c>
      <c r="C965" s="13" t="str">
        <f>IF($K965="","",INDEX('Detalle individual'!$A:$A,$K965))</f>
        <v/>
      </c>
      <c r="D965" s="72" t="str">
        <f>IF($K965="","",TRIM(INDEX('Detalle individual'!$B:$B,$K965)))</f>
        <v/>
      </c>
      <c r="E965" s="72" t="str">
        <f>IF($K965="","",TRIM(INDEX('Detalle individual'!$E:$E,$K965)))</f>
        <v/>
      </c>
      <c r="F965" s="72" t="str">
        <f>IF($K965="","",TRIM(INDEX('Detalle individual'!$C:$C,$K965)))</f>
        <v/>
      </c>
      <c r="G965" s="72" t="str">
        <f>IF($K965="","",INDEX('Detalle individual'!$D:$D,$K965))</f>
        <v/>
      </c>
      <c r="H965" s="13" t="str">
        <f>IF($K965="","",INDEX('Detalle individual'!$F:$F,$K965))</f>
        <v/>
      </c>
      <c r="I965" s="20" t="str">
        <f>IF($K965="","",IF(INDEX('Detalle individual'!$F:$F,$K965)="Completado",INDEX('Detalle individual'!$H:$H,$K965),""))</f>
        <v/>
      </c>
      <c r="J965" s="21" t="str">
        <f>IF($K965="","",IF(INDEX('Detalle individual'!$F:$F,$K965)="Completado",INDEX('Detalle individual'!$J:$J,$K965),""))</f>
        <v/>
      </c>
      <c r="K965" t="str">
        <f>IFERROR(MOD(SMALL(Cálculos!$Z$5:$Z$1000,957),10000),"")</f>
        <v/>
      </c>
    </row>
    <row r="966">
      <c r="B966" s="13" t="str">
        <f>IF($K966="","",958)</f>
        <v/>
      </c>
      <c r="C966" s="13" t="str">
        <f>IF($K966="","",INDEX('Detalle individual'!$A:$A,$K966))</f>
        <v/>
      </c>
      <c r="D966" s="72" t="str">
        <f>IF($K966="","",TRIM(INDEX('Detalle individual'!$B:$B,$K966)))</f>
        <v/>
      </c>
      <c r="E966" s="72" t="str">
        <f>IF($K966="","",TRIM(INDEX('Detalle individual'!$E:$E,$K966)))</f>
        <v/>
      </c>
      <c r="F966" s="72" t="str">
        <f>IF($K966="","",TRIM(INDEX('Detalle individual'!$C:$C,$K966)))</f>
        <v/>
      </c>
      <c r="G966" s="72" t="str">
        <f>IF($K966="","",INDEX('Detalle individual'!$D:$D,$K966))</f>
        <v/>
      </c>
      <c r="H966" s="13" t="str">
        <f>IF($K966="","",INDEX('Detalle individual'!$F:$F,$K966))</f>
        <v/>
      </c>
      <c r="I966" s="20" t="str">
        <f>IF($K966="","",IF(INDEX('Detalle individual'!$F:$F,$K966)="Completado",INDEX('Detalle individual'!$H:$H,$K966),""))</f>
        <v/>
      </c>
      <c r="J966" s="21" t="str">
        <f>IF($K966="","",IF(INDEX('Detalle individual'!$F:$F,$K966)="Completado",INDEX('Detalle individual'!$J:$J,$K966),""))</f>
        <v/>
      </c>
      <c r="K966" t="str">
        <f>IFERROR(MOD(SMALL(Cálculos!$Z$5:$Z$1000,958),10000),"")</f>
        <v/>
      </c>
    </row>
    <row r="967">
      <c r="B967" s="13" t="str">
        <f>IF($K967="","",959)</f>
        <v/>
      </c>
      <c r="C967" s="13" t="str">
        <f>IF($K967="","",INDEX('Detalle individual'!$A:$A,$K967))</f>
        <v/>
      </c>
      <c r="D967" s="72" t="str">
        <f>IF($K967="","",TRIM(INDEX('Detalle individual'!$B:$B,$K967)))</f>
        <v/>
      </c>
      <c r="E967" s="72" t="str">
        <f>IF($K967="","",TRIM(INDEX('Detalle individual'!$E:$E,$K967)))</f>
        <v/>
      </c>
      <c r="F967" s="72" t="str">
        <f>IF($K967="","",TRIM(INDEX('Detalle individual'!$C:$C,$K967)))</f>
        <v/>
      </c>
      <c r="G967" s="72" t="str">
        <f>IF($K967="","",INDEX('Detalle individual'!$D:$D,$K967))</f>
        <v/>
      </c>
      <c r="H967" s="13" t="str">
        <f>IF($K967="","",INDEX('Detalle individual'!$F:$F,$K967))</f>
        <v/>
      </c>
      <c r="I967" s="20" t="str">
        <f>IF($K967="","",IF(INDEX('Detalle individual'!$F:$F,$K967)="Completado",INDEX('Detalle individual'!$H:$H,$K967),""))</f>
        <v/>
      </c>
      <c r="J967" s="21" t="str">
        <f>IF($K967="","",IF(INDEX('Detalle individual'!$F:$F,$K967)="Completado",INDEX('Detalle individual'!$J:$J,$K967),""))</f>
        <v/>
      </c>
      <c r="K967" t="str">
        <f>IFERROR(MOD(SMALL(Cálculos!$Z$5:$Z$1000,959),10000),"")</f>
        <v/>
      </c>
    </row>
    <row r="968">
      <c r="B968" s="13" t="str">
        <f>IF($K968="","",960)</f>
        <v/>
      </c>
      <c r="C968" s="13" t="str">
        <f>IF($K968="","",INDEX('Detalle individual'!$A:$A,$K968))</f>
        <v/>
      </c>
      <c r="D968" s="72" t="str">
        <f>IF($K968="","",TRIM(INDEX('Detalle individual'!$B:$B,$K968)))</f>
        <v/>
      </c>
      <c r="E968" s="72" t="str">
        <f>IF($K968="","",TRIM(INDEX('Detalle individual'!$E:$E,$K968)))</f>
        <v/>
      </c>
      <c r="F968" s="72" t="str">
        <f>IF($K968="","",TRIM(INDEX('Detalle individual'!$C:$C,$K968)))</f>
        <v/>
      </c>
      <c r="G968" s="72" t="str">
        <f>IF($K968="","",INDEX('Detalle individual'!$D:$D,$K968))</f>
        <v/>
      </c>
      <c r="H968" s="13" t="str">
        <f>IF($K968="","",INDEX('Detalle individual'!$F:$F,$K968))</f>
        <v/>
      </c>
      <c r="I968" s="20" t="str">
        <f>IF($K968="","",IF(INDEX('Detalle individual'!$F:$F,$K968)="Completado",INDEX('Detalle individual'!$H:$H,$K968),""))</f>
        <v/>
      </c>
      <c r="J968" s="21" t="str">
        <f>IF($K968="","",IF(INDEX('Detalle individual'!$F:$F,$K968)="Completado",INDEX('Detalle individual'!$J:$J,$K968),""))</f>
        <v/>
      </c>
      <c r="K968" t="str">
        <f>IFERROR(MOD(SMALL(Cálculos!$Z$5:$Z$1000,960),10000),"")</f>
        <v/>
      </c>
    </row>
    <row r="969">
      <c r="B969" s="13" t="str">
        <f>IF($K969="","",961)</f>
        <v/>
      </c>
      <c r="C969" s="13" t="str">
        <f>IF($K969="","",INDEX('Detalle individual'!$A:$A,$K969))</f>
        <v/>
      </c>
      <c r="D969" s="72" t="str">
        <f>IF($K969="","",TRIM(INDEX('Detalle individual'!$B:$B,$K969)))</f>
        <v/>
      </c>
      <c r="E969" s="72" t="str">
        <f>IF($K969="","",TRIM(INDEX('Detalle individual'!$E:$E,$K969)))</f>
        <v/>
      </c>
      <c r="F969" s="72" t="str">
        <f>IF($K969="","",TRIM(INDEX('Detalle individual'!$C:$C,$K969)))</f>
        <v/>
      </c>
      <c r="G969" s="72" t="str">
        <f>IF($K969="","",INDEX('Detalle individual'!$D:$D,$K969))</f>
        <v/>
      </c>
      <c r="H969" s="13" t="str">
        <f>IF($K969="","",INDEX('Detalle individual'!$F:$F,$K969))</f>
        <v/>
      </c>
      <c r="I969" s="20" t="str">
        <f>IF($K969="","",IF(INDEX('Detalle individual'!$F:$F,$K969)="Completado",INDEX('Detalle individual'!$H:$H,$K969),""))</f>
        <v/>
      </c>
      <c r="J969" s="21" t="str">
        <f>IF($K969="","",IF(INDEX('Detalle individual'!$F:$F,$K969)="Completado",INDEX('Detalle individual'!$J:$J,$K969),""))</f>
        <v/>
      </c>
      <c r="K969" t="str">
        <f>IFERROR(MOD(SMALL(Cálculos!$Z$5:$Z$1000,961),10000),"")</f>
        <v/>
      </c>
    </row>
    <row r="970">
      <c r="B970" s="13" t="str">
        <f>IF($K970="","",962)</f>
        <v/>
      </c>
      <c r="C970" s="13" t="str">
        <f>IF($K970="","",INDEX('Detalle individual'!$A:$A,$K970))</f>
        <v/>
      </c>
      <c r="D970" s="72" t="str">
        <f>IF($K970="","",TRIM(INDEX('Detalle individual'!$B:$B,$K970)))</f>
        <v/>
      </c>
      <c r="E970" s="72" t="str">
        <f>IF($K970="","",TRIM(INDEX('Detalle individual'!$E:$E,$K970)))</f>
        <v/>
      </c>
      <c r="F970" s="72" t="str">
        <f>IF($K970="","",TRIM(INDEX('Detalle individual'!$C:$C,$K970)))</f>
        <v/>
      </c>
      <c r="G970" s="72" t="str">
        <f>IF($K970="","",INDEX('Detalle individual'!$D:$D,$K970))</f>
        <v/>
      </c>
      <c r="H970" s="13" t="str">
        <f>IF($K970="","",INDEX('Detalle individual'!$F:$F,$K970))</f>
        <v/>
      </c>
      <c r="I970" s="20" t="str">
        <f>IF($K970="","",IF(INDEX('Detalle individual'!$F:$F,$K970)="Completado",INDEX('Detalle individual'!$H:$H,$K970),""))</f>
        <v/>
      </c>
      <c r="J970" s="21" t="str">
        <f>IF($K970="","",IF(INDEX('Detalle individual'!$F:$F,$K970)="Completado",INDEX('Detalle individual'!$J:$J,$K970),""))</f>
        <v/>
      </c>
      <c r="K970" t="str">
        <f>IFERROR(MOD(SMALL(Cálculos!$Z$5:$Z$1000,962),10000),"")</f>
        <v/>
      </c>
    </row>
    <row r="971">
      <c r="B971" s="13" t="str">
        <f>IF($K971="","",963)</f>
        <v/>
      </c>
      <c r="C971" s="13" t="str">
        <f>IF($K971="","",INDEX('Detalle individual'!$A:$A,$K971))</f>
        <v/>
      </c>
      <c r="D971" s="72" t="str">
        <f>IF($K971="","",TRIM(INDEX('Detalle individual'!$B:$B,$K971)))</f>
        <v/>
      </c>
      <c r="E971" s="72" t="str">
        <f>IF($K971="","",TRIM(INDEX('Detalle individual'!$E:$E,$K971)))</f>
        <v/>
      </c>
      <c r="F971" s="72" t="str">
        <f>IF($K971="","",TRIM(INDEX('Detalle individual'!$C:$C,$K971)))</f>
        <v/>
      </c>
      <c r="G971" s="72" t="str">
        <f>IF($K971="","",INDEX('Detalle individual'!$D:$D,$K971))</f>
        <v/>
      </c>
      <c r="H971" s="13" t="str">
        <f>IF($K971="","",INDEX('Detalle individual'!$F:$F,$K971))</f>
        <v/>
      </c>
      <c r="I971" s="20" t="str">
        <f>IF($K971="","",IF(INDEX('Detalle individual'!$F:$F,$K971)="Completado",INDEX('Detalle individual'!$H:$H,$K971),""))</f>
        <v/>
      </c>
      <c r="J971" s="21" t="str">
        <f>IF($K971="","",IF(INDEX('Detalle individual'!$F:$F,$K971)="Completado",INDEX('Detalle individual'!$J:$J,$K971),""))</f>
        <v/>
      </c>
      <c r="K971" t="str">
        <f>IFERROR(MOD(SMALL(Cálculos!$Z$5:$Z$1000,963),10000),"")</f>
        <v/>
      </c>
    </row>
    <row r="972">
      <c r="B972" s="13" t="str">
        <f>IF($K972="","",964)</f>
        <v/>
      </c>
      <c r="C972" s="13" t="str">
        <f>IF($K972="","",INDEX('Detalle individual'!$A:$A,$K972))</f>
        <v/>
      </c>
      <c r="D972" s="72" t="str">
        <f>IF($K972="","",TRIM(INDEX('Detalle individual'!$B:$B,$K972)))</f>
        <v/>
      </c>
      <c r="E972" s="72" t="str">
        <f>IF($K972="","",TRIM(INDEX('Detalle individual'!$E:$E,$K972)))</f>
        <v/>
      </c>
      <c r="F972" s="72" t="str">
        <f>IF($K972="","",TRIM(INDEX('Detalle individual'!$C:$C,$K972)))</f>
        <v/>
      </c>
      <c r="G972" s="72" t="str">
        <f>IF($K972="","",INDEX('Detalle individual'!$D:$D,$K972))</f>
        <v/>
      </c>
      <c r="H972" s="13" t="str">
        <f>IF($K972="","",INDEX('Detalle individual'!$F:$F,$K972))</f>
        <v/>
      </c>
      <c r="I972" s="20" t="str">
        <f>IF($K972="","",IF(INDEX('Detalle individual'!$F:$F,$K972)="Completado",INDEX('Detalle individual'!$H:$H,$K972),""))</f>
        <v/>
      </c>
      <c r="J972" s="21" t="str">
        <f>IF($K972="","",IF(INDEX('Detalle individual'!$F:$F,$K972)="Completado",INDEX('Detalle individual'!$J:$J,$K972),""))</f>
        <v/>
      </c>
      <c r="K972" t="str">
        <f>IFERROR(MOD(SMALL(Cálculos!$Z$5:$Z$1000,964),10000),"")</f>
        <v/>
      </c>
    </row>
    <row r="973">
      <c r="B973" s="13" t="str">
        <f>IF($K973="","",965)</f>
        <v/>
      </c>
      <c r="C973" s="13" t="str">
        <f>IF($K973="","",INDEX('Detalle individual'!$A:$A,$K973))</f>
        <v/>
      </c>
      <c r="D973" s="72" t="str">
        <f>IF($K973="","",TRIM(INDEX('Detalle individual'!$B:$B,$K973)))</f>
        <v/>
      </c>
      <c r="E973" s="72" t="str">
        <f>IF($K973="","",TRIM(INDEX('Detalle individual'!$E:$E,$K973)))</f>
        <v/>
      </c>
      <c r="F973" s="72" t="str">
        <f>IF($K973="","",TRIM(INDEX('Detalle individual'!$C:$C,$K973)))</f>
        <v/>
      </c>
      <c r="G973" s="72" t="str">
        <f>IF($K973="","",INDEX('Detalle individual'!$D:$D,$K973))</f>
        <v/>
      </c>
      <c r="H973" s="13" t="str">
        <f>IF($K973="","",INDEX('Detalle individual'!$F:$F,$K973))</f>
        <v/>
      </c>
      <c r="I973" s="20" t="str">
        <f>IF($K973="","",IF(INDEX('Detalle individual'!$F:$F,$K973)="Completado",INDEX('Detalle individual'!$H:$H,$K973),""))</f>
        <v/>
      </c>
      <c r="J973" s="21" t="str">
        <f>IF($K973="","",IF(INDEX('Detalle individual'!$F:$F,$K973)="Completado",INDEX('Detalle individual'!$J:$J,$K973),""))</f>
        <v/>
      </c>
      <c r="K973" t="str">
        <f>IFERROR(MOD(SMALL(Cálculos!$Z$5:$Z$1000,965),10000),"")</f>
        <v/>
      </c>
    </row>
    <row r="974">
      <c r="B974" s="13" t="str">
        <f>IF($K974="","",966)</f>
        <v/>
      </c>
      <c r="C974" s="13" t="str">
        <f>IF($K974="","",INDEX('Detalle individual'!$A:$A,$K974))</f>
        <v/>
      </c>
      <c r="D974" s="72" t="str">
        <f>IF($K974="","",TRIM(INDEX('Detalle individual'!$B:$B,$K974)))</f>
        <v/>
      </c>
      <c r="E974" s="72" t="str">
        <f>IF($K974="","",TRIM(INDEX('Detalle individual'!$E:$E,$K974)))</f>
        <v/>
      </c>
      <c r="F974" s="72" t="str">
        <f>IF($K974="","",TRIM(INDEX('Detalle individual'!$C:$C,$K974)))</f>
        <v/>
      </c>
      <c r="G974" s="72" t="str">
        <f>IF($K974="","",INDEX('Detalle individual'!$D:$D,$K974))</f>
        <v/>
      </c>
      <c r="H974" s="13" t="str">
        <f>IF($K974="","",INDEX('Detalle individual'!$F:$F,$K974))</f>
        <v/>
      </c>
      <c r="I974" s="20" t="str">
        <f>IF($K974="","",IF(INDEX('Detalle individual'!$F:$F,$K974)="Completado",INDEX('Detalle individual'!$H:$H,$K974),""))</f>
        <v/>
      </c>
      <c r="J974" s="21" t="str">
        <f>IF($K974="","",IF(INDEX('Detalle individual'!$F:$F,$K974)="Completado",INDEX('Detalle individual'!$J:$J,$K974),""))</f>
        <v/>
      </c>
      <c r="K974" t="str">
        <f>IFERROR(MOD(SMALL(Cálculos!$Z$5:$Z$1000,966),10000),"")</f>
        <v/>
      </c>
    </row>
    <row r="975">
      <c r="B975" s="13" t="str">
        <f>IF($K975="","",967)</f>
        <v/>
      </c>
      <c r="C975" s="13" t="str">
        <f>IF($K975="","",INDEX('Detalle individual'!$A:$A,$K975))</f>
        <v/>
      </c>
      <c r="D975" s="72" t="str">
        <f>IF($K975="","",TRIM(INDEX('Detalle individual'!$B:$B,$K975)))</f>
        <v/>
      </c>
      <c r="E975" s="72" t="str">
        <f>IF($K975="","",TRIM(INDEX('Detalle individual'!$E:$E,$K975)))</f>
        <v/>
      </c>
      <c r="F975" s="72" t="str">
        <f>IF($K975="","",TRIM(INDEX('Detalle individual'!$C:$C,$K975)))</f>
        <v/>
      </c>
      <c r="G975" s="72" t="str">
        <f>IF($K975="","",INDEX('Detalle individual'!$D:$D,$K975))</f>
        <v/>
      </c>
      <c r="H975" s="13" t="str">
        <f>IF($K975="","",INDEX('Detalle individual'!$F:$F,$K975))</f>
        <v/>
      </c>
      <c r="I975" s="20" t="str">
        <f>IF($K975="","",IF(INDEX('Detalle individual'!$F:$F,$K975)="Completado",INDEX('Detalle individual'!$H:$H,$K975),""))</f>
        <v/>
      </c>
      <c r="J975" s="21" t="str">
        <f>IF($K975="","",IF(INDEX('Detalle individual'!$F:$F,$K975)="Completado",INDEX('Detalle individual'!$J:$J,$K975),""))</f>
        <v/>
      </c>
      <c r="K975" t="str">
        <f>IFERROR(MOD(SMALL(Cálculos!$Z$5:$Z$1000,967),10000),"")</f>
        <v/>
      </c>
    </row>
    <row r="976">
      <c r="B976" s="13" t="str">
        <f>IF($K976="","",968)</f>
        <v/>
      </c>
      <c r="C976" s="13" t="str">
        <f>IF($K976="","",INDEX('Detalle individual'!$A:$A,$K976))</f>
        <v/>
      </c>
      <c r="D976" s="72" t="str">
        <f>IF($K976="","",TRIM(INDEX('Detalle individual'!$B:$B,$K976)))</f>
        <v/>
      </c>
      <c r="E976" s="72" t="str">
        <f>IF($K976="","",TRIM(INDEX('Detalle individual'!$E:$E,$K976)))</f>
        <v/>
      </c>
      <c r="F976" s="72" t="str">
        <f>IF($K976="","",TRIM(INDEX('Detalle individual'!$C:$C,$K976)))</f>
        <v/>
      </c>
      <c r="G976" s="72" t="str">
        <f>IF($K976="","",INDEX('Detalle individual'!$D:$D,$K976))</f>
        <v/>
      </c>
      <c r="H976" s="13" t="str">
        <f>IF($K976="","",INDEX('Detalle individual'!$F:$F,$K976))</f>
        <v/>
      </c>
      <c r="I976" s="20" t="str">
        <f>IF($K976="","",IF(INDEX('Detalle individual'!$F:$F,$K976)="Completado",INDEX('Detalle individual'!$H:$H,$K976),""))</f>
        <v/>
      </c>
      <c r="J976" s="21" t="str">
        <f>IF($K976="","",IF(INDEX('Detalle individual'!$F:$F,$K976)="Completado",INDEX('Detalle individual'!$J:$J,$K976),""))</f>
        <v/>
      </c>
      <c r="K976" t="str">
        <f>IFERROR(MOD(SMALL(Cálculos!$Z$5:$Z$1000,968),10000),"")</f>
        <v/>
      </c>
    </row>
    <row r="977">
      <c r="B977" s="13" t="str">
        <f>IF($K977="","",969)</f>
        <v/>
      </c>
      <c r="C977" s="13" t="str">
        <f>IF($K977="","",INDEX('Detalle individual'!$A:$A,$K977))</f>
        <v/>
      </c>
      <c r="D977" s="72" t="str">
        <f>IF($K977="","",TRIM(INDEX('Detalle individual'!$B:$B,$K977)))</f>
        <v/>
      </c>
      <c r="E977" s="72" t="str">
        <f>IF($K977="","",TRIM(INDEX('Detalle individual'!$E:$E,$K977)))</f>
        <v/>
      </c>
      <c r="F977" s="72" t="str">
        <f>IF($K977="","",TRIM(INDEX('Detalle individual'!$C:$C,$K977)))</f>
        <v/>
      </c>
      <c r="G977" s="72" t="str">
        <f>IF($K977="","",INDEX('Detalle individual'!$D:$D,$K977))</f>
        <v/>
      </c>
      <c r="H977" s="13" t="str">
        <f>IF($K977="","",INDEX('Detalle individual'!$F:$F,$K977))</f>
        <v/>
      </c>
      <c r="I977" s="20" t="str">
        <f>IF($K977="","",IF(INDEX('Detalle individual'!$F:$F,$K977)="Completado",INDEX('Detalle individual'!$H:$H,$K977),""))</f>
        <v/>
      </c>
      <c r="J977" s="21" t="str">
        <f>IF($K977="","",IF(INDEX('Detalle individual'!$F:$F,$K977)="Completado",INDEX('Detalle individual'!$J:$J,$K977),""))</f>
        <v/>
      </c>
      <c r="K977" t="str">
        <f>IFERROR(MOD(SMALL(Cálculos!$Z$5:$Z$1000,969),10000),"")</f>
        <v/>
      </c>
    </row>
    <row r="978">
      <c r="B978" s="13" t="str">
        <f>IF($K978="","",970)</f>
        <v/>
      </c>
      <c r="C978" s="13" t="str">
        <f>IF($K978="","",INDEX('Detalle individual'!$A:$A,$K978))</f>
        <v/>
      </c>
      <c r="D978" s="72" t="str">
        <f>IF($K978="","",TRIM(INDEX('Detalle individual'!$B:$B,$K978)))</f>
        <v/>
      </c>
      <c r="E978" s="72" t="str">
        <f>IF($K978="","",TRIM(INDEX('Detalle individual'!$E:$E,$K978)))</f>
        <v/>
      </c>
      <c r="F978" s="72" t="str">
        <f>IF($K978="","",TRIM(INDEX('Detalle individual'!$C:$C,$K978)))</f>
        <v/>
      </c>
      <c r="G978" s="72" t="str">
        <f>IF($K978="","",INDEX('Detalle individual'!$D:$D,$K978))</f>
        <v/>
      </c>
      <c r="H978" s="13" t="str">
        <f>IF($K978="","",INDEX('Detalle individual'!$F:$F,$K978))</f>
        <v/>
      </c>
      <c r="I978" s="20" t="str">
        <f>IF($K978="","",IF(INDEX('Detalle individual'!$F:$F,$K978)="Completado",INDEX('Detalle individual'!$H:$H,$K978),""))</f>
        <v/>
      </c>
      <c r="J978" s="21" t="str">
        <f>IF($K978="","",IF(INDEX('Detalle individual'!$F:$F,$K978)="Completado",INDEX('Detalle individual'!$J:$J,$K978),""))</f>
        <v/>
      </c>
      <c r="K978" t="str">
        <f>IFERROR(MOD(SMALL(Cálculos!$Z$5:$Z$1000,970),10000),"")</f>
        <v/>
      </c>
    </row>
    <row r="979">
      <c r="B979" s="13" t="str">
        <f>IF($K979="","",971)</f>
        <v/>
      </c>
      <c r="C979" s="13" t="str">
        <f>IF($K979="","",INDEX('Detalle individual'!$A:$A,$K979))</f>
        <v/>
      </c>
      <c r="D979" s="72" t="str">
        <f>IF($K979="","",TRIM(INDEX('Detalle individual'!$B:$B,$K979)))</f>
        <v/>
      </c>
      <c r="E979" s="72" t="str">
        <f>IF($K979="","",TRIM(INDEX('Detalle individual'!$E:$E,$K979)))</f>
        <v/>
      </c>
      <c r="F979" s="72" t="str">
        <f>IF($K979="","",TRIM(INDEX('Detalle individual'!$C:$C,$K979)))</f>
        <v/>
      </c>
      <c r="G979" s="72" t="str">
        <f>IF($K979="","",INDEX('Detalle individual'!$D:$D,$K979))</f>
        <v/>
      </c>
      <c r="H979" s="13" t="str">
        <f>IF($K979="","",INDEX('Detalle individual'!$F:$F,$K979))</f>
        <v/>
      </c>
      <c r="I979" s="20" t="str">
        <f>IF($K979="","",IF(INDEX('Detalle individual'!$F:$F,$K979)="Completado",INDEX('Detalle individual'!$H:$H,$K979),""))</f>
        <v/>
      </c>
      <c r="J979" s="21" t="str">
        <f>IF($K979="","",IF(INDEX('Detalle individual'!$F:$F,$K979)="Completado",INDEX('Detalle individual'!$J:$J,$K979),""))</f>
        <v/>
      </c>
      <c r="K979" t="str">
        <f>IFERROR(MOD(SMALL(Cálculos!$Z$5:$Z$1000,971),10000),"")</f>
        <v/>
      </c>
    </row>
    <row r="980">
      <c r="B980" s="13" t="str">
        <f>IF($K980="","",972)</f>
        <v/>
      </c>
      <c r="C980" s="13" t="str">
        <f>IF($K980="","",INDEX('Detalle individual'!$A:$A,$K980))</f>
        <v/>
      </c>
      <c r="D980" s="72" t="str">
        <f>IF($K980="","",TRIM(INDEX('Detalle individual'!$B:$B,$K980)))</f>
        <v/>
      </c>
      <c r="E980" s="72" t="str">
        <f>IF($K980="","",TRIM(INDEX('Detalle individual'!$E:$E,$K980)))</f>
        <v/>
      </c>
      <c r="F980" s="72" t="str">
        <f>IF($K980="","",TRIM(INDEX('Detalle individual'!$C:$C,$K980)))</f>
        <v/>
      </c>
      <c r="G980" s="72" t="str">
        <f>IF($K980="","",INDEX('Detalle individual'!$D:$D,$K980))</f>
        <v/>
      </c>
      <c r="H980" s="13" t="str">
        <f>IF($K980="","",INDEX('Detalle individual'!$F:$F,$K980))</f>
        <v/>
      </c>
      <c r="I980" s="20" t="str">
        <f>IF($K980="","",IF(INDEX('Detalle individual'!$F:$F,$K980)="Completado",INDEX('Detalle individual'!$H:$H,$K980),""))</f>
        <v/>
      </c>
      <c r="J980" s="21" t="str">
        <f>IF($K980="","",IF(INDEX('Detalle individual'!$F:$F,$K980)="Completado",INDEX('Detalle individual'!$J:$J,$K980),""))</f>
        <v/>
      </c>
      <c r="K980" t="str">
        <f>IFERROR(MOD(SMALL(Cálculos!$Z$5:$Z$1000,972),10000),"")</f>
        <v/>
      </c>
    </row>
    <row r="981">
      <c r="B981" s="13" t="str">
        <f>IF($K981="","",973)</f>
        <v/>
      </c>
      <c r="C981" s="13" t="str">
        <f>IF($K981="","",INDEX('Detalle individual'!$A:$A,$K981))</f>
        <v/>
      </c>
      <c r="D981" s="72" t="str">
        <f>IF($K981="","",TRIM(INDEX('Detalle individual'!$B:$B,$K981)))</f>
        <v/>
      </c>
      <c r="E981" s="72" t="str">
        <f>IF($K981="","",TRIM(INDEX('Detalle individual'!$E:$E,$K981)))</f>
        <v/>
      </c>
      <c r="F981" s="72" t="str">
        <f>IF($K981="","",TRIM(INDEX('Detalle individual'!$C:$C,$K981)))</f>
        <v/>
      </c>
      <c r="G981" s="72" t="str">
        <f>IF($K981="","",INDEX('Detalle individual'!$D:$D,$K981))</f>
        <v/>
      </c>
      <c r="H981" s="13" t="str">
        <f>IF($K981="","",INDEX('Detalle individual'!$F:$F,$K981))</f>
        <v/>
      </c>
      <c r="I981" s="20" t="str">
        <f>IF($K981="","",IF(INDEX('Detalle individual'!$F:$F,$K981)="Completado",INDEX('Detalle individual'!$H:$H,$K981),""))</f>
        <v/>
      </c>
      <c r="J981" s="21" t="str">
        <f>IF($K981="","",IF(INDEX('Detalle individual'!$F:$F,$K981)="Completado",INDEX('Detalle individual'!$J:$J,$K981),""))</f>
        <v/>
      </c>
      <c r="K981" t="str">
        <f>IFERROR(MOD(SMALL(Cálculos!$Z$5:$Z$1000,973),10000),"")</f>
        <v/>
      </c>
    </row>
    <row r="982">
      <c r="B982" s="13" t="str">
        <f>IF($K982="","",974)</f>
        <v/>
      </c>
      <c r="C982" s="13" t="str">
        <f>IF($K982="","",INDEX('Detalle individual'!$A:$A,$K982))</f>
        <v/>
      </c>
      <c r="D982" s="72" t="str">
        <f>IF($K982="","",TRIM(INDEX('Detalle individual'!$B:$B,$K982)))</f>
        <v/>
      </c>
      <c r="E982" s="72" t="str">
        <f>IF($K982="","",TRIM(INDEX('Detalle individual'!$E:$E,$K982)))</f>
        <v/>
      </c>
      <c r="F982" s="72" t="str">
        <f>IF($K982="","",TRIM(INDEX('Detalle individual'!$C:$C,$K982)))</f>
        <v/>
      </c>
      <c r="G982" s="72" t="str">
        <f>IF($K982="","",INDEX('Detalle individual'!$D:$D,$K982))</f>
        <v/>
      </c>
      <c r="H982" s="13" t="str">
        <f>IF($K982="","",INDEX('Detalle individual'!$F:$F,$K982))</f>
        <v/>
      </c>
      <c r="I982" s="20" t="str">
        <f>IF($K982="","",IF(INDEX('Detalle individual'!$F:$F,$K982)="Completado",INDEX('Detalle individual'!$H:$H,$K982),""))</f>
        <v/>
      </c>
      <c r="J982" s="21" t="str">
        <f>IF($K982="","",IF(INDEX('Detalle individual'!$F:$F,$K982)="Completado",INDEX('Detalle individual'!$J:$J,$K982),""))</f>
        <v/>
      </c>
      <c r="K982" t="str">
        <f>IFERROR(MOD(SMALL(Cálculos!$Z$5:$Z$1000,974),10000),"")</f>
        <v/>
      </c>
    </row>
    <row r="983">
      <c r="B983" s="13" t="str">
        <f>IF($K983="","",975)</f>
        <v/>
      </c>
      <c r="C983" s="13" t="str">
        <f>IF($K983="","",INDEX('Detalle individual'!$A:$A,$K983))</f>
        <v/>
      </c>
      <c r="D983" s="72" t="str">
        <f>IF($K983="","",TRIM(INDEX('Detalle individual'!$B:$B,$K983)))</f>
        <v/>
      </c>
      <c r="E983" s="72" t="str">
        <f>IF($K983="","",TRIM(INDEX('Detalle individual'!$E:$E,$K983)))</f>
        <v/>
      </c>
      <c r="F983" s="72" t="str">
        <f>IF($K983="","",TRIM(INDEX('Detalle individual'!$C:$C,$K983)))</f>
        <v/>
      </c>
      <c r="G983" s="72" t="str">
        <f>IF($K983="","",INDEX('Detalle individual'!$D:$D,$K983))</f>
        <v/>
      </c>
      <c r="H983" s="13" t="str">
        <f>IF($K983="","",INDEX('Detalle individual'!$F:$F,$K983))</f>
        <v/>
      </c>
      <c r="I983" s="20" t="str">
        <f>IF($K983="","",IF(INDEX('Detalle individual'!$F:$F,$K983)="Completado",INDEX('Detalle individual'!$H:$H,$K983),""))</f>
        <v/>
      </c>
      <c r="J983" s="21" t="str">
        <f>IF($K983="","",IF(INDEX('Detalle individual'!$F:$F,$K983)="Completado",INDEX('Detalle individual'!$J:$J,$K983),""))</f>
        <v/>
      </c>
      <c r="K983" t="str">
        <f>IFERROR(MOD(SMALL(Cálculos!$Z$5:$Z$1000,975),10000),"")</f>
        <v/>
      </c>
    </row>
    <row r="984">
      <c r="B984" s="13" t="str">
        <f>IF($K984="","",976)</f>
        <v/>
      </c>
      <c r="C984" s="13" t="str">
        <f>IF($K984="","",INDEX('Detalle individual'!$A:$A,$K984))</f>
        <v/>
      </c>
      <c r="D984" s="72" t="str">
        <f>IF($K984="","",TRIM(INDEX('Detalle individual'!$B:$B,$K984)))</f>
        <v/>
      </c>
      <c r="E984" s="72" t="str">
        <f>IF($K984="","",TRIM(INDEX('Detalle individual'!$E:$E,$K984)))</f>
        <v/>
      </c>
      <c r="F984" s="72" t="str">
        <f>IF($K984="","",TRIM(INDEX('Detalle individual'!$C:$C,$K984)))</f>
        <v/>
      </c>
      <c r="G984" s="72" t="str">
        <f>IF($K984="","",INDEX('Detalle individual'!$D:$D,$K984))</f>
        <v/>
      </c>
      <c r="H984" s="13" t="str">
        <f>IF($K984="","",INDEX('Detalle individual'!$F:$F,$K984))</f>
        <v/>
      </c>
      <c r="I984" s="20" t="str">
        <f>IF($K984="","",IF(INDEX('Detalle individual'!$F:$F,$K984)="Completado",INDEX('Detalle individual'!$H:$H,$K984),""))</f>
        <v/>
      </c>
      <c r="J984" s="21" t="str">
        <f>IF($K984="","",IF(INDEX('Detalle individual'!$F:$F,$K984)="Completado",INDEX('Detalle individual'!$J:$J,$K984),""))</f>
        <v/>
      </c>
      <c r="K984" t="str">
        <f>IFERROR(MOD(SMALL(Cálculos!$Z$5:$Z$1000,976),10000),"")</f>
        <v/>
      </c>
    </row>
    <row r="985">
      <c r="B985" s="13" t="str">
        <f>IF($K985="","",977)</f>
        <v/>
      </c>
      <c r="C985" s="13" t="str">
        <f>IF($K985="","",INDEX('Detalle individual'!$A:$A,$K985))</f>
        <v/>
      </c>
      <c r="D985" s="72" t="str">
        <f>IF($K985="","",TRIM(INDEX('Detalle individual'!$B:$B,$K985)))</f>
        <v/>
      </c>
      <c r="E985" s="72" t="str">
        <f>IF($K985="","",TRIM(INDEX('Detalle individual'!$E:$E,$K985)))</f>
        <v/>
      </c>
      <c r="F985" s="72" t="str">
        <f>IF($K985="","",TRIM(INDEX('Detalle individual'!$C:$C,$K985)))</f>
        <v/>
      </c>
      <c r="G985" s="72" t="str">
        <f>IF($K985="","",INDEX('Detalle individual'!$D:$D,$K985))</f>
        <v/>
      </c>
      <c r="H985" s="13" t="str">
        <f>IF($K985="","",INDEX('Detalle individual'!$F:$F,$K985))</f>
        <v/>
      </c>
      <c r="I985" s="20" t="str">
        <f>IF($K985="","",IF(INDEX('Detalle individual'!$F:$F,$K985)="Completado",INDEX('Detalle individual'!$H:$H,$K985),""))</f>
        <v/>
      </c>
      <c r="J985" s="21" t="str">
        <f>IF($K985="","",IF(INDEX('Detalle individual'!$F:$F,$K985)="Completado",INDEX('Detalle individual'!$J:$J,$K985),""))</f>
        <v/>
      </c>
      <c r="K985" t="str">
        <f>IFERROR(MOD(SMALL(Cálculos!$Z$5:$Z$1000,977),10000),"")</f>
        <v/>
      </c>
    </row>
    <row r="986">
      <c r="B986" s="13" t="str">
        <f>IF($K986="","",978)</f>
        <v/>
      </c>
      <c r="C986" s="13" t="str">
        <f>IF($K986="","",INDEX('Detalle individual'!$A:$A,$K986))</f>
        <v/>
      </c>
      <c r="D986" s="72" t="str">
        <f>IF($K986="","",TRIM(INDEX('Detalle individual'!$B:$B,$K986)))</f>
        <v/>
      </c>
      <c r="E986" s="72" t="str">
        <f>IF($K986="","",TRIM(INDEX('Detalle individual'!$E:$E,$K986)))</f>
        <v/>
      </c>
      <c r="F986" s="72" t="str">
        <f>IF($K986="","",TRIM(INDEX('Detalle individual'!$C:$C,$K986)))</f>
        <v/>
      </c>
      <c r="G986" s="72" t="str">
        <f>IF($K986="","",INDEX('Detalle individual'!$D:$D,$K986))</f>
        <v/>
      </c>
      <c r="H986" s="13" t="str">
        <f>IF($K986="","",INDEX('Detalle individual'!$F:$F,$K986))</f>
        <v/>
      </c>
      <c r="I986" s="20" t="str">
        <f>IF($K986="","",IF(INDEX('Detalle individual'!$F:$F,$K986)="Completado",INDEX('Detalle individual'!$H:$H,$K986),""))</f>
        <v/>
      </c>
      <c r="J986" s="21" t="str">
        <f>IF($K986="","",IF(INDEX('Detalle individual'!$F:$F,$K986)="Completado",INDEX('Detalle individual'!$J:$J,$K986),""))</f>
        <v/>
      </c>
      <c r="K986" t="str">
        <f>IFERROR(MOD(SMALL(Cálculos!$Z$5:$Z$1000,978),10000),"")</f>
        <v/>
      </c>
    </row>
    <row r="987">
      <c r="B987" s="13" t="str">
        <f>IF($K987="","",979)</f>
        <v/>
      </c>
      <c r="C987" s="13" t="str">
        <f>IF($K987="","",INDEX('Detalle individual'!$A:$A,$K987))</f>
        <v/>
      </c>
      <c r="D987" s="72" t="str">
        <f>IF($K987="","",TRIM(INDEX('Detalle individual'!$B:$B,$K987)))</f>
        <v/>
      </c>
      <c r="E987" s="72" t="str">
        <f>IF($K987="","",TRIM(INDEX('Detalle individual'!$E:$E,$K987)))</f>
        <v/>
      </c>
      <c r="F987" s="72" t="str">
        <f>IF($K987="","",TRIM(INDEX('Detalle individual'!$C:$C,$K987)))</f>
        <v/>
      </c>
      <c r="G987" s="72" t="str">
        <f>IF($K987="","",INDEX('Detalle individual'!$D:$D,$K987))</f>
        <v/>
      </c>
      <c r="H987" s="13" t="str">
        <f>IF($K987="","",INDEX('Detalle individual'!$F:$F,$K987))</f>
        <v/>
      </c>
      <c r="I987" s="20" t="str">
        <f>IF($K987="","",IF(INDEX('Detalle individual'!$F:$F,$K987)="Completado",INDEX('Detalle individual'!$H:$H,$K987),""))</f>
        <v/>
      </c>
      <c r="J987" s="21" t="str">
        <f>IF($K987="","",IF(INDEX('Detalle individual'!$F:$F,$K987)="Completado",INDEX('Detalle individual'!$J:$J,$K987),""))</f>
        <v/>
      </c>
      <c r="K987" t="str">
        <f>IFERROR(MOD(SMALL(Cálculos!$Z$5:$Z$1000,979),10000),"")</f>
        <v/>
      </c>
    </row>
    <row r="988">
      <c r="B988" s="13" t="str">
        <f>IF($K988="","",980)</f>
        <v/>
      </c>
      <c r="C988" s="13" t="str">
        <f>IF($K988="","",INDEX('Detalle individual'!$A:$A,$K988))</f>
        <v/>
      </c>
      <c r="D988" s="72" t="str">
        <f>IF($K988="","",TRIM(INDEX('Detalle individual'!$B:$B,$K988)))</f>
        <v/>
      </c>
      <c r="E988" s="72" t="str">
        <f>IF($K988="","",TRIM(INDEX('Detalle individual'!$E:$E,$K988)))</f>
        <v/>
      </c>
      <c r="F988" s="72" t="str">
        <f>IF($K988="","",TRIM(INDEX('Detalle individual'!$C:$C,$K988)))</f>
        <v/>
      </c>
      <c r="G988" s="72" t="str">
        <f>IF($K988="","",INDEX('Detalle individual'!$D:$D,$K988))</f>
        <v/>
      </c>
      <c r="H988" s="13" t="str">
        <f>IF($K988="","",INDEX('Detalle individual'!$F:$F,$K988))</f>
        <v/>
      </c>
      <c r="I988" s="20" t="str">
        <f>IF($K988="","",IF(INDEX('Detalle individual'!$F:$F,$K988)="Completado",INDEX('Detalle individual'!$H:$H,$K988),""))</f>
        <v/>
      </c>
      <c r="J988" s="21" t="str">
        <f>IF($K988="","",IF(INDEX('Detalle individual'!$F:$F,$K988)="Completado",INDEX('Detalle individual'!$J:$J,$K988),""))</f>
        <v/>
      </c>
      <c r="K988" t="str">
        <f>IFERROR(MOD(SMALL(Cálculos!$Z$5:$Z$1000,980),10000),"")</f>
        <v/>
      </c>
    </row>
    <row r="989">
      <c r="B989" s="13" t="str">
        <f>IF($K989="","",981)</f>
        <v/>
      </c>
      <c r="C989" s="13" t="str">
        <f>IF($K989="","",INDEX('Detalle individual'!$A:$A,$K989))</f>
        <v/>
      </c>
      <c r="D989" s="72" t="str">
        <f>IF($K989="","",TRIM(INDEX('Detalle individual'!$B:$B,$K989)))</f>
        <v/>
      </c>
      <c r="E989" s="72" t="str">
        <f>IF($K989="","",TRIM(INDEX('Detalle individual'!$E:$E,$K989)))</f>
        <v/>
      </c>
      <c r="F989" s="72" t="str">
        <f>IF($K989="","",TRIM(INDEX('Detalle individual'!$C:$C,$K989)))</f>
        <v/>
      </c>
      <c r="G989" s="72" t="str">
        <f>IF($K989="","",INDEX('Detalle individual'!$D:$D,$K989))</f>
        <v/>
      </c>
      <c r="H989" s="13" t="str">
        <f>IF($K989="","",INDEX('Detalle individual'!$F:$F,$K989))</f>
        <v/>
      </c>
      <c r="I989" s="20" t="str">
        <f>IF($K989="","",IF(INDEX('Detalle individual'!$F:$F,$K989)="Completado",INDEX('Detalle individual'!$H:$H,$K989),""))</f>
        <v/>
      </c>
      <c r="J989" s="21" t="str">
        <f>IF($K989="","",IF(INDEX('Detalle individual'!$F:$F,$K989)="Completado",INDEX('Detalle individual'!$J:$J,$K989),""))</f>
        <v/>
      </c>
      <c r="K989" t="str">
        <f>IFERROR(MOD(SMALL(Cálculos!$Z$5:$Z$1000,981),10000),"")</f>
        <v/>
      </c>
    </row>
    <row r="990">
      <c r="B990" s="13" t="str">
        <f>IF($K990="","",982)</f>
        <v/>
      </c>
      <c r="C990" s="13" t="str">
        <f>IF($K990="","",INDEX('Detalle individual'!$A:$A,$K990))</f>
        <v/>
      </c>
      <c r="D990" s="72" t="str">
        <f>IF($K990="","",TRIM(INDEX('Detalle individual'!$B:$B,$K990)))</f>
        <v/>
      </c>
      <c r="E990" s="72" t="str">
        <f>IF($K990="","",TRIM(INDEX('Detalle individual'!$E:$E,$K990)))</f>
        <v/>
      </c>
      <c r="F990" s="72" t="str">
        <f>IF($K990="","",TRIM(INDEX('Detalle individual'!$C:$C,$K990)))</f>
        <v/>
      </c>
      <c r="G990" s="72" t="str">
        <f>IF($K990="","",INDEX('Detalle individual'!$D:$D,$K990))</f>
        <v/>
      </c>
      <c r="H990" s="13" t="str">
        <f>IF($K990="","",INDEX('Detalle individual'!$F:$F,$K990))</f>
        <v/>
      </c>
      <c r="I990" s="20" t="str">
        <f>IF($K990="","",IF(INDEX('Detalle individual'!$F:$F,$K990)="Completado",INDEX('Detalle individual'!$H:$H,$K990),""))</f>
        <v/>
      </c>
      <c r="J990" s="21" t="str">
        <f>IF($K990="","",IF(INDEX('Detalle individual'!$F:$F,$K990)="Completado",INDEX('Detalle individual'!$J:$J,$K990),""))</f>
        <v/>
      </c>
      <c r="K990" t="str">
        <f>IFERROR(MOD(SMALL(Cálculos!$Z$5:$Z$1000,982),10000),"")</f>
        <v/>
      </c>
    </row>
    <row r="991">
      <c r="B991" s="13" t="str">
        <f>IF($K991="","",983)</f>
        <v/>
      </c>
      <c r="C991" s="13" t="str">
        <f>IF($K991="","",INDEX('Detalle individual'!$A:$A,$K991))</f>
        <v/>
      </c>
      <c r="D991" s="72" t="str">
        <f>IF($K991="","",TRIM(INDEX('Detalle individual'!$B:$B,$K991)))</f>
        <v/>
      </c>
      <c r="E991" s="72" t="str">
        <f>IF($K991="","",TRIM(INDEX('Detalle individual'!$E:$E,$K991)))</f>
        <v/>
      </c>
      <c r="F991" s="72" t="str">
        <f>IF($K991="","",TRIM(INDEX('Detalle individual'!$C:$C,$K991)))</f>
        <v/>
      </c>
      <c r="G991" s="72" t="str">
        <f>IF($K991="","",INDEX('Detalle individual'!$D:$D,$K991))</f>
        <v/>
      </c>
      <c r="H991" s="13" t="str">
        <f>IF($K991="","",INDEX('Detalle individual'!$F:$F,$K991))</f>
        <v/>
      </c>
      <c r="I991" s="20" t="str">
        <f>IF($K991="","",IF(INDEX('Detalle individual'!$F:$F,$K991)="Completado",INDEX('Detalle individual'!$H:$H,$K991),""))</f>
        <v/>
      </c>
      <c r="J991" s="21" t="str">
        <f>IF($K991="","",IF(INDEX('Detalle individual'!$F:$F,$K991)="Completado",INDEX('Detalle individual'!$J:$J,$K991),""))</f>
        <v/>
      </c>
      <c r="K991" t="str">
        <f>IFERROR(MOD(SMALL(Cálculos!$Z$5:$Z$1000,983),10000),"")</f>
        <v/>
      </c>
    </row>
    <row r="992">
      <c r="B992" s="13" t="str">
        <f>IF($K992="","",984)</f>
        <v/>
      </c>
      <c r="C992" s="13" t="str">
        <f>IF($K992="","",INDEX('Detalle individual'!$A:$A,$K992))</f>
        <v/>
      </c>
      <c r="D992" s="72" t="str">
        <f>IF($K992="","",TRIM(INDEX('Detalle individual'!$B:$B,$K992)))</f>
        <v/>
      </c>
      <c r="E992" s="72" t="str">
        <f>IF($K992="","",TRIM(INDEX('Detalle individual'!$E:$E,$K992)))</f>
        <v/>
      </c>
      <c r="F992" s="72" t="str">
        <f>IF($K992="","",TRIM(INDEX('Detalle individual'!$C:$C,$K992)))</f>
        <v/>
      </c>
      <c r="G992" s="72" t="str">
        <f>IF($K992="","",INDEX('Detalle individual'!$D:$D,$K992))</f>
        <v/>
      </c>
      <c r="H992" s="13" t="str">
        <f>IF($K992="","",INDEX('Detalle individual'!$F:$F,$K992))</f>
        <v/>
      </c>
      <c r="I992" s="20" t="str">
        <f>IF($K992="","",IF(INDEX('Detalle individual'!$F:$F,$K992)="Completado",INDEX('Detalle individual'!$H:$H,$K992),""))</f>
        <v/>
      </c>
      <c r="J992" s="21" t="str">
        <f>IF($K992="","",IF(INDEX('Detalle individual'!$F:$F,$K992)="Completado",INDEX('Detalle individual'!$J:$J,$K992),""))</f>
        <v/>
      </c>
      <c r="K992" t="str">
        <f>IFERROR(MOD(SMALL(Cálculos!$Z$5:$Z$1000,984),10000),"")</f>
        <v/>
      </c>
    </row>
    <row r="993">
      <c r="B993" s="13" t="str">
        <f>IF($K993="","",985)</f>
        <v/>
      </c>
      <c r="C993" s="13" t="str">
        <f>IF($K993="","",INDEX('Detalle individual'!$A:$A,$K993))</f>
        <v/>
      </c>
      <c r="D993" s="72" t="str">
        <f>IF($K993="","",TRIM(INDEX('Detalle individual'!$B:$B,$K993)))</f>
        <v/>
      </c>
      <c r="E993" s="72" t="str">
        <f>IF($K993="","",TRIM(INDEX('Detalle individual'!$E:$E,$K993)))</f>
        <v/>
      </c>
      <c r="F993" s="72" t="str">
        <f>IF($K993="","",TRIM(INDEX('Detalle individual'!$C:$C,$K993)))</f>
        <v/>
      </c>
      <c r="G993" s="72" t="str">
        <f>IF($K993="","",INDEX('Detalle individual'!$D:$D,$K993))</f>
        <v/>
      </c>
      <c r="H993" s="13" t="str">
        <f>IF($K993="","",INDEX('Detalle individual'!$F:$F,$K993))</f>
        <v/>
      </c>
      <c r="I993" s="20" t="str">
        <f>IF($K993="","",IF(INDEX('Detalle individual'!$F:$F,$K993)="Completado",INDEX('Detalle individual'!$H:$H,$K993),""))</f>
        <v/>
      </c>
      <c r="J993" s="21" t="str">
        <f>IF($K993="","",IF(INDEX('Detalle individual'!$F:$F,$K993)="Completado",INDEX('Detalle individual'!$J:$J,$K993),""))</f>
        <v/>
      </c>
      <c r="K993" t="str">
        <f>IFERROR(MOD(SMALL(Cálculos!$Z$5:$Z$1000,985),10000),"")</f>
        <v/>
      </c>
    </row>
    <row r="994">
      <c r="B994" s="13" t="str">
        <f>IF($K994="","",986)</f>
        <v/>
      </c>
      <c r="C994" s="13" t="str">
        <f>IF($K994="","",INDEX('Detalle individual'!$A:$A,$K994))</f>
        <v/>
      </c>
      <c r="D994" s="72" t="str">
        <f>IF($K994="","",TRIM(INDEX('Detalle individual'!$B:$B,$K994)))</f>
        <v/>
      </c>
      <c r="E994" s="72" t="str">
        <f>IF($K994="","",TRIM(INDEX('Detalle individual'!$E:$E,$K994)))</f>
        <v/>
      </c>
      <c r="F994" s="72" t="str">
        <f>IF($K994="","",TRIM(INDEX('Detalle individual'!$C:$C,$K994)))</f>
        <v/>
      </c>
      <c r="G994" s="72" t="str">
        <f>IF($K994="","",INDEX('Detalle individual'!$D:$D,$K994))</f>
        <v/>
      </c>
      <c r="H994" s="13" t="str">
        <f>IF($K994="","",INDEX('Detalle individual'!$F:$F,$K994))</f>
        <v/>
      </c>
      <c r="I994" s="20" t="str">
        <f>IF($K994="","",IF(INDEX('Detalle individual'!$F:$F,$K994)="Completado",INDEX('Detalle individual'!$H:$H,$K994),""))</f>
        <v/>
      </c>
      <c r="J994" s="21" t="str">
        <f>IF($K994="","",IF(INDEX('Detalle individual'!$F:$F,$K994)="Completado",INDEX('Detalle individual'!$J:$J,$K994),""))</f>
        <v/>
      </c>
      <c r="K994" t="str">
        <f>IFERROR(MOD(SMALL(Cálculos!$Z$5:$Z$1000,986),10000),"")</f>
        <v/>
      </c>
    </row>
    <row r="995">
      <c r="B995" s="13" t="str">
        <f>IF($K995="","",987)</f>
        <v/>
      </c>
      <c r="C995" s="13" t="str">
        <f>IF($K995="","",INDEX('Detalle individual'!$A:$A,$K995))</f>
        <v/>
      </c>
      <c r="D995" s="72" t="str">
        <f>IF($K995="","",TRIM(INDEX('Detalle individual'!$B:$B,$K995)))</f>
        <v/>
      </c>
      <c r="E995" s="72" t="str">
        <f>IF($K995="","",TRIM(INDEX('Detalle individual'!$E:$E,$K995)))</f>
        <v/>
      </c>
      <c r="F995" s="72" t="str">
        <f>IF($K995="","",TRIM(INDEX('Detalle individual'!$C:$C,$K995)))</f>
        <v/>
      </c>
      <c r="G995" s="72" t="str">
        <f>IF($K995="","",INDEX('Detalle individual'!$D:$D,$K995))</f>
        <v/>
      </c>
      <c r="H995" s="13" t="str">
        <f>IF($K995="","",INDEX('Detalle individual'!$F:$F,$K995))</f>
        <v/>
      </c>
      <c r="I995" s="20" t="str">
        <f>IF($K995="","",IF(INDEX('Detalle individual'!$F:$F,$K995)="Completado",INDEX('Detalle individual'!$H:$H,$K995),""))</f>
        <v/>
      </c>
      <c r="J995" s="21" t="str">
        <f>IF($K995="","",IF(INDEX('Detalle individual'!$F:$F,$K995)="Completado",INDEX('Detalle individual'!$J:$J,$K995),""))</f>
        <v/>
      </c>
      <c r="K995" t="str">
        <f>IFERROR(MOD(SMALL(Cálculos!$Z$5:$Z$1000,987),10000),"")</f>
        <v/>
      </c>
    </row>
    <row r="996">
      <c r="B996" s="13" t="str">
        <f>IF($K996="","",988)</f>
        <v/>
      </c>
      <c r="C996" s="13" t="str">
        <f>IF($K996="","",INDEX('Detalle individual'!$A:$A,$K996))</f>
        <v/>
      </c>
      <c r="D996" s="72" t="str">
        <f>IF($K996="","",TRIM(INDEX('Detalle individual'!$B:$B,$K996)))</f>
        <v/>
      </c>
      <c r="E996" s="72" t="str">
        <f>IF($K996="","",TRIM(INDEX('Detalle individual'!$E:$E,$K996)))</f>
        <v/>
      </c>
      <c r="F996" s="72" t="str">
        <f>IF($K996="","",TRIM(INDEX('Detalle individual'!$C:$C,$K996)))</f>
        <v/>
      </c>
      <c r="G996" s="72" t="str">
        <f>IF($K996="","",INDEX('Detalle individual'!$D:$D,$K996))</f>
        <v/>
      </c>
      <c r="H996" s="13" t="str">
        <f>IF($K996="","",INDEX('Detalle individual'!$F:$F,$K996))</f>
        <v/>
      </c>
      <c r="I996" s="20" t="str">
        <f>IF($K996="","",IF(INDEX('Detalle individual'!$F:$F,$K996)="Completado",INDEX('Detalle individual'!$H:$H,$K996),""))</f>
        <v/>
      </c>
      <c r="J996" s="21" t="str">
        <f>IF($K996="","",IF(INDEX('Detalle individual'!$F:$F,$K996)="Completado",INDEX('Detalle individual'!$J:$J,$K996),""))</f>
        <v/>
      </c>
      <c r="K996" t="str">
        <f>IFERROR(MOD(SMALL(Cálculos!$Z$5:$Z$1000,988),10000),"")</f>
        <v/>
      </c>
    </row>
    <row r="997">
      <c r="B997" s="13" t="str">
        <f>IF($K997="","",989)</f>
        <v/>
      </c>
      <c r="C997" s="13" t="str">
        <f>IF($K997="","",INDEX('Detalle individual'!$A:$A,$K997))</f>
        <v/>
      </c>
      <c r="D997" s="72" t="str">
        <f>IF($K997="","",TRIM(INDEX('Detalle individual'!$B:$B,$K997)))</f>
        <v/>
      </c>
      <c r="E997" s="72" t="str">
        <f>IF($K997="","",TRIM(INDEX('Detalle individual'!$E:$E,$K997)))</f>
        <v/>
      </c>
      <c r="F997" s="72" t="str">
        <f>IF($K997="","",TRIM(INDEX('Detalle individual'!$C:$C,$K997)))</f>
        <v/>
      </c>
      <c r="G997" s="72" t="str">
        <f>IF($K997="","",INDEX('Detalle individual'!$D:$D,$K997))</f>
        <v/>
      </c>
      <c r="H997" s="13" t="str">
        <f>IF($K997="","",INDEX('Detalle individual'!$F:$F,$K997))</f>
        <v/>
      </c>
      <c r="I997" s="20" t="str">
        <f>IF($K997="","",IF(INDEX('Detalle individual'!$F:$F,$K997)="Completado",INDEX('Detalle individual'!$H:$H,$K997),""))</f>
        <v/>
      </c>
      <c r="J997" s="21" t="str">
        <f>IF($K997="","",IF(INDEX('Detalle individual'!$F:$F,$K997)="Completado",INDEX('Detalle individual'!$J:$J,$K997),""))</f>
        <v/>
      </c>
      <c r="K997" t="str">
        <f>IFERROR(MOD(SMALL(Cálculos!$Z$5:$Z$1000,989),10000),"")</f>
        <v/>
      </c>
    </row>
    <row r="998">
      <c r="B998" s="13" t="str">
        <f>IF($K998="","",990)</f>
        <v/>
      </c>
      <c r="C998" s="13" t="str">
        <f>IF($K998="","",INDEX('Detalle individual'!$A:$A,$K998))</f>
        <v/>
      </c>
      <c r="D998" s="72" t="str">
        <f>IF($K998="","",TRIM(INDEX('Detalle individual'!$B:$B,$K998)))</f>
        <v/>
      </c>
      <c r="E998" s="72" t="str">
        <f>IF($K998="","",TRIM(INDEX('Detalle individual'!$E:$E,$K998)))</f>
        <v/>
      </c>
      <c r="F998" s="72" t="str">
        <f>IF($K998="","",TRIM(INDEX('Detalle individual'!$C:$C,$K998)))</f>
        <v/>
      </c>
      <c r="G998" s="72" t="str">
        <f>IF($K998="","",INDEX('Detalle individual'!$D:$D,$K998))</f>
        <v/>
      </c>
      <c r="H998" s="13" t="str">
        <f>IF($K998="","",INDEX('Detalle individual'!$F:$F,$K998))</f>
        <v/>
      </c>
      <c r="I998" s="20" t="str">
        <f>IF($K998="","",IF(INDEX('Detalle individual'!$F:$F,$K998)="Completado",INDEX('Detalle individual'!$H:$H,$K998),""))</f>
        <v/>
      </c>
      <c r="J998" s="21" t="str">
        <f>IF($K998="","",IF(INDEX('Detalle individual'!$F:$F,$K998)="Completado",INDEX('Detalle individual'!$J:$J,$K998),""))</f>
        <v/>
      </c>
      <c r="K998" t="str">
        <f>IFERROR(MOD(SMALL(Cálculos!$Z$5:$Z$1000,990),10000),"")</f>
        <v/>
      </c>
    </row>
    <row r="999">
      <c r="B999" s="13" t="str">
        <f>IF($K999="","",991)</f>
        <v/>
      </c>
      <c r="C999" s="13" t="str">
        <f>IF($K999="","",INDEX('Detalle individual'!$A:$A,$K999))</f>
        <v/>
      </c>
      <c r="D999" s="72" t="str">
        <f>IF($K999="","",TRIM(INDEX('Detalle individual'!$B:$B,$K999)))</f>
        <v/>
      </c>
      <c r="E999" s="72" t="str">
        <f>IF($K999="","",TRIM(INDEX('Detalle individual'!$E:$E,$K999)))</f>
        <v/>
      </c>
      <c r="F999" s="72" t="str">
        <f>IF($K999="","",TRIM(INDEX('Detalle individual'!$C:$C,$K999)))</f>
        <v/>
      </c>
      <c r="G999" s="72" t="str">
        <f>IF($K999="","",INDEX('Detalle individual'!$D:$D,$K999))</f>
        <v/>
      </c>
      <c r="H999" s="13" t="str">
        <f>IF($K999="","",INDEX('Detalle individual'!$F:$F,$K999))</f>
        <v/>
      </c>
      <c r="I999" s="20" t="str">
        <f>IF($K999="","",IF(INDEX('Detalle individual'!$F:$F,$K999)="Completado",INDEX('Detalle individual'!$H:$H,$K999),""))</f>
        <v/>
      </c>
      <c r="J999" s="21" t="str">
        <f>IF($K999="","",IF(INDEX('Detalle individual'!$F:$F,$K999)="Completado",INDEX('Detalle individual'!$J:$J,$K999),""))</f>
        <v/>
      </c>
      <c r="K999" t="str">
        <f>IFERROR(MOD(SMALL(Cálculos!$Z$5:$Z$1000,991),10000),"")</f>
        <v/>
      </c>
    </row>
    <row r="1000">
      <c r="B1000" s="13" t="str">
        <f>IF($K1000="","",992)</f>
        <v/>
      </c>
      <c r="C1000" s="13" t="str">
        <f>IF($K1000="","",INDEX('Detalle individual'!$A:$A,$K1000))</f>
        <v/>
      </c>
      <c r="D1000" s="72" t="str">
        <f>IF($K1000="","",TRIM(INDEX('Detalle individual'!$B:$B,$K1000)))</f>
        <v/>
      </c>
      <c r="E1000" s="72" t="str">
        <f>IF($K1000="","",TRIM(INDEX('Detalle individual'!$E:$E,$K1000)))</f>
        <v/>
      </c>
      <c r="F1000" s="72" t="str">
        <f>IF($K1000="","",TRIM(INDEX('Detalle individual'!$C:$C,$K1000)))</f>
        <v/>
      </c>
      <c r="G1000" s="72" t="str">
        <f>IF($K1000="","",INDEX('Detalle individual'!$D:$D,$K1000))</f>
        <v/>
      </c>
      <c r="H1000" s="13" t="str">
        <f>IF($K1000="","",INDEX('Detalle individual'!$F:$F,$K1000))</f>
        <v/>
      </c>
      <c r="I1000" s="20" t="str">
        <f>IF($K1000="","",IF(INDEX('Detalle individual'!$F:$F,$K1000)="Completado",INDEX('Detalle individual'!$H:$H,$K1000),""))</f>
        <v/>
      </c>
      <c r="J1000" s="21" t="str">
        <f>IF($K1000="","",IF(INDEX('Detalle individual'!$F:$F,$K1000)="Completado",INDEX('Detalle individual'!$J:$J,$K1000),""))</f>
        <v/>
      </c>
      <c r="K1000" t="str">
        <f>IFERROR(MOD(SMALL(Cálculos!$Z$5:$Z$1000,992),10000),"")</f>
        <v/>
      </c>
    </row>
    <row r="1001">
      <c r="B1001" s="13" t="str">
        <f>IF($K1001="","",993)</f>
        <v/>
      </c>
      <c r="C1001" s="13" t="str">
        <f>IF($K1001="","",INDEX('Detalle individual'!$A:$A,$K1001))</f>
        <v/>
      </c>
      <c r="D1001" s="72" t="str">
        <f>IF($K1001="","",TRIM(INDEX('Detalle individual'!$B:$B,$K1001)))</f>
        <v/>
      </c>
      <c r="E1001" s="72" t="str">
        <f>IF($K1001="","",TRIM(INDEX('Detalle individual'!$E:$E,$K1001)))</f>
        <v/>
      </c>
      <c r="F1001" s="72" t="str">
        <f>IF($K1001="","",TRIM(INDEX('Detalle individual'!$C:$C,$K1001)))</f>
        <v/>
      </c>
      <c r="G1001" s="72" t="str">
        <f>IF($K1001="","",INDEX('Detalle individual'!$D:$D,$K1001))</f>
        <v/>
      </c>
      <c r="H1001" s="13" t="str">
        <f>IF($K1001="","",INDEX('Detalle individual'!$F:$F,$K1001))</f>
        <v/>
      </c>
      <c r="I1001" s="20" t="str">
        <f>IF($K1001="","",IF(INDEX('Detalle individual'!$F:$F,$K1001)="Completado",INDEX('Detalle individual'!$H:$H,$K1001),""))</f>
        <v/>
      </c>
      <c r="J1001" s="21" t="str">
        <f>IF($K1001="","",IF(INDEX('Detalle individual'!$F:$F,$K1001)="Completado",INDEX('Detalle individual'!$J:$J,$K1001),""))</f>
        <v/>
      </c>
      <c r="K1001" t="str">
        <f>IFERROR(MOD(SMALL(Cálculos!$Z$5:$Z$1000,993),10000),"")</f>
        <v/>
      </c>
    </row>
    <row r="1002">
      <c r="B1002" s="13" t="str">
        <f>IF($K1002="","",994)</f>
        <v/>
      </c>
      <c r="C1002" s="13" t="str">
        <f>IF($K1002="","",INDEX('Detalle individual'!$A:$A,$K1002))</f>
        <v/>
      </c>
      <c r="D1002" s="72" t="str">
        <f>IF($K1002="","",TRIM(INDEX('Detalle individual'!$B:$B,$K1002)))</f>
        <v/>
      </c>
      <c r="E1002" s="72" t="str">
        <f>IF($K1002="","",TRIM(INDEX('Detalle individual'!$E:$E,$K1002)))</f>
        <v/>
      </c>
      <c r="F1002" s="72" t="str">
        <f>IF($K1002="","",TRIM(INDEX('Detalle individual'!$C:$C,$K1002)))</f>
        <v/>
      </c>
      <c r="G1002" s="72" t="str">
        <f>IF($K1002="","",INDEX('Detalle individual'!$D:$D,$K1002))</f>
        <v/>
      </c>
      <c r="H1002" s="13" t="str">
        <f>IF($K1002="","",INDEX('Detalle individual'!$F:$F,$K1002))</f>
        <v/>
      </c>
      <c r="I1002" s="20" t="str">
        <f>IF($K1002="","",IF(INDEX('Detalle individual'!$F:$F,$K1002)="Completado",INDEX('Detalle individual'!$H:$H,$K1002),""))</f>
        <v/>
      </c>
      <c r="J1002" s="21" t="str">
        <f>IF($K1002="","",IF(INDEX('Detalle individual'!$F:$F,$K1002)="Completado",INDEX('Detalle individual'!$J:$J,$K1002),""))</f>
        <v/>
      </c>
      <c r="K1002" t="str">
        <f>IFERROR(MOD(SMALL(Cálculos!$Z$5:$Z$1000,994),10000),"")</f>
        <v/>
      </c>
    </row>
    <row r="1003">
      <c r="B1003" s="13" t="str">
        <f>IF($K1003="","",995)</f>
        <v/>
      </c>
      <c r="C1003" s="13" t="str">
        <f>IF($K1003="","",INDEX('Detalle individual'!$A:$A,$K1003))</f>
        <v/>
      </c>
      <c r="D1003" s="72" t="str">
        <f>IF($K1003="","",TRIM(INDEX('Detalle individual'!$B:$B,$K1003)))</f>
        <v/>
      </c>
      <c r="E1003" s="72" t="str">
        <f>IF($K1003="","",TRIM(INDEX('Detalle individual'!$E:$E,$K1003)))</f>
        <v/>
      </c>
      <c r="F1003" s="72" t="str">
        <f>IF($K1003="","",TRIM(INDEX('Detalle individual'!$C:$C,$K1003)))</f>
        <v/>
      </c>
      <c r="G1003" s="72" t="str">
        <f>IF($K1003="","",INDEX('Detalle individual'!$D:$D,$K1003))</f>
        <v/>
      </c>
      <c r="H1003" s="13" t="str">
        <f>IF($K1003="","",INDEX('Detalle individual'!$F:$F,$K1003))</f>
        <v/>
      </c>
      <c r="I1003" s="20" t="str">
        <f>IF($K1003="","",IF(INDEX('Detalle individual'!$F:$F,$K1003)="Completado",INDEX('Detalle individual'!$H:$H,$K1003),""))</f>
        <v/>
      </c>
      <c r="J1003" s="21" t="str">
        <f>IF($K1003="","",IF(INDEX('Detalle individual'!$F:$F,$K1003)="Completado",INDEX('Detalle individual'!$J:$J,$K1003),""))</f>
        <v/>
      </c>
      <c r="K1003" t="str">
        <f>IFERROR(MOD(SMALL(Cálculos!$Z$5:$Z$1000,995),10000),"")</f>
        <v/>
      </c>
    </row>
    <row r="1004">
      <c r="B1004" s="13" t="str">
        <f>IF($K1004="","",996)</f>
        <v/>
      </c>
      <c r="C1004" s="13" t="str">
        <f>IF($K1004="","",INDEX('Detalle individual'!$A:$A,$K1004))</f>
        <v/>
      </c>
      <c r="D1004" s="72" t="str">
        <f>IF($K1004="","",TRIM(INDEX('Detalle individual'!$B:$B,$K1004)))</f>
        <v/>
      </c>
      <c r="E1004" s="72" t="str">
        <f>IF($K1004="","",TRIM(INDEX('Detalle individual'!$E:$E,$K1004)))</f>
        <v/>
      </c>
      <c r="F1004" s="72" t="str">
        <f>IF($K1004="","",TRIM(INDEX('Detalle individual'!$C:$C,$K1004)))</f>
        <v/>
      </c>
      <c r="G1004" s="72" t="str">
        <f>IF($K1004="","",INDEX('Detalle individual'!$D:$D,$K1004))</f>
        <v/>
      </c>
      <c r="H1004" s="13" t="str">
        <f>IF($K1004="","",INDEX('Detalle individual'!$F:$F,$K1004))</f>
        <v/>
      </c>
      <c r="I1004" s="20" t="str">
        <f>IF($K1004="","",IF(INDEX('Detalle individual'!$F:$F,$K1004)="Completado",INDEX('Detalle individual'!$H:$H,$K1004),""))</f>
        <v/>
      </c>
      <c r="J1004" s="21" t="str">
        <f>IF($K1004="","",IF(INDEX('Detalle individual'!$F:$F,$K1004)="Completado",INDEX('Detalle individual'!$J:$J,$K1004),""))</f>
        <v/>
      </c>
      <c r="K1004" t="str">
        <f>IFERROR(MOD(SMALL(Cálculos!$Z$5:$Z$1000,996),10000),"")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B9:J1004">
    <cfRule type="expression" priority="4" dxfId="6">
      <formula>AND($K9&lt;&gt;"",MOD(ROW(),2)=0)</formula>
    </cfRule>
    <cfRule type="expression" priority="5" dxfId="5">
      <formula>$K9&lt;&gt;""</formula>
    </cfRule>
  </conditionalFormatting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2" stopIfTrue="1">
      <formula>$H9="Pendiente"</formula>
    </cfRule>
    <cfRule type="expression" priority="6" dxfId="1">
      <formula>AND($H9&lt;&gt;"",$H9&lt;&gt;"Completado",$H9&lt;&gt;"Pendiente")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OFFSET(Cálculos!$V$5,0,0,COUNTIF(Cálculos!$V$5:$V$25,"?*"),1)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OFFSET(Cálculos!$W$5,0,0,COUNTIF(Cálculos!$W$5:$W$85,"?*"),1)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Cálculos!$X$5:$X$11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02060"/>
    <outlinePr summaryBelow="1" summaryRight="1"/>
    <pageSetUpPr/>
  </sheetPr>
  <dimension ref="A1:G14"/>
  <sheetViews>
    <sheetView workbookViewId="0">
      <selection activeCell="J18" sqref="J18"/>
    </sheetView>
  </sheetViews>
  <sheetFormatPr baseColWidth="10" defaultColWidth="8.88671875" defaultRowHeight="14.4"/>
  <cols>
    <col width="12" customWidth="1" style="38" min="1" max="1"/>
    <col width="44" customWidth="1" style="38" min="2" max="2"/>
    <col width="18" customWidth="1" style="38" min="3" max="3"/>
    <col width="23" customWidth="1" style="38" min="4" max="4"/>
    <col width="20" customWidth="1" style="38" min="5" max="5"/>
    <col hidden="1" width="13" customWidth="1" style="38" min="7" max="7"/>
  </cols>
  <sheetData>
    <row r="1" ht="21" customHeight="1" s="38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 ht="15.6" customHeight="1" s="38">
      <c r="A5" s="32" t="inlineStr">
        <is>
          <t>🏆1° Lugar</t>
        </is>
      </c>
      <c r="B5" s="33" t="str">
        <f>IF($G5="","",INDEX('Consolidado por área'!$A:$A,$G5))</f>
        <v>DEPARTAMENTO DE PROCESOS</v>
      </c>
      <c r="C5" s="32">
        <f>IF($G5="","",INDEX('Consolidado por área'!$C:$C,$G5))</f>
        <v>3</v>
      </c>
      <c r="D5" s="34">
        <f>IF($G5="","",INDEX('Consolidado por área'!$L:$L,$G5))</f>
        <v>46296.44149305556</v>
      </c>
      <c r="E5" s="35">
        <f>IF($G5="","",INDEX('Consolidado por área'!$H:$H,$G5))</f>
        <v>100</v>
      </c>
      <c r="G5">
        <f>IFERROR(MATCH(SMALL(Cálculos!$AO$5:$AO$84,1),Cálculos!$AO$5:$AO$84,0)+4,"")</f>
        <v>31</v>
      </c>
    </row>
    <row r="6" ht="15.6" customHeight="1" s="38">
      <c r="A6" s="32" t="inlineStr">
        <is>
          <t>2° Lugar</t>
        </is>
      </c>
      <c r="B6" s="33" t="str">
        <f>IF($G6="","",INDEX('Consolidado por área'!$A:$A,$G6))</f>
        <v>OFICIALIA DE SEGURIDAD DE LA INFORMACION</v>
      </c>
      <c r="C6" s="32">
        <f>IF($G6="","",INDEX('Consolidado por área'!$C:$C,$G6))</f>
        <v>4</v>
      </c>
      <c r="D6" s="34">
        <f>IF($G6="","",INDEX('Consolidado por área'!$L:$L,$G6))</f>
        <v>46296.44909722222</v>
      </c>
      <c r="E6" s="35">
        <f>IF($G6="","",INDEX('Consolidado por área'!$H:$H,$G6))</f>
        <v>96.25</v>
      </c>
      <c r="G6">
        <f>IFERROR(MATCH(SMALL(Cálculos!$AO$5:$AO$84,2),Cálculos!$AO$5:$AO$84,0)+4,"")</f>
        <v>47</v>
      </c>
    </row>
    <row r="7" ht="15.6" customHeight="1" s="38">
      <c r="A7" s="32" t="inlineStr">
        <is>
          <t>3° Lugar</t>
        </is>
      </c>
      <c r="B7" s="33" t="str">
        <f>IF($G7="","",INDEX('Consolidado por área'!$A:$A,$G7))</f>
        <v>DEPARTAMENTO DE SEGURIDAD</v>
      </c>
      <c r="C7" s="32">
        <f>IF($G7="","",INDEX('Consolidado por área'!$C:$C,$G7))</f>
        <v>2</v>
      </c>
      <c r="D7" s="34">
        <f>IF($G7="","",INDEX('Consolidado por área'!$L:$L,$G7))</f>
        <v>46296.46072916667</v>
      </c>
      <c r="E7" s="35">
        <f>IF($G7="","",INDEX('Consolidado por área'!$H:$H,$G7))</f>
        <v>95</v>
      </c>
      <c r="G7">
        <f>IFERROR(MATCH(SMALL(Cálculos!$AO$5:$AO$84,3),Cálculos!$AO$5:$AO$84,0)+4,"")</f>
        <v>32</v>
      </c>
    </row>
    <row r="10" ht="21" customHeight="1" s="38">
      <c r="A10" s="1" t="inlineStr">
        <is>
          <t>AGENCIA GANADORA — PRIMERA AGENCIA EN COMPLETAR EL EXAMEN AL 100%</t>
        </is>
      </c>
    </row>
    <row r="11">
      <c r="A11" s="2" t="inlineStr">
        <is>
          <t>Agencia con todo su personal evaluado que terminó primero (no cuenta el personal con situación especial).</t>
        </is>
      </c>
    </row>
    <row r="13">
      <c r="A13" s="3" t="inlineStr">
        <is>
          <t>Ganadora</t>
        </is>
      </c>
      <c r="B13" s="3" t="inlineStr">
        <is>
          <t>Agencia</t>
        </is>
      </c>
      <c r="C13" s="3" t="inlineStr">
        <is>
          <t>Personal Total</t>
        </is>
      </c>
      <c r="D13" s="3" t="inlineStr">
        <is>
          <t>Última Finalización</t>
        </is>
      </c>
      <c r="E13" s="3" t="inlineStr">
        <is>
          <t>Promedio de Nota</t>
        </is>
      </c>
    </row>
    <row r="14" ht="15.6" customHeight="1" s="38">
      <c r="A14" s="32" t="inlineStr">
        <is>
          <t>🏆 1° Lugar</t>
        </is>
      </c>
      <c r="B14" s="33" t="str">
        <f>IF($G14="","Ninguna agencia ha completado todavía al 100%",INDEX('Consolidado por área'!$A:$A,$G14))</f>
        <v>AGENCIA SAN MIGUEL</v>
      </c>
      <c r="C14" s="32">
        <f>IF($G14="","",INDEX('Consolidado por área'!$C:$C,$G14))</f>
        <v>7</v>
      </c>
      <c r="D14" s="34">
        <f>IF($G14="","",INDEX('Consolidado por área'!$L:$L,$G14))</f>
        <v>46296.49199074074</v>
      </c>
      <c r="E14" s="35">
        <f>IF($G14="","",INDEX('Consolidado por área'!$H:$H,$G14))</f>
        <v>98.5714285714286</v>
      </c>
      <c r="G14">
        <f>IFERROR(MATCH(SMALL(Cálculos!$BF$5:$BF$84,1),Cálculos!$BF$5:$BF$84,0)+4,"")</f>
        <v>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1:G1000"/>
  <sheetViews>
    <sheetView workbookViewId="0">
      <pane ySplit="4" topLeftCell="A5" activePane="bottomLeft" state="frozen"/>
      <selection pane="bottomLeft" activeCell="E23" sqref="E23"/>
    </sheetView>
  </sheetViews>
  <sheetFormatPr baseColWidth="10" defaultColWidth="8.88671875" defaultRowHeight="14.4"/>
  <cols>
    <col width="42" customWidth="1" style="38" min="1" max="1"/>
    <col width="12" customWidth="1" style="38" min="2" max="2"/>
    <col width="46" customWidth="1" style="38" min="3" max="3"/>
    <col width="50" customWidth="1" style="38" min="4" max="4"/>
    <col width="36" customWidth="1" style="38" min="5" max="5"/>
    <col width="18" customWidth="1" style="38" min="6" max="6"/>
    <col hidden="1" width="8" customWidth="1" style="38" min="7" max="7"/>
    <col width="11" customWidth="1" style="38" min="8" max="8"/>
  </cols>
  <sheetData>
    <row r="1" ht="21" customHeight="1" s="38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27" t="str">
        <f>"Total: "&amp;COUNT(G5:G1000)&amp;" colaboradores"</f>
        <v>Total: 5 colaboradores</v>
      </c>
    </row>
    <row r="4" ht="28.8" customHeight="1" s="38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>ELSY GUADALUPE COREA AGUILUZ</v>
      </c>
      <c r="B5" s="5" t="str">
        <f>IF($G5="","",INDEX('Detalle individual'!$A:$A,$G5))</f>
        <v>253</v>
      </c>
      <c r="C5" s="5" t="str">
        <f>IF($G5="","",INDEX('Detalle individual'!$E:$E,$G5))</f>
        <v>EJECUTIVO DE NEGOCIOS</v>
      </c>
      <c r="D5" s="5" t="str">
        <f>IF($G5="","",INDEX('Detalle individual'!$C:$C,$G5))</f>
        <v>AGENCIA CENTRAL</v>
      </c>
      <c r="E5" s="5" t="str">
        <f>IF($G5="","",INDEX('Detalle individual'!$D:$D,$G5))</f>
        <v>Gerencia de Negocios</v>
      </c>
      <c r="G5">
        <f>IFERROR(MATCH(SMALL(Cálculos!$AH$5:$AH$1000,1),Cálculos!$AH$5:$AH$1000,0)+4,"")</f>
        <v>194</v>
      </c>
    </row>
    <row r="6">
      <c r="A6" s="5" t="str">
        <f>IF($G6="","",INDEX('Detalle individual'!$B:$B,$G6))</f>
        <v>LETICIA ESMERALDA ROSA</v>
      </c>
      <c r="B6" s="5" t="str">
        <f>IF($G6="","",INDEX('Detalle individual'!$A:$A,$G6))</f>
        <v>234</v>
      </c>
      <c r="C6" s="5" t="str">
        <f>IF($G6="","",INDEX('Detalle individual'!$E:$E,$G6))</f>
        <v>EJECUTIVO DE NEGOCIOS</v>
      </c>
      <c r="D6" s="5" t="str">
        <f>IF($G6="","",INDEX('Detalle individual'!$C:$C,$G6))</f>
        <v>AGENCIA CENTRAL</v>
      </c>
      <c r="E6" s="5" t="str">
        <f>IF($G6="","",INDEX('Detalle individual'!$D:$D,$G6))</f>
        <v>Gerencia de Negocios</v>
      </c>
      <c r="G6">
        <f>IFERROR(MATCH(SMALL(Cálculos!$AH$5:$AH$1000,2),Cálculos!$AH$5:$AH$1000,0)+4,"")</f>
        <v>193</v>
      </c>
    </row>
    <row r="7">
      <c r="A7" s="5" t="str">
        <f>IF($G7="","",INDEX('Detalle individual'!$B:$B,$G7))</f>
        <v>JACQUELINE GUADALUPE CEA ALVARADO</v>
      </c>
      <c r="B7" s="5" t="str">
        <f>IF($G7="","",INDEX('Detalle individual'!$A:$A,$G7))</f>
        <v>933</v>
      </c>
      <c r="C7" s="5" t="str">
        <f>IF($G7="","",INDEX('Detalle individual'!$E:$E,$G7))</f>
        <v>EJECUTIVO DE NEGOCIOS</v>
      </c>
      <c r="D7" s="5" t="str">
        <f>IF($G7="","",INDEX('Detalle individual'!$C:$C,$G7))</f>
        <v>AGENCIA COLONIA MEDICA</v>
      </c>
      <c r="E7" s="5" t="str">
        <f>IF($G7="","",INDEX('Detalle individual'!$D:$D,$G7))</f>
        <v>Gerencia de Negocios</v>
      </c>
      <c r="G7">
        <f>IFERROR(MATCH(SMALL(Cálculos!$AH$5:$AH$1000,3),Cálculos!$AH$5:$AH$1000,0)+4,"")</f>
        <v>272</v>
      </c>
    </row>
    <row r="8">
      <c r="A8" s="5" t="str">
        <f>IF($G8="","",INDEX('Detalle individual'!$B:$B,$G8))</f>
        <v>LUIS FAUSTONY VASQUEZ CIENFUEGOS</v>
      </c>
      <c r="B8" s="5" t="str">
        <f>IF($G8="","",INDEX('Detalle individual'!$A:$A,$G8))</f>
        <v>723</v>
      </c>
      <c r="C8" s="5" t="str">
        <f>IF($G8="","",INDEX('Detalle individual'!$E:$E,$G8))</f>
        <v>GESTOR DE DOCUMENTOS</v>
      </c>
      <c r="D8" s="5" t="str">
        <f>IF($G8="","",INDEX('Detalle individual'!$C:$C,$G8))</f>
        <v>DEPARTAMENTO DE MERCADEO</v>
      </c>
      <c r="E8" s="5" t="str">
        <f>IF($G8="","",INDEX('Detalle individual'!$D:$D,$G8))</f>
        <v>Gerencia de Negocios</v>
      </c>
      <c r="G8">
        <f>IFERROR(MATCH(SMALL(Cálculos!$AH$5:$AH$1000,4),Cálculos!$AH$5:$AH$1000,0)+4,"")</f>
        <v>148</v>
      </c>
    </row>
    <row r="9">
      <c r="A9" s="5" t="str">
        <f>IF($G9="","",INDEX('Detalle individual'!$B:$B,$G9))</f>
        <v>ROQUE RAFAEL REYES ESPINAL</v>
      </c>
      <c r="B9" s="5" t="str">
        <f>IF($G9="","",INDEX('Detalle individual'!$A:$A,$G9))</f>
        <v>41</v>
      </c>
      <c r="C9" s="5" t="str">
        <f>IF($G9="","",INDEX('Detalle individual'!$E:$E,$G9))</f>
        <v>GERENTE DE OPERACIONES</v>
      </c>
      <c r="D9" s="5" t="str">
        <f>IF($G9="","",INDEX('Detalle individual'!$C:$C,$G9))</f>
        <v>GERENCIA DE OPERACIONES</v>
      </c>
      <c r="E9" s="5" t="str">
        <f>IF($G9="","",INDEX('Detalle individual'!$D:$D,$G9))</f>
        <v>Gerencia de Operaciones</v>
      </c>
      <c r="G9">
        <f>IFERROR(MATCH(SMALL(Cálculos!$AH$5:$AH$1000,5),Cálculos!$AH$5:$AH$1000,0)+4,"")</f>
        <v>7</v>
      </c>
    </row>
    <row r="10">
      <c r="A10" s="5" t="str">
        <f>IF($G10="","",INDEX('Detalle individual'!$B:$B,$G10))</f>
        <v/>
      </c>
      <c r="B10" s="5" t="str">
        <f>IF($G10="","",INDEX('Detalle individual'!$A:$A,$G10))</f>
        <v/>
      </c>
      <c r="C10" s="5" t="str">
        <f>IF($G10="","",INDEX('Detalle individual'!$E:$E,$G10))</f>
        <v/>
      </c>
      <c r="D10" s="5" t="str">
        <f>IF($G10="","",INDEX('Detalle individual'!$C:$C,$G10))</f>
        <v/>
      </c>
      <c r="E10" s="5" t="str">
        <f>IF($G10="","",INDEX('Detalle individual'!$D:$D,$G10))</f>
        <v/>
      </c>
      <c r="G10" t="str">
        <f>IFERROR(MATCH(SMALL(Cálculos!$AH$5:$AH$1000,6),Cálculos!$AH$5:$AH$1000,0)+4,"")</f>
        <v/>
      </c>
    </row>
    <row r="11">
      <c r="A11" s="5" t="str">
        <f>IF($G11="","",INDEX('Detalle individual'!$B:$B,$G11))</f>
        <v/>
      </c>
      <c r="B11" s="5" t="str">
        <f>IF($G11="","",INDEX('Detalle individual'!$A:$A,$G11))</f>
        <v/>
      </c>
      <c r="C11" s="5" t="str">
        <f>IF($G11="","",INDEX('Detalle individual'!$E:$E,$G11))</f>
        <v/>
      </c>
      <c r="D11" s="5" t="str">
        <f>IF($G11="","",INDEX('Detalle individual'!$C:$C,$G11))</f>
        <v/>
      </c>
      <c r="E11" s="5" t="str">
        <f>IF($G11="","",INDEX('Detalle individual'!$D:$D,$G11))</f>
        <v/>
      </c>
      <c r="G11" t="str">
        <f>IFERROR(MATCH(SMALL(Cálculos!$AH$5:$AH$1000,7),Cálculos!$AH$5:$AH$1000,0)+4,"")</f>
        <v/>
      </c>
    </row>
    <row r="12">
      <c r="A12" s="5" t="str">
        <f>IF($G12="","",INDEX('Detalle individual'!$B:$B,$G12))</f>
        <v/>
      </c>
      <c r="B12" s="5" t="str">
        <f>IF($G12="","",INDEX('Detalle individual'!$A:$A,$G12))</f>
        <v/>
      </c>
      <c r="C12" s="5" t="str">
        <f>IF($G12="","",INDEX('Detalle individual'!$E:$E,$G12))</f>
        <v/>
      </c>
      <c r="D12" s="5" t="str">
        <f>IF($G12="","",INDEX('Detalle individual'!$C:$C,$G12))</f>
        <v/>
      </c>
      <c r="E12" s="5" t="str">
        <f>IF($G12="","",INDEX('Detalle individual'!$D:$D,$G12))</f>
        <v/>
      </c>
      <c r="G12" t="str">
        <f>IFERROR(MATCH(SMALL(Cálculos!$AH$5:$AH$1000,8),Cálculos!$AH$5:$AH$1000,0)+4,"")</f>
        <v/>
      </c>
    </row>
    <row r="13">
      <c r="A13" s="5" t="str">
        <f>IF($G13="","",INDEX('Detalle individual'!$B:$B,$G13))</f>
        <v/>
      </c>
      <c r="B13" s="5" t="str">
        <f>IF($G13="","",INDEX('Detalle individual'!$A:$A,$G13))</f>
        <v/>
      </c>
      <c r="C13" s="5" t="str">
        <f>IF($G13="","",INDEX('Detalle individual'!$E:$E,$G13))</f>
        <v/>
      </c>
      <c r="D13" s="5" t="str">
        <f>IF($G13="","",INDEX('Detalle individual'!$C:$C,$G13))</f>
        <v/>
      </c>
      <c r="E13" s="5" t="str">
        <f>IF($G13="","",INDEX('Detalle individual'!$D:$D,$G13))</f>
        <v/>
      </c>
      <c r="G13" t="str">
        <f>IFERROR(MATCH(SMALL(Cálculos!$AH$5:$AH$1000,9),Cálculos!$AH$5:$AH$1000,0)+4,"")</f>
        <v/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G14" t="str">
        <f>IFERROR(MATCH(SMALL(Cálculos!$AH$5:$AH$1000,10),Cálculos!$AH$5:$AH$1000,0)+4,"")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G15" t="str">
        <f>IFERROR(MATCH(SMALL(Cálculos!$AH$5:$AH$1000,11),Cálculos!$AH$5:$AH$1000,0)+4,"")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G16" t="str">
        <f>IFERROR(MATCH(SMALL(Cálculos!$AH$5:$AH$1000,12),Cálculos!$AH$5:$AH$1000,0)+4,"")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G17" t="str">
        <f>IFERROR(MATCH(SMALL(Cálculos!$AH$5:$AH$1000,13),Cálculos!$AH$5:$AH$1000,0)+4,"")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G18" t="str">
        <f>IFERROR(MATCH(SMALL(Cálculos!$AH$5:$AH$1000,14),Cálculos!$AH$5:$AH$1000,0)+4,"")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G19" t="str">
        <f>IFERROR(MATCH(SMALL(Cálculos!$AH$5:$AH$1000,15),Cálculos!$AH$5:$AH$1000,0)+4,"")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G20" t="str">
        <f>IFERROR(MATCH(SMALL(Cálculos!$AH$5:$AH$1000,16),Cálculos!$AH$5:$AH$1000,0)+4,"")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G21" t="str">
        <f>IFERROR(MATCH(SMALL(Cálculos!$AH$5:$AH$1000,17),Cálculos!$AH$5:$AH$1000,0)+4,"")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G22" t="str">
        <f>IFERROR(MATCH(SMALL(Cálculos!$AH$5:$AH$1000,18),Cálculos!$AH$5:$AH$1000,0)+4,"")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G23" t="str">
        <f>IFERROR(MATCH(SMALL(Cálculos!$AH$5:$AH$1000,19),Cálculos!$AH$5:$AH$1000,0)+4,"")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G24" t="str">
        <f>IFERROR(MATCH(SMALL(Cálculos!$AH$5:$AH$1000,20),Cálculos!$AH$5:$AH$1000,0)+4,"")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IFERROR(MATCH(SMALL(Cálculos!$AH$5:$AH$1000,21),Cálculos!$AH$5:$AH$1000,0)+4,"")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IFERROR(MATCH(SMALL(Cálculos!$AH$5:$AH$1000,22),Cálculos!$AH$5:$AH$1000,0)+4,"")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IFERROR(MATCH(SMALL(Cálculos!$AH$5:$AH$1000,23),Cálculos!$AH$5:$AH$1000,0)+4,"")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IFERROR(MATCH(SMALL(Cálculos!$AH$5:$AH$1000,24),Cálculos!$AH$5:$AH$1000,0)+4,"")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IFERROR(MATCH(SMALL(Cálculos!$AH$5:$AH$1000,25),Cálculos!$AH$5:$AH$1000,0)+4,"")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IFERROR(MATCH(SMALL(Cálculos!$AH$5:$AH$1000,26),Cálculos!$AH$5:$AH$1000,0)+4,"")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IFERROR(MATCH(SMALL(Cálculos!$AH$5:$AH$1000,27),Cálculos!$AH$5:$AH$1000,0)+4,"")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IFERROR(MATCH(SMALL(Cálculos!$AH$5:$AH$1000,28),Cálculos!$AH$5:$AH$1000,0)+4,"")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IFERROR(MATCH(SMALL(Cálculos!$AH$5:$AH$1000,29),Cálculos!$AH$5:$AH$1000,0)+4,"")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IFERROR(MATCH(SMALL(Cálculos!$AH$5:$AH$1000,30),Cálculos!$AH$5:$AH$1000,0)+4,"")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IFERROR(MATCH(SMALL(Cálculos!$AH$5:$AH$1000,31),Cálculos!$AH$5:$AH$1000,0)+4,"")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IFERROR(MATCH(SMALL(Cálculos!$AH$5:$AH$1000,32),Cálculos!$AH$5:$AH$1000,0)+4,"")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IFERROR(MATCH(SMALL(Cálculos!$AH$5:$AH$1000,33),Cálculos!$AH$5:$AH$1000,0)+4,"")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IFERROR(MATCH(SMALL(Cálculos!$AH$5:$AH$1000,34),Cálculos!$AH$5:$AH$1000,0)+4,"")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IFERROR(MATCH(SMALL(Cálculos!$AH$5:$AH$1000,35),Cálculos!$AH$5:$AH$1000,0)+4,"")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IFERROR(MATCH(SMALL(Cálculos!$AH$5:$AH$1000,36),Cálculos!$AH$5:$AH$1000,0)+4,"")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IFERROR(MATCH(SMALL(Cálculos!$AH$5:$AH$1000,37),Cálculos!$AH$5:$AH$1000,0)+4,"")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IFERROR(MATCH(SMALL(Cálculos!$AH$5:$AH$1000,38),Cálculos!$AH$5:$AH$1000,0)+4,"")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IFERROR(MATCH(SMALL(Cálculos!$AH$5:$AH$1000,39),Cálculos!$AH$5:$AH$1000,0)+4,"")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IFERROR(MATCH(SMALL(Cálculos!$AH$5:$AH$1000,40),Cálculos!$AH$5:$AH$1000,0)+4,"")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IFERROR(MATCH(SMALL(Cálculos!$AH$5:$AH$1000,41),Cálculos!$AH$5:$AH$1000,0)+4,"")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IFERROR(MATCH(SMALL(Cálculos!$AH$5:$AH$1000,42),Cálculos!$AH$5:$AH$1000,0)+4,"")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IFERROR(MATCH(SMALL(Cálculos!$AH$5:$AH$1000,43),Cálculos!$AH$5:$AH$1000,0)+4,"")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IFERROR(MATCH(SMALL(Cálculos!$AH$5:$AH$1000,44),Cálculos!$AH$5:$AH$1000,0)+4,"")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IFERROR(MATCH(SMALL(Cálculos!$AH$5:$AH$1000,45),Cálculos!$AH$5:$AH$1000,0)+4,"")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IFERROR(MATCH(SMALL(Cálculos!$AH$5:$AH$1000,46),Cálculos!$AH$5:$AH$1000,0)+4,"")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IFERROR(MATCH(SMALL(Cálculos!$AH$5:$AH$1000,47),Cálculos!$AH$5:$AH$1000,0)+4,"")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IFERROR(MATCH(SMALL(Cálculos!$AH$5:$AH$1000,48),Cálculos!$AH$5:$AH$1000,0)+4,"")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IFERROR(MATCH(SMALL(Cálculos!$AH$5:$AH$1000,49),Cálculos!$AH$5:$AH$1000,0)+4,"")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IFERROR(MATCH(SMALL(Cálculos!$AH$5:$AH$1000,50),Cálculos!$AH$5:$AH$1000,0)+4,"")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IFERROR(MATCH(SMALL(Cálculos!$AH$5:$AH$1000,51),Cálculos!$AH$5:$AH$1000,0)+4,"")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IFERROR(MATCH(SMALL(Cálculos!$AH$5:$AH$1000,52),Cálculos!$AH$5:$AH$1000,0)+4,"")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IFERROR(MATCH(SMALL(Cálculos!$AH$5:$AH$1000,53),Cálculos!$AH$5:$AH$1000,0)+4,"")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IFERROR(MATCH(SMALL(Cálculos!$AH$5:$AH$1000,54),Cálculos!$AH$5:$AH$1000,0)+4,"")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IFERROR(MATCH(SMALL(Cálculos!$AH$5:$AH$1000,55),Cálculos!$AH$5:$AH$1000,0)+4,"")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IFERROR(MATCH(SMALL(Cálculos!$AH$5:$AH$1000,56),Cálculos!$AH$5:$AH$1000,0)+4,"")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IFERROR(MATCH(SMALL(Cálculos!$AH$5:$AH$1000,57),Cálculos!$AH$5:$AH$1000,0)+4,"")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IFERROR(MATCH(SMALL(Cálculos!$AH$5:$AH$1000,58),Cálculos!$AH$5:$AH$1000,0)+4,"")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IFERROR(MATCH(SMALL(Cálculos!$AH$5:$AH$1000,59),Cálculos!$AH$5:$AH$1000,0)+4,"")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IFERROR(MATCH(SMALL(Cálculos!$AH$5:$AH$1000,60),Cálculos!$AH$5:$AH$1000,0)+4,"")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IFERROR(MATCH(SMALL(Cálculos!$AH$5:$AH$1000,61),Cálculos!$AH$5:$AH$1000,0)+4,"")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IFERROR(MATCH(SMALL(Cálculos!$AH$5:$AH$1000,62),Cálculos!$AH$5:$AH$1000,0)+4,"")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IFERROR(MATCH(SMALL(Cálculos!$AH$5:$AH$1000,63),Cálculos!$AH$5:$AH$1000,0)+4,"")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IFERROR(MATCH(SMALL(Cálculos!$AH$5:$AH$1000,64),Cálculos!$AH$5:$AH$1000,0)+4,"")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IFERROR(MATCH(SMALL(Cálculos!$AH$5:$AH$1000,65),Cálculos!$AH$5:$AH$1000,0)+4,"")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IFERROR(MATCH(SMALL(Cálculos!$AH$5:$AH$1000,66),Cálculos!$AH$5:$AH$1000,0)+4,"")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IFERROR(MATCH(SMALL(Cálculos!$AH$5:$AH$1000,67),Cálculos!$AH$5:$AH$1000,0)+4,"")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IFERROR(MATCH(SMALL(Cálculos!$AH$5:$AH$1000,68),Cálculos!$AH$5:$AH$1000,0)+4,"")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IFERROR(MATCH(SMALL(Cálculos!$AH$5:$AH$1000,69),Cálculos!$AH$5:$AH$1000,0)+4,"")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IFERROR(MATCH(SMALL(Cálculos!$AH$5:$AH$1000,70),Cálculos!$AH$5:$AH$1000,0)+4,"")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IFERROR(MATCH(SMALL(Cálculos!$AH$5:$AH$1000,71),Cálculos!$AH$5:$AH$1000,0)+4,"")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IFERROR(MATCH(SMALL(Cálculos!$AH$5:$AH$1000,72),Cálculos!$AH$5:$AH$1000,0)+4,"")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IFERROR(MATCH(SMALL(Cálculos!$AH$5:$AH$1000,73),Cálculos!$AH$5:$AH$1000,0)+4,"")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IFERROR(MATCH(SMALL(Cálculos!$AH$5:$AH$1000,74),Cálculos!$AH$5:$AH$1000,0)+4,"")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IFERROR(MATCH(SMALL(Cálculos!$AH$5:$AH$1000,75),Cálculos!$AH$5:$AH$1000,0)+4,"")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IFERROR(MATCH(SMALL(Cálculos!$AH$5:$AH$1000,76),Cálculos!$AH$5:$AH$1000,0)+4,"")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IFERROR(MATCH(SMALL(Cálculos!$AH$5:$AH$1000,77),Cálculos!$AH$5:$AH$1000,0)+4,"")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IFERROR(MATCH(SMALL(Cálculos!$AH$5:$AH$1000,78),Cálculos!$AH$5:$AH$1000,0)+4,"")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IFERROR(MATCH(SMALL(Cálculos!$AH$5:$AH$1000,79),Cálculos!$AH$5:$AH$1000,0)+4,"")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IFERROR(MATCH(SMALL(Cálculos!$AH$5:$AH$1000,80),Cálculos!$AH$5:$AH$1000,0)+4,"")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IFERROR(MATCH(SMALL(Cálculos!$AH$5:$AH$1000,81),Cálculos!$AH$5:$AH$1000,0)+4,"")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IFERROR(MATCH(SMALL(Cálculos!$AH$5:$AH$1000,82),Cálculos!$AH$5:$AH$1000,0)+4,"")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IFERROR(MATCH(SMALL(Cálculos!$AH$5:$AH$1000,83),Cálculos!$AH$5:$AH$1000,0)+4,"")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IFERROR(MATCH(SMALL(Cálculos!$AH$5:$AH$1000,84),Cálculos!$AH$5:$AH$1000,0)+4,"")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IFERROR(MATCH(SMALL(Cálculos!$AH$5:$AH$1000,85),Cálculos!$AH$5:$AH$1000,0)+4,"")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IFERROR(MATCH(SMALL(Cálculos!$AH$5:$AH$1000,86),Cálculos!$AH$5:$AH$1000,0)+4,"")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IFERROR(MATCH(SMALL(Cálculos!$AH$5:$AH$1000,87),Cálculos!$AH$5:$AH$1000,0)+4,"")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IFERROR(MATCH(SMALL(Cálculos!$AH$5:$AH$1000,88),Cálculos!$AH$5:$AH$1000,0)+4,"")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IFERROR(MATCH(SMALL(Cálculos!$AH$5:$AH$1000,89),Cálculos!$AH$5:$AH$1000,0)+4,"")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IFERROR(MATCH(SMALL(Cálculos!$AH$5:$AH$1000,90),Cálculos!$AH$5:$AH$1000,0)+4,"")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IFERROR(MATCH(SMALL(Cálculos!$AH$5:$AH$1000,91),Cálculos!$AH$5:$AH$1000,0)+4,"")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IFERROR(MATCH(SMALL(Cálculos!$AH$5:$AH$1000,92),Cálculos!$AH$5:$AH$1000,0)+4,"")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IFERROR(MATCH(SMALL(Cálculos!$AH$5:$AH$1000,93),Cálculos!$AH$5:$AH$1000,0)+4,"")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IFERROR(MATCH(SMALL(Cálculos!$AH$5:$AH$1000,94),Cálculos!$AH$5:$AH$1000,0)+4,"")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IFERROR(MATCH(SMALL(Cálculos!$AH$5:$AH$1000,95),Cálculos!$AH$5:$AH$1000,0)+4,"")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IFERROR(MATCH(SMALL(Cálculos!$AH$5:$AH$1000,96),Cálculos!$AH$5:$AH$1000,0)+4,"")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IFERROR(MATCH(SMALL(Cálculos!$AH$5:$AH$1000,97),Cálculos!$AH$5:$AH$1000,0)+4,"")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IFERROR(MATCH(SMALL(Cálculos!$AH$5:$AH$1000,98),Cálculos!$AH$5:$AH$1000,0)+4,"")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IFERROR(MATCH(SMALL(Cálculos!$AH$5:$AH$1000,99),Cálculos!$AH$5:$AH$1000,0)+4,"")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IFERROR(MATCH(SMALL(Cálculos!$AH$5:$AH$1000,100),Cálculos!$AH$5:$AH$1000,0)+4,"")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IFERROR(MATCH(SMALL(Cálculos!$AH$5:$AH$1000,101),Cálculos!$AH$5:$AH$1000,0)+4,"")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IFERROR(MATCH(SMALL(Cálculos!$AH$5:$AH$1000,102),Cálculos!$AH$5:$AH$1000,0)+4,"")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IFERROR(MATCH(SMALL(Cálculos!$AH$5:$AH$1000,103),Cálculos!$AH$5:$AH$1000,0)+4,"")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IFERROR(MATCH(SMALL(Cálculos!$AH$5:$AH$1000,104),Cálculos!$AH$5:$AH$1000,0)+4,"")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IFERROR(MATCH(SMALL(Cálculos!$AH$5:$AH$1000,105),Cálculos!$AH$5:$AH$1000,0)+4,"")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IFERROR(MATCH(SMALL(Cálculos!$AH$5:$AH$1000,106),Cálculos!$AH$5:$AH$1000,0)+4,"")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IFERROR(MATCH(SMALL(Cálculos!$AH$5:$AH$1000,107),Cálculos!$AH$5:$AH$1000,0)+4,"")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IFERROR(MATCH(SMALL(Cálculos!$AH$5:$AH$1000,108),Cálculos!$AH$5:$AH$1000,0)+4,"")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IFERROR(MATCH(SMALL(Cálculos!$AH$5:$AH$1000,109),Cálculos!$AH$5:$AH$1000,0)+4,"")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IFERROR(MATCH(SMALL(Cálculos!$AH$5:$AH$1000,110),Cálculos!$AH$5:$AH$1000,0)+4,"")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IFERROR(MATCH(SMALL(Cálculos!$AH$5:$AH$1000,111),Cálculos!$AH$5:$AH$1000,0)+4,"")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IFERROR(MATCH(SMALL(Cálculos!$AH$5:$AH$1000,112),Cálculos!$AH$5:$AH$1000,0)+4,"")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IFERROR(MATCH(SMALL(Cálculos!$AH$5:$AH$1000,113),Cálculos!$AH$5:$AH$1000,0)+4,"")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IFERROR(MATCH(SMALL(Cálculos!$AH$5:$AH$1000,114),Cálculos!$AH$5:$AH$1000,0)+4,"")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IFERROR(MATCH(SMALL(Cálculos!$AH$5:$AH$1000,115),Cálculos!$AH$5:$AH$1000,0)+4,"")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IFERROR(MATCH(SMALL(Cálculos!$AH$5:$AH$1000,116),Cálculos!$AH$5:$AH$1000,0)+4,"")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IFERROR(MATCH(SMALL(Cálculos!$AH$5:$AH$1000,117),Cálculos!$AH$5:$AH$1000,0)+4,"")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IFERROR(MATCH(SMALL(Cálculos!$AH$5:$AH$1000,118),Cálculos!$AH$5:$AH$1000,0)+4,"")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IFERROR(MATCH(SMALL(Cálculos!$AH$5:$AH$1000,119),Cálculos!$AH$5:$AH$1000,0)+4,"")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IFERROR(MATCH(SMALL(Cálculos!$AH$5:$AH$1000,120),Cálculos!$AH$5:$AH$1000,0)+4,"")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IFERROR(MATCH(SMALL(Cálculos!$AH$5:$AH$1000,121),Cálculos!$AH$5:$AH$1000,0)+4,"")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IFERROR(MATCH(SMALL(Cálculos!$AH$5:$AH$1000,122),Cálculos!$AH$5:$AH$1000,0)+4,"")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IFERROR(MATCH(SMALL(Cálculos!$AH$5:$AH$1000,123),Cálculos!$AH$5:$AH$1000,0)+4,"")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IFERROR(MATCH(SMALL(Cálculos!$AH$5:$AH$1000,124),Cálculos!$AH$5:$AH$1000,0)+4,"")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IFERROR(MATCH(SMALL(Cálculos!$AH$5:$AH$1000,125),Cálculos!$AH$5:$AH$1000,0)+4,"")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IFERROR(MATCH(SMALL(Cálculos!$AH$5:$AH$1000,126),Cálculos!$AH$5:$AH$1000,0)+4,"")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IFERROR(MATCH(SMALL(Cálculos!$AH$5:$AH$1000,127),Cálculos!$AH$5:$AH$1000,0)+4,"")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IFERROR(MATCH(SMALL(Cálculos!$AH$5:$AH$1000,128),Cálculos!$AH$5:$AH$1000,0)+4,"")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IFERROR(MATCH(SMALL(Cálculos!$AH$5:$AH$1000,129),Cálculos!$AH$5:$AH$1000,0)+4,"")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IFERROR(MATCH(SMALL(Cálculos!$AH$5:$AH$1000,130),Cálculos!$AH$5:$AH$1000,0)+4,"")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IFERROR(MATCH(SMALL(Cálculos!$AH$5:$AH$1000,131),Cálculos!$AH$5:$AH$1000,0)+4,"")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IFERROR(MATCH(SMALL(Cálculos!$AH$5:$AH$1000,132),Cálculos!$AH$5:$AH$1000,0)+4,"")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IFERROR(MATCH(SMALL(Cálculos!$AH$5:$AH$1000,133),Cálculos!$AH$5:$AH$1000,0)+4,"")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IFERROR(MATCH(SMALL(Cálculos!$AH$5:$AH$1000,134),Cálculos!$AH$5:$AH$1000,0)+4,"")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IFERROR(MATCH(SMALL(Cálculos!$AH$5:$AH$1000,135),Cálculos!$AH$5:$AH$1000,0)+4,"")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IFERROR(MATCH(SMALL(Cálculos!$AH$5:$AH$1000,136),Cálculos!$AH$5:$AH$1000,0)+4,"")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IFERROR(MATCH(SMALL(Cálculos!$AH$5:$AH$1000,137),Cálculos!$AH$5:$AH$1000,0)+4,"")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IFERROR(MATCH(SMALL(Cálculos!$AH$5:$AH$1000,138),Cálculos!$AH$5:$AH$1000,0)+4,"")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IFERROR(MATCH(SMALL(Cálculos!$AH$5:$AH$1000,139),Cálculos!$AH$5:$AH$1000,0)+4,"")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IFERROR(MATCH(SMALL(Cálculos!$AH$5:$AH$1000,140),Cálculos!$AH$5:$AH$1000,0)+4,"")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IFERROR(MATCH(SMALL(Cálculos!$AH$5:$AH$1000,141),Cálculos!$AH$5:$AH$1000,0)+4,"")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IFERROR(MATCH(SMALL(Cálculos!$AH$5:$AH$1000,142),Cálculos!$AH$5:$AH$1000,0)+4,"")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IFERROR(MATCH(SMALL(Cálculos!$AH$5:$AH$1000,143),Cálculos!$AH$5:$AH$1000,0)+4,"")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IFERROR(MATCH(SMALL(Cálculos!$AH$5:$AH$1000,144),Cálculos!$AH$5:$AH$1000,0)+4,"")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IFERROR(MATCH(SMALL(Cálculos!$AH$5:$AH$1000,145),Cálculos!$AH$5:$AH$1000,0)+4,"")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IFERROR(MATCH(SMALL(Cálculos!$AH$5:$AH$1000,146),Cálculos!$AH$5:$AH$1000,0)+4,"")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IFERROR(MATCH(SMALL(Cálculos!$AH$5:$AH$1000,147),Cálculos!$AH$5:$AH$1000,0)+4,"")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IFERROR(MATCH(SMALL(Cálculos!$AH$5:$AH$1000,148),Cálculos!$AH$5:$AH$1000,0)+4,"")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IFERROR(MATCH(SMALL(Cálculos!$AH$5:$AH$1000,149),Cálculos!$AH$5:$AH$1000,0)+4,"")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IFERROR(MATCH(SMALL(Cálculos!$AH$5:$AH$1000,150),Cálculos!$AH$5:$AH$1000,0)+4,"")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IFERROR(MATCH(SMALL(Cálculos!$AH$5:$AH$1000,151),Cálculos!$AH$5:$AH$1000,0)+4,"")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IFERROR(MATCH(SMALL(Cálculos!$AH$5:$AH$1000,152),Cálculos!$AH$5:$AH$1000,0)+4,"")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IFERROR(MATCH(SMALL(Cálculos!$AH$5:$AH$1000,153),Cálculos!$AH$5:$AH$1000,0)+4,"")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IFERROR(MATCH(SMALL(Cálculos!$AH$5:$AH$1000,154),Cálculos!$AH$5:$AH$1000,0)+4,"")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IFERROR(MATCH(SMALL(Cálculos!$AH$5:$AH$1000,155),Cálculos!$AH$5:$AH$1000,0)+4,"")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IFERROR(MATCH(SMALL(Cálculos!$AH$5:$AH$1000,156),Cálculos!$AH$5:$AH$1000,0)+4,"")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IFERROR(MATCH(SMALL(Cálculos!$AH$5:$AH$1000,157),Cálculos!$AH$5:$AH$1000,0)+4,"")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IFERROR(MATCH(SMALL(Cálculos!$AH$5:$AH$1000,158),Cálculos!$AH$5:$AH$1000,0)+4,"")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IFERROR(MATCH(SMALL(Cálculos!$AH$5:$AH$1000,159),Cálculos!$AH$5:$AH$1000,0)+4,"")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IFERROR(MATCH(SMALL(Cálculos!$AH$5:$AH$1000,160),Cálculos!$AH$5:$AH$1000,0)+4,"")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IFERROR(MATCH(SMALL(Cálculos!$AH$5:$AH$1000,161),Cálculos!$AH$5:$AH$1000,0)+4,"")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IFERROR(MATCH(SMALL(Cálculos!$AH$5:$AH$1000,162),Cálculos!$AH$5:$AH$1000,0)+4,"")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IFERROR(MATCH(SMALL(Cálculos!$AH$5:$AH$1000,163),Cálculos!$AH$5:$AH$1000,0)+4,"")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IFERROR(MATCH(SMALL(Cálculos!$AH$5:$AH$1000,164),Cálculos!$AH$5:$AH$1000,0)+4,"")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IFERROR(MATCH(SMALL(Cálculos!$AH$5:$AH$1000,165),Cálculos!$AH$5:$AH$1000,0)+4,"")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IFERROR(MATCH(SMALL(Cálculos!$AH$5:$AH$1000,166),Cálculos!$AH$5:$AH$1000,0)+4,"")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IFERROR(MATCH(SMALL(Cálculos!$AH$5:$AH$1000,167),Cálculos!$AH$5:$AH$1000,0)+4,"")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IFERROR(MATCH(SMALL(Cálculos!$AH$5:$AH$1000,168),Cálculos!$AH$5:$AH$1000,0)+4,"")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IFERROR(MATCH(SMALL(Cálculos!$AH$5:$AH$1000,169),Cálculos!$AH$5:$AH$1000,0)+4,"")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IFERROR(MATCH(SMALL(Cálculos!$AH$5:$AH$1000,170),Cálculos!$AH$5:$AH$1000,0)+4,"")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IFERROR(MATCH(SMALL(Cálculos!$AH$5:$AH$1000,171),Cálculos!$AH$5:$AH$1000,0)+4,"")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IFERROR(MATCH(SMALL(Cálculos!$AH$5:$AH$1000,172),Cálculos!$AH$5:$AH$1000,0)+4,"")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IFERROR(MATCH(SMALL(Cálculos!$AH$5:$AH$1000,173),Cálculos!$AH$5:$AH$1000,0)+4,"")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IFERROR(MATCH(SMALL(Cálculos!$AH$5:$AH$1000,174),Cálculos!$AH$5:$AH$1000,0)+4,"")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IFERROR(MATCH(SMALL(Cálculos!$AH$5:$AH$1000,175),Cálculos!$AH$5:$AH$1000,0)+4,"")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IFERROR(MATCH(SMALL(Cálculos!$AH$5:$AH$1000,176),Cálculos!$AH$5:$AH$1000,0)+4,"")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IFERROR(MATCH(SMALL(Cálculos!$AH$5:$AH$1000,177),Cálculos!$AH$5:$AH$1000,0)+4,"")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IFERROR(MATCH(SMALL(Cálculos!$AH$5:$AH$1000,178),Cálculos!$AH$5:$AH$1000,0)+4,"")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IFERROR(MATCH(SMALL(Cálculos!$AH$5:$AH$1000,179),Cálculos!$AH$5:$AH$1000,0)+4,"")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IFERROR(MATCH(SMALL(Cálculos!$AH$5:$AH$1000,180),Cálculos!$AH$5:$AH$1000,0)+4,"")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IFERROR(MATCH(SMALL(Cálculos!$AH$5:$AH$1000,181),Cálculos!$AH$5:$AH$1000,0)+4,"")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IFERROR(MATCH(SMALL(Cálculos!$AH$5:$AH$1000,182),Cálculos!$AH$5:$AH$1000,0)+4,"")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IFERROR(MATCH(SMALL(Cálculos!$AH$5:$AH$1000,183),Cálculos!$AH$5:$AH$1000,0)+4,"")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IFERROR(MATCH(SMALL(Cálculos!$AH$5:$AH$1000,184),Cálculos!$AH$5:$AH$1000,0)+4,"")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IFERROR(MATCH(SMALL(Cálculos!$AH$5:$AH$1000,185),Cálculos!$AH$5:$AH$1000,0)+4,"")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IFERROR(MATCH(SMALL(Cálculos!$AH$5:$AH$1000,186),Cálculos!$AH$5:$AH$1000,0)+4,"")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IFERROR(MATCH(SMALL(Cálculos!$AH$5:$AH$1000,187),Cálculos!$AH$5:$AH$1000,0)+4,"")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IFERROR(MATCH(SMALL(Cálculos!$AH$5:$AH$1000,188),Cálculos!$AH$5:$AH$1000,0)+4,"")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IFERROR(MATCH(SMALL(Cálculos!$AH$5:$AH$1000,189),Cálculos!$AH$5:$AH$1000,0)+4,"")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IFERROR(MATCH(SMALL(Cálculos!$AH$5:$AH$1000,190),Cálculos!$AH$5:$AH$1000,0)+4,"")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IFERROR(MATCH(SMALL(Cálculos!$AH$5:$AH$1000,191),Cálculos!$AH$5:$AH$1000,0)+4,"")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IFERROR(MATCH(SMALL(Cálculos!$AH$5:$AH$1000,192),Cálculos!$AH$5:$AH$1000,0)+4,"")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IFERROR(MATCH(SMALL(Cálculos!$AH$5:$AH$1000,193),Cálculos!$AH$5:$AH$1000,0)+4,"")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IFERROR(MATCH(SMALL(Cálculos!$AH$5:$AH$1000,194),Cálculos!$AH$5:$AH$1000,0)+4,"")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IFERROR(MATCH(SMALL(Cálculos!$AH$5:$AH$1000,195),Cálculos!$AH$5:$AH$1000,0)+4,"")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IFERROR(MATCH(SMALL(Cálculos!$AH$5:$AH$1000,196),Cálculos!$AH$5:$AH$1000,0)+4,"")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IFERROR(MATCH(SMALL(Cálculos!$AH$5:$AH$1000,197),Cálculos!$AH$5:$AH$1000,0)+4,"")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IFERROR(MATCH(SMALL(Cálculos!$AH$5:$AH$1000,198),Cálculos!$AH$5:$AH$1000,0)+4,"")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IFERROR(MATCH(SMALL(Cálculos!$AH$5:$AH$1000,199),Cálculos!$AH$5:$AH$1000,0)+4,"")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IFERROR(MATCH(SMALL(Cálculos!$AH$5:$AH$1000,200),Cálculos!$AH$5:$AH$1000,0)+4,"")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IFERROR(MATCH(SMALL(Cálculos!$AH$5:$AH$1000,201),Cálculos!$AH$5:$AH$1000,0)+4,"")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IFERROR(MATCH(SMALL(Cálculos!$AH$5:$AH$1000,202),Cálculos!$AH$5:$AH$1000,0)+4,"")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IFERROR(MATCH(SMALL(Cálculos!$AH$5:$AH$1000,203),Cálculos!$AH$5:$AH$1000,0)+4,"")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IFERROR(MATCH(SMALL(Cálculos!$AH$5:$AH$1000,204),Cálculos!$AH$5:$AH$1000,0)+4,"")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IFERROR(MATCH(SMALL(Cálculos!$AH$5:$AH$1000,205),Cálculos!$AH$5:$AH$1000,0)+4,"")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IFERROR(MATCH(SMALL(Cálculos!$AH$5:$AH$1000,206),Cálculos!$AH$5:$AH$1000,0)+4,"")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IFERROR(MATCH(SMALL(Cálculos!$AH$5:$AH$1000,207),Cálculos!$AH$5:$AH$1000,0)+4,"")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IFERROR(MATCH(SMALL(Cálculos!$AH$5:$AH$1000,208),Cálculos!$AH$5:$AH$1000,0)+4,"")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IFERROR(MATCH(SMALL(Cálculos!$AH$5:$AH$1000,209),Cálculos!$AH$5:$AH$1000,0)+4,"")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IFERROR(MATCH(SMALL(Cálculos!$AH$5:$AH$1000,210),Cálculos!$AH$5:$AH$1000,0)+4,"")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IFERROR(MATCH(SMALL(Cálculos!$AH$5:$AH$1000,211),Cálculos!$AH$5:$AH$1000,0)+4,"")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IFERROR(MATCH(SMALL(Cálculos!$AH$5:$AH$1000,212),Cálculos!$AH$5:$AH$1000,0)+4,"")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IFERROR(MATCH(SMALL(Cálculos!$AH$5:$AH$1000,213),Cálculos!$AH$5:$AH$1000,0)+4,"")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IFERROR(MATCH(SMALL(Cálculos!$AH$5:$AH$1000,214),Cálculos!$AH$5:$AH$1000,0)+4,"")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IFERROR(MATCH(SMALL(Cálculos!$AH$5:$AH$1000,215),Cálculos!$AH$5:$AH$1000,0)+4,"")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IFERROR(MATCH(SMALL(Cálculos!$AH$5:$AH$1000,216),Cálculos!$AH$5:$AH$1000,0)+4,"")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IFERROR(MATCH(SMALL(Cálculos!$AH$5:$AH$1000,217),Cálculos!$AH$5:$AH$1000,0)+4,"")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IFERROR(MATCH(SMALL(Cálculos!$AH$5:$AH$1000,218),Cálculos!$AH$5:$AH$1000,0)+4,"")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IFERROR(MATCH(SMALL(Cálculos!$AH$5:$AH$1000,219),Cálculos!$AH$5:$AH$1000,0)+4,"")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IFERROR(MATCH(SMALL(Cálculos!$AH$5:$AH$1000,220),Cálculos!$AH$5:$AH$1000,0)+4,"")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IFERROR(MATCH(SMALL(Cálculos!$AH$5:$AH$1000,221),Cálculos!$AH$5:$AH$1000,0)+4,"")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IFERROR(MATCH(SMALL(Cálculos!$AH$5:$AH$1000,222),Cálculos!$AH$5:$AH$1000,0)+4,"")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IFERROR(MATCH(SMALL(Cálculos!$AH$5:$AH$1000,223),Cálculos!$AH$5:$AH$1000,0)+4,"")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IFERROR(MATCH(SMALL(Cálculos!$AH$5:$AH$1000,224),Cálculos!$AH$5:$AH$1000,0)+4,"")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IFERROR(MATCH(SMALL(Cálculos!$AH$5:$AH$1000,225),Cálculos!$AH$5:$AH$1000,0)+4,"")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IFERROR(MATCH(SMALL(Cálculos!$AH$5:$AH$1000,226),Cálculos!$AH$5:$AH$1000,0)+4,"")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IFERROR(MATCH(SMALL(Cálculos!$AH$5:$AH$1000,227),Cálculos!$AH$5:$AH$1000,0)+4,"")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IFERROR(MATCH(SMALL(Cálculos!$AH$5:$AH$1000,228),Cálculos!$AH$5:$AH$1000,0)+4,"")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IFERROR(MATCH(SMALL(Cálculos!$AH$5:$AH$1000,229),Cálculos!$AH$5:$AH$1000,0)+4,"")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IFERROR(MATCH(SMALL(Cálculos!$AH$5:$AH$1000,230),Cálculos!$AH$5:$AH$1000,0)+4,"")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IFERROR(MATCH(SMALL(Cálculos!$AH$5:$AH$1000,231),Cálculos!$AH$5:$AH$1000,0)+4,"")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IFERROR(MATCH(SMALL(Cálculos!$AH$5:$AH$1000,232),Cálculos!$AH$5:$AH$1000,0)+4,"")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IFERROR(MATCH(SMALL(Cálculos!$AH$5:$AH$1000,233),Cálculos!$AH$5:$AH$1000,0)+4,"")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IFERROR(MATCH(SMALL(Cálculos!$AH$5:$AH$1000,234),Cálculos!$AH$5:$AH$1000,0)+4,"")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IFERROR(MATCH(SMALL(Cálculos!$AH$5:$AH$1000,235),Cálculos!$AH$5:$AH$1000,0)+4,"")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IFERROR(MATCH(SMALL(Cálculos!$AH$5:$AH$1000,236),Cálculos!$AH$5:$AH$1000,0)+4,"")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IFERROR(MATCH(SMALL(Cálculos!$AH$5:$AH$1000,237),Cálculos!$AH$5:$AH$1000,0)+4,"")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IFERROR(MATCH(SMALL(Cálculos!$AH$5:$AH$1000,238),Cálculos!$AH$5:$AH$1000,0)+4,"")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IFERROR(MATCH(SMALL(Cálculos!$AH$5:$AH$1000,239),Cálculos!$AH$5:$AH$1000,0)+4,"")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IFERROR(MATCH(SMALL(Cálculos!$AH$5:$AH$1000,240),Cálculos!$AH$5:$AH$1000,0)+4,"")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IFERROR(MATCH(SMALL(Cálculos!$AH$5:$AH$1000,241),Cálculos!$AH$5:$AH$1000,0)+4,"")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IFERROR(MATCH(SMALL(Cálculos!$AH$5:$AH$1000,242),Cálculos!$AH$5:$AH$1000,0)+4,"")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IFERROR(MATCH(SMALL(Cálculos!$AH$5:$AH$1000,243),Cálculos!$AH$5:$AH$1000,0)+4,"")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IFERROR(MATCH(SMALL(Cálculos!$AH$5:$AH$1000,244),Cálculos!$AH$5:$AH$1000,0)+4,"")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IFERROR(MATCH(SMALL(Cálculos!$AH$5:$AH$1000,245),Cálculos!$AH$5:$AH$1000,0)+4,"")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IFERROR(MATCH(SMALL(Cálculos!$AH$5:$AH$1000,246),Cálculos!$AH$5:$AH$1000,0)+4,"")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IFERROR(MATCH(SMALL(Cálculos!$AH$5:$AH$1000,247),Cálculos!$AH$5:$AH$1000,0)+4,"")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IFERROR(MATCH(SMALL(Cálculos!$AH$5:$AH$1000,248),Cálculos!$AH$5:$AH$1000,0)+4,"")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IFERROR(MATCH(SMALL(Cálculos!$AH$5:$AH$1000,249),Cálculos!$AH$5:$AH$1000,0)+4,"")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IFERROR(MATCH(SMALL(Cálculos!$AH$5:$AH$1000,250),Cálculos!$AH$5:$AH$1000,0)+4,"")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IFERROR(MATCH(SMALL(Cálculos!$AH$5:$AH$1000,251),Cálculos!$AH$5:$AH$1000,0)+4,"")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IFERROR(MATCH(SMALL(Cálculos!$AH$5:$AH$1000,252),Cálculos!$AH$5:$AH$1000,0)+4,"")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IFERROR(MATCH(SMALL(Cálculos!$AH$5:$AH$1000,253),Cálculos!$AH$5:$AH$1000,0)+4,"")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IFERROR(MATCH(SMALL(Cálculos!$AH$5:$AH$1000,254),Cálculos!$AH$5:$AH$1000,0)+4,"")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IFERROR(MATCH(SMALL(Cálculos!$AH$5:$AH$1000,255),Cálculos!$AH$5:$AH$1000,0)+4,"")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IFERROR(MATCH(SMALL(Cálculos!$AH$5:$AH$1000,256),Cálculos!$AH$5:$AH$1000,0)+4,"")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IFERROR(MATCH(SMALL(Cálculos!$AH$5:$AH$1000,257),Cálculos!$AH$5:$AH$1000,0)+4,"")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IFERROR(MATCH(SMALL(Cálculos!$AH$5:$AH$1000,258),Cálculos!$AH$5:$AH$1000,0)+4,"")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IFERROR(MATCH(SMALL(Cálculos!$AH$5:$AH$1000,259),Cálculos!$AH$5:$AH$1000,0)+4,"")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IFERROR(MATCH(SMALL(Cálculos!$AH$5:$AH$1000,260),Cálculos!$AH$5:$AH$1000,0)+4,"")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IFERROR(MATCH(SMALL(Cálculos!$AH$5:$AH$1000,261),Cálculos!$AH$5:$AH$1000,0)+4,"")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IFERROR(MATCH(SMALL(Cálculos!$AH$5:$AH$1000,262),Cálculos!$AH$5:$AH$1000,0)+4,"")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IFERROR(MATCH(SMALL(Cálculos!$AH$5:$AH$1000,263),Cálculos!$AH$5:$AH$1000,0)+4,"")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IFERROR(MATCH(SMALL(Cálculos!$AH$5:$AH$1000,264),Cálculos!$AH$5:$AH$1000,0)+4,"")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IFERROR(MATCH(SMALL(Cálculos!$AH$5:$AH$1000,265),Cálculos!$AH$5:$AH$1000,0)+4,"")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IFERROR(MATCH(SMALL(Cálculos!$AH$5:$AH$1000,266),Cálculos!$AH$5:$AH$1000,0)+4,"")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IFERROR(MATCH(SMALL(Cálculos!$AH$5:$AH$1000,267),Cálculos!$AH$5:$AH$1000,0)+4,"")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IFERROR(MATCH(SMALL(Cálculos!$AH$5:$AH$1000,268),Cálculos!$AH$5:$AH$1000,0)+4,"")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IFERROR(MATCH(SMALL(Cálculos!$AH$5:$AH$1000,269),Cálculos!$AH$5:$AH$1000,0)+4,"")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IFERROR(MATCH(SMALL(Cálculos!$AH$5:$AH$1000,270),Cálculos!$AH$5:$AH$1000,0)+4,"")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IFERROR(MATCH(SMALL(Cálculos!$AH$5:$AH$1000,271),Cálculos!$AH$5:$AH$1000,0)+4,"")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IFERROR(MATCH(SMALL(Cálculos!$AH$5:$AH$1000,272),Cálculos!$AH$5:$AH$1000,0)+4,"")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IFERROR(MATCH(SMALL(Cálculos!$AH$5:$AH$1000,273),Cálculos!$AH$5:$AH$1000,0)+4,"")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IFERROR(MATCH(SMALL(Cálculos!$AH$5:$AH$1000,274),Cálculos!$AH$5:$AH$1000,0)+4,"")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IFERROR(MATCH(SMALL(Cálculos!$AH$5:$AH$1000,275),Cálculos!$AH$5:$AH$1000,0)+4,"")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IFERROR(MATCH(SMALL(Cálculos!$AH$5:$AH$1000,276),Cálculos!$AH$5:$AH$1000,0)+4,"")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IFERROR(MATCH(SMALL(Cálculos!$AH$5:$AH$1000,277),Cálculos!$AH$5:$AH$1000,0)+4,"")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IFERROR(MATCH(SMALL(Cálculos!$AH$5:$AH$1000,278),Cálculos!$AH$5:$AH$1000,0)+4,"")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IFERROR(MATCH(SMALL(Cálculos!$AH$5:$AH$1000,279),Cálculos!$AH$5:$AH$1000,0)+4,"")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IFERROR(MATCH(SMALL(Cálculos!$AH$5:$AH$1000,280),Cálculos!$AH$5:$AH$1000,0)+4,"")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IFERROR(MATCH(SMALL(Cálculos!$AH$5:$AH$1000,281),Cálculos!$AH$5:$AH$1000,0)+4,"")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IFERROR(MATCH(SMALL(Cálculos!$AH$5:$AH$1000,282),Cálculos!$AH$5:$AH$1000,0)+4,"")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IFERROR(MATCH(SMALL(Cálculos!$AH$5:$AH$1000,283),Cálculos!$AH$5:$AH$1000,0)+4,"")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IFERROR(MATCH(SMALL(Cálculos!$AH$5:$AH$1000,284),Cálculos!$AH$5:$AH$1000,0)+4,"")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IFERROR(MATCH(SMALL(Cálculos!$AH$5:$AH$1000,285),Cálculos!$AH$5:$AH$1000,0)+4,"")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IFERROR(MATCH(SMALL(Cálculos!$AH$5:$AH$1000,286),Cálculos!$AH$5:$AH$1000,0)+4,"")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IFERROR(MATCH(SMALL(Cálculos!$AH$5:$AH$1000,287),Cálculos!$AH$5:$AH$1000,0)+4,"")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IFERROR(MATCH(SMALL(Cálculos!$AH$5:$AH$1000,288),Cálculos!$AH$5:$AH$1000,0)+4,"")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IFERROR(MATCH(SMALL(Cálculos!$AH$5:$AH$1000,289),Cálculos!$AH$5:$AH$1000,0)+4,"")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IFERROR(MATCH(SMALL(Cálculos!$AH$5:$AH$1000,290),Cálculos!$AH$5:$AH$1000,0)+4,"")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IFERROR(MATCH(SMALL(Cálculos!$AH$5:$AH$1000,291),Cálculos!$AH$5:$AH$1000,0)+4,"")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IFERROR(MATCH(SMALL(Cálculos!$AH$5:$AH$1000,292),Cálculos!$AH$5:$AH$1000,0)+4,"")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IFERROR(MATCH(SMALL(Cálculos!$AH$5:$AH$1000,293),Cálculos!$AH$5:$AH$1000,0)+4,"")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IFERROR(MATCH(SMALL(Cálculos!$AH$5:$AH$1000,294),Cálculos!$AH$5:$AH$1000,0)+4,"")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IFERROR(MATCH(SMALL(Cálculos!$AH$5:$AH$1000,295),Cálculos!$AH$5:$AH$1000,0)+4,"")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IFERROR(MATCH(SMALL(Cálculos!$AH$5:$AH$1000,296),Cálculos!$AH$5:$AH$1000,0)+4,"")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IFERROR(MATCH(SMALL(Cálculos!$AH$5:$AH$1000,297),Cálculos!$AH$5:$AH$1000,0)+4,"")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IFERROR(MATCH(SMALL(Cálculos!$AH$5:$AH$1000,298),Cálculos!$AH$5:$AH$1000,0)+4,"")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IFERROR(MATCH(SMALL(Cálculos!$AH$5:$AH$1000,299),Cálculos!$AH$5:$AH$1000,0)+4,"")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IFERROR(MATCH(SMALL(Cálculos!$AH$5:$AH$1000,300),Cálculos!$AH$5:$AH$1000,0)+4,"")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IFERROR(MATCH(SMALL(Cálculos!$AH$5:$AH$1000,301),Cálculos!$AH$5:$AH$1000,0)+4,"")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IFERROR(MATCH(SMALL(Cálculos!$AH$5:$AH$1000,302),Cálculos!$AH$5:$AH$1000,0)+4,"")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IFERROR(MATCH(SMALL(Cálculos!$AH$5:$AH$1000,303),Cálculos!$AH$5:$AH$1000,0)+4,"")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IFERROR(MATCH(SMALL(Cálculos!$AH$5:$AH$1000,304),Cálculos!$AH$5:$AH$1000,0)+4,"")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IFERROR(MATCH(SMALL(Cálculos!$AH$5:$AH$1000,305),Cálculos!$AH$5:$AH$1000,0)+4,"")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IFERROR(MATCH(SMALL(Cálculos!$AH$5:$AH$1000,306),Cálculos!$AH$5:$AH$1000,0)+4,"")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IFERROR(MATCH(SMALL(Cálculos!$AH$5:$AH$1000,307),Cálculos!$AH$5:$AH$1000,0)+4,"")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IFERROR(MATCH(SMALL(Cálculos!$AH$5:$AH$1000,308),Cálculos!$AH$5:$AH$1000,0)+4,"")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IFERROR(MATCH(SMALL(Cálculos!$AH$5:$AH$1000,309),Cálculos!$AH$5:$AH$1000,0)+4,"")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IFERROR(MATCH(SMALL(Cálculos!$AH$5:$AH$1000,310),Cálculos!$AH$5:$AH$1000,0)+4,"")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IFERROR(MATCH(SMALL(Cálculos!$AH$5:$AH$1000,311),Cálculos!$AH$5:$AH$1000,0)+4,"")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IFERROR(MATCH(SMALL(Cálculos!$AH$5:$AH$1000,312),Cálculos!$AH$5:$AH$1000,0)+4,"")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IFERROR(MATCH(SMALL(Cálculos!$AH$5:$AH$1000,313),Cálculos!$AH$5:$AH$1000,0)+4,"")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IFERROR(MATCH(SMALL(Cálculos!$AH$5:$AH$1000,314),Cálculos!$AH$5:$AH$1000,0)+4,"")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IFERROR(MATCH(SMALL(Cálculos!$AH$5:$AH$1000,315),Cálculos!$AH$5:$AH$1000,0)+4,"")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IFERROR(MATCH(SMALL(Cálculos!$AH$5:$AH$1000,316),Cálculos!$AH$5:$AH$1000,0)+4,"")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IFERROR(MATCH(SMALL(Cálculos!$AH$5:$AH$1000,317),Cálculos!$AH$5:$AH$1000,0)+4,"")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IFERROR(MATCH(SMALL(Cálculos!$AH$5:$AH$1000,318),Cálculos!$AH$5:$AH$1000,0)+4,"")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IFERROR(MATCH(SMALL(Cálculos!$AH$5:$AH$1000,319),Cálculos!$AH$5:$AH$1000,0)+4,"")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IFERROR(MATCH(SMALL(Cálculos!$AH$5:$AH$1000,320),Cálculos!$AH$5:$AH$1000,0)+4,"")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IFERROR(MATCH(SMALL(Cálculos!$AH$5:$AH$1000,321),Cálculos!$AH$5:$AH$1000,0)+4,"")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IFERROR(MATCH(SMALL(Cálculos!$AH$5:$AH$1000,322),Cálculos!$AH$5:$AH$1000,0)+4,"")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IFERROR(MATCH(SMALL(Cálculos!$AH$5:$AH$1000,323),Cálculos!$AH$5:$AH$1000,0)+4,"")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IFERROR(MATCH(SMALL(Cálculos!$AH$5:$AH$1000,324),Cálculos!$AH$5:$AH$1000,0)+4,"")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IFERROR(MATCH(SMALL(Cálculos!$AH$5:$AH$1000,325),Cálculos!$AH$5:$AH$1000,0)+4,"")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IFERROR(MATCH(SMALL(Cálculos!$AH$5:$AH$1000,326),Cálculos!$AH$5:$AH$1000,0)+4,"")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IFERROR(MATCH(SMALL(Cálculos!$AH$5:$AH$1000,327),Cálculos!$AH$5:$AH$1000,0)+4,"")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IFERROR(MATCH(SMALL(Cálculos!$AH$5:$AH$1000,328),Cálculos!$AH$5:$AH$1000,0)+4,"")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IFERROR(MATCH(SMALL(Cálculos!$AH$5:$AH$1000,329),Cálculos!$AH$5:$AH$1000,0)+4,"")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IFERROR(MATCH(SMALL(Cálculos!$AH$5:$AH$1000,330),Cálculos!$AH$5:$AH$1000,0)+4,"")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IFERROR(MATCH(SMALL(Cálculos!$AH$5:$AH$1000,331),Cálculos!$AH$5:$AH$1000,0)+4,"")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IFERROR(MATCH(SMALL(Cálculos!$AH$5:$AH$1000,332),Cálculos!$AH$5:$AH$1000,0)+4,"")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IFERROR(MATCH(SMALL(Cálculos!$AH$5:$AH$1000,333),Cálculos!$AH$5:$AH$1000,0)+4,"")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IFERROR(MATCH(SMALL(Cálculos!$AH$5:$AH$1000,334),Cálculos!$AH$5:$AH$1000,0)+4,"")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IFERROR(MATCH(SMALL(Cálculos!$AH$5:$AH$1000,335),Cálculos!$AH$5:$AH$1000,0)+4,"")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IFERROR(MATCH(SMALL(Cálculos!$AH$5:$AH$1000,336),Cálculos!$AH$5:$AH$1000,0)+4,"")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IFERROR(MATCH(SMALL(Cálculos!$AH$5:$AH$1000,337),Cálculos!$AH$5:$AH$1000,0)+4,"")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IFERROR(MATCH(SMALL(Cálculos!$AH$5:$AH$1000,338),Cálculos!$AH$5:$AH$1000,0)+4,"")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IFERROR(MATCH(SMALL(Cálculos!$AH$5:$AH$1000,339),Cálculos!$AH$5:$AH$1000,0)+4,"")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IFERROR(MATCH(SMALL(Cálculos!$AH$5:$AH$1000,340),Cálculos!$AH$5:$AH$1000,0)+4,"")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IFERROR(MATCH(SMALL(Cálculos!$AH$5:$AH$1000,341),Cálculos!$AH$5:$AH$1000,0)+4,"")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IFERROR(MATCH(SMALL(Cálculos!$AH$5:$AH$1000,342),Cálculos!$AH$5:$AH$1000,0)+4,"")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IFERROR(MATCH(SMALL(Cálculos!$AH$5:$AH$1000,343),Cálculos!$AH$5:$AH$1000,0)+4,"")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IFERROR(MATCH(SMALL(Cálculos!$AH$5:$AH$1000,344),Cálculos!$AH$5:$AH$1000,0)+4,"")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IFERROR(MATCH(SMALL(Cálculos!$AH$5:$AH$1000,345),Cálculos!$AH$5:$AH$1000,0)+4,"")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IFERROR(MATCH(SMALL(Cálculos!$AH$5:$AH$1000,346),Cálculos!$AH$5:$AH$1000,0)+4,"")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IFERROR(MATCH(SMALL(Cálculos!$AH$5:$AH$1000,347),Cálculos!$AH$5:$AH$1000,0)+4,"")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IFERROR(MATCH(SMALL(Cálculos!$AH$5:$AH$1000,348),Cálculos!$AH$5:$AH$1000,0)+4,"")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IFERROR(MATCH(SMALL(Cálculos!$AH$5:$AH$1000,349),Cálculos!$AH$5:$AH$1000,0)+4,"")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IFERROR(MATCH(SMALL(Cálculos!$AH$5:$AH$1000,350),Cálculos!$AH$5:$AH$1000,0)+4,"")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IFERROR(MATCH(SMALL(Cálculos!$AH$5:$AH$1000,351),Cálculos!$AH$5:$AH$1000,0)+4,"")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IFERROR(MATCH(SMALL(Cálculos!$AH$5:$AH$1000,352),Cálculos!$AH$5:$AH$1000,0)+4,"")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IFERROR(MATCH(SMALL(Cálculos!$AH$5:$AH$1000,353),Cálculos!$AH$5:$AH$1000,0)+4,"")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IFERROR(MATCH(SMALL(Cálculos!$AH$5:$AH$1000,354),Cálculos!$AH$5:$AH$1000,0)+4,"")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IFERROR(MATCH(SMALL(Cálculos!$AH$5:$AH$1000,355),Cálculos!$AH$5:$AH$1000,0)+4,"")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IFERROR(MATCH(SMALL(Cálculos!$AH$5:$AH$1000,356),Cálculos!$AH$5:$AH$1000,0)+4,"")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IFERROR(MATCH(SMALL(Cálculos!$AH$5:$AH$1000,357),Cálculos!$AH$5:$AH$1000,0)+4,"")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IFERROR(MATCH(SMALL(Cálculos!$AH$5:$AH$1000,358),Cálculos!$AH$5:$AH$1000,0)+4,"")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IFERROR(MATCH(SMALL(Cálculos!$AH$5:$AH$1000,359),Cálculos!$AH$5:$AH$1000,0)+4,"")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IFERROR(MATCH(SMALL(Cálculos!$AH$5:$AH$1000,360),Cálculos!$AH$5:$AH$1000,0)+4,"")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IFERROR(MATCH(SMALL(Cálculos!$AH$5:$AH$1000,361),Cálculos!$AH$5:$AH$1000,0)+4,"")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IFERROR(MATCH(SMALL(Cálculos!$AH$5:$AH$1000,362),Cálculos!$AH$5:$AH$1000,0)+4,"")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IFERROR(MATCH(SMALL(Cálculos!$AH$5:$AH$1000,363),Cálculos!$AH$5:$AH$1000,0)+4,"")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IFERROR(MATCH(SMALL(Cálculos!$AH$5:$AH$1000,364),Cálculos!$AH$5:$AH$1000,0)+4,"")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IFERROR(MATCH(SMALL(Cálculos!$AH$5:$AH$1000,365),Cálculos!$AH$5:$AH$1000,0)+4,"")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IFERROR(MATCH(SMALL(Cálculos!$AH$5:$AH$1000,366),Cálculos!$AH$5:$AH$1000,0)+4,"")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IFERROR(MATCH(SMALL(Cálculos!$AH$5:$AH$1000,367),Cálculos!$AH$5:$AH$1000,0)+4,"")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IFERROR(MATCH(SMALL(Cálculos!$AH$5:$AH$1000,368),Cálculos!$AH$5:$AH$1000,0)+4,"")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IFERROR(MATCH(SMALL(Cálculos!$AH$5:$AH$1000,369),Cálculos!$AH$5:$AH$1000,0)+4,"")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IFERROR(MATCH(SMALL(Cálculos!$AH$5:$AH$1000,370),Cálculos!$AH$5:$AH$1000,0)+4,"")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IFERROR(MATCH(SMALL(Cálculos!$AH$5:$AH$1000,371),Cálculos!$AH$5:$AH$1000,0)+4,"")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IFERROR(MATCH(SMALL(Cálculos!$AH$5:$AH$1000,372),Cálculos!$AH$5:$AH$1000,0)+4,"")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IFERROR(MATCH(SMALL(Cálculos!$AH$5:$AH$1000,373),Cálculos!$AH$5:$AH$1000,0)+4,"")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IFERROR(MATCH(SMALL(Cálculos!$AH$5:$AH$1000,374),Cálculos!$AH$5:$AH$1000,0)+4,"")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IFERROR(MATCH(SMALL(Cálculos!$AH$5:$AH$1000,375),Cálculos!$AH$5:$AH$1000,0)+4,"")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IFERROR(MATCH(SMALL(Cálculos!$AH$5:$AH$1000,376),Cálculos!$AH$5:$AH$1000,0)+4,"")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IFERROR(MATCH(SMALL(Cálculos!$AH$5:$AH$1000,377),Cálculos!$AH$5:$AH$1000,0)+4,"")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IFERROR(MATCH(SMALL(Cálculos!$AH$5:$AH$1000,378),Cálculos!$AH$5:$AH$1000,0)+4,"")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IFERROR(MATCH(SMALL(Cálculos!$AH$5:$AH$1000,379),Cálculos!$AH$5:$AH$1000,0)+4,"")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IFERROR(MATCH(SMALL(Cálculos!$AH$5:$AH$1000,380),Cálculos!$AH$5:$AH$1000,0)+4,"")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IFERROR(MATCH(SMALL(Cálculos!$AH$5:$AH$1000,381),Cálculos!$AH$5:$AH$1000,0)+4,"")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IFERROR(MATCH(SMALL(Cálculos!$AH$5:$AH$1000,382),Cálculos!$AH$5:$AH$1000,0)+4,"")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IFERROR(MATCH(SMALL(Cálculos!$AH$5:$AH$1000,383),Cálculos!$AH$5:$AH$1000,0)+4,"")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IFERROR(MATCH(SMALL(Cálculos!$AH$5:$AH$1000,384),Cálculos!$AH$5:$AH$1000,0)+4,"")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IFERROR(MATCH(SMALL(Cálculos!$AH$5:$AH$1000,385),Cálculos!$AH$5:$AH$1000,0)+4,"")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IFERROR(MATCH(SMALL(Cálculos!$AH$5:$AH$1000,386),Cálculos!$AH$5:$AH$1000,0)+4,"")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IFERROR(MATCH(SMALL(Cálculos!$AH$5:$AH$1000,387),Cálculos!$AH$5:$AH$1000,0)+4,"")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IFERROR(MATCH(SMALL(Cálculos!$AH$5:$AH$1000,388),Cálculos!$AH$5:$AH$1000,0)+4,"")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IFERROR(MATCH(SMALL(Cálculos!$AH$5:$AH$1000,389),Cálculos!$AH$5:$AH$1000,0)+4,"")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IFERROR(MATCH(SMALL(Cálculos!$AH$5:$AH$1000,390),Cálculos!$AH$5:$AH$1000,0)+4,"")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IFERROR(MATCH(SMALL(Cálculos!$AH$5:$AH$1000,391),Cálculos!$AH$5:$AH$1000,0)+4,"")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IFERROR(MATCH(SMALL(Cálculos!$AH$5:$AH$1000,392),Cálculos!$AH$5:$AH$1000,0)+4,"")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IFERROR(MATCH(SMALL(Cálculos!$AH$5:$AH$1000,393),Cálculos!$AH$5:$AH$1000,0)+4,"")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IFERROR(MATCH(SMALL(Cálculos!$AH$5:$AH$1000,394),Cálculos!$AH$5:$AH$1000,0)+4,"")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IFERROR(MATCH(SMALL(Cálculos!$AH$5:$AH$1000,395),Cálculos!$AH$5:$AH$1000,0)+4,"")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IFERROR(MATCH(SMALL(Cálculos!$AH$5:$AH$1000,396),Cálculos!$AH$5:$AH$1000,0)+4,"")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IFERROR(MATCH(SMALL(Cálculos!$AH$5:$AH$1000,397),Cálculos!$AH$5:$AH$1000,0)+4,"")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IFERROR(MATCH(SMALL(Cálculos!$AH$5:$AH$1000,398),Cálculos!$AH$5:$AH$1000,0)+4,"")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IFERROR(MATCH(SMALL(Cálculos!$AH$5:$AH$1000,399),Cálculos!$AH$5:$AH$1000,0)+4,"")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IFERROR(MATCH(SMALL(Cálculos!$AH$5:$AH$1000,400),Cálculos!$AH$5:$AH$1000,0)+4,"")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IFERROR(MATCH(SMALL(Cálculos!$AH$5:$AH$1000,401),Cálculos!$AH$5:$AH$1000,0)+4,"")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IFERROR(MATCH(SMALL(Cálculos!$AH$5:$AH$1000,402),Cálculos!$AH$5:$AH$1000,0)+4,"")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IFERROR(MATCH(SMALL(Cálculos!$AH$5:$AH$1000,403),Cálculos!$AH$5:$AH$1000,0)+4,"")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IFERROR(MATCH(SMALL(Cálculos!$AH$5:$AH$1000,404),Cálculos!$AH$5:$AH$1000,0)+4,"")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IFERROR(MATCH(SMALL(Cálculos!$AH$5:$AH$1000,405),Cálculos!$AH$5:$AH$1000,0)+4,"")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IFERROR(MATCH(SMALL(Cálculos!$AH$5:$AH$1000,406),Cálculos!$AH$5:$AH$1000,0)+4,"")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IFERROR(MATCH(SMALL(Cálculos!$AH$5:$AH$1000,407),Cálculos!$AH$5:$AH$1000,0)+4,"")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IFERROR(MATCH(SMALL(Cálculos!$AH$5:$AH$1000,408),Cálculos!$AH$5:$AH$1000,0)+4,"")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IFERROR(MATCH(SMALL(Cálculos!$AH$5:$AH$1000,409),Cálculos!$AH$5:$AH$1000,0)+4,"")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IFERROR(MATCH(SMALL(Cálculos!$AH$5:$AH$1000,410),Cálculos!$AH$5:$AH$1000,0)+4,"")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IFERROR(MATCH(SMALL(Cálculos!$AH$5:$AH$1000,411),Cálculos!$AH$5:$AH$1000,0)+4,"")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IFERROR(MATCH(SMALL(Cálculos!$AH$5:$AH$1000,412),Cálculos!$AH$5:$AH$1000,0)+4,"")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IFERROR(MATCH(SMALL(Cálculos!$AH$5:$AH$1000,413),Cálculos!$AH$5:$AH$1000,0)+4,"")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IFERROR(MATCH(SMALL(Cálculos!$AH$5:$AH$1000,414),Cálculos!$AH$5:$AH$1000,0)+4,"")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IFERROR(MATCH(SMALL(Cálculos!$AH$5:$AH$1000,415),Cálculos!$AH$5:$AH$1000,0)+4,"")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IFERROR(MATCH(SMALL(Cálculos!$AH$5:$AH$1000,416),Cálculos!$AH$5:$AH$1000,0)+4,"")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IFERROR(MATCH(SMALL(Cálculos!$AH$5:$AH$1000,417),Cálculos!$AH$5:$AH$1000,0)+4,"")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IFERROR(MATCH(SMALL(Cálculos!$AH$5:$AH$1000,418),Cálculos!$AH$5:$AH$1000,0)+4,"")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IFERROR(MATCH(SMALL(Cálculos!$AH$5:$AH$1000,419),Cálculos!$AH$5:$AH$1000,0)+4,"")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IFERROR(MATCH(SMALL(Cálculos!$AH$5:$AH$1000,420),Cálculos!$AH$5:$AH$1000,0)+4,"")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IFERROR(MATCH(SMALL(Cálculos!$AH$5:$AH$1000,421),Cálculos!$AH$5:$AH$1000,0)+4,"")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IFERROR(MATCH(SMALL(Cálculos!$AH$5:$AH$1000,422),Cálculos!$AH$5:$AH$1000,0)+4,"")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IFERROR(MATCH(SMALL(Cálculos!$AH$5:$AH$1000,423),Cálculos!$AH$5:$AH$1000,0)+4,"")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IFERROR(MATCH(SMALL(Cálculos!$AH$5:$AH$1000,424),Cálculos!$AH$5:$AH$1000,0)+4,"")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IFERROR(MATCH(SMALL(Cálculos!$AH$5:$AH$1000,425),Cálculos!$AH$5:$AH$1000,0)+4,"")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IFERROR(MATCH(SMALL(Cálculos!$AH$5:$AH$1000,426),Cálculos!$AH$5:$AH$1000,0)+4,"")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IFERROR(MATCH(SMALL(Cálculos!$AH$5:$AH$1000,427),Cálculos!$AH$5:$AH$1000,0)+4,"")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IFERROR(MATCH(SMALL(Cálculos!$AH$5:$AH$1000,428),Cálculos!$AH$5:$AH$1000,0)+4,"")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IFERROR(MATCH(SMALL(Cálculos!$AH$5:$AH$1000,429),Cálculos!$AH$5:$AH$1000,0)+4,"")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IFERROR(MATCH(SMALL(Cálculos!$AH$5:$AH$1000,430),Cálculos!$AH$5:$AH$1000,0)+4,"")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IFERROR(MATCH(SMALL(Cálculos!$AH$5:$AH$1000,431),Cálculos!$AH$5:$AH$1000,0)+4,"")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IFERROR(MATCH(SMALL(Cálculos!$AH$5:$AH$1000,432),Cálculos!$AH$5:$AH$1000,0)+4,"")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IFERROR(MATCH(SMALL(Cálculos!$AH$5:$AH$1000,433),Cálculos!$AH$5:$AH$1000,0)+4,"")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IFERROR(MATCH(SMALL(Cálculos!$AH$5:$AH$1000,434),Cálculos!$AH$5:$AH$1000,0)+4,"")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IFERROR(MATCH(SMALL(Cálculos!$AH$5:$AH$1000,435),Cálculos!$AH$5:$AH$1000,0)+4,"")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IFERROR(MATCH(SMALL(Cálculos!$AH$5:$AH$1000,436),Cálculos!$AH$5:$AH$1000,0)+4,"")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IFERROR(MATCH(SMALL(Cálculos!$AH$5:$AH$1000,437),Cálculos!$AH$5:$AH$1000,0)+4,"")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IFERROR(MATCH(SMALL(Cálculos!$AH$5:$AH$1000,438),Cálculos!$AH$5:$AH$1000,0)+4,"")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IFERROR(MATCH(SMALL(Cálculos!$AH$5:$AH$1000,439),Cálculos!$AH$5:$AH$1000,0)+4,"")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IFERROR(MATCH(SMALL(Cálculos!$AH$5:$AH$1000,440),Cálculos!$AH$5:$AH$1000,0)+4,"")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IFERROR(MATCH(SMALL(Cálculos!$AH$5:$AH$1000,441),Cálculos!$AH$5:$AH$1000,0)+4,"")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IFERROR(MATCH(SMALL(Cálculos!$AH$5:$AH$1000,442),Cálculos!$AH$5:$AH$1000,0)+4,"")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IFERROR(MATCH(SMALL(Cálculos!$AH$5:$AH$1000,443),Cálculos!$AH$5:$AH$1000,0)+4,"")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IFERROR(MATCH(SMALL(Cálculos!$AH$5:$AH$1000,444),Cálculos!$AH$5:$AH$1000,0)+4,"")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IFERROR(MATCH(SMALL(Cálculos!$AH$5:$AH$1000,445),Cálculos!$AH$5:$AH$1000,0)+4,"")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IFERROR(MATCH(SMALL(Cálculos!$AH$5:$AH$1000,446),Cálculos!$AH$5:$AH$1000,0)+4,"")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IFERROR(MATCH(SMALL(Cálculos!$AH$5:$AH$1000,447),Cálculos!$AH$5:$AH$1000,0)+4,"")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IFERROR(MATCH(SMALL(Cálculos!$AH$5:$AH$1000,448),Cálculos!$AH$5:$AH$1000,0)+4,"")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IFERROR(MATCH(SMALL(Cálculos!$AH$5:$AH$1000,449),Cálculos!$AH$5:$AH$1000,0)+4,"")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IFERROR(MATCH(SMALL(Cálculos!$AH$5:$AH$1000,450),Cálculos!$AH$5:$AH$1000,0)+4,"")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IFERROR(MATCH(SMALL(Cálculos!$AH$5:$AH$1000,451),Cálculos!$AH$5:$AH$1000,0)+4,"")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IFERROR(MATCH(SMALL(Cálculos!$AH$5:$AH$1000,452),Cálculos!$AH$5:$AH$1000,0)+4,"")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IFERROR(MATCH(SMALL(Cálculos!$AH$5:$AH$1000,453),Cálculos!$AH$5:$AH$1000,0)+4,"")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IFERROR(MATCH(SMALL(Cálculos!$AH$5:$AH$1000,454),Cálculos!$AH$5:$AH$1000,0)+4,"")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IFERROR(MATCH(SMALL(Cálculos!$AH$5:$AH$1000,455),Cálculos!$AH$5:$AH$1000,0)+4,"")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IFERROR(MATCH(SMALL(Cálculos!$AH$5:$AH$1000,456),Cálculos!$AH$5:$AH$1000,0)+4,"")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IFERROR(MATCH(SMALL(Cálculos!$AH$5:$AH$1000,457),Cálculos!$AH$5:$AH$1000,0)+4,"")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IFERROR(MATCH(SMALL(Cálculos!$AH$5:$AH$1000,458),Cálculos!$AH$5:$AH$1000,0)+4,"")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IFERROR(MATCH(SMALL(Cálculos!$AH$5:$AH$1000,459),Cálculos!$AH$5:$AH$1000,0)+4,"")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IFERROR(MATCH(SMALL(Cálculos!$AH$5:$AH$1000,460),Cálculos!$AH$5:$AH$1000,0)+4,"")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IFERROR(MATCH(SMALL(Cálculos!$AH$5:$AH$1000,461),Cálculos!$AH$5:$AH$1000,0)+4,"")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IFERROR(MATCH(SMALL(Cálculos!$AH$5:$AH$1000,462),Cálculos!$AH$5:$AH$1000,0)+4,"")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IFERROR(MATCH(SMALL(Cálculos!$AH$5:$AH$1000,463),Cálculos!$AH$5:$AH$1000,0)+4,"")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IFERROR(MATCH(SMALL(Cálculos!$AH$5:$AH$1000,464),Cálculos!$AH$5:$AH$1000,0)+4,"")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IFERROR(MATCH(SMALL(Cálculos!$AH$5:$AH$1000,465),Cálculos!$AH$5:$AH$1000,0)+4,"")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IFERROR(MATCH(SMALL(Cálculos!$AH$5:$AH$1000,466),Cálculos!$AH$5:$AH$1000,0)+4,"")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IFERROR(MATCH(SMALL(Cálculos!$AH$5:$AH$1000,467),Cálculos!$AH$5:$AH$1000,0)+4,"")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IFERROR(MATCH(SMALL(Cálculos!$AH$5:$AH$1000,468),Cálculos!$AH$5:$AH$1000,0)+4,"")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IFERROR(MATCH(SMALL(Cálculos!$AH$5:$AH$1000,469),Cálculos!$AH$5:$AH$1000,0)+4,"")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IFERROR(MATCH(SMALL(Cálculos!$AH$5:$AH$1000,470),Cálculos!$AH$5:$AH$1000,0)+4,"")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IFERROR(MATCH(SMALL(Cálculos!$AH$5:$AH$1000,471),Cálculos!$AH$5:$AH$1000,0)+4,"")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IFERROR(MATCH(SMALL(Cálculos!$AH$5:$AH$1000,472),Cálculos!$AH$5:$AH$1000,0)+4,"")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IFERROR(MATCH(SMALL(Cálculos!$AH$5:$AH$1000,473),Cálculos!$AH$5:$AH$1000,0)+4,"")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IFERROR(MATCH(SMALL(Cálculos!$AH$5:$AH$1000,474),Cálculos!$AH$5:$AH$1000,0)+4,"")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IFERROR(MATCH(SMALL(Cálculos!$AH$5:$AH$1000,475),Cálculos!$AH$5:$AH$1000,0)+4,"")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IFERROR(MATCH(SMALL(Cálculos!$AH$5:$AH$1000,476),Cálculos!$AH$5:$AH$1000,0)+4,"")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IFERROR(MATCH(SMALL(Cálculos!$AH$5:$AH$1000,477),Cálculos!$AH$5:$AH$1000,0)+4,"")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IFERROR(MATCH(SMALL(Cálculos!$AH$5:$AH$1000,478),Cálculos!$AH$5:$AH$1000,0)+4,"")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IFERROR(MATCH(SMALL(Cálculos!$AH$5:$AH$1000,479),Cálculos!$AH$5:$AH$1000,0)+4,"")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IFERROR(MATCH(SMALL(Cálculos!$AH$5:$AH$1000,480),Cálculos!$AH$5:$AH$1000,0)+4,"")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IFERROR(MATCH(SMALL(Cálculos!$AH$5:$AH$1000,481),Cálculos!$AH$5:$AH$1000,0)+4,"")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IFERROR(MATCH(SMALL(Cálculos!$AH$5:$AH$1000,482),Cálculos!$AH$5:$AH$1000,0)+4,"")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IFERROR(MATCH(SMALL(Cálculos!$AH$5:$AH$1000,483),Cálculos!$AH$5:$AH$1000,0)+4,"")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IFERROR(MATCH(SMALL(Cálculos!$AH$5:$AH$1000,484),Cálculos!$AH$5:$AH$1000,0)+4,"")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IFERROR(MATCH(SMALL(Cálculos!$AH$5:$AH$1000,485),Cálculos!$AH$5:$AH$1000,0)+4,"")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IFERROR(MATCH(SMALL(Cálculos!$AH$5:$AH$1000,486),Cálculos!$AH$5:$AH$1000,0)+4,"")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IFERROR(MATCH(SMALL(Cálculos!$AH$5:$AH$1000,487),Cálculos!$AH$5:$AH$1000,0)+4,"")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IFERROR(MATCH(SMALL(Cálculos!$AH$5:$AH$1000,488),Cálculos!$AH$5:$AH$1000,0)+4,"")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IFERROR(MATCH(SMALL(Cálculos!$AH$5:$AH$1000,489),Cálculos!$AH$5:$AH$1000,0)+4,"")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IFERROR(MATCH(SMALL(Cálculos!$AH$5:$AH$1000,490),Cálculos!$AH$5:$AH$1000,0)+4,"")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IFERROR(MATCH(SMALL(Cálculos!$AH$5:$AH$1000,491),Cálculos!$AH$5:$AH$1000,0)+4,"")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IFERROR(MATCH(SMALL(Cálculos!$AH$5:$AH$1000,492),Cálculos!$AH$5:$AH$1000,0)+4,"")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IFERROR(MATCH(SMALL(Cálculos!$AH$5:$AH$1000,493),Cálculos!$AH$5:$AH$1000,0)+4,"")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IFERROR(MATCH(SMALL(Cálculos!$AH$5:$AH$1000,494),Cálculos!$AH$5:$AH$1000,0)+4,"")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IFERROR(MATCH(SMALL(Cálculos!$AH$5:$AH$1000,495),Cálculos!$AH$5:$AH$1000,0)+4,"")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IFERROR(MATCH(SMALL(Cálculos!$AH$5:$AH$1000,496),Cálculos!$AH$5:$AH$1000,0)+4,"")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IFERROR(MATCH(SMALL(Cálculos!$AH$5:$AH$1000,497),Cálculos!$AH$5:$AH$1000,0)+4,"")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IFERROR(MATCH(SMALL(Cálculos!$AH$5:$AH$1000,498),Cálculos!$AH$5:$AH$1000,0)+4,"")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IFERROR(MATCH(SMALL(Cálculos!$AH$5:$AH$1000,499),Cálculos!$AH$5:$AH$1000,0)+4,"")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IFERROR(MATCH(SMALL(Cálculos!$AH$5:$AH$1000,500),Cálculos!$AH$5:$AH$1000,0)+4,"")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IFERROR(MATCH(SMALL(Cálculos!$AH$5:$AH$1000,501),Cálculos!$AH$5:$AH$1000,0)+4,"")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IFERROR(MATCH(SMALL(Cálculos!$AH$5:$AH$1000,502),Cálculos!$AH$5:$AH$1000,0)+4,"")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IFERROR(MATCH(SMALL(Cálculos!$AH$5:$AH$1000,503),Cálculos!$AH$5:$AH$1000,0)+4,"")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IFERROR(MATCH(SMALL(Cálculos!$AH$5:$AH$1000,504),Cálculos!$AH$5:$AH$1000,0)+4,"")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IFERROR(MATCH(SMALL(Cálculos!$AH$5:$AH$1000,505),Cálculos!$AH$5:$AH$1000,0)+4,"")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IFERROR(MATCH(SMALL(Cálculos!$AH$5:$AH$1000,506),Cálculos!$AH$5:$AH$1000,0)+4,"")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IFERROR(MATCH(SMALL(Cálculos!$AH$5:$AH$1000,507),Cálculos!$AH$5:$AH$1000,0)+4,"")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IFERROR(MATCH(SMALL(Cálculos!$AH$5:$AH$1000,508),Cálculos!$AH$5:$AH$1000,0)+4,"")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IFERROR(MATCH(SMALL(Cálculos!$AH$5:$AH$1000,509),Cálculos!$AH$5:$AH$1000,0)+4,"")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IFERROR(MATCH(SMALL(Cálculos!$AH$5:$AH$1000,510),Cálculos!$AH$5:$AH$1000,0)+4,"")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IFERROR(MATCH(SMALL(Cálculos!$AH$5:$AH$1000,511),Cálculos!$AH$5:$AH$1000,0)+4,"")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IFERROR(MATCH(SMALL(Cálculos!$AH$5:$AH$1000,512),Cálculos!$AH$5:$AH$1000,0)+4,"")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IFERROR(MATCH(SMALL(Cálculos!$AH$5:$AH$1000,513),Cálculos!$AH$5:$AH$1000,0)+4,"")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IFERROR(MATCH(SMALL(Cálculos!$AH$5:$AH$1000,514),Cálculos!$AH$5:$AH$1000,0)+4,"")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IFERROR(MATCH(SMALL(Cálculos!$AH$5:$AH$1000,515),Cálculos!$AH$5:$AH$1000,0)+4,"")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IFERROR(MATCH(SMALL(Cálculos!$AH$5:$AH$1000,516),Cálculos!$AH$5:$AH$1000,0)+4,"")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IFERROR(MATCH(SMALL(Cálculos!$AH$5:$AH$1000,517),Cálculos!$AH$5:$AH$1000,0)+4,"")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IFERROR(MATCH(SMALL(Cálculos!$AH$5:$AH$1000,518),Cálculos!$AH$5:$AH$1000,0)+4,"")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IFERROR(MATCH(SMALL(Cálculos!$AH$5:$AH$1000,519),Cálculos!$AH$5:$AH$1000,0)+4,"")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IFERROR(MATCH(SMALL(Cálculos!$AH$5:$AH$1000,520),Cálculos!$AH$5:$AH$1000,0)+4,"")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IFERROR(MATCH(SMALL(Cálculos!$AH$5:$AH$1000,521),Cálculos!$AH$5:$AH$1000,0)+4,"")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IFERROR(MATCH(SMALL(Cálculos!$AH$5:$AH$1000,522),Cálculos!$AH$5:$AH$1000,0)+4,"")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IFERROR(MATCH(SMALL(Cálculos!$AH$5:$AH$1000,523),Cálculos!$AH$5:$AH$1000,0)+4,"")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IFERROR(MATCH(SMALL(Cálculos!$AH$5:$AH$1000,524),Cálculos!$AH$5:$AH$1000,0)+4,"")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IFERROR(MATCH(SMALL(Cálculos!$AH$5:$AH$1000,525),Cálculos!$AH$5:$AH$1000,0)+4,"")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IFERROR(MATCH(SMALL(Cálculos!$AH$5:$AH$1000,526),Cálculos!$AH$5:$AH$1000,0)+4,"")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IFERROR(MATCH(SMALL(Cálculos!$AH$5:$AH$1000,527),Cálculos!$AH$5:$AH$1000,0)+4,"")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IFERROR(MATCH(SMALL(Cálculos!$AH$5:$AH$1000,528),Cálculos!$AH$5:$AH$1000,0)+4,"")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IFERROR(MATCH(SMALL(Cálculos!$AH$5:$AH$1000,529),Cálculos!$AH$5:$AH$1000,0)+4,"")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IFERROR(MATCH(SMALL(Cálculos!$AH$5:$AH$1000,530),Cálculos!$AH$5:$AH$1000,0)+4,"")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IFERROR(MATCH(SMALL(Cálculos!$AH$5:$AH$1000,531),Cálculos!$AH$5:$AH$1000,0)+4,"")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IFERROR(MATCH(SMALL(Cálculos!$AH$5:$AH$1000,532),Cálculos!$AH$5:$AH$1000,0)+4,"")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IFERROR(MATCH(SMALL(Cálculos!$AH$5:$AH$1000,533),Cálculos!$AH$5:$AH$1000,0)+4,"")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IFERROR(MATCH(SMALL(Cálculos!$AH$5:$AH$1000,534),Cálculos!$AH$5:$AH$1000,0)+4,"")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IFERROR(MATCH(SMALL(Cálculos!$AH$5:$AH$1000,535),Cálculos!$AH$5:$AH$1000,0)+4,"")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IFERROR(MATCH(SMALL(Cálculos!$AH$5:$AH$1000,536),Cálculos!$AH$5:$AH$1000,0)+4,"")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IFERROR(MATCH(SMALL(Cálculos!$AH$5:$AH$1000,537),Cálculos!$AH$5:$AH$1000,0)+4,"")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IFERROR(MATCH(SMALL(Cálculos!$AH$5:$AH$1000,538),Cálculos!$AH$5:$AH$1000,0)+4,"")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IFERROR(MATCH(SMALL(Cálculos!$AH$5:$AH$1000,539),Cálculos!$AH$5:$AH$1000,0)+4,"")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IFERROR(MATCH(SMALL(Cálculos!$AH$5:$AH$1000,540),Cálculos!$AH$5:$AH$1000,0)+4,"")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IFERROR(MATCH(SMALL(Cálculos!$AH$5:$AH$1000,541),Cálculos!$AH$5:$AH$1000,0)+4,"")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IFERROR(MATCH(SMALL(Cálculos!$AH$5:$AH$1000,542),Cálculos!$AH$5:$AH$1000,0)+4,"")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IFERROR(MATCH(SMALL(Cálculos!$AH$5:$AH$1000,543),Cálculos!$AH$5:$AH$1000,0)+4,"")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IFERROR(MATCH(SMALL(Cálculos!$AH$5:$AH$1000,544),Cálculos!$AH$5:$AH$1000,0)+4,"")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IFERROR(MATCH(SMALL(Cálculos!$AH$5:$AH$1000,545),Cálculos!$AH$5:$AH$1000,0)+4,"")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IFERROR(MATCH(SMALL(Cálculos!$AH$5:$AH$1000,546),Cálculos!$AH$5:$AH$1000,0)+4,"")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IFERROR(MATCH(SMALL(Cálculos!$AH$5:$AH$1000,547),Cálculos!$AH$5:$AH$1000,0)+4,"")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IFERROR(MATCH(SMALL(Cálculos!$AH$5:$AH$1000,548),Cálculos!$AH$5:$AH$1000,0)+4,"")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IFERROR(MATCH(SMALL(Cálculos!$AH$5:$AH$1000,549),Cálculos!$AH$5:$AH$1000,0)+4,"")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IFERROR(MATCH(SMALL(Cálculos!$AH$5:$AH$1000,550),Cálculos!$AH$5:$AH$1000,0)+4,"")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IFERROR(MATCH(SMALL(Cálculos!$AH$5:$AH$1000,551),Cálculos!$AH$5:$AH$1000,0)+4,"")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IFERROR(MATCH(SMALL(Cálculos!$AH$5:$AH$1000,552),Cálculos!$AH$5:$AH$1000,0)+4,"")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IFERROR(MATCH(SMALL(Cálculos!$AH$5:$AH$1000,553),Cálculos!$AH$5:$AH$1000,0)+4,"")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IFERROR(MATCH(SMALL(Cálculos!$AH$5:$AH$1000,554),Cálculos!$AH$5:$AH$1000,0)+4,"")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IFERROR(MATCH(SMALL(Cálculos!$AH$5:$AH$1000,555),Cálculos!$AH$5:$AH$1000,0)+4,"")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IFERROR(MATCH(SMALL(Cálculos!$AH$5:$AH$1000,556),Cálculos!$AH$5:$AH$1000,0)+4,"")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IFERROR(MATCH(SMALL(Cálculos!$AH$5:$AH$1000,557),Cálculos!$AH$5:$AH$1000,0)+4,"")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IFERROR(MATCH(SMALL(Cálculos!$AH$5:$AH$1000,558),Cálculos!$AH$5:$AH$1000,0)+4,"")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IFERROR(MATCH(SMALL(Cálculos!$AH$5:$AH$1000,559),Cálculos!$AH$5:$AH$1000,0)+4,"")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IFERROR(MATCH(SMALL(Cálculos!$AH$5:$AH$1000,560),Cálculos!$AH$5:$AH$1000,0)+4,"")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IFERROR(MATCH(SMALL(Cálculos!$AH$5:$AH$1000,561),Cálculos!$AH$5:$AH$1000,0)+4,"")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IFERROR(MATCH(SMALL(Cálculos!$AH$5:$AH$1000,562),Cálculos!$AH$5:$AH$1000,0)+4,"")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IFERROR(MATCH(SMALL(Cálculos!$AH$5:$AH$1000,563),Cálculos!$AH$5:$AH$1000,0)+4,"")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IFERROR(MATCH(SMALL(Cálculos!$AH$5:$AH$1000,564),Cálculos!$AH$5:$AH$1000,0)+4,"")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IFERROR(MATCH(SMALL(Cálculos!$AH$5:$AH$1000,565),Cálculos!$AH$5:$AH$1000,0)+4,"")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IFERROR(MATCH(SMALL(Cálculos!$AH$5:$AH$1000,566),Cálculos!$AH$5:$AH$1000,0)+4,"")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IFERROR(MATCH(SMALL(Cálculos!$AH$5:$AH$1000,567),Cálculos!$AH$5:$AH$1000,0)+4,"")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IFERROR(MATCH(SMALL(Cálculos!$AH$5:$AH$1000,568),Cálculos!$AH$5:$AH$1000,0)+4,"")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IFERROR(MATCH(SMALL(Cálculos!$AH$5:$AH$1000,569),Cálculos!$AH$5:$AH$1000,0)+4,"")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IFERROR(MATCH(SMALL(Cálculos!$AH$5:$AH$1000,570),Cálculos!$AH$5:$AH$1000,0)+4,"")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IFERROR(MATCH(SMALL(Cálculos!$AH$5:$AH$1000,571),Cálculos!$AH$5:$AH$1000,0)+4,"")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IFERROR(MATCH(SMALL(Cálculos!$AH$5:$AH$1000,572),Cálculos!$AH$5:$AH$1000,0)+4,"")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IFERROR(MATCH(SMALL(Cálculos!$AH$5:$AH$1000,573),Cálculos!$AH$5:$AH$1000,0)+4,"")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IFERROR(MATCH(SMALL(Cálculos!$AH$5:$AH$1000,574),Cálculos!$AH$5:$AH$1000,0)+4,"")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IFERROR(MATCH(SMALL(Cálculos!$AH$5:$AH$1000,575),Cálculos!$AH$5:$AH$1000,0)+4,"")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IFERROR(MATCH(SMALL(Cálculos!$AH$5:$AH$1000,576),Cálculos!$AH$5:$AH$1000,0)+4,"")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IFERROR(MATCH(SMALL(Cálculos!$AH$5:$AH$1000,577),Cálculos!$AH$5:$AH$1000,0)+4,"")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IFERROR(MATCH(SMALL(Cálculos!$AH$5:$AH$1000,578),Cálculos!$AH$5:$AH$1000,0)+4,"")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IFERROR(MATCH(SMALL(Cálculos!$AH$5:$AH$1000,579),Cálculos!$AH$5:$AH$1000,0)+4,"")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IFERROR(MATCH(SMALL(Cálculos!$AH$5:$AH$1000,580),Cálculos!$AH$5:$AH$1000,0)+4,"")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IFERROR(MATCH(SMALL(Cálculos!$AH$5:$AH$1000,581),Cálculos!$AH$5:$AH$1000,0)+4,"")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IFERROR(MATCH(SMALL(Cálculos!$AH$5:$AH$1000,582),Cálculos!$AH$5:$AH$1000,0)+4,"")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IFERROR(MATCH(SMALL(Cálculos!$AH$5:$AH$1000,583),Cálculos!$AH$5:$AH$1000,0)+4,"")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IFERROR(MATCH(SMALL(Cálculos!$AH$5:$AH$1000,584),Cálculos!$AH$5:$AH$1000,0)+4,"")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IFERROR(MATCH(SMALL(Cálculos!$AH$5:$AH$1000,585),Cálculos!$AH$5:$AH$1000,0)+4,"")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IFERROR(MATCH(SMALL(Cálculos!$AH$5:$AH$1000,586),Cálculos!$AH$5:$AH$1000,0)+4,"")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IFERROR(MATCH(SMALL(Cálculos!$AH$5:$AH$1000,587),Cálculos!$AH$5:$AH$1000,0)+4,"")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IFERROR(MATCH(SMALL(Cálculos!$AH$5:$AH$1000,588),Cálculos!$AH$5:$AH$1000,0)+4,"")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IFERROR(MATCH(SMALL(Cálculos!$AH$5:$AH$1000,589),Cálculos!$AH$5:$AH$1000,0)+4,"")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IFERROR(MATCH(SMALL(Cálculos!$AH$5:$AH$1000,590),Cálculos!$AH$5:$AH$1000,0)+4,"")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IFERROR(MATCH(SMALL(Cálculos!$AH$5:$AH$1000,591),Cálculos!$AH$5:$AH$1000,0)+4,"")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IFERROR(MATCH(SMALL(Cálculos!$AH$5:$AH$1000,592),Cálculos!$AH$5:$AH$1000,0)+4,"")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IFERROR(MATCH(SMALL(Cálculos!$AH$5:$AH$1000,593),Cálculos!$AH$5:$AH$1000,0)+4,"")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IFERROR(MATCH(SMALL(Cálculos!$AH$5:$AH$1000,594),Cálculos!$AH$5:$AH$1000,0)+4,"")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IFERROR(MATCH(SMALL(Cálculos!$AH$5:$AH$1000,595),Cálculos!$AH$5:$AH$1000,0)+4,"")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IFERROR(MATCH(SMALL(Cálculos!$AH$5:$AH$1000,596),Cálculos!$AH$5:$AH$1000,0)+4,"")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IFERROR(MATCH(SMALL(Cálculos!$AH$5:$AH$1000,597),Cálculos!$AH$5:$AH$1000,0)+4,"")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IFERROR(MATCH(SMALL(Cálculos!$AH$5:$AH$1000,598),Cálculos!$AH$5:$AH$1000,0)+4,"")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IFERROR(MATCH(SMALL(Cálculos!$AH$5:$AH$1000,599),Cálculos!$AH$5:$AH$1000,0)+4,"")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IFERROR(MATCH(SMALL(Cálculos!$AH$5:$AH$1000,600),Cálculos!$AH$5:$AH$1000,0)+4,"")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IFERROR(MATCH(SMALL(Cálculos!$AH$5:$AH$1000,601),Cálculos!$AH$5:$AH$1000,0)+4,"")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IFERROR(MATCH(SMALL(Cálculos!$AH$5:$AH$1000,602),Cálculos!$AH$5:$AH$1000,0)+4,"")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IFERROR(MATCH(SMALL(Cálculos!$AH$5:$AH$1000,603),Cálculos!$AH$5:$AH$1000,0)+4,"")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IFERROR(MATCH(SMALL(Cálculos!$AH$5:$AH$1000,604),Cálculos!$AH$5:$AH$1000,0)+4,"")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IFERROR(MATCH(SMALL(Cálculos!$AH$5:$AH$1000,605),Cálculos!$AH$5:$AH$1000,0)+4,"")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IFERROR(MATCH(SMALL(Cálculos!$AH$5:$AH$1000,606),Cálculos!$AH$5:$AH$1000,0)+4,"")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IFERROR(MATCH(SMALL(Cálculos!$AH$5:$AH$1000,607),Cálculos!$AH$5:$AH$1000,0)+4,"")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IFERROR(MATCH(SMALL(Cálculos!$AH$5:$AH$1000,608),Cálculos!$AH$5:$AH$1000,0)+4,"")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IFERROR(MATCH(SMALL(Cálculos!$AH$5:$AH$1000,609),Cálculos!$AH$5:$AH$1000,0)+4,"")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IFERROR(MATCH(SMALL(Cálculos!$AH$5:$AH$1000,610),Cálculos!$AH$5:$AH$1000,0)+4,"")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IFERROR(MATCH(SMALL(Cálculos!$AH$5:$AH$1000,611),Cálculos!$AH$5:$AH$1000,0)+4,"")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IFERROR(MATCH(SMALL(Cálculos!$AH$5:$AH$1000,612),Cálculos!$AH$5:$AH$1000,0)+4,"")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IFERROR(MATCH(SMALL(Cálculos!$AH$5:$AH$1000,613),Cálculos!$AH$5:$AH$1000,0)+4,"")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IFERROR(MATCH(SMALL(Cálculos!$AH$5:$AH$1000,614),Cálculos!$AH$5:$AH$1000,0)+4,"")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IFERROR(MATCH(SMALL(Cálculos!$AH$5:$AH$1000,615),Cálculos!$AH$5:$AH$1000,0)+4,"")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IFERROR(MATCH(SMALL(Cálculos!$AH$5:$AH$1000,616),Cálculos!$AH$5:$AH$1000,0)+4,"")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IFERROR(MATCH(SMALL(Cálculos!$AH$5:$AH$1000,617),Cálculos!$AH$5:$AH$1000,0)+4,"")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IFERROR(MATCH(SMALL(Cálculos!$AH$5:$AH$1000,618),Cálculos!$AH$5:$AH$1000,0)+4,"")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IFERROR(MATCH(SMALL(Cálculos!$AH$5:$AH$1000,619),Cálculos!$AH$5:$AH$1000,0)+4,"")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IFERROR(MATCH(SMALL(Cálculos!$AH$5:$AH$1000,620),Cálculos!$AH$5:$AH$1000,0)+4,"")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IFERROR(MATCH(SMALL(Cálculos!$AH$5:$AH$1000,621),Cálculos!$AH$5:$AH$1000,0)+4,"")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IFERROR(MATCH(SMALL(Cálculos!$AH$5:$AH$1000,622),Cálculos!$AH$5:$AH$1000,0)+4,"")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IFERROR(MATCH(SMALL(Cálculos!$AH$5:$AH$1000,623),Cálculos!$AH$5:$AH$1000,0)+4,"")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IFERROR(MATCH(SMALL(Cálculos!$AH$5:$AH$1000,624),Cálculos!$AH$5:$AH$1000,0)+4,"")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IFERROR(MATCH(SMALL(Cálculos!$AH$5:$AH$1000,625),Cálculos!$AH$5:$AH$1000,0)+4,"")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IFERROR(MATCH(SMALL(Cálculos!$AH$5:$AH$1000,626),Cálculos!$AH$5:$AH$1000,0)+4,"")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IFERROR(MATCH(SMALL(Cálculos!$AH$5:$AH$1000,627),Cálculos!$AH$5:$AH$1000,0)+4,"")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IFERROR(MATCH(SMALL(Cálculos!$AH$5:$AH$1000,628),Cálculos!$AH$5:$AH$1000,0)+4,"")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IFERROR(MATCH(SMALL(Cálculos!$AH$5:$AH$1000,629),Cálculos!$AH$5:$AH$1000,0)+4,"")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IFERROR(MATCH(SMALL(Cálculos!$AH$5:$AH$1000,630),Cálculos!$AH$5:$AH$1000,0)+4,"")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IFERROR(MATCH(SMALL(Cálculos!$AH$5:$AH$1000,631),Cálculos!$AH$5:$AH$1000,0)+4,"")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IFERROR(MATCH(SMALL(Cálculos!$AH$5:$AH$1000,632),Cálculos!$AH$5:$AH$1000,0)+4,"")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IFERROR(MATCH(SMALL(Cálculos!$AH$5:$AH$1000,633),Cálculos!$AH$5:$AH$1000,0)+4,"")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IFERROR(MATCH(SMALL(Cálculos!$AH$5:$AH$1000,634),Cálculos!$AH$5:$AH$1000,0)+4,"")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IFERROR(MATCH(SMALL(Cálculos!$AH$5:$AH$1000,635),Cálculos!$AH$5:$AH$1000,0)+4,"")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IFERROR(MATCH(SMALL(Cálculos!$AH$5:$AH$1000,636),Cálculos!$AH$5:$AH$1000,0)+4,"")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IFERROR(MATCH(SMALL(Cálculos!$AH$5:$AH$1000,637),Cálculos!$AH$5:$AH$1000,0)+4,"")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IFERROR(MATCH(SMALL(Cálculos!$AH$5:$AH$1000,638),Cálculos!$AH$5:$AH$1000,0)+4,"")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IFERROR(MATCH(SMALL(Cálculos!$AH$5:$AH$1000,639),Cálculos!$AH$5:$AH$1000,0)+4,"")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IFERROR(MATCH(SMALL(Cálculos!$AH$5:$AH$1000,640),Cálculos!$AH$5:$AH$1000,0)+4,"")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IFERROR(MATCH(SMALL(Cálculos!$AH$5:$AH$1000,641),Cálculos!$AH$5:$AH$1000,0)+4,"")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IFERROR(MATCH(SMALL(Cálculos!$AH$5:$AH$1000,642),Cálculos!$AH$5:$AH$1000,0)+4,"")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IFERROR(MATCH(SMALL(Cálculos!$AH$5:$AH$1000,643),Cálculos!$AH$5:$AH$1000,0)+4,"")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IFERROR(MATCH(SMALL(Cálculos!$AH$5:$AH$1000,644),Cálculos!$AH$5:$AH$1000,0)+4,"")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IFERROR(MATCH(SMALL(Cálculos!$AH$5:$AH$1000,645),Cálculos!$AH$5:$AH$1000,0)+4,"")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IFERROR(MATCH(SMALL(Cálculos!$AH$5:$AH$1000,646),Cálculos!$AH$5:$AH$1000,0)+4,"")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IFERROR(MATCH(SMALL(Cálculos!$AH$5:$AH$1000,647),Cálculos!$AH$5:$AH$1000,0)+4,"")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IFERROR(MATCH(SMALL(Cálculos!$AH$5:$AH$1000,648),Cálculos!$AH$5:$AH$1000,0)+4,"")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IFERROR(MATCH(SMALL(Cálculos!$AH$5:$AH$1000,649),Cálculos!$AH$5:$AH$1000,0)+4,"")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IFERROR(MATCH(SMALL(Cálculos!$AH$5:$AH$1000,650),Cálculos!$AH$5:$AH$1000,0)+4,"")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IFERROR(MATCH(SMALL(Cálculos!$AH$5:$AH$1000,651),Cálculos!$AH$5:$AH$1000,0)+4,"")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IFERROR(MATCH(SMALL(Cálculos!$AH$5:$AH$1000,652),Cálculos!$AH$5:$AH$1000,0)+4,"")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IFERROR(MATCH(SMALL(Cálculos!$AH$5:$AH$1000,653),Cálculos!$AH$5:$AH$1000,0)+4,"")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IFERROR(MATCH(SMALL(Cálculos!$AH$5:$AH$1000,654),Cálculos!$AH$5:$AH$1000,0)+4,"")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IFERROR(MATCH(SMALL(Cálculos!$AH$5:$AH$1000,655),Cálculos!$AH$5:$AH$1000,0)+4,"")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IFERROR(MATCH(SMALL(Cálculos!$AH$5:$AH$1000,656),Cálculos!$AH$5:$AH$1000,0)+4,"")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IFERROR(MATCH(SMALL(Cálculos!$AH$5:$AH$1000,657),Cálculos!$AH$5:$AH$1000,0)+4,"")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IFERROR(MATCH(SMALL(Cálculos!$AH$5:$AH$1000,658),Cálculos!$AH$5:$AH$1000,0)+4,"")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IFERROR(MATCH(SMALL(Cálculos!$AH$5:$AH$1000,659),Cálculos!$AH$5:$AH$1000,0)+4,"")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IFERROR(MATCH(SMALL(Cálculos!$AH$5:$AH$1000,660),Cálculos!$AH$5:$AH$1000,0)+4,"")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IFERROR(MATCH(SMALL(Cálculos!$AH$5:$AH$1000,661),Cálculos!$AH$5:$AH$1000,0)+4,"")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IFERROR(MATCH(SMALL(Cálculos!$AH$5:$AH$1000,662),Cálculos!$AH$5:$AH$1000,0)+4,"")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IFERROR(MATCH(SMALL(Cálculos!$AH$5:$AH$1000,663),Cálculos!$AH$5:$AH$1000,0)+4,"")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IFERROR(MATCH(SMALL(Cálculos!$AH$5:$AH$1000,664),Cálculos!$AH$5:$AH$1000,0)+4,"")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IFERROR(MATCH(SMALL(Cálculos!$AH$5:$AH$1000,665),Cálculos!$AH$5:$AH$1000,0)+4,"")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IFERROR(MATCH(SMALL(Cálculos!$AH$5:$AH$1000,666),Cálculos!$AH$5:$AH$1000,0)+4,"")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IFERROR(MATCH(SMALL(Cálculos!$AH$5:$AH$1000,667),Cálculos!$AH$5:$AH$1000,0)+4,"")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IFERROR(MATCH(SMALL(Cálculos!$AH$5:$AH$1000,668),Cálculos!$AH$5:$AH$1000,0)+4,"")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IFERROR(MATCH(SMALL(Cálculos!$AH$5:$AH$1000,669),Cálculos!$AH$5:$AH$1000,0)+4,"")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IFERROR(MATCH(SMALL(Cálculos!$AH$5:$AH$1000,670),Cálculos!$AH$5:$AH$1000,0)+4,"")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IFERROR(MATCH(SMALL(Cálculos!$AH$5:$AH$1000,671),Cálculos!$AH$5:$AH$1000,0)+4,"")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IFERROR(MATCH(SMALL(Cálculos!$AH$5:$AH$1000,672),Cálculos!$AH$5:$AH$1000,0)+4,"")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IFERROR(MATCH(SMALL(Cálculos!$AH$5:$AH$1000,673),Cálculos!$AH$5:$AH$1000,0)+4,"")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IFERROR(MATCH(SMALL(Cálculos!$AH$5:$AH$1000,674),Cálculos!$AH$5:$AH$1000,0)+4,"")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IFERROR(MATCH(SMALL(Cálculos!$AH$5:$AH$1000,675),Cálculos!$AH$5:$AH$1000,0)+4,"")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IFERROR(MATCH(SMALL(Cálculos!$AH$5:$AH$1000,676),Cálculos!$AH$5:$AH$1000,0)+4,"")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IFERROR(MATCH(SMALL(Cálculos!$AH$5:$AH$1000,677),Cálculos!$AH$5:$AH$1000,0)+4,"")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IFERROR(MATCH(SMALL(Cálculos!$AH$5:$AH$1000,678),Cálculos!$AH$5:$AH$1000,0)+4,"")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IFERROR(MATCH(SMALL(Cálculos!$AH$5:$AH$1000,679),Cálculos!$AH$5:$AH$1000,0)+4,"")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IFERROR(MATCH(SMALL(Cálculos!$AH$5:$AH$1000,680),Cálculos!$AH$5:$AH$1000,0)+4,"")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IFERROR(MATCH(SMALL(Cálculos!$AH$5:$AH$1000,681),Cálculos!$AH$5:$AH$1000,0)+4,"")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IFERROR(MATCH(SMALL(Cálculos!$AH$5:$AH$1000,682),Cálculos!$AH$5:$AH$1000,0)+4,"")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IFERROR(MATCH(SMALL(Cálculos!$AH$5:$AH$1000,683),Cálculos!$AH$5:$AH$1000,0)+4,"")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IFERROR(MATCH(SMALL(Cálculos!$AH$5:$AH$1000,684),Cálculos!$AH$5:$AH$1000,0)+4,"")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IFERROR(MATCH(SMALL(Cálculos!$AH$5:$AH$1000,685),Cálculos!$AH$5:$AH$1000,0)+4,"")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IFERROR(MATCH(SMALL(Cálculos!$AH$5:$AH$1000,686),Cálculos!$AH$5:$AH$1000,0)+4,"")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IFERROR(MATCH(SMALL(Cálculos!$AH$5:$AH$1000,687),Cálculos!$AH$5:$AH$1000,0)+4,"")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IFERROR(MATCH(SMALL(Cálculos!$AH$5:$AH$1000,688),Cálculos!$AH$5:$AH$1000,0)+4,"")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IFERROR(MATCH(SMALL(Cálculos!$AH$5:$AH$1000,689),Cálculos!$AH$5:$AH$1000,0)+4,"")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IFERROR(MATCH(SMALL(Cálculos!$AH$5:$AH$1000,690),Cálculos!$AH$5:$AH$1000,0)+4,"")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IFERROR(MATCH(SMALL(Cálculos!$AH$5:$AH$1000,691),Cálculos!$AH$5:$AH$1000,0)+4,"")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IFERROR(MATCH(SMALL(Cálculos!$AH$5:$AH$1000,692),Cálculos!$AH$5:$AH$1000,0)+4,"")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IFERROR(MATCH(SMALL(Cálculos!$AH$5:$AH$1000,693),Cálculos!$AH$5:$AH$1000,0)+4,"")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IFERROR(MATCH(SMALL(Cálculos!$AH$5:$AH$1000,694),Cálculos!$AH$5:$AH$1000,0)+4,"")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IFERROR(MATCH(SMALL(Cálculos!$AH$5:$AH$1000,695),Cálculos!$AH$5:$AH$1000,0)+4,"")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IFERROR(MATCH(SMALL(Cálculos!$AH$5:$AH$1000,696),Cálculos!$AH$5:$AH$1000,0)+4,"")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IFERROR(MATCH(SMALL(Cálculos!$AH$5:$AH$1000,697),Cálculos!$AH$5:$AH$1000,0)+4,"")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IFERROR(MATCH(SMALL(Cálculos!$AH$5:$AH$1000,698),Cálculos!$AH$5:$AH$1000,0)+4,"")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IFERROR(MATCH(SMALL(Cálculos!$AH$5:$AH$1000,699),Cálculos!$AH$5:$AH$1000,0)+4,"")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IFERROR(MATCH(SMALL(Cálculos!$AH$5:$AH$1000,700),Cálculos!$AH$5:$AH$1000,0)+4,"")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IFERROR(MATCH(SMALL(Cálculos!$AH$5:$AH$1000,701),Cálculos!$AH$5:$AH$1000,0)+4,"")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IFERROR(MATCH(SMALL(Cálculos!$AH$5:$AH$1000,702),Cálculos!$AH$5:$AH$1000,0)+4,"")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IFERROR(MATCH(SMALL(Cálculos!$AH$5:$AH$1000,703),Cálculos!$AH$5:$AH$1000,0)+4,"")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IFERROR(MATCH(SMALL(Cálculos!$AH$5:$AH$1000,704),Cálculos!$AH$5:$AH$1000,0)+4,"")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IFERROR(MATCH(SMALL(Cálculos!$AH$5:$AH$1000,705),Cálculos!$AH$5:$AH$1000,0)+4,"")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IFERROR(MATCH(SMALL(Cálculos!$AH$5:$AH$1000,706),Cálculos!$AH$5:$AH$1000,0)+4,"")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IFERROR(MATCH(SMALL(Cálculos!$AH$5:$AH$1000,707),Cálculos!$AH$5:$AH$1000,0)+4,"")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IFERROR(MATCH(SMALL(Cálculos!$AH$5:$AH$1000,708),Cálculos!$AH$5:$AH$1000,0)+4,"")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IFERROR(MATCH(SMALL(Cálculos!$AH$5:$AH$1000,709),Cálculos!$AH$5:$AH$1000,0)+4,"")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IFERROR(MATCH(SMALL(Cálculos!$AH$5:$AH$1000,710),Cálculos!$AH$5:$AH$1000,0)+4,"")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IFERROR(MATCH(SMALL(Cálculos!$AH$5:$AH$1000,711),Cálculos!$AH$5:$AH$1000,0)+4,"")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IFERROR(MATCH(SMALL(Cálculos!$AH$5:$AH$1000,712),Cálculos!$AH$5:$AH$1000,0)+4,"")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IFERROR(MATCH(SMALL(Cálculos!$AH$5:$AH$1000,713),Cálculos!$AH$5:$AH$1000,0)+4,"")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IFERROR(MATCH(SMALL(Cálculos!$AH$5:$AH$1000,714),Cálculos!$AH$5:$AH$1000,0)+4,"")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IFERROR(MATCH(SMALL(Cálculos!$AH$5:$AH$1000,715),Cálculos!$AH$5:$AH$1000,0)+4,"")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IFERROR(MATCH(SMALL(Cálculos!$AH$5:$AH$1000,716),Cálculos!$AH$5:$AH$1000,0)+4,"")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IFERROR(MATCH(SMALL(Cálculos!$AH$5:$AH$1000,717),Cálculos!$AH$5:$AH$1000,0)+4,"")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IFERROR(MATCH(SMALL(Cálculos!$AH$5:$AH$1000,718),Cálculos!$AH$5:$AH$1000,0)+4,"")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IFERROR(MATCH(SMALL(Cálculos!$AH$5:$AH$1000,719),Cálculos!$AH$5:$AH$1000,0)+4,"")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IFERROR(MATCH(SMALL(Cálculos!$AH$5:$AH$1000,720),Cálculos!$AH$5:$AH$1000,0)+4,"")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IFERROR(MATCH(SMALL(Cálculos!$AH$5:$AH$1000,721),Cálculos!$AH$5:$AH$1000,0)+4,"")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IFERROR(MATCH(SMALL(Cálculos!$AH$5:$AH$1000,722),Cálculos!$AH$5:$AH$1000,0)+4,"")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IFERROR(MATCH(SMALL(Cálculos!$AH$5:$AH$1000,723),Cálculos!$AH$5:$AH$1000,0)+4,"")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IFERROR(MATCH(SMALL(Cálculos!$AH$5:$AH$1000,724),Cálculos!$AH$5:$AH$1000,0)+4,"")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IFERROR(MATCH(SMALL(Cálculos!$AH$5:$AH$1000,725),Cálculos!$AH$5:$AH$1000,0)+4,"")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IFERROR(MATCH(SMALL(Cálculos!$AH$5:$AH$1000,726),Cálculos!$AH$5:$AH$1000,0)+4,"")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IFERROR(MATCH(SMALL(Cálculos!$AH$5:$AH$1000,727),Cálculos!$AH$5:$AH$1000,0)+4,"")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IFERROR(MATCH(SMALL(Cálculos!$AH$5:$AH$1000,728),Cálculos!$AH$5:$AH$1000,0)+4,"")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IFERROR(MATCH(SMALL(Cálculos!$AH$5:$AH$1000,729),Cálculos!$AH$5:$AH$1000,0)+4,"")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IFERROR(MATCH(SMALL(Cálculos!$AH$5:$AH$1000,730),Cálculos!$AH$5:$AH$1000,0)+4,"")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IFERROR(MATCH(SMALL(Cálculos!$AH$5:$AH$1000,731),Cálculos!$AH$5:$AH$1000,0)+4,"")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IFERROR(MATCH(SMALL(Cálculos!$AH$5:$AH$1000,732),Cálculos!$AH$5:$AH$1000,0)+4,"")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IFERROR(MATCH(SMALL(Cálculos!$AH$5:$AH$1000,733),Cálculos!$AH$5:$AH$1000,0)+4,"")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IFERROR(MATCH(SMALL(Cálculos!$AH$5:$AH$1000,734),Cálculos!$AH$5:$AH$1000,0)+4,"")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IFERROR(MATCH(SMALL(Cálculos!$AH$5:$AH$1000,735),Cálculos!$AH$5:$AH$1000,0)+4,"")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IFERROR(MATCH(SMALL(Cálculos!$AH$5:$AH$1000,736),Cálculos!$AH$5:$AH$1000,0)+4,"")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IFERROR(MATCH(SMALL(Cálculos!$AH$5:$AH$1000,737),Cálculos!$AH$5:$AH$1000,0)+4,"")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IFERROR(MATCH(SMALL(Cálculos!$AH$5:$AH$1000,738),Cálculos!$AH$5:$AH$1000,0)+4,"")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IFERROR(MATCH(SMALL(Cálculos!$AH$5:$AH$1000,739),Cálculos!$AH$5:$AH$1000,0)+4,"")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IFERROR(MATCH(SMALL(Cálculos!$AH$5:$AH$1000,740),Cálculos!$AH$5:$AH$1000,0)+4,"")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IFERROR(MATCH(SMALL(Cálculos!$AH$5:$AH$1000,741),Cálculos!$AH$5:$AH$1000,0)+4,"")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IFERROR(MATCH(SMALL(Cálculos!$AH$5:$AH$1000,742),Cálculos!$AH$5:$AH$1000,0)+4,"")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IFERROR(MATCH(SMALL(Cálculos!$AH$5:$AH$1000,743),Cálculos!$AH$5:$AH$1000,0)+4,"")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IFERROR(MATCH(SMALL(Cálculos!$AH$5:$AH$1000,744),Cálculos!$AH$5:$AH$1000,0)+4,"")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IFERROR(MATCH(SMALL(Cálculos!$AH$5:$AH$1000,745),Cálculos!$AH$5:$AH$1000,0)+4,"")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IFERROR(MATCH(SMALL(Cálculos!$AH$5:$AH$1000,746),Cálculos!$AH$5:$AH$1000,0)+4,"")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IFERROR(MATCH(SMALL(Cálculos!$AH$5:$AH$1000,747),Cálculos!$AH$5:$AH$1000,0)+4,"")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IFERROR(MATCH(SMALL(Cálculos!$AH$5:$AH$1000,748),Cálculos!$AH$5:$AH$1000,0)+4,"")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IFERROR(MATCH(SMALL(Cálculos!$AH$5:$AH$1000,749),Cálculos!$AH$5:$AH$1000,0)+4,"")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IFERROR(MATCH(SMALL(Cálculos!$AH$5:$AH$1000,750),Cálculos!$AH$5:$AH$1000,0)+4,"")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IFERROR(MATCH(SMALL(Cálculos!$AH$5:$AH$1000,751),Cálculos!$AH$5:$AH$1000,0)+4,"")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IFERROR(MATCH(SMALL(Cálculos!$AH$5:$AH$1000,752),Cálculos!$AH$5:$AH$1000,0)+4,"")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IFERROR(MATCH(SMALL(Cálculos!$AH$5:$AH$1000,753),Cálculos!$AH$5:$AH$1000,0)+4,"")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IFERROR(MATCH(SMALL(Cálculos!$AH$5:$AH$1000,754),Cálculos!$AH$5:$AH$1000,0)+4,"")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IFERROR(MATCH(SMALL(Cálculos!$AH$5:$AH$1000,755),Cálculos!$AH$5:$AH$1000,0)+4,"")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IFERROR(MATCH(SMALL(Cálculos!$AH$5:$AH$1000,756),Cálculos!$AH$5:$AH$1000,0)+4,"")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IFERROR(MATCH(SMALL(Cálculos!$AH$5:$AH$1000,757),Cálculos!$AH$5:$AH$1000,0)+4,"")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IFERROR(MATCH(SMALL(Cálculos!$AH$5:$AH$1000,758),Cálculos!$AH$5:$AH$1000,0)+4,"")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IFERROR(MATCH(SMALL(Cálculos!$AH$5:$AH$1000,759),Cálculos!$AH$5:$AH$1000,0)+4,"")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IFERROR(MATCH(SMALL(Cálculos!$AH$5:$AH$1000,760),Cálculos!$AH$5:$AH$1000,0)+4,"")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IFERROR(MATCH(SMALL(Cálculos!$AH$5:$AH$1000,761),Cálculos!$AH$5:$AH$1000,0)+4,"")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IFERROR(MATCH(SMALL(Cálculos!$AH$5:$AH$1000,762),Cálculos!$AH$5:$AH$1000,0)+4,"")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IFERROR(MATCH(SMALL(Cálculos!$AH$5:$AH$1000,763),Cálculos!$AH$5:$AH$1000,0)+4,"")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IFERROR(MATCH(SMALL(Cálculos!$AH$5:$AH$1000,764),Cálculos!$AH$5:$AH$1000,0)+4,"")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IFERROR(MATCH(SMALL(Cálculos!$AH$5:$AH$1000,765),Cálculos!$AH$5:$AH$1000,0)+4,"")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IFERROR(MATCH(SMALL(Cálculos!$AH$5:$AH$1000,766),Cálculos!$AH$5:$AH$1000,0)+4,"")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IFERROR(MATCH(SMALL(Cálculos!$AH$5:$AH$1000,767),Cálculos!$AH$5:$AH$1000,0)+4,"")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IFERROR(MATCH(SMALL(Cálculos!$AH$5:$AH$1000,768),Cálculos!$AH$5:$AH$1000,0)+4,"")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IFERROR(MATCH(SMALL(Cálculos!$AH$5:$AH$1000,769),Cálculos!$AH$5:$AH$1000,0)+4,"")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IFERROR(MATCH(SMALL(Cálculos!$AH$5:$AH$1000,770),Cálculos!$AH$5:$AH$1000,0)+4,"")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IFERROR(MATCH(SMALL(Cálculos!$AH$5:$AH$1000,771),Cálculos!$AH$5:$AH$1000,0)+4,"")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IFERROR(MATCH(SMALL(Cálculos!$AH$5:$AH$1000,772),Cálculos!$AH$5:$AH$1000,0)+4,"")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IFERROR(MATCH(SMALL(Cálculos!$AH$5:$AH$1000,773),Cálculos!$AH$5:$AH$1000,0)+4,"")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IFERROR(MATCH(SMALL(Cálculos!$AH$5:$AH$1000,774),Cálculos!$AH$5:$AH$1000,0)+4,"")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IFERROR(MATCH(SMALL(Cálculos!$AH$5:$AH$1000,775),Cálculos!$AH$5:$AH$1000,0)+4,"")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IFERROR(MATCH(SMALL(Cálculos!$AH$5:$AH$1000,776),Cálculos!$AH$5:$AH$1000,0)+4,"")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IFERROR(MATCH(SMALL(Cálculos!$AH$5:$AH$1000,777),Cálculos!$AH$5:$AH$1000,0)+4,"")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IFERROR(MATCH(SMALL(Cálculos!$AH$5:$AH$1000,778),Cálculos!$AH$5:$AH$1000,0)+4,"")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IFERROR(MATCH(SMALL(Cálculos!$AH$5:$AH$1000,779),Cálculos!$AH$5:$AH$1000,0)+4,"")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IFERROR(MATCH(SMALL(Cálculos!$AH$5:$AH$1000,780),Cálculos!$AH$5:$AH$1000,0)+4,"")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IFERROR(MATCH(SMALL(Cálculos!$AH$5:$AH$1000,781),Cálculos!$AH$5:$AH$1000,0)+4,"")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IFERROR(MATCH(SMALL(Cálculos!$AH$5:$AH$1000,782),Cálculos!$AH$5:$AH$1000,0)+4,"")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IFERROR(MATCH(SMALL(Cálculos!$AH$5:$AH$1000,783),Cálculos!$AH$5:$AH$1000,0)+4,"")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IFERROR(MATCH(SMALL(Cálculos!$AH$5:$AH$1000,784),Cálculos!$AH$5:$AH$1000,0)+4,"")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IFERROR(MATCH(SMALL(Cálculos!$AH$5:$AH$1000,785),Cálculos!$AH$5:$AH$1000,0)+4,"")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IFERROR(MATCH(SMALL(Cálculos!$AH$5:$AH$1000,786),Cálculos!$AH$5:$AH$1000,0)+4,"")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IFERROR(MATCH(SMALL(Cálculos!$AH$5:$AH$1000,787),Cálculos!$AH$5:$AH$1000,0)+4,"")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IFERROR(MATCH(SMALL(Cálculos!$AH$5:$AH$1000,788),Cálculos!$AH$5:$AH$1000,0)+4,"")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IFERROR(MATCH(SMALL(Cálculos!$AH$5:$AH$1000,789),Cálculos!$AH$5:$AH$1000,0)+4,"")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IFERROR(MATCH(SMALL(Cálculos!$AH$5:$AH$1000,790),Cálculos!$AH$5:$AH$1000,0)+4,"")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IFERROR(MATCH(SMALL(Cálculos!$AH$5:$AH$1000,791),Cálculos!$AH$5:$AH$1000,0)+4,"")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IFERROR(MATCH(SMALL(Cálculos!$AH$5:$AH$1000,792),Cálculos!$AH$5:$AH$1000,0)+4,"")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IFERROR(MATCH(SMALL(Cálculos!$AH$5:$AH$1000,793),Cálculos!$AH$5:$AH$1000,0)+4,"")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IFERROR(MATCH(SMALL(Cálculos!$AH$5:$AH$1000,794),Cálculos!$AH$5:$AH$1000,0)+4,"")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IFERROR(MATCH(SMALL(Cálculos!$AH$5:$AH$1000,795),Cálculos!$AH$5:$AH$1000,0)+4,"")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IFERROR(MATCH(SMALL(Cálculos!$AH$5:$AH$1000,796),Cálculos!$AH$5:$AH$1000,0)+4,"")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IFERROR(MATCH(SMALL(Cálculos!$AH$5:$AH$1000,797),Cálculos!$AH$5:$AH$1000,0)+4,"")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IFERROR(MATCH(SMALL(Cálculos!$AH$5:$AH$1000,798),Cálculos!$AH$5:$AH$1000,0)+4,"")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IFERROR(MATCH(SMALL(Cálculos!$AH$5:$AH$1000,799),Cálculos!$AH$5:$AH$1000,0)+4,"")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IFERROR(MATCH(SMALL(Cálculos!$AH$5:$AH$1000,800),Cálculos!$AH$5:$AH$1000,0)+4,"")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IFERROR(MATCH(SMALL(Cálculos!$AH$5:$AH$1000,801),Cálculos!$AH$5:$AH$1000,0)+4,"")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IFERROR(MATCH(SMALL(Cálculos!$AH$5:$AH$1000,802),Cálculos!$AH$5:$AH$1000,0)+4,"")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IFERROR(MATCH(SMALL(Cálculos!$AH$5:$AH$1000,803),Cálculos!$AH$5:$AH$1000,0)+4,"")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IFERROR(MATCH(SMALL(Cálculos!$AH$5:$AH$1000,804),Cálculos!$AH$5:$AH$1000,0)+4,"")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IFERROR(MATCH(SMALL(Cálculos!$AH$5:$AH$1000,805),Cálculos!$AH$5:$AH$1000,0)+4,"")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IFERROR(MATCH(SMALL(Cálculos!$AH$5:$AH$1000,806),Cálculos!$AH$5:$AH$1000,0)+4,"")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IFERROR(MATCH(SMALL(Cálculos!$AH$5:$AH$1000,807),Cálculos!$AH$5:$AH$1000,0)+4,"")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IFERROR(MATCH(SMALL(Cálculos!$AH$5:$AH$1000,808),Cálculos!$AH$5:$AH$1000,0)+4,"")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IFERROR(MATCH(SMALL(Cálculos!$AH$5:$AH$1000,809),Cálculos!$AH$5:$AH$1000,0)+4,"")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IFERROR(MATCH(SMALL(Cálculos!$AH$5:$AH$1000,810),Cálculos!$AH$5:$AH$1000,0)+4,"")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IFERROR(MATCH(SMALL(Cálculos!$AH$5:$AH$1000,811),Cálculos!$AH$5:$AH$1000,0)+4,"")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IFERROR(MATCH(SMALL(Cálculos!$AH$5:$AH$1000,812),Cálculos!$AH$5:$AH$1000,0)+4,"")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IFERROR(MATCH(SMALL(Cálculos!$AH$5:$AH$1000,813),Cálculos!$AH$5:$AH$1000,0)+4,"")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IFERROR(MATCH(SMALL(Cálculos!$AH$5:$AH$1000,814),Cálculos!$AH$5:$AH$1000,0)+4,"")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IFERROR(MATCH(SMALL(Cálculos!$AH$5:$AH$1000,815),Cálculos!$AH$5:$AH$1000,0)+4,"")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IFERROR(MATCH(SMALL(Cálculos!$AH$5:$AH$1000,816),Cálculos!$AH$5:$AH$1000,0)+4,"")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IFERROR(MATCH(SMALL(Cálculos!$AH$5:$AH$1000,817),Cálculos!$AH$5:$AH$1000,0)+4,"")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IFERROR(MATCH(SMALL(Cálculos!$AH$5:$AH$1000,818),Cálculos!$AH$5:$AH$1000,0)+4,"")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IFERROR(MATCH(SMALL(Cálculos!$AH$5:$AH$1000,819),Cálculos!$AH$5:$AH$1000,0)+4,"")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IFERROR(MATCH(SMALL(Cálculos!$AH$5:$AH$1000,820),Cálculos!$AH$5:$AH$1000,0)+4,"")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IFERROR(MATCH(SMALL(Cálculos!$AH$5:$AH$1000,821),Cálculos!$AH$5:$AH$1000,0)+4,"")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IFERROR(MATCH(SMALL(Cálculos!$AH$5:$AH$1000,822),Cálculos!$AH$5:$AH$1000,0)+4,"")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IFERROR(MATCH(SMALL(Cálculos!$AH$5:$AH$1000,823),Cálculos!$AH$5:$AH$1000,0)+4,"")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IFERROR(MATCH(SMALL(Cálculos!$AH$5:$AH$1000,824),Cálculos!$AH$5:$AH$1000,0)+4,"")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IFERROR(MATCH(SMALL(Cálculos!$AH$5:$AH$1000,825),Cálculos!$AH$5:$AH$1000,0)+4,"")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IFERROR(MATCH(SMALL(Cálculos!$AH$5:$AH$1000,826),Cálculos!$AH$5:$AH$1000,0)+4,"")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IFERROR(MATCH(SMALL(Cálculos!$AH$5:$AH$1000,827),Cálculos!$AH$5:$AH$1000,0)+4,"")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IFERROR(MATCH(SMALL(Cálculos!$AH$5:$AH$1000,828),Cálculos!$AH$5:$AH$1000,0)+4,"")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IFERROR(MATCH(SMALL(Cálculos!$AH$5:$AH$1000,829),Cálculos!$AH$5:$AH$1000,0)+4,"")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IFERROR(MATCH(SMALL(Cálculos!$AH$5:$AH$1000,830),Cálculos!$AH$5:$AH$1000,0)+4,"")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IFERROR(MATCH(SMALL(Cálculos!$AH$5:$AH$1000,831),Cálculos!$AH$5:$AH$1000,0)+4,"")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IFERROR(MATCH(SMALL(Cálculos!$AH$5:$AH$1000,832),Cálculos!$AH$5:$AH$1000,0)+4,"")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IFERROR(MATCH(SMALL(Cálculos!$AH$5:$AH$1000,833),Cálculos!$AH$5:$AH$1000,0)+4,"")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IFERROR(MATCH(SMALL(Cálculos!$AH$5:$AH$1000,834),Cálculos!$AH$5:$AH$1000,0)+4,"")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IFERROR(MATCH(SMALL(Cálculos!$AH$5:$AH$1000,835),Cálculos!$AH$5:$AH$1000,0)+4,"")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IFERROR(MATCH(SMALL(Cálculos!$AH$5:$AH$1000,836),Cálculos!$AH$5:$AH$1000,0)+4,"")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IFERROR(MATCH(SMALL(Cálculos!$AH$5:$AH$1000,837),Cálculos!$AH$5:$AH$1000,0)+4,"")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IFERROR(MATCH(SMALL(Cálculos!$AH$5:$AH$1000,838),Cálculos!$AH$5:$AH$1000,0)+4,"")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IFERROR(MATCH(SMALL(Cálculos!$AH$5:$AH$1000,839),Cálculos!$AH$5:$AH$1000,0)+4,"")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IFERROR(MATCH(SMALL(Cálculos!$AH$5:$AH$1000,840),Cálculos!$AH$5:$AH$1000,0)+4,"")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IFERROR(MATCH(SMALL(Cálculos!$AH$5:$AH$1000,841),Cálculos!$AH$5:$AH$1000,0)+4,"")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IFERROR(MATCH(SMALL(Cálculos!$AH$5:$AH$1000,842),Cálculos!$AH$5:$AH$1000,0)+4,"")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IFERROR(MATCH(SMALL(Cálculos!$AH$5:$AH$1000,843),Cálculos!$AH$5:$AH$1000,0)+4,"")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IFERROR(MATCH(SMALL(Cálculos!$AH$5:$AH$1000,844),Cálculos!$AH$5:$AH$1000,0)+4,"")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IFERROR(MATCH(SMALL(Cálculos!$AH$5:$AH$1000,845),Cálculos!$AH$5:$AH$1000,0)+4,"")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IFERROR(MATCH(SMALL(Cálculos!$AH$5:$AH$1000,846),Cálculos!$AH$5:$AH$1000,0)+4,"")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IFERROR(MATCH(SMALL(Cálculos!$AH$5:$AH$1000,847),Cálculos!$AH$5:$AH$1000,0)+4,"")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IFERROR(MATCH(SMALL(Cálculos!$AH$5:$AH$1000,848),Cálculos!$AH$5:$AH$1000,0)+4,"")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IFERROR(MATCH(SMALL(Cálculos!$AH$5:$AH$1000,849),Cálculos!$AH$5:$AH$1000,0)+4,"")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IFERROR(MATCH(SMALL(Cálculos!$AH$5:$AH$1000,850),Cálculos!$AH$5:$AH$1000,0)+4,"")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IFERROR(MATCH(SMALL(Cálculos!$AH$5:$AH$1000,851),Cálculos!$AH$5:$AH$1000,0)+4,"")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IFERROR(MATCH(SMALL(Cálculos!$AH$5:$AH$1000,852),Cálculos!$AH$5:$AH$1000,0)+4,"")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IFERROR(MATCH(SMALL(Cálculos!$AH$5:$AH$1000,853),Cálculos!$AH$5:$AH$1000,0)+4,"")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IFERROR(MATCH(SMALL(Cálculos!$AH$5:$AH$1000,854),Cálculos!$AH$5:$AH$1000,0)+4,"")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IFERROR(MATCH(SMALL(Cálculos!$AH$5:$AH$1000,855),Cálculos!$AH$5:$AH$1000,0)+4,"")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IFERROR(MATCH(SMALL(Cálculos!$AH$5:$AH$1000,856),Cálculos!$AH$5:$AH$1000,0)+4,"")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IFERROR(MATCH(SMALL(Cálculos!$AH$5:$AH$1000,857),Cálculos!$AH$5:$AH$1000,0)+4,"")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IFERROR(MATCH(SMALL(Cálculos!$AH$5:$AH$1000,858),Cálculos!$AH$5:$AH$1000,0)+4,"")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IFERROR(MATCH(SMALL(Cálculos!$AH$5:$AH$1000,859),Cálculos!$AH$5:$AH$1000,0)+4,"")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IFERROR(MATCH(SMALL(Cálculos!$AH$5:$AH$1000,860),Cálculos!$AH$5:$AH$1000,0)+4,"")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IFERROR(MATCH(SMALL(Cálculos!$AH$5:$AH$1000,861),Cálculos!$AH$5:$AH$1000,0)+4,"")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IFERROR(MATCH(SMALL(Cálculos!$AH$5:$AH$1000,862),Cálculos!$AH$5:$AH$1000,0)+4,"")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IFERROR(MATCH(SMALL(Cálculos!$AH$5:$AH$1000,863),Cálculos!$AH$5:$AH$1000,0)+4,"")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IFERROR(MATCH(SMALL(Cálculos!$AH$5:$AH$1000,864),Cálculos!$AH$5:$AH$1000,0)+4,"")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IFERROR(MATCH(SMALL(Cálculos!$AH$5:$AH$1000,865),Cálculos!$AH$5:$AH$1000,0)+4,"")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IFERROR(MATCH(SMALL(Cálculos!$AH$5:$AH$1000,866),Cálculos!$AH$5:$AH$1000,0)+4,"")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IFERROR(MATCH(SMALL(Cálculos!$AH$5:$AH$1000,867),Cálculos!$AH$5:$AH$1000,0)+4,"")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IFERROR(MATCH(SMALL(Cálculos!$AH$5:$AH$1000,868),Cálculos!$AH$5:$AH$1000,0)+4,"")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IFERROR(MATCH(SMALL(Cálculos!$AH$5:$AH$1000,869),Cálculos!$AH$5:$AH$1000,0)+4,"")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IFERROR(MATCH(SMALL(Cálculos!$AH$5:$AH$1000,870),Cálculos!$AH$5:$AH$1000,0)+4,"")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IFERROR(MATCH(SMALL(Cálculos!$AH$5:$AH$1000,871),Cálculos!$AH$5:$AH$1000,0)+4,"")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IFERROR(MATCH(SMALL(Cálculos!$AH$5:$AH$1000,872),Cálculos!$AH$5:$AH$1000,0)+4,"")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IFERROR(MATCH(SMALL(Cálculos!$AH$5:$AH$1000,873),Cálculos!$AH$5:$AH$1000,0)+4,"")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IFERROR(MATCH(SMALL(Cálculos!$AH$5:$AH$1000,874),Cálculos!$AH$5:$AH$1000,0)+4,"")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IFERROR(MATCH(SMALL(Cálculos!$AH$5:$AH$1000,875),Cálculos!$AH$5:$AH$1000,0)+4,"")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IFERROR(MATCH(SMALL(Cálculos!$AH$5:$AH$1000,876),Cálculos!$AH$5:$AH$1000,0)+4,"")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IFERROR(MATCH(SMALL(Cálculos!$AH$5:$AH$1000,877),Cálculos!$AH$5:$AH$1000,0)+4,"")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IFERROR(MATCH(SMALL(Cálculos!$AH$5:$AH$1000,878),Cálculos!$AH$5:$AH$1000,0)+4,"")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IFERROR(MATCH(SMALL(Cálculos!$AH$5:$AH$1000,879),Cálculos!$AH$5:$AH$1000,0)+4,"")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IFERROR(MATCH(SMALL(Cálculos!$AH$5:$AH$1000,880),Cálculos!$AH$5:$AH$1000,0)+4,"")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IFERROR(MATCH(SMALL(Cálculos!$AH$5:$AH$1000,881),Cálculos!$AH$5:$AH$1000,0)+4,"")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IFERROR(MATCH(SMALL(Cálculos!$AH$5:$AH$1000,882),Cálculos!$AH$5:$AH$1000,0)+4,"")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IFERROR(MATCH(SMALL(Cálculos!$AH$5:$AH$1000,883),Cálculos!$AH$5:$AH$1000,0)+4,"")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IFERROR(MATCH(SMALL(Cálculos!$AH$5:$AH$1000,884),Cálculos!$AH$5:$AH$1000,0)+4,"")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IFERROR(MATCH(SMALL(Cálculos!$AH$5:$AH$1000,885),Cálculos!$AH$5:$AH$1000,0)+4,"")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IFERROR(MATCH(SMALL(Cálculos!$AH$5:$AH$1000,886),Cálculos!$AH$5:$AH$1000,0)+4,"")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IFERROR(MATCH(SMALL(Cálculos!$AH$5:$AH$1000,887),Cálculos!$AH$5:$AH$1000,0)+4,"")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IFERROR(MATCH(SMALL(Cálculos!$AH$5:$AH$1000,888),Cálculos!$AH$5:$AH$1000,0)+4,"")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IFERROR(MATCH(SMALL(Cálculos!$AH$5:$AH$1000,889),Cálculos!$AH$5:$AH$1000,0)+4,"")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IFERROR(MATCH(SMALL(Cálculos!$AH$5:$AH$1000,890),Cálculos!$AH$5:$AH$1000,0)+4,"")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IFERROR(MATCH(SMALL(Cálculos!$AH$5:$AH$1000,891),Cálculos!$AH$5:$AH$1000,0)+4,"")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IFERROR(MATCH(SMALL(Cálculos!$AH$5:$AH$1000,892),Cálculos!$AH$5:$AH$1000,0)+4,"")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IFERROR(MATCH(SMALL(Cálculos!$AH$5:$AH$1000,893),Cálculos!$AH$5:$AH$1000,0)+4,"")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IFERROR(MATCH(SMALL(Cálculos!$AH$5:$AH$1000,894),Cálculos!$AH$5:$AH$1000,0)+4,"")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IFERROR(MATCH(SMALL(Cálculos!$AH$5:$AH$1000,895),Cálculos!$AH$5:$AH$1000,0)+4,"")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IFERROR(MATCH(SMALL(Cálculos!$AH$5:$AH$1000,896),Cálculos!$AH$5:$AH$1000,0)+4,"")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IFERROR(MATCH(SMALL(Cálculos!$AH$5:$AH$1000,897),Cálculos!$AH$5:$AH$1000,0)+4,"")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IFERROR(MATCH(SMALL(Cálculos!$AH$5:$AH$1000,898),Cálculos!$AH$5:$AH$1000,0)+4,"")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IFERROR(MATCH(SMALL(Cálculos!$AH$5:$AH$1000,899),Cálculos!$AH$5:$AH$1000,0)+4,"")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IFERROR(MATCH(SMALL(Cálculos!$AH$5:$AH$1000,900),Cálculos!$AH$5:$AH$1000,0)+4,"")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IFERROR(MATCH(SMALL(Cálculos!$AH$5:$AH$1000,901),Cálculos!$AH$5:$AH$1000,0)+4,"")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IFERROR(MATCH(SMALL(Cálculos!$AH$5:$AH$1000,902),Cálculos!$AH$5:$AH$1000,0)+4,"")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IFERROR(MATCH(SMALL(Cálculos!$AH$5:$AH$1000,903),Cálculos!$AH$5:$AH$1000,0)+4,"")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IFERROR(MATCH(SMALL(Cálculos!$AH$5:$AH$1000,904),Cálculos!$AH$5:$AH$1000,0)+4,"")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IFERROR(MATCH(SMALL(Cálculos!$AH$5:$AH$1000,905),Cálculos!$AH$5:$AH$1000,0)+4,"")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IFERROR(MATCH(SMALL(Cálculos!$AH$5:$AH$1000,906),Cálculos!$AH$5:$AH$1000,0)+4,"")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IFERROR(MATCH(SMALL(Cálculos!$AH$5:$AH$1000,907),Cálculos!$AH$5:$AH$1000,0)+4,"")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IFERROR(MATCH(SMALL(Cálculos!$AH$5:$AH$1000,908),Cálculos!$AH$5:$AH$1000,0)+4,"")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IFERROR(MATCH(SMALL(Cálculos!$AH$5:$AH$1000,909),Cálculos!$AH$5:$AH$1000,0)+4,"")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IFERROR(MATCH(SMALL(Cálculos!$AH$5:$AH$1000,910),Cálculos!$AH$5:$AH$1000,0)+4,"")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IFERROR(MATCH(SMALL(Cálculos!$AH$5:$AH$1000,911),Cálculos!$AH$5:$AH$1000,0)+4,"")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IFERROR(MATCH(SMALL(Cálculos!$AH$5:$AH$1000,912),Cálculos!$AH$5:$AH$1000,0)+4,"")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IFERROR(MATCH(SMALL(Cálculos!$AH$5:$AH$1000,913),Cálculos!$AH$5:$AH$1000,0)+4,"")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IFERROR(MATCH(SMALL(Cálculos!$AH$5:$AH$1000,914),Cálculos!$AH$5:$AH$1000,0)+4,"")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IFERROR(MATCH(SMALL(Cálculos!$AH$5:$AH$1000,915),Cálculos!$AH$5:$AH$1000,0)+4,"")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IFERROR(MATCH(SMALL(Cálculos!$AH$5:$AH$1000,916),Cálculos!$AH$5:$AH$1000,0)+4,"")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IFERROR(MATCH(SMALL(Cálculos!$AH$5:$AH$1000,917),Cálculos!$AH$5:$AH$1000,0)+4,"")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IFERROR(MATCH(SMALL(Cálculos!$AH$5:$AH$1000,918),Cálculos!$AH$5:$AH$1000,0)+4,"")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IFERROR(MATCH(SMALL(Cálculos!$AH$5:$AH$1000,919),Cálculos!$AH$5:$AH$1000,0)+4,"")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IFERROR(MATCH(SMALL(Cálculos!$AH$5:$AH$1000,920),Cálculos!$AH$5:$AH$1000,0)+4,"")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IFERROR(MATCH(SMALL(Cálculos!$AH$5:$AH$1000,921),Cálculos!$AH$5:$AH$1000,0)+4,"")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IFERROR(MATCH(SMALL(Cálculos!$AH$5:$AH$1000,922),Cálculos!$AH$5:$AH$1000,0)+4,"")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IFERROR(MATCH(SMALL(Cálculos!$AH$5:$AH$1000,923),Cálculos!$AH$5:$AH$1000,0)+4,"")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IFERROR(MATCH(SMALL(Cálculos!$AH$5:$AH$1000,924),Cálculos!$AH$5:$AH$1000,0)+4,"")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IFERROR(MATCH(SMALL(Cálculos!$AH$5:$AH$1000,925),Cálculos!$AH$5:$AH$1000,0)+4,"")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IFERROR(MATCH(SMALL(Cálculos!$AH$5:$AH$1000,926),Cálculos!$AH$5:$AH$1000,0)+4,"")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IFERROR(MATCH(SMALL(Cálculos!$AH$5:$AH$1000,927),Cálculos!$AH$5:$AH$1000,0)+4,"")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IFERROR(MATCH(SMALL(Cálculos!$AH$5:$AH$1000,928),Cálculos!$AH$5:$AH$1000,0)+4,"")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IFERROR(MATCH(SMALL(Cálculos!$AH$5:$AH$1000,929),Cálculos!$AH$5:$AH$1000,0)+4,"")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IFERROR(MATCH(SMALL(Cálculos!$AH$5:$AH$1000,930),Cálculos!$AH$5:$AH$1000,0)+4,"")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IFERROR(MATCH(SMALL(Cálculos!$AH$5:$AH$1000,931),Cálculos!$AH$5:$AH$1000,0)+4,"")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IFERROR(MATCH(SMALL(Cálculos!$AH$5:$AH$1000,932),Cálculos!$AH$5:$AH$1000,0)+4,"")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IFERROR(MATCH(SMALL(Cálculos!$AH$5:$AH$1000,933),Cálculos!$AH$5:$AH$1000,0)+4,"")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IFERROR(MATCH(SMALL(Cálculos!$AH$5:$AH$1000,934),Cálculos!$AH$5:$AH$1000,0)+4,"")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IFERROR(MATCH(SMALL(Cálculos!$AH$5:$AH$1000,935),Cálculos!$AH$5:$AH$1000,0)+4,"")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IFERROR(MATCH(SMALL(Cálculos!$AH$5:$AH$1000,936),Cálculos!$AH$5:$AH$1000,0)+4,"")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IFERROR(MATCH(SMALL(Cálculos!$AH$5:$AH$1000,937),Cálculos!$AH$5:$AH$1000,0)+4,"")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IFERROR(MATCH(SMALL(Cálculos!$AH$5:$AH$1000,938),Cálculos!$AH$5:$AH$1000,0)+4,"")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IFERROR(MATCH(SMALL(Cálculos!$AH$5:$AH$1000,939),Cálculos!$AH$5:$AH$1000,0)+4,"")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IFERROR(MATCH(SMALL(Cálculos!$AH$5:$AH$1000,940),Cálculos!$AH$5:$AH$1000,0)+4,"")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IFERROR(MATCH(SMALL(Cálculos!$AH$5:$AH$1000,941),Cálculos!$AH$5:$AH$1000,0)+4,"")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IFERROR(MATCH(SMALL(Cálculos!$AH$5:$AH$1000,942),Cálculos!$AH$5:$AH$1000,0)+4,"")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IFERROR(MATCH(SMALL(Cálculos!$AH$5:$AH$1000,943),Cálculos!$AH$5:$AH$1000,0)+4,"")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IFERROR(MATCH(SMALL(Cálculos!$AH$5:$AH$1000,944),Cálculos!$AH$5:$AH$1000,0)+4,"")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IFERROR(MATCH(SMALL(Cálculos!$AH$5:$AH$1000,945),Cálculos!$AH$5:$AH$1000,0)+4,"")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IFERROR(MATCH(SMALL(Cálculos!$AH$5:$AH$1000,946),Cálculos!$AH$5:$AH$1000,0)+4,"")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IFERROR(MATCH(SMALL(Cálculos!$AH$5:$AH$1000,947),Cálculos!$AH$5:$AH$1000,0)+4,"")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IFERROR(MATCH(SMALL(Cálculos!$AH$5:$AH$1000,948),Cálculos!$AH$5:$AH$1000,0)+4,"")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IFERROR(MATCH(SMALL(Cálculos!$AH$5:$AH$1000,949),Cálculos!$AH$5:$AH$1000,0)+4,"")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IFERROR(MATCH(SMALL(Cálculos!$AH$5:$AH$1000,950),Cálculos!$AH$5:$AH$1000,0)+4,"")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IFERROR(MATCH(SMALL(Cálculos!$AH$5:$AH$1000,951),Cálculos!$AH$5:$AH$1000,0)+4,"")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IFERROR(MATCH(SMALL(Cálculos!$AH$5:$AH$1000,952),Cálculos!$AH$5:$AH$1000,0)+4,"")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IFERROR(MATCH(SMALL(Cálculos!$AH$5:$AH$1000,953),Cálculos!$AH$5:$AH$1000,0)+4,"")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IFERROR(MATCH(SMALL(Cálculos!$AH$5:$AH$1000,954),Cálculos!$AH$5:$AH$1000,0)+4,"")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IFERROR(MATCH(SMALL(Cálculos!$AH$5:$AH$1000,955),Cálculos!$AH$5:$AH$1000,0)+4,"")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IFERROR(MATCH(SMALL(Cálculos!$AH$5:$AH$1000,956),Cálculos!$AH$5:$AH$1000,0)+4,"")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IFERROR(MATCH(SMALL(Cálculos!$AH$5:$AH$1000,957),Cálculos!$AH$5:$AH$1000,0)+4,"")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IFERROR(MATCH(SMALL(Cálculos!$AH$5:$AH$1000,958),Cálculos!$AH$5:$AH$1000,0)+4,"")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IFERROR(MATCH(SMALL(Cálculos!$AH$5:$AH$1000,959),Cálculos!$AH$5:$AH$1000,0)+4,"")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IFERROR(MATCH(SMALL(Cálculos!$AH$5:$AH$1000,960),Cálculos!$AH$5:$AH$1000,0)+4,"")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IFERROR(MATCH(SMALL(Cálculos!$AH$5:$AH$1000,961),Cálculos!$AH$5:$AH$1000,0)+4,"")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IFERROR(MATCH(SMALL(Cálculos!$AH$5:$AH$1000,962),Cálculos!$AH$5:$AH$1000,0)+4,"")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IFERROR(MATCH(SMALL(Cálculos!$AH$5:$AH$1000,963),Cálculos!$AH$5:$AH$1000,0)+4,"")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IFERROR(MATCH(SMALL(Cálculos!$AH$5:$AH$1000,964),Cálculos!$AH$5:$AH$1000,0)+4,"")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IFERROR(MATCH(SMALL(Cálculos!$AH$5:$AH$1000,965),Cálculos!$AH$5:$AH$1000,0)+4,"")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IFERROR(MATCH(SMALL(Cálculos!$AH$5:$AH$1000,966),Cálculos!$AH$5:$AH$1000,0)+4,"")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IFERROR(MATCH(SMALL(Cálculos!$AH$5:$AH$1000,967),Cálculos!$AH$5:$AH$1000,0)+4,"")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IFERROR(MATCH(SMALL(Cálculos!$AH$5:$AH$1000,968),Cálculos!$AH$5:$AH$1000,0)+4,"")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IFERROR(MATCH(SMALL(Cálculos!$AH$5:$AH$1000,969),Cálculos!$AH$5:$AH$1000,0)+4,"")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IFERROR(MATCH(SMALL(Cálculos!$AH$5:$AH$1000,970),Cálculos!$AH$5:$AH$1000,0)+4,"")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IFERROR(MATCH(SMALL(Cálculos!$AH$5:$AH$1000,971),Cálculos!$AH$5:$AH$1000,0)+4,"")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IFERROR(MATCH(SMALL(Cálculos!$AH$5:$AH$1000,972),Cálculos!$AH$5:$AH$1000,0)+4,"")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IFERROR(MATCH(SMALL(Cálculos!$AH$5:$AH$1000,973),Cálculos!$AH$5:$AH$1000,0)+4,"")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IFERROR(MATCH(SMALL(Cálculos!$AH$5:$AH$1000,974),Cálculos!$AH$5:$AH$1000,0)+4,"")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IFERROR(MATCH(SMALL(Cálculos!$AH$5:$AH$1000,975),Cálculos!$AH$5:$AH$1000,0)+4,"")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IFERROR(MATCH(SMALL(Cálculos!$AH$5:$AH$1000,976),Cálculos!$AH$5:$AH$1000,0)+4,"")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IFERROR(MATCH(SMALL(Cálculos!$AH$5:$AH$1000,977),Cálculos!$AH$5:$AH$1000,0)+4,"")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IFERROR(MATCH(SMALL(Cálculos!$AH$5:$AH$1000,978),Cálculos!$AH$5:$AH$1000,0)+4,"")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IFERROR(MATCH(SMALL(Cálculos!$AH$5:$AH$1000,979),Cálculos!$AH$5:$AH$1000,0)+4,"")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IFERROR(MATCH(SMALL(Cálculos!$AH$5:$AH$1000,980),Cálculos!$AH$5:$AH$1000,0)+4,"")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IFERROR(MATCH(SMALL(Cálculos!$AH$5:$AH$1000,981),Cálculos!$AH$5:$AH$1000,0)+4,"")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IFERROR(MATCH(SMALL(Cálculos!$AH$5:$AH$1000,982),Cálculos!$AH$5:$AH$1000,0)+4,"")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IFERROR(MATCH(SMALL(Cálculos!$AH$5:$AH$1000,983),Cálculos!$AH$5:$AH$1000,0)+4,"")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IFERROR(MATCH(SMALL(Cálculos!$AH$5:$AH$1000,984),Cálculos!$AH$5:$AH$1000,0)+4,"")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IFERROR(MATCH(SMALL(Cálculos!$AH$5:$AH$1000,985),Cálculos!$AH$5:$AH$1000,0)+4,"")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IFERROR(MATCH(SMALL(Cálculos!$AH$5:$AH$1000,986),Cálculos!$AH$5:$AH$1000,0)+4,"")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IFERROR(MATCH(SMALL(Cálculos!$AH$5:$AH$1000,987),Cálculos!$AH$5:$AH$1000,0)+4,"")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IFERROR(MATCH(SMALL(Cálculos!$AH$5:$AH$1000,988),Cálculos!$AH$5:$AH$1000,0)+4,"")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IFERROR(MATCH(SMALL(Cálculos!$AH$5:$AH$1000,989),Cálculos!$AH$5:$AH$1000,0)+4,"")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IFERROR(MATCH(SMALL(Cálculos!$AH$5:$AH$1000,990),Cálculos!$AH$5:$AH$1000,0)+4,"")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IFERROR(MATCH(SMALL(Cálculos!$AH$5:$AH$1000,991),Cálculos!$AH$5:$AH$1000,0)+4,"")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IFERROR(MATCH(SMALL(Cálculos!$AH$5:$AH$1000,992),Cálculos!$AH$5:$AH$1000,0)+4,"")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IFERROR(MATCH(SMALL(Cálculos!$AH$5:$AH$1000,993),Cálculos!$AH$5:$AH$1000,0)+4,"")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IFERROR(MATCH(SMALL(Cálculos!$AH$5:$AH$1000,994),Cálculos!$AH$5:$AH$1000,0)+4,"")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IFERROR(MATCH(SMALL(Cálculos!$AH$5:$AH$1000,995),Cálculos!$AH$5:$AH$1000,0)+4,"")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IFERROR(MATCH(SMALL(Cálculos!$AH$5:$AH$1000,996),Cálculos!$AH$5:$AH$1000,0)+4,"")</f>
        <v/>
      </c>
    </row>
  </sheetData>
  <autoFilter ref="A4:E100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H1000"/>
  <sheetViews>
    <sheetView tabSelected="1" workbookViewId="0">
      <selection activeCell="B10" sqref="B10"/>
    </sheetView>
  </sheetViews>
  <sheetFormatPr baseColWidth="10" defaultColWidth="8.88671875" defaultRowHeight="14.4"/>
  <cols>
    <col width="42" customWidth="1" style="38" min="2" max="2"/>
    <col width="12" customWidth="1" style="38" min="3" max="3"/>
    <col width="46" customWidth="1" style="38" min="4" max="4"/>
    <col width="50" customWidth="1" style="38" min="5" max="5"/>
    <col width="36" customWidth="1" style="38" min="6" max="6"/>
    <col width="26" customWidth="1" style="38" min="7" max="7"/>
    <col hidden="1" width="8" customWidth="1" style="38" min="8" max="8"/>
    <col width="11" customWidth="1" style="38" min="9" max="9"/>
  </cols>
  <sheetData>
    <row r="1" ht="21" customHeight="1" s="38">
      <c r="B1" s="1" t="inlineStr">
        <is>
          <t>COLABORADORES CON SITUACIÓN ESPECIAL (NO CUENTAN EN EL % DE CUMPLIMIENTO)</t>
        </is>
      </c>
    </row>
    <row r="2">
      <c r="B2" s="2" t="inlineStr">
        <is>
          <t>Vacaciones, incapacidad, incapacidad por maternidad o renuncia, sin examen realizado (se actualiza automáticamente).</t>
        </is>
      </c>
    </row>
    <row r="3">
      <c r="B3" s="27" t="str">
        <f>"Total: "&amp;COUNT(H5:H1000)&amp;" colaboradores"</f>
        <v>Total: 10 colaboradores</v>
      </c>
    </row>
    <row r="4" ht="28.8" customHeight="1" s="38">
      <c r="B4" s="3" t="inlineStr">
        <is>
          <t>Nombre del Colaborador</t>
        </is>
      </c>
      <c r="C4" s="3" t="inlineStr">
        <is>
          <t>Código de Empleado</t>
        </is>
      </c>
      <c r="D4" s="3" t="inlineStr">
        <is>
          <t>Cargo</t>
        </is>
      </c>
      <c r="E4" s="3" t="inlineStr">
        <is>
          <t>Departamento</t>
        </is>
      </c>
      <c r="F4" s="3" t="inlineStr">
        <is>
          <t>Gerencia Asignada</t>
        </is>
      </c>
      <c r="G4" s="3" t="inlineStr">
        <is>
          <t>Situación especial</t>
        </is>
      </c>
    </row>
    <row r="5">
      <c r="B5" s="5" t="str">
        <f>IF($H5="","",INDEX('Detalle individual'!$B:$B,$H5))</f>
        <v>DORA ALICIA CASTILLO</v>
      </c>
      <c r="C5" s="5" t="str">
        <f>IF($H5="","",INDEX('Detalle individual'!$A:$A,$H5))</f>
        <v>65</v>
      </c>
      <c r="D5" s="5" t="str">
        <f>IF($H5="","",INDEX('Detalle individual'!$E:$E,$H5))</f>
        <v>JEFE DE TALENTO HUMANO</v>
      </c>
      <c r="E5" s="5" t="str">
        <f>IF($H5="","",INDEX('Detalle individual'!$C:$C,$H5))</f>
        <v>DEPARTAMENTO DE TALENTO HUMANO</v>
      </c>
      <c r="F5" s="5" t="str">
        <f>IF($H5="","",INDEX('Detalle individual'!$D:$D,$H5))</f>
        <v>Gerencia Administrativa</v>
      </c>
      <c r="G5" s="5" t="str">
        <f>IF($H5="","",INDEX('Detalle individual'!$F:$F,$H5))</f>
        <v>Vacaciones</v>
      </c>
      <c r="H5">
        <f>IFERROR(MATCH(SMALL(Cálculos!$AJ$5:$AJ$1000,1),Cálculos!$AJ$5:$AJ$1000,0)+4,"")</f>
        <v>49</v>
      </c>
    </row>
    <row r="6">
      <c r="B6" s="5" t="str">
        <f>IF($H6="","",INDEX('Detalle individual'!$B:$B,$H6))</f>
        <v>JOHANA PATRICIA LUNA RAMOS</v>
      </c>
      <c r="C6" s="5" t="str">
        <f>IF($H6="","",INDEX('Detalle individual'!$A:$A,$H6))</f>
        <v>739</v>
      </c>
      <c r="D6" s="5" t="str">
        <f>IF($H6="","",INDEX('Detalle individual'!$E:$E,$H6))</f>
        <v>CAJERO</v>
      </c>
      <c r="E6" s="5" t="str">
        <f>IF($H6="","",INDEX('Detalle individual'!$C:$C,$H6))</f>
        <v>AGENCIA CENTRAL</v>
      </c>
      <c r="F6" s="5" t="str">
        <f>IF($H6="","",INDEX('Detalle individual'!$D:$D,$H6))</f>
        <v>Gerencia de Negocios</v>
      </c>
      <c r="G6" s="5" t="str">
        <f>IF($H6="","",INDEX('Detalle individual'!$F:$F,$H6))</f>
        <v>Incapacidad por maternidad</v>
      </c>
      <c r="H6">
        <f>IFERROR(MATCH(SMALL(Cálculos!$AJ$5:$AJ$1000,2),Cálculos!$AJ$5:$AJ$1000,0)+4,"")</f>
        <v>198</v>
      </c>
    </row>
    <row r="7">
      <c r="B7" s="5" t="str">
        <f>IF($H7="","",INDEX('Detalle individual'!$B:$B,$H7))</f>
        <v>KARLA MERCEDES DELEON DELGADO</v>
      </c>
      <c r="C7" s="5" t="str">
        <f>IF($H7="","",INDEX('Detalle individual'!$A:$A,$H7))</f>
        <v>440</v>
      </c>
      <c r="D7" s="5" t="str">
        <f>IF($H7="","",INDEX('Detalle individual'!$E:$E,$H7))</f>
        <v>JEFE DE AGENCIA</v>
      </c>
      <c r="E7" s="5" t="str">
        <f>IF($H7="","",INDEX('Detalle individual'!$C:$C,$H7))</f>
        <v>AGENCIA CENTRAL</v>
      </c>
      <c r="F7" s="5" t="str">
        <f>IF($H7="","",INDEX('Detalle individual'!$D:$D,$H7))</f>
        <v>Gerencia de Negocios</v>
      </c>
      <c r="G7" s="5" t="str">
        <f>IF($H7="","",INDEX('Detalle individual'!$F:$F,$H7))</f>
        <v>Vacaciones</v>
      </c>
      <c r="H7">
        <f>IFERROR(MATCH(SMALL(Cálculos!$AJ$5:$AJ$1000,3),Cálculos!$AJ$5:$AJ$1000,0)+4,"")</f>
        <v>196</v>
      </c>
    </row>
    <row r="8">
      <c r="B8" s="5" t="str">
        <f>IF($H8="","",INDEX('Detalle individual'!$B:$B,$H8))</f>
        <v>DORIS ELISA HERNANDEZ</v>
      </c>
      <c r="C8" s="5" t="str">
        <f>IF($H8="","",INDEX('Detalle individual'!$A:$A,$H8))</f>
        <v>466</v>
      </c>
      <c r="D8" s="5" t="str">
        <f>IF($H8="","",INDEX('Detalle individual'!$E:$E,$H8))</f>
        <v>SERVICIOS VARIOS</v>
      </c>
      <c r="E8" s="5" t="str">
        <f>IF($H8="","",INDEX('Detalle individual'!$C:$C,$H8))</f>
        <v>AGENCIA COLEGIO MEDICO</v>
      </c>
      <c r="F8" s="5" t="str">
        <f>IF($H8="","",INDEX('Detalle individual'!$D:$D,$H8))</f>
        <v>Gerencia de Negocios</v>
      </c>
      <c r="G8" s="5" t="str">
        <f>IF($H8="","",INDEX('Detalle individual'!$F:$F,$H8))</f>
        <v>Vacaciones</v>
      </c>
      <c r="H8">
        <f>IFERROR(MATCH(SMALL(Cálculos!$AJ$5:$AJ$1000,4),Cálculos!$AJ$5:$AJ$1000,0)+4,"")</f>
        <v>213</v>
      </c>
    </row>
    <row r="9">
      <c r="B9" s="5" t="str">
        <f>IF($H9="","",INDEX('Detalle individual'!$B:$B,$H9))</f>
        <v>SANDRA MARINA BERRIOS SANTOS</v>
      </c>
      <c r="C9" s="5" t="str">
        <f>IF($H9="","",INDEX('Detalle individual'!$A:$A,$H9))</f>
        <v>861</v>
      </c>
      <c r="D9" s="5" t="str">
        <f>IF($H9="","",INDEX('Detalle individual'!$E:$E,$H9))</f>
        <v>CAJERO</v>
      </c>
      <c r="E9" s="5" t="str">
        <f>IF($H9="","",INDEX('Detalle individual'!$C:$C,$H9))</f>
        <v>AGENCIA SAN MIGUEL</v>
      </c>
      <c r="F9" s="5" t="str">
        <f>IF($H9="","",INDEX('Detalle individual'!$D:$D,$H9))</f>
        <v>Gerencia de Negocios</v>
      </c>
      <c r="G9" s="5" t="str">
        <f>IF($H9="","",INDEX('Detalle individual'!$F:$F,$H9))</f>
        <v>Incapacidad por maternidad</v>
      </c>
      <c r="H9">
        <f>IFERROR(MATCH(SMALL(Cálculos!$AJ$5:$AJ$1000,5),Cálculos!$AJ$5:$AJ$1000,0)+4,"")</f>
        <v>228</v>
      </c>
    </row>
    <row r="10">
      <c r="B10" s="5" t="str">
        <f>IF($H10="","",INDEX('Detalle individual'!$B:$B,$H10))</f>
        <v>LUIS ALBERTO MEJIA DELGADO</v>
      </c>
      <c r="C10" s="5" t="str">
        <f>IF($H10="","",INDEX('Detalle individual'!$A:$A,$H10))</f>
        <v>835</v>
      </c>
      <c r="D10" s="5" t="str">
        <f>IF($H10="","",INDEX('Detalle individual'!$E:$E,$H10))</f>
        <v>EJECUTIVO DE NEGOCIOS</v>
      </c>
      <c r="E10" s="5" t="str">
        <f>IF($H10="","",INDEX('Detalle individual'!$C:$C,$H10))</f>
        <v>DEPARTAMENTO COMERCIAL DE TARJETA DE CREDITO Y DEBITO</v>
      </c>
      <c r="F10" s="5" t="str">
        <f>IF($H10="","",INDEX('Detalle individual'!$D:$D,$H10))</f>
        <v>Gerencia de Negocios</v>
      </c>
      <c r="G10" s="5" t="str">
        <f>IF($H10="","",INDEX('Detalle individual'!$F:$F,$H10))</f>
        <v>Renuncia</v>
      </c>
      <c r="H10">
        <f>IFERROR(MATCH(SMALL(Cálculos!$AJ$5:$AJ$1000,6),Cálculos!$AJ$5:$AJ$1000,0)+4,"")</f>
        <v>182</v>
      </c>
    </row>
    <row r="11">
      <c r="B11" s="5" t="str">
        <f>IF($H11="","",INDEX('Detalle individual'!$B:$B,$H11))</f>
        <v>ERIKA VANESSA ALEMAN MIJANGO</v>
      </c>
      <c r="C11" s="5" t="str">
        <f>IF($H11="","",INDEX('Detalle individual'!$A:$A,$H11))</f>
        <v>802</v>
      </c>
      <c r="D11" s="5" t="str">
        <f>IF($H11="","",INDEX('Detalle individual'!$E:$E,$H11))</f>
        <v>EJECUTIVO DE VENTA DE SEGUROS</v>
      </c>
      <c r="E11" s="5" t="str">
        <f>IF($H11="","",INDEX('Detalle individual'!$C:$C,$H11))</f>
        <v>DEPARTAMENTO DE SEGUROS</v>
      </c>
      <c r="F11" s="5" t="str">
        <f>IF($H11="","",INDEX('Detalle individual'!$D:$D,$H11))</f>
        <v>Gerencia de Negocios</v>
      </c>
      <c r="G11" s="5" t="str">
        <f>IF($H11="","",INDEX('Detalle individual'!$F:$F,$H11))</f>
        <v>Renuncia</v>
      </c>
      <c r="H11">
        <f>IFERROR(MATCH(SMALL(Cálculos!$AJ$5:$AJ$1000,7),Cálculos!$AJ$5:$AJ$1000,0)+4,"")</f>
        <v>172</v>
      </c>
    </row>
    <row r="12">
      <c r="B12" s="5" t="str">
        <f>IF($H12="","",INDEX('Detalle individual'!$B:$B,$H12))</f>
        <v>ALBA BEATRIZ MELENDEZ PRUDENCIO</v>
      </c>
      <c r="C12" s="5" t="str">
        <f>IF($H12="","",INDEX('Detalle individual'!$A:$A,$H12))</f>
        <v>885</v>
      </c>
      <c r="D12" s="5" t="str">
        <f>IF($H12="","",INDEX('Detalle individual'!$E:$E,$H12))</f>
        <v>ASISTENTE DE RECUPERACION JUDICIAL Y CARTERA CASTIGADA</v>
      </c>
      <c r="E12" s="5" t="str">
        <f>IF($H12="","",INDEX('Detalle individual'!$C:$C,$H12))</f>
        <v>DEPARTAMENTO DE SOLUCIONES FINANCIERAS</v>
      </c>
      <c r="F12" s="5" t="str">
        <f>IF($H12="","",INDEX('Detalle individual'!$D:$D,$H12))</f>
        <v>Gerencia de Operaciones</v>
      </c>
      <c r="G12" s="5" t="str">
        <f>IF($H12="","",INDEX('Detalle individual'!$F:$F,$H12))</f>
        <v>Renuncia</v>
      </c>
      <c r="H12">
        <f>IFERROR(MATCH(SMALL(Cálculos!$AJ$5:$AJ$1000,8),Cálculos!$AJ$5:$AJ$1000,0)+4,"")</f>
        <v>68</v>
      </c>
    </row>
    <row r="13">
      <c r="B13" s="5" t="str">
        <f>IF($H13="","",INDEX('Detalle individual'!$B:$B,$H13))</f>
        <v>GEOVANNI LIZAMA PORTILLO</v>
      </c>
      <c r="C13" s="5" t="str">
        <f>IF($H13="","",INDEX('Detalle individual'!$A:$A,$H13))</f>
        <v>399</v>
      </c>
      <c r="D13" s="5" t="str">
        <f>IF($H13="","",INDEX('Detalle individual'!$E:$E,$H13))</f>
        <v>JEFE DE TARJETA DE CREDITO Y DEBITO</v>
      </c>
      <c r="E13" s="5" t="str">
        <f>IF($H13="","",INDEX('Detalle individual'!$C:$C,$H13))</f>
        <v>DEPARTAMENTO DE TARJETA DE CREDITO Y DEBITO</v>
      </c>
      <c r="F13" s="5" t="str">
        <f>IF($H13="","",INDEX('Detalle individual'!$D:$D,$H13))</f>
        <v>Gerencia de Operaciones</v>
      </c>
      <c r="G13" s="5" t="str">
        <f>IF($H13="","",INDEX('Detalle individual'!$F:$F,$H13))</f>
        <v>Incapacidad</v>
      </c>
      <c r="H13">
        <f>IFERROR(MATCH(SMALL(Cálculos!$AJ$5:$AJ$1000,9),Cálculos!$AJ$5:$AJ$1000,0)+4,"")</f>
        <v>70</v>
      </c>
    </row>
    <row r="14">
      <c r="B14" s="5" t="str">
        <f>IF($H14="","",INDEX('Detalle individual'!$B:$B,$H14))</f>
        <v>HUGO MARVIN SERRANO SARAVIA</v>
      </c>
      <c r="C14" s="5" t="str">
        <f>IF($H14="","",INDEX('Detalle individual'!$A:$A,$H14))</f>
        <v>90</v>
      </c>
      <c r="D14" s="5" t="str">
        <f>IF($H14="","",INDEX('Detalle individual'!$E:$E,$H14))</f>
        <v>OPERADOR DE SISTEMAS</v>
      </c>
      <c r="E14" s="5" t="str">
        <f>IF($H14="","",INDEX('Detalle individual'!$C:$C,$H14))</f>
        <v>DEPARTAMENTO DE OPERACIONES Y SOPORTE TECNICO</v>
      </c>
      <c r="F14" s="5" t="str">
        <f>IF($H14="","",INDEX('Detalle individual'!$D:$D,$H14))</f>
        <v>Gerencia de Sistemas</v>
      </c>
      <c r="G14" s="5" t="str">
        <f>IF($H14="","",INDEX('Detalle individual'!$F:$F,$H14))</f>
        <v>Vacaciones</v>
      </c>
      <c r="H14">
        <f>IFERROR(MATCH(SMALL(Cálculos!$AJ$5:$AJ$1000,10),Cálculos!$AJ$5:$AJ$1000,0)+4,"")</f>
        <v>104</v>
      </c>
    </row>
    <row r="15">
      <c r="B15" s="5" t="str">
        <f>IF($H15="","",INDEX('Detalle individual'!$B:$B,$H15))</f>
        <v/>
      </c>
      <c r="C15" s="5" t="str">
        <f>IF($H15="","",INDEX('Detalle individual'!$A:$A,$H15))</f>
        <v/>
      </c>
      <c r="D15" s="5" t="str">
        <f>IF($H15="","",INDEX('Detalle individual'!$E:$E,$H15))</f>
        <v/>
      </c>
      <c r="E15" s="5" t="str">
        <f>IF($H15="","",INDEX('Detalle individual'!$C:$C,$H15))</f>
        <v/>
      </c>
      <c r="F15" s="5" t="str">
        <f>IF($H15="","",INDEX('Detalle individual'!$D:$D,$H15))</f>
        <v/>
      </c>
      <c r="G15" s="5" t="str">
        <f>IF($H15="","",INDEX('Detalle individual'!$F:$F,$H15))</f>
        <v/>
      </c>
      <c r="H15" t="str">
        <f>IFERROR(MATCH(SMALL(Cálculos!$AJ$5:$AJ$1000,11),Cálculos!$AJ$5:$AJ$1000,0)+4,"")</f>
        <v/>
      </c>
    </row>
    <row r="16">
      <c r="B16" s="5" t="str">
        <f>IF($H16="","",INDEX('Detalle individual'!$B:$B,$H16))</f>
        <v/>
      </c>
      <c r="C16" s="5" t="str">
        <f>IF($H16="","",INDEX('Detalle individual'!$A:$A,$H16))</f>
        <v/>
      </c>
      <c r="D16" s="5" t="str">
        <f>IF($H16="","",INDEX('Detalle individual'!$E:$E,$H16))</f>
        <v/>
      </c>
      <c r="E16" s="5" t="str">
        <f>IF($H16="","",INDEX('Detalle individual'!$C:$C,$H16))</f>
        <v/>
      </c>
      <c r="F16" s="5" t="str">
        <f>IF($H16="","",INDEX('Detalle individual'!$D:$D,$H16))</f>
        <v/>
      </c>
      <c r="G16" s="5" t="str">
        <f>IF($H16="","",INDEX('Detalle individual'!$F:$F,$H16))</f>
        <v/>
      </c>
      <c r="H16" t="str">
        <f>IFERROR(MATCH(SMALL(Cálculos!$AJ$5:$AJ$1000,12),Cálculos!$AJ$5:$AJ$1000,0)+4,"")</f>
        <v/>
      </c>
    </row>
    <row r="17">
      <c r="B17" s="5" t="str">
        <f>IF($H17="","",INDEX('Detalle individual'!$B:$B,$H17))</f>
        <v/>
      </c>
      <c r="C17" s="5" t="str">
        <f>IF($H17="","",INDEX('Detalle individual'!$A:$A,$H17))</f>
        <v/>
      </c>
      <c r="D17" s="5" t="str">
        <f>IF($H17="","",INDEX('Detalle individual'!$E:$E,$H17))</f>
        <v/>
      </c>
      <c r="E17" s="5" t="str">
        <f>IF($H17="","",INDEX('Detalle individual'!$C:$C,$H17))</f>
        <v/>
      </c>
      <c r="F17" s="5" t="str">
        <f>IF($H17="","",INDEX('Detalle individual'!$D:$D,$H17))</f>
        <v/>
      </c>
      <c r="G17" s="5" t="str">
        <f>IF($H17="","",INDEX('Detalle individual'!$F:$F,$H17))</f>
        <v/>
      </c>
      <c r="H17" t="str">
        <f>IFERROR(MATCH(SMALL(Cálculos!$AJ$5:$AJ$1000,13),Cálculos!$AJ$5:$AJ$1000,0)+4,"")</f>
        <v/>
      </c>
    </row>
    <row r="18">
      <c r="B18" s="5" t="str">
        <f>IF($H18="","",INDEX('Detalle individual'!$B:$B,$H18))</f>
        <v/>
      </c>
      <c r="C18" s="5" t="str">
        <f>IF($H18="","",INDEX('Detalle individual'!$A:$A,$H18))</f>
        <v/>
      </c>
      <c r="D18" s="5" t="str">
        <f>IF($H18="","",INDEX('Detalle individual'!$E:$E,$H18))</f>
        <v/>
      </c>
      <c r="E18" s="5" t="str">
        <f>IF($H18="","",INDEX('Detalle individual'!$C:$C,$H18))</f>
        <v/>
      </c>
      <c r="F18" s="5" t="str">
        <f>IF($H18="","",INDEX('Detalle individual'!$D:$D,$H18))</f>
        <v/>
      </c>
      <c r="G18" s="5" t="str">
        <f>IF($H18="","",INDEX('Detalle individual'!$F:$F,$H18))</f>
        <v/>
      </c>
      <c r="H18" t="str">
        <f>IFERROR(MATCH(SMALL(Cálculos!$AJ$5:$AJ$1000,14),Cálculos!$AJ$5:$AJ$1000,0)+4,"")</f>
        <v/>
      </c>
    </row>
    <row r="19">
      <c r="B19" s="5" t="str">
        <f>IF($H19="","",INDEX('Detalle individual'!$B:$B,$H19))</f>
        <v/>
      </c>
      <c r="C19" s="5" t="str">
        <f>IF($H19="","",INDEX('Detalle individual'!$A:$A,$H19))</f>
        <v/>
      </c>
      <c r="D19" s="5" t="str">
        <f>IF($H19="","",INDEX('Detalle individual'!$E:$E,$H19))</f>
        <v/>
      </c>
      <c r="E19" s="5" t="str">
        <f>IF($H19="","",INDEX('Detalle individual'!$C:$C,$H19))</f>
        <v/>
      </c>
      <c r="F19" s="5" t="str">
        <f>IF($H19="","",INDEX('Detalle individual'!$D:$D,$H19))</f>
        <v/>
      </c>
      <c r="G19" s="5" t="str">
        <f>IF($H19="","",INDEX('Detalle individual'!$F:$F,$H19))</f>
        <v/>
      </c>
      <c r="H19" t="str">
        <f>IFERROR(MATCH(SMALL(Cálculos!$AJ$5:$AJ$1000,15),Cálculos!$AJ$5:$AJ$1000,0)+4,"")</f>
        <v/>
      </c>
    </row>
    <row r="20">
      <c r="B20" s="5" t="str">
        <f>IF($H20="","",INDEX('Detalle individual'!$B:$B,$H20))</f>
        <v/>
      </c>
      <c r="C20" s="5" t="str">
        <f>IF($H20="","",INDEX('Detalle individual'!$A:$A,$H20))</f>
        <v/>
      </c>
      <c r="D20" s="5" t="str">
        <f>IF($H20="","",INDEX('Detalle individual'!$E:$E,$H20))</f>
        <v/>
      </c>
      <c r="E20" s="5" t="str">
        <f>IF($H20="","",INDEX('Detalle individual'!$C:$C,$H20))</f>
        <v/>
      </c>
      <c r="F20" s="5" t="str">
        <f>IF($H20="","",INDEX('Detalle individual'!$D:$D,$H20))</f>
        <v/>
      </c>
      <c r="G20" s="5" t="str">
        <f>IF($H20="","",INDEX('Detalle individual'!$F:$F,$H20))</f>
        <v/>
      </c>
      <c r="H20" t="str">
        <f>IFERROR(MATCH(SMALL(Cálculos!$AJ$5:$AJ$1000,16),Cálculos!$AJ$5:$AJ$1000,0)+4,"")</f>
        <v/>
      </c>
    </row>
    <row r="21">
      <c r="B21" s="5" t="str">
        <f>IF($H21="","",INDEX('Detalle individual'!$B:$B,$H21))</f>
        <v/>
      </c>
      <c r="C21" s="5" t="str">
        <f>IF($H21="","",INDEX('Detalle individual'!$A:$A,$H21))</f>
        <v/>
      </c>
      <c r="D21" s="5" t="str">
        <f>IF($H21="","",INDEX('Detalle individual'!$E:$E,$H21))</f>
        <v/>
      </c>
      <c r="E21" s="5" t="str">
        <f>IF($H21="","",INDEX('Detalle individual'!$C:$C,$H21))</f>
        <v/>
      </c>
      <c r="F21" s="5" t="str">
        <f>IF($H21="","",INDEX('Detalle individual'!$D:$D,$H21))</f>
        <v/>
      </c>
      <c r="G21" s="5" t="str">
        <f>IF($H21="","",INDEX('Detalle individual'!$F:$F,$H21))</f>
        <v/>
      </c>
      <c r="H21" t="str">
        <f>IFERROR(MATCH(SMALL(Cálculos!$AJ$5:$AJ$1000,17),Cálculos!$AJ$5:$AJ$1000,0)+4,"")</f>
        <v/>
      </c>
    </row>
    <row r="22">
      <c r="B22" s="5" t="str">
        <f>IF($H22="","",INDEX('Detalle individual'!$B:$B,$H22))</f>
        <v/>
      </c>
      <c r="C22" s="5" t="str">
        <f>IF($H22="","",INDEX('Detalle individual'!$A:$A,$H22))</f>
        <v/>
      </c>
      <c r="D22" s="5" t="str">
        <f>IF($H22="","",INDEX('Detalle individual'!$E:$E,$H22))</f>
        <v/>
      </c>
      <c r="E22" s="5" t="str">
        <f>IF($H22="","",INDEX('Detalle individual'!$C:$C,$H22))</f>
        <v/>
      </c>
      <c r="F22" s="5" t="str">
        <f>IF($H22="","",INDEX('Detalle individual'!$D:$D,$H22))</f>
        <v/>
      </c>
      <c r="G22" s="5" t="str">
        <f>IF($H22="","",INDEX('Detalle individual'!$F:$F,$H22))</f>
        <v/>
      </c>
      <c r="H22" t="str">
        <f>IFERROR(MATCH(SMALL(Cálculos!$AJ$5:$AJ$1000,18),Cálculos!$AJ$5:$AJ$1000,0)+4,"")</f>
        <v/>
      </c>
    </row>
    <row r="23">
      <c r="B23" s="5" t="str">
        <f>IF($H23="","",INDEX('Detalle individual'!$B:$B,$H23))</f>
        <v/>
      </c>
      <c r="C23" s="5" t="str">
        <f>IF($H23="","",INDEX('Detalle individual'!$A:$A,$H23))</f>
        <v/>
      </c>
      <c r="D23" s="5" t="str">
        <f>IF($H23="","",INDEX('Detalle individual'!$E:$E,$H23))</f>
        <v/>
      </c>
      <c r="E23" s="5" t="str">
        <f>IF($H23="","",INDEX('Detalle individual'!$C:$C,$H23))</f>
        <v/>
      </c>
      <c r="F23" s="5" t="str">
        <f>IF($H23="","",INDEX('Detalle individual'!$D:$D,$H23))</f>
        <v/>
      </c>
      <c r="G23" s="5" t="str">
        <f>IF($H23="","",INDEX('Detalle individual'!$F:$F,$H23))</f>
        <v/>
      </c>
      <c r="H23" t="str">
        <f>IFERROR(MATCH(SMALL(Cálculos!$AJ$5:$AJ$1000,19),Cálculos!$AJ$5:$AJ$1000,0)+4,"")</f>
        <v/>
      </c>
    </row>
    <row r="24">
      <c r="B24" s="5" t="str">
        <f>IF($H24="","",INDEX('Detalle individual'!$B:$B,$H24))</f>
        <v/>
      </c>
      <c r="C24" s="5" t="str">
        <f>IF($H24="","",INDEX('Detalle individual'!$A:$A,$H24))</f>
        <v/>
      </c>
      <c r="D24" s="5" t="str">
        <f>IF($H24="","",INDEX('Detalle individual'!$E:$E,$H24))</f>
        <v/>
      </c>
      <c r="E24" s="5" t="str">
        <f>IF($H24="","",INDEX('Detalle individual'!$C:$C,$H24))</f>
        <v/>
      </c>
      <c r="F24" s="5" t="str">
        <f>IF($H24="","",INDEX('Detalle individual'!$D:$D,$H24))</f>
        <v/>
      </c>
      <c r="G24" s="5" t="str">
        <f>IF($H24="","",INDEX('Detalle individual'!$F:$F,$H24))</f>
        <v/>
      </c>
      <c r="H24" t="str">
        <f>IFERROR(MATCH(SMALL(Cálculos!$AJ$5:$AJ$1000,20),Cálculos!$AJ$5:$AJ$1000,0)+4,"")</f>
        <v/>
      </c>
    </row>
    <row r="25">
      <c r="B25" s="5" t="str">
        <f>IF($H25="","",INDEX('Detalle individual'!$B:$B,$H25))</f>
        <v/>
      </c>
      <c r="C25" s="5" t="str">
        <f>IF($H25="","",INDEX('Detalle individual'!$A:$A,$H25))</f>
        <v/>
      </c>
      <c r="D25" s="5" t="str">
        <f>IF($H25="","",INDEX('Detalle individual'!$E:$E,$H25))</f>
        <v/>
      </c>
      <c r="E25" s="5" t="str">
        <f>IF($H25="","",INDEX('Detalle individual'!$C:$C,$H25))</f>
        <v/>
      </c>
      <c r="F25" s="5" t="str">
        <f>IF($H25="","",INDEX('Detalle individual'!$D:$D,$H25))</f>
        <v/>
      </c>
      <c r="G25" s="5" t="str">
        <f>IF($H25="","",INDEX('Detalle individual'!$F:$F,$H25))</f>
        <v/>
      </c>
      <c r="H25" t="str">
        <f>IFERROR(MATCH(SMALL(Cálculos!$AJ$5:$AJ$1000,21),Cálculos!$AJ$5:$AJ$1000,0)+4,"")</f>
        <v/>
      </c>
    </row>
    <row r="26">
      <c r="B26" s="5" t="str">
        <f>IF($H26="","",INDEX('Detalle individual'!$B:$B,$H26))</f>
        <v/>
      </c>
      <c r="C26" s="5" t="str">
        <f>IF($H26="","",INDEX('Detalle individual'!$A:$A,$H26))</f>
        <v/>
      </c>
      <c r="D26" s="5" t="str">
        <f>IF($H26="","",INDEX('Detalle individual'!$E:$E,$H26))</f>
        <v/>
      </c>
      <c r="E26" s="5" t="str">
        <f>IF($H26="","",INDEX('Detalle individual'!$C:$C,$H26))</f>
        <v/>
      </c>
      <c r="F26" s="5" t="str">
        <f>IF($H26="","",INDEX('Detalle individual'!$D:$D,$H26))</f>
        <v/>
      </c>
      <c r="G26" s="5" t="str">
        <f>IF($H26="","",INDEX('Detalle individual'!$F:$F,$H26))</f>
        <v/>
      </c>
      <c r="H26" t="str">
        <f>IFERROR(MATCH(SMALL(Cálculos!$AJ$5:$AJ$1000,22),Cálculos!$AJ$5:$AJ$1000,0)+4,"")</f>
        <v/>
      </c>
    </row>
    <row r="27">
      <c r="B27" s="5" t="str">
        <f>IF($H27="","",INDEX('Detalle individual'!$B:$B,$H27))</f>
        <v/>
      </c>
      <c r="C27" s="5" t="str">
        <f>IF($H27="","",INDEX('Detalle individual'!$A:$A,$H27))</f>
        <v/>
      </c>
      <c r="D27" s="5" t="str">
        <f>IF($H27="","",INDEX('Detalle individual'!$E:$E,$H27))</f>
        <v/>
      </c>
      <c r="E27" s="5" t="str">
        <f>IF($H27="","",INDEX('Detalle individual'!$C:$C,$H27))</f>
        <v/>
      </c>
      <c r="F27" s="5" t="str">
        <f>IF($H27="","",INDEX('Detalle individual'!$D:$D,$H27))</f>
        <v/>
      </c>
      <c r="G27" s="5" t="str">
        <f>IF($H27="","",INDEX('Detalle individual'!$F:$F,$H27))</f>
        <v/>
      </c>
      <c r="H27" t="str">
        <f>IFERROR(MATCH(SMALL(Cálculos!$AJ$5:$AJ$1000,23),Cálculos!$AJ$5:$AJ$1000,0)+4,"")</f>
        <v/>
      </c>
    </row>
    <row r="28">
      <c r="B28" s="5" t="str">
        <f>IF($H28="","",INDEX('Detalle individual'!$B:$B,$H28))</f>
        <v/>
      </c>
      <c r="C28" s="5" t="str">
        <f>IF($H28="","",INDEX('Detalle individual'!$A:$A,$H28))</f>
        <v/>
      </c>
      <c r="D28" s="5" t="str">
        <f>IF($H28="","",INDEX('Detalle individual'!$E:$E,$H28))</f>
        <v/>
      </c>
      <c r="E28" s="5" t="str">
        <f>IF($H28="","",INDEX('Detalle individual'!$C:$C,$H28))</f>
        <v/>
      </c>
      <c r="F28" s="5" t="str">
        <f>IF($H28="","",INDEX('Detalle individual'!$D:$D,$H28))</f>
        <v/>
      </c>
      <c r="G28" s="5" t="str">
        <f>IF($H28="","",INDEX('Detalle individual'!$F:$F,$H28))</f>
        <v/>
      </c>
      <c r="H28" t="str">
        <f>IFERROR(MATCH(SMALL(Cálculos!$AJ$5:$AJ$1000,24),Cálculos!$AJ$5:$AJ$1000,0)+4,"")</f>
        <v/>
      </c>
    </row>
    <row r="29">
      <c r="B29" s="5" t="str">
        <f>IF($H29="","",INDEX('Detalle individual'!$B:$B,$H29))</f>
        <v/>
      </c>
      <c r="C29" s="5" t="str">
        <f>IF($H29="","",INDEX('Detalle individual'!$A:$A,$H29))</f>
        <v/>
      </c>
      <c r="D29" s="5" t="str">
        <f>IF($H29="","",INDEX('Detalle individual'!$E:$E,$H29))</f>
        <v/>
      </c>
      <c r="E29" s="5" t="str">
        <f>IF($H29="","",INDEX('Detalle individual'!$C:$C,$H29))</f>
        <v/>
      </c>
      <c r="F29" s="5" t="str">
        <f>IF($H29="","",INDEX('Detalle individual'!$D:$D,$H29))</f>
        <v/>
      </c>
      <c r="G29" s="5" t="str">
        <f>IF($H29="","",INDEX('Detalle individual'!$F:$F,$H29))</f>
        <v/>
      </c>
      <c r="H29" t="str">
        <f>IFERROR(MATCH(SMALL(Cálculos!$AJ$5:$AJ$1000,25),Cálculos!$AJ$5:$AJ$1000,0)+4,"")</f>
        <v/>
      </c>
    </row>
    <row r="30">
      <c r="B30" s="5" t="str">
        <f>IF($H30="","",INDEX('Detalle individual'!$B:$B,$H30))</f>
        <v/>
      </c>
      <c r="C30" s="5" t="str">
        <f>IF($H30="","",INDEX('Detalle individual'!$A:$A,$H30))</f>
        <v/>
      </c>
      <c r="D30" s="5" t="str">
        <f>IF($H30="","",INDEX('Detalle individual'!$E:$E,$H30))</f>
        <v/>
      </c>
      <c r="E30" s="5" t="str">
        <f>IF($H30="","",INDEX('Detalle individual'!$C:$C,$H30))</f>
        <v/>
      </c>
      <c r="F30" s="5" t="str">
        <f>IF($H30="","",INDEX('Detalle individual'!$D:$D,$H30))</f>
        <v/>
      </c>
      <c r="G30" s="5" t="str">
        <f>IF($H30="","",INDEX('Detalle individual'!$F:$F,$H30))</f>
        <v/>
      </c>
      <c r="H30" t="str">
        <f>IFERROR(MATCH(SMALL(Cálculos!$AJ$5:$AJ$1000,26),Cálculos!$AJ$5:$AJ$1000,0)+4,"")</f>
        <v/>
      </c>
    </row>
    <row r="31">
      <c r="B31" s="5" t="str">
        <f>IF($H31="","",INDEX('Detalle individual'!$B:$B,$H31))</f>
        <v/>
      </c>
      <c r="C31" s="5" t="str">
        <f>IF($H31="","",INDEX('Detalle individual'!$A:$A,$H31))</f>
        <v/>
      </c>
      <c r="D31" s="5" t="str">
        <f>IF($H31="","",INDEX('Detalle individual'!$E:$E,$H31))</f>
        <v/>
      </c>
      <c r="E31" s="5" t="str">
        <f>IF($H31="","",INDEX('Detalle individual'!$C:$C,$H31))</f>
        <v/>
      </c>
      <c r="F31" s="5" t="str">
        <f>IF($H31="","",INDEX('Detalle individual'!$D:$D,$H31))</f>
        <v/>
      </c>
      <c r="G31" s="5" t="str">
        <f>IF($H31="","",INDEX('Detalle individual'!$F:$F,$H31))</f>
        <v/>
      </c>
      <c r="H31" t="str">
        <f>IFERROR(MATCH(SMALL(Cálculos!$AJ$5:$AJ$1000,27),Cálculos!$AJ$5:$AJ$1000,0)+4,"")</f>
        <v/>
      </c>
    </row>
    <row r="32">
      <c r="B32" s="5" t="str">
        <f>IF($H32="","",INDEX('Detalle individual'!$B:$B,$H32))</f>
        <v/>
      </c>
      <c r="C32" s="5" t="str">
        <f>IF($H32="","",INDEX('Detalle individual'!$A:$A,$H32))</f>
        <v/>
      </c>
      <c r="D32" s="5" t="str">
        <f>IF($H32="","",INDEX('Detalle individual'!$E:$E,$H32))</f>
        <v/>
      </c>
      <c r="E32" s="5" t="str">
        <f>IF($H32="","",INDEX('Detalle individual'!$C:$C,$H32))</f>
        <v/>
      </c>
      <c r="F32" s="5" t="str">
        <f>IF($H32="","",INDEX('Detalle individual'!$D:$D,$H32))</f>
        <v/>
      </c>
      <c r="G32" s="5" t="str">
        <f>IF($H32="","",INDEX('Detalle individual'!$F:$F,$H32))</f>
        <v/>
      </c>
      <c r="H32" t="str">
        <f>IFERROR(MATCH(SMALL(Cálculos!$AJ$5:$AJ$1000,28),Cálculos!$AJ$5:$AJ$1000,0)+4,"")</f>
        <v/>
      </c>
    </row>
    <row r="33">
      <c r="B33" s="5" t="str">
        <f>IF($H33="","",INDEX('Detalle individual'!$B:$B,$H33))</f>
        <v/>
      </c>
      <c r="C33" s="5" t="str">
        <f>IF($H33="","",INDEX('Detalle individual'!$A:$A,$H33))</f>
        <v/>
      </c>
      <c r="D33" s="5" t="str">
        <f>IF($H33="","",INDEX('Detalle individual'!$E:$E,$H33))</f>
        <v/>
      </c>
      <c r="E33" s="5" t="str">
        <f>IF($H33="","",INDEX('Detalle individual'!$C:$C,$H33))</f>
        <v/>
      </c>
      <c r="F33" s="5" t="str">
        <f>IF($H33="","",INDEX('Detalle individual'!$D:$D,$H33))</f>
        <v/>
      </c>
      <c r="G33" s="5" t="str">
        <f>IF($H33="","",INDEX('Detalle individual'!$F:$F,$H33))</f>
        <v/>
      </c>
      <c r="H33" t="str">
        <f>IFERROR(MATCH(SMALL(Cálculos!$AJ$5:$AJ$1000,29),Cálculos!$AJ$5:$AJ$1000,0)+4,"")</f>
        <v/>
      </c>
    </row>
    <row r="34">
      <c r="B34" s="5" t="str">
        <f>IF($H34="","",INDEX('Detalle individual'!$B:$B,$H34))</f>
        <v/>
      </c>
      <c r="C34" s="5" t="str">
        <f>IF($H34="","",INDEX('Detalle individual'!$A:$A,$H34))</f>
        <v/>
      </c>
      <c r="D34" s="5" t="str">
        <f>IF($H34="","",INDEX('Detalle individual'!$E:$E,$H34))</f>
        <v/>
      </c>
      <c r="E34" s="5" t="str">
        <f>IF($H34="","",INDEX('Detalle individual'!$C:$C,$H34))</f>
        <v/>
      </c>
      <c r="F34" s="5" t="str">
        <f>IF($H34="","",INDEX('Detalle individual'!$D:$D,$H34))</f>
        <v/>
      </c>
      <c r="G34" s="5" t="str">
        <f>IF($H34="","",INDEX('Detalle individual'!$F:$F,$H34))</f>
        <v/>
      </c>
      <c r="H34" t="str">
        <f>IFERROR(MATCH(SMALL(Cálculos!$AJ$5:$AJ$1000,30),Cálculos!$AJ$5:$AJ$1000,0)+4,"")</f>
        <v/>
      </c>
    </row>
    <row r="35">
      <c r="B35" s="5" t="str">
        <f>IF($H35="","",INDEX('Detalle individual'!$B:$B,$H35))</f>
        <v/>
      </c>
      <c r="C35" s="5" t="str">
        <f>IF($H35="","",INDEX('Detalle individual'!$A:$A,$H35))</f>
        <v/>
      </c>
      <c r="D35" s="5" t="str">
        <f>IF($H35="","",INDEX('Detalle individual'!$E:$E,$H35))</f>
        <v/>
      </c>
      <c r="E35" s="5" t="str">
        <f>IF($H35="","",INDEX('Detalle individual'!$C:$C,$H35))</f>
        <v/>
      </c>
      <c r="F35" s="5" t="str">
        <f>IF($H35="","",INDEX('Detalle individual'!$D:$D,$H35))</f>
        <v/>
      </c>
      <c r="G35" s="5" t="str">
        <f>IF($H35="","",INDEX('Detalle individual'!$F:$F,$H35))</f>
        <v/>
      </c>
      <c r="H35" t="str">
        <f>IFERROR(MATCH(SMALL(Cálculos!$AJ$5:$AJ$1000,31),Cálculos!$AJ$5:$AJ$1000,0)+4,"")</f>
        <v/>
      </c>
    </row>
    <row r="36">
      <c r="B36" s="5" t="str">
        <f>IF($H36="","",INDEX('Detalle individual'!$B:$B,$H36))</f>
        <v/>
      </c>
      <c r="C36" s="5" t="str">
        <f>IF($H36="","",INDEX('Detalle individual'!$A:$A,$H36))</f>
        <v/>
      </c>
      <c r="D36" s="5" t="str">
        <f>IF($H36="","",INDEX('Detalle individual'!$E:$E,$H36))</f>
        <v/>
      </c>
      <c r="E36" s="5" t="str">
        <f>IF($H36="","",INDEX('Detalle individual'!$C:$C,$H36))</f>
        <v/>
      </c>
      <c r="F36" s="5" t="str">
        <f>IF($H36="","",INDEX('Detalle individual'!$D:$D,$H36))</f>
        <v/>
      </c>
      <c r="G36" s="5" t="str">
        <f>IF($H36="","",INDEX('Detalle individual'!$F:$F,$H36))</f>
        <v/>
      </c>
      <c r="H36" t="str">
        <f>IFERROR(MATCH(SMALL(Cálculos!$AJ$5:$AJ$1000,32),Cálculos!$AJ$5:$AJ$1000,0)+4,"")</f>
        <v/>
      </c>
    </row>
    <row r="37">
      <c r="B37" s="5" t="str">
        <f>IF($H37="","",INDEX('Detalle individual'!$B:$B,$H37))</f>
        <v/>
      </c>
      <c r="C37" s="5" t="str">
        <f>IF($H37="","",INDEX('Detalle individual'!$A:$A,$H37))</f>
        <v/>
      </c>
      <c r="D37" s="5" t="str">
        <f>IF($H37="","",INDEX('Detalle individual'!$E:$E,$H37))</f>
        <v/>
      </c>
      <c r="E37" s="5" t="str">
        <f>IF($H37="","",INDEX('Detalle individual'!$C:$C,$H37))</f>
        <v/>
      </c>
      <c r="F37" s="5" t="str">
        <f>IF($H37="","",INDEX('Detalle individual'!$D:$D,$H37))</f>
        <v/>
      </c>
      <c r="G37" s="5" t="str">
        <f>IF($H37="","",INDEX('Detalle individual'!$F:$F,$H37))</f>
        <v/>
      </c>
      <c r="H37" t="str">
        <f>IFERROR(MATCH(SMALL(Cálculos!$AJ$5:$AJ$1000,33),Cálculos!$AJ$5:$AJ$1000,0)+4,"")</f>
        <v/>
      </c>
    </row>
    <row r="38">
      <c r="B38" s="5" t="str">
        <f>IF($H38="","",INDEX('Detalle individual'!$B:$B,$H38))</f>
        <v/>
      </c>
      <c r="C38" s="5" t="str">
        <f>IF($H38="","",INDEX('Detalle individual'!$A:$A,$H38))</f>
        <v/>
      </c>
      <c r="D38" s="5" t="str">
        <f>IF($H38="","",INDEX('Detalle individual'!$E:$E,$H38))</f>
        <v/>
      </c>
      <c r="E38" s="5" t="str">
        <f>IF($H38="","",INDEX('Detalle individual'!$C:$C,$H38))</f>
        <v/>
      </c>
      <c r="F38" s="5" t="str">
        <f>IF($H38="","",INDEX('Detalle individual'!$D:$D,$H38))</f>
        <v/>
      </c>
      <c r="G38" s="5" t="str">
        <f>IF($H38="","",INDEX('Detalle individual'!$F:$F,$H38))</f>
        <v/>
      </c>
      <c r="H38" t="str">
        <f>IFERROR(MATCH(SMALL(Cálculos!$AJ$5:$AJ$1000,34),Cálculos!$AJ$5:$AJ$1000,0)+4,"")</f>
        <v/>
      </c>
    </row>
    <row r="39">
      <c r="B39" s="5" t="str">
        <f>IF($H39="","",INDEX('Detalle individual'!$B:$B,$H39))</f>
        <v/>
      </c>
      <c r="C39" s="5" t="str">
        <f>IF($H39="","",INDEX('Detalle individual'!$A:$A,$H39))</f>
        <v/>
      </c>
      <c r="D39" s="5" t="str">
        <f>IF($H39="","",INDEX('Detalle individual'!$E:$E,$H39))</f>
        <v/>
      </c>
      <c r="E39" s="5" t="str">
        <f>IF($H39="","",INDEX('Detalle individual'!$C:$C,$H39))</f>
        <v/>
      </c>
      <c r="F39" s="5" t="str">
        <f>IF($H39="","",INDEX('Detalle individual'!$D:$D,$H39))</f>
        <v/>
      </c>
      <c r="G39" s="5" t="str">
        <f>IF($H39="","",INDEX('Detalle individual'!$F:$F,$H39))</f>
        <v/>
      </c>
      <c r="H39" t="str">
        <f>IFERROR(MATCH(SMALL(Cálculos!$AJ$5:$AJ$1000,35),Cálculos!$AJ$5:$AJ$1000,0)+4,"")</f>
        <v/>
      </c>
    </row>
    <row r="40">
      <c r="B40" s="5" t="str">
        <f>IF($H40="","",INDEX('Detalle individual'!$B:$B,$H40))</f>
        <v/>
      </c>
      <c r="C40" s="5" t="str">
        <f>IF($H40="","",INDEX('Detalle individual'!$A:$A,$H40))</f>
        <v/>
      </c>
      <c r="D40" s="5" t="str">
        <f>IF($H40="","",INDEX('Detalle individual'!$E:$E,$H40))</f>
        <v/>
      </c>
      <c r="E40" s="5" t="str">
        <f>IF($H40="","",INDEX('Detalle individual'!$C:$C,$H40))</f>
        <v/>
      </c>
      <c r="F40" s="5" t="str">
        <f>IF($H40="","",INDEX('Detalle individual'!$D:$D,$H40))</f>
        <v/>
      </c>
      <c r="G40" s="5" t="str">
        <f>IF($H40="","",INDEX('Detalle individual'!$F:$F,$H40))</f>
        <v/>
      </c>
      <c r="H40" t="str">
        <f>IFERROR(MATCH(SMALL(Cálculos!$AJ$5:$AJ$1000,36),Cálculos!$AJ$5:$AJ$1000,0)+4,"")</f>
        <v/>
      </c>
    </row>
    <row r="41">
      <c r="B41" s="5" t="str">
        <f>IF($H41="","",INDEX('Detalle individual'!$B:$B,$H41))</f>
        <v/>
      </c>
      <c r="C41" s="5" t="str">
        <f>IF($H41="","",INDEX('Detalle individual'!$A:$A,$H41))</f>
        <v/>
      </c>
      <c r="D41" s="5" t="str">
        <f>IF($H41="","",INDEX('Detalle individual'!$E:$E,$H41))</f>
        <v/>
      </c>
      <c r="E41" s="5" t="str">
        <f>IF($H41="","",INDEX('Detalle individual'!$C:$C,$H41))</f>
        <v/>
      </c>
      <c r="F41" s="5" t="str">
        <f>IF($H41="","",INDEX('Detalle individual'!$D:$D,$H41))</f>
        <v/>
      </c>
      <c r="G41" s="5" t="str">
        <f>IF($H41="","",INDEX('Detalle individual'!$F:$F,$H41))</f>
        <v/>
      </c>
      <c r="H41" t="str">
        <f>IFERROR(MATCH(SMALL(Cálculos!$AJ$5:$AJ$1000,37),Cálculos!$AJ$5:$AJ$1000,0)+4,"")</f>
        <v/>
      </c>
    </row>
    <row r="42">
      <c r="B42" s="5" t="str">
        <f>IF($H42="","",INDEX('Detalle individual'!$B:$B,$H42))</f>
        <v/>
      </c>
      <c r="C42" s="5" t="str">
        <f>IF($H42="","",INDEX('Detalle individual'!$A:$A,$H42))</f>
        <v/>
      </c>
      <c r="D42" s="5" t="str">
        <f>IF($H42="","",INDEX('Detalle individual'!$E:$E,$H42))</f>
        <v/>
      </c>
      <c r="E42" s="5" t="str">
        <f>IF($H42="","",INDEX('Detalle individual'!$C:$C,$H42))</f>
        <v/>
      </c>
      <c r="F42" s="5" t="str">
        <f>IF($H42="","",INDEX('Detalle individual'!$D:$D,$H42))</f>
        <v/>
      </c>
      <c r="G42" s="5" t="str">
        <f>IF($H42="","",INDEX('Detalle individual'!$F:$F,$H42))</f>
        <v/>
      </c>
      <c r="H42" t="str">
        <f>IFERROR(MATCH(SMALL(Cálculos!$AJ$5:$AJ$1000,38),Cálculos!$AJ$5:$AJ$1000,0)+4,"")</f>
        <v/>
      </c>
    </row>
    <row r="43">
      <c r="B43" s="5" t="str">
        <f>IF($H43="","",INDEX('Detalle individual'!$B:$B,$H43))</f>
        <v/>
      </c>
      <c r="C43" s="5" t="str">
        <f>IF($H43="","",INDEX('Detalle individual'!$A:$A,$H43))</f>
        <v/>
      </c>
      <c r="D43" s="5" t="str">
        <f>IF($H43="","",INDEX('Detalle individual'!$E:$E,$H43))</f>
        <v/>
      </c>
      <c r="E43" s="5" t="str">
        <f>IF($H43="","",INDEX('Detalle individual'!$C:$C,$H43))</f>
        <v/>
      </c>
      <c r="F43" s="5" t="str">
        <f>IF($H43="","",INDEX('Detalle individual'!$D:$D,$H43))</f>
        <v/>
      </c>
      <c r="G43" s="5" t="str">
        <f>IF($H43="","",INDEX('Detalle individual'!$F:$F,$H43))</f>
        <v/>
      </c>
      <c r="H43" t="str">
        <f>IFERROR(MATCH(SMALL(Cálculos!$AJ$5:$AJ$1000,39),Cálculos!$AJ$5:$AJ$1000,0)+4,"")</f>
        <v/>
      </c>
    </row>
    <row r="44">
      <c r="B44" s="5" t="str">
        <f>IF($H44="","",INDEX('Detalle individual'!$B:$B,$H44))</f>
        <v/>
      </c>
      <c r="C44" s="5" t="str">
        <f>IF($H44="","",INDEX('Detalle individual'!$A:$A,$H44))</f>
        <v/>
      </c>
      <c r="D44" s="5" t="str">
        <f>IF($H44="","",INDEX('Detalle individual'!$E:$E,$H44))</f>
        <v/>
      </c>
      <c r="E44" s="5" t="str">
        <f>IF($H44="","",INDEX('Detalle individual'!$C:$C,$H44))</f>
        <v/>
      </c>
      <c r="F44" s="5" t="str">
        <f>IF($H44="","",INDEX('Detalle individual'!$D:$D,$H44))</f>
        <v/>
      </c>
      <c r="G44" s="5" t="str">
        <f>IF($H44="","",INDEX('Detalle individual'!$F:$F,$H44))</f>
        <v/>
      </c>
      <c r="H44" t="str">
        <f>IFERROR(MATCH(SMALL(Cálculos!$AJ$5:$AJ$1000,40),Cálculos!$AJ$5:$AJ$1000,0)+4,"")</f>
        <v/>
      </c>
    </row>
    <row r="45">
      <c r="B45" s="5" t="str">
        <f>IF($H45="","",INDEX('Detalle individual'!$B:$B,$H45))</f>
        <v/>
      </c>
      <c r="C45" s="5" t="str">
        <f>IF($H45="","",INDEX('Detalle individual'!$A:$A,$H45))</f>
        <v/>
      </c>
      <c r="D45" s="5" t="str">
        <f>IF($H45="","",INDEX('Detalle individual'!$E:$E,$H45))</f>
        <v/>
      </c>
      <c r="E45" s="5" t="str">
        <f>IF($H45="","",INDEX('Detalle individual'!$C:$C,$H45))</f>
        <v/>
      </c>
      <c r="F45" s="5" t="str">
        <f>IF($H45="","",INDEX('Detalle individual'!$D:$D,$H45))</f>
        <v/>
      </c>
      <c r="G45" s="5" t="str">
        <f>IF($H45="","",INDEX('Detalle individual'!$F:$F,$H45))</f>
        <v/>
      </c>
      <c r="H45" t="str">
        <f>IFERROR(MATCH(SMALL(Cálculos!$AJ$5:$AJ$1000,41),Cálculos!$AJ$5:$AJ$1000,0)+4,"")</f>
        <v/>
      </c>
    </row>
    <row r="46">
      <c r="B46" s="5" t="str">
        <f>IF($H46="","",INDEX('Detalle individual'!$B:$B,$H46))</f>
        <v/>
      </c>
      <c r="C46" s="5" t="str">
        <f>IF($H46="","",INDEX('Detalle individual'!$A:$A,$H46))</f>
        <v/>
      </c>
      <c r="D46" s="5" t="str">
        <f>IF($H46="","",INDEX('Detalle individual'!$E:$E,$H46))</f>
        <v/>
      </c>
      <c r="E46" s="5" t="str">
        <f>IF($H46="","",INDEX('Detalle individual'!$C:$C,$H46))</f>
        <v/>
      </c>
      <c r="F46" s="5" t="str">
        <f>IF($H46="","",INDEX('Detalle individual'!$D:$D,$H46))</f>
        <v/>
      </c>
      <c r="G46" s="5" t="str">
        <f>IF($H46="","",INDEX('Detalle individual'!$F:$F,$H46))</f>
        <v/>
      </c>
      <c r="H46" t="str">
        <f>IFERROR(MATCH(SMALL(Cálculos!$AJ$5:$AJ$1000,42),Cálculos!$AJ$5:$AJ$1000,0)+4,"")</f>
        <v/>
      </c>
    </row>
    <row r="47">
      <c r="B47" s="5" t="str">
        <f>IF($H47="","",INDEX('Detalle individual'!$B:$B,$H47))</f>
        <v/>
      </c>
      <c r="C47" s="5" t="str">
        <f>IF($H47="","",INDEX('Detalle individual'!$A:$A,$H47))</f>
        <v/>
      </c>
      <c r="D47" s="5" t="str">
        <f>IF($H47="","",INDEX('Detalle individual'!$E:$E,$H47))</f>
        <v/>
      </c>
      <c r="E47" s="5" t="str">
        <f>IF($H47="","",INDEX('Detalle individual'!$C:$C,$H47))</f>
        <v/>
      </c>
      <c r="F47" s="5" t="str">
        <f>IF($H47="","",INDEX('Detalle individual'!$D:$D,$H47))</f>
        <v/>
      </c>
      <c r="G47" s="5" t="str">
        <f>IF($H47="","",INDEX('Detalle individual'!$F:$F,$H47))</f>
        <v/>
      </c>
      <c r="H47" t="str">
        <f>IFERROR(MATCH(SMALL(Cálculos!$AJ$5:$AJ$1000,43),Cálculos!$AJ$5:$AJ$1000,0)+4,"")</f>
        <v/>
      </c>
    </row>
    <row r="48">
      <c r="B48" s="5" t="str">
        <f>IF($H48="","",INDEX('Detalle individual'!$B:$B,$H48))</f>
        <v/>
      </c>
      <c r="C48" s="5" t="str">
        <f>IF($H48="","",INDEX('Detalle individual'!$A:$A,$H48))</f>
        <v/>
      </c>
      <c r="D48" s="5" t="str">
        <f>IF($H48="","",INDEX('Detalle individual'!$E:$E,$H48))</f>
        <v/>
      </c>
      <c r="E48" s="5" t="str">
        <f>IF($H48="","",INDEX('Detalle individual'!$C:$C,$H48))</f>
        <v/>
      </c>
      <c r="F48" s="5" t="str">
        <f>IF($H48="","",INDEX('Detalle individual'!$D:$D,$H48))</f>
        <v/>
      </c>
      <c r="G48" s="5" t="str">
        <f>IF($H48="","",INDEX('Detalle individual'!$F:$F,$H48))</f>
        <v/>
      </c>
      <c r="H48" t="str">
        <f>IFERROR(MATCH(SMALL(Cálculos!$AJ$5:$AJ$1000,44),Cálculos!$AJ$5:$AJ$1000,0)+4,"")</f>
        <v/>
      </c>
    </row>
    <row r="49">
      <c r="B49" s="5" t="str">
        <f>IF($H49="","",INDEX('Detalle individual'!$B:$B,$H49))</f>
        <v/>
      </c>
      <c r="C49" s="5" t="str">
        <f>IF($H49="","",INDEX('Detalle individual'!$A:$A,$H49))</f>
        <v/>
      </c>
      <c r="D49" s="5" t="str">
        <f>IF($H49="","",INDEX('Detalle individual'!$E:$E,$H49))</f>
        <v/>
      </c>
      <c r="E49" s="5" t="str">
        <f>IF($H49="","",INDEX('Detalle individual'!$C:$C,$H49))</f>
        <v/>
      </c>
      <c r="F49" s="5" t="str">
        <f>IF($H49="","",INDEX('Detalle individual'!$D:$D,$H49))</f>
        <v/>
      </c>
      <c r="G49" s="5" t="str">
        <f>IF($H49="","",INDEX('Detalle individual'!$F:$F,$H49))</f>
        <v/>
      </c>
      <c r="H49" t="str">
        <f>IFERROR(MATCH(SMALL(Cálculos!$AJ$5:$AJ$1000,45),Cálculos!$AJ$5:$AJ$1000,0)+4,"")</f>
        <v/>
      </c>
    </row>
    <row r="50">
      <c r="B50" s="5" t="str">
        <f>IF($H50="","",INDEX('Detalle individual'!$B:$B,$H50))</f>
        <v/>
      </c>
      <c r="C50" s="5" t="str">
        <f>IF($H50="","",INDEX('Detalle individual'!$A:$A,$H50))</f>
        <v/>
      </c>
      <c r="D50" s="5" t="str">
        <f>IF($H50="","",INDEX('Detalle individual'!$E:$E,$H50))</f>
        <v/>
      </c>
      <c r="E50" s="5" t="str">
        <f>IF($H50="","",INDEX('Detalle individual'!$C:$C,$H50))</f>
        <v/>
      </c>
      <c r="F50" s="5" t="str">
        <f>IF($H50="","",INDEX('Detalle individual'!$D:$D,$H50))</f>
        <v/>
      </c>
      <c r="G50" s="5" t="str">
        <f>IF($H50="","",INDEX('Detalle individual'!$F:$F,$H50))</f>
        <v/>
      </c>
      <c r="H50" t="str">
        <f>IFERROR(MATCH(SMALL(Cálculos!$AJ$5:$AJ$1000,46),Cálculos!$AJ$5:$AJ$1000,0)+4,"")</f>
        <v/>
      </c>
    </row>
    <row r="51">
      <c r="B51" s="5" t="str">
        <f>IF($H51="","",INDEX('Detalle individual'!$B:$B,$H51))</f>
        <v/>
      </c>
      <c r="C51" s="5" t="str">
        <f>IF($H51="","",INDEX('Detalle individual'!$A:$A,$H51))</f>
        <v/>
      </c>
      <c r="D51" s="5" t="str">
        <f>IF($H51="","",INDEX('Detalle individual'!$E:$E,$H51))</f>
        <v/>
      </c>
      <c r="E51" s="5" t="str">
        <f>IF($H51="","",INDEX('Detalle individual'!$C:$C,$H51))</f>
        <v/>
      </c>
      <c r="F51" s="5" t="str">
        <f>IF($H51="","",INDEX('Detalle individual'!$D:$D,$H51))</f>
        <v/>
      </c>
      <c r="G51" s="5" t="str">
        <f>IF($H51="","",INDEX('Detalle individual'!$F:$F,$H51))</f>
        <v/>
      </c>
      <c r="H51" t="str">
        <f>IFERROR(MATCH(SMALL(Cálculos!$AJ$5:$AJ$1000,47),Cálculos!$AJ$5:$AJ$1000,0)+4,"")</f>
        <v/>
      </c>
    </row>
    <row r="52">
      <c r="B52" s="5" t="str">
        <f>IF($H52="","",INDEX('Detalle individual'!$B:$B,$H52))</f>
        <v/>
      </c>
      <c r="C52" s="5" t="str">
        <f>IF($H52="","",INDEX('Detalle individual'!$A:$A,$H52))</f>
        <v/>
      </c>
      <c r="D52" s="5" t="str">
        <f>IF($H52="","",INDEX('Detalle individual'!$E:$E,$H52))</f>
        <v/>
      </c>
      <c r="E52" s="5" t="str">
        <f>IF($H52="","",INDEX('Detalle individual'!$C:$C,$H52))</f>
        <v/>
      </c>
      <c r="F52" s="5" t="str">
        <f>IF($H52="","",INDEX('Detalle individual'!$D:$D,$H52))</f>
        <v/>
      </c>
      <c r="G52" s="5" t="str">
        <f>IF($H52="","",INDEX('Detalle individual'!$F:$F,$H52))</f>
        <v/>
      </c>
      <c r="H52" t="str">
        <f>IFERROR(MATCH(SMALL(Cálculos!$AJ$5:$AJ$1000,48),Cálculos!$AJ$5:$AJ$1000,0)+4,"")</f>
        <v/>
      </c>
    </row>
    <row r="53">
      <c r="B53" s="5" t="str">
        <f>IF($H53="","",INDEX('Detalle individual'!$B:$B,$H53))</f>
        <v/>
      </c>
      <c r="C53" s="5" t="str">
        <f>IF($H53="","",INDEX('Detalle individual'!$A:$A,$H53))</f>
        <v/>
      </c>
      <c r="D53" s="5" t="str">
        <f>IF($H53="","",INDEX('Detalle individual'!$E:$E,$H53))</f>
        <v/>
      </c>
      <c r="E53" s="5" t="str">
        <f>IF($H53="","",INDEX('Detalle individual'!$C:$C,$H53))</f>
        <v/>
      </c>
      <c r="F53" s="5" t="str">
        <f>IF($H53="","",INDEX('Detalle individual'!$D:$D,$H53))</f>
        <v/>
      </c>
      <c r="G53" s="5" t="str">
        <f>IF($H53="","",INDEX('Detalle individual'!$F:$F,$H53))</f>
        <v/>
      </c>
      <c r="H53" t="str">
        <f>IFERROR(MATCH(SMALL(Cálculos!$AJ$5:$AJ$1000,49),Cálculos!$AJ$5:$AJ$1000,0)+4,"")</f>
        <v/>
      </c>
    </row>
    <row r="54">
      <c r="B54" s="5" t="str">
        <f>IF($H54="","",INDEX('Detalle individual'!$B:$B,$H54))</f>
        <v/>
      </c>
      <c r="C54" s="5" t="str">
        <f>IF($H54="","",INDEX('Detalle individual'!$A:$A,$H54))</f>
        <v/>
      </c>
      <c r="D54" s="5" t="str">
        <f>IF($H54="","",INDEX('Detalle individual'!$E:$E,$H54))</f>
        <v/>
      </c>
      <c r="E54" s="5" t="str">
        <f>IF($H54="","",INDEX('Detalle individual'!$C:$C,$H54))</f>
        <v/>
      </c>
      <c r="F54" s="5" t="str">
        <f>IF($H54="","",INDEX('Detalle individual'!$D:$D,$H54))</f>
        <v/>
      </c>
      <c r="G54" s="5" t="str">
        <f>IF($H54="","",INDEX('Detalle individual'!$F:$F,$H54))</f>
        <v/>
      </c>
      <c r="H54" t="str">
        <f>IFERROR(MATCH(SMALL(Cálculos!$AJ$5:$AJ$1000,50),Cálculos!$AJ$5:$AJ$1000,0)+4,"")</f>
        <v/>
      </c>
    </row>
    <row r="55">
      <c r="B55" s="5" t="str">
        <f>IF($H55="","",INDEX('Detalle individual'!$B:$B,$H55))</f>
        <v/>
      </c>
      <c r="C55" s="5" t="str">
        <f>IF($H55="","",INDEX('Detalle individual'!$A:$A,$H55))</f>
        <v/>
      </c>
      <c r="D55" s="5" t="str">
        <f>IF($H55="","",INDEX('Detalle individual'!$E:$E,$H55))</f>
        <v/>
      </c>
      <c r="E55" s="5" t="str">
        <f>IF($H55="","",INDEX('Detalle individual'!$C:$C,$H55))</f>
        <v/>
      </c>
      <c r="F55" s="5" t="str">
        <f>IF($H55="","",INDEX('Detalle individual'!$D:$D,$H55))</f>
        <v/>
      </c>
      <c r="G55" s="5" t="str">
        <f>IF($H55="","",INDEX('Detalle individual'!$F:$F,$H55))</f>
        <v/>
      </c>
      <c r="H55" t="str">
        <f>IFERROR(MATCH(SMALL(Cálculos!$AJ$5:$AJ$1000,51),Cálculos!$AJ$5:$AJ$1000,0)+4,"")</f>
        <v/>
      </c>
    </row>
    <row r="56">
      <c r="B56" s="5" t="str">
        <f>IF($H56="","",INDEX('Detalle individual'!$B:$B,$H56))</f>
        <v/>
      </c>
      <c r="C56" s="5" t="str">
        <f>IF($H56="","",INDEX('Detalle individual'!$A:$A,$H56))</f>
        <v/>
      </c>
      <c r="D56" s="5" t="str">
        <f>IF($H56="","",INDEX('Detalle individual'!$E:$E,$H56))</f>
        <v/>
      </c>
      <c r="E56" s="5" t="str">
        <f>IF($H56="","",INDEX('Detalle individual'!$C:$C,$H56))</f>
        <v/>
      </c>
      <c r="F56" s="5" t="str">
        <f>IF($H56="","",INDEX('Detalle individual'!$D:$D,$H56))</f>
        <v/>
      </c>
      <c r="G56" s="5" t="str">
        <f>IF($H56="","",INDEX('Detalle individual'!$F:$F,$H56))</f>
        <v/>
      </c>
      <c r="H56" t="str">
        <f>IFERROR(MATCH(SMALL(Cálculos!$AJ$5:$AJ$1000,52),Cálculos!$AJ$5:$AJ$1000,0)+4,"")</f>
        <v/>
      </c>
    </row>
    <row r="57">
      <c r="B57" s="5" t="str">
        <f>IF($H57="","",INDEX('Detalle individual'!$B:$B,$H57))</f>
        <v/>
      </c>
      <c r="C57" s="5" t="str">
        <f>IF($H57="","",INDEX('Detalle individual'!$A:$A,$H57))</f>
        <v/>
      </c>
      <c r="D57" s="5" t="str">
        <f>IF($H57="","",INDEX('Detalle individual'!$E:$E,$H57))</f>
        <v/>
      </c>
      <c r="E57" s="5" t="str">
        <f>IF($H57="","",INDEX('Detalle individual'!$C:$C,$H57))</f>
        <v/>
      </c>
      <c r="F57" s="5" t="str">
        <f>IF($H57="","",INDEX('Detalle individual'!$D:$D,$H57))</f>
        <v/>
      </c>
      <c r="G57" s="5" t="str">
        <f>IF($H57="","",INDEX('Detalle individual'!$F:$F,$H57))</f>
        <v/>
      </c>
      <c r="H57" t="str">
        <f>IFERROR(MATCH(SMALL(Cálculos!$AJ$5:$AJ$1000,53),Cálculos!$AJ$5:$AJ$1000,0)+4,"")</f>
        <v/>
      </c>
    </row>
    <row r="58">
      <c r="B58" s="5" t="str">
        <f>IF($H58="","",INDEX('Detalle individual'!$B:$B,$H58))</f>
        <v/>
      </c>
      <c r="C58" s="5" t="str">
        <f>IF($H58="","",INDEX('Detalle individual'!$A:$A,$H58))</f>
        <v/>
      </c>
      <c r="D58" s="5" t="str">
        <f>IF($H58="","",INDEX('Detalle individual'!$E:$E,$H58))</f>
        <v/>
      </c>
      <c r="E58" s="5" t="str">
        <f>IF($H58="","",INDEX('Detalle individual'!$C:$C,$H58))</f>
        <v/>
      </c>
      <c r="F58" s="5" t="str">
        <f>IF($H58="","",INDEX('Detalle individual'!$D:$D,$H58))</f>
        <v/>
      </c>
      <c r="G58" s="5" t="str">
        <f>IF($H58="","",INDEX('Detalle individual'!$F:$F,$H58))</f>
        <v/>
      </c>
      <c r="H58" t="str">
        <f>IFERROR(MATCH(SMALL(Cálculos!$AJ$5:$AJ$1000,54),Cálculos!$AJ$5:$AJ$1000,0)+4,"")</f>
        <v/>
      </c>
    </row>
    <row r="59">
      <c r="B59" s="5" t="str">
        <f>IF($H59="","",INDEX('Detalle individual'!$B:$B,$H59))</f>
        <v/>
      </c>
      <c r="C59" s="5" t="str">
        <f>IF($H59="","",INDEX('Detalle individual'!$A:$A,$H59))</f>
        <v/>
      </c>
      <c r="D59" s="5" t="str">
        <f>IF($H59="","",INDEX('Detalle individual'!$E:$E,$H59))</f>
        <v/>
      </c>
      <c r="E59" s="5" t="str">
        <f>IF($H59="","",INDEX('Detalle individual'!$C:$C,$H59))</f>
        <v/>
      </c>
      <c r="F59" s="5" t="str">
        <f>IF($H59="","",INDEX('Detalle individual'!$D:$D,$H59))</f>
        <v/>
      </c>
      <c r="G59" s="5" t="str">
        <f>IF($H59="","",INDEX('Detalle individual'!$F:$F,$H59))</f>
        <v/>
      </c>
      <c r="H59" t="str">
        <f>IFERROR(MATCH(SMALL(Cálculos!$AJ$5:$AJ$1000,55),Cálculos!$AJ$5:$AJ$1000,0)+4,"")</f>
        <v/>
      </c>
    </row>
    <row r="60">
      <c r="B60" s="5" t="str">
        <f>IF($H60="","",INDEX('Detalle individual'!$B:$B,$H60))</f>
        <v/>
      </c>
      <c r="C60" s="5" t="str">
        <f>IF($H60="","",INDEX('Detalle individual'!$A:$A,$H60))</f>
        <v/>
      </c>
      <c r="D60" s="5" t="str">
        <f>IF($H60="","",INDEX('Detalle individual'!$E:$E,$H60))</f>
        <v/>
      </c>
      <c r="E60" s="5" t="str">
        <f>IF($H60="","",INDEX('Detalle individual'!$C:$C,$H60))</f>
        <v/>
      </c>
      <c r="F60" s="5" t="str">
        <f>IF($H60="","",INDEX('Detalle individual'!$D:$D,$H60))</f>
        <v/>
      </c>
      <c r="G60" s="5" t="str">
        <f>IF($H60="","",INDEX('Detalle individual'!$F:$F,$H60))</f>
        <v/>
      </c>
      <c r="H60" t="str">
        <f>IFERROR(MATCH(SMALL(Cálculos!$AJ$5:$AJ$1000,56),Cálculos!$AJ$5:$AJ$1000,0)+4,"")</f>
        <v/>
      </c>
    </row>
    <row r="61">
      <c r="B61" s="5" t="str">
        <f>IF($H61="","",INDEX('Detalle individual'!$B:$B,$H61))</f>
        <v/>
      </c>
      <c r="C61" s="5" t="str">
        <f>IF($H61="","",INDEX('Detalle individual'!$A:$A,$H61))</f>
        <v/>
      </c>
      <c r="D61" s="5" t="str">
        <f>IF($H61="","",INDEX('Detalle individual'!$E:$E,$H61))</f>
        <v/>
      </c>
      <c r="E61" s="5" t="str">
        <f>IF($H61="","",INDEX('Detalle individual'!$C:$C,$H61))</f>
        <v/>
      </c>
      <c r="F61" s="5" t="str">
        <f>IF($H61="","",INDEX('Detalle individual'!$D:$D,$H61))</f>
        <v/>
      </c>
      <c r="G61" s="5" t="str">
        <f>IF($H61="","",INDEX('Detalle individual'!$F:$F,$H61))</f>
        <v/>
      </c>
      <c r="H61" t="str">
        <f>IFERROR(MATCH(SMALL(Cálculos!$AJ$5:$AJ$1000,57),Cálculos!$AJ$5:$AJ$1000,0)+4,"")</f>
        <v/>
      </c>
    </row>
    <row r="62">
      <c r="B62" s="5" t="str">
        <f>IF($H62="","",INDEX('Detalle individual'!$B:$B,$H62))</f>
        <v/>
      </c>
      <c r="C62" s="5" t="str">
        <f>IF($H62="","",INDEX('Detalle individual'!$A:$A,$H62))</f>
        <v/>
      </c>
      <c r="D62" s="5" t="str">
        <f>IF($H62="","",INDEX('Detalle individual'!$E:$E,$H62))</f>
        <v/>
      </c>
      <c r="E62" s="5" t="str">
        <f>IF($H62="","",INDEX('Detalle individual'!$C:$C,$H62))</f>
        <v/>
      </c>
      <c r="F62" s="5" t="str">
        <f>IF($H62="","",INDEX('Detalle individual'!$D:$D,$H62))</f>
        <v/>
      </c>
      <c r="G62" s="5" t="str">
        <f>IF($H62="","",INDEX('Detalle individual'!$F:$F,$H62))</f>
        <v/>
      </c>
      <c r="H62" t="str">
        <f>IFERROR(MATCH(SMALL(Cálculos!$AJ$5:$AJ$1000,58),Cálculos!$AJ$5:$AJ$1000,0)+4,"")</f>
        <v/>
      </c>
    </row>
    <row r="63">
      <c r="B63" s="5" t="str">
        <f>IF($H63="","",INDEX('Detalle individual'!$B:$B,$H63))</f>
        <v/>
      </c>
      <c r="C63" s="5" t="str">
        <f>IF($H63="","",INDEX('Detalle individual'!$A:$A,$H63))</f>
        <v/>
      </c>
      <c r="D63" s="5" t="str">
        <f>IF($H63="","",INDEX('Detalle individual'!$E:$E,$H63))</f>
        <v/>
      </c>
      <c r="E63" s="5" t="str">
        <f>IF($H63="","",INDEX('Detalle individual'!$C:$C,$H63))</f>
        <v/>
      </c>
      <c r="F63" s="5" t="str">
        <f>IF($H63="","",INDEX('Detalle individual'!$D:$D,$H63))</f>
        <v/>
      </c>
      <c r="G63" s="5" t="str">
        <f>IF($H63="","",INDEX('Detalle individual'!$F:$F,$H63))</f>
        <v/>
      </c>
      <c r="H63" t="str">
        <f>IFERROR(MATCH(SMALL(Cálculos!$AJ$5:$AJ$1000,59),Cálculos!$AJ$5:$AJ$1000,0)+4,"")</f>
        <v/>
      </c>
    </row>
    <row r="64">
      <c r="B64" s="5" t="str">
        <f>IF($H64="","",INDEX('Detalle individual'!$B:$B,$H64))</f>
        <v/>
      </c>
      <c r="C64" s="5" t="str">
        <f>IF($H64="","",INDEX('Detalle individual'!$A:$A,$H64))</f>
        <v/>
      </c>
      <c r="D64" s="5" t="str">
        <f>IF($H64="","",INDEX('Detalle individual'!$E:$E,$H64))</f>
        <v/>
      </c>
      <c r="E64" s="5" t="str">
        <f>IF($H64="","",INDEX('Detalle individual'!$C:$C,$H64))</f>
        <v/>
      </c>
      <c r="F64" s="5" t="str">
        <f>IF($H64="","",INDEX('Detalle individual'!$D:$D,$H64))</f>
        <v/>
      </c>
      <c r="G64" s="5" t="str">
        <f>IF($H64="","",INDEX('Detalle individual'!$F:$F,$H64))</f>
        <v/>
      </c>
      <c r="H64" t="str">
        <f>IFERROR(MATCH(SMALL(Cálculos!$AJ$5:$AJ$1000,60),Cálculos!$AJ$5:$AJ$1000,0)+4,"")</f>
        <v/>
      </c>
    </row>
    <row r="65">
      <c r="B65" s="5" t="str">
        <f>IF($H65="","",INDEX('Detalle individual'!$B:$B,$H65))</f>
        <v/>
      </c>
      <c r="C65" s="5" t="str">
        <f>IF($H65="","",INDEX('Detalle individual'!$A:$A,$H65))</f>
        <v/>
      </c>
      <c r="D65" s="5" t="str">
        <f>IF($H65="","",INDEX('Detalle individual'!$E:$E,$H65))</f>
        <v/>
      </c>
      <c r="E65" s="5" t="str">
        <f>IF($H65="","",INDEX('Detalle individual'!$C:$C,$H65))</f>
        <v/>
      </c>
      <c r="F65" s="5" t="str">
        <f>IF($H65="","",INDEX('Detalle individual'!$D:$D,$H65))</f>
        <v/>
      </c>
      <c r="G65" s="5" t="str">
        <f>IF($H65="","",INDEX('Detalle individual'!$F:$F,$H65))</f>
        <v/>
      </c>
      <c r="H65" t="str">
        <f>IFERROR(MATCH(SMALL(Cálculos!$AJ$5:$AJ$1000,61),Cálculos!$AJ$5:$AJ$1000,0)+4,"")</f>
        <v/>
      </c>
    </row>
    <row r="66">
      <c r="B66" s="5" t="str">
        <f>IF($H66="","",INDEX('Detalle individual'!$B:$B,$H66))</f>
        <v/>
      </c>
      <c r="C66" s="5" t="str">
        <f>IF($H66="","",INDEX('Detalle individual'!$A:$A,$H66))</f>
        <v/>
      </c>
      <c r="D66" s="5" t="str">
        <f>IF($H66="","",INDEX('Detalle individual'!$E:$E,$H66))</f>
        <v/>
      </c>
      <c r="E66" s="5" t="str">
        <f>IF($H66="","",INDEX('Detalle individual'!$C:$C,$H66))</f>
        <v/>
      </c>
      <c r="F66" s="5" t="str">
        <f>IF($H66="","",INDEX('Detalle individual'!$D:$D,$H66))</f>
        <v/>
      </c>
      <c r="G66" s="5" t="str">
        <f>IF($H66="","",INDEX('Detalle individual'!$F:$F,$H66))</f>
        <v/>
      </c>
      <c r="H66" t="str">
        <f>IFERROR(MATCH(SMALL(Cálculos!$AJ$5:$AJ$1000,62),Cálculos!$AJ$5:$AJ$1000,0)+4,"")</f>
        <v/>
      </c>
    </row>
    <row r="67">
      <c r="B67" s="5" t="str">
        <f>IF($H67="","",INDEX('Detalle individual'!$B:$B,$H67))</f>
        <v/>
      </c>
      <c r="C67" s="5" t="str">
        <f>IF($H67="","",INDEX('Detalle individual'!$A:$A,$H67))</f>
        <v/>
      </c>
      <c r="D67" s="5" t="str">
        <f>IF($H67="","",INDEX('Detalle individual'!$E:$E,$H67))</f>
        <v/>
      </c>
      <c r="E67" s="5" t="str">
        <f>IF($H67="","",INDEX('Detalle individual'!$C:$C,$H67))</f>
        <v/>
      </c>
      <c r="F67" s="5" t="str">
        <f>IF($H67="","",INDEX('Detalle individual'!$D:$D,$H67))</f>
        <v/>
      </c>
      <c r="G67" s="5" t="str">
        <f>IF($H67="","",INDEX('Detalle individual'!$F:$F,$H67))</f>
        <v/>
      </c>
      <c r="H67" t="str">
        <f>IFERROR(MATCH(SMALL(Cálculos!$AJ$5:$AJ$1000,63),Cálculos!$AJ$5:$AJ$1000,0)+4,"")</f>
        <v/>
      </c>
    </row>
    <row r="68">
      <c r="B68" s="5" t="str">
        <f>IF($H68="","",INDEX('Detalle individual'!$B:$B,$H68))</f>
        <v/>
      </c>
      <c r="C68" s="5" t="str">
        <f>IF($H68="","",INDEX('Detalle individual'!$A:$A,$H68))</f>
        <v/>
      </c>
      <c r="D68" s="5" t="str">
        <f>IF($H68="","",INDEX('Detalle individual'!$E:$E,$H68))</f>
        <v/>
      </c>
      <c r="E68" s="5" t="str">
        <f>IF($H68="","",INDEX('Detalle individual'!$C:$C,$H68))</f>
        <v/>
      </c>
      <c r="F68" s="5" t="str">
        <f>IF($H68="","",INDEX('Detalle individual'!$D:$D,$H68))</f>
        <v/>
      </c>
      <c r="G68" s="5" t="str">
        <f>IF($H68="","",INDEX('Detalle individual'!$F:$F,$H68))</f>
        <v/>
      </c>
      <c r="H68" t="str">
        <f>IFERROR(MATCH(SMALL(Cálculos!$AJ$5:$AJ$1000,64),Cálculos!$AJ$5:$AJ$1000,0)+4,"")</f>
        <v/>
      </c>
    </row>
    <row r="69">
      <c r="B69" s="5" t="str">
        <f>IF($H69="","",INDEX('Detalle individual'!$B:$B,$H69))</f>
        <v/>
      </c>
      <c r="C69" s="5" t="str">
        <f>IF($H69="","",INDEX('Detalle individual'!$A:$A,$H69))</f>
        <v/>
      </c>
      <c r="D69" s="5" t="str">
        <f>IF($H69="","",INDEX('Detalle individual'!$E:$E,$H69))</f>
        <v/>
      </c>
      <c r="E69" s="5" t="str">
        <f>IF($H69="","",INDEX('Detalle individual'!$C:$C,$H69))</f>
        <v/>
      </c>
      <c r="F69" s="5" t="str">
        <f>IF($H69="","",INDEX('Detalle individual'!$D:$D,$H69))</f>
        <v/>
      </c>
      <c r="G69" s="5" t="str">
        <f>IF($H69="","",INDEX('Detalle individual'!$F:$F,$H69))</f>
        <v/>
      </c>
      <c r="H69" t="str">
        <f>IFERROR(MATCH(SMALL(Cálculos!$AJ$5:$AJ$1000,65),Cálculos!$AJ$5:$AJ$1000,0)+4,"")</f>
        <v/>
      </c>
    </row>
    <row r="70">
      <c r="B70" s="5" t="str">
        <f>IF($H70="","",INDEX('Detalle individual'!$B:$B,$H70))</f>
        <v/>
      </c>
      <c r="C70" s="5" t="str">
        <f>IF($H70="","",INDEX('Detalle individual'!$A:$A,$H70))</f>
        <v/>
      </c>
      <c r="D70" s="5" t="str">
        <f>IF($H70="","",INDEX('Detalle individual'!$E:$E,$H70))</f>
        <v/>
      </c>
      <c r="E70" s="5" t="str">
        <f>IF($H70="","",INDEX('Detalle individual'!$C:$C,$H70))</f>
        <v/>
      </c>
      <c r="F70" s="5" t="str">
        <f>IF($H70="","",INDEX('Detalle individual'!$D:$D,$H70))</f>
        <v/>
      </c>
      <c r="G70" s="5" t="str">
        <f>IF($H70="","",INDEX('Detalle individual'!$F:$F,$H70))</f>
        <v/>
      </c>
      <c r="H70" t="str">
        <f>IFERROR(MATCH(SMALL(Cálculos!$AJ$5:$AJ$1000,66),Cálculos!$AJ$5:$AJ$1000,0)+4,"")</f>
        <v/>
      </c>
    </row>
    <row r="71">
      <c r="B71" s="5" t="str">
        <f>IF($H71="","",INDEX('Detalle individual'!$B:$B,$H71))</f>
        <v/>
      </c>
      <c r="C71" s="5" t="str">
        <f>IF($H71="","",INDEX('Detalle individual'!$A:$A,$H71))</f>
        <v/>
      </c>
      <c r="D71" s="5" t="str">
        <f>IF($H71="","",INDEX('Detalle individual'!$E:$E,$H71))</f>
        <v/>
      </c>
      <c r="E71" s="5" t="str">
        <f>IF($H71="","",INDEX('Detalle individual'!$C:$C,$H71))</f>
        <v/>
      </c>
      <c r="F71" s="5" t="str">
        <f>IF($H71="","",INDEX('Detalle individual'!$D:$D,$H71))</f>
        <v/>
      </c>
      <c r="G71" s="5" t="str">
        <f>IF($H71="","",INDEX('Detalle individual'!$F:$F,$H71))</f>
        <v/>
      </c>
      <c r="H71" t="str">
        <f>IFERROR(MATCH(SMALL(Cálculos!$AJ$5:$AJ$1000,67),Cálculos!$AJ$5:$AJ$1000,0)+4,"")</f>
        <v/>
      </c>
    </row>
    <row r="72">
      <c r="B72" s="5" t="str">
        <f>IF($H72="","",INDEX('Detalle individual'!$B:$B,$H72))</f>
        <v/>
      </c>
      <c r="C72" s="5" t="str">
        <f>IF($H72="","",INDEX('Detalle individual'!$A:$A,$H72))</f>
        <v/>
      </c>
      <c r="D72" s="5" t="str">
        <f>IF($H72="","",INDEX('Detalle individual'!$E:$E,$H72))</f>
        <v/>
      </c>
      <c r="E72" s="5" t="str">
        <f>IF($H72="","",INDEX('Detalle individual'!$C:$C,$H72))</f>
        <v/>
      </c>
      <c r="F72" s="5" t="str">
        <f>IF($H72="","",INDEX('Detalle individual'!$D:$D,$H72))</f>
        <v/>
      </c>
      <c r="G72" s="5" t="str">
        <f>IF($H72="","",INDEX('Detalle individual'!$F:$F,$H72))</f>
        <v/>
      </c>
      <c r="H72" t="str">
        <f>IFERROR(MATCH(SMALL(Cálculos!$AJ$5:$AJ$1000,68),Cálculos!$AJ$5:$AJ$1000,0)+4,"")</f>
        <v/>
      </c>
    </row>
    <row r="73">
      <c r="B73" s="5" t="str">
        <f>IF($H73="","",INDEX('Detalle individual'!$B:$B,$H73))</f>
        <v/>
      </c>
      <c r="C73" s="5" t="str">
        <f>IF($H73="","",INDEX('Detalle individual'!$A:$A,$H73))</f>
        <v/>
      </c>
      <c r="D73" s="5" t="str">
        <f>IF($H73="","",INDEX('Detalle individual'!$E:$E,$H73))</f>
        <v/>
      </c>
      <c r="E73" s="5" t="str">
        <f>IF($H73="","",INDEX('Detalle individual'!$C:$C,$H73))</f>
        <v/>
      </c>
      <c r="F73" s="5" t="str">
        <f>IF($H73="","",INDEX('Detalle individual'!$D:$D,$H73))</f>
        <v/>
      </c>
      <c r="G73" s="5" t="str">
        <f>IF($H73="","",INDEX('Detalle individual'!$F:$F,$H73))</f>
        <v/>
      </c>
      <c r="H73" t="str">
        <f>IFERROR(MATCH(SMALL(Cálculos!$AJ$5:$AJ$1000,69),Cálculos!$AJ$5:$AJ$1000,0)+4,"")</f>
        <v/>
      </c>
    </row>
    <row r="74">
      <c r="B74" s="5" t="str">
        <f>IF($H74="","",INDEX('Detalle individual'!$B:$B,$H74))</f>
        <v/>
      </c>
      <c r="C74" s="5" t="str">
        <f>IF($H74="","",INDEX('Detalle individual'!$A:$A,$H74))</f>
        <v/>
      </c>
      <c r="D74" s="5" t="str">
        <f>IF($H74="","",INDEX('Detalle individual'!$E:$E,$H74))</f>
        <v/>
      </c>
      <c r="E74" s="5" t="str">
        <f>IF($H74="","",INDEX('Detalle individual'!$C:$C,$H74))</f>
        <v/>
      </c>
      <c r="F74" s="5" t="str">
        <f>IF($H74="","",INDEX('Detalle individual'!$D:$D,$H74))</f>
        <v/>
      </c>
      <c r="G74" s="5" t="str">
        <f>IF($H74="","",INDEX('Detalle individual'!$F:$F,$H74))</f>
        <v/>
      </c>
      <c r="H74" t="str">
        <f>IFERROR(MATCH(SMALL(Cálculos!$AJ$5:$AJ$1000,70),Cálculos!$AJ$5:$AJ$1000,0)+4,"")</f>
        <v/>
      </c>
    </row>
    <row r="75">
      <c r="B75" s="5" t="str">
        <f>IF($H75="","",INDEX('Detalle individual'!$B:$B,$H75))</f>
        <v/>
      </c>
      <c r="C75" s="5" t="str">
        <f>IF($H75="","",INDEX('Detalle individual'!$A:$A,$H75))</f>
        <v/>
      </c>
      <c r="D75" s="5" t="str">
        <f>IF($H75="","",INDEX('Detalle individual'!$E:$E,$H75))</f>
        <v/>
      </c>
      <c r="E75" s="5" t="str">
        <f>IF($H75="","",INDEX('Detalle individual'!$C:$C,$H75))</f>
        <v/>
      </c>
      <c r="F75" s="5" t="str">
        <f>IF($H75="","",INDEX('Detalle individual'!$D:$D,$H75))</f>
        <v/>
      </c>
      <c r="G75" s="5" t="str">
        <f>IF($H75="","",INDEX('Detalle individual'!$F:$F,$H75))</f>
        <v/>
      </c>
      <c r="H75" t="str">
        <f>IFERROR(MATCH(SMALL(Cálculos!$AJ$5:$AJ$1000,71),Cálculos!$AJ$5:$AJ$1000,0)+4,"")</f>
        <v/>
      </c>
    </row>
    <row r="76">
      <c r="B76" s="5" t="str">
        <f>IF($H76="","",INDEX('Detalle individual'!$B:$B,$H76))</f>
        <v/>
      </c>
      <c r="C76" s="5" t="str">
        <f>IF($H76="","",INDEX('Detalle individual'!$A:$A,$H76))</f>
        <v/>
      </c>
      <c r="D76" s="5" t="str">
        <f>IF($H76="","",INDEX('Detalle individual'!$E:$E,$H76))</f>
        <v/>
      </c>
      <c r="E76" s="5" t="str">
        <f>IF($H76="","",INDEX('Detalle individual'!$C:$C,$H76))</f>
        <v/>
      </c>
      <c r="F76" s="5" t="str">
        <f>IF($H76="","",INDEX('Detalle individual'!$D:$D,$H76))</f>
        <v/>
      </c>
      <c r="G76" s="5" t="str">
        <f>IF($H76="","",INDEX('Detalle individual'!$F:$F,$H76))</f>
        <v/>
      </c>
      <c r="H76" t="str">
        <f>IFERROR(MATCH(SMALL(Cálculos!$AJ$5:$AJ$1000,72),Cálculos!$AJ$5:$AJ$1000,0)+4,"")</f>
        <v/>
      </c>
    </row>
    <row r="77">
      <c r="B77" s="5" t="str">
        <f>IF($H77="","",INDEX('Detalle individual'!$B:$B,$H77))</f>
        <v/>
      </c>
      <c r="C77" s="5" t="str">
        <f>IF($H77="","",INDEX('Detalle individual'!$A:$A,$H77))</f>
        <v/>
      </c>
      <c r="D77" s="5" t="str">
        <f>IF($H77="","",INDEX('Detalle individual'!$E:$E,$H77))</f>
        <v/>
      </c>
      <c r="E77" s="5" t="str">
        <f>IF($H77="","",INDEX('Detalle individual'!$C:$C,$H77))</f>
        <v/>
      </c>
      <c r="F77" s="5" t="str">
        <f>IF($H77="","",INDEX('Detalle individual'!$D:$D,$H77))</f>
        <v/>
      </c>
      <c r="G77" s="5" t="str">
        <f>IF($H77="","",INDEX('Detalle individual'!$F:$F,$H77))</f>
        <v/>
      </c>
      <c r="H77" t="str">
        <f>IFERROR(MATCH(SMALL(Cálculos!$AJ$5:$AJ$1000,73),Cálculos!$AJ$5:$AJ$1000,0)+4,"")</f>
        <v/>
      </c>
    </row>
    <row r="78">
      <c r="B78" s="5" t="str">
        <f>IF($H78="","",INDEX('Detalle individual'!$B:$B,$H78))</f>
        <v/>
      </c>
      <c r="C78" s="5" t="str">
        <f>IF($H78="","",INDEX('Detalle individual'!$A:$A,$H78))</f>
        <v/>
      </c>
      <c r="D78" s="5" t="str">
        <f>IF($H78="","",INDEX('Detalle individual'!$E:$E,$H78))</f>
        <v/>
      </c>
      <c r="E78" s="5" t="str">
        <f>IF($H78="","",INDEX('Detalle individual'!$C:$C,$H78))</f>
        <v/>
      </c>
      <c r="F78" s="5" t="str">
        <f>IF($H78="","",INDEX('Detalle individual'!$D:$D,$H78))</f>
        <v/>
      </c>
      <c r="G78" s="5" t="str">
        <f>IF($H78="","",INDEX('Detalle individual'!$F:$F,$H78))</f>
        <v/>
      </c>
      <c r="H78" t="str">
        <f>IFERROR(MATCH(SMALL(Cálculos!$AJ$5:$AJ$1000,74),Cálculos!$AJ$5:$AJ$1000,0)+4,"")</f>
        <v/>
      </c>
    </row>
    <row r="79">
      <c r="B79" s="5" t="str">
        <f>IF($H79="","",INDEX('Detalle individual'!$B:$B,$H79))</f>
        <v/>
      </c>
      <c r="C79" s="5" t="str">
        <f>IF($H79="","",INDEX('Detalle individual'!$A:$A,$H79))</f>
        <v/>
      </c>
      <c r="D79" s="5" t="str">
        <f>IF($H79="","",INDEX('Detalle individual'!$E:$E,$H79))</f>
        <v/>
      </c>
      <c r="E79" s="5" t="str">
        <f>IF($H79="","",INDEX('Detalle individual'!$C:$C,$H79))</f>
        <v/>
      </c>
      <c r="F79" s="5" t="str">
        <f>IF($H79="","",INDEX('Detalle individual'!$D:$D,$H79))</f>
        <v/>
      </c>
      <c r="G79" s="5" t="str">
        <f>IF($H79="","",INDEX('Detalle individual'!$F:$F,$H79))</f>
        <v/>
      </c>
      <c r="H79" t="str">
        <f>IFERROR(MATCH(SMALL(Cálculos!$AJ$5:$AJ$1000,75),Cálculos!$AJ$5:$AJ$1000,0)+4,"")</f>
        <v/>
      </c>
    </row>
    <row r="80">
      <c r="B80" s="5" t="str">
        <f>IF($H80="","",INDEX('Detalle individual'!$B:$B,$H80))</f>
        <v/>
      </c>
      <c r="C80" s="5" t="str">
        <f>IF($H80="","",INDEX('Detalle individual'!$A:$A,$H80))</f>
        <v/>
      </c>
      <c r="D80" s="5" t="str">
        <f>IF($H80="","",INDEX('Detalle individual'!$E:$E,$H80))</f>
        <v/>
      </c>
      <c r="E80" s="5" t="str">
        <f>IF($H80="","",INDEX('Detalle individual'!$C:$C,$H80))</f>
        <v/>
      </c>
      <c r="F80" s="5" t="str">
        <f>IF($H80="","",INDEX('Detalle individual'!$D:$D,$H80))</f>
        <v/>
      </c>
      <c r="G80" s="5" t="str">
        <f>IF($H80="","",INDEX('Detalle individual'!$F:$F,$H80))</f>
        <v/>
      </c>
      <c r="H80" t="str">
        <f>IFERROR(MATCH(SMALL(Cálculos!$AJ$5:$AJ$1000,76),Cálculos!$AJ$5:$AJ$1000,0)+4,"")</f>
        <v/>
      </c>
    </row>
    <row r="81">
      <c r="B81" s="5" t="str">
        <f>IF($H81="","",INDEX('Detalle individual'!$B:$B,$H81))</f>
        <v/>
      </c>
      <c r="C81" s="5" t="str">
        <f>IF($H81="","",INDEX('Detalle individual'!$A:$A,$H81))</f>
        <v/>
      </c>
      <c r="D81" s="5" t="str">
        <f>IF($H81="","",INDEX('Detalle individual'!$E:$E,$H81))</f>
        <v/>
      </c>
      <c r="E81" s="5" t="str">
        <f>IF($H81="","",INDEX('Detalle individual'!$C:$C,$H81))</f>
        <v/>
      </c>
      <c r="F81" s="5" t="str">
        <f>IF($H81="","",INDEX('Detalle individual'!$D:$D,$H81))</f>
        <v/>
      </c>
      <c r="G81" s="5" t="str">
        <f>IF($H81="","",INDEX('Detalle individual'!$F:$F,$H81))</f>
        <v/>
      </c>
      <c r="H81" t="str">
        <f>IFERROR(MATCH(SMALL(Cálculos!$AJ$5:$AJ$1000,77),Cálculos!$AJ$5:$AJ$1000,0)+4,"")</f>
        <v/>
      </c>
    </row>
    <row r="82">
      <c r="B82" s="5" t="str">
        <f>IF($H82="","",INDEX('Detalle individual'!$B:$B,$H82))</f>
        <v/>
      </c>
      <c r="C82" s="5" t="str">
        <f>IF($H82="","",INDEX('Detalle individual'!$A:$A,$H82))</f>
        <v/>
      </c>
      <c r="D82" s="5" t="str">
        <f>IF($H82="","",INDEX('Detalle individual'!$E:$E,$H82))</f>
        <v/>
      </c>
      <c r="E82" s="5" t="str">
        <f>IF($H82="","",INDEX('Detalle individual'!$C:$C,$H82))</f>
        <v/>
      </c>
      <c r="F82" s="5" t="str">
        <f>IF($H82="","",INDEX('Detalle individual'!$D:$D,$H82))</f>
        <v/>
      </c>
      <c r="G82" s="5" t="str">
        <f>IF($H82="","",INDEX('Detalle individual'!$F:$F,$H82))</f>
        <v/>
      </c>
      <c r="H82" t="str">
        <f>IFERROR(MATCH(SMALL(Cálculos!$AJ$5:$AJ$1000,78),Cálculos!$AJ$5:$AJ$1000,0)+4,"")</f>
        <v/>
      </c>
    </row>
    <row r="83">
      <c r="B83" s="5" t="str">
        <f>IF($H83="","",INDEX('Detalle individual'!$B:$B,$H83))</f>
        <v/>
      </c>
      <c r="C83" s="5" t="str">
        <f>IF($H83="","",INDEX('Detalle individual'!$A:$A,$H83))</f>
        <v/>
      </c>
      <c r="D83" s="5" t="str">
        <f>IF($H83="","",INDEX('Detalle individual'!$E:$E,$H83))</f>
        <v/>
      </c>
      <c r="E83" s="5" t="str">
        <f>IF($H83="","",INDEX('Detalle individual'!$C:$C,$H83))</f>
        <v/>
      </c>
      <c r="F83" s="5" t="str">
        <f>IF($H83="","",INDEX('Detalle individual'!$D:$D,$H83))</f>
        <v/>
      </c>
      <c r="G83" s="5" t="str">
        <f>IF($H83="","",INDEX('Detalle individual'!$F:$F,$H83))</f>
        <v/>
      </c>
      <c r="H83" t="str">
        <f>IFERROR(MATCH(SMALL(Cálculos!$AJ$5:$AJ$1000,79),Cálculos!$AJ$5:$AJ$1000,0)+4,"")</f>
        <v/>
      </c>
    </row>
    <row r="84">
      <c r="B84" s="5" t="str">
        <f>IF($H84="","",INDEX('Detalle individual'!$B:$B,$H84))</f>
        <v/>
      </c>
      <c r="C84" s="5" t="str">
        <f>IF($H84="","",INDEX('Detalle individual'!$A:$A,$H84))</f>
        <v/>
      </c>
      <c r="D84" s="5" t="str">
        <f>IF($H84="","",INDEX('Detalle individual'!$E:$E,$H84))</f>
        <v/>
      </c>
      <c r="E84" s="5" t="str">
        <f>IF($H84="","",INDEX('Detalle individual'!$C:$C,$H84))</f>
        <v/>
      </c>
      <c r="F84" s="5" t="str">
        <f>IF($H84="","",INDEX('Detalle individual'!$D:$D,$H84))</f>
        <v/>
      </c>
      <c r="G84" s="5" t="str">
        <f>IF($H84="","",INDEX('Detalle individual'!$F:$F,$H84))</f>
        <v/>
      </c>
      <c r="H84" t="str">
        <f>IFERROR(MATCH(SMALL(Cálculos!$AJ$5:$AJ$1000,80),Cálculos!$AJ$5:$AJ$1000,0)+4,"")</f>
        <v/>
      </c>
    </row>
    <row r="85">
      <c r="B85" s="5" t="str">
        <f>IF($H85="","",INDEX('Detalle individual'!$B:$B,$H85))</f>
        <v/>
      </c>
      <c r="C85" s="5" t="str">
        <f>IF($H85="","",INDEX('Detalle individual'!$A:$A,$H85))</f>
        <v/>
      </c>
      <c r="D85" s="5" t="str">
        <f>IF($H85="","",INDEX('Detalle individual'!$E:$E,$H85))</f>
        <v/>
      </c>
      <c r="E85" s="5" t="str">
        <f>IF($H85="","",INDEX('Detalle individual'!$C:$C,$H85))</f>
        <v/>
      </c>
      <c r="F85" s="5" t="str">
        <f>IF($H85="","",INDEX('Detalle individual'!$D:$D,$H85))</f>
        <v/>
      </c>
      <c r="G85" s="5" t="str">
        <f>IF($H85="","",INDEX('Detalle individual'!$F:$F,$H85))</f>
        <v/>
      </c>
      <c r="H85" t="str">
        <f>IFERROR(MATCH(SMALL(Cálculos!$AJ$5:$AJ$1000,81),Cálculos!$AJ$5:$AJ$1000,0)+4,"")</f>
        <v/>
      </c>
    </row>
    <row r="86">
      <c r="B86" s="5" t="str">
        <f>IF($H86="","",INDEX('Detalle individual'!$B:$B,$H86))</f>
        <v/>
      </c>
      <c r="C86" s="5" t="str">
        <f>IF($H86="","",INDEX('Detalle individual'!$A:$A,$H86))</f>
        <v/>
      </c>
      <c r="D86" s="5" t="str">
        <f>IF($H86="","",INDEX('Detalle individual'!$E:$E,$H86))</f>
        <v/>
      </c>
      <c r="E86" s="5" t="str">
        <f>IF($H86="","",INDEX('Detalle individual'!$C:$C,$H86))</f>
        <v/>
      </c>
      <c r="F86" s="5" t="str">
        <f>IF($H86="","",INDEX('Detalle individual'!$D:$D,$H86))</f>
        <v/>
      </c>
      <c r="G86" s="5" t="str">
        <f>IF($H86="","",INDEX('Detalle individual'!$F:$F,$H86))</f>
        <v/>
      </c>
      <c r="H86" t="str">
        <f>IFERROR(MATCH(SMALL(Cálculos!$AJ$5:$AJ$1000,82),Cálculos!$AJ$5:$AJ$1000,0)+4,"")</f>
        <v/>
      </c>
    </row>
    <row r="87">
      <c r="B87" s="5" t="str">
        <f>IF($H87="","",INDEX('Detalle individual'!$B:$B,$H87))</f>
        <v/>
      </c>
      <c r="C87" s="5" t="str">
        <f>IF($H87="","",INDEX('Detalle individual'!$A:$A,$H87))</f>
        <v/>
      </c>
      <c r="D87" s="5" t="str">
        <f>IF($H87="","",INDEX('Detalle individual'!$E:$E,$H87))</f>
        <v/>
      </c>
      <c r="E87" s="5" t="str">
        <f>IF($H87="","",INDEX('Detalle individual'!$C:$C,$H87))</f>
        <v/>
      </c>
      <c r="F87" s="5" t="str">
        <f>IF($H87="","",INDEX('Detalle individual'!$D:$D,$H87))</f>
        <v/>
      </c>
      <c r="G87" s="5" t="str">
        <f>IF($H87="","",INDEX('Detalle individual'!$F:$F,$H87))</f>
        <v/>
      </c>
      <c r="H87" t="str">
        <f>IFERROR(MATCH(SMALL(Cálculos!$AJ$5:$AJ$1000,83),Cálculos!$AJ$5:$AJ$1000,0)+4,"")</f>
        <v/>
      </c>
    </row>
    <row r="88">
      <c r="B88" s="5" t="str">
        <f>IF($H88="","",INDEX('Detalle individual'!$B:$B,$H88))</f>
        <v/>
      </c>
      <c r="C88" s="5" t="str">
        <f>IF($H88="","",INDEX('Detalle individual'!$A:$A,$H88))</f>
        <v/>
      </c>
      <c r="D88" s="5" t="str">
        <f>IF($H88="","",INDEX('Detalle individual'!$E:$E,$H88))</f>
        <v/>
      </c>
      <c r="E88" s="5" t="str">
        <f>IF($H88="","",INDEX('Detalle individual'!$C:$C,$H88))</f>
        <v/>
      </c>
      <c r="F88" s="5" t="str">
        <f>IF($H88="","",INDEX('Detalle individual'!$D:$D,$H88))</f>
        <v/>
      </c>
      <c r="G88" s="5" t="str">
        <f>IF($H88="","",INDEX('Detalle individual'!$F:$F,$H88))</f>
        <v/>
      </c>
      <c r="H88" t="str">
        <f>IFERROR(MATCH(SMALL(Cálculos!$AJ$5:$AJ$1000,84),Cálculos!$AJ$5:$AJ$1000,0)+4,"")</f>
        <v/>
      </c>
    </row>
    <row r="89">
      <c r="B89" s="5" t="str">
        <f>IF($H89="","",INDEX('Detalle individual'!$B:$B,$H89))</f>
        <v/>
      </c>
      <c r="C89" s="5" t="str">
        <f>IF($H89="","",INDEX('Detalle individual'!$A:$A,$H89))</f>
        <v/>
      </c>
      <c r="D89" s="5" t="str">
        <f>IF($H89="","",INDEX('Detalle individual'!$E:$E,$H89))</f>
        <v/>
      </c>
      <c r="E89" s="5" t="str">
        <f>IF($H89="","",INDEX('Detalle individual'!$C:$C,$H89))</f>
        <v/>
      </c>
      <c r="F89" s="5" t="str">
        <f>IF($H89="","",INDEX('Detalle individual'!$D:$D,$H89))</f>
        <v/>
      </c>
      <c r="G89" s="5" t="str">
        <f>IF($H89="","",INDEX('Detalle individual'!$F:$F,$H89))</f>
        <v/>
      </c>
      <c r="H89" t="str">
        <f>IFERROR(MATCH(SMALL(Cálculos!$AJ$5:$AJ$1000,85),Cálculos!$AJ$5:$AJ$1000,0)+4,"")</f>
        <v/>
      </c>
    </row>
    <row r="90">
      <c r="B90" s="5" t="str">
        <f>IF($H90="","",INDEX('Detalle individual'!$B:$B,$H90))</f>
        <v/>
      </c>
      <c r="C90" s="5" t="str">
        <f>IF($H90="","",INDEX('Detalle individual'!$A:$A,$H90))</f>
        <v/>
      </c>
      <c r="D90" s="5" t="str">
        <f>IF($H90="","",INDEX('Detalle individual'!$E:$E,$H90))</f>
        <v/>
      </c>
      <c r="E90" s="5" t="str">
        <f>IF($H90="","",INDEX('Detalle individual'!$C:$C,$H90))</f>
        <v/>
      </c>
      <c r="F90" s="5" t="str">
        <f>IF($H90="","",INDEX('Detalle individual'!$D:$D,$H90))</f>
        <v/>
      </c>
      <c r="G90" s="5" t="str">
        <f>IF($H90="","",INDEX('Detalle individual'!$F:$F,$H90))</f>
        <v/>
      </c>
      <c r="H90" t="str">
        <f>IFERROR(MATCH(SMALL(Cálculos!$AJ$5:$AJ$1000,86),Cálculos!$AJ$5:$AJ$1000,0)+4,"")</f>
        <v/>
      </c>
    </row>
    <row r="91">
      <c r="B91" s="5" t="str">
        <f>IF($H91="","",INDEX('Detalle individual'!$B:$B,$H91))</f>
        <v/>
      </c>
      <c r="C91" s="5" t="str">
        <f>IF($H91="","",INDEX('Detalle individual'!$A:$A,$H91))</f>
        <v/>
      </c>
      <c r="D91" s="5" t="str">
        <f>IF($H91="","",INDEX('Detalle individual'!$E:$E,$H91))</f>
        <v/>
      </c>
      <c r="E91" s="5" t="str">
        <f>IF($H91="","",INDEX('Detalle individual'!$C:$C,$H91))</f>
        <v/>
      </c>
      <c r="F91" s="5" t="str">
        <f>IF($H91="","",INDEX('Detalle individual'!$D:$D,$H91))</f>
        <v/>
      </c>
      <c r="G91" s="5" t="str">
        <f>IF($H91="","",INDEX('Detalle individual'!$F:$F,$H91))</f>
        <v/>
      </c>
      <c r="H91" t="str">
        <f>IFERROR(MATCH(SMALL(Cálculos!$AJ$5:$AJ$1000,87),Cálculos!$AJ$5:$AJ$1000,0)+4,"")</f>
        <v/>
      </c>
    </row>
    <row r="92">
      <c r="B92" s="5" t="str">
        <f>IF($H92="","",INDEX('Detalle individual'!$B:$B,$H92))</f>
        <v/>
      </c>
      <c r="C92" s="5" t="str">
        <f>IF($H92="","",INDEX('Detalle individual'!$A:$A,$H92))</f>
        <v/>
      </c>
      <c r="D92" s="5" t="str">
        <f>IF($H92="","",INDEX('Detalle individual'!$E:$E,$H92))</f>
        <v/>
      </c>
      <c r="E92" s="5" t="str">
        <f>IF($H92="","",INDEX('Detalle individual'!$C:$C,$H92))</f>
        <v/>
      </c>
      <c r="F92" s="5" t="str">
        <f>IF($H92="","",INDEX('Detalle individual'!$D:$D,$H92))</f>
        <v/>
      </c>
      <c r="G92" s="5" t="str">
        <f>IF($H92="","",INDEX('Detalle individual'!$F:$F,$H92))</f>
        <v/>
      </c>
      <c r="H92" t="str">
        <f>IFERROR(MATCH(SMALL(Cálculos!$AJ$5:$AJ$1000,88),Cálculos!$AJ$5:$AJ$1000,0)+4,"")</f>
        <v/>
      </c>
    </row>
    <row r="93">
      <c r="B93" s="5" t="str">
        <f>IF($H93="","",INDEX('Detalle individual'!$B:$B,$H93))</f>
        <v/>
      </c>
      <c r="C93" s="5" t="str">
        <f>IF($H93="","",INDEX('Detalle individual'!$A:$A,$H93))</f>
        <v/>
      </c>
      <c r="D93" s="5" t="str">
        <f>IF($H93="","",INDEX('Detalle individual'!$E:$E,$H93))</f>
        <v/>
      </c>
      <c r="E93" s="5" t="str">
        <f>IF($H93="","",INDEX('Detalle individual'!$C:$C,$H93))</f>
        <v/>
      </c>
      <c r="F93" s="5" t="str">
        <f>IF($H93="","",INDEX('Detalle individual'!$D:$D,$H93))</f>
        <v/>
      </c>
      <c r="G93" s="5" t="str">
        <f>IF($H93="","",INDEX('Detalle individual'!$F:$F,$H93))</f>
        <v/>
      </c>
      <c r="H93" t="str">
        <f>IFERROR(MATCH(SMALL(Cálculos!$AJ$5:$AJ$1000,89),Cálculos!$AJ$5:$AJ$1000,0)+4,"")</f>
        <v/>
      </c>
    </row>
    <row r="94">
      <c r="B94" s="5" t="str">
        <f>IF($H94="","",INDEX('Detalle individual'!$B:$B,$H94))</f>
        <v/>
      </c>
      <c r="C94" s="5" t="str">
        <f>IF($H94="","",INDEX('Detalle individual'!$A:$A,$H94))</f>
        <v/>
      </c>
      <c r="D94" s="5" t="str">
        <f>IF($H94="","",INDEX('Detalle individual'!$E:$E,$H94))</f>
        <v/>
      </c>
      <c r="E94" s="5" t="str">
        <f>IF($H94="","",INDEX('Detalle individual'!$C:$C,$H94))</f>
        <v/>
      </c>
      <c r="F94" s="5" t="str">
        <f>IF($H94="","",INDEX('Detalle individual'!$D:$D,$H94))</f>
        <v/>
      </c>
      <c r="G94" s="5" t="str">
        <f>IF($H94="","",INDEX('Detalle individual'!$F:$F,$H94))</f>
        <v/>
      </c>
      <c r="H94" t="str">
        <f>IFERROR(MATCH(SMALL(Cálculos!$AJ$5:$AJ$1000,90),Cálculos!$AJ$5:$AJ$1000,0)+4,"")</f>
        <v/>
      </c>
    </row>
    <row r="95">
      <c r="B95" s="5" t="str">
        <f>IF($H95="","",INDEX('Detalle individual'!$B:$B,$H95))</f>
        <v/>
      </c>
      <c r="C95" s="5" t="str">
        <f>IF($H95="","",INDEX('Detalle individual'!$A:$A,$H95))</f>
        <v/>
      </c>
      <c r="D95" s="5" t="str">
        <f>IF($H95="","",INDEX('Detalle individual'!$E:$E,$H95))</f>
        <v/>
      </c>
      <c r="E95" s="5" t="str">
        <f>IF($H95="","",INDEX('Detalle individual'!$C:$C,$H95))</f>
        <v/>
      </c>
      <c r="F95" s="5" t="str">
        <f>IF($H95="","",INDEX('Detalle individual'!$D:$D,$H95))</f>
        <v/>
      </c>
      <c r="G95" s="5" t="str">
        <f>IF($H95="","",INDEX('Detalle individual'!$F:$F,$H95))</f>
        <v/>
      </c>
      <c r="H95" t="str">
        <f>IFERROR(MATCH(SMALL(Cálculos!$AJ$5:$AJ$1000,91),Cálculos!$AJ$5:$AJ$1000,0)+4,"")</f>
        <v/>
      </c>
    </row>
    <row r="96">
      <c r="B96" s="5" t="str">
        <f>IF($H96="","",INDEX('Detalle individual'!$B:$B,$H96))</f>
        <v/>
      </c>
      <c r="C96" s="5" t="str">
        <f>IF($H96="","",INDEX('Detalle individual'!$A:$A,$H96))</f>
        <v/>
      </c>
      <c r="D96" s="5" t="str">
        <f>IF($H96="","",INDEX('Detalle individual'!$E:$E,$H96))</f>
        <v/>
      </c>
      <c r="E96" s="5" t="str">
        <f>IF($H96="","",INDEX('Detalle individual'!$C:$C,$H96))</f>
        <v/>
      </c>
      <c r="F96" s="5" t="str">
        <f>IF($H96="","",INDEX('Detalle individual'!$D:$D,$H96))</f>
        <v/>
      </c>
      <c r="G96" s="5" t="str">
        <f>IF($H96="","",INDEX('Detalle individual'!$F:$F,$H96))</f>
        <v/>
      </c>
      <c r="H96" t="str">
        <f>IFERROR(MATCH(SMALL(Cálculos!$AJ$5:$AJ$1000,92),Cálculos!$AJ$5:$AJ$1000,0)+4,"")</f>
        <v/>
      </c>
    </row>
    <row r="97">
      <c r="B97" s="5" t="str">
        <f>IF($H97="","",INDEX('Detalle individual'!$B:$B,$H97))</f>
        <v/>
      </c>
      <c r="C97" s="5" t="str">
        <f>IF($H97="","",INDEX('Detalle individual'!$A:$A,$H97))</f>
        <v/>
      </c>
      <c r="D97" s="5" t="str">
        <f>IF($H97="","",INDEX('Detalle individual'!$E:$E,$H97))</f>
        <v/>
      </c>
      <c r="E97" s="5" t="str">
        <f>IF($H97="","",INDEX('Detalle individual'!$C:$C,$H97))</f>
        <v/>
      </c>
      <c r="F97" s="5" t="str">
        <f>IF($H97="","",INDEX('Detalle individual'!$D:$D,$H97))</f>
        <v/>
      </c>
      <c r="G97" s="5" t="str">
        <f>IF($H97="","",INDEX('Detalle individual'!$F:$F,$H97))</f>
        <v/>
      </c>
      <c r="H97" t="str">
        <f>IFERROR(MATCH(SMALL(Cálculos!$AJ$5:$AJ$1000,93),Cálculos!$AJ$5:$AJ$1000,0)+4,"")</f>
        <v/>
      </c>
    </row>
    <row r="98">
      <c r="B98" s="5" t="str">
        <f>IF($H98="","",INDEX('Detalle individual'!$B:$B,$H98))</f>
        <v/>
      </c>
      <c r="C98" s="5" t="str">
        <f>IF($H98="","",INDEX('Detalle individual'!$A:$A,$H98))</f>
        <v/>
      </c>
      <c r="D98" s="5" t="str">
        <f>IF($H98="","",INDEX('Detalle individual'!$E:$E,$H98))</f>
        <v/>
      </c>
      <c r="E98" s="5" t="str">
        <f>IF($H98="","",INDEX('Detalle individual'!$C:$C,$H98))</f>
        <v/>
      </c>
      <c r="F98" s="5" t="str">
        <f>IF($H98="","",INDEX('Detalle individual'!$D:$D,$H98))</f>
        <v/>
      </c>
      <c r="G98" s="5" t="str">
        <f>IF($H98="","",INDEX('Detalle individual'!$F:$F,$H98))</f>
        <v/>
      </c>
      <c r="H98" t="str">
        <f>IFERROR(MATCH(SMALL(Cálculos!$AJ$5:$AJ$1000,94),Cálculos!$AJ$5:$AJ$1000,0)+4,"")</f>
        <v/>
      </c>
    </row>
    <row r="99">
      <c r="B99" s="5" t="str">
        <f>IF($H99="","",INDEX('Detalle individual'!$B:$B,$H99))</f>
        <v/>
      </c>
      <c r="C99" s="5" t="str">
        <f>IF($H99="","",INDEX('Detalle individual'!$A:$A,$H99))</f>
        <v/>
      </c>
      <c r="D99" s="5" t="str">
        <f>IF($H99="","",INDEX('Detalle individual'!$E:$E,$H99))</f>
        <v/>
      </c>
      <c r="E99" s="5" t="str">
        <f>IF($H99="","",INDEX('Detalle individual'!$C:$C,$H99))</f>
        <v/>
      </c>
      <c r="F99" s="5" t="str">
        <f>IF($H99="","",INDEX('Detalle individual'!$D:$D,$H99))</f>
        <v/>
      </c>
      <c r="G99" s="5" t="str">
        <f>IF($H99="","",INDEX('Detalle individual'!$F:$F,$H99))</f>
        <v/>
      </c>
      <c r="H99" t="str">
        <f>IFERROR(MATCH(SMALL(Cálculos!$AJ$5:$AJ$1000,95),Cálculos!$AJ$5:$AJ$1000,0)+4,"")</f>
        <v/>
      </c>
    </row>
    <row r="100">
      <c r="B100" s="5" t="str">
        <f>IF($H100="","",INDEX('Detalle individual'!$B:$B,$H100))</f>
        <v/>
      </c>
      <c r="C100" s="5" t="str">
        <f>IF($H100="","",INDEX('Detalle individual'!$A:$A,$H100))</f>
        <v/>
      </c>
      <c r="D100" s="5" t="str">
        <f>IF($H100="","",INDEX('Detalle individual'!$E:$E,$H100))</f>
        <v/>
      </c>
      <c r="E100" s="5" t="str">
        <f>IF($H100="","",INDEX('Detalle individual'!$C:$C,$H100))</f>
        <v/>
      </c>
      <c r="F100" s="5" t="str">
        <f>IF($H100="","",INDEX('Detalle individual'!$D:$D,$H100))</f>
        <v/>
      </c>
      <c r="G100" s="5" t="str">
        <f>IF($H100="","",INDEX('Detalle individual'!$F:$F,$H100))</f>
        <v/>
      </c>
      <c r="H100" t="str">
        <f>IFERROR(MATCH(SMALL(Cálculos!$AJ$5:$AJ$1000,96),Cálculos!$AJ$5:$AJ$1000,0)+4,"")</f>
        <v/>
      </c>
    </row>
    <row r="101">
      <c r="B101" s="5" t="str">
        <f>IF($H101="","",INDEX('Detalle individual'!$B:$B,$H101))</f>
        <v/>
      </c>
      <c r="C101" s="5" t="str">
        <f>IF($H101="","",INDEX('Detalle individual'!$A:$A,$H101))</f>
        <v/>
      </c>
      <c r="D101" s="5" t="str">
        <f>IF($H101="","",INDEX('Detalle individual'!$E:$E,$H101))</f>
        <v/>
      </c>
      <c r="E101" s="5" t="str">
        <f>IF($H101="","",INDEX('Detalle individual'!$C:$C,$H101))</f>
        <v/>
      </c>
      <c r="F101" s="5" t="str">
        <f>IF($H101="","",INDEX('Detalle individual'!$D:$D,$H101))</f>
        <v/>
      </c>
      <c r="G101" s="5" t="str">
        <f>IF($H101="","",INDEX('Detalle individual'!$F:$F,$H101))</f>
        <v/>
      </c>
      <c r="H101" t="str">
        <f>IFERROR(MATCH(SMALL(Cálculos!$AJ$5:$AJ$1000,97),Cálculos!$AJ$5:$AJ$1000,0)+4,"")</f>
        <v/>
      </c>
    </row>
    <row r="102">
      <c r="B102" s="5" t="str">
        <f>IF($H102="","",INDEX('Detalle individual'!$B:$B,$H102))</f>
        <v/>
      </c>
      <c r="C102" s="5" t="str">
        <f>IF($H102="","",INDEX('Detalle individual'!$A:$A,$H102))</f>
        <v/>
      </c>
      <c r="D102" s="5" t="str">
        <f>IF($H102="","",INDEX('Detalle individual'!$E:$E,$H102))</f>
        <v/>
      </c>
      <c r="E102" s="5" t="str">
        <f>IF($H102="","",INDEX('Detalle individual'!$C:$C,$H102))</f>
        <v/>
      </c>
      <c r="F102" s="5" t="str">
        <f>IF($H102="","",INDEX('Detalle individual'!$D:$D,$H102))</f>
        <v/>
      </c>
      <c r="G102" s="5" t="str">
        <f>IF($H102="","",INDEX('Detalle individual'!$F:$F,$H102))</f>
        <v/>
      </c>
      <c r="H102" t="str">
        <f>IFERROR(MATCH(SMALL(Cálculos!$AJ$5:$AJ$1000,98),Cálculos!$AJ$5:$AJ$1000,0)+4,"")</f>
        <v/>
      </c>
    </row>
    <row r="103">
      <c r="B103" s="5" t="str">
        <f>IF($H103="","",INDEX('Detalle individual'!$B:$B,$H103))</f>
        <v/>
      </c>
      <c r="C103" s="5" t="str">
        <f>IF($H103="","",INDEX('Detalle individual'!$A:$A,$H103))</f>
        <v/>
      </c>
      <c r="D103" s="5" t="str">
        <f>IF($H103="","",INDEX('Detalle individual'!$E:$E,$H103))</f>
        <v/>
      </c>
      <c r="E103" s="5" t="str">
        <f>IF($H103="","",INDEX('Detalle individual'!$C:$C,$H103))</f>
        <v/>
      </c>
      <c r="F103" s="5" t="str">
        <f>IF($H103="","",INDEX('Detalle individual'!$D:$D,$H103))</f>
        <v/>
      </c>
      <c r="G103" s="5" t="str">
        <f>IF($H103="","",INDEX('Detalle individual'!$F:$F,$H103))</f>
        <v/>
      </c>
      <c r="H103" t="str">
        <f>IFERROR(MATCH(SMALL(Cálculos!$AJ$5:$AJ$1000,99),Cálculos!$AJ$5:$AJ$1000,0)+4,"")</f>
        <v/>
      </c>
    </row>
    <row r="104">
      <c r="B104" s="5" t="str">
        <f>IF($H104="","",INDEX('Detalle individual'!$B:$B,$H104))</f>
        <v/>
      </c>
      <c r="C104" s="5" t="str">
        <f>IF($H104="","",INDEX('Detalle individual'!$A:$A,$H104))</f>
        <v/>
      </c>
      <c r="D104" s="5" t="str">
        <f>IF($H104="","",INDEX('Detalle individual'!$E:$E,$H104))</f>
        <v/>
      </c>
      <c r="E104" s="5" t="str">
        <f>IF($H104="","",INDEX('Detalle individual'!$C:$C,$H104))</f>
        <v/>
      </c>
      <c r="F104" s="5" t="str">
        <f>IF($H104="","",INDEX('Detalle individual'!$D:$D,$H104))</f>
        <v/>
      </c>
      <c r="G104" s="5" t="str">
        <f>IF($H104="","",INDEX('Detalle individual'!$F:$F,$H104))</f>
        <v/>
      </c>
      <c r="H104" t="str">
        <f>IFERROR(MATCH(SMALL(Cálculos!$AJ$5:$AJ$1000,100),Cálculos!$AJ$5:$AJ$1000,0)+4,"")</f>
        <v/>
      </c>
    </row>
    <row r="105">
      <c r="B105" s="5" t="str">
        <f>IF($H105="","",INDEX('Detalle individual'!$B:$B,$H105))</f>
        <v/>
      </c>
      <c r="C105" s="5" t="str">
        <f>IF($H105="","",INDEX('Detalle individual'!$A:$A,$H105))</f>
        <v/>
      </c>
      <c r="D105" s="5" t="str">
        <f>IF($H105="","",INDEX('Detalle individual'!$E:$E,$H105))</f>
        <v/>
      </c>
      <c r="E105" s="5" t="str">
        <f>IF($H105="","",INDEX('Detalle individual'!$C:$C,$H105))</f>
        <v/>
      </c>
      <c r="F105" s="5" t="str">
        <f>IF($H105="","",INDEX('Detalle individual'!$D:$D,$H105))</f>
        <v/>
      </c>
      <c r="G105" s="5" t="str">
        <f>IF($H105="","",INDEX('Detalle individual'!$F:$F,$H105))</f>
        <v/>
      </c>
      <c r="H105" t="str">
        <f>IFERROR(MATCH(SMALL(Cálculos!$AJ$5:$AJ$1000,101),Cálculos!$AJ$5:$AJ$1000,0)+4,"")</f>
        <v/>
      </c>
    </row>
    <row r="106">
      <c r="B106" s="5" t="str">
        <f>IF($H106="","",INDEX('Detalle individual'!$B:$B,$H106))</f>
        <v/>
      </c>
      <c r="C106" s="5" t="str">
        <f>IF($H106="","",INDEX('Detalle individual'!$A:$A,$H106))</f>
        <v/>
      </c>
      <c r="D106" s="5" t="str">
        <f>IF($H106="","",INDEX('Detalle individual'!$E:$E,$H106))</f>
        <v/>
      </c>
      <c r="E106" s="5" t="str">
        <f>IF($H106="","",INDEX('Detalle individual'!$C:$C,$H106))</f>
        <v/>
      </c>
      <c r="F106" s="5" t="str">
        <f>IF($H106="","",INDEX('Detalle individual'!$D:$D,$H106))</f>
        <v/>
      </c>
      <c r="G106" s="5" t="str">
        <f>IF($H106="","",INDEX('Detalle individual'!$F:$F,$H106))</f>
        <v/>
      </c>
      <c r="H106" t="str">
        <f>IFERROR(MATCH(SMALL(Cálculos!$AJ$5:$AJ$1000,102),Cálculos!$AJ$5:$AJ$1000,0)+4,"")</f>
        <v/>
      </c>
    </row>
    <row r="107">
      <c r="B107" s="5" t="str">
        <f>IF($H107="","",INDEX('Detalle individual'!$B:$B,$H107))</f>
        <v/>
      </c>
      <c r="C107" s="5" t="str">
        <f>IF($H107="","",INDEX('Detalle individual'!$A:$A,$H107))</f>
        <v/>
      </c>
      <c r="D107" s="5" t="str">
        <f>IF($H107="","",INDEX('Detalle individual'!$E:$E,$H107))</f>
        <v/>
      </c>
      <c r="E107" s="5" t="str">
        <f>IF($H107="","",INDEX('Detalle individual'!$C:$C,$H107))</f>
        <v/>
      </c>
      <c r="F107" s="5" t="str">
        <f>IF($H107="","",INDEX('Detalle individual'!$D:$D,$H107))</f>
        <v/>
      </c>
      <c r="G107" s="5" t="str">
        <f>IF($H107="","",INDEX('Detalle individual'!$F:$F,$H107))</f>
        <v/>
      </c>
      <c r="H107" t="str">
        <f>IFERROR(MATCH(SMALL(Cálculos!$AJ$5:$AJ$1000,103),Cálculos!$AJ$5:$AJ$1000,0)+4,"")</f>
        <v/>
      </c>
    </row>
    <row r="108">
      <c r="B108" s="5" t="str">
        <f>IF($H108="","",INDEX('Detalle individual'!$B:$B,$H108))</f>
        <v/>
      </c>
      <c r="C108" s="5" t="str">
        <f>IF($H108="","",INDEX('Detalle individual'!$A:$A,$H108))</f>
        <v/>
      </c>
      <c r="D108" s="5" t="str">
        <f>IF($H108="","",INDEX('Detalle individual'!$E:$E,$H108))</f>
        <v/>
      </c>
      <c r="E108" s="5" t="str">
        <f>IF($H108="","",INDEX('Detalle individual'!$C:$C,$H108))</f>
        <v/>
      </c>
      <c r="F108" s="5" t="str">
        <f>IF($H108="","",INDEX('Detalle individual'!$D:$D,$H108))</f>
        <v/>
      </c>
      <c r="G108" s="5" t="str">
        <f>IF($H108="","",INDEX('Detalle individual'!$F:$F,$H108))</f>
        <v/>
      </c>
      <c r="H108" t="str">
        <f>IFERROR(MATCH(SMALL(Cálculos!$AJ$5:$AJ$1000,104),Cálculos!$AJ$5:$AJ$1000,0)+4,"")</f>
        <v/>
      </c>
    </row>
    <row r="109">
      <c r="B109" s="5" t="str">
        <f>IF($H109="","",INDEX('Detalle individual'!$B:$B,$H109))</f>
        <v/>
      </c>
      <c r="C109" s="5" t="str">
        <f>IF($H109="","",INDEX('Detalle individual'!$A:$A,$H109))</f>
        <v/>
      </c>
      <c r="D109" s="5" t="str">
        <f>IF($H109="","",INDEX('Detalle individual'!$E:$E,$H109))</f>
        <v/>
      </c>
      <c r="E109" s="5" t="str">
        <f>IF($H109="","",INDEX('Detalle individual'!$C:$C,$H109))</f>
        <v/>
      </c>
      <c r="F109" s="5" t="str">
        <f>IF($H109="","",INDEX('Detalle individual'!$D:$D,$H109))</f>
        <v/>
      </c>
      <c r="G109" s="5" t="str">
        <f>IF($H109="","",INDEX('Detalle individual'!$F:$F,$H109))</f>
        <v/>
      </c>
      <c r="H109" t="str">
        <f>IFERROR(MATCH(SMALL(Cálculos!$AJ$5:$AJ$1000,105),Cálculos!$AJ$5:$AJ$1000,0)+4,"")</f>
        <v/>
      </c>
    </row>
    <row r="110">
      <c r="B110" s="5" t="str">
        <f>IF($H110="","",INDEX('Detalle individual'!$B:$B,$H110))</f>
        <v/>
      </c>
      <c r="C110" s="5" t="str">
        <f>IF($H110="","",INDEX('Detalle individual'!$A:$A,$H110))</f>
        <v/>
      </c>
      <c r="D110" s="5" t="str">
        <f>IF($H110="","",INDEX('Detalle individual'!$E:$E,$H110))</f>
        <v/>
      </c>
      <c r="E110" s="5" t="str">
        <f>IF($H110="","",INDEX('Detalle individual'!$C:$C,$H110))</f>
        <v/>
      </c>
      <c r="F110" s="5" t="str">
        <f>IF($H110="","",INDEX('Detalle individual'!$D:$D,$H110))</f>
        <v/>
      </c>
      <c r="G110" s="5" t="str">
        <f>IF($H110="","",INDEX('Detalle individual'!$F:$F,$H110))</f>
        <v/>
      </c>
      <c r="H110" t="str">
        <f>IFERROR(MATCH(SMALL(Cálculos!$AJ$5:$AJ$1000,106),Cálculos!$AJ$5:$AJ$1000,0)+4,"")</f>
        <v/>
      </c>
    </row>
    <row r="111">
      <c r="B111" s="5" t="str">
        <f>IF($H111="","",INDEX('Detalle individual'!$B:$B,$H111))</f>
        <v/>
      </c>
      <c r="C111" s="5" t="str">
        <f>IF($H111="","",INDEX('Detalle individual'!$A:$A,$H111))</f>
        <v/>
      </c>
      <c r="D111" s="5" t="str">
        <f>IF($H111="","",INDEX('Detalle individual'!$E:$E,$H111))</f>
        <v/>
      </c>
      <c r="E111" s="5" t="str">
        <f>IF($H111="","",INDEX('Detalle individual'!$C:$C,$H111))</f>
        <v/>
      </c>
      <c r="F111" s="5" t="str">
        <f>IF($H111="","",INDEX('Detalle individual'!$D:$D,$H111))</f>
        <v/>
      </c>
      <c r="G111" s="5" t="str">
        <f>IF($H111="","",INDEX('Detalle individual'!$F:$F,$H111))</f>
        <v/>
      </c>
      <c r="H111" t="str">
        <f>IFERROR(MATCH(SMALL(Cálculos!$AJ$5:$AJ$1000,107),Cálculos!$AJ$5:$AJ$1000,0)+4,"")</f>
        <v/>
      </c>
    </row>
    <row r="112">
      <c r="B112" s="5" t="str">
        <f>IF($H112="","",INDEX('Detalle individual'!$B:$B,$H112))</f>
        <v/>
      </c>
      <c r="C112" s="5" t="str">
        <f>IF($H112="","",INDEX('Detalle individual'!$A:$A,$H112))</f>
        <v/>
      </c>
      <c r="D112" s="5" t="str">
        <f>IF($H112="","",INDEX('Detalle individual'!$E:$E,$H112))</f>
        <v/>
      </c>
      <c r="E112" s="5" t="str">
        <f>IF($H112="","",INDEX('Detalle individual'!$C:$C,$H112))</f>
        <v/>
      </c>
      <c r="F112" s="5" t="str">
        <f>IF($H112="","",INDEX('Detalle individual'!$D:$D,$H112))</f>
        <v/>
      </c>
      <c r="G112" s="5" t="str">
        <f>IF($H112="","",INDEX('Detalle individual'!$F:$F,$H112))</f>
        <v/>
      </c>
      <c r="H112" t="str">
        <f>IFERROR(MATCH(SMALL(Cálculos!$AJ$5:$AJ$1000,108),Cálculos!$AJ$5:$AJ$1000,0)+4,"")</f>
        <v/>
      </c>
    </row>
    <row r="113">
      <c r="B113" s="5" t="str">
        <f>IF($H113="","",INDEX('Detalle individual'!$B:$B,$H113))</f>
        <v/>
      </c>
      <c r="C113" s="5" t="str">
        <f>IF($H113="","",INDEX('Detalle individual'!$A:$A,$H113))</f>
        <v/>
      </c>
      <c r="D113" s="5" t="str">
        <f>IF($H113="","",INDEX('Detalle individual'!$E:$E,$H113))</f>
        <v/>
      </c>
      <c r="E113" s="5" t="str">
        <f>IF($H113="","",INDEX('Detalle individual'!$C:$C,$H113))</f>
        <v/>
      </c>
      <c r="F113" s="5" t="str">
        <f>IF($H113="","",INDEX('Detalle individual'!$D:$D,$H113))</f>
        <v/>
      </c>
      <c r="G113" s="5" t="str">
        <f>IF($H113="","",INDEX('Detalle individual'!$F:$F,$H113))</f>
        <v/>
      </c>
      <c r="H113" t="str">
        <f>IFERROR(MATCH(SMALL(Cálculos!$AJ$5:$AJ$1000,109),Cálculos!$AJ$5:$AJ$1000,0)+4,"")</f>
        <v/>
      </c>
    </row>
    <row r="114">
      <c r="B114" s="5" t="str">
        <f>IF($H114="","",INDEX('Detalle individual'!$B:$B,$H114))</f>
        <v/>
      </c>
      <c r="C114" s="5" t="str">
        <f>IF($H114="","",INDEX('Detalle individual'!$A:$A,$H114))</f>
        <v/>
      </c>
      <c r="D114" s="5" t="str">
        <f>IF($H114="","",INDEX('Detalle individual'!$E:$E,$H114))</f>
        <v/>
      </c>
      <c r="E114" s="5" t="str">
        <f>IF($H114="","",INDEX('Detalle individual'!$C:$C,$H114))</f>
        <v/>
      </c>
      <c r="F114" s="5" t="str">
        <f>IF($H114="","",INDEX('Detalle individual'!$D:$D,$H114))</f>
        <v/>
      </c>
      <c r="G114" s="5" t="str">
        <f>IF($H114="","",INDEX('Detalle individual'!$F:$F,$H114))</f>
        <v/>
      </c>
      <c r="H114" t="str">
        <f>IFERROR(MATCH(SMALL(Cálculos!$AJ$5:$AJ$1000,110),Cálculos!$AJ$5:$AJ$1000,0)+4,"")</f>
        <v/>
      </c>
    </row>
    <row r="115">
      <c r="B115" s="5" t="str">
        <f>IF($H115="","",INDEX('Detalle individual'!$B:$B,$H115))</f>
        <v/>
      </c>
      <c r="C115" s="5" t="str">
        <f>IF($H115="","",INDEX('Detalle individual'!$A:$A,$H115))</f>
        <v/>
      </c>
      <c r="D115" s="5" t="str">
        <f>IF($H115="","",INDEX('Detalle individual'!$E:$E,$H115))</f>
        <v/>
      </c>
      <c r="E115" s="5" t="str">
        <f>IF($H115="","",INDEX('Detalle individual'!$C:$C,$H115))</f>
        <v/>
      </c>
      <c r="F115" s="5" t="str">
        <f>IF($H115="","",INDEX('Detalle individual'!$D:$D,$H115))</f>
        <v/>
      </c>
      <c r="G115" s="5" t="str">
        <f>IF($H115="","",INDEX('Detalle individual'!$F:$F,$H115))</f>
        <v/>
      </c>
      <c r="H115" t="str">
        <f>IFERROR(MATCH(SMALL(Cálculos!$AJ$5:$AJ$1000,111),Cálculos!$AJ$5:$AJ$1000,0)+4,"")</f>
        <v/>
      </c>
    </row>
    <row r="116">
      <c r="B116" s="5" t="str">
        <f>IF($H116="","",INDEX('Detalle individual'!$B:$B,$H116))</f>
        <v/>
      </c>
      <c r="C116" s="5" t="str">
        <f>IF($H116="","",INDEX('Detalle individual'!$A:$A,$H116))</f>
        <v/>
      </c>
      <c r="D116" s="5" t="str">
        <f>IF($H116="","",INDEX('Detalle individual'!$E:$E,$H116))</f>
        <v/>
      </c>
      <c r="E116" s="5" t="str">
        <f>IF($H116="","",INDEX('Detalle individual'!$C:$C,$H116))</f>
        <v/>
      </c>
      <c r="F116" s="5" t="str">
        <f>IF($H116="","",INDEX('Detalle individual'!$D:$D,$H116))</f>
        <v/>
      </c>
      <c r="G116" s="5" t="str">
        <f>IF($H116="","",INDEX('Detalle individual'!$F:$F,$H116))</f>
        <v/>
      </c>
      <c r="H116" t="str">
        <f>IFERROR(MATCH(SMALL(Cálculos!$AJ$5:$AJ$1000,112),Cálculos!$AJ$5:$AJ$1000,0)+4,"")</f>
        <v/>
      </c>
    </row>
    <row r="117">
      <c r="B117" s="5" t="str">
        <f>IF($H117="","",INDEX('Detalle individual'!$B:$B,$H117))</f>
        <v/>
      </c>
      <c r="C117" s="5" t="str">
        <f>IF($H117="","",INDEX('Detalle individual'!$A:$A,$H117))</f>
        <v/>
      </c>
      <c r="D117" s="5" t="str">
        <f>IF($H117="","",INDEX('Detalle individual'!$E:$E,$H117))</f>
        <v/>
      </c>
      <c r="E117" s="5" t="str">
        <f>IF($H117="","",INDEX('Detalle individual'!$C:$C,$H117))</f>
        <v/>
      </c>
      <c r="F117" s="5" t="str">
        <f>IF($H117="","",INDEX('Detalle individual'!$D:$D,$H117))</f>
        <v/>
      </c>
      <c r="G117" s="5" t="str">
        <f>IF($H117="","",INDEX('Detalle individual'!$F:$F,$H117))</f>
        <v/>
      </c>
      <c r="H117" t="str">
        <f>IFERROR(MATCH(SMALL(Cálculos!$AJ$5:$AJ$1000,113),Cálculos!$AJ$5:$AJ$1000,0)+4,"")</f>
        <v/>
      </c>
    </row>
    <row r="118">
      <c r="B118" s="5" t="str">
        <f>IF($H118="","",INDEX('Detalle individual'!$B:$B,$H118))</f>
        <v/>
      </c>
      <c r="C118" s="5" t="str">
        <f>IF($H118="","",INDEX('Detalle individual'!$A:$A,$H118))</f>
        <v/>
      </c>
      <c r="D118" s="5" t="str">
        <f>IF($H118="","",INDEX('Detalle individual'!$E:$E,$H118))</f>
        <v/>
      </c>
      <c r="E118" s="5" t="str">
        <f>IF($H118="","",INDEX('Detalle individual'!$C:$C,$H118))</f>
        <v/>
      </c>
      <c r="F118" s="5" t="str">
        <f>IF($H118="","",INDEX('Detalle individual'!$D:$D,$H118))</f>
        <v/>
      </c>
      <c r="G118" s="5" t="str">
        <f>IF($H118="","",INDEX('Detalle individual'!$F:$F,$H118))</f>
        <v/>
      </c>
      <c r="H118" t="str">
        <f>IFERROR(MATCH(SMALL(Cálculos!$AJ$5:$AJ$1000,114),Cálculos!$AJ$5:$AJ$1000,0)+4,"")</f>
        <v/>
      </c>
    </row>
    <row r="119">
      <c r="B119" s="5" t="str">
        <f>IF($H119="","",INDEX('Detalle individual'!$B:$B,$H119))</f>
        <v/>
      </c>
      <c r="C119" s="5" t="str">
        <f>IF($H119="","",INDEX('Detalle individual'!$A:$A,$H119))</f>
        <v/>
      </c>
      <c r="D119" s="5" t="str">
        <f>IF($H119="","",INDEX('Detalle individual'!$E:$E,$H119))</f>
        <v/>
      </c>
      <c r="E119" s="5" t="str">
        <f>IF($H119="","",INDEX('Detalle individual'!$C:$C,$H119))</f>
        <v/>
      </c>
      <c r="F119" s="5" t="str">
        <f>IF($H119="","",INDEX('Detalle individual'!$D:$D,$H119))</f>
        <v/>
      </c>
      <c r="G119" s="5" t="str">
        <f>IF($H119="","",INDEX('Detalle individual'!$F:$F,$H119))</f>
        <v/>
      </c>
      <c r="H119" t="str">
        <f>IFERROR(MATCH(SMALL(Cálculos!$AJ$5:$AJ$1000,115),Cálculos!$AJ$5:$AJ$1000,0)+4,"")</f>
        <v/>
      </c>
    </row>
    <row r="120">
      <c r="B120" s="5" t="str">
        <f>IF($H120="","",INDEX('Detalle individual'!$B:$B,$H120))</f>
        <v/>
      </c>
      <c r="C120" s="5" t="str">
        <f>IF($H120="","",INDEX('Detalle individual'!$A:$A,$H120))</f>
        <v/>
      </c>
      <c r="D120" s="5" t="str">
        <f>IF($H120="","",INDEX('Detalle individual'!$E:$E,$H120))</f>
        <v/>
      </c>
      <c r="E120" s="5" t="str">
        <f>IF($H120="","",INDEX('Detalle individual'!$C:$C,$H120))</f>
        <v/>
      </c>
      <c r="F120" s="5" t="str">
        <f>IF($H120="","",INDEX('Detalle individual'!$D:$D,$H120))</f>
        <v/>
      </c>
      <c r="G120" s="5" t="str">
        <f>IF($H120="","",INDEX('Detalle individual'!$F:$F,$H120))</f>
        <v/>
      </c>
      <c r="H120" t="str">
        <f>IFERROR(MATCH(SMALL(Cálculos!$AJ$5:$AJ$1000,116),Cálculos!$AJ$5:$AJ$1000,0)+4,"")</f>
        <v/>
      </c>
    </row>
    <row r="121">
      <c r="B121" s="5" t="str">
        <f>IF($H121="","",INDEX('Detalle individual'!$B:$B,$H121))</f>
        <v/>
      </c>
      <c r="C121" s="5" t="str">
        <f>IF($H121="","",INDEX('Detalle individual'!$A:$A,$H121))</f>
        <v/>
      </c>
      <c r="D121" s="5" t="str">
        <f>IF($H121="","",INDEX('Detalle individual'!$E:$E,$H121))</f>
        <v/>
      </c>
      <c r="E121" s="5" t="str">
        <f>IF($H121="","",INDEX('Detalle individual'!$C:$C,$H121))</f>
        <v/>
      </c>
      <c r="F121" s="5" t="str">
        <f>IF($H121="","",INDEX('Detalle individual'!$D:$D,$H121))</f>
        <v/>
      </c>
      <c r="G121" s="5" t="str">
        <f>IF($H121="","",INDEX('Detalle individual'!$F:$F,$H121))</f>
        <v/>
      </c>
      <c r="H121" t="str">
        <f>IFERROR(MATCH(SMALL(Cálculos!$AJ$5:$AJ$1000,117),Cálculos!$AJ$5:$AJ$1000,0)+4,"")</f>
        <v/>
      </c>
    </row>
    <row r="122">
      <c r="B122" s="5" t="str">
        <f>IF($H122="","",INDEX('Detalle individual'!$B:$B,$H122))</f>
        <v/>
      </c>
      <c r="C122" s="5" t="str">
        <f>IF($H122="","",INDEX('Detalle individual'!$A:$A,$H122))</f>
        <v/>
      </c>
      <c r="D122" s="5" t="str">
        <f>IF($H122="","",INDEX('Detalle individual'!$E:$E,$H122))</f>
        <v/>
      </c>
      <c r="E122" s="5" t="str">
        <f>IF($H122="","",INDEX('Detalle individual'!$C:$C,$H122))</f>
        <v/>
      </c>
      <c r="F122" s="5" t="str">
        <f>IF($H122="","",INDEX('Detalle individual'!$D:$D,$H122))</f>
        <v/>
      </c>
      <c r="G122" s="5" t="str">
        <f>IF($H122="","",INDEX('Detalle individual'!$F:$F,$H122))</f>
        <v/>
      </c>
      <c r="H122" t="str">
        <f>IFERROR(MATCH(SMALL(Cálculos!$AJ$5:$AJ$1000,118),Cálculos!$AJ$5:$AJ$1000,0)+4,"")</f>
        <v/>
      </c>
    </row>
    <row r="123">
      <c r="B123" s="5" t="str">
        <f>IF($H123="","",INDEX('Detalle individual'!$B:$B,$H123))</f>
        <v/>
      </c>
      <c r="C123" s="5" t="str">
        <f>IF($H123="","",INDEX('Detalle individual'!$A:$A,$H123))</f>
        <v/>
      </c>
      <c r="D123" s="5" t="str">
        <f>IF($H123="","",INDEX('Detalle individual'!$E:$E,$H123))</f>
        <v/>
      </c>
      <c r="E123" s="5" t="str">
        <f>IF($H123="","",INDEX('Detalle individual'!$C:$C,$H123))</f>
        <v/>
      </c>
      <c r="F123" s="5" t="str">
        <f>IF($H123="","",INDEX('Detalle individual'!$D:$D,$H123))</f>
        <v/>
      </c>
      <c r="G123" s="5" t="str">
        <f>IF($H123="","",INDEX('Detalle individual'!$F:$F,$H123))</f>
        <v/>
      </c>
      <c r="H123" t="str">
        <f>IFERROR(MATCH(SMALL(Cálculos!$AJ$5:$AJ$1000,119),Cálculos!$AJ$5:$AJ$1000,0)+4,"")</f>
        <v/>
      </c>
    </row>
    <row r="124">
      <c r="B124" s="5" t="str">
        <f>IF($H124="","",INDEX('Detalle individual'!$B:$B,$H124))</f>
        <v/>
      </c>
      <c r="C124" s="5" t="str">
        <f>IF($H124="","",INDEX('Detalle individual'!$A:$A,$H124))</f>
        <v/>
      </c>
      <c r="D124" s="5" t="str">
        <f>IF($H124="","",INDEX('Detalle individual'!$E:$E,$H124))</f>
        <v/>
      </c>
      <c r="E124" s="5" t="str">
        <f>IF($H124="","",INDEX('Detalle individual'!$C:$C,$H124))</f>
        <v/>
      </c>
      <c r="F124" s="5" t="str">
        <f>IF($H124="","",INDEX('Detalle individual'!$D:$D,$H124))</f>
        <v/>
      </c>
      <c r="G124" s="5" t="str">
        <f>IF($H124="","",INDEX('Detalle individual'!$F:$F,$H124))</f>
        <v/>
      </c>
      <c r="H124" t="str">
        <f>IFERROR(MATCH(SMALL(Cálculos!$AJ$5:$AJ$1000,120),Cálculos!$AJ$5:$AJ$1000,0)+4,"")</f>
        <v/>
      </c>
    </row>
    <row r="125">
      <c r="B125" s="5" t="str">
        <f>IF($H125="","",INDEX('Detalle individual'!$B:$B,$H125))</f>
        <v/>
      </c>
      <c r="C125" s="5" t="str">
        <f>IF($H125="","",INDEX('Detalle individual'!$A:$A,$H125))</f>
        <v/>
      </c>
      <c r="D125" s="5" t="str">
        <f>IF($H125="","",INDEX('Detalle individual'!$E:$E,$H125))</f>
        <v/>
      </c>
      <c r="E125" s="5" t="str">
        <f>IF($H125="","",INDEX('Detalle individual'!$C:$C,$H125))</f>
        <v/>
      </c>
      <c r="F125" s="5" t="str">
        <f>IF($H125="","",INDEX('Detalle individual'!$D:$D,$H125))</f>
        <v/>
      </c>
      <c r="G125" s="5" t="str">
        <f>IF($H125="","",INDEX('Detalle individual'!$F:$F,$H125))</f>
        <v/>
      </c>
      <c r="H125" t="str">
        <f>IFERROR(MATCH(SMALL(Cálculos!$AJ$5:$AJ$1000,121),Cálculos!$AJ$5:$AJ$1000,0)+4,"")</f>
        <v/>
      </c>
    </row>
    <row r="126">
      <c r="B126" s="5" t="str">
        <f>IF($H126="","",INDEX('Detalle individual'!$B:$B,$H126))</f>
        <v/>
      </c>
      <c r="C126" s="5" t="str">
        <f>IF($H126="","",INDEX('Detalle individual'!$A:$A,$H126))</f>
        <v/>
      </c>
      <c r="D126" s="5" t="str">
        <f>IF($H126="","",INDEX('Detalle individual'!$E:$E,$H126))</f>
        <v/>
      </c>
      <c r="E126" s="5" t="str">
        <f>IF($H126="","",INDEX('Detalle individual'!$C:$C,$H126))</f>
        <v/>
      </c>
      <c r="F126" s="5" t="str">
        <f>IF($H126="","",INDEX('Detalle individual'!$D:$D,$H126))</f>
        <v/>
      </c>
      <c r="G126" s="5" t="str">
        <f>IF($H126="","",INDEX('Detalle individual'!$F:$F,$H126))</f>
        <v/>
      </c>
      <c r="H126" t="str">
        <f>IFERROR(MATCH(SMALL(Cálculos!$AJ$5:$AJ$1000,122),Cálculos!$AJ$5:$AJ$1000,0)+4,"")</f>
        <v/>
      </c>
    </row>
    <row r="127">
      <c r="B127" s="5" t="str">
        <f>IF($H127="","",INDEX('Detalle individual'!$B:$B,$H127))</f>
        <v/>
      </c>
      <c r="C127" s="5" t="str">
        <f>IF($H127="","",INDEX('Detalle individual'!$A:$A,$H127))</f>
        <v/>
      </c>
      <c r="D127" s="5" t="str">
        <f>IF($H127="","",INDEX('Detalle individual'!$E:$E,$H127))</f>
        <v/>
      </c>
      <c r="E127" s="5" t="str">
        <f>IF($H127="","",INDEX('Detalle individual'!$C:$C,$H127))</f>
        <v/>
      </c>
      <c r="F127" s="5" t="str">
        <f>IF($H127="","",INDEX('Detalle individual'!$D:$D,$H127))</f>
        <v/>
      </c>
      <c r="G127" s="5" t="str">
        <f>IF($H127="","",INDEX('Detalle individual'!$F:$F,$H127))</f>
        <v/>
      </c>
      <c r="H127" t="str">
        <f>IFERROR(MATCH(SMALL(Cálculos!$AJ$5:$AJ$1000,123),Cálculos!$AJ$5:$AJ$1000,0)+4,"")</f>
        <v/>
      </c>
    </row>
    <row r="128">
      <c r="B128" s="5" t="str">
        <f>IF($H128="","",INDEX('Detalle individual'!$B:$B,$H128))</f>
        <v/>
      </c>
      <c r="C128" s="5" t="str">
        <f>IF($H128="","",INDEX('Detalle individual'!$A:$A,$H128))</f>
        <v/>
      </c>
      <c r="D128" s="5" t="str">
        <f>IF($H128="","",INDEX('Detalle individual'!$E:$E,$H128))</f>
        <v/>
      </c>
      <c r="E128" s="5" t="str">
        <f>IF($H128="","",INDEX('Detalle individual'!$C:$C,$H128))</f>
        <v/>
      </c>
      <c r="F128" s="5" t="str">
        <f>IF($H128="","",INDEX('Detalle individual'!$D:$D,$H128))</f>
        <v/>
      </c>
      <c r="G128" s="5" t="str">
        <f>IF($H128="","",INDEX('Detalle individual'!$F:$F,$H128))</f>
        <v/>
      </c>
      <c r="H128" t="str">
        <f>IFERROR(MATCH(SMALL(Cálculos!$AJ$5:$AJ$1000,124),Cálculos!$AJ$5:$AJ$1000,0)+4,"")</f>
        <v/>
      </c>
    </row>
    <row r="129">
      <c r="B129" s="5" t="str">
        <f>IF($H129="","",INDEX('Detalle individual'!$B:$B,$H129))</f>
        <v/>
      </c>
      <c r="C129" s="5" t="str">
        <f>IF($H129="","",INDEX('Detalle individual'!$A:$A,$H129))</f>
        <v/>
      </c>
      <c r="D129" s="5" t="str">
        <f>IF($H129="","",INDEX('Detalle individual'!$E:$E,$H129))</f>
        <v/>
      </c>
      <c r="E129" s="5" t="str">
        <f>IF($H129="","",INDEX('Detalle individual'!$C:$C,$H129))</f>
        <v/>
      </c>
      <c r="F129" s="5" t="str">
        <f>IF($H129="","",INDEX('Detalle individual'!$D:$D,$H129))</f>
        <v/>
      </c>
      <c r="G129" s="5" t="str">
        <f>IF($H129="","",INDEX('Detalle individual'!$F:$F,$H129))</f>
        <v/>
      </c>
      <c r="H129" t="str">
        <f>IFERROR(MATCH(SMALL(Cálculos!$AJ$5:$AJ$1000,125),Cálculos!$AJ$5:$AJ$1000,0)+4,"")</f>
        <v/>
      </c>
    </row>
    <row r="130">
      <c r="B130" s="5" t="str">
        <f>IF($H130="","",INDEX('Detalle individual'!$B:$B,$H130))</f>
        <v/>
      </c>
      <c r="C130" s="5" t="str">
        <f>IF($H130="","",INDEX('Detalle individual'!$A:$A,$H130))</f>
        <v/>
      </c>
      <c r="D130" s="5" t="str">
        <f>IF($H130="","",INDEX('Detalle individual'!$E:$E,$H130))</f>
        <v/>
      </c>
      <c r="E130" s="5" t="str">
        <f>IF($H130="","",INDEX('Detalle individual'!$C:$C,$H130))</f>
        <v/>
      </c>
      <c r="F130" s="5" t="str">
        <f>IF($H130="","",INDEX('Detalle individual'!$D:$D,$H130))</f>
        <v/>
      </c>
      <c r="G130" s="5" t="str">
        <f>IF($H130="","",INDEX('Detalle individual'!$F:$F,$H130))</f>
        <v/>
      </c>
      <c r="H130" t="str">
        <f>IFERROR(MATCH(SMALL(Cálculos!$AJ$5:$AJ$1000,126),Cálculos!$AJ$5:$AJ$1000,0)+4,"")</f>
        <v/>
      </c>
    </row>
    <row r="131">
      <c r="B131" s="5" t="str">
        <f>IF($H131="","",INDEX('Detalle individual'!$B:$B,$H131))</f>
        <v/>
      </c>
      <c r="C131" s="5" t="str">
        <f>IF($H131="","",INDEX('Detalle individual'!$A:$A,$H131))</f>
        <v/>
      </c>
      <c r="D131" s="5" t="str">
        <f>IF($H131="","",INDEX('Detalle individual'!$E:$E,$H131))</f>
        <v/>
      </c>
      <c r="E131" s="5" t="str">
        <f>IF($H131="","",INDEX('Detalle individual'!$C:$C,$H131))</f>
        <v/>
      </c>
      <c r="F131" s="5" t="str">
        <f>IF($H131="","",INDEX('Detalle individual'!$D:$D,$H131))</f>
        <v/>
      </c>
      <c r="G131" s="5" t="str">
        <f>IF($H131="","",INDEX('Detalle individual'!$F:$F,$H131))</f>
        <v/>
      </c>
      <c r="H131" t="str">
        <f>IFERROR(MATCH(SMALL(Cálculos!$AJ$5:$AJ$1000,127),Cálculos!$AJ$5:$AJ$1000,0)+4,"")</f>
        <v/>
      </c>
    </row>
    <row r="132">
      <c r="B132" s="5" t="str">
        <f>IF($H132="","",INDEX('Detalle individual'!$B:$B,$H132))</f>
        <v/>
      </c>
      <c r="C132" s="5" t="str">
        <f>IF($H132="","",INDEX('Detalle individual'!$A:$A,$H132))</f>
        <v/>
      </c>
      <c r="D132" s="5" t="str">
        <f>IF($H132="","",INDEX('Detalle individual'!$E:$E,$H132))</f>
        <v/>
      </c>
      <c r="E132" s="5" t="str">
        <f>IF($H132="","",INDEX('Detalle individual'!$C:$C,$H132))</f>
        <v/>
      </c>
      <c r="F132" s="5" t="str">
        <f>IF($H132="","",INDEX('Detalle individual'!$D:$D,$H132))</f>
        <v/>
      </c>
      <c r="G132" s="5" t="str">
        <f>IF($H132="","",INDEX('Detalle individual'!$F:$F,$H132))</f>
        <v/>
      </c>
      <c r="H132" t="str">
        <f>IFERROR(MATCH(SMALL(Cálculos!$AJ$5:$AJ$1000,128),Cálculos!$AJ$5:$AJ$1000,0)+4,"")</f>
        <v/>
      </c>
    </row>
    <row r="133">
      <c r="B133" s="5" t="str">
        <f>IF($H133="","",INDEX('Detalle individual'!$B:$B,$H133))</f>
        <v/>
      </c>
      <c r="C133" s="5" t="str">
        <f>IF($H133="","",INDEX('Detalle individual'!$A:$A,$H133))</f>
        <v/>
      </c>
      <c r="D133" s="5" t="str">
        <f>IF($H133="","",INDEX('Detalle individual'!$E:$E,$H133))</f>
        <v/>
      </c>
      <c r="E133" s="5" t="str">
        <f>IF($H133="","",INDEX('Detalle individual'!$C:$C,$H133))</f>
        <v/>
      </c>
      <c r="F133" s="5" t="str">
        <f>IF($H133="","",INDEX('Detalle individual'!$D:$D,$H133))</f>
        <v/>
      </c>
      <c r="G133" s="5" t="str">
        <f>IF($H133="","",INDEX('Detalle individual'!$F:$F,$H133))</f>
        <v/>
      </c>
      <c r="H133" t="str">
        <f>IFERROR(MATCH(SMALL(Cálculos!$AJ$5:$AJ$1000,129),Cálculos!$AJ$5:$AJ$1000,0)+4,"")</f>
        <v/>
      </c>
    </row>
    <row r="134">
      <c r="B134" s="5" t="str">
        <f>IF($H134="","",INDEX('Detalle individual'!$B:$B,$H134))</f>
        <v/>
      </c>
      <c r="C134" s="5" t="str">
        <f>IF($H134="","",INDEX('Detalle individual'!$A:$A,$H134))</f>
        <v/>
      </c>
      <c r="D134" s="5" t="str">
        <f>IF($H134="","",INDEX('Detalle individual'!$E:$E,$H134))</f>
        <v/>
      </c>
      <c r="E134" s="5" t="str">
        <f>IF($H134="","",INDEX('Detalle individual'!$C:$C,$H134))</f>
        <v/>
      </c>
      <c r="F134" s="5" t="str">
        <f>IF($H134="","",INDEX('Detalle individual'!$D:$D,$H134))</f>
        <v/>
      </c>
      <c r="G134" s="5" t="str">
        <f>IF($H134="","",INDEX('Detalle individual'!$F:$F,$H134))</f>
        <v/>
      </c>
      <c r="H134" t="str">
        <f>IFERROR(MATCH(SMALL(Cálculos!$AJ$5:$AJ$1000,130),Cálculos!$AJ$5:$AJ$1000,0)+4,"")</f>
        <v/>
      </c>
    </row>
    <row r="135">
      <c r="B135" s="5" t="str">
        <f>IF($H135="","",INDEX('Detalle individual'!$B:$B,$H135))</f>
        <v/>
      </c>
      <c r="C135" s="5" t="str">
        <f>IF($H135="","",INDEX('Detalle individual'!$A:$A,$H135))</f>
        <v/>
      </c>
      <c r="D135" s="5" t="str">
        <f>IF($H135="","",INDEX('Detalle individual'!$E:$E,$H135))</f>
        <v/>
      </c>
      <c r="E135" s="5" t="str">
        <f>IF($H135="","",INDEX('Detalle individual'!$C:$C,$H135))</f>
        <v/>
      </c>
      <c r="F135" s="5" t="str">
        <f>IF($H135="","",INDEX('Detalle individual'!$D:$D,$H135))</f>
        <v/>
      </c>
      <c r="G135" s="5" t="str">
        <f>IF($H135="","",INDEX('Detalle individual'!$F:$F,$H135))</f>
        <v/>
      </c>
      <c r="H135" t="str">
        <f>IFERROR(MATCH(SMALL(Cálculos!$AJ$5:$AJ$1000,131),Cálculos!$AJ$5:$AJ$1000,0)+4,"")</f>
        <v/>
      </c>
    </row>
    <row r="136">
      <c r="B136" s="5" t="str">
        <f>IF($H136="","",INDEX('Detalle individual'!$B:$B,$H136))</f>
        <v/>
      </c>
      <c r="C136" s="5" t="str">
        <f>IF($H136="","",INDEX('Detalle individual'!$A:$A,$H136))</f>
        <v/>
      </c>
      <c r="D136" s="5" t="str">
        <f>IF($H136="","",INDEX('Detalle individual'!$E:$E,$H136))</f>
        <v/>
      </c>
      <c r="E136" s="5" t="str">
        <f>IF($H136="","",INDEX('Detalle individual'!$C:$C,$H136))</f>
        <v/>
      </c>
      <c r="F136" s="5" t="str">
        <f>IF($H136="","",INDEX('Detalle individual'!$D:$D,$H136))</f>
        <v/>
      </c>
      <c r="G136" s="5" t="str">
        <f>IF($H136="","",INDEX('Detalle individual'!$F:$F,$H136))</f>
        <v/>
      </c>
      <c r="H136" t="str">
        <f>IFERROR(MATCH(SMALL(Cálculos!$AJ$5:$AJ$1000,132),Cálculos!$AJ$5:$AJ$1000,0)+4,"")</f>
        <v/>
      </c>
    </row>
    <row r="137">
      <c r="B137" s="5" t="str">
        <f>IF($H137="","",INDEX('Detalle individual'!$B:$B,$H137))</f>
        <v/>
      </c>
      <c r="C137" s="5" t="str">
        <f>IF($H137="","",INDEX('Detalle individual'!$A:$A,$H137))</f>
        <v/>
      </c>
      <c r="D137" s="5" t="str">
        <f>IF($H137="","",INDEX('Detalle individual'!$E:$E,$H137))</f>
        <v/>
      </c>
      <c r="E137" s="5" t="str">
        <f>IF($H137="","",INDEX('Detalle individual'!$C:$C,$H137))</f>
        <v/>
      </c>
      <c r="F137" s="5" t="str">
        <f>IF($H137="","",INDEX('Detalle individual'!$D:$D,$H137))</f>
        <v/>
      </c>
      <c r="G137" s="5" t="str">
        <f>IF($H137="","",INDEX('Detalle individual'!$F:$F,$H137))</f>
        <v/>
      </c>
      <c r="H137" t="str">
        <f>IFERROR(MATCH(SMALL(Cálculos!$AJ$5:$AJ$1000,133),Cálculos!$AJ$5:$AJ$1000,0)+4,"")</f>
        <v/>
      </c>
    </row>
    <row r="138">
      <c r="B138" s="5" t="str">
        <f>IF($H138="","",INDEX('Detalle individual'!$B:$B,$H138))</f>
        <v/>
      </c>
      <c r="C138" s="5" t="str">
        <f>IF($H138="","",INDEX('Detalle individual'!$A:$A,$H138))</f>
        <v/>
      </c>
      <c r="D138" s="5" t="str">
        <f>IF($H138="","",INDEX('Detalle individual'!$E:$E,$H138))</f>
        <v/>
      </c>
      <c r="E138" s="5" t="str">
        <f>IF($H138="","",INDEX('Detalle individual'!$C:$C,$H138))</f>
        <v/>
      </c>
      <c r="F138" s="5" t="str">
        <f>IF($H138="","",INDEX('Detalle individual'!$D:$D,$H138))</f>
        <v/>
      </c>
      <c r="G138" s="5" t="str">
        <f>IF($H138="","",INDEX('Detalle individual'!$F:$F,$H138))</f>
        <v/>
      </c>
      <c r="H138" t="str">
        <f>IFERROR(MATCH(SMALL(Cálculos!$AJ$5:$AJ$1000,134),Cálculos!$AJ$5:$AJ$1000,0)+4,"")</f>
        <v/>
      </c>
    </row>
    <row r="139">
      <c r="B139" s="5" t="str">
        <f>IF($H139="","",INDEX('Detalle individual'!$B:$B,$H139))</f>
        <v/>
      </c>
      <c r="C139" s="5" t="str">
        <f>IF($H139="","",INDEX('Detalle individual'!$A:$A,$H139))</f>
        <v/>
      </c>
      <c r="D139" s="5" t="str">
        <f>IF($H139="","",INDEX('Detalle individual'!$E:$E,$H139))</f>
        <v/>
      </c>
      <c r="E139" s="5" t="str">
        <f>IF($H139="","",INDEX('Detalle individual'!$C:$C,$H139))</f>
        <v/>
      </c>
      <c r="F139" s="5" t="str">
        <f>IF($H139="","",INDEX('Detalle individual'!$D:$D,$H139))</f>
        <v/>
      </c>
      <c r="G139" s="5" t="str">
        <f>IF($H139="","",INDEX('Detalle individual'!$F:$F,$H139))</f>
        <v/>
      </c>
      <c r="H139" t="str">
        <f>IFERROR(MATCH(SMALL(Cálculos!$AJ$5:$AJ$1000,135),Cálculos!$AJ$5:$AJ$1000,0)+4,"")</f>
        <v/>
      </c>
    </row>
    <row r="140">
      <c r="B140" s="5" t="str">
        <f>IF($H140="","",INDEX('Detalle individual'!$B:$B,$H140))</f>
        <v/>
      </c>
      <c r="C140" s="5" t="str">
        <f>IF($H140="","",INDEX('Detalle individual'!$A:$A,$H140))</f>
        <v/>
      </c>
      <c r="D140" s="5" t="str">
        <f>IF($H140="","",INDEX('Detalle individual'!$E:$E,$H140))</f>
        <v/>
      </c>
      <c r="E140" s="5" t="str">
        <f>IF($H140="","",INDEX('Detalle individual'!$C:$C,$H140))</f>
        <v/>
      </c>
      <c r="F140" s="5" t="str">
        <f>IF($H140="","",INDEX('Detalle individual'!$D:$D,$H140))</f>
        <v/>
      </c>
      <c r="G140" s="5" t="str">
        <f>IF($H140="","",INDEX('Detalle individual'!$F:$F,$H140))</f>
        <v/>
      </c>
      <c r="H140" t="str">
        <f>IFERROR(MATCH(SMALL(Cálculos!$AJ$5:$AJ$1000,136),Cálculos!$AJ$5:$AJ$1000,0)+4,"")</f>
        <v/>
      </c>
    </row>
    <row r="141">
      <c r="B141" s="5" t="str">
        <f>IF($H141="","",INDEX('Detalle individual'!$B:$B,$H141))</f>
        <v/>
      </c>
      <c r="C141" s="5" t="str">
        <f>IF($H141="","",INDEX('Detalle individual'!$A:$A,$H141))</f>
        <v/>
      </c>
      <c r="D141" s="5" t="str">
        <f>IF($H141="","",INDEX('Detalle individual'!$E:$E,$H141))</f>
        <v/>
      </c>
      <c r="E141" s="5" t="str">
        <f>IF($H141="","",INDEX('Detalle individual'!$C:$C,$H141))</f>
        <v/>
      </c>
      <c r="F141" s="5" t="str">
        <f>IF($H141="","",INDEX('Detalle individual'!$D:$D,$H141))</f>
        <v/>
      </c>
      <c r="G141" s="5" t="str">
        <f>IF($H141="","",INDEX('Detalle individual'!$F:$F,$H141))</f>
        <v/>
      </c>
      <c r="H141" t="str">
        <f>IFERROR(MATCH(SMALL(Cálculos!$AJ$5:$AJ$1000,137),Cálculos!$AJ$5:$AJ$1000,0)+4,"")</f>
        <v/>
      </c>
    </row>
    <row r="142">
      <c r="B142" s="5" t="str">
        <f>IF($H142="","",INDEX('Detalle individual'!$B:$B,$H142))</f>
        <v/>
      </c>
      <c r="C142" s="5" t="str">
        <f>IF($H142="","",INDEX('Detalle individual'!$A:$A,$H142))</f>
        <v/>
      </c>
      <c r="D142" s="5" t="str">
        <f>IF($H142="","",INDEX('Detalle individual'!$E:$E,$H142))</f>
        <v/>
      </c>
      <c r="E142" s="5" t="str">
        <f>IF($H142="","",INDEX('Detalle individual'!$C:$C,$H142))</f>
        <v/>
      </c>
      <c r="F142" s="5" t="str">
        <f>IF($H142="","",INDEX('Detalle individual'!$D:$D,$H142))</f>
        <v/>
      </c>
      <c r="G142" s="5" t="str">
        <f>IF($H142="","",INDEX('Detalle individual'!$F:$F,$H142))</f>
        <v/>
      </c>
      <c r="H142" t="str">
        <f>IFERROR(MATCH(SMALL(Cálculos!$AJ$5:$AJ$1000,138),Cálculos!$AJ$5:$AJ$1000,0)+4,"")</f>
        <v/>
      </c>
    </row>
    <row r="143">
      <c r="B143" s="5" t="str">
        <f>IF($H143="","",INDEX('Detalle individual'!$B:$B,$H143))</f>
        <v/>
      </c>
      <c r="C143" s="5" t="str">
        <f>IF($H143="","",INDEX('Detalle individual'!$A:$A,$H143))</f>
        <v/>
      </c>
      <c r="D143" s="5" t="str">
        <f>IF($H143="","",INDEX('Detalle individual'!$E:$E,$H143))</f>
        <v/>
      </c>
      <c r="E143" s="5" t="str">
        <f>IF($H143="","",INDEX('Detalle individual'!$C:$C,$H143))</f>
        <v/>
      </c>
      <c r="F143" s="5" t="str">
        <f>IF($H143="","",INDEX('Detalle individual'!$D:$D,$H143))</f>
        <v/>
      </c>
      <c r="G143" s="5" t="str">
        <f>IF($H143="","",INDEX('Detalle individual'!$F:$F,$H143))</f>
        <v/>
      </c>
      <c r="H143" t="str">
        <f>IFERROR(MATCH(SMALL(Cálculos!$AJ$5:$AJ$1000,139),Cálculos!$AJ$5:$AJ$1000,0)+4,"")</f>
        <v/>
      </c>
    </row>
    <row r="144">
      <c r="B144" s="5" t="str">
        <f>IF($H144="","",INDEX('Detalle individual'!$B:$B,$H144))</f>
        <v/>
      </c>
      <c r="C144" s="5" t="str">
        <f>IF($H144="","",INDEX('Detalle individual'!$A:$A,$H144))</f>
        <v/>
      </c>
      <c r="D144" s="5" t="str">
        <f>IF($H144="","",INDEX('Detalle individual'!$E:$E,$H144))</f>
        <v/>
      </c>
      <c r="E144" s="5" t="str">
        <f>IF($H144="","",INDEX('Detalle individual'!$C:$C,$H144))</f>
        <v/>
      </c>
      <c r="F144" s="5" t="str">
        <f>IF($H144="","",INDEX('Detalle individual'!$D:$D,$H144))</f>
        <v/>
      </c>
      <c r="G144" s="5" t="str">
        <f>IF($H144="","",INDEX('Detalle individual'!$F:$F,$H144))</f>
        <v/>
      </c>
      <c r="H144" t="str">
        <f>IFERROR(MATCH(SMALL(Cálculos!$AJ$5:$AJ$1000,140),Cálculos!$AJ$5:$AJ$1000,0)+4,"")</f>
        <v/>
      </c>
    </row>
    <row r="145">
      <c r="B145" s="5" t="str">
        <f>IF($H145="","",INDEX('Detalle individual'!$B:$B,$H145))</f>
        <v/>
      </c>
      <c r="C145" s="5" t="str">
        <f>IF($H145="","",INDEX('Detalle individual'!$A:$A,$H145))</f>
        <v/>
      </c>
      <c r="D145" s="5" t="str">
        <f>IF($H145="","",INDEX('Detalle individual'!$E:$E,$H145))</f>
        <v/>
      </c>
      <c r="E145" s="5" t="str">
        <f>IF($H145="","",INDEX('Detalle individual'!$C:$C,$H145))</f>
        <v/>
      </c>
      <c r="F145" s="5" t="str">
        <f>IF($H145="","",INDEX('Detalle individual'!$D:$D,$H145))</f>
        <v/>
      </c>
      <c r="G145" s="5" t="str">
        <f>IF($H145="","",INDEX('Detalle individual'!$F:$F,$H145))</f>
        <v/>
      </c>
      <c r="H145" t="str">
        <f>IFERROR(MATCH(SMALL(Cálculos!$AJ$5:$AJ$1000,141),Cálculos!$AJ$5:$AJ$1000,0)+4,"")</f>
        <v/>
      </c>
    </row>
    <row r="146">
      <c r="B146" s="5" t="str">
        <f>IF($H146="","",INDEX('Detalle individual'!$B:$B,$H146))</f>
        <v/>
      </c>
      <c r="C146" s="5" t="str">
        <f>IF($H146="","",INDEX('Detalle individual'!$A:$A,$H146))</f>
        <v/>
      </c>
      <c r="D146" s="5" t="str">
        <f>IF($H146="","",INDEX('Detalle individual'!$E:$E,$H146))</f>
        <v/>
      </c>
      <c r="E146" s="5" t="str">
        <f>IF($H146="","",INDEX('Detalle individual'!$C:$C,$H146))</f>
        <v/>
      </c>
      <c r="F146" s="5" t="str">
        <f>IF($H146="","",INDEX('Detalle individual'!$D:$D,$H146))</f>
        <v/>
      </c>
      <c r="G146" s="5" t="str">
        <f>IF($H146="","",INDEX('Detalle individual'!$F:$F,$H146))</f>
        <v/>
      </c>
      <c r="H146" t="str">
        <f>IFERROR(MATCH(SMALL(Cálculos!$AJ$5:$AJ$1000,142),Cálculos!$AJ$5:$AJ$1000,0)+4,"")</f>
        <v/>
      </c>
    </row>
    <row r="147">
      <c r="B147" s="5" t="str">
        <f>IF($H147="","",INDEX('Detalle individual'!$B:$B,$H147))</f>
        <v/>
      </c>
      <c r="C147" s="5" t="str">
        <f>IF($H147="","",INDEX('Detalle individual'!$A:$A,$H147))</f>
        <v/>
      </c>
      <c r="D147" s="5" t="str">
        <f>IF($H147="","",INDEX('Detalle individual'!$E:$E,$H147))</f>
        <v/>
      </c>
      <c r="E147" s="5" t="str">
        <f>IF($H147="","",INDEX('Detalle individual'!$C:$C,$H147))</f>
        <v/>
      </c>
      <c r="F147" s="5" t="str">
        <f>IF($H147="","",INDEX('Detalle individual'!$D:$D,$H147))</f>
        <v/>
      </c>
      <c r="G147" s="5" t="str">
        <f>IF($H147="","",INDEX('Detalle individual'!$F:$F,$H147))</f>
        <v/>
      </c>
      <c r="H147" t="str">
        <f>IFERROR(MATCH(SMALL(Cálculos!$AJ$5:$AJ$1000,143),Cálculos!$AJ$5:$AJ$1000,0)+4,"")</f>
        <v/>
      </c>
    </row>
    <row r="148">
      <c r="B148" s="5" t="str">
        <f>IF($H148="","",INDEX('Detalle individual'!$B:$B,$H148))</f>
        <v/>
      </c>
      <c r="C148" s="5" t="str">
        <f>IF($H148="","",INDEX('Detalle individual'!$A:$A,$H148))</f>
        <v/>
      </c>
      <c r="D148" s="5" t="str">
        <f>IF($H148="","",INDEX('Detalle individual'!$E:$E,$H148))</f>
        <v/>
      </c>
      <c r="E148" s="5" t="str">
        <f>IF($H148="","",INDEX('Detalle individual'!$C:$C,$H148))</f>
        <v/>
      </c>
      <c r="F148" s="5" t="str">
        <f>IF($H148="","",INDEX('Detalle individual'!$D:$D,$H148))</f>
        <v/>
      </c>
      <c r="G148" s="5" t="str">
        <f>IF($H148="","",INDEX('Detalle individual'!$F:$F,$H148))</f>
        <v/>
      </c>
      <c r="H148" t="str">
        <f>IFERROR(MATCH(SMALL(Cálculos!$AJ$5:$AJ$1000,144),Cálculos!$AJ$5:$AJ$1000,0)+4,"")</f>
        <v/>
      </c>
    </row>
    <row r="149">
      <c r="B149" s="5" t="str">
        <f>IF($H149="","",INDEX('Detalle individual'!$B:$B,$H149))</f>
        <v/>
      </c>
      <c r="C149" s="5" t="str">
        <f>IF($H149="","",INDEX('Detalle individual'!$A:$A,$H149))</f>
        <v/>
      </c>
      <c r="D149" s="5" t="str">
        <f>IF($H149="","",INDEX('Detalle individual'!$E:$E,$H149))</f>
        <v/>
      </c>
      <c r="E149" s="5" t="str">
        <f>IF($H149="","",INDEX('Detalle individual'!$C:$C,$H149))</f>
        <v/>
      </c>
      <c r="F149" s="5" t="str">
        <f>IF($H149="","",INDEX('Detalle individual'!$D:$D,$H149))</f>
        <v/>
      </c>
      <c r="G149" s="5" t="str">
        <f>IF($H149="","",INDEX('Detalle individual'!$F:$F,$H149))</f>
        <v/>
      </c>
      <c r="H149" t="str">
        <f>IFERROR(MATCH(SMALL(Cálculos!$AJ$5:$AJ$1000,145),Cálculos!$AJ$5:$AJ$1000,0)+4,"")</f>
        <v/>
      </c>
    </row>
    <row r="150">
      <c r="B150" s="5" t="str">
        <f>IF($H150="","",INDEX('Detalle individual'!$B:$B,$H150))</f>
        <v/>
      </c>
      <c r="C150" s="5" t="str">
        <f>IF($H150="","",INDEX('Detalle individual'!$A:$A,$H150))</f>
        <v/>
      </c>
      <c r="D150" s="5" t="str">
        <f>IF($H150="","",INDEX('Detalle individual'!$E:$E,$H150))</f>
        <v/>
      </c>
      <c r="E150" s="5" t="str">
        <f>IF($H150="","",INDEX('Detalle individual'!$C:$C,$H150))</f>
        <v/>
      </c>
      <c r="F150" s="5" t="str">
        <f>IF($H150="","",INDEX('Detalle individual'!$D:$D,$H150))</f>
        <v/>
      </c>
      <c r="G150" s="5" t="str">
        <f>IF($H150="","",INDEX('Detalle individual'!$F:$F,$H150))</f>
        <v/>
      </c>
      <c r="H150" t="str">
        <f>IFERROR(MATCH(SMALL(Cálculos!$AJ$5:$AJ$1000,146),Cálculos!$AJ$5:$AJ$1000,0)+4,"")</f>
        <v/>
      </c>
    </row>
    <row r="151">
      <c r="B151" s="5" t="str">
        <f>IF($H151="","",INDEX('Detalle individual'!$B:$B,$H151))</f>
        <v/>
      </c>
      <c r="C151" s="5" t="str">
        <f>IF($H151="","",INDEX('Detalle individual'!$A:$A,$H151))</f>
        <v/>
      </c>
      <c r="D151" s="5" t="str">
        <f>IF($H151="","",INDEX('Detalle individual'!$E:$E,$H151))</f>
        <v/>
      </c>
      <c r="E151" s="5" t="str">
        <f>IF($H151="","",INDEX('Detalle individual'!$C:$C,$H151))</f>
        <v/>
      </c>
      <c r="F151" s="5" t="str">
        <f>IF($H151="","",INDEX('Detalle individual'!$D:$D,$H151))</f>
        <v/>
      </c>
      <c r="G151" s="5" t="str">
        <f>IF($H151="","",INDEX('Detalle individual'!$F:$F,$H151))</f>
        <v/>
      </c>
      <c r="H151" t="str">
        <f>IFERROR(MATCH(SMALL(Cálculos!$AJ$5:$AJ$1000,147),Cálculos!$AJ$5:$AJ$1000,0)+4,"")</f>
        <v/>
      </c>
    </row>
    <row r="152">
      <c r="B152" s="5" t="str">
        <f>IF($H152="","",INDEX('Detalle individual'!$B:$B,$H152))</f>
        <v/>
      </c>
      <c r="C152" s="5" t="str">
        <f>IF($H152="","",INDEX('Detalle individual'!$A:$A,$H152))</f>
        <v/>
      </c>
      <c r="D152" s="5" t="str">
        <f>IF($H152="","",INDEX('Detalle individual'!$E:$E,$H152))</f>
        <v/>
      </c>
      <c r="E152" s="5" t="str">
        <f>IF($H152="","",INDEX('Detalle individual'!$C:$C,$H152))</f>
        <v/>
      </c>
      <c r="F152" s="5" t="str">
        <f>IF($H152="","",INDEX('Detalle individual'!$D:$D,$H152))</f>
        <v/>
      </c>
      <c r="G152" s="5" t="str">
        <f>IF($H152="","",INDEX('Detalle individual'!$F:$F,$H152))</f>
        <v/>
      </c>
      <c r="H152" t="str">
        <f>IFERROR(MATCH(SMALL(Cálculos!$AJ$5:$AJ$1000,148),Cálculos!$AJ$5:$AJ$1000,0)+4,"")</f>
        <v/>
      </c>
    </row>
    <row r="153">
      <c r="B153" s="5" t="str">
        <f>IF($H153="","",INDEX('Detalle individual'!$B:$B,$H153))</f>
        <v/>
      </c>
      <c r="C153" s="5" t="str">
        <f>IF($H153="","",INDEX('Detalle individual'!$A:$A,$H153))</f>
        <v/>
      </c>
      <c r="D153" s="5" t="str">
        <f>IF($H153="","",INDEX('Detalle individual'!$E:$E,$H153))</f>
        <v/>
      </c>
      <c r="E153" s="5" t="str">
        <f>IF($H153="","",INDEX('Detalle individual'!$C:$C,$H153))</f>
        <v/>
      </c>
      <c r="F153" s="5" t="str">
        <f>IF($H153="","",INDEX('Detalle individual'!$D:$D,$H153))</f>
        <v/>
      </c>
      <c r="G153" s="5" t="str">
        <f>IF($H153="","",INDEX('Detalle individual'!$F:$F,$H153))</f>
        <v/>
      </c>
      <c r="H153" t="str">
        <f>IFERROR(MATCH(SMALL(Cálculos!$AJ$5:$AJ$1000,149),Cálculos!$AJ$5:$AJ$1000,0)+4,"")</f>
        <v/>
      </c>
    </row>
    <row r="154">
      <c r="B154" s="5" t="str">
        <f>IF($H154="","",INDEX('Detalle individual'!$B:$B,$H154))</f>
        <v/>
      </c>
      <c r="C154" s="5" t="str">
        <f>IF($H154="","",INDEX('Detalle individual'!$A:$A,$H154))</f>
        <v/>
      </c>
      <c r="D154" s="5" t="str">
        <f>IF($H154="","",INDEX('Detalle individual'!$E:$E,$H154))</f>
        <v/>
      </c>
      <c r="E154" s="5" t="str">
        <f>IF($H154="","",INDEX('Detalle individual'!$C:$C,$H154))</f>
        <v/>
      </c>
      <c r="F154" s="5" t="str">
        <f>IF($H154="","",INDEX('Detalle individual'!$D:$D,$H154))</f>
        <v/>
      </c>
      <c r="G154" s="5" t="str">
        <f>IF($H154="","",INDEX('Detalle individual'!$F:$F,$H154))</f>
        <v/>
      </c>
      <c r="H154" t="str">
        <f>IFERROR(MATCH(SMALL(Cálculos!$AJ$5:$AJ$1000,150),Cálculos!$AJ$5:$AJ$1000,0)+4,"")</f>
        <v/>
      </c>
    </row>
    <row r="155">
      <c r="B155" s="5" t="str">
        <f>IF($H155="","",INDEX('Detalle individual'!$B:$B,$H155))</f>
        <v/>
      </c>
      <c r="C155" s="5" t="str">
        <f>IF($H155="","",INDEX('Detalle individual'!$A:$A,$H155))</f>
        <v/>
      </c>
      <c r="D155" s="5" t="str">
        <f>IF($H155="","",INDEX('Detalle individual'!$E:$E,$H155))</f>
        <v/>
      </c>
      <c r="E155" s="5" t="str">
        <f>IF($H155="","",INDEX('Detalle individual'!$C:$C,$H155))</f>
        <v/>
      </c>
      <c r="F155" s="5" t="str">
        <f>IF($H155="","",INDEX('Detalle individual'!$D:$D,$H155))</f>
        <v/>
      </c>
      <c r="G155" s="5" t="str">
        <f>IF($H155="","",INDEX('Detalle individual'!$F:$F,$H155))</f>
        <v/>
      </c>
      <c r="H155" t="str">
        <f>IFERROR(MATCH(SMALL(Cálculos!$AJ$5:$AJ$1000,151),Cálculos!$AJ$5:$AJ$1000,0)+4,"")</f>
        <v/>
      </c>
    </row>
    <row r="156">
      <c r="B156" s="5" t="str">
        <f>IF($H156="","",INDEX('Detalle individual'!$B:$B,$H156))</f>
        <v/>
      </c>
      <c r="C156" s="5" t="str">
        <f>IF($H156="","",INDEX('Detalle individual'!$A:$A,$H156))</f>
        <v/>
      </c>
      <c r="D156" s="5" t="str">
        <f>IF($H156="","",INDEX('Detalle individual'!$E:$E,$H156))</f>
        <v/>
      </c>
      <c r="E156" s="5" t="str">
        <f>IF($H156="","",INDEX('Detalle individual'!$C:$C,$H156))</f>
        <v/>
      </c>
      <c r="F156" s="5" t="str">
        <f>IF($H156="","",INDEX('Detalle individual'!$D:$D,$H156))</f>
        <v/>
      </c>
      <c r="G156" s="5" t="str">
        <f>IF($H156="","",INDEX('Detalle individual'!$F:$F,$H156))</f>
        <v/>
      </c>
      <c r="H156" t="str">
        <f>IFERROR(MATCH(SMALL(Cálculos!$AJ$5:$AJ$1000,152),Cálculos!$AJ$5:$AJ$1000,0)+4,"")</f>
        <v/>
      </c>
    </row>
    <row r="157">
      <c r="B157" s="5" t="str">
        <f>IF($H157="","",INDEX('Detalle individual'!$B:$B,$H157))</f>
        <v/>
      </c>
      <c r="C157" s="5" t="str">
        <f>IF($H157="","",INDEX('Detalle individual'!$A:$A,$H157))</f>
        <v/>
      </c>
      <c r="D157" s="5" t="str">
        <f>IF($H157="","",INDEX('Detalle individual'!$E:$E,$H157))</f>
        <v/>
      </c>
      <c r="E157" s="5" t="str">
        <f>IF($H157="","",INDEX('Detalle individual'!$C:$C,$H157))</f>
        <v/>
      </c>
      <c r="F157" s="5" t="str">
        <f>IF($H157="","",INDEX('Detalle individual'!$D:$D,$H157))</f>
        <v/>
      </c>
      <c r="G157" s="5" t="str">
        <f>IF($H157="","",INDEX('Detalle individual'!$F:$F,$H157))</f>
        <v/>
      </c>
      <c r="H157" t="str">
        <f>IFERROR(MATCH(SMALL(Cálculos!$AJ$5:$AJ$1000,153),Cálculos!$AJ$5:$AJ$1000,0)+4,"")</f>
        <v/>
      </c>
    </row>
    <row r="158">
      <c r="B158" s="5" t="str">
        <f>IF($H158="","",INDEX('Detalle individual'!$B:$B,$H158))</f>
        <v/>
      </c>
      <c r="C158" s="5" t="str">
        <f>IF($H158="","",INDEX('Detalle individual'!$A:$A,$H158))</f>
        <v/>
      </c>
      <c r="D158" s="5" t="str">
        <f>IF($H158="","",INDEX('Detalle individual'!$E:$E,$H158))</f>
        <v/>
      </c>
      <c r="E158" s="5" t="str">
        <f>IF($H158="","",INDEX('Detalle individual'!$C:$C,$H158))</f>
        <v/>
      </c>
      <c r="F158" s="5" t="str">
        <f>IF($H158="","",INDEX('Detalle individual'!$D:$D,$H158))</f>
        <v/>
      </c>
      <c r="G158" s="5" t="str">
        <f>IF($H158="","",INDEX('Detalle individual'!$F:$F,$H158))</f>
        <v/>
      </c>
      <c r="H158" t="str">
        <f>IFERROR(MATCH(SMALL(Cálculos!$AJ$5:$AJ$1000,154),Cálculos!$AJ$5:$AJ$1000,0)+4,"")</f>
        <v/>
      </c>
    </row>
    <row r="159">
      <c r="B159" s="5" t="str">
        <f>IF($H159="","",INDEX('Detalle individual'!$B:$B,$H159))</f>
        <v/>
      </c>
      <c r="C159" s="5" t="str">
        <f>IF($H159="","",INDEX('Detalle individual'!$A:$A,$H159))</f>
        <v/>
      </c>
      <c r="D159" s="5" t="str">
        <f>IF($H159="","",INDEX('Detalle individual'!$E:$E,$H159))</f>
        <v/>
      </c>
      <c r="E159" s="5" t="str">
        <f>IF($H159="","",INDEX('Detalle individual'!$C:$C,$H159))</f>
        <v/>
      </c>
      <c r="F159" s="5" t="str">
        <f>IF($H159="","",INDEX('Detalle individual'!$D:$D,$H159))</f>
        <v/>
      </c>
      <c r="G159" s="5" t="str">
        <f>IF($H159="","",INDEX('Detalle individual'!$F:$F,$H159))</f>
        <v/>
      </c>
      <c r="H159" t="str">
        <f>IFERROR(MATCH(SMALL(Cálculos!$AJ$5:$AJ$1000,155),Cálculos!$AJ$5:$AJ$1000,0)+4,"")</f>
        <v/>
      </c>
    </row>
    <row r="160">
      <c r="B160" s="5" t="str">
        <f>IF($H160="","",INDEX('Detalle individual'!$B:$B,$H160))</f>
        <v/>
      </c>
      <c r="C160" s="5" t="str">
        <f>IF($H160="","",INDEX('Detalle individual'!$A:$A,$H160))</f>
        <v/>
      </c>
      <c r="D160" s="5" t="str">
        <f>IF($H160="","",INDEX('Detalle individual'!$E:$E,$H160))</f>
        <v/>
      </c>
      <c r="E160" s="5" t="str">
        <f>IF($H160="","",INDEX('Detalle individual'!$C:$C,$H160))</f>
        <v/>
      </c>
      <c r="F160" s="5" t="str">
        <f>IF($H160="","",INDEX('Detalle individual'!$D:$D,$H160))</f>
        <v/>
      </c>
      <c r="G160" s="5" t="str">
        <f>IF($H160="","",INDEX('Detalle individual'!$F:$F,$H160))</f>
        <v/>
      </c>
      <c r="H160" t="str">
        <f>IFERROR(MATCH(SMALL(Cálculos!$AJ$5:$AJ$1000,156),Cálculos!$AJ$5:$AJ$1000,0)+4,"")</f>
        <v/>
      </c>
    </row>
    <row r="161">
      <c r="B161" s="5" t="str">
        <f>IF($H161="","",INDEX('Detalle individual'!$B:$B,$H161))</f>
        <v/>
      </c>
      <c r="C161" s="5" t="str">
        <f>IF($H161="","",INDEX('Detalle individual'!$A:$A,$H161))</f>
        <v/>
      </c>
      <c r="D161" s="5" t="str">
        <f>IF($H161="","",INDEX('Detalle individual'!$E:$E,$H161))</f>
        <v/>
      </c>
      <c r="E161" s="5" t="str">
        <f>IF($H161="","",INDEX('Detalle individual'!$C:$C,$H161))</f>
        <v/>
      </c>
      <c r="F161" s="5" t="str">
        <f>IF($H161="","",INDEX('Detalle individual'!$D:$D,$H161))</f>
        <v/>
      </c>
      <c r="G161" s="5" t="str">
        <f>IF($H161="","",INDEX('Detalle individual'!$F:$F,$H161))</f>
        <v/>
      </c>
      <c r="H161" t="str">
        <f>IFERROR(MATCH(SMALL(Cálculos!$AJ$5:$AJ$1000,157),Cálculos!$AJ$5:$AJ$1000,0)+4,"")</f>
        <v/>
      </c>
    </row>
    <row r="162">
      <c r="B162" s="5" t="str">
        <f>IF($H162="","",INDEX('Detalle individual'!$B:$B,$H162))</f>
        <v/>
      </c>
      <c r="C162" s="5" t="str">
        <f>IF($H162="","",INDEX('Detalle individual'!$A:$A,$H162))</f>
        <v/>
      </c>
      <c r="D162" s="5" t="str">
        <f>IF($H162="","",INDEX('Detalle individual'!$E:$E,$H162))</f>
        <v/>
      </c>
      <c r="E162" s="5" t="str">
        <f>IF($H162="","",INDEX('Detalle individual'!$C:$C,$H162))</f>
        <v/>
      </c>
      <c r="F162" s="5" t="str">
        <f>IF($H162="","",INDEX('Detalle individual'!$D:$D,$H162))</f>
        <v/>
      </c>
      <c r="G162" s="5" t="str">
        <f>IF($H162="","",INDEX('Detalle individual'!$F:$F,$H162))</f>
        <v/>
      </c>
      <c r="H162" t="str">
        <f>IFERROR(MATCH(SMALL(Cálculos!$AJ$5:$AJ$1000,158),Cálculos!$AJ$5:$AJ$1000,0)+4,"")</f>
        <v/>
      </c>
    </row>
    <row r="163">
      <c r="B163" s="5" t="str">
        <f>IF($H163="","",INDEX('Detalle individual'!$B:$B,$H163))</f>
        <v/>
      </c>
      <c r="C163" s="5" t="str">
        <f>IF($H163="","",INDEX('Detalle individual'!$A:$A,$H163))</f>
        <v/>
      </c>
      <c r="D163" s="5" t="str">
        <f>IF($H163="","",INDEX('Detalle individual'!$E:$E,$H163))</f>
        <v/>
      </c>
      <c r="E163" s="5" t="str">
        <f>IF($H163="","",INDEX('Detalle individual'!$C:$C,$H163))</f>
        <v/>
      </c>
      <c r="F163" s="5" t="str">
        <f>IF($H163="","",INDEX('Detalle individual'!$D:$D,$H163))</f>
        <v/>
      </c>
      <c r="G163" s="5" t="str">
        <f>IF($H163="","",INDEX('Detalle individual'!$F:$F,$H163))</f>
        <v/>
      </c>
      <c r="H163" t="str">
        <f>IFERROR(MATCH(SMALL(Cálculos!$AJ$5:$AJ$1000,159),Cálculos!$AJ$5:$AJ$1000,0)+4,"")</f>
        <v/>
      </c>
    </row>
    <row r="164">
      <c r="B164" s="5" t="str">
        <f>IF($H164="","",INDEX('Detalle individual'!$B:$B,$H164))</f>
        <v/>
      </c>
      <c r="C164" s="5" t="str">
        <f>IF($H164="","",INDEX('Detalle individual'!$A:$A,$H164))</f>
        <v/>
      </c>
      <c r="D164" s="5" t="str">
        <f>IF($H164="","",INDEX('Detalle individual'!$E:$E,$H164))</f>
        <v/>
      </c>
      <c r="E164" s="5" t="str">
        <f>IF($H164="","",INDEX('Detalle individual'!$C:$C,$H164))</f>
        <v/>
      </c>
      <c r="F164" s="5" t="str">
        <f>IF($H164="","",INDEX('Detalle individual'!$D:$D,$H164))</f>
        <v/>
      </c>
      <c r="G164" s="5" t="str">
        <f>IF($H164="","",INDEX('Detalle individual'!$F:$F,$H164))</f>
        <v/>
      </c>
      <c r="H164" t="str">
        <f>IFERROR(MATCH(SMALL(Cálculos!$AJ$5:$AJ$1000,160),Cálculos!$AJ$5:$AJ$1000,0)+4,"")</f>
        <v/>
      </c>
    </row>
    <row r="165">
      <c r="B165" s="5" t="str">
        <f>IF($H165="","",INDEX('Detalle individual'!$B:$B,$H165))</f>
        <v/>
      </c>
      <c r="C165" s="5" t="str">
        <f>IF($H165="","",INDEX('Detalle individual'!$A:$A,$H165))</f>
        <v/>
      </c>
      <c r="D165" s="5" t="str">
        <f>IF($H165="","",INDEX('Detalle individual'!$E:$E,$H165))</f>
        <v/>
      </c>
      <c r="E165" s="5" t="str">
        <f>IF($H165="","",INDEX('Detalle individual'!$C:$C,$H165))</f>
        <v/>
      </c>
      <c r="F165" s="5" t="str">
        <f>IF($H165="","",INDEX('Detalle individual'!$D:$D,$H165))</f>
        <v/>
      </c>
      <c r="G165" s="5" t="str">
        <f>IF($H165="","",INDEX('Detalle individual'!$F:$F,$H165))</f>
        <v/>
      </c>
      <c r="H165" t="str">
        <f>IFERROR(MATCH(SMALL(Cálculos!$AJ$5:$AJ$1000,161),Cálculos!$AJ$5:$AJ$1000,0)+4,"")</f>
        <v/>
      </c>
    </row>
    <row r="166">
      <c r="B166" s="5" t="str">
        <f>IF($H166="","",INDEX('Detalle individual'!$B:$B,$H166))</f>
        <v/>
      </c>
      <c r="C166" s="5" t="str">
        <f>IF($H166="","",INDEX('Detalle individual'!$A:$A,$H166))</f>
        <v/>
      </c>
      <c r="D166" s="5" t="str">
        <f>IF($H166="","",INDEX('Detalle individual'!$E:$E,$H166))</f>
        <v/>
      </c>
      <c r="E166" s="5" t="str">
        <f>IF($H166="","",INDEX('Detalle individual'!$C:$C,$H166))</f>
        <v/>
      </c>
      <c r="F166" s="5" t="str">
        <f>IF($H166="","",INDEX('Detalle individual'!$D:$D,$H166))</f>
        <v/>
      </c>
      <c r="G166" s="5" t="str">
        <f>IF($H166="","",INDEX('Detalle individual'!$F:$F,$H166))</f>
        <v/>
      </c>
      <c r="H166" t="str">
        <f>IFERROR(MATCH(SMALL(Cálculos!$AJ$5:$AJ$1000,162),Cálculos!$AJ$5:$AJ$1000,0)+4,"")</f>
        <v/>
      </c>
    </row>
    <row r="167">
      <c r="B167" s="5" t="str">
        <f>IF($H167="","",INDEX('Detalle individual'!$B:$B,$H167))</f>
        <v/>
      </c>
      <c r="C167" s="5" t="str">
        <f>IF($H167="","",INDEX('Detalle individual'!$A:$A,$H167))</f>
        <v/>
      </c>
      <c r="D167" s="5" t="str">
        <f>IF($H167="","",INDEX('Detalle individual'!$E:$E,$H167))</f>
        <v/>
      </c>
      <c r="E167" s="5" t="str">
        <f>IF($H167="","",INDEX('Detalle individual'!$C:$C,$H167))</f>
        <v/>
      </c>
      <c r="F167" s="5" t="str">
        <f>IF($H167="","",INDEX('Detalle individual'!$D:$D,$H167))</f>
        <v/>
      </c>
      <c r="G167" s="5" t="str">
        <f>IF($H167="","",INDEX('Detalle individual'!$F:$F,$H167))</f>
        <v/>
      </c>
      <c r="H167" t="str">
        <f>IFERROR(MATCH(SMALL(Cálculos!$AJ$5:$AJ$1000,163),Cálculos!$AJ$5:$AJ$1000,0)+4,"")</f>
        <v/>
      </c>
    </row>
    <row r="168">
      <c r="B168" s="5" t="str">
        <f>IF($H168="","",INDEX('Detalle individual'!$B:$B,$H168))</f>
        <v/>
      </c>
      <c r="C168" s="5" t="str">
        <f>IF($H168="","",INDEX('Detalle individual'!$A:$A,$H168))</f>
        <v/>
      </c>
      <c r="D168" s="5" t="str">
        <f>IF($H168="","",INDEX('Detalle individual'!$E:$E,$H168))</f>
        <v/>
      </c>
      <c r="E168" s="5" t="str">
        <f>IF($H168="","",INDEX('Detalle individual'!$C:$C,$H168))</f>
        <v/>
      </c>
      <c r="F168" s="5" t="str">
        <f>IF($H168="","",INDEX('Detalle individual'!$D:$D,$H168))</f>
        <v/>
      </c>
      <c r="G168" s="5" t="str">
        <f>IF($H168="","",INDEX('Detalle individual'!$F:$F,$H168))</f>
        <v/>
      </c>
      <c r="H168" t="str">
        <f>IFERROR(MATCH(SMALL(Cálculos!$AJ$5:$AJ$1000,164),Cálculos!$AJ$5:$AJ$1000,0)+4,"")</f>
        <v/>
      </c>
    </row>
    <row r="169">
      <c r="B169" s="5" t="str">
        <f>IF($H169="","",INDEX('Detalle individual'!$B:$B,$H169))</f>
        <v/>
      </c>
      <c r="C169" s="5" t="str">
        <f>IF($H169="","",INDEX('Detalle individual'!$A:$A,$H169))</f>
        <v/>
      </c>
      <c r="D169" s="5" t="str">
        <f>IF($H169="","",INDEX('Detalle individual'!$E:$E,$H169))</f>
        <v/>
      </c>
      <c r="E169" s="5" t="str">
        <f>IF($H169="","",INDEX('Detalle individual'!$C:$C,$H169))</f>
        <v/>
      </c>
      <c r="F169" s="5" t="str">
        <f>IF($H169="","",INDEX('Detalle individual'!$D:$D,$H169))</f>
        <v/>
      </c>
      <c r="G169" s="5" t="str">
        <f>IF($H169="","",INDEX('Detalle individual'!$F:$F,$H169))</f>
        <v/>
      </c>
      <c r="H169" t="str">
        <f>IFERROR(MATCH(SMALL(Cálculos!$AJ$5:$AJ$1000,165),Cálculos!$AJ$5:$AJ$1000,0)+4,"")</f>
        <v/>
      </c>
    </row>
    <row r="170">
      <c r="B170" s="5" t="str">
        <f>IF($H170="","",INDEX('Detalle individual'!$B:$B,$H170))</f>
        <v/>
      </c>
      <c r="C170" s="5" t="str">
        <f>IF($H170="","",INDEX('Detalle individual'!$A:$A,$H170))</f>
        <v/>
      </c>
      <c r="D170" s="5" t="str">
        <f>IF($H170="","",INDEX('Detalle individual'!$E:$E,$H170))</f>
        <v/>
      </c>
      <c r="E170" s="5" t="str">
        <f>IF($H170="","",INDEX('Detalle individual'!$C:$C,$H170))</f>
        <v/>
      </c>
      <c r="F170" s="5" t="str">
        <f>IF($H170="","",INDEX('Detalle individual'!$D:$D,$H170))</f>
        <v/>
      </c>
      <c r="G170" s="5" t="str">
        <f>IF($H170="","",INDEX('Detalle individual'!$F:$F,$H170))</f>
        <v/>
      </c>
      <c r="H170" t="str">
        <f>IFERROR(MATCH(SMALL(Cálculos!$AJ$5:$AJ$1000,166),Cálculos!$AJ$5:$AJ$1000,0)+4,"")</f>
        <v/>
      </c>
    </row>
    <row r="171">
      <c r="B171" s="5" t="str">
        <f>IF($H171="","",INDEX('Detalle individual'!$B:$B,$H171))</f>
        <v/>
      </c>
      <c r="C171" s="5" t="str">
        <f>IF($H171="","",INDEX('Detalle individual'!$A:$A,$H171))</f>
        <v/>
      </c>
      <c r="D171" s="5" t="str">
        <f>IF($H171="","",INDEX('Detalle individual'!$E:$E,$H171))</f>
        <v/>
      </c>
      <c r="E171" s="5" t="str">
        <f>IF($H171="","",INDEX('Detalle individual'!$C:$C,$H171))</f>
        <v/>
      </c>
      <c r="F171" s="5" t="str">
        <f>IF($H171="","",INDEX('Detalle individual'!$D:$D,$H171))</f>
        <v/>
      </c>
      <c r="G171" s="5" t="str">
        <f>IF($H171="","",INDEX('Detalle individual'!$F:$F,$H171))</f>
        <v/>
      </c>
      <c r="H171" t="str">
        <f>IFERROR(MATCH(SMALL(Cálculos!$AJ$5:$AJ$1000,167),Cálculos!$AJ$5:$AJ$1000,0)+4,"")</f>
        <v/>
      </c>
    </row>
    <row r="172">
      <c r="B172" s="5" t="str">
        <f>IF($H172="","",INDEX('Detalle individual'!$B:$B,$H172))</f>
        <v/>
      </c>
      <c r="C172" s="5" t="str">
        <f>IF($H172="","",INDEX('Detalle individual'!$A:$A,$H172))</f>
        <v/>
      </c>
      <c r="D172" s="5" t="str">
        <f>IF($H172="","",INDEX('Detalle individual'!$E:$E,$H172))</f>
        <v/>
      </c>
      <c r="E172" s="5" t="str">
        <f>IF($H172="","",INDEX('Detalle individual'!$C:$C,$H172))</f>
        <v/>
      </c>
      <c r="F172" s="5" t="str">
        <f>IF($H172="","",INDEX('Detalle individual'!$D:$D,$H172))</f>
        <v/>
      </c>
      <c r="G172" s="5" t="str">
        <f>IF($H172="","",INDEX('Detalle individual'!$F:$F,$H172))</f>
        <v/>
      </c>
      <c r="H172" t="str">
        <f>IFERROR(MATCH(SMALL(Cálculos!$AJ$5:$AJ$1000,168),Cálculos!$AJ$5:$AJ$1000,0)+4,"")</f>
        <v/>
      </c>
    </row>
    <row r="173">
      <c r="B173" s="5" t="str">
        <f>IF($H173="","",INDEX('Detalle individual'!$B:$B,$H173))</f>
        <v/>
      </c>
      <c r="C173" s="5" t="str">
        <f>IF($H173="","",INDEX('Detalle individual'!$A:$A,$H173))</f>
        <v/>
      </c>
      <c r="D173" s="5" t="str">
        <f>IF($H173="","",INDEX('Detalle individual'!$E:$E,$H173))</f>
        <v/>
      </c>
      <c r="E173" s="5" t="str">
        <f>IF($H173="","",INDEX('Detalle individual'!$C:$C,$H173))</f>
        <v/>
      </c>
      <c r="F173" s="5" t="str">
        <f>IF($H173="","",INDEX('Detalle individual'!$D:$D,$H173))</f>
        <v/>
      </c>
      <c r="G173" s="5" t="str">
        <f>IF($H173="","",INDEX('Detalle individual'!$F:$F,$H173))</f>
        <v/>
      </c>
      <c r="H173" t="str">
        <f>IFERROR(MATCH(SMALL(Cálculos!$AJ$5:$AJ$1000,169),Cálculos!$AJ$5:$AJ$1000,0)+4,"")</f>
        <v/>
      </c>
    </row>
    <row r="174">
      <c r="B174" s="5" t="str">
        <f>IF($H174="","",INDEX('Detalle individual'!$B:$B,$H174))</f>
        <v/>
      </c>
      <c r="C174" s="5" t="str">
        <f>IF($H174="","",INDEX('Detalle individual'!$A:$A,$H174))</f>
        <v/>
      </c>
      <c r="D174" s="5" t="str">
        <f>IF($H174="","",INDEX('Detalle individual'!$E:$E,$H174))</f>
        <v/>
      </c>
      <c r="E174" s="5" t="str">
        <f>IF($H174="","",INDEX('Detalle individual'!$C:$C,$H174))</f>
        <v/>
      </c>
      <c r="F174" s="5" t="str">
        <f>IF($H174="","",INDEX('Detalle individual'!$D:$D,$H174))</f>
        <v/>
      </c>
      <c r="G174" s="5" t="str">
        <f>IF($H174="","",INDEX('Detalle individual'!$F:$F,$H174))</f>
        <v/>
      </c>
      <c r="H174" t="str">
        <f>IFERROR(MATCH(SMALL(Cálculos!$AJ$5:$AJ$1000,170),Cálculos!$AJ$5:$AJ$1000,0)+4,"")</f>
        <v/>
      </c>
    </row>
    <row r="175">
      <c r="B175" s="5" t="str">
        <f>IF($H175="","",INDEX('Detalle individual'!$B:$B,$H175))</f>
        <v/>
      </c>
      <c r="C175" s="5" t="str">
        <f>IF($H175="","",INDEX('Detalle individual'!$A:$A,$H175))</f>
        <v/>
      </c>
      <c r="D175" s="5" t="str">
        <f>IF($H175="","",INDEX('Detalle individual'!$E:$E,$H175))</f>
        <v/>
      </c>
      <c r="E175" s="5" t="str">
        <f>IF($H175="","",INDEX('Detalle individual'!$C:$C,$H175))</f>
        <v/>
      </c>
      <c r="F175" s="5" t="str">
        <f>IF($H175="","",INDEX('Detalle individual'!$D:$D,$H175))</f>
        <v/>
      </c>
      <c r="G175" s="5" t="str">
        <f>IF($H175="","",INDEX('Detalle individual'!$F:$F,$H175))</f>
        <v/>
      </c>
      <c r="H175" t="str">
        <f>IFERROR(MATCH(SMALL(Cálculos!$AJ$5:$AJ$1000,171),Cálculos!$AJ$5:$AJ$1000,0)+4,"")</f>
        <v/>
      </c>
    </row>
    <row r="176">
      <c r="B176" s="5" t="str">
        <f>IF($H176="","",INDEX('Detalle individual'!$B:$B,$H176))</f>
        <v/>
      </c>
      <c r="C176" s="5" t="str">
        <f>IF($H176="","",INDEX('Detalle individual'!$A:$A,$H176))</f>
        <v/>
      </c>
      <c r="D176" s="5" t="str">
        <f>IF($H176="","",INDEX('Detalle individual'!$E:$E,$H176))</f>
        <v/>
      </c>
      <c r="E176" s="5" t="str">
        <f>IF($H176="","",INDEX('Detalle individual'!$C:$C,$H176))</f>
        <v/>
      </c>
      <c r="F176" s="5" t="str">
        <f>IF($H176="","",INDEX('Detalle individual'!$D:$D,$H176))</f>
        <v/>
      </c>
      <c r="G176" s="5" t="str">
        <f>IF($H176="","",INDEX('Detalle individual'!$F:$F,$H176))</f>
        <v/>
      </c>
      <c r="H176" t="str">
        <f>IFERROR(MATCH(SMALL(Cálculos!$AJ$5:$AJ$1000,172),Cálculos!$AJ$5:$AJ$1000,0)+4,"")</f>
        <v/>
      </c>
    </row>
    <row r="177">
      <c r="B177" s="5" t="str">
        <f>IF($H177="","",INDEX('Detalle individual'!$B:$B,$H177))</f>
        <v/>
      </c>
      <c r="C177" s="5" t="str">
        <f>IF($H177="","",INDEX('Detalle individual'!$A:$A,$H177))</f>
        <v/>
      </c>
      <c r="D177" s="5" t="str">
        <f>IF($H177="","",INDEX('Detalle individual'!$E:$E,$H177))</f>
        <v/>
      </c>
      <c r="E177" s="5" t="str">
        <f>IF($H177="","",INDEX('Detalle individual'!$C:$C,$H177))</f>
        <v/>
      </c>
      <c r="F177" s="5" t="str">
        <f>IF($H177="","",INDEX('Detalle individual'!$D:$D,$H177))</f>
        <v/>
      </c>
      <c r="G177" s="5" t="str">
        <f>IF($H177="","",INDEX('Detalle individual'!$F:$F,$H177))</f>
        <v/>
      </c>
      <c r="H177" t="str">
        <f>IFERROR(MATCH(SMALL(Cálculos!$AJ$5:$AJ$1000,173),Cálculos!$AJ$5:$AJ$1000,0)+4,"")</f>
        <v/>
      </c>
    </row>
    <row r="178">
      <c r="B178" s="5" t="str">
        <f>IF($H178="","",INDEX('Detalle individual'!$B:$B,$H178))</f>
        <v/>
      </c>
      <c r="C178" s="5" t="str">
        <f>IF($H178="","",INDEX('Detalle individual'!$A:$A,$H178))</f>
        <v/>
      </c>
      <c r="D178" s="5" t="str">
        <f>IF($H178="","",INDEX('Detalle individual'!$E:$E,$H178))</f>
        <v/>
      </c>
      <c r="E178" s="5" t="str">
        <f>IF($H178="","",INDEX('Detalle individual'!$C:$C,$H178))</f>
        <v/>
      </c>
      <c r="F178" s="5" t="str">
        <f>IF($H178="","",INDEX('Detalle individual'!$D:$D,$H178))</f>
        <v/>
      </c>
      <c r="G178" s="5" t="str">
        <f>IF($H178="","",INDEX('Detalle individual'!$F:$F,$H178))</f>
        <v/>
      </c>
      <c r="H178" t="str">
        <f>IFERROR(MATCH(SMALL(Cálculos!$AJ$5:$AJ$1000,174),Cálculos!$AJ$5:$AJ$1000,0)+4,"")</f>
        <v/>
      </c>
    </row>
    <row r="179">
      <c r="B179" s="5" t="str">
        <f>IF($H179="","",INDEX('Detalle individual'!$B:$B,$H179))</f>
        <v/>
      </c>
      <c r="C179" s="5" t="str">
        <f>IF($H179="","",INDEX('Detalle individual'!$A:$A,$H179))</f>
        <v/>
      </c>
      <c r="D179" s="5" t="str">
        <f>IF($H179="","",INDEX('Detalle individual'!$E:$E,$H179))</f>
        <v/>
      </c>
      <c r="E179" s="5" t="str">
        <f>IF($H179="","",INDEX('Detalle individual'!$C:$C,$H179))</f>
        <v/>
      </c>
      <c r="F179" s="5" t="str">
        <f>IF($H179="","",INDEX('Detalle individual'!$D:$D,$H179))</f>
        <v/>
      </c>
      <c r="G179" s="5" t="str">
        <f>IF($H179="","",INDEX('Detalle individual'!$F:$F,$H179))</f>
        <v/>
      </c>
      <c r="H179" t="str">
        <f>IFERROR(MATCH(SMALL(Cálculos!$AJ$5:$AJ$1000,175),Cálculos!$AJ$5:$AJ$1000,0)+4,"")</f>
        <v/>
      </c>
    </row>
    <row r="180">
      <c r="B180" s="5" t="str">
        <f>IF($H180="","",INDEX('Detalle individual'!$B:$B,$H180))</f>
        <v/>
      </c>
      <c r="C180" s="5" t="str">
        <f>IF($H180="","",INDEX('Detalle individual'!$A:$A,$H180))</f>
        <v/>
      </c>
      <c r="D180" s="5" t="str">
        <f>IF($H180="","",INDEX('Detalle individual'!$E:$E,$H180))</f>
        <v/>
      </c>
      <c r="E180" s="5" t="str">
        <f>IF($H180="","",INDEX('Detalle individual'!$C:$C,$H180))</f>
        <v/>
      </c>
      <c r="F180" s="5" t="str">
        <f>IF($H180="","",INDEX('Detalle individual'!$D:$D,$H180))</f>
        <v/>
      </c>
      <c r="G180" s="5" t="str">
        <f>IF($H180="","",INDEX('Detalle individual'!$F:$F,$H180))</f>
        <v/>
      </c>
      <c r="H180" t="str">
        <f>IFERROR(MATCH(SMALL(Cálculos!$AJ$5:$AJ$1000,176),Cálculos!$AJ$5:$AJ$1000,0)+4,"")</f>
        <v/>
      </c>
    </row>
    <row r="181">
      <c r="B181" s="5" t="str">
        <f>IF($H181="","",INDEX('Detalle individual'!$B:$B,$H181))</f>
        <v/>
      </c>
      <c r="C181" s="5" t="str">
        <f>IF($H181="","",INDEX('Detalle individual'!$A:$A,$H181))</f>
        <v/>
      </c>
      <c r="D181" s="5" t="str">
        <f>IF($H181="","",INDEX('Detalle individual'!$E:$E,$H181))</f>
        <v/>
      </c>
      <c r="E181" s="5" t="str">
        <f>IF($H181="","",INDEX('Detalle individual'!$C:$C,$H181))</f>
        <v/>
      </c>
      <c r="F181" s="5" t="str">
        <f>IF($H181="","",INDEX('Detalle individual'!$D:$D,$H181))</f>
        <v/>
      </c>
      <c r="G181" s="5" t="str">
        <f>IF($H181="","",INDEX('Detalle individual'!$F:$F,$H181))</f>
        <v/>
      </c>
      <c r="H181" t="str">
        <f>IFERROR(MATCH(SMALL(Cálculos!$AJ$5:$AJ$1000,177),Cálculos!$AJ$5:$AJ$1000,0)+4,"")</f>
        <v/>
      </c>
    </row>
    <row r="182">
      <c r="B182" s="5" t="str">
        <f>IF($H182="","",INDEX('Detalle individual'!$B:$B,$H182))</f>
        <v/>
      </c>
      <c r="C182" s="5" t="str">
        <f>IF($H182="","",INDEX('Detalle individual'!$A:$A,$H182))</f>
        <v/>
      </c>
      <c r="D182" s="5" t="str">
        <f>IF($H182="","",INDEX('Detalle individual'!$E:$E,$H182))</f>
        <v/>
      </c>
      <c r="E182" s="5" t="str">
        <f>IF($H182="","",INDEX('Detalle individual'!$C:$C,$H182))</f>
        <v/>
      </c>
      <c r="F182" s="5" t="str">
        <f>IF($H182="","",INDEX('Detalle individual'!$D:$D,$H182))</f>
        <v/>
      </c>
      <c r="G182" s="5" t="str">
        <f>IF($H182="","",INDEX('Detalle individual'!$F:$F,$H182))</f>
        <v/>
      </c>
      <c r="H182" t="str">
        <f>IFERROR(MATCH(SMALL(Cálculos!$AJ$5:$AJ$1000,178),Cálculos!$AJ$5:$AJ$1000,0)+4,"")</f>
        <v/>
      </c>
    </row>
    <row r="183">
      <c r="B183" s="5" t="str">
        <f>IF($H183="","",INDEX('Detalle individual'!$B:$B,$H183))</f>
        <v/>
      </c>
      <c r="C183" s="5" t="str">
        <f>IF($H183="","",INDEX('Detalle individual'!$A:$A,$H183))</f>
        <v/>
      </c>
      <c r="D183" s="5" t="str">
        <f>IF($H183="","",INDEX('Detalle individual'!$E:$E,$H183))</f>
        <v/>
      </c>
      <c r="E183" s="5" t="str">
        <f>IF($H183="","",INDEX('Detalle individual'!$C:$C,$H183))</f>
        <v/>
      </c>
      <c r="F183" s="5" t="str">
        <f>IF($H183="","",INDEX('Detalle individual'!$D:$D,$H183))</f>
        <v/>
      </c>
      <c r="G183" s="5" t="str">
        <f>IF($H183="","",INDEX('Detalle individual'!$F:$F,$H183))</f>
        <v/>
      </c>
      <c r="H183" t="str">
        <f>IFERROR(MATCH(SMALL(Cálculos!$AJ$5:$AJ$1000,179),Cálculos!$AJ$5:$AJ$1000,0)+4,"")</f>
        <v/>
      </c>
    </row>
    <row r="184">
      <c r="B184" s="5" t="str">
        <f>IF($H184="","",INDEX('Detalle individual'!$B:$B,$H184))</f>
        <v/>
      </c>
      <c r="C184" s="5" t="str">
        <f>IF($H184="","",INDEX('Detalle individual'!$A:$A,$H184))</f>
        <v/>
      </c>
      <c r="D184" s="5" t="str">
        <f>IF($H184="","",INDEX('Detalle individual'!$E:$E,$H184))</f>
        <v/>
      </c>
      <c r="E184" s="5" t="str">
        <f>IF($H184="","",INDEX('Detalle individual'!$C:$C,$H184))</f>
        <v/>
      </c>
      <c r="F184" s="5" t="str">
        <f>IF($H184="","",INDEX('Detalle individual'!$D:$D,$H184))</f>
        <v/>
      </c>
      <c r="G184" s="5" t="str">
        <f>IF($H184="","",INDEX('Detalle individual'!$F:$F,$H184))</f>
        <v/>
      </c>
      <c r="H184" t="str">
        <f>IFERROR(MATCH(SMALL(Cálculos!$AJ$5:$AJ$1000,180),Cálculos!$AJ$5:$AJ$1000,0)+4,"")</f>
        <v/>
      </c>
    </row>
    <row r="185">
      <c r="B185" s="5" t="str">
        <f>IF($H185="","",INDEX('Detalle individual'!$B:$B,$H185))</f>
        <v/>
      </c>
      <c r="C185" s="5" t="str">
        <f>IF($H185="","",INDEX('Detalle individual'!$A:$A,$H185))</f>
        <v/>
      </c>
      <c r="D185" s="5" t="str">
        <f>IF($H185="","",INDEX('Detalle individual'!$E:$E,$H185))</f>
        <v/>
      </c>
      <c r="E185" s="5" t="str">
        <f>IF($H185="","",INDEX('Detalle individual'!$C:$C,$H185))</f>
        <v/>
      </c>
      <c r="F185" s="5" t="str">
        <f>IF($H185="","",INDEX('Detalle individual'!$D:$D,$H185))</f>
        <v/>
      </c>
      <c r="G185" s="5" t="str">
        <f>IF($H185="","",INDEX('Detalle individual'!$F:$F,$H185))</f>
        <v/>
      </c>
      <c r="H185" t="str">
        <f>IFERROR(MATCH(SMALL(Cálculos!$AJ$5:$AJ$1000,181),Cálculos!$AJ$5:$AJ$1000,0)+4,"")</f>
        <v/>
      </c>
    </row>
    <row r="186">
      <c r="B186" s="5" t="str">
        <f>IF($H186="","",INDEX('Detalle individual'!$B:$B,$H186))</f>
        <v/>
      </c>
      <c r="C186" s="5" t="str">
        <f>IF($H186="","",INDEX('Detalle individual'!$A:$A,$H186))</f>
        <v/>
      </c>
      <c r="D186" s="5" t="str">
        <f>IF($H186="","",INDEX('Detalle individual'!$E:$E,$H186))</f>
        <v/>
      </c>
      <c r="E186" s="5" t="str">
        <f>IF($H186="","",INDEX('Detalle individual'!$C:$C,$H186))</f>
        <v/>
      </c>
      <c r="F186" s="5" t="str">
        <f>IF($H186="","",INDEX('Detalle individual'!$D:$D,$H186))</f>
        <v/>
      </c>
      <c r="G186" s="5" t="str">
        <f>IF($H186="","",INDEX('Detalle individual'!$F:$F,$H186))</f>
        <v/>
      </c>
      <c r="H186" t="str">
        <f>IFERROR(MATCH(SMALL(Cálculos!$AJ$5:$AJ$1000,182),Cálculos!$AJ$5:$AJ$1000,0)+4,"")</f>
        <v/>
      </c>
    </row>
    <row r="187">
      <c r="B187" s="5" t="str">
        <f>IF($H187="","",INDEX('Detalle individual'!$B:$B,$H187))</f>
        <v/>
      </c>
      <c r="C187" s="5" t="str">
        <f>IF($H187="","",INDEX('Detalle individual'!$A:$A,$H187))</f>
        <v/>
      </c>
      <c r="D187" s="5" t="str">
        <f>IF($H187="","",INDEX('Detalle individual'!$E:$E,$H187))</f>
        <v/>
      </c>
      <c r="E187" s="5" t="str">
        <f>IF($H187="","",INDEX('Detalle individual'!$C:$C,$H187))</f>
        <v/>
      </c>
      <c r="F187" s="5" t="str">
        <f>IF($H187="","",INDEX('Detalle individual'!$D:$D,$H187))</f>
        <v/>
      </c>
      <c r="G187" s="5" t="str">
        <f>IF($H187="","",INDEX('Detalle individual'!$F:$F,$H187))</f>
        <v/>
      </c>
      <c r="H187" t="str">
        <f>IFERROR(MATCH(SMALL(Cálculos!$AJ$5:$AJ$1000,183),Cálculos!$AJ$5:$AJ$1000,0)+4,"")</f>
        <v/>
      </c>
    </row>
    <row r="188">
      <c r="B188" s="5" t="str">
        <f>IF($H188="","",INDEX('Detalle individual'!$B:$B,$H188))</f>
        <v/>
      </c>
      <c r="C188" s="5" t="str">
        <f>IF($H188="","",INDEX('Detalle individual'!$A:$A,$H188))</f>
        <v/>
      </c>
      <c r="D188" s="5" t="str">
        <f>IF($H188="","",INDEX('Detalle individual'!$E:$E,$H188))</f>
        <v/>
      </c>
      <c r="E188" s="5" t="str">
        <f>IF($H188="","",INDEX('Detalle individual'!$C:$C,$H188))</f>
        <v/>
      </c>
      <c r="F188" s="5" t="str">
        <f>IF($H188="","",INDEX('Detalle individual'!$D:$D,$H188))</f>
        <v/>
      </c>
      <c r="G188" s="5" t="str">
        <f>IF($H188="","",INDEX('Detalle individual'!$F:$F,$H188))</f>
        <v/>
      </c>
      <c r="H188" t="str">
        <f>IFERROR(MATCH(SMALL(Cálculos!$AJ$5:$AJ$1000,184),Cálculos!$AJ$5:$AJ$1000,0)+4,"")</f>
        <v/>
      </c>
    </row>
    <row r="189">
      <c r="B189" s="5" t="str">
        <f>IF($H189="","",INDEX('Detalle individual'!$B:$B,$H189))</f>
        <v/>
      </c>
      <c r="C189" s="5" t="str">
        <f>IF($H189="","",INDEX('Detalle individual'!$A:$A,$H189))</f>
        <v/>
      </c>
      <c r="D189" s="5" t="str">
        <f>IF($H189="","",INDEX('Detalle individual'!$E:$E,$H189))</f>
        <v/>
      </c>
      <c r="E189" s="5" t="str">
        <f>IF($H189="","",INDEX('Detalle individual'!$C:$C,$H189))</f>
        <v/>
      </c>
      <c r="F189" s="5" t="str">
        <f>IF($H189="","",INDEX('Detalle individual'!$D:$D,$H189))</f>
        <v/>
      </c>
      <c r="G189" s="5" t="str">
        <f>IF($H189="","",INDEX('Detalle individual'!$F:$F,$H189))</f>
        <v/>
      </c>
      <c r="H189" t="str">
        <f>IFERROR(MATCH(SMALL(Cálculos!$AJ$5:$AJ$1000,185),Cálculos!$AJ$5:$AJ$1000,0)+4,"")</f>
        <v/>
      </c>
    </row>
    <row r="190">
      <c r="B190" s="5" t="str">
        <f>IF($H190="","",INDEX('Detalle individual'!$B:$B,$H190))</f>
        <v/>
      </c>
      <c r="C190" s="5" t="str">
        <f>IF($H190="","",INDEX('Detalle individual'!$A:$A,$H190))</f>
        <v/>
      </c>
      <c r="D190" s="5" t="str">
        <f>IF($H190="","",INDEX('Detalle individual'!$E:$E,$H190))</f>
        <v/>
      </c>
      <c r="E190" s="5" t="str">
        <f>IF($H190="","",INDEX('Detalle individual'!$C:$C,$H190))</f>
        <v/>
      </c>
      <c r="F190" s="5" t="str">
        <f>IF($H190="","",INDEX('Detalle individual'!$D:$D,$H190))</f>
        <v/>
      </c>
      <c r="G190" s="5" t="str">
        <f>IF($H190="","",INDEX('Detalle individual'!$F:$F,$H190))</f>
        <v/>
      </c>
      <c r="H190" t="str">
        <f>IFERROR(MATCH(SMALL(Cálculos!$AJ$5:$AJ$1000,186),Cálculos!$AJ$5:$AJ$1000,0)+4,"")</f>
        <v/>
      </c>
    </row>
    <row r="191">
      <c r="B191" s="5" t="str">
        <f>IF($H191="","",INDEX('Detalle individual'!$B:$B,$H191))</f>
        <v/>
      </c>
      <c r="C191" s="5" t="str">
        <f>IF($H191="","",INDEX('Detalle individual'!$A:$A,$H191))</f>
        <v/>
      </c>
      <c r="D191" s="5" t="str">
        <f>IF($H191="","",INDEX('Detalle individual'!$E:$E,$H191))</f>
        <v/>
      </c>
      <c r="E191" s="5" t="str">
        <f>IF($H191="","",INDEX('Detalle individual'!$C:$C,$H191))</f>
        <v/>
      </c>
      <c r="F191" s="5" t="str">
        <f>IF($H191="","",INDEX('Detalle individual'!$D:$D,$H191))</f>
        <v/>
      </c>
      <c r="G191" s="5" t="str">
        <f>IF($H191="","",INDEX('Detalle individual'!$F:$F,$H191))</f>
        <v/>
      </c>
      <c r="H191" t="str">
        <f>IFERROR(MATCH(SMALL(Cálculos!$AJ$5:$AJ$1000,187),Cálculos!$AJ$5:$AJ$1000,0)+4,"")</f>
        <v/>
      </c>
    </row>
    <row r="192">
      <c r="B192" s="5" t="str">
        <f>IF($H192="","",INDEX('Detalle individual'!$B:$B,$H192))</f>
        <v/>
      </c>
      <c r="C192" s="5" t="str">
        <f>IF($H192="","",INDEX('Detalle individual'!$A:$A,$H192))</f>
        <v/>
      </c>
      <c r="D192" s="5" t="str">
        <f>IF($H192="","",INDEX('Detalle individual'!$E:$E,$H192))</f>
        <v/>
      </c>
      <c r="E192" s="5" t="str">
        <f>IF($H192="","",INDEX('Detalle individual'!$C:$C,$H192))</f>
        <v/>
      </c>
      <c r="F192" s="5" t="str">
        <f>IF($H192="","",INDEX('Detalle individual'!$D:$D,$H192))</f>
        <v/>
      </c>
      <c r="G192" s="5" t="str">
        <f>IF($H192="","",INDEX('Detalle individual'!$F:$F,$H192))</f>
        <v/>
      </c>
      <c r="H192" t="str">
        <f>IFERROR(MATCH(SMALL(Cálculos!$AJ$5:$AJ$1000,188),Cálculos!$AJ$5:$AJ$1000,0)+4,"")</f>
        <v/>
      </c>
    </row>
    <row r="193">
      <c r="B193" s="5" t="str">
        <f>IF($H193="","",INDEX('Detalle individual'!$B:$B,$H193))</f>
        <v/>
      </c>
      <c r="C193" s="5" t="str">
        <f>IF($H193="","",INDEX('Detalle individual'!$A:$A,$H193))</f>
        <v/>
      </c>
      <c r="D193" s="5" t="str">
        <f>IF($H193="","",INDEX('Detalle individual'!$E:$E,$H193))</f>
        <v/>
      </c>
      <c r="E193" s="5" t="str">
        <f>IF($H193="","",INDEX('Detalle individual'!$C:$C,$H193))</f>
        <v/>
      </c>
      <c r="F193" s="5" t="str">
        <f>IF($H193="","",INDEX('Detalle individual'!$D:$D,$H193))</f>
        <v/>
      </c>
      <c r="G193" s="5" t="str">
        <f>IF($H193="","",INDEX('Detalle individual'!$F:$F,$H193))</f>
        <v/>
      </c>
      <c r="H193" t="str">
        <f>IFERROR(MATCH(SMALL(Cálculos!$AJ$5:$AJ$1000,189),Cálculos!$AJ$5:$AJ$1000,0)+4,"")</f>
        <v/>
      </c>
    </row>
    <row r="194">
      <c r="B194" s="5" t="str">
        <f>IF($H194="","",INDEX('Detalle individual'!$B:$B,$H194))</f>
        <v/>
      </c>
      <c r="C194" s="5" t="str">
        <f>IF($H194="","",INDEX('Detalle individual'!$A:$A,$H194))</f>
        <v/>
      </c>
      <c r="D194" s="5" t="str">
        <f>IF($H194="","",INDEX('Detalle individual'!$E:$E,$H194))</f>
        <v/>
      </c>
      <c r="E194" s="5" t="str">
        <f>IF($H194="","",INDEX('Detalle individual'!$C:$C,$H194))</f>
        <v/>
      </c>
      <c r="F194" s="5" t="str">
        <f>IF($H194="","",INDEX('Detalle individual'!$D:$D,$H194))</f>
        <v/>
      </c>
      <c r="G194" s="5" t="str">
        <f>IF($H194="","",INDEX('Detalle individual'!$F:$F,$H194))</f>
        <v/>
      </c>
      <c r="H194" t="str">
        <f>IFERROR(MATCH(SMALL(Cálculos!$AJ$5:$AJ$1000,190),Cálculos!$AJ$5:$AJ$1000,0)+4,"")</f>
        <v/>
      </c>
    </row>
    <row r="195">
      <c r="B195" s="5" t="str">
        <f>IF($H195="","",INDEX('Detalle individual'!$B:$B,$H195))</f>
        <v/>
      </c>
      <c r="C195" s="5" t="str">
        <f>IF($H195="","",INDEX('Detalle individual'!$A:$A,$H195))</f>
        <v/>
      </c>
      <c r="D195" s="5" t="str">
        <f>IF($H195="","",INDEX('Detalle individual'!$E:$E,$H195))</f>
        <v/>
      </c>
      <c r="E195" s="5" t="str">
        <f>IF($H195="","",INDEX('Detalle individual'!$C:$C,$H195))</f>
        <v/>
      </c>
      <c r="F195" s="5" t="str">
        <f>IF($H195="","",INDEX('Detalle individual'!$D:$D,$H195))</f>
        <v/>
      </c>
      <c r="G195" s="5" t="str">
        <f>IF($H195="","",INDEX('Detalle individual'!$F:$F,$H195))</f>
        <v/>
      </c>
      <c r="H195" t="str">
        <f>IFERROR(MATCH(SMALL(Cálculos!$AJ$5:$AJ$1000,191),Cálculos!$AJ$5:$AJ$1000,0)+4,"")</f>
        <v/>
      </c>
    </row>
    <row r="196">
      <c r="B196" s="5" t="str">
        <f>IF($H196="","",INDEX('Detalle individual'!$B:$B,$H196))</f>
        <v/>
      </c>
      <c r="C196" s="5" t="str">
        <f>IF($H196="","",INDEX('Detalle individual'!$A:$A,$H196))</f>
        <v/>
      </c>
      <c r="D196" s="5" t="str">
        <f>IF($H196="","",INDEX('Detalle individual'!$E:$E,$H196))</f>
        <v/>
      </c>
      <c r="E196" s="5" t="str">
        <f>IF($H196="","",INDEX('Detalle individual'!$C:$C,$H196))</f>
        <v/>
      </c>
      <c r="F196" s="5" t="str">
        <f>IF($H196="","",INDEX('Detalle individual'!$D:$D,$H196))</f>
        <v/>
      </c>
      <c r="G196" s="5" t="str">
        <f>IF($H196="","",INDEX('Detalle individual'!$F:$F,$H196))</f>
        <v/>
      </c>
      <c r="H196" t="str">
        <f>IFERROR(MATCH(SMALL(Cálculos!$AJ$5:$AJ$1000,192),Cálculos!$AJ$5:$AJ$1000,0)+4,"")</f>
        <v/>
      </c>
    </row>
    <row r="197">
      <c r="B197" s="5" t="str">
        <f>IF($H197="","",INDEX('Detalle individual'!$B:$B,$H197))</f>
        <v/>
      </c>
      <c r="C197" s="5" t="str">
        <f>IF($H197="","",INDEX('Detalle individual'!$A:$A,$H197))</f>
        <v/>
      </c>
      <c r="D197" s="5" t="str">
        <f>IF($H197="","",INDEX('Detalle individual'!$E:$E,$H197))</f>
        <v/>
      </c>
      <c r="E197" s="5" t="str">
        <f>IF($H197="","",INDEX('Detalle individual'!$C:$C,$H197))</f>
        <v/>
      </c>
      <c r="F197" s="5" t="str">
        <f>IF($H197="","",INDEX('Detalle individual'!$D:$D,$H197))</f>
        <v/>
      </c>
      <c r="G197" s="5" t="str">
        <f>IF($H197="","",INDEX('Detalle individual'!$F:$F,$H197))</f>
        <v/>
      </c>
      <c r="H197" t="str">
        <f>IFERROR(MATCH(SMALL(Cálculos!$AJ$5:$AJ$1000,193),Cálculos!$AJ$5:$AJ$1000,0)+4,"")</f>
        <v/>
      </c>
    </row>
    <row r="198">
      <c r="B198" s="5" t="str">
        <f>IF($H198="","",INDEX('Detalle individual'!$B:$B,$H198))</f>
        <v/>
      </c>
      <c r="C198" s="5" t="str">
        <f>IF($H198="","",INDEX('Detalle individual'!$A:$A,$H198))</f>
        <v/>
      </c>
      <c r="D198" s="5" t="str">
        <f>IF($H198="","",INDEX('Detalle individual'!$E:$E,$H198))</f>
        <v/>
      </c>
      <c r="E198" s="5" t="str">
        <f>IF($H198="","",INDEX('Detalle individual'!$C:$C,$H198))</f>
        <v/>
      </c>
      <c r="F198" s="5" t="str">
        <f>IF($H198="","",INDEX('Detalle individual'!$D:$D,$H198))</f>
        <v/>
      </c>
      <c r="G198" s="5" t="str">
        <f>IF($H198="","",INDEX('Detalle individual'!$F:$F,$H198))</f>
        <v/>
      </c>
      <c r="H198" t="str">
        <f>IFERROR(MATCH(SMALL(Cálculos!$AJ$5:$AJ$1000,194),Cálculos!$AJ$5:$AJ$1000,0)+4,"")</f>
        <v/>
      </c>
    </row>
    <row r="199">
      <c r="B199" s="5" t="str">
        <f>IF($H199="","",INDEX('Detalle individual'!$B:$B,$H199))</f>
        <v/>
      </c>
      <c r="C199" s="5" t="str">
        <f>IF($H199="","",INDEX('Detalle individual'!$A:$A,$H199))</f>
        <v/>
      </c>
      <c r="D199" s="5" t="str">
        <f>IF($H199="","",INDEX('Detalle individual'!$E:$E,$H199))</f>
        <v/>
      </c>
      <c r="E199" s="5" t="str">
        <f>IF($H199="","",INDEX('Detalle individual'!$C:$C,$H199))</f>
        <v/>
      </c>
      <c r="F199" s="5" t="str">
        <f>IF($H199="","",INDEX('Detalle individual'!$D:$D,$H199))</f>
        <v/>
      </c>
      <c r="G199" s="5" t="str">
        <f>IF($H199="","",INDEX('Detalle individual'!$F:$F,$H199))</f>
        <v/>
      </c>
      <c r="H199" t="str">
        <f>IFERROR(MATCH(SMALL(Cálculos!$AJ$5:$AJ$1000,195),Cálculos!$AJ$5:$AJ$1000,0)+4,"")</f>
        <v/>
      </c>
    </row>
    <row r="200">
      <c r="B200" s="5" t="str">
        <f>IF($H200="","",INDEX('Detalle individual'!$B:$B,$H200))</f>
        <v/>
      </c>
      <c r="C200" s="5" t="str">
        <f>IF($H200="","",INDEX('Detalle individual'!$A:$A,$H200))</f>
        <v/>
      </c>
      <c r="D200" s="5" t="str">
        <f>IF($H200="","",INDEX('Detalle individual'!$E:$E,$H200))</f>
        <v/>
      </c>
      <c r="E200" s="5" t="str">
        <f>IF($H200="","",INDEX('Detalle individual'!$C:$C,$H200))</f>
        <v/>
      </c>
      <c r="F200" s="5" t="str">
        <f>IF($H200="","",INDEX('Detalle individual'!$D:$D,$H200))</f>
        <v/>
      </c>
      <c r="G200" s="5" t="str">
        <f>IF($H200="","",INDEX('Detalle individual'!$F:$F,$H200))</f>
        <v/>
      </c>
      <c r="H200" t="str">
        <f>IFERROR(MATCH(SMALL(Cálculos!$AJ$5:$AJ$1000,196),Cálculos!$AJ$5:$AJ$1000,0)+4,"")</f>
        <v/>
      </c>
    </row>
    <row r="201">
      <c r="B201" s="5" t="str">
        <f>IF($H201="","",INDEX('Detalle individual'!$B:$B,$H201))</f>
        <v/>
      </c>
      <c r="C201" s="5" t="str">
        <f>IF($H201="","",INDEX('Detalle individual'!$A:$A,$H201))</f>
        <v/>
      </c>
      <c r="D201" s="5" t="str">
        <f>IF($H201="","",INDEX('Detalle individual'!$E:$E,$H201))</f>
        <v/>
      </c>
      <c r="E201" s="5" t="str">
        <f>IF($H201="","",INDEX('Detalle individual'!$C:$C,$H201))</f>
        <v/>
      </c>
      <c r="F201" s="5" t="str">
        <f>IF($H201="","",INDEX('Detalle individual'!$D:$D,$H201))</f>
        <v/>
      </c>
      <c r="G201" s="5" t="str">
        <f>IF($H201="","",INDEX('Detalle individual'!$F:$F,$H201))</f>
        <v/>
      </c>
      <c r="H201" t="str">
        <f>IFERROR(MATCH(SMALL(Cálculos!$AJ$5:$AJ$1000,197),Cálculos!$AJ$5:$AJ$1000,0)+4,"")</f>
        <v/>
      </c>
    </row>
    <row r="202">
      <c r="B202" s="5" t="str">
        <f>IF($H202="","",INDEX('Detalle individual'!$B:$B,$H202))</f>
        <v/>
      </c>
      <c r="C202" s="5" t="str">
        <f>IF($H202="","",INDEX('Detalle individual'!$A:$A,$H202))</f>
        <v/>
      </c>
      <c r="D202" s="5" t="str">
        <f>IF($H202="","",INDEX('Detalle individual'!$E:$E,$H202))</f>
        <v/>
      </c>
      <c r="E202" s="5" t="str">
        <f>IF($H202="","",INDEX('Detalle individual'!$C:$C,$H202))</f>
        <v/>
      </c>
      <c r="F202" s="5" t="str">
        <f>IF($H202="","",INDEX('Detalle individual'!$D:$D,$H202))</f>
        <v/>
      </c>
      <c r="G202" s="5" t="str">
        <f>IF($H202="","",INDEX('Detalle individual'!$F:$F,$H202))</f>
        <v/>
      </c>
      <c r="H202" t="str">
        <f>IFERROR(MATCH(SMALL(Cálculos!$AJ$5:$AJ$1000,198),Cálculos!$AJ$5:$AJ$1000,0)+4,"")</f>
        <v/>
      </c>
    </row>
    <row r="203">
      <c r="B203" s="5" t="str">
        <f>IF($H203="","",INDEX('Detalle individual'!$B:$B,$H203))</f>
        <v/>
      </c>
      <c r="C203" s="5" t="str">
        <f>IF($H203="","",INDEX('Detalle individual'!$A:$A,$H203))</f>
        <v/>
      </c>
      <c r="D203" s="5" t="str">
        <f>IF($H203="","",INDEX('Detalle individual'!$E:$E,$H203))</f>
        <v/>
      </c>
      <c r="E203" s="5" t="str">
        <f>IF($H203="","",INDEX('Detalle individual'!$C:$C,$H203))</f>
        <v/>
      </c>
      <c r="F203" s="5" t="str">
        <f>IF($H203="","",INDEX('Detalle individual'!$D:$D,$H203))</f>
        <v/>
      </c>
      <c r="G203" s="5" t="str">
        <f>IF($H203="","",INDEX('Detalle individual'!$F:$F,$H203))</f>
        <v/>
      </c>
      <c r="H203" t="str">
        <f>IFERROR(MATCH(SMALL(Cálculos!$AJ$5:$AJ$1000,199),Cálculos!$AJ$5:$AJ$1000,0)+4,"")</f>
        <v/>
      </c>
    </row>
    <row r="204">
      <c r="B204" s="5" t="str">
        <f>IF($H204="","",INDEX('Detalle individual'!$B:$B,$H204))</f>
        <v/>
      </c>
      <c r="C204" s="5" t="str">
        <f>IF($H204="","",INDEX('Detalle individual'!$A:$A,$H204))</f>
        <v/>
      </c>
      <c r="D204" s="5" t="str">
        <f>IF($H204="","",INDEX('Detalle individual'!$E:$E,$H204))</f>
        <v/>
      </c>
      <c r="E204" s="5" t="str">
        <f>IF($H204="","",INDEX('Detalle individual'!$C:$C,$H204))</f>
        <v/>
      </c>
      <c r="F204" s="5" t="str">
        <f>IF($H204="","",INDEX('Detalle individual'!$D:$D,$H204))</f>
        <v/>
      </c>
      <c r="G204" s="5" t="str">
        <f>IF($H204="","",INDEX('Detalle individual'!$F:$F,$H204))</f>
        <v/>
      </c>
      <c r="H204" t="str">
        <f>IFERROR(MATCH(SMALL(Cálculos!$AJ$5:$AJ$1000,200),Cálculos!$AJ$5:$AJ$1000,0)+4,"")</f>
        <v/>
      </c>
    </row>
    <row r="205">
      <c r="B205" s="5" t="str">
        <f>IF($H205="","",INDEX('Detalle individual'!$B:$B,$H205))</f>
        <v/>
      </c>
      <c r="C205" s="5" t="str">
        <f>IF($H205="","",INDEX('Detalle individual'!$A:$A,$H205))</f>
        <v/>
      </c>
      <c r="D205" s="5" t="str">
        <f>IF($H205="","",INDEX('Detalle individual'!$E:$E,$H205))</f>
        <v/>
      </c>
      <c r="E205" s="5" t="str">
        <f>IF($H205="","",INDEX('Detalle individual'!$C:$C,$H205))</f>
        <v/>
      </c>
      <c r="F205" s="5" t="str">
        <f>IF($H205="","",INDEX('Detalle individual'!$D:$D,$H205))</f>
        <v/>
      </c>
      <c r="G205" s="5" t="str">
        <f>IF($H205="","",INDEX('Detalle individual'!$F:$F,$H205))</f>
        <v/>
      </c>
      <c r="H205" t="str">
        <f>IFERROR(MATCH(SMALL(Cálculos!$AJ$5:$AJ$1000,201),Cálculos!$AJ$5:$AJ$1000,0)+4,"")</f>
        <v/>
      </c>
    </row>
    <row r="206">
      <c r="B206" s="5" t="str">
        <f>IF($H206="","",INDEX('Detalle individual'!$B:$B,$H206))</f>
        <v/>
      </c>
      <c r="C206" s="5" t="str">
        <f>IF($H206="","",INDEX('Detalle individual'!$A:$A,$H206))</f>
        <v/>
      </c>
      <c r="D206" s="5" t="str">
        <f>IF($H206="","",INDEX('Detalle individual'!$E:$E,$H206))</f>
        <v/>
      </c>
      <c r="E206" s="5" t="str">
        <f>IF($H206="","",INDEX('Detalle individual'!$C:$C,$H206))</f>
        <v/>
      </c>
      <c r="F206" s="5" t="str">
        <f>IF($H206="","",INDEX('Detalle individual'!$D:$D,$H206))</f>
        <v/>
      </c>
      <c r="G206" s="5" t="str">
        <f>IF($H206="","",INDEX('Detalle individual'!$F:$F,$H206))</f>
        <v/>
      </c>
      <c r="H206" t="str">
        <f>IFERROR(MATCH(SMALL(Cálculos!$AJ$5:$AJ$1000,202),Cálculos!$AJ$5:$AJ$1000,0)+4,"")</f>
        <v/>
      </c>
    </row>
    <row r="207">
      <c r="B207" s="5" t="str">
        <f>IF($H207="","",INDEX('Detalle individual'!$B:$B,$H207))</f>
        <v/>
      </c>
      <c r="C207" s="5" t="str">
        <f>IF($H207="","",INDEX('Detalle individual'!$A:$A,$H207))</f>
        <v/>
      </c>
      <c r="D207" s="5" t="str">
        <f>IF($H207="","",INDEX('Detalle individual'!$E:$E,$H207))</f>
        <v/>
      </c>
      <c r="E207" s="5" t="str">
        <f>IF($H207="","",INDEX('Detalle individual'!$C:$C,$H207))</f>
        <v/>
      </c>
      <c r="F207" s="5" t="str">
        <f>IF($H207="","",INDEX('Detalle individual'!$D:$D,$H207))</f>
        <v/>
      </c>
      <c r="G207" s="5" t="str">
        <f>IF($H207="","",INDEX('Detalle individual'!$F:$F,$H207))</f>
        <v/>
      </c>
      <c r="H207" t="str">
        <f>IFERROR(MATCH(SMALL(Cálculos!$AJ$5:$AJ$1000,203),Cálculos!$AJ$5:$AJ$1000,0)+4,"")</f>
        <v/>
      </c>
    </row>
    <row r="208">
      <c r="B208" s="5" t="str">
        <f>IF($H208="","",INDEX('Detalle individual'!$B:$B,$H208))</f>
        <v/>
      </c>
      <c r="C208" s="5" t="str">
        <f>IF($H208="","",INDEX('Detalle individual'!$A:$A,$H208))</f>
        <v/>
      </c>
      <c r="D208" s="5" t="str">
        <f>IF($H208="","",INDEX('Detalle individual'!$E:$E,$H208))</f>
        <v/>
      </c>
      <c r="E208" s="5" t="str">
        <f>IF($H208="","",INDEX('Detalle individual'!$C:$C,$H208))</f>
        <v/>
      </c>
      <c r="F208" s="5" t="str">
        <f>IF($H208="","",INDEX('Detalle individual'!$D:$D,$H208))</f>
        <v/>
      </c>
      <c r="G208" s="5" t="str">
        <f>IF($H208="","",INDEX('Detalle individual'!$F:$F,$H208))</f>
        <v/>
      </c>
      <c r="H208" t="str">
        <f>IFERROR(MATCH(SMALL(Cálculos!$AJ$5:$AJ$1000,204),Cálculos!$AJ$5:$AJ$1000,0)+4,"")</f>
        <v/>
      </c>
    </row>
    <row r="209">
      <c r="B209" s="5" t="str">
        <f>IF($H209="","",INDEX('Detalle individual'!$B:$B,$H209))</f>
        <v/>
      </c>
      <c r="C209" s="5" t="str">
        <f>IF($H209="","",INDEX('Detalle individual'!$A:$A,$H209))</f>
        <v/>
      </c>
      <c r="D209" s="5" t="str">
        <f>IF($H209="","",INDEX('Detalle individual'!$E:$E,$H209))</f>
        <v/>
      </c>
      <c r="E209" s="5" t="str">
        <f>IF($H209="","",INDEX('Detalle individual'!$C:$C,$H209))</f>
        <v/>
      </c>
      <c r="F209" s="5" t="str">
        <f>IF($H209="","",INDEX('Detalle individual'!$D:$D,$H209))</f>
        <v/>
      </c>
      <c r="G209" s="5" t="str">
        <f>IF($H209="","",INDEX('Detalle individual'!$F:$F,$H209))</f>
        <v/>
      </c>
      <c r="H209" t="str">
        <f>IFERROR(MATCH(SMALL(Cálculos!$AJ$5:$AJ$1000,205),Cálculos!$AJ$5:$AJ$1000,0)+4,"")</f>
        <v/>
      </c>
    </row>
    <row r="210">
      <c r="B210" s="5" t="str">
        <f>IF($H210="","",INDEX('Detalle individual'!$B:$B,$H210))</f>
        <v/>
      </c>
      <c r="C210" s="5" t="str">
        <f>IF($H210="","",INDEX('Detalle individual'!$A:$A,$H210))</f>
        <v/>
      </c>
      <c r="D210" s="5" t="str">
        <f>IF($H210="","",INDEX('Detalle individual'!$E:$E,$H210))</f>
        <v/>
      </c>
      <c r="E210" s="5" t="str">
        <f>IF($H210="","",INDEX('Detalle individual'!$C:$C,$H210))</f>
        <v/>
      </c>
      <c r="F210" s="5" t="str">
        <f>IF($H210="","",INDEX('Detalle individual'!$D:$D,$H210))</f>
        <v/>
      </c>
      <c r="G210" s="5" t="str">
        <f>IF($H210="","",INDEX('Detalle individual'!$F:$F,$H210))</f>
        <v/>
      </c>
      <c r="H210" t="str">
        <f>IFERROR(MATCH(SMALL(Cálculos!$AJ$5:$AJ$1000,206),Cálculos!$AJ$5:$AJ$1000,0)+4,"")</f>
        <v/>
      </c>
    </row>
    <row r="211">
      <c r="B211" s="5" t="str">
        <f>IF($H211="","",INDEX('Detalle individual'!$B:$B,$H211))</f>
        <v/>
      </c>
      <c r="C211" s="5" t="str">
        <f>IF($H211="","",INDEX('Detalle individual'!$A:$A,$H211))</f>
        <v/>
      </c>
      <c r="D211" s="5" t="str">
        <f>IF($H211="","",INDEX('Detalle individual'!$E:$E,$H211))</f>
        <v/>
      </c>
      <c r="E211" s="5" t="str">
        <f>IF($H211="","",INDEX('Detalle individual'!$C:$C,$H211))</f>
        <v/>
      </c>
      <c r="F211" s="5" t="str">
        <f>IF($H211="","",INDEX('Detalle individual'!$D:$D,$H211))</f>
        <v/>
      </c>
      <c r="G211" s="5" t="str">
        <f>IF($H211="","",INDEX('Detalle individual'!$F:$F,$H211))</f>
        <v/>
      </c>
      <c r="H211" t="str">
        <f>IFERROR(MATCH(SMALL(Cálculos!$AJ$5:$AJ$1000,207),Cálculos!$AJ$5:$AJ$1000,0)+4,"")</f>
        <v/>
      </c>
    </row>
    <row r="212">
      <c r="B212" s="5" t="str">
        <f>IF($H212="","",INDEX('Detalle individual'!$B:$B,$H212))</f>
        <v/>
      </c>
      <c r="C212" s="5" t="str">
        <f>IF($H212="","",INDEX('Detalle individual'!$A:$A,$H212))</f>
        <v/>
      </c>
      <c r="D212" s="5" t="str">
        <f>IF($H212="","",INDEX('Detalle individual'!$E:$E,$H212))</f>
        <v/>
      </c>
      <c r="E212" s="5" t="str">
        <f>IF($H212="","",INDEX('Detalle individual'!$C:$C,$H212))</f>
        <v/>
      </c>
      <c r="F212" s="5" t="str">
        <f>IF($H212="","",INDEX('Detalle individual'!$D:$D,$H212))</f>
        <v/>
      </c>
      <c r="G212" s="5" t="str">
        <f>IF($H212="","",INDEX('Detalle individual'!$F:$F,$H212))</f>
        <v/>
      </c>
      <c r="H212" t="str">
        <f>IFERROR(MATCH(SMALL(Cálculos!$AJ$5:$AJ$1000,208),Cálculos!$AJ$5:$AJ$1000,0)+4,"")</f>
        <v/>
      </c>
    </row>
    <row r="213">
      <c r="B213" s="5" t="str">
        <f>IF($H213="","",INDEX('Detalle individual'!$B:$B,$H213))</f>
        <v/>
      </c>
      <c r="C213" s="5" t="str">
        <f>IF($H213="","",INDEX('Detalle individual'!$A:$A,$H213))</f>
        <v/>
      </c>
      <c r="D213" s="5" t="str">
        <f>IF($H213="","",INDEX('Detalle individual'!$E:$E,$H213))</f>
        <v/>
      </c>
      <c r="E213" s="5" t="str">
        <f>IF($H213="","",INDEX('Detalle individual'!$C:$C,$H213))</f>
        <v/>
      </c>
      <c r="F213" s="5" t="str">
        <f>IF($H213="","",INDEX('Detalle individual'!$D:$D,$H213))</f>
        <v/>
      </c>
      <c r="G213" s="5" t="str">
        <f>IF($H213="","",INDEX('Detalle individual'!$F:$F,$H213))</f>
        <v/>
      </c>
      <c r="H213" t="str">
        <f>IFERROR(MATCH(SMALL(Cálculos!$AJ$5:$AJ$1000,209),Cálculos!$AJ$5:$AJ$1000,0)+4,"")</f>
        <v/>
      </c>
    </row>
    <row r="214">
      <c r="B214" s="5" t="str">
        <f>IF($H214="","",INDEX('Detalle individual'!$B:$B,$H214))</f>
        <v/>
      </c>
      <c r="C214" s="5" t="str">
        <f>IF($H214="","",INDEX('Detalle individual'!$A:$A,$H214))</f>
        <v/>
      </c>
      <c r="D214" s="5" t="str">
        <f>IF($H214="","",INDEX('Detalle individual'!$E:$E,$H214))</f>
        <v/>
      </c>
      <c r="E214" s="5" t="str">
        <f>IF($H214="","",INDEX('Detalle individual'!$C:$C,$H214))</f>
        <v/>
      </c>
      <c r="F214" s="5" t="str">
        <f>IF($H214="","",INDEX('Detalle individual'!$D:$D,$H214))</f>
        <v/>
      </c>
      <c r="G214" s="5" t="str">
        <f>IF($H214="","",INDEX('Detalle individual'!$F:$F,$H214))</f>
        <v/>
      </c>
      <c r="H214" t="str">
        <f>IFERROR(MATCH(SMALL(Cálculos!$AJ$5:$AJ$1000,210),Cálculos!$AJ$5:$AJ$1000,0)+4,"")</f>
        <v/>
      </c>
    </row>
    <row r="215">
      <c r="B215" s="5" t="str">
        <f>IF($H215="","",INDEX('Detalle individual'!$B:$B,$H215))</f>
        <v/>
      </c>
      <c r="C215" s="5" t="str">
        <f>IF($H215="","",INDEX('Detalle individual'!$A:$A,$H215))</f>
        <v/>
      </c>
      <c r="D215" s="5" t="str">
        <f>IF($H215="","",INDEX('Detalle individual'!$E:$E,$H215))</f>
        <v/>
      </c>
      <c r="E215" s="5" t="str">
        <f>IF($H215="","",INDEX('Detalle individual'!$C:$C,$H215))</f>
        <v/>
      </c>
      <c r="F215" s="5" t="str">
        <f>IF($H215="","",INDEX('Detalle individual'!$D:$D,$H215))</f>
        <v/>
      </c>
      <c r="G215" s="5" t="str">
        <f>IF($H215="","",INDEX('Detalle individual'!$F:$F,$H215))</f>
        <v/>
      </c>
      <c r="H215" t="str">
        <f>IFERROR(MATCH(SMALL(Cálculos!$AJ$5:$AJ$1000,211),Cálculos!$AJ$5:$AJ$1000,0)+4,"")</f>
        <v/>
      </c>
    </row>
    <row r="216">
      <c r="B216" s="5" t="str">
        <f>IF($H216="","",INDEX('Detalle individual'!$B:$B,$H216))</f>
        <v/>
      </c>
      <c r="C216" s="5" t="str">
        <f>IF($H216="","",INDEX('Detalle individual'!$A:$A,$H216))</f>
        <v/>
      </c>
      <c r="D216" s="5" t="str">
        <f>IF($H216="","",INDEX('Detalle individual'!$E:$E,$H216))</f>
        <v/>
      </c>
      <c r="E216" s="5" t="str">
        <f>IF($H216="","",INDEX('Detalle individual'!$C:$C,$H216))</f>
        <v/>
      </c>
      <c r="F216" s="5" t="str">
        <f>IF($H216="","",INDEX('Detalle individual'!$D:$D,$H216))</f>
        <v/>
      </c>
      <c r="G216" s="5" t="str">
        <f>IF($H216="","",INDEX('Detalle individual'!$F:$F,$H216))</f>
        <v/>
      </c>
      <c r="H216" t="str">
        <f>IFERROR(MATCH(SMALL(Cálculos!$AJ$5:$AJ$1000,212),Cálculos!$AJ$5:$AJ$1000,0)+4,"")</f>
        <v/>
      </c>
    </row>
    <row r="217">
      <c r="B217" s="5" t="str">
        <f>IF($H217="","",INDEX('Detalle individual'!$B:$B,$H217))</f>
        <v/>
      </c>
      <c r="C217" s="5" t="str">
        <f>IF($H217="","",INDEX('Detalle individual'!$A:$A,$H217))</f>
        <v/>
      </c>
      <c r="D217" s="5" t="str">
        <f>IF($H217="","",INDEX('Detalle individual'!$E:$E,$H217))</f>
        <v/>
      </c>
      <c r="E217" s="5" t="str">
        <f>IF($H217="","",INDEX('Detalle individual'!$C:$C,$H217))</f>
        <v/>
      </c>
      <c r="F217" s="5" t="str">
        <f>IF($H217="","",INDEX('Detalle individual'!$D:$D,$H217))</f>
        <v/>
      </c>
      <c r="G217" s="5" t="str">
        <f>IF($H217="","",INDEX('Detalle individual'!$F:$F,$H217))</f>
        <v/>
      </c>
      <c r="H217" t="str">
        <f>IFERROR(MATCH(SMALL(Cálculos!$AJ$5:$AJ$1000,213),Cálculos!$AJ$5:$AJ$1000,0)+4,"")</f>
        <v/>
      </c>
    </row>
    <row r="218">
      <c r="B218" s="5" t="str">
        <f>IF($H218="","",INDEX('Detalle individual'!$B:$B,$H218))</f>
        <v/>
      </c>
      <c r="C218" s="5" t="str">
        <f>IF($H218="","",INDEX('Detalle individual'!$A:$A,$H218))</f>
        <v/>
      </c>
      <c r="D218" s="5" t="str">
        <f>IF($H218="","",INDEX('Detalle individual'!$E:$E,$H218))</f>
        <v/>
      </c>
      <c r="E218" s="5" t="str">
        <f>IF($H218="","",INDEX('Detalle individual'!$C:$C,$H218))</f>
        <v/>
      </c>
      <c r="F218" s="5" t="str">
        <f>IF($H218="","",INDEX('Detalle individual'!$D:$D,$H218))</f>
        <v/>
      </c>
      <c r="G218" s="5" t="str">
        <f>IF($H218="","",INDEX('Detalle individual'!$F:$F,$H218))</f>
        <v/>
      </c>
      <c r="H218" t="str">
        <f>IFERROR(MATCH(SMALL(Cálculos!$AJ$5:$AJ$1000,214),Cálculos!$AJ$5:$AJ$1000,0)+4,"")</f>
        <v/>
      </c>
    </row>
    <row r="219">
      <c r="B219" s="5" t="str">
        <f>IF($H219="","",INDEX('Detalle individual'!$B:$B,$H219))</f>
        <v/>
      </c>
      <c r="C219" s="5" t="str">
        <f>IF($H219="","",INDEX('Detalle individual'!$A:$A,$H219))</f>
        <v/>
      </c>
      <c r="D219" s="5" t="str">
        <f>IF($H219="","",INDEX('Detalle individual'!$E:$E,$H219))</f>
        <v/>
      </c>
      <c r="E219" s="5" t="str">
        <f>IF($H219="","",INDEX('Detalle individual'!$C:$C,$H219))</f>
        <v/>
      </c>
      <c r="F219" s="5" t="str">
        <f>IF($H219="","",INDEX('Detalle individual'!$D:$D,$H219))</f>
        <v/>
      </c>
      <c r="G219" s="5" t="str">
        <f>IF($H219="","",INDEX('Detalle individual'!$F:$F,$H219))</f>
        <v/>
      </c>
      <c r="H219" t="str">
        <f>IFERROR(MATCH(SMALL(Cálculos!$AJ$5:$AJ$1000,215),Cálculos!$AJ$5:$AJ$1000,0)+4,"")</f>
        <v/>
      </c>
    </row>
    <row r="220">
      <c r="B220" s="5" t="str">
        <f>IF($H220="","",INDEX('Detalle individual'!$B:$B,$H220))</f>
        <v/>
      </c>
      <c r="C220" s="5" t="str">
        <f>IF($H220="","",INDEX('Detalle individual'!$A:$A,$H220))</f>
        <v/>
      </c>
      <c r="D220" s="5" t="str">
        <f>IF($H220="","",INDEX('Detalle individual'!$E:$E,$H220))</f>
        <v/>
      </c>
      <c r="E220" s="5" t="str">
        <f>IF($H220="","",INDEX('Detalle individual'!$C:$C,$H220))</f>
        <v/>
      </c>
      <c r="F220" s="5" t="str">
        <f>IF($H220="","",INDEX('Detalle individual'!$D:$D,$H220))</f>
        <v/>
      </c>
      <c r="G220" s="5" t="str">
        <f>IF($H220="","",INDEX('Detalle individual'!$F:$F,$H220))</f>
        <v/>
      </c>
      <c r="H220" t="str">
        <f>IFERROR(MATCH(SMALL(Cálculos!$AJ$5:$AJ$1000,216),Cálculos!$AJ$5:$AJ$1000,0)+4,"")</f>
        <v/>
      </c>
    </row>
    <row r="221">
      <c r="B221" s="5" t="str">
        <f>IF($H221="","",INDEX('Detalle individual'!$B:$B,$H221))</f>
        <v/>
      </c>
      <c r="C221" s="5" t="str">
        <f>IF($H221="","",INDEX('Detalle individual'!$A:$A,$H221))</f>
        <v/>
      </c>
      <c r="D221" s="5" t="str">
        <f>IF($H221="","",INDEX('Detalle individual'!$E:$E,$H221))</f>
        <v/>
      </c>
      <c r="E221" s="5" t="str">
        <f>IF($H221="","",INDEX('Detalle individual'!$C:$C,$H221))</f>
        <v/>
      </c>
      <c r="F221" s="5" t="str">
        <f>IF($H221="","",INDEX('Detalle individual'!$D:$D,$H221))</f>
        <v/>
      </c>
      <c r="G221" s="5" t="str">
        <f>IF($H221="","",INDEX('Detalle individual'!$F:$F,$H221))</f>
        <v/>
      </c>
      <c r="H221" t="str">
        <f>IFERROR(MATCH(SMALL(Cálculos!$AJ$5:$AJ$1000,217),Cálculos!$AJ$5:$AJ$1000,0)+4,"")</f>
        <v/>
      </c>
    </row>
    <row r="222">
      <c r="B222" s="5" t="str">
        <f>IF($H222="","",INDEX('Detalle individual'!$B:$B,$H222))</f>
        <v/>
      </c>
      <c r="C222" s="5" t="str">
        <f>IF($H222="","",INDEX('Detalle individual'!$A:$A,$H222))</f>
        <v/>
      </c>
      <c r="D222" s="5" t="str">
        <f>IF($H222="","",INDEX('Detalle individual'!$E:$E,$H222))</f>
        <v/>
      </c>
      <c r="E222" s="5" t="str">
        <f>IF($H222="","",INDEX('Detalle individual'!$C:$C,$H222))</f>
        <v/>
      </c>
      <c r="F222" s="5" t="str">
        <f>IF($H222="","",INDEX('Detalle individual'!$D:$D,$H222))</f>
        <v/>
      </c>
      <c r="G222" s="5" t="str">
        <f>IF($H222="","",INDEX('Detalle individual'!$F:$F,$H222))</f>
        <v/>
      </c>
      <c r="H222" t="str">
        <f>IFERROR(MATCH(SMALL(Cálculos!$AJ$5:$AJ$1000,218),Cálculos!$AJ$5:$AJ$1000,0)+4,"")</f>
        <v/>
      </c>
    </row>
    <row r="223">
      <c r="B223" s="5" t="str">
        <f>IF($H223="","",INDEX('Detalle individual'!$B:$B,$H223))</f>
        <v/>
      </c>
      <c r="C223" s="5" t="str">
        <f>IF($H223="","",INDEX('Detalle individual'!$A:$A,$H223))</f>
        <v/>
      </c>
      <c r="D223" s="5" t="str">
        <f>IF($H223="","",INDEX('Detalle individual'!$E:$E,$H223))</f>
        <v/>
      </c>
      <c r="E223" s="5" t="str">
        <f>IF($H223="","",INDEX('Detalle individual'!$C:$C,$H223))</f>
        <v/>
      </c>
      <c r="F223" s="5" t="str">
        <f>IF($H223="","",INDEX('Detalle individual'!$D:$D,$H223))</f>
        <v/>
      </c>
      <c r="G223" s="5" t="str">
        <f>IF($H223="","",INDEX('Detalle individual'!$F:$F,$H223))</f>
        <v/>
      </c>
      <c r="H223" t="str">
        <f>IFERROR(MATCH(SMALL(Cálculos!$AJ$5:$AJ$1000,219),Cálculos!$AJ$5:$AJ$1000,0)+4,"")</f>
        <v/>
      </c>
    </row>
    <row r="224">
      <c r="B224" s="5" t="str">
        <f>IF($H224="","",INDEX('Detalle individual'!$B:$B,$H224))</f>
        <v/>
      </c>
      <c r="C224" s="5" t="str">
        <f>IF($H224="","",INDEX('Detalle individual'!$A:$A,$H224))</f>
        <v/>
      </c>
      <c r="D224" s="5" t="str">
        <f>IF($H224="","",INDEX('Detalle individual'!$E:$E,$H224))</f>
        <v/>
      </c>
      <c r="E224" s="5" t="str">
        <f>IF($H224="","",INDEX('Detalle individual'!$C:$C,$H224))</f>
        <v/>
      </c>
      <c r="F224" s="5" t="str">
        <f>IF($H224="","",INDEX('Detalle individual'!$D:$D,$H224))</f>
        <v/>
      </c>
      <c r="G224" s="5" t="str">
        <f>IF($H224="","",INDEX('Detalle individual'!$F:$F,$H224))</f>
        <v/>
      </c>
      <c r="H224" t="str">
        <f>IFERROR(MATCH(SMALL(Cálculos!$AJ$5:$AJ$1000,220),Cálculos!$AJ$5:$AJ$1000,0)+4,"")</f>
        <v/>
      </c>
    </row>
    <row r="225">
      <c r="B225" s="5" t="str">
        <f>IF($H225="","",INDEX('Detalle individual'!$B:$B,$H225))</f>
        <v/>
      </c>
      <c r="C225" s="5" t="str">
        <f>IF($H225="","",INDEX('Detalle individual'!$A:$A,$H225))</f>
        <v/>
      </c>
      <c r="D225" s="5" t="str">
        <f>IF($H225="","",INDEX('Detalle individual'!$E:$E,$H225))</f>
        <v/>
      </c>
      <c r="E225" s="5" t="str">
        <f>IF($H225="","",INDEX('Detalle individual'!$C:$C,$H225))</f>
        <v/>
      </c>
      <c r="F225" s="5" t="str">
        <f>IF($H225="","",INDEX('Detalle individual'!$D:$D,$H225))</f>
        <v/>
      </c>
      <c r="G225" s="5" t="str">
        <f>IF($H225="","",INDEX('Detalle individual'!$F:$F,$H225))</f>
        <v/>
      </c>
      <c r="H225" t="str">
        <f>IFERROR(MATCH(SMALL(Cálculos!$AJ$5:$AJ$1000,221),Cálculos!$AJ$5:$AJ$1000,0)+4,"")</f>
        <v/>
      </c>
    </row>
    <row r="226">
      <c r="B226" s="5" t="str">
        <f>IF($H226="","",INDEX('Detalle individual'!$B:$B,$H226))</f>
        <v/>
      </c>
      <c r="C226" s="5" t="str">
        <f>IF($H226="","",INDEX('Detalle individual'!$A:$A,$H226))</f>
        <v/>
      </c>
      <c r="D226" s="5" t="str">
        <f>IF($H226="","",INDEX('Detalle individual'!$E:$E,$H226))</f>
        <v/>
      </c>
      <c r="E226" s="5" t="str">
        <f>IF($H226="","",INDEX('Detalle individual'!$C:$C,$H226))</f>
        <v/>
      </c>
      <c r="F226" s="5" t="str">
        <f>IF($H226="","",INDEX('Detalle individual'!$D:$D,$H226))</f>
        <v/>
      </c>
      <c r="G226" s="5" t="str">
        <f>IF($H226="","",INDEX('Detalle individual'!$F:$F,$H226))</f>
        <v/>
      </c>
      <c r="H226" t="str">
        <f>IFERROR(MATCH(SMALL(Cálculos!$AJ$5:$AJ$1000,222),Cálculos!$AJ$5:$AJ$1000,0)+4,"")</f>
        <v/>
      </c>
    </row>
    <row r="227">
      <c r="B227" s="5" t="str">
        <f>IF($H227="","",INDEX('Detalle individual'!$B:$B,$H227))</f>
        <v/>
      </c>
      <c r="C227" s="5" t="str">
        <f>IF($H227="","",INDEX('Detalle individual'!$A:$A,$H227))</f>
        <v/>
      </c>
      <c r="D227" s="5" t="str">
        <f>IF($H227="","",INDEX('Detalle individual'!$E:$E,$H227))</f>
        <v/>
      </c>
      <c r="E227" s="5" t="str">
        <f>IF($H227="","",INDEX('Detalle individual'!$C:$C,$H227))</f>
        <v/>
      </c>
      <c r="F227" s="5" t="str">
        <f>IF($H227="","",INDEX('Detalle individual'!$D:$D,$H227))</f>
        <v/>
      </c>
      <c r="G227" s="5" t="str">
        <f>IF($H227="","",INDEX('Detalle individual'!$F:$F,$H227))</f>
        <v/>
      </c>
      <c r="H227" t="str">
        <f>IFERROR(MATCH(SMALL(Cálculos!$AJ$5:$AJ$1000,223),Cálculos!$AJ$5:$AJ$1000,0)+4,"")</f>
        <v/>
      </c>
    </row>
    <row r="228">
      <c r="B228" s="5" t="str">
        <f>IF($H228="","",INDEX('Detalle individual'!$B:$B,$H228))</f>
        <v/>
      </c>
      <c r="C228" s="5" t="str">
        <f>IF($H228="","",INDEX('Detalle individual'!$A:$A,$H228))</f>
        <v/>
      </c>
      <c r="D228" s="5" t="str">
        <f>IF($H228="","",INDEX('Detalle individual'!$E:$E,$H228))</f>
        <v/>
      </c>
      <c r="E228" s="5" t="str">
        <f>IF($H228="","",INDEX('Detalle individual'!$C:$C,$H228))</f>
        <v/>
      </c>
      <c r="F228" s="5" t="str">
        <f>IF($H228="","",INDEX('Detalle individual'!$D:$D,$H228))</f>
        <v/>
      </c>
      <c r="G228" s="5" t="str">
        <f>IF($H228="","",INDEX('Detalle individual'!$F:$F,$H228))</f>
        <v/>
      </c>
      <c r="H228" t="str">
        <f>IFERROR(MATCH(SMALL(Cálculos!$AJ$5:$AJ$1000,224),Cálculos!$AJ$5:$AJ$1000,0)+4,"")</f>
        <v/>
      </c>
    </row>
    <row r="229">
      <c r="B229" s="5" t="str">
        <f>IF($H229="","",INDEX('Detalle individual'!$B:$B,$H229))</f>
        <v/>
      </c>
      <c r="C229" s="5" t="str">
        <f>IF($H229="","",INDEX('Detalle individual'!$A:$A,$H229))</f>
        <v/>
      </c>
      <c r="D229" s="5" t="str">
        <f>IF($H229="","",INDEX('Detalle individual'!$E:$E,$H229))</f>
        <v/>
      </c>
      <c r="E229" s="5" t="str">
        <f>IF($H229="","",INDEX('Detalle individual'!$C:$C,$H229))</f>
        <v/>
      </c>
      <c r="F229" s="5" t="str">
        <f>IF($H229="","",INDEX('Detalle individual'!$D:$D,$H229))</f>
        <v/>
      </c>
      <c r="G229" s="5" t="str">
        <f>IF($H229="","",INDEX('Detalle individual'!$F:$F,$H229))</f>
        <v/>
      </c>
      <c r="H229" t="str">
        <f>IFERROR(MATCH(SMALL(Cálculos!$AJ$5:$AJ$1000,225),Cálculos!$AJ$5:$AJ$1000,0)+4,"")</f>
        <v/>
      </c>
    </row>
    <row r="230">
      <c r="B230" s="5" t="str">
        <f>IF($H230="","",INDEX('Detalle individual'!$B:$B,$H230))</f>
        <v/>
      </c>
      <c r="C230" s="5" t="str">
        <f>IF($H230="","",INDEX('Detalle individual'!$A:$A,$H230))</f>
        <v/>
      </c>
      <c r="D230" s="5" t="str">
        <f>IF($H230="","",INDEX('Detalle individual'!$E:$E,$H230))</f>
        <v/>
      </c>
      <c r="E230" s="5" t="str">
        <f>IF($H230="","",INDEX('Detalle individual'!$C:$C,$H230))</f>
        <v/>
      </c>
      <c r="F230" s="5" t="str">
        <f>IF($H230="","",INDEX('Detalle individual'!$D:$D,$H230))</f>
        <v/>
      </c>
      <c r="G230" s="5" t="str">
        <f>IF($H230="","",INDEX('Detalle individual'!$F:$F,$H230))</f>
        <v/>
      </c>
      <c r="H230" t="str">
        <f>IFERROR(MATCH(SMALL(Cálculos!$AJ$5:$AJ$1000,226),Cálculos!$AJ$5:$AJ$1000,0)+4,"")</f>
        <v/>
      </c>
    </row>
    <row r="231">
      <c r="B231" s="5" t="str">
        <f>IF($H231="","",INDEX('Detalle individual'!$B:$B,$H231))</f>
        <v/>
      </c>
      <c r="C231" s="5" t="str">
        <f>IF($H231="","",INDEX('Detalle individual'!$A:$A,$H231))</f>
        <v/>
      </c>
      <c r="D231" s="5" t="str">
        <f>IF($H231="","",INDEX('Detalle individual'!$E:$E,$H231))</f>
        <v/>
      </c>
      <c r="E231" s="5" t="str">
        <f>IF($H231="","",INDEX('Detalle individual'!$C:$C,$H231))</f>
        <v/>
      </c>
      <c r="F231" s="5" t="str">
        <f>IF($H231="","",INDEX('Detalle individual'!$D:$D,$H231))</f>
        <v/>
      </c>
      <c r="G231" s="5" t="str">
        <f>IF($H231="","",INDEX('Detalle individual'!$F:$F,$H231))</f>
        <v/>
      </c>
      <c r="H231" t="str">
        <f>IFERROR(MATCH(SMALL(Cálculos!$AJ$5:$AJ$1000,227),Cálculos!$AJ$5:$AJ$1000,0)+4,"")</f>
        <v/>
      </c>
    </row>
    <row r="232">
      <c r="B232" s="5" t="str">
        <f>IF($H232="","",INDEX('Detalle individual'!$B:$B,$H232))</f>
        <v/>
      </c>
      <c r="C232" s="5" t="str">
        <f>IF($H232="","",INDEX('Detalle individual'!$A:$A,$H232))</f>
        <v/>
      </c>
      <c r="D232" s="5" t="str">
        <f>IF($H232="","",INDEX('Detalle individual'!$E:$E,$H232))</f>
        <v/>
      </c>
      <c r="E232" s="5" t="str">
        <f>IF($H232="","",INDEX('Detalle individual'!$C:$C,$H232))</f>
        <v/>
      </c>
      <c r="F232" s="5" t="str">
        <f>IF($H232="","",INDEX('Detalle individual'!$D:$D,$H232))</f>
        <v/>
      </c>
      <c r="G232" s="5" t="str">
        <f>IF($H232="","",INDEX('Detalle individual'!$F:$F,$H232))</f>
        <v/>
      </c>
      <c r="H232" t="str">
        <f>IFERROR(MATCH(SMALL(Cálculos!$AJ$5:$AJ$1000,228),Cálculos!$AJ$5:$AJ$1000,0)+4,"")</f>
        <v/>
      </c>
    </row>
    <row r="233">
      <c r="B233" s="5" t="str">
        <f>IF($H233="","",INDEX('Detalle individual'!$B:$B,$H233))</f>
        <v/>
      </c>
      <c r="C233" s="5" t="str">
        <f>IF($H233="","",INDEX('Detalle individual'!$A:$A,$H233))</f>
        <v/>
      </c>
      <c r="D233" s="5" t="str">
        <f>IF($H233="","",INDEX('Detalle individual'!$E:$E,$H233))</f>
        <v/>
      </c>
      <c r="E233" s="5" t="str">
        <f>IF($H233="","",INDEX('Detalle individual'!$C:$C,$H233))</f>
        <v/>
      </c>
      <c r="F233" s="5" t="str">
        <f>IF($H233="","",INDEX('Detalle individual'!$D:$D,$H233))</f>
        <v/>
      </c>
      <c r="G233" s="5" t="str">
        <f>IF($H233="","",INDEX('Detalle individual'!$F:$F,$H233))</f>
        <v/>
      </c>
      <c r="H233" t="str">
        <f>IFERROR(MATCH(SMALL(Cálculos!$AJ$5:$AJ$1000,229),Cálculos!$AJ$5:$AJ$1000,0)+4,"")</f>
        <v/>
      </c>
    </row>
    <row r="234">
      <c r="B234" s="5" t="str">
        <f>IF($H234="","",INDEX('Detalle individual'!$B:$B,$H234))</f>
        <v/>
      </c>
      <c r="C234" s="5" t="str">
        <f>IF($H234="","",INDEX('Detalle individual'!$A:$A,$H234))</f>
        <v/>
      </c>
      <c r="D234" s="5" t="str">
        <f>IF($H234="","",INDEX('Detalle individual'!$E:$E,$H234))</f>
        <v/>
      </c>
      <c r="E234" s="5" t="str">
        <f>IF($H234="","",INDEX('Detalle individual'!$C:$C,$H234))</f>
        <v/>
      </c>
      <c r="F234" s="5" t="str">
        <f>IF($H234="","",INDEX('Detalle individual'!$D:$D,$H234))</f>
        <v/>
      </c>
      <c r="G234" s="5" t="str">
        <f>IF($H234="","",INDEX('Detalle individual'!$F:$F,$H234))</f>
        <v/>
      </c>
      <c r="H234" t="str">
        <f>IFERROR(MATCH(SMALL(Cálculos!$AJ$5:$AJ$1000,230),Cálculos!$AJ$5:$AJ$1000,0)+4,"")</f>
        <v/>
      </c>
    </row>
    <row r="235">
      <c r="B235" s="5" t="str">
        <f>IF($H235="","",INDEX('Detalle individual'!$B:$B,$H235))</f>
        <v/>
      </c>
      <c r="C235" s="5" t="str">
        <f>IF($H235="","",INDEX('Detalle individual'!$A:$A,$H235))</f>
        <v/>
      </c>
      <c r="D235" s="5" t="str">
        <f>IF($H235="","",INDEX('Detalle individual'!$E:$E,$H235))</f>
        <v/>
      </c>
      <c r="E235" s="5" t="str">
        <f>IF($H235="","",INDEX('Detalle individual'!$C:$C,$H235))</f>
        <v/>
      </c>
      <c r="F235" s="5" t="str">
        <f>IF($H235="","",INDEX('Detalle individual'!$D:$D,$H235))</f>
        <v/>
      </c>
      <c r="G235" s="5" t="str">
        <f>IF($H235="","",INDEX('Detalle individual'!$F:$F,$H235))</f>
        <v/>
      </c>
      <c r="H235" t="str">
        <f>IFERROR(MATCH(SMALL(Cálculos!$AJ$5:$AJ$1000,231),Cálculos!$AJ$5:$AJ$1000,0)+4,"")</f>
        <v/>
      </c>
    </row>
    <row r="236">
      <c r="B236" s="5" t="str">
        <f>IF($H236="","",INDEX('Detalle individual'!$B:$B,$H236))</f>
        <v/>
      </c>
      <c r="C236" s="5" t="str">
        <f>IF($H236="","",INDEX('Detalle individual'!$A:$A,$H236))</f>
        <v/>
      </c>
      <c r="D236" s="5" t="str">
        <f>IF($H236="","",INDEX('Detalle individual'!$E:$E,$H236))</f>
        <v/>
      </c>
      <c r="E236" s="5" t="str">
        <f>IF($H236="","",INDEX('Detalle individual'!$C:$C,$H236))</f>
        <v/>
      </c>
      <c r="F236" s="5" t="str">
        <f>IF($H236="","",INDEX('Detalle individual'!$D:$D,$H236))</f>
        <v/>
      </c>
      <c r="G236" s="5" t="str">
        <f>IF($H236="","",INDEX('Detalle individual'!$F:$F,$H236))</f>
        <v/>
      </c>
      <c r="H236" t="str">
        <f>IFERROR(MATCH(SMALL(Cálculos!$AJ$5:$AJ$1000,232),Cálculos!$AJ$5:$AJ$1000,0)+4,"")</f>
        <v/>
      </c>
    </row>
    <row r="237">
      <c r="B237" s="5" t="str">
        <f>IF($H237="","",INDEX('Detalle individual'!$B:$B,$H237))</f>
        <v/>
      </c>
      <c r="C237" s="5" t="str">
        <f>IF($H237="","",INDEX('Detalle individual'!$A:$A,$H237))</f>
        <v/>
      </c>
      <c r="D237" s="5" t="str">
        <f>IF($H237="","",INDEX('Detalle individual'!$E:$E,$H237))</f>
        <v/>
      </c>
      <c r="E237" s="5" t="str">
        <f>IF($H237="","",INDEX('Detalle individual'!$C:$C,$H237))</f>
        <v/>
      </c>
      <c r="F237" s="5" t="str">
        <f>IF($H237="","",INDEX('Detalle individual'!$D:$D,$H237))</f>
        <v/>
      </c>
      <c r="G237" s="5" t="str">
        <f>IF($H237="","",INDEX('Detalle individual'!$F:$F,$H237))</f>
        <v/>
      </c>
      <c r="H237" t="str">
        <f>IFERROR(MATCH(SMALL(Cálculos!$AJ$5:$AJ$1000,233),Cálculos!$AJ$5:$AJ$1000,0)+4,"")</f>
        <v/>
      </c>
    </row>
    <row r="238">
      <c r="B238" s="5" t="str">
        <f>IF($H238="","",INDEX('Detalle individual'!$B:$B,$H238))</f>
        <v/>
      </c>
      <c r="C238" s="5" t="str">
        <f>IF($H238="","",INDEX('Detalle individual'!$A:$A,$H238))</f>
        <v/>
      </c>
      <c r="D238" s="5" t="str">
        <f>IF($H238="","",INDEX('Detalle individual'!$E:$E,$H238))</f>
        <v/>
      </c>
      <c r="E238" s="5" t="str">
        <f>IF($H238="","",INDEX('Detalle individual'!$C:$C,$H238))</f>
        <v/>
      </c>
      <c r="F238" s="5" t="str">
        <f>IF($H238="","",INDEX('Detalle individual'!$D:$D,$H238))</f>
        <v/>
      </c>
      <c r="G238" s="5" t="str">
        <f>IF($H238="","",INDEX('Detalle individual'!$F:$F,$H238))</f>
        <v/>
      </c>
      <c r="H238" t="str">
        <f>IFERROR(MATCH(SMALL(Cálculos!$AJ$5:$AJ$1000,234),Cálculos!$AJ$5:$AJ$1000,0)+4,"")</f>
        <v/>
      </c>
    </row>
    <row r="239">
      <c r="B239" s="5" t="str">
        <f>IF($H239="","",INDEX('Detalle individual'!$B:$B,$H239))</f>
        <v/>
      </c>
      <c r="C239" s="5" t="str">
        <f>IF($H239="","",INDEX('Detalle individual'!$A:$A,$H239))</f>
        <v/>
      </c>
      <c r="D239" s="5" t="str">
        <f>IF($H239="","",INDEX('Detalle individual'!$E:$E,$H239))</f>
        <v/>
      </c>
      <c r="E239" s="5" t="str">
        <f>IF($H239="","",INDEX('Detalle individual'!$C:$C,$H239))</f>
        <v/>
      </c>
      <c r="F239" s="5" t="str">
        <f>IF($H239="","",INDEX('Detalle individual'!$D:$D,$H239))</f>
        <v/>
      </c>
      <c r="G239" s="5" t="str">
        <f>IF($H239="","",INDEX('Detalle individual'!$F:$F,$H239))</f>
        <v/>
      </c>
      <c r="H239" t="str">
        <f>IFERROR(MATCH(SMALL(Cálculos!$AJ$5:$AJ$1000,235),Cálculos!$AJ$5:$AJ$1000,0)+4,"")</f>
        <v/>
      </c>
    </row>
    <row r="240">
      <c r="B240" s="5" t="str">
        <f>IF($H240="","",INDEX('Detalle individual'!$B:$B,$H240))</f>
        <v/>
      </c>
      <c r="C240" s="5" t="str">
        <f>IF($H240="","",INDEX('Detalle individual'!$A:$A,$H240))</f>
        <v/>
      </c>
      <c r="D240" s="5" t="str">
        <f>IF($H240="","",INDEX('Detalle individual'!$E:$E,$H240))</f>
        <v/>
      </c>
      <c r="E240" s="5" t="str">
        <f>IF($H240="","",INDEX('Detalle individual'!$C:$C,$H240))</f>
        <v/>
      </c>
      <c r="F240" s="5" t="str">
        <f>IF($H240="","",INDEX('Detalle individual'!$D:$D,$H240))</f>
        <v/>
      </c>
      <c r="G240" s="5" t="str">
        <f>IF($H240="","",INDEX('Detalle individual'!$F:$F,$H240))</f>
        <v/>
      </c>
      <c r="H240" t="str">
        <f>IFERROR(MATCH(SMALL(Cálculos!$AJ$5:$AJ$1000,236),Cálculos!$AJ$5:$AJ$1000,0)+4,"")</f>
        <v/>
      </c>
    </row>
    <row r="241">
      <c r="B241" s="5" t="str">
        <f>IF($H241="","",INDEX('Detalle individual'!$B:$B,$H241))</f>
        <v/>
      </c>
      <c r="C241" s="5" t="str">
        <f>IF($H241="","",INDEX('Detalle individual'!$A:$A,$H241))</f>
        <v/>
      </c>
      <c r="D241" s="5" t="str">
        <f>IF($H241="","",INDEX('Detalle individual'!$E:$E,$H241))</f>
        <v/>
      </c>
      <c r="E241" s="5" t="str">
        <f>IF($H241="","",INDEX('Detalle individual'!$C:$C,$H241))</f>
        <v/>
      </c>
      <c r="F241" s="5" t="str">
        <f>IF($H241="","",INDEX('Detalle individual'!$D:$D,$H241))</f>
        <v/>
      </c>
      <c r="G241" s="5" t="str">
        <f>IF($H241="","",INDEX('Detalle individual'!$F:$F,$H241))</f>
        <v/>
      </c>
      <c r="H241" t="str">
        <f>IFERROR(MATCH(SMALL(Cálculos!$AJ$5:$AJ$1000,237),Cálculos!$AJ$5:$AJ$1000,0)+4,"")</f>
        <v/>
      </c>
    </row>
    <row r="242">
      <c r="B242" s="5" t="str">
        <f>IF($H242="","",INDEX('Detalle individual'!$B:$B,$H242))</f>
        <v/>
      </c>
      <c r="C242" s="5" t="str">
        <f>IF($H242="","",INDEX('Detalle individual'!$A:$A,$H242))</f>
        <v/>
      </c>
      <c r="D242" s="5" t="str">
        <f>IF($H242="","",INDEX('Detalle individual'!$E:$E,$H242))</f>
        <v/>
      </c>
      <c r="E242" s="5" t="str">
        <f>IF($H242="","",INDEX('Detalle individual'!$C:$C,$H242))</f>
        <v/>
      </c>
      <c r="F242" s="5" t="str">
        <f>IF($H242="","",INDEX('Detalle individual'!$D:$D,$H242))</f>
        <v/>
      </c>
      <c r="G242" s="5" t="str">
        <f>IF($H242="","",INDEX('Detalle individual'!$F:$F,$H242))</f>
        <v/>
      </c>
      <c r="H242" t="str">
        <f>IFERROR(MATCH(SMALL(Cálculos!$AJ$5:$AJ$1000,238),Cálculos!$AJ$5:$AJ$1000,0)+4,"")</f>
        <v/>
      </c>
    </row>
    <row r="243">
      <c r="B243" s="5" t="str">
        <f>IF($H243="","",INDEX('Detalle individual'!$B:$B,$H243))</f>
        <v/>
      </c>
      <c r="C243" s="5" t="str">
        <f>IF($H243="","",INDEX('Detalle individual'!$A:$A,$H243))</f>
        <v/>
      </c>
      <c r="D243" s="5" t="str">
        <f>IF($H243="","",INDEX('Detalle individual'!$E:$E,$H243))</f>
        <v/>
      </c>
      <c r="E243" s="5" t="str">
        <f>IF($H243="","",INDEX('Detalle individual'!$C:$C,$H243))</f>
        <v/>
      </c>
      <c r="F243" s="5" t="str">
        <f>IF($H243="","",INDEX('Detalle individual'!$D:$D,$H243))</f>
        <v/>
      </c>
      <c r="G243" s="5" t="str">
        <f>IF($H243="","",INDEX('Detalle individual'!$F:$F,$H243))</f>
        <v/>
      </c>
      <c r="H243" t="str">
        <f>IFERROR(MATCH(SMALL(Cálculos!$AJ$5:$AJ$1000,239),Cálculos!$AJ$5:$AJ$1000,0)+4,"")</f>
        <v/>
      </c>
    </row>
    <row r="244">
      <c r="B244" s="5" t="str">
        <f>IF($H244="","",INDEX('Detalle individual'!$B:$B,$H244))</f>
        <v/>
      </c>
      <c r="C244" s="5" t="str">
        <f>IF($H244="","",INDEX('Detalle individual'!$A:$A,$H244))</f>
        <v/>
      </c>
      <c r="D244" s="5" t="str">
        <f>IF($H244="","",INDEX('Detalle individual'!$E:$E,$H244))</f>
        <v/>
      </c>
      <c r="E244" s="5" t="str">
        <f>IF($H244="","",INDEX('Detalle individual'!$C:$C,$H244))</f>
        <v/>
      </c>
      <c r="F244" s="5" t="str">
        <f>IF($H244="","",INDEX('Detalle individual'!$D:$D,$H244))</f>
        <v/>
      </c>
      <c r="G244" s="5" t="str">
        <f>IF($H244="","",INDEX('Detalle individual'!$F:$F,$H244))</f>
        <v/>
      </c>
      <c r="H244" t="str">
        <f>IFERROR(MATCH(SMALL(Cálculos!$AJ$5:$AJ$1000,240),Cálculos!$AJ$5:$AJ$1000,0)+4,"")</f>
        <v/>
      </c>
    </row>
    <row r="245">
      <c r="B245" s="5" t="str">
        <f>IF($H245="","",INDEX('Detalle individual'!$B:$B,$H245))</f>
        <v/>
      </c>
      <c r="C245" s="5" t="str">
        <f>IF($H245="","",INDEX('Detalle individual'!$A:$A,$H245))</f>
        <v/>
      </c>
      <c r="D245" s="5" t="str">
        <f>IF($H245="","",INDEX('Detalle individual'!$E:$E,$H245))</f>
        <v/>
      </c>
      <c r="E245" s="5" t="str">
        <f>IF($H245="","",INDEX('Detalle individual'!$C:$C,$H245))</f>
        <v/>
      </c>
      <c r="F245" s="5" t="str">
        <f>IF($H245="","",INDEX('Detalle individual'!$D:$D,$H245))</f>
        <v/>
      </c>
      <c r="G245" s="5" t="str">
        <f>IF($H245="","",INDEX('Detalle individual'!$F:$F,$H245))</f>
        <v/>
      </c>
      <c r="H245" t="str">
        <f>IFERROR(MATCH(SMALL(Cálculos!$AJ$5:$AJ$1000,241),Cálculos!$AJ$5:$AJ$1000,0)+4,"")</f>
        <v/>
      </c>
    </row>
    <row r="246">
      <c r="B246" s="5" t="str">
        <f>IF($H246="","",INDEX('Detalle individual'!$B:$B,$H246))</f>
        <v/>
      </c>
      <c r="C246" s="5" t="str">
        <f>IF($H246="","",INDEX('Detalle individual'!$A:$A,$H246))</f>
        <v/>
      </c>
      <c r="D246" s="5" t="str">
        <f>IF($H246="","",INDEX('Detalle individual'!$E:$E,$H246))</f>
        <v/>
      </c>
      <c r="E246" s="5" t="str">
        <f>IF($H246="","",INDEX('Detalle individual'!$C:$C,$H246))</f>
        <v/>
      </c>
      <c r="F246" s="5" t="str">
        <f>IF($H246="","",INDEX('Detalle individual'!$D:$D,$H246))</f>
        <v/>
      </c>
      <c r="G246" s="5" t="str">
        <f>IF($H246="","",INDEX('Detalle individual'!$F:$F,$H246))</f>
        <v/>
      </c>
      <c r="H246" t="str">
        <f>IFERROR(MATCH(SMALL(Cálculos!$AJ$5:$AJ$1000,242),Cálculos!$AJ$5:$AJ$1000,0)+4,"")</f>
        <v/>
      </c>
    </row>
    <row r="247">
      <c r="B247" s="5" t="str">
        <f>IF($H247="","",INDEX('Detalle individual'!$B:$B,$H247))</f>
        <v/>
      </c>
      <c r="C247" s="5" t="str">
        <f>IF($H247="","",INDEX('Detalle individual'!$A:$A,$H247))</f>
        <v/>
      </c>
      <c r="D247" s="5" t="str">
        <f>IF($H247="","",INDEX('Detalle individual'!$E:$E,$H247))</f>
        <v/>
      </c>
      <c r="E247" s="5" t="str">
        <f>IF($H247="","",INDEX('Detalle individual'!$C:$C,$H247))</f>
        <v/>
      </c>
      <c r="F247" s="5" t="str">
        <f>IF($H247="","",INDEX('Detalle individual'!$D:$D,$H247))</f>
        <v/>
      </c>
      <c r="G247" s="5" t="str">
        <f>IF($H247="","",INDEX('Detalle individual'!$F:$F,$H247))</f>
        <v/>
      </c>
      <c r="H247" t="str">
        <f>IFERROR(MATCH(SMALL(Cálculos!$AJ$5:$AJ$1000,243),Cálculos!$AJ$5:$AJ$1000,0)+4,"")</f>
        <v/>
      </c>
    </row>
    <row r="248">
      <c r="B248" s="5" t="str">
        <f>IF($H248="","",INDEX('Detalle individual'!$B:$B,$H248))</f>
        <v/>
      </c>
      <c r="C248" s="5" t="str">
        <f>IF($H248="","",INDEX('Detalle individual'!$A:$A,$H248))</f>
        <v/>
      </c>
      <c r="D248" s="5" t="str">
        <f>IF($H248="","",INDEX('Detalle individual'!$E:$E,$H248))</f>
        <v/>
      </c>
      <c r="E248" s="5" t="str">
        <f>IF($H248="","",INDEX('Detalle individual'!$C:$C,$H248))</f>
        <v/>
      </c>
      <c r="F248" s="5" t="str">
        <f>IF($H248="","",INDEX('Detalle individual'!$D:$D,$H248))</f>
        <v/>
      </c>
      <c r="G248" s="5" t="str">
        <f>IF($H248="","",INDEX('Detalle individual'!$F:$F,$H248))</f>
        <v/>
      </c>
      <c r="H248" t="str">
        <f>IFERROR(MATCH(SMALL(Cálculos!$AJ$5:$AJ$1000,244),Cálculos!$AJ$5:$AJ$1000,0)+4,"")</f>
        <v/>
      </c>
    </row>
    <row r="249">
      <c r="B249" s="5" t="str">
        <f>IF($H249="","",INDEX('Detalle individual'!$B:$B,$H249))</f>
        <v/>
      </c>
      <c r="C249" s="5" t="str">
        <f>IF($H249="","",INDEX('Detalle individual'!$A:$A,$H249))</f>
        <v/>
      </c>
      <c r="D249" s="5" t="str">
        <f>IF($H249="","",INDEX('Detalle individual'!$E:$E,$H249))</f>
        <v/>
      </c>
      <c r="E249" s="5" t="str">
        <f>IF($H249="","",INDEX('Detalle individual'!$C:$C,$H249))</f>
        <v/>
      </c>
      <c r="F249" s="5" t="str">
        <f>IF($H249="","",INDEX('Detalle individual'!$D:$D,$H249))</f>
        <v/>
      </c>
      <c r="G249" s="5" t="str">
        <f>IF($H249="","",INDEX('Detalle individual'!$F:$F,$H249))</f>
        <v/>
      </c>
      <c r="H249" t="str">
        <f>IFERROR(MATCH(SMALL(Cálculos!$AJ$5:$AJ$1000,245),Cálculos!$AJ$5:$AJ$1000,0)+4,"")</f>
        <v/>
      </c>
    </row>
    <row r="250">
      <c r="B250" s="5" t="str">
        <f>IF($H250="","",INDEX('Detalle individual'!$B:$B,$H250))</f>
        <v/>
      </c>
      <c r="C250" s="5" t="str">
        <f>IF($H250="","",INDEX('Detalle individual'!$A:$A,$H250))</f>
        <v/>
      </c>
      <c r="D250" s="5" t="str">
        <f>IF($H250="","",INDEX('Detalle individual'!$E:$E,$H250))</f>
        <v/>
      </c>
      <c r="E250" s="5" t="str">
        <f>IF($H250="","",INDEX('Detalle individual'!$C:$C,$H250))</f>
        <v/>
      </c>
      <c r="F250" s="5" t="str">
        <f>IF($H250="","",INDEX('Detalle individual'!$D:$D,$H250))</f>
        <v/>
      </c>
      <c r="G250" s="5" t="str">
        <f>IF($H250="","",INDEX('Detalle individual'!$F:$F,$H250))</f>
        <v/>
      </c>
      <c r="H250" t="str">
        <f>IFERROR(MATCH(SMALL(Cálculos!$AJ$5:$AJ$1000,246),Cálculos!$AJ$5:$AJ$1000,0)+4,"")</f>
        <v/>
      </c>
    </row>
    <row r="251">
      <c r="B251" s="5" t="str">
        <f>IF($H251="","",INDEX('Detalle individual'!$B:$B,$H251))</f>
        <v/>
      </c>
      <c r="C251" s="5" t="str">
        <f>IF($H251="","",INDEX('Detalle individual'!$A:$A,$H251))</f>
        <v/>
      </c>
      <c r="D251" s="5" t="str">
        <f>IF($H251="","",INDEX('Detalle individual'!$E:$E,$H251))</f>
        <v/>
      </c>
      <c r="E251" s="5" t="str">
        <f>IF($H251="","",INDEX('Detalle individual'!$C:$C,$H251))</f>
        <v/>
      </c>
      <c r="F251" s="5" t="str">
        <f>IF($H251="","",INDEX('Detalle individual'!$D:$D,$H251))</f>
        <v/>
      </c>
      <c r="G251" s="5" t="str">
        <f>IF($H251="","",INDEX('Detalle individual'!$F:$F,$H251))</f>
        <v/>
      </c>
      <c r="H251" t="str">
        <f>IFERROR(MATCH(SMALL(Cálculos!$AJ$5:$AJ$1000,247),Cálculos!$AJ$5:$AJ$1000,0)+4,"")</f>
        <v/>
      </c>
    </row>
    <row r="252">
      <c r="B252" s="5" t="str">
        <f>IF($H252="","",INDEX('Detalle individual'!$B:$B,$H252))</f>
        <v/>
      </c>
      <c r="C252" s="5" t="str">
        <f>IF($H252="","",INDEX('Detalle individual'!$A:$A,$H252))</f>
        <v/>
      </c>
      <c r="D252" s="5" t="str">
        <f>IF($H252="","",INDEX('Detalle individual'!$E:$E,$H252))</f>
        <v/>
      </c>
      <c r="E252" s="5" t="str">
        <f>IF($H252="","",INDEX('Detalle individual'!$C:$C,$H252))</f>
        <v/>
      </c>
      <c r="F252" s="5" t="str">
        <f>IF($H252="","",INDEX('Detalle individual'!$D:$D,$H252))</f>
        <v/>
      </c>
      <c r="G252" s="5" t="str">
        <f>IF($H252="","",INDEX('Detalle individual'!$F:$F,$H252))</f>
        <v/>
      </c>
      <c r="H252" t="str">
        <f>IFERROR(MATCH(SMALL(Cálculos!$AJ$5:$AJ$1000,248),Cálculos!$AJ$5:$AJ$1000,0)+4,"")</f>
        <v/>
      </c>
    </row>
    <row r="253">
      <c r="B253" s="5" t="str">
        <f>IF($H253="","",INDEX('Detalle individual'!$B:$B,$H253))</f>
        <v/>
      </c>
      <c r="C253" s="5" t="str">
        <f>IF($H253="","",INDEX('Detalle individual'!$A:$A,$H253))</f>
        <v/>
      </c>
      <c r="D253" s="5" t="str">
        <f>IF($H253="","",INDEX('Detalle individual'!$E:$E,$H253))</f>
        <v/>
      </c>
      <c r="E253" s="5" t="str">
        <f>IF($H253="","",INDEX('Detalle individual'!$C:$C,$H253))</f>
        <v/>
      </c>
      <c r="F253" s="5" t="str">
        <f>IF($H253="","",INDEX('Detalle individual'!$D:$D,$H253))</f>
        <v/>
      </c>
      <c r="G253" s="5" t="str">
        <f>IF($H253="","",INDEX('Detalle individual'!$F:$F,$H253))</f>
        <v/>
      </c>
      <c r="H253" t="str">
        <f>IFERROR(MATCH(SMALL(Cálculos!$AJ$5:$AJ$1000,249),Cálculos!$AJ$5:$AJ$1000,0)+4,"")</f>
        <v/>
      </c>
    </row>
    <row r="254">
      <c r="B254" s="5" t="str">
        <f>IF($H254="","",INDEX('Detalle individual'!$B:$B,$H254))</f>
        <v/>
      </c>
      <c r="C254" s="5" t="str">
        <f>IF($H254="","",INDEX('Detalle individual'!$A:$A,$H254))</f>
        <v/>
      </c>
      <c r="D254" s="5" t="str">
        <f>IF($H254="","",INDEX('Detalle individual'!$E:$E,$H254))</f>
        <v/>
      </c>
      <c r="E254" s="5" t="str">
        <f>IF($H254="","",INDEX('Detalle individual'!$C:$C,$H254))</f>
        <v/>
      </c>
      <c r="F254" s="5" t="str">
        <f>IF($H254="","",INDEX('Detalle individual'!$D:$D,$H254))</f>
        <v/>
      </c>
      <c r="G254" s="5" t="str">
        <f>IF($H254="","",INDEX('Detalle individual'!$F:$F,$H254))</f>
        <v/>
      </c>
      <c r="H254" t="str">
        <f>IFERROR(MATCH(SMALL(Cálculos!$AJ$5:$AJ$1000,250),Cálculos!$AJ$5:$AJ$1000,0)+4,"")</f>
        <v/>
      </c>
    </row>
    <row r="255">
      <c r="B255" s="5" t="str">
        <f>IF($H255="","",INDEX('Detalle individual'!$B:$B,$H255))</f>
        <v/>
      </c>
      <c r="C255" s="5" t="str">
        <f>IF($H255="","",INDEX('Detalle individual'!$A:$A,$H255))</f>
        <v/>
      </c>
      <c r="D255" s="5" t="str">
        <f>IF($H255="","",INDEX('Detalle individual'!$E:$E,$H255))</f>
        <v/>
      </c>
      <c r="E255" s="5" t="str">
        <f>IF($H255="","",INDEX('Detalle individual'!$C:$C,$H255))</f>
        <v/>
      </c>
      <c r="F255" s="5" t="str">
        <f>IF($H255="","",INDEX('Detalle individual'!$D:$D,$H255))</f>
        <v/>
      </c>
      <c r="G255" s="5" t="str">
        <f>IF($H255="","",INDEX('Detalle individual'!$F:$F,$H255))</f>
        <v/>
      </c>
      <c r="H255" t="str">
        <f>IFERROR(MATCH(SMALL(Cálculos!$AJ$5:$AJ$1000,251),Cálculos!$AJ$5:$AJ$1000,0)+4,"")</f>
        <v/>
      </c>
    </row>
    <row r="256">
      <c r="B256" s="5" t="str">
        <f>IF($H256="","",INDEX('Detalle individual'!$B:$B,$H256))</f>
        <v/>
      </c>
      <c r="C256" s="5" t="str">
        <f>IF($H256="","",INDEX('Detalle individual'!$A:$A,$H256))</f>
        <v/>
      </c>
      <c r="D256" s="5" t="str">
        <f>IF($H256="","",INDEX('Detalle individual'!$E:$E,$H256))</f>
        <v/>
      </c>
      <c r="E256" s="5" t="str">
        <f>IF($H256="","",INDEX('Detalle individual'!$C:$C,$H256))</f>
        <v/>
      </c>
      <c r="F256" s="5" t="str">
        <f>IF($H256="","",INDEX('Detalle individual'!$D:$D,$H256))</f>
        <v/>
      </c>
      <c r="G256" s="5" t="str">
        <f>IF($H256="","",INDEX('Detalle individual'!$F:$F,$H256))</f>
        <v/>
      </c>
      <c r="H256" t="str">
        <f>IFERROR(MATCH(SMALL(Cálculos!$AJ$5:$AJ$1000,252),Cálculos!$AJ$5:$AJ$1000,0)+4,"")</f>
        <v/>
      </c>
    </row>
    <row r="257">
      <c r="B257" s="5" t="str">
        <f>IF($H257="","",INDEX('Detalle individual'!$B:$B,$H257))</f>
        <v/>
      </c>
      <c r="C257" s="5" t="str">
        <f>IF($H257="","",INDEX('Detalle individual'!$A:$A,$H257))</f>
        <v/>
      </c>
      <c r="D257" s="5" t="str">
        <f>IF($H257="","",INDEX('Detalle individual'!$E:$E,$H257))</f>
        <v/>
      </c>
      <c r="E257" s="5" t="str">
        <f>IF($H257="","",INDEX('Detalle individual'!$C:$C,$H257))</f>
        <v/>
      </c>
      <c r="F257" s="5" t="str">
        <f>IF($H257="","",INDEX('Detalle individual'!$D:$D,$H257))</f>
        <v/>
      </c>
      <c r="G257" s="5" t="str">
        <f>IF($H257="","",INDEX('Detalle individual'!$F:$F,$H257))</f>
        <v/>
      </c>
      <c r="H257" t="str">
        <f>IFERROR(MATCH(SMALL(Cálculos!$AJ$5:$AJ$1000,253),Cálculos!$AJ$5:$AJ$1000,0)+4,"")</f>
        <v/>
      </c>
    </row>
    <row r="258">
      <c r="B258" s="5" t="str">
        <f>IF($H258="","",INDEX('Detalle individual'!$B:$B,$H258))</f>
        <v/>
      </c>
      <c r="C258" s="5" t="str">
        <f>IF($H258="","",INDEX('Detalle individual'!$A:$A,$H258))</f>
        <v/>
      </c>
      <c r="D258" s="5" t="str">
        <f>IF($H258="","",INDEX('Detalle individual'!$E:$E,$H258))</f>
        <v/>
      </c>
      <c r="E258" s="5" t="str">
        <f>IF($H258="","",INDEX('Detalle individual'!$C:$C,$H258))</f>
        <v/>
      </c>
      <c r="F258" s="5" t="str">
        <f>IF($H258="","",INDEX('Detalle individual'!$D:$D,$H258))</f>
        <v/>
      </c>
      <c r="G258" s="5" t="str">
        <f>IF($H258="","",INDEX('Detalle individual'!$F:$F,$H258))</f>
        <v/>
      </c>
      <c r="H258" t="str">
        <f>IFERROR(MATCH(SMALL(Cálculos!$AJ$5:$AJ$1000,254),Cálculos!$AJ$5:$AJ$1000,0)+4,"")</f>
        <v/>
      </c>
    </row>
    <row r="259">
      <c r="B259" s="5" t="str">
        <f>IF($H259="","",INDEX('Detalle individual'!$B:$B,$H259))</f>
        <v/>
      </c>
      <c r="C259" s="5" t="str">
        <f>IF($H259="","",INDEX('Detalle individual'!$A:$A,$H259))</f>
        <v/>
      </c>
      <c r="D259" s="5" t="str">
        <f>IF($H259="","",INDEX('Detalle individual'!$E:$E,$H259))</f>
        <v/>
      </c>
      <c r="E259" s="5" t="str">
        <f>IF($H259="","",INDEX('Detalle individual'!$C:$C,$H259))</f>
        <v/>
      </c>
      <c r="F259" s="5" t="str">
        <f>IF($H259="","",INDEX('Detalle individual'!$D:$D,$H259))</f>
        <v/>
      </c>
      <c r="G259" s="5" t="str">
        <f>IF($H259="","",INDEX('Detalle individual'!$F:$F,$H259))</f>
        <v/>
      </c>
      <c r="H259" t="str">
        <f>IFERROR(MATCH(SMALL(Cálculos!$AJ$5:$AJ$1000,255),Cálculos!$AJ$5:$AJ$1000,0)+4,"")</f>
        <v/>
      </c>
    </row>
    <row r="260">
      <c r="B260" s="5" t="str">
        <f>IF($H260="","",INDEX('Detalle individual'!$B:$B,$H260))</f>
        <v/>
      </c>
      <c r="C260" s="5" t="str">
        <f>IF($H260="","",INDEX('Detalle individual'!$A:$A,$H260))</f>
        <v/>
      </c>
      <c r="D260" s="5" t="str">
        <f>IF($H260="","",INDEX('Detalle individual'!$E:$E,$H260))</f>
        <v/>
      </c>
      <c r="E260" s="5" t="str">
        <f>IF($H260="","",INDEX('Detalle individual'!$C:$C,$H260))</f>
        <v/>
      </c>
      <c r="F260" s="5" t="str">
        <f>IF($H260="","",INDEX('Detalle individual'!$D:$D,$H260))</f>
        <v/>
      </c>
      <c r="G260" s="5" t="str">
        <f>IF($H260="","",INDEX('Detalle individual'!$F:$F,$H260))</f>
        <v/>
      </c>
      <c r="H260" t="str">
        <f>IFERROR(MATCH(SMALL(Cálculos!$AJ$5:$AJ$1000,256),Cálculos!$AJ$5:$AJ$1000,0)+4,"")</f>
        <v/>
      </c>
    </row>
    <row r="261">
      <c r="B261" s="5" t="str">
        <f>IF($H261="","",INDEX('Detalle individual'!$B:$B,$H261))</f>
        <v/>
      </c>
      <c r="C261" s="5" t="str">
        <f>IF($H261="","",INDEX('Detalle individual'!$A:$A,$H261))</f>
        <v/>
      </c>
      <c r="D261" s="5" t="str">
        <f>IF($H261="","",INDEX('Detalle individual'!$E:$E,$H261))</f>
        <v/>
      </c>
      <c r="E261" s="5" t="str">
        <f>IF($H261="","",INDEX('Detalle individual'!$C:$C,$H261))</f>
        <v/>
      </c>
      <c r="F261" s="5" t="str">
        <f>IF($H261="","",INDEX('Detalle individual'!$D:$D,$H261))</f>
        <v/>
      </c>
      <c r="G261" s="5" t="str">
        <f>IF($H261="","",INDEX('Detalle individual'!$F:$F,$H261))</f>
        <v/>
      </c>
      <c r="H261" t="str">
        <f>IFERROR(MATCH(SMALL(Cálculos!$AJ$5:$AJ$1000,257),Cálculos!$AJ$5:$AJ$1000,0)+4,"")</f>
        <v/>
      </c>
    </row>
    <row r="262">
      <c r="B262" s="5" t="str">
        <f>IF($H262="","",INDEX('Detalle individual'!$B:$B,$H262))</f>
        <v/>
      </c>
      <c r="C262" s="5" t="str">
        <f>IF($H262="","",INDEX('Detalle individual'!$A:$A,$H262))</f>
        <v/>
      </c>
      <c r="D262" s="5" t="str">
        <f>IF($H262="","",INDEX('Detalle individual'!$E:$E,$H262))</f>
        <v/>
      </c>
      <c r="E262" s="5" t="str">
        <f>IF($H262="","",INDEX('Detalle individual'!$C:$C,$H262))</f>
        <v/>
      </c>
      <c r="F262" s="5" t="str">
        <f>IF($H262="","",INDEX('Detalle individual'!$D:$D,$H262))</f>
        <v/>
      </c>
      <c r="G262" s="5" t="str">
        <f>IF($H262="","",INDEX('Detalle individual'!$F:$F,$H262))</f>
        <v/>
      </c>
      <c r="H262" t="str">
        <f>IFERROR(MATCH(SMALL(Cálculos!$AJ$5:$AJ$1000,258),Cálculos!$AJ$5:$AJ$1000,0)+4,"")</f>
        <v/>
      </c>
    </row>
    <row r="263">
      <c r="B263" s="5" t="str">
        <f>IF($H263="","",INDEX('Detalle individual'!$B:$B,$H263))</f>
        <v/>
      </c>
      <c r="C263" s="5" t="str">
        <f>IF($H263="","",INDEX('Detalle individual'!$A:$A,$H263))</f>
        <v/>
      </c>
      <c r="D263" s="5" t="str">
        <f>IF($H263="","",INDEX('Detalle individual'!$E:$E,$H263))</f>
        <v/>
      </c>
      <c r="E263" s="5" t="str">
        <f>IF($H263="","",INDEX('Detalle individual'!$C:$C,$H263))</f>
        <v/>
      </c>
      <c r="F263" s="5" t="str">
        <f>IF($H263="","",INDEX('Detalle individual'!$D:$D,$H263))</f>
        <v/>
      </c>
      <c r="G263" s="5" t="str">
        <f>IF($H263="","",INDEX('Detalle individual'!$F:$F,$H263))</f>
        <v/>
      </c>
      <c r="H263" t="str">
        <f>IFERROR(MATCH(SMALL(Cálculos!$AJ$5:$AJ$1000,259),Cálculos!$AJ$5:$AJ$1000,0)+4,"")</f>
        <v/>
      </c>
    </row>
    <row r="264">
      <c r="B264" s="5" t="str">
        <f>IF($H264="","",INDEX('Detalle individual'!$B:$B,$H264))</f>
        <v/>
      </c>
      <c r="C264" s="5" t="str">
        <f>IF($H264="","",INDEX('Detalle individual'!$A:$A,$H264))</f>
        <v/>
      </c>
      <c r="D264" s="5" t="str">
        <f>IF($H264="","",INDEX('Detalle individual'!$E:$E,$H264))</f>
        <v/>
      </c>
      <c r="E264" s="5" t="str">
        <f>IF($H264="","",INDEX('Detalle individual'!$C:$C,$H264))</f>
        <v/>
      </c>
      <c r="F264" s="5" t="str">
        <f>IF($H264="","",INDEX('Detalle individual'!$D:$D,$H264))</f>
        <v/>
      </c>
      <c r="G264" s="5" t="str">
        <f>IF($H264="","",INDEX('Detalle individual'!$F:$F,$H264))</f>
        <v/>
      </c>
      <c r="H264" t="str">
        <f>IFERROR(MATCH(SMALL(Cálculos!$AJ$5:$AJ$1000,260),Cálculos!$AJ$5:$AJ$1000,0)+4,"")</f>
        <v/>
      </c>
    </row>
    <row r="265">
      <c r="B265" s="5" t="str">
        <f>IF($H265="","",INDEX('Detalle individual'!$B:$B,$H265))</f>
        <v/>
      </c>
      <c r="C265" s="5" t="str">
        <f>IF($H265="","",INDEX('Detalle individual'!$A:$A,$H265))</f>
        <v/>
      </c>
      <c r="D265" s="5" t="str">
        <f>IF($H265="","",INDEX('Detalle individual'!$E:$E,$H265))</f>
        <v/>
      </c>
      <c r="E265" s="5" t="str">
        <f>IF($H265="","",INDEX('Detalle individual'!$C:$C,$H265))</f>
        <v/>
      </c>
      <c r="F265" s="5" t="str">
        <f>IF($H265="","",INDEX('Detalle individual'!$D:$D,$H265))</f>
        <v/>
      </c>
      <c r="G265" s="5" t="str">
        <f>IF($H265="","",INDEX('Detalle individual'!$F:$F,$H265))</f>
        <v/>
      </c>
      <c r="H265" t="str">
        <f>IFERROR(MATCH(SMALL(Cálculos!$AJ$5:$AJ$1000,261),Cálculos!$AJ$5:$AJ$1000,0)+4,"")</f>
        <v/>
      </c>
    </row>
    <row r="266">
      <c r="B266" s="5" t="str">
        <f>IF($H266="","",INDEX('Detalle individual'!$B:$B,$H266))</f>
        <v/>
      </c>
      <c r="C266" s="5" t="str">
        <f>IF($H266="","",INDEX('Detalle individual'!$A:$A,$H266))</f>
        <v/>
      </c>
      <c r="D266" s="5" t="str">
        <f>IF($H266="","",INDEX('Detalle individual'!$E:$E,$H266))</f>
        <v/>
      </c>
      <c r="E266" s="5" t="str">
        <f>IF($H266="","",INDEX('Detalle individual'!$C:$C,$H266))</f>
        <v/>
      </c>
      <c r="F266" s="5" t="str">
        <f>IF($H266="","",INDEX('Detalle individual'!$D:$D,$H266))</f>
        <v/>
      </c>
      <c r="G266" s="5" t="str">
        <f>IF($H266="","",INDEX('Detalle individual'!$F:$F,$H266))</f>
        <v/>
      </c>
      <c r="H266" t="str">
        <f>IFERROR(MATCH(SMALL(Cálculos!$AJ$5:$AJ$1000,262),Cálculos!$AJ$5:$AJ$1000,0)+4,"")</f>
        <v/>
      </c>
    </row>
    <row r="267">
      <c r="B267" s="5" t="str">
        <f>IF($H267="","",INDEX('Detalle individual'!$B:$B,$H267))</f>
        <v/>
      </c>
      <c r="C267" s="5" t="str">
        <f>IF($H267="","",INDEX('Detalle individual'!$A:$A,$H267))</f>
        <v/>
      </c>
      <c r="D267" s="5" t="str">
        <f>IF($H267="","",INDEX('Detalle individual'!$E:$E,$H267))</f>
        <v/>
      </c>
      <c r="E267" s="5" t="str">
        <f>IF($H267="","",INDEX('Detalle individual'!$C:$C,$H267))</f>
        <v/>
      </c>
      <c r="F267" s="5" t="str">
        <f>IF($H267="","",INDEX('Detalle individual'!$D:$D,$H267))</f>
        <v/>
      </c>
      <c r="G267" s="5" t="str">
        <f>IF($H267="","",INDEX('Detalle individual'!$F:$F,$H267))</f>
        <v/>
      </c>
      <c r="H267" t="str">
        <f>IFERROR(MATCH(SMALL(Cálculos!$AJ$5:$AJ$1000,263),Cálculos!$AJ$5:$AJ$1000,0)+4,"")</f>
        <v/>
      </c>
    </row>
    <row r="268">
      <c r="B268" s="5" t="str">
        <f>IF($H268="","",INDEX('Detalle individual'!$B:$B,$H268))</f>
        <v/>
      </c>
      <c r="C268" s="5" t="str">
        <f>IF($H268="","",INDEX('Detalle individual'!$A:$A,$H268))</f>
        <v/>
      </c>
      <c r="D268" s="5" t="str">
        <f>IF($H268="","",INDEX('Detalle individual'!$E:$E,$H268))</f>
        <v/>
      </c>
      <c r="E268" s="5" t="str">
        <f>IF($H268="","",INDEX('Detalle individual'!$C:$C,$H268))</f>
        <v/>
      </c>
      <c r="F268" s="5" t="str">
        <f>IF($H268="","",INDEX('Detalle individual'!$D:$D,$H268))</f>
        <v/>
      </c>
      <c r="G268" s="5" t="str">
        <f>IF($H268="","",INDEX('Detalle individual'!$F:$F,$H268))</f>
        <v/>
      </c>
      <c r="H268" t="str">
        <f>IFERROR(MATCH(SMALL(Cálculos!$AJ$5:$AJ$1000,264),Cálculos!$AJ$5:$AJ$1000,0)+4,"")</f>
        <v/>
      </c>
    </row>
    <row r="269">
      <c r="B269" s="5" t="str">
        <f>IF($H269="","",INDEX('Detalle individual'!$B:$B,$H269))</f>
        <v/>
      </c>
      <c r="C269" s="5" t="str">
        <f>IF($H269="","",INDEX('Detalle individual'!$A:$A,$H269))</f>
        <v/>
      </c>
      <c r="D269" s="5" t="str">
        <f>IF($H269="","",INDEX('Detalle individual'!$E:$E,$H269))</f>
        <v/>
      </c>
      <c r="E269" s="5" t="str">
        <f>IF($H269="","",INDEX('Detalle individual'!$C:$C,$H269))</f>
        <v/>
      </c>
      <c r="F269" s="5" t="str">
        <f>IF($H269="","",INDEX('Detalle individual'!$D:$D,$H269))</f>
        <v/>
      </c>
      <c r="G269" s="5" t="str">
        <f>IF($H269="","",INDEX('Detalle individual'!$F:$F,$H269))</f>
        <v/>
      </c>
      <c r="H269" t="str">
        <f>IFERROR(MATCH(SMALL(Cálculos!$AJ$5:$AJ$1000,265),Cálculos!$AJ$5:$AJ$1000,0)+4,"")</f>
        <v/>
      </c>
    </row>
    <row r="270">
      <c r="B270" s="5" t="str">
        <f>IF($H270="","",INDEX('Detalle individual'!$B:$B,$H270))</f>
        <v/>
      </c>
      <c r="C270" s="5" t="str">
        <f>IF($H270="","",INDEX('Detalle individual'!$A:$A,$H270))</f>
        <v/>
      </c>
      <c r="D270" s="5" t="str">
        <f>IF($H270="","",INDEX('Detalle individual'!$E:$E,$H270))</f>
        <v/>
      </c>
      <c r="E270" s="5" t="str">
        <f>IF($H270="","",INDEX('Detalle individual'!$C:$C,$H270))</f>
        <v/>
      </c>
      <c r="F270" s="5" t="str">
        <f>IF($H270="","",INDEX('Detalle individual'!$D:$D,$H270))</f>
        <v/>
      </c>
      <c r="G270" s="5" t="str">
        <f>IF($H270="","",INDEX('Detalle individual'!$F:$F,$H270))</f>
        <v/>
      </c>
      <c r="H270" t="str">
        <f>IFERROR(MATCH(SMALL(Cálculos!$AJ$5:$AJ$1000,266),Cálculos!$AJ$5:$AJ$1000,0)+4,"")</f>
        <v/>
      </c>
    </row>
    <row r="271">
      <c r="B271" s="5" t="str">
        <f>IF($H271="","",INDEX('Detalle individual'!$B:$B,$H271))</f>
        <v/>
      </c>
      <c r="C271" s="5" t="str">
        <f>IF($H271="","",INDEX('Detalle individual'!$A:$A,$H271))</f>
        <v/>
      </c>
      <c r="D271" s="5" t="str">
        <f>IF($H271="","",INDEX('Detalle individual'!$E:$E,$H271))</f>
        <v/>
      </c>
      <c r="E271" s="5" t="str">
        <f>IF($H271="","",INDEX('Detalle individual'!$C:$C,$H271))</f>
        <v/>
      </c>
      <c r="F271" s="5" t="str">
        <f>IF($H271="","",INDEX('Detalle individual'!$D:$D,$H271))</f>
        <v/>
      </c>
      <c r="G271" s="5" t="str">
        <f>IF($H271="","",INDEX('Detalle individual'!$F:$F,$H271))</f>
        <v/>
      </c>
      <c r="H271" t="str">
        <f>IFERROR(MATCH(SMALL(Cálculos!$AJ$5:$AJ$1000,267),Cálculos!$AJ$5:$AJ$1000,0)+4,"")</f>
        <v/>
      </c>
    </row>
    <row r="272">
      <c r="B272" s="5" t="str">
        <f>IF($H272="","",INDEX('Detalle individual'!$B:$B,$H272))</f>
        <v/>
      </c>
      <c r="C272" s="5" t="str">
        <f>IF($H272="","",INDEX('Detalle individual'!$A:$A,$H272))</f>
        <v/>
      </c>
      <c r="D272" s="5" t="str">
        <f>IF($H272="","",INDEX('Detalle individual'!$E:$E,$H272))</f>
        <v/>
      </c>
      <c r="E272" s="5" t="str">
        <f>IF($H272="","",INDEX('Detalle individual'!$C:$C,$H272))</f>
        <v/>
      </c>
      <c r="F272" s="5" t="str">
        <f>IF($H272="","",INDEX('Detalle individual'!$D:$D,$H272))</f>
        <v/>
      </c>
      <c r="G272" s="5" t="str">
        <f>IF($H272="","",INDEX('Detalle individual'!$F:$F,$H272))</f>
        <v/>
      </c>
      <c r="H272" t="str">
        <f>IFERROR(MATCH(SMALL(Cálculos!$AJ$5:$AJ$1000,268),Cálculos!$AJ$5:$AJ$1000,0)+4,"")</f>
        <v/>
      </c>
    </row>
    <row r="273">
      <c r="B273" s="5" t="str">
        <f>IF($H273="","",INDEX('Detalle individual'!$B:$B,$H273))</f>
        <v/>
      </c>
      <c r="C273" s="5" t="str">
        <f>IF($H273="","",INDEX('Detalle individual'!$A:$A,$H273))</f>
        <v/>
      </c>
      <c r="D273" s="5" t="str">
        <f>IF($H273="","",INDEX('Detalle individual'!$E:$E,$H273))</f>
        <v/>
      </c>
      <c r="E273" s="5" t="str">
        <f>IF($H273="","",INDEX('Detalle individual'!$C:$C,$H273))</f>
        <v/>
      </c>
      <c r="F273" s="5" t="str">
        <f>IF($H273="","",INDEX('Detalle individual'!$D:$D,$H273))</f>
        <v/>
      </c>
      <c r="G273" s="5" t="str">
        <f>IF($H273="","",INDEX('Detalle individual'!$F:$F,$H273))</f>
        <v/>
      </c>
      <c r="H273" t="str">
        <f>IFERROR(MATCH(SMALL(Cálculos!$AJ$5:$AJ$1000,269),Cálculos!$AJ$5:$AJ$1000,0)+4,"")</f>
        <v/>
      </c>
    </row>
    <row r="274">
      <c r="B274" s="5" t="str">
        <f>IF($H274="","",INDEX('Detalle individual'!$B:$B,$H274))</f>
        <v/>
      </c>
      <c r="C274" s="5" t="str">
        <f>IF($H274="","",INDEX('Detalle individual'!$A:$A,$H274))</f>
        <v/>
      </c>
      <c r="D274" s="5" t="str">
        <f>IF($H274="","",INDEX('Detalle individual'!$E:$E,$H274))</f>
        <v/>
      </c>
      <c r="E274" s="5" t="str">
        <f>IF($H274="","",INDEX('Detalle individual'!$C:$C,$H274))</f>
        <v/>
      </c>
      <c r="F274" s="5" t="str">
        <f>IF($H274="","",INDEX('Detalle individual'!$D:$D,$H274))</f>
        <v/>
      </c>
      <c r="G274" s="5" t="str">
        <f>IF($H274="","",INDEX('Detalle individual'!$F:$F,$H274))</f>
        <v/>
      </c>
      <c r="H274" t="str">
        <f>IFERROR(MATCH(SMALL(Cálculos!$AJ$5:$AJ$1000,270),Cálculos!$AJ$5:$AJ$1000,0)+4,"")</f>
        <v/>
      </c>
    </row>
    <row r="275">
      <c r="B275" s="5" t="str">
        <f>IF($H275="","",INDEX('Detalle individual'!$B:$B,$H275))</f>
        <v/>
      </c>
      <c r="C275" s="5" t="str">
        <f>IF($H275="","",INDEX('Detalle individual'!$A:$A,$H275))</f>
        <v/>
      </c>
      <c r="D275" s="5" t="str">
        <f>IF($H275="","",INDEX('Detalle individual'!$E:$E,$H275))</f>
        <v/>
      </c>
      <c r="E275" s="5" t="str">
        <f>IF($H275="","",INDEX('Detalle individual'!$C:$C,$H275))</f>
        <v/>
      </c>
      <c r="F275" s="5" t="str">
        <f>IF($H275="","",INDEX('Detalle individual'!$D:$D,$H275))</f>
        <v/>
      </c>
      <c r="G275" s="5" t="str">
        <f>IF($H275="","",INDEX('Detalle individual'!$F:$F,$H275))</f>
        <v/>
      </c>
      <c r="H275" t="str">
        <f>IFERROR(MATCH(SMALL(Cálculos!$AJ$5:$AJ$1000,271),Cálculos!$AJ$5:$AJ$1000,0)+4,"")</f>
        <v/>
      </c>
    </row>
    <row r="276">
      <c r="B276" s="5" t="str">
        <f>IF($H276="","",INDEX('Detalle individual'!$B:$B,$H276))</f>
        <v/>
      </c>
      <c r="C276" s="5" t="str">
        <f>IF($H276="","",INDEX('Detalle individual'!$A:$A,$H276))</f>
        <v/>
      </c>
      <c r="D276" s="5" t="str">
        <f>IF($H276="","",INDEX('Detalle individual'!$E:$E,$H276))</f>
        <v/>
      </c>
      <c r="E276" s="5" t="str">
        <f>IF($H276="","",INDEX('Detalle individual'!$C:$C,$H276))</f>
        <v/>
      </c>
      <c r="F276" s="5" t="str">
        <f>IF($H276="","",INDEX('Detalle individual'!$D:$D,$H276))</f>
        <v/>
      </c>
      <c r="G276" s="5" t="str">
        <f>IF($H276="","",INDEX('Detalle individual'!$F:$F,$H276))</f>
        <v/>
      </c>
      <c r="H276" t="str">
        <f>IFERROR(MATCH(SMALL(Cálculos!$AJ$5:$AJ$1000,272),Cálculos!$AJ$5:$AJ$1000,0)+4,"")</f>
        <v/>
      </c>
    </row>
    <row r="277">
      <c r="B277" s="5" t="str">
        <f>IF($H277="","",INDEX('Detalle individual'!$B:$B,$H277))</f>
        <v/>
      </c>
      <c r="C277" s="5" t="str">
        <f>IF($H277="","",INDEX('Detalle individual'!$A:$A,$H277))</f>
        <v/>
      </c>
      <c r="D277" s="5" t="str">
        <f>IF($H277="","",INDEX('Detalle individual'!$E:$E,$H277))</f>
        <v/>
      </c>
      <c r="E277" s="5" t="str">
        <f>IF($H277="","",INDEX('Detalle individual'!$C:$C,$H277))</f>
        <v/>
      </c>
      <c r="F277" s="5" t="str">
        <f>IF($H277="","",INDEX('Detalle individual'!$D:$D,$H277))</f>
        <v/>
      </c>
      <c r="G277" s="5" t="str">
        <f>IF($H277="","",INDEX('Detalle individual'!$F:$F,$H277))</f>
        <v/>
      </c>
      <c r="H277" t="str">
        <f>IFERROR(MATCH(SMALL(Cálculos!$AJ$5:$AJ$1000,273),Cálculos!$AJ$5:$AJ$1000,0)+4,"")</f>
        <v/>
      </c>
    </row>
    <row r="278">
      <c r="B278" s="5" t="str">
        <f>IF($H278="","",INDEX('Detalle individual'!$B:$B,$H278))</f>
        <v/>
      </c>
      <c r="C278" s="5" t="str">
        <f>IF($H278="","",INDEX('Detalle individual'!$A:$A,$H278))</f>
        <v/>
      </c>
      <c r="D278" s="5" t="str">
        <f>IF($H278="","",INDEX('Detalle individual'!$E:$E,$H278))</f>
        <v/>
      </c>
      <c r="E278" s="5" t="str">
        <f>IF($H278="","",INDEX('Detalle individual'!$C:$C,$H278))</f>
        <v/>
      </c>
      <c r="F278" s="5" t="str">
        <f>IF($H278="","",INDEX('Detalle individual'!$D:$D,$H278))</f>
        <v/>
      </c>
      <c r="G278" s="5" t="str">
        <f>IF($H278="","",INDEX('Detalle individual'!$F:$F,$H278))</f>
        <v/>
      </c>
      <c r="H278" t="str">
        <f>IFERROR(MATCH(SMALL(Cálculos!$AJ$5:$AJ$1000,274),Cálculos!$AJ$5:$AJ$1000,0)+4,"")</f>
        <v/>
      </c>
    </row>
    <row r="279">
      <c r="B279" s="5" t="str">
        <f>IF($H279="","",INDEX('Detalle individual'!$B:$B,$H279))</f>
        <v/>
      </c>
      <c r="C279" s="5" t="str">
        <f>IF($H279="","",INDEX('Detalle individual'!$A:$A,$H279))</f>
        <v/>
      </c>
      <c r="D279" s="5" t="str">
        <f>IF($H279="","",INDEX('Detalle individual'!$E:$E,$H279))</f>
        <v/>
      </c>
      <c r="E279" s="5" t="str">
        <f>IF($H279="","",INDEX('Detalle individual'!$C:$C,$H279))</f>
        <v/>
      </c>
      <c r="F279" s="5" t="str">
        <f>IF($H279="","",INDEX('Detalle individual'!$D:$D,$H279))</f>
        <v/>
      </c>
      <c r="G279" s="5" t="str">
        <f>IF($H279="","",INDEX('Detalle individual'!$F:$F,$H279))</f>
        <v/>
      </c>
      <c r="H279" t="str">
        <f>IFERROR(MATCH(SMALL(Cálculos!$AJ$5:$AJ$1000,275),Cálculos!$AJ$5:$AJ$1000,0)+4,"")</f>
        <v/>
      </c>
    </row>
    <row r="280">
      <c r="B280" s="5" t="str">
        <f>IF($H280="","",INDEX('Detalle individual'!$B:$B,$H280))</f>
        <v/>
      </c>
      <c r="C280" s="5" t="str">
        <f>IF($H280="","",INDEX('Detalle individual'!$A:$A,$H280))</f>
        <v/>
      </c>
      <c r="D280" s="5" t="str">
        <f>IF($H280="","",INDEX('Detalle individual'!$E:$E,$H280))</f>
        <v/>
      </c>
      <c r="E280" s="5" t="str">
        <f>IF($H280="","",INDEX('Detalle individual'!$C:$C,$H280))</f>
        <v/>
      </c>
      <c r="F280" s="5" t="str">
        <f>IF($H280="","",INDEX('Detalle individual'!$D:$D,$H280))</f>
        <v/>
      </c>
      <c r="G280" s="5" t="str">
        <f>IF($H280="","",INDEX('Detalle individual'!$F:$F,$H280))</f>
        <v/>
      </c>
      <c r="H280" t="str">
        <f>IFERROR(MATCH(SMALL(Cálculos!$AJ$5:$AJ$1000,276),Cálculos!$AJ$5:$AJ$1000,0)+4,"")</f>
        <v/>
      </c>
    </row>
    <row r="281">
      <c r="B281" s="5" t="str">
        <f>IF($H281="","",INDEX('Detalle individual'!$B:$B,$H281))</f>
        <v/>
      </c>
      <c r="C281" s="5" t="str">
        <f>IF($H281="","",INDEX('Detalle individual'!$A:$A,$H281))</f>
        <v/>
      </c>
      <c r="D281" s="5" t="str">
        <f>IF($H281="","",INDEX('Detalle individual'!$E:$E,$H281))</f>
        <v/>
      </c>
      <c r="E281" s="5" t="str">
        <f>IF($H281="","",INDEX('Detalle individual'!$C:$C,$H281))</f>
        <v/>
      </c>
      <c r="F281" s="5" t="str">
        <f>IF($H281="","",INDEX('Detalle individual'!$D:$D,$H281))</f>
        <v/>
      </c>
      <c r="G281" s="5" t="str">
        <f>IF($H281="","",INDEX('Detalle individual'!$F:$F,$H281))</f>
        <v/>
      </c>
      <c r="H281" t="str">
        <f>IFERROR(MATCH(SMALL(Cálculos!$AJ$5:$AJ$1000,277),Cálculos!$AJ$5:$AJ$1000,0)+4,"")</f>
        <v/>
      </c>
    </row>
    <row r="282">
      <c r="B282" s="5" t="str">
        <f>IF($H282="","",INDEX('Detalle individual'!$B:$B,$H282))</f>
        <v/>
      </c>
      <c r="C282" s="5" t="str">
        <f>IF($H282="","",INDEX('Detalle individual'!$A:$A,$H282))</f>
        <v/>
      </c>
      <c r="D282" s="5" t="str">
        <f>IF($H282="","",INDEX('Detalle individual'!$E:$E,$H282))</f>
        <v/>
      </c>
      <c r="E282" s="5" t="str">
        <f>IF($H282="","",INDEX('Detalle individual'!$C:$C,$H282))</f>
        <v/>
      </c>
      <c r="F282" s="5" t="str">
        <f>IF($H282="","",INDEX('Detalle individual'!$D:$D,$H282))</f>
        <v/>
      </c>
      <c r="G282" s="5" t="str">
        <f>IF($H282="","",INDEX('Detalle individual'!$F:$F,$H282))</f>
        <v/>
      </c>
      <c r="H282" t="str">
        <f>IFERROR(MATCH(SMALL(Cálculos!$AJ$5:$AJ$1000,278),Cálculos!$AJ$5:$AJ$1000,0)+4,"")</f>
        <v/>
      </c>
    </row>
    <row r="283">
      <c r="B283" s="5" t="str">
        <f>IF($H283="","",INDEX('Detalle individual'!$B:$B,$H283))</f>
        <v/>
      </c>
      <c r="C283" s="5" t="str">
        <f>IF($H283="","",INDEX('Detalle individual'!$A:$A,$H283))</f>
        <v/>
      </c>
      <c r="D283" s="5" t="str">
        <f>IF($H283="","",INDEX('Detalle individual'!$E:$E,$H283))</f>
        <v/>
      </c>
      <c r="E283" s="5" t="str">
        <f>IF($H283="","",INDEX('Detalle individual'!$C:$C,$H283))</f>
        <v/>
      </c>
      <c r="F283" s="5" t="str">
        <f>IF($H283="","",INDEX('Detalle individual'!$D:$D,$H283))</f>
        <v/>
      </c>
      <c r="G283" s="5" t="str">
        <f>IF($H283="","",INDEX('Detalle individual'!$F:$F,$H283))</f>
        <v/>
      </c>
      <c r="H283" t="str">
        <f>IFERROR(MATCH(SMALL(Cálculos!$AJ$5:$AJ$1000,279),Cálculos!$AJ$5:$AJ$1000,0)+4,"")</f>
        <v/>
      </c>
    </row>
    <row r="284">
      <c r="B284" s="5" t="str">
        <f>IF($H284="","",INDEX('Detalle individual'!$B:$B,$H284))</f>
        <v/>
      </c>
      <c r="C284" s="5" t="str">
        <f>IF($H284="","",INDEX('Detalle individual'!$A:$A,$H284))</f>
        <v/>
      </c>
      <c r="D284" s="5" t="str">
        <f>IF($H284="","",INDEX('Detalle individual'!$E:$E,$H284))</f>
        <v/>
      </c>
      <c r="E284" s="5" t="str">
        <f>IF($H284="","",INDEX('Detalle individual'!$C:$C,$H284))</f>
        <v/>
      </c>
      <c r="F284" s="5" t="str">
        <f>IF($H284="","",INDEX('Detalle individual'!$D:$D,$H284))</f>
        <v/>
      </c>
      <c r="G284" s="5" t="str">
        <f>IF($H284="","",INDEX('Detalle individual'!$F:$F,$H284))</f>
        <v/>
      </c>
      <c r="H284" t="str">
        <f>IFERROR(MATCH(SMALL(Cálculos!$AJ$5:$AJ$1000,280),Cálculos!$AJ$5:$AJ$1000,0)+4,"")</f>
        <v/>
      </c>
    </row>
    <row r="285">
      <c r="B285" s="5" t="str">
        <f>IF($H285="","",INDEX('Detalle individual'!$B:$B,$H285))</f>
        <v/>
      </c>
      <c r="C285" s="5" t="str">
        <f>IF($H285="","",INDEX('Detalle individual'!$A:$A,$H285))</f>
        <v/>
      </c>
      <c r="D285" s="5" t="str">
        <f>IF($H285="","",INDEX('Detalle individual'!$E:$E,$H285))</f>
        <v/>
      </c>
      <c r="E285" s="5" t="str">
        <f>IF($H285="","",INDEX('Detalle individual'!$C:$C,$H285))</f>
        <v/>
      </c>
      <c r="F285" s="5" t="str">
        <f>IF($H285="","",INDEX('Detalle individual'!$D:$D,$H285))</f>
        <v/>
      </c>
      <c r="G285" s="5" t="str">
        <f>IF($H285="","",INDEX('Detalle individual'!$F:$F,$H285))</f>
        <v/>
      </c>
      <c r="H285" t="str">
        <f>IFERROR(MATCH(SMALL(Cálculos!$AJ$5:$AJ$1000,281),Cálculos!$AJ$5:$AJ$1000,0)+4,"")</f>
        <v/>
      </c>
    </row>
    <row r="286">
      <c r="B286" s="5" t="str">
        <f>IF($H286="","",INDEX('Detalle individual'!$B:$B,$H286))</f>
        <v/>
      </c>
      <c r="C286" s="5" t="str">
        <f>IF($H286="","",INDEX('Detalle individual'!$A:$A,$H286))</f>
        <v/>
      </c>
      <c r="D286" s="5" t="str">
        <f>IF($H286="","",INDEX('Detalle individual'!$E:$E,$H286))</f>
        <v/>
      </c>
      <c r="E286" s="5" t="str">
        <f>IF($H286="","",INDEX('Detalle individual'!$C:$C,$H286))</f>
        <v/>
      </c>
      <c r="F286" s="5" t="str">
        <f>IF($H286="","",INDEX('Detalle individual'!$D:$D,$H286))</f>
        <v/>
      </c>
      <c r="G286" s="5" t="str">
        <f>IF($H286="","",INDEX('Detalle individual'!$F:$F,$H286))</f>
        <v/>
      </c>
      <c r="H286" t="str">
        <f>IFERROR(MATCH(SMALL(Cálculos!$AJ$5:$AJ$1000,282),Cálculos!$AJ$5:$AJ$1000,0)+4,"")</f>
        <v/>
      </c>
    </row>
    <row r="287">
      <c r="B287" s="5" t="str">
        <f>IF($H287="","",INDEX('Detalle individual'!$B:$B,$H287))</f>
        <v/>
      </c>
      <c r="C287" s="5" t="str">
        <f>IF($H287="","",INDEX('Detalle individual'!$A:$A,$H287))</f>
        <v/>
      </c>
      <c r="D287" s="5" t="str">
        <f>IF($H287="","",INDEX('Detalle individual'!$E:$E,$H287))</f>
        <v/>
      </c>
      <c r="E287" s="5" t="str">
        <f>IF($H287="","",INDEX('Detalle individual'!$C:$C,$H287))</f>
        <v/>
      </c>
      <c r="F287" s="5" t="str">
        <f>IF($H287="","",INDEX('Detalle individual'!$D:$D,$H287))</f>
        <v/>
      </c>
      <c r="G287" s="5" t="str">
        <f>IF($H287="","",INDEX('Detalle individual'!$F:$F,$H287))</f>
        <v/>
      </c>
      <c r="H287" t="str">
        <f>IFERROR(MATCH(SMALL(Cálculos!$AJ$5:$AJ$1000,283),Cálculos!$AJ$5:$AJ$1000,0)+4,"")</f>
        <v/>
      </c>
    </row>
    <row r="288">
      <c r="B288" s="5" t="str">
        <f>IF($H288="","",INDEX('Detalle individual'!$B:$B,$H288))</f>
        <v/>
      </c>
      <c r="C288" s="5" t="str">
        <f>IF($H288="","",INDEX('Detalle individual'!$A:$A,$H288))</f>
        <v/>
      </c>
      <c r="D288" s="5" t="str">
        <f>IF($H288="","",INDEX('Detalle individual'!$E:$E,$H288))</f>
        <v/>
      </c>
      <c r="E288" s="5" t="str">
        <f>IF($H288="","",INDEX('Detalle individual'!$C:$C,$H288))</f>
        <v/>
      </c>
      <c r="F288" s="5" t="str">
        <f>IF($H288="","",INDEX('Detalle individual'!$D:$D,$H288))</f>
        <v/>
      </c>
      <c r="G288" s="5" t="str">
        <f>IF($H288="","",INDEX('Detalle individual'!$F:$F,$H288))</f>
        <v/>
      </c>
      <c r="H288" t="str">
        <f>IFERROR(MATCH(SMALL(Cálculos!$AJ$5:$AJ$1000,284),Cálculos!$AJ$5:$AJ$1000,0)+4,"")</f>
        <v/>
      </c>
    </row>
    <row r="289">
      <c r="B289" s="5" t="str">
        <f>IF($H289="","",INDEX('Detalle individual'!$B:$B,$H289))</f>
        <v/>
      </c>
      <c r="C289" s="5" t="str">
        <f>IF($H289="","",INDEX('Detalle individual'!$A:$A,$H289))</f>
        <v/>
      </c>
      <c r="D289" s="5" t="str">
        <f>IF($H289="","",INDEX('Detalle individual'!$E:$E,$H289))</f>
        <v/>
      </c>
      <c r="E289" s="5" t="str">
        <f>IF($H289="","",INDEX('Detalle individual'!$C:$C,$H289))</f>
        <v/>
      </c>
      <c r="F289" s="5" t="str">
        <f>IF($H289="","",INDEX('Detalle individual'!$D:$D,$H289))</f>
        <v/>
      </c>
      <c r="G289" s="5" t="str">
        <f>IF($H289="","",INDEX('Detalle individual'!$F:$F,$H289))</f>
        <v/>
      </c>
      <c r="H289" t="str">
        <f>IFERROR(MATCH(SMALL(Cálculos!$AJ$5:$AJ$1000,285),Cálculos!$AJ$5:$AJ$1000,0)+4,"")</f>
        <v/>
      </c>
    </row>
    <row r="290">
      <c r="B290" s="5" t="str">
        <f>IF($H290="","",INDEX('Detalle individual'!$B:$B,$H290))</f>
        <v/>
      </c>
      <c r="C290" s="5" t="str">
        <f>IF($H290="","",INDEX('Detalle individual'!$A:$A,$H290))</f>
        <v/>
      </c>
      <c r="D290" s="5" t="str">
        <f>IF($H290="","",INDEX('Detalle individual'!$E:$E,$H290))</f>
        <v/>
      </c>
      <c r="E290" s="5" t="str">
        <f>IF($H290="","",INDEX('Detalle individual'!$C:$C,$H290))</f>
        <v/>
      </c>
      <c r="F290" s="5" t="str">
        <f>IF($H290="","",INDEX('Detalle individual'!$D:$D,$H290))</f>
        <v/>
      </c>
      <c r="G290" s="5" t="str">
        <f>IF($H290="","",INDEX('Detalle individual'!$F:$F,$H290))</f>
        <v/>
      </c>
      <c r="H290" t="str">
        <f>IFERROR(MATCH(SMALL(Cálculos!$AJ$5:$AJ$1000,286),Cálculos!$AJ$5:$AJ$1000,0)+4,"")</f>
        <v/>
      </c>
    </row>
    <row r="291">
      <c r="B291" s="5" t="str">
        <f>IF($H291="","",INDEX('Detalle individual'!$B:$B,$H291))</f>
        <v/>
      </c>
      <c r="C291" s="5" t="str">
        <f>IF($H291="","",INDEX('Detalle individual'!$A:$A,$H291))</f>
        <v/>
      </c>
      <c r="D291" s="5" t="str">
        <f>IF($H291="","",INDEX('Detalle individual'!$E:$E,$H291))</f>
        <v/>
      </c>
      <c r="E291" s="5" t="str">
        <f>IF($H291="","",INDEX('Detalle individual'!$C:$C,$H291))</f>
        <v/>
      </c>
      <c r="F291" s="5" t="str">
        <f>IF($H291="","",INDEX('Detalle individual'!$D:$D,$H291))</f>
        <v/>
      </c>
      <c r="G291" s="5" t="str">
        <f>IF($H291="","",INDEX('Detalle individual'!$F:$F,$H291))</f>
        <v/>
      </c>
      <c r="H291" t="str">
        <f>IFERROR(MATCH(SMALL(Cálculos!$AJ$5:$AJ$1000,287),Cálculos!$AJ$5:$AJ$1000,0)+4,"")</f>
        <v/>
      </c>
    </row>
    <row r="292">
      <c r="B292" s="5" t="str">
        <f>IF($H292="","",INDEX('Detalle individual'!$B:$B,$H292))</f>
        <v/>
      </c>
      <c r="C292" s="5" t="str">
        <f>IF($H292="","",INDEX('Detalle individual'!$A:$A,$H292))</f>
        <v/>
      </c>
      <c r="D292" s="5" t="str">
        <f>IF($H292="","",INDEX('Detalle individual'!$E:$E,$H292))</f>
        <v/>
      </c>
      <c r="E292" s="5" t="str">
        <f>IF($H292="","",INDEX('Detalle individual'!$C:$C,$H292))</f>
        <v/>
      </c>
      <c r="F292" s="5" t="str">
        <f>IF($H292="","",INDEX('Detalle individual'!$D:$D,$H292))</f>
        <v/>
      </c>
      <c r="G292" s="5" t="str">
        <f>IF($H292="","",INDEX('Detalle individual'!$F:$F,$H292))</f>
        <v/>
      </c>
      <c r="H292" t="str">
        <f>IFERROR(MATCH(SMALL(Cálculos!$AJ$5:$AJ$1000,288),Cálculos!$AJ$5:$AJ$1000,0)+4,"")</f>
        <v/>
      </c>
    </row>
    <row r="293">
      <c r="B293" s="5" t="str">
        <f>IF($H293="","",INDEX('Detalle individual'!$B:$B,$H293))</f>
        <v/>
      </c>
      <c r="C293" s="5" t="str">
        <f>IF($H293="","",INDEX('Detalle individual'!$A:$A,$H293))</f>
        <v/>
      </c>
      <c r="D293" s="5" t="str">
        <f>IF($H293="","",INDEX('Detalle individual'!$E:$E,$H293))</f>
        <v/>
      </c>
      <c r="E293" s="5" t="str">
        <f>IF($H293="","",INDEX('Detalle individual'!$C:$C,$H293))</f>
        <v/>
      </c>
      <c r="F293" s="5" t="str">
        <f>IF($H293="","",INDEX('Detalle individual'!$D:$D,$H293))</f>
        <v/>
      </c>
      <c r="G293" s="5" t="str">
        <f>IF($H293="","",INDEX('Detalle individual'!$F:$F,$H293))</f>
        <v/>
      </c>
      <c r="H293" t="str">
        <f>IFERROR(MATCH(SMALL(Cálculos!$AJ$5:$AJ$1000,289),Cálculos!$AJ$5:$AJ$1000,0)+4,"")</f>
        <v/>
      </c>
    </row>
    <row r="294">
      <c r="B294" s="5" t="str">
        <f>IF($H294="","",INDEX('Detalle individual'!$B:$B,$H294))</f>
        <v/>
      </c>
      <c r="C294" s="5" t="str">
        <f>IF($H294="","",INDEX('Detalle individual'!$A:$A,$H294))</f>
        <v/>
      </c>
      <c r="D294" s="5" t="str">
        <f>IF($H294="","",INDEX('Detalle individual'!$E:$E,$H294))</f>
        <v/>
      </c>
      <c r="E294" s="5" t="str">
        <f>IF($H294="","",INDEX('Detalle individual'!$C:$C,$H294))</f>
        <v/>
      </c>
      <c r="F294" s="5" t="str">
        <f>IF($H294="","",INDEX('Detalle individual'!$D:$D,$H294))</f>
        <v/>
      </c>
      <c r="G294" s="5" t="str">
        <f>IF($H294="","",INDEX('Detalle individual'!$F:$F,$H294))</f>
        <v/>
      </c>
      <c r="H294" t="str">
        <f>IFERROR(MATCH(SMALL(Cálculos!$AJ$5:$AJ$1000,290),Cálculos!$AJ$5:$AJ$1000,0)+4,"")</f>
        <v/>
      </c>
    </row>
    <row r="295">
      <c r="B295" s="5" t="str">
        <f>IF($H295="","",INDEX('Detalle individual'!$B:$B,$H295))</f>
        <v/>
      </c>
      <c r="C295" s="5" t="str">
        <f>IF($H295="","",INDEX('Detalle individual'!$A:$A,$H295))</f>
        <v/>
      </c>
      <c r="D295" s="5" t="str">
        <f>IF($H295="","",INDEX('Detalle individual'!$E:$E,$H295))</f>
        <v/>
      </c>
      <c r="E295" s="5" t="str">
        <f>IF($H295="","",INDEX('Detalle individual'!$C:$C,$H295))</f>
        <v/>
      </c>
      <c r="F295" s="5" t="str">
        <f>IF($H295="","",INDEX('Detalle individual'!$D:$D,$H295))</f>
        <v/>
      </c>
      <c r="G295" s="5" t="str">
        <f>IF($H295="","",INDEX('Detalle individual'!$F:$F,$H295))</f>
        <v/>
      </c>
      <c r="H295" t="str">
        <f>IFERROR(MATCH(SMALL(Cálculos!$AJ$5:$AJ$1000,291),Cálculos!$AJ$5:$AJ$1000,0)+4,"")</f>
        <v/>
      </c>
    </row>
    <row r="296">
      <c r="B296" s="5" t="str">
        <f>IF($H296="","",INDEX('Detalle individual'!$B:$B,$H296))</f>
        <v/>
      </c>
      <c r="C296" s="5" t="str">
        <f>IF($H296="","",INDEX('Detalle individual'!$A:$A,$H296))</f>
        <v/>
      </c>
      <c r="D296" s="5" t="str">
        <f>IF($H296="","",INDEX('Detalle individual'!$E:$E,$H296))</f>
        <v/>
      </c>
      <c r="E296" s="5" t="str">
        <f>IF($H296="","",INDEX('Detalle individual'!$C:$C,$H296))</f>
        <v/>
      </c>
      <c r="F296" s="5" t="str">
        <f>IF($H296="","",INDEX('Detalle individual'!$D:$D,$H296))</f>
        <v/>
      </c>
      <c r="G296" s="5" t="str">
        <f>IF($H296="","",INDEX('Detalle individual'!$F:$F,$H296))</f>
        <v/>
      </c>
      <c r="H296" t="str">
        <f>IFERROR(MATCH(SMALL(Cálculos!$AJ$5:$AJ$1000,292),Cálculos!$AJ$5:$AJ$1000,0)+4,"")</f>
        <v/>
      </c>
    </row>
    <row r="297">
      <c r="B297" s="5" t="str">
        <f>IF($H297="","",INDEX('Detalle individual'!$B:$B,$H297))</f>
        <v/>
      </c>
      <c r="C297" s="5" t="str">
        <f>IF($H297="","",INDEX('Detalle individual'!$A:$A,$H297))</f>
        <v/>
      </c>
      <c r="D297" s="5" t="str">
        <f>IF($H297="","",INDEX('Detalle individual'!$E:$E,$H297))</f>
        <v/>
      </c>
      <c r="E297" s="5" t="str">
        <f>IF($H297="","",INDEX('Detalle individual'!$C:$C,$H297))</f>
        <v/>
      </c>
      <c r="F297" s="5" t="str">
        <f>IF($H297="","",INDEX('Detalle individual'!$D:$D,$H297))</f>
        <v/>
      </c>
      <c r="G297" s="5" t="str">
        <f>IF($H297="","",INDEX('Detalle individual'!$F:$F,$H297))</f>
        <v/>
      </c>
      <c r="H297" t="str">
        <f>IFERROR(MATCH(SMALL(Cálculos!$AJ$5:$AJ$1000,293),Cálculos!$AJ$5:$AJ$1000,0)+4,"")</f>
        <v/>
      </c>
    </row>
    <row r="298">
      <c r="B298" s="5" t="str">
        <f>IF($H298="","",INDEX('Detalle individual'!$B:$B,$H298))</f>
        <v/>
      </c>
      <c r="C298" s="5" t="str">
        <f>IF($H298="","",INDEX('Detalle individual'!$A:$A,$H298))</f>
        <v/>
      </c>
      <c r="D298" s="5" t="str">
        <f>IF($H298="","",INDEX('Detalle individual'!$E:$E,$H298))</f>
        <v/>
      </c>
      <c r="E298" s="5" t="str">
        <f>IF($H298="","",INDEX('Detalle individual'!$C:$C,$H298))</f>
        <v/>
      </c>
      <c r="F298" s="5" t="str">
        <f>IF($H298="","",INDEX('Detalle individual'!$D:$D,$H298))</f>
        <v/>
      </c>
      <c r="G298" s="5" t="str">
        <f>IF($H298="","",INDEX('Detalle individual'!$F:$F,$H298))</f>
        <v/>
      </c>
      <c r="H298" t="str">
        <f>IFERROR(MATCH(SMALL(Cálculos!$AJ$5:$AJ$1000,294),Cálculos!$AJ$5:$AJ$1000,0)+4,"")</f>
        <v/>
      </c>
    </row>
    <row r="299">
      <c r="B299" s="5" t="str">
        <f>IF($H299="","",INDEX('Detalle individual'!$B:$B,$H299))</f>
        <v/>
      </c>
      <c r="C299" s="5" t="str">
        <f>IF($H299="","",INDEX('Detalle individual'!$A:$A,$H299))</f>
        <v/>
      </c>
      <c r="D299" s="5" t="str">
        <f>IF($H299="","",INDEX('Detalle individual'!$E:$E,$H299))</f>
        <v/>
      </c>
      <c r="E299" s="5" t="str">
        <f>IF($H299="","",INDEX('Detalle individual'!$C:$C,$H299))</f>
        <v/>
      </c>
      <c r="F299" s="5" t="str">
        <f>IF($H299="","",INDEX('Detalle individual'!$D:$D,$H299))</f>
        <v/>
      </c>
      <c r="G299" s="5" t="str">
        <f>IF($H299="","",INDEX('Detalle individual'!$F:$F,$H299))</f>
        <v/>
      </c>
      <c r="H299" t="str">
        <f>IFERROR(MATCH(SMALL(Cálculos!$AJ$5:$AJ$1000,295),Cálculos!$AJ$5:$AJ$1000,0)+4,"")</f>
        <v/>
      </c>
    </row>
    <row r="300">
      <c r="B300" s="5" t="str">
        <f>IF($H300="","",INDEX('Detalle individual'!$B:$B,$H300))</f>
        <v/>
      </c>
      <c r="C300" s="5" t="str">
        <f>IF($H300="","",INDEX('Detalle individual'!$A:$A,$H300))</f>
        <v/>
      </c>
      <c r="D300" s="5" t="str">
        <f>IF($H300="","",INDEX('Detalle individual'!$E:$E,$H300))</f>
        <v/>
      </c>
      <c r="E300" s="5" t="str">
        <f>IF($H300="","",INDEX('Detalle individual'!$C:$C,$H300))</f>
        <v/>
      </c>
      <c r="F300" s="5" t="str">
        <f>IF($H300="","",INDEX('Detalle individual'!$D:$D,$H300))</f>
        <v/>
      </c>
      <c r="G300" s="5" t="str">
        <f>IF($H300="","",INDEX('Detalle individual'!$F:$F,$H300))</f>
        <v/>
      </c>
      <c r="H300" t="str">
        <f>IFERROR(MATCH(SMALL(Cálculos!$AJ$5:$AJ$1000,296),Cálculos!$AJ$5:$AJ$1000,0)+4,"")</f>
        <v/>
      </c>
    </row>
    <row r="301">
      <c r="B301" s="5" t="str">
        <f>IF($H301="","",INDEX('Detalle individual'!$B:$B,$H301))</f>
        <v/>
      </c>
      <c r="C301" s="5" t="str">
        <f>IF($H301="","",INDEX('Detalle individual'!$A:$A,$H301))</f>
        <v/>
      </c>
      <c r="D301" s="5" t="str">
        <f>IF($H301="","",INDEX('Detalle individual'!$E:$E,$H301))</f>
        <v/>
      </c>
      <c r="E301" s="5" t="str">
        <f>IF($H301="","",INDEX('Detalle individual'!$C:$C,$H301))</f>
        <v/>
      </c>
      <c r="F301" s="5" t="str">
        <f>IF($H301="","",INDEX('Detalle individual'!$D:$D,$H301))</f>
        <v/>
      </c>
      <c r="G301" s="5" t="str">
        <f>IF($H301="","",INDEX('Detalle individual'!$F:$F,$H301))</f>
        <v/>
      </c>
      <c r="H301" t="str">
        <f>IFERROR(MATCH(SMALL(Cálculos!$AJ$5:$AJ$1000,297),Cálculos!$AJ$5:$AJ$1000,0)+4,"")</f>
        <v/>
      </c>
    </row>
    <row r="302">
      <c r="B302" s="5" t="str">
        <f>IF($H302="","",INDEX('Detalle individual'!$B:$B,$H302))</f>
        <v/>
      </c>
      <c r="C302" s="5" t="str">
        <f>IF($H302="","",INDEX('Detalle individual'!$A:$A,$H302))</f>
        <v/>
      </c>
      <c r="D302" s="5" t="str">
        <f>IF($H302="","",INDEX('Detalle individual'!$E:$E,$H302))</f>
        <v/>
      </c>
      <c r="E302" s="5" t="str">
        <f>IF($H302="","",INDEX('Detalle individual'!$C:$C,$H302))</f>
        <v/>
      </c>
      <c r="F302" s="5" t="str">
        <f>IF($H302="","",INDEX('Detalle individual'!$D:$D,$H302))</f>
        <v/>
      </c>
      <c r="G302" s="5" t="str">
        <f>IF($H302="","",INDEX('Detalle individual'!$F:$F,$H302))</f>
        <v/>
      </c>
      <c r="H302" t="str">
        <f>IFERROR(MATCH(SMALL(Cálculos!$AJ$5:$AJ$1000,298),Cálculos!$AJ$5:$AJ$1000,0)+4,"")</f>
        <v/>
      </c>
    </row>
    <row r="303">
      <c r="B303" s="5" t="str">
        <f>IF($H303="","",INDEX('Detalle individual'!$B:$B,$H303))</f>
        <v/>
      </c>
      <c r="C303" s="5" t="str">
        <f>IF($H303="","",INDEX('Detalle individual'!$A:$A,$H303))</f>
        <v/>
      </c>
      <c r="D303" s="5" t="str">
        <f>IF($H303="","",INDEX('Detalle individual'!$E:$E,$H303))</f>
        <v/>
      </c>
      <c r="E303" s="5" t="str">
        <f>IF($H303="","",INDEX('Detalle individual'!$C:$C,$H303))</f>
        <v/>
      </c>
      <c r="F303" s="5" t="str">
        <f>IF($H303="","",INDEX('Detalle individual'!$D:$D,$H303))</f>
        <v/>
      </c>
      <c r="G303" s="5" t="str">
        <f>IF($H303="","",INDEX('Detalle individual'!$F:$F,$H303))</f>
        <v/>
      </c>
      <c r="H303" t="str">
        <f>IFERROR(MATCH(SMALL(Cálculos!$AJ$5:$AJ$1000,299),Cálculos!$AJ$5:$AJ$1000,0)+4,"")</f>
        <v/>
      </c>
    </row>
    <row r="304">
      <c r="B304" s="5" t="str">
        <f>IF($H304="","",INDEX('Detalle individual'!$B:$B,$H304))</f>
        <v/>
      </c>
      <c r="C304" s="5" t="str">
        <f>IF($H304="","",INDEX('Detalle individual'!$A:$A,$H304))</f>
        <v/>
      </c>
      <c r="D304" s="5" t="str">
        <f>IF($H304="","",INDEX('Detalle individual'!$E:$E,$H304))</f>
        <v/>
      </c>
      <c r="E304" s="5" t="str">
        <f>IF($H304="","",INDEX('Detalle individual'!$C:$C,$H304))</f>
        <v/>
      </c>
      <c r="F304" s="5" t="str">
        <f>IF($H304="","",INDEX('Detalle individual'!$D:$D,$H304))</f>
        <v/>
      </c>
      <c r="G304" s="5" t="str">
        <f>IF($H304="","",INDEX('Detalle individual'!$F:$F,$H304))</f>
        <v/>
      </c>
      <c r="H304" t="str">
        <f>IFERROR(MATCH(SMALL(Cálculos!$AJ$5:$AJ$1000,300),Cálculos!$AJ$5:$AJ$1000,0)+4,"")</f>
        <v/>
      </c>
    </row>
    <row r="305">
      <c r="B305" s="5" t="str">
        <f>IF($H305="","",INDEX('Detalle individual'!$B:$B,$H305))</f>
        <v/>
      </c>
      <c r="C305" s="5" t="str">
        <f>IF($H305="","",INDEX('Detalle individual'!$A:$A,$H305))</f>
        <v/>
      </c>
      <c r="D305" s="5" t="str">
        <f>IF($H305="","",INDEX('Detalle individual'!$E:$E,$H305))</f>
        <v/>
      </c>
      <c r="E305" s="5" t="str">
        <f>IF($H305="","",INDEX('Detalle individual'!$C:$C,$H305))</f>
        <v/>
      </c>
      <c r="F305" s="5" t="str">
        <f>IF($H305="","",INDEX('Detalle individual'!$D:$D,$H305))</f>
        <v/>
      </c>
      <c r="G305" s="5" t="str">
        <f>IF($H305="","",INDEX('Detalle individual'!$F:$F,$H305))</f>
        <v/>
      </c>
      <c r="H305" t="str">
        <f>IFERROR(MATCH(SMALL(Cálculos!$AJ$5:$AJ$1000,301),Cálculos!$AJ$5:$AJ$1000,0)+4,"")</f>
        <v/>
      </c>
    </row>
    <row r="306">
      <c r="B306" s="5" t="str">
        <f>IF($H306="","",INDEX('Detalle individual'!$B:$B,$H306))</f>
        <v/>
      </c>
      <c r="C306" s="5" t="str">
        <f>IF($H306="","",INDEX('Detalle individual'!$A:$A,$H306))</f>
        <v/>
      </c>
      <c r="D306" s="5" t="str">
        <f>IF($H306="","",INDEX('Detalle individual'!$E:$E,$H306))</f>
        <v/>
      </c>
      <c r="E306" s="5" t="str">
        <f>IF($H306="","",INDEX('Detalle individual'!$C:$C,$H306))</f>
        <v/>
      </c>
      <c r="F306" s="5" t="str">
        <f>IF($H306="","",INDEX('Detalle individual'!$D:$D,$H306))</f>
        <v/>
      </c>
      <c r="G306" s="5" t="str">
        <f>IF($H306="","",INDEX('Detalle individual'!$F:$F,$H306))</f>
        <v/>
      </c>
      <c r="H306" t="str">
        <f>IFERROR(MATCH(SMALL(Cálculos!$AJ$5:$AJ$1000,302),Cálculos!$AJ$5:$AJ$1000,0)+4,"")</f>
        <v/>
      </c>
    </row>
    <row r="307">
      <c r="B307" s="5" t="str">
        <f>IF($H307="","",INDEX('Detalle individual'!$B:$B,$H307))</f>
        <v/>
      </c>
      <c r="C307" s="5" t="str">
        <f>IF($H307="","",INDEX('Detalle individual'!$A:$A,$H307))</f>
        <v/>
      </c>
      <c r="D307" s="5" t="str">
        <f>IF($H307="","",INDEX('Detalle individual'!$E:$E,$H307))</f>
        <v/>
      </c>
      <c r="E307" s="5" t="str">
        <f>IF($H307="","",INDEX('Detalle individual'!$C:$C,$H307))</f>
        <v/>
      </c>
      <c r="F307" s="5" t="str">
        <f>IF($H307="","",INDEX('Detalle individual'!$D:$D,$H307))</f>
        <v/>
      </c>
      <c r="G307" s="5" t="str">
        <f>IF($H307="","",INDEX('Detalle individual'!$F:$F,$H307))</f>
        <v/>
      </c>
      <c r="H307" t="str">
        <f>IFERROR(MATCH(SMALL(Cálculos!$AJ$5:$AJ$1000,303),Cálculos!$AJ$5:$AJ$1000,0)+4,"")</f>
        <v/>
      </c>
    </row>
    <row r="308">
      <c r="B308" s="5" t="str">
        <f>IF($H308="","",INDEX('Detalle individual'!$B:$B,$H308))</f>
        <v/>
      </c>
      <c r="C308" s="5" t="str">
        <f>IF($H308="","",INDEX('Detalle individual'!$A:$A,$H308))</f>
        <v/>
      </c>
      <c r="D308" s="5" t="str">
        <f>IF($H308="","",INDEX('Detalle individual'!$E:$E,$H308))</f>
        <v/>
      </c>
      <c r="E308" s="5" t="str">
        <f>IF($H308="","",INDEX('Detalle individual'!$C:$C,$H308))</f>
        <v/>
      </c>
      <c r="F308" s="5" t="str">
        <f>IF($H308="","",INDEX('Detalle individual'!$D:$D,$H308))</f>
        <v/>
      </c>
      <c r="G308" s="5" t="str">
        <f>IF($H308="","",INDEX('Detalle individual'!$F:$F,$H308))</f>
        <v/>
      </c>
      <c r="H308" t="str">
        <f>IFERROR(MATCH(SMALL(Cálculos!$AJ$5:$AJ$1000,304),Cálculos!$AJ$5:$AJ$1000,0)+4,"")</f>
        <v/>
      </c>
    </row>
    <row r="309">
      <c r="B309" s="5" t="str">
        <f>IF($H309="","",INDEX('Detalle individual'!$B:$B,$H309))</f>
        <v/>
      </c>
      <c r="C309" s="5" t="str">
        <f>IF($H309="","",INDEX('Detalle individual'!$A:$A,$H309))</f>
        <v/>
      </c>
      <c r="D309" s="5" t="str">
        <f>IF($H309="","",INDEX('Detalle individual'!$E:$E,$H309))</f>
        <v/>
      </c>
      <c r="E309" s="5" t="str">
        <f>IF($H309="","",INDEX('Detalle individual'!$C:$C,$H309))</f>
        <v/>
      </c>
      <c r="F309" s="5" t="str">
        <f>IF($H309="","",INDEX('Detalle individual'!$D:$D,$H309))</f>
        <v/>
      </c>
      <c r="G309" s="5" t="str">
        <f>IF($H309="","",INDEX('Detalle individual'!$F:$F,$H309))</f>
        <v/>
      </c>
      <c r="H309" t="str">
        <f>IFERROR(MATCH(SMALL(Cálculos!$AJ$5:$AJ$1000,305),Cálculos!$AJ$5:$AJ$1000,0)+4,"")</f>
        <v/>
      </c>
    </row>
    <row r="310">
      <c r="B310" s="5" t="str">
        <f>IF($H310="","",INDEX('Detalle individual'!$B:$B,$H310))</f>
        <v/>
      </c>
      <c r="C310" s="5" t="str">
        <f>IF($H310="","",INDEX('Detalle individual'!$A:$A,$H310))</f>
        <v/>
      </c>
      <c r="D310" s="5" t="str">
        <f>IF($H310="","",INDEX('Detalle individual'!$E:$E,$H310))</f>
        <v/>
      </c>
      <c r="E310" s="5" t="str">
        <f>IF($H310="","",INDEX('Detalle individual'!$C:$C,$H310))</f>
        <v/>
      </c>
      <c r="F310" s="5" t="str">
        <f>IF($H310="","",INDEX('Detalle individual'!$D:$D,$H310))</f>
        <v/>
      </c>
      <c r="G310" s="5" t="str">
        <f>IF($H310="","",INDEX('Detalle individual'!$F:$F,$H310))</f>
        <v/>
      </c>
      <c r="H310" t="str">
        <f>IFERROR(MATCH(SMALL(Cálculos!$AJ$5:$AJ$1000,306),Cálculos!$AJ$5:$AJ$1000,0)+4,"")</f>
        <v/>
      </c>
    </row>
    <row r="311">
      <c r="B311" s="5" t="str">
        <f>IF($H311="","",INDEX('Detalle individual'!$B:$B,$H311))</f>
        <v/>
      </c>
      <c r="C311" s="5" t="str">
        <f>IF($H311="","",INDEX('Detalle individual'!$A:$A,$H311))</f>
        <v/>
      </c>
      <c r="D311" s="5" t="str">
        <f>IF($H311="","",INDEX('Detalle individual'!$E:$E,$H311))</f>
        <v/>
      </c>
      <c r="E311" s="5" t="str">
        <f>IF($H311="","",INDEX('Detalle individual'!$C:$C,$H311))</f>
        <v/>
      </c>
      <c r="F311" s="5" t="str">
        <f>IF($H311="","",INDEX('Detalle individual'!$D:$D,$H311))</f>
        <v/>
      </c>
      <c r="G311" s="5" t="str">
        <f>IF($H311="","",INDEX('Detalle individual'!$F:$F,$H311))</f>
        <v/>
      </c>
      <c r="H311" t="str">
        <f>IFERROR(MATCH(SMALL(Cálculos!$AJ$5:$AJ$1000,307),Cálculos!$AJ$5:$AJ$1000,0)+4,"")</f>
        <v/>
      </c>
    </row>
    <row r="312">
      <c r="B312" s="5" t="str">
        <f>IF($H312="","",INDEX('Detalle individual'!$B:$B,$H312))</f>
        <v/>
      </c>
      <c r="C312" s="5" t="str">
        <f>IF($H312="","",INDEX('Detalle individual'!$A:$A,$H312))</f>
        <v/>
      </c>
      <c r="D312" s="5" t="str">
        <f>IF($H312="","",INDEX('Detalle individual'!$E:$E,$H312))</f>
        <v/>
      </c>
      <c r="E312" s="5" t="str">
        <f>IF($H312="","",INDEX('Detalle individual'!$C:$C,$H312))</f>
        <v/>
      </c>
      <c r="F312" s="5" t="str">
        <f>IF($H312="","",INDEX('Detalle individual'!$D:$D,$H312))</f>
        <v/>
      </c>
      <c r="G312" s="5" t="str">
        <f>IF($H312="","",INDEX('Detalle individual'!$F:$F,$H312))</f>
        <v/>
      </c>
      <c r="H312" t="str">
        <f>IFERROR(MATCH(SMALL(Cálculos!$AJ$5:$AJ$1000,308),Cálculos!$AJ$5:$AJ$1000,0)+4,"")</f>
        <v/>
      </c>
    </row>
    <row r="313">
      <c r="B313" s="5" t="str">
        <f>IF($H313="","",INDEX('Detalle individual'!$B:$B,$H313))</f>
        <v/>
      </c>
      <c r="C313" s="5" t="str">
        <f>IF($H313="","",INDEX('Detalle individual'!$A:$A,$H313))</f>
        <v/>
      </c>
      <c r="D313" s="5" t="str">
        <f>IF($H313="","",INDEX('Detalle individual'!$E:$E,$H313))</f>
        <v/>
      </c>
      <c r="E313" s="5" t="str">
        <f>IF($H313="","",INDEX('Detalle individual'!$C:$C,$H313))</f>
        <v/>
      </c>
      <c r="F313" s="5" t="str">
        <f>IF($H313="","",INDEX('Detalle individual'!$D:$D,$H313))</f>
        <v/>
      </c>
      <c r="G313" s="5" t="str">
        <f>IF($H313="","",INDEX('Detalle individual'!$F:$F,$H313))</f>
        <v/>
      </c>
      <c r="H313" t="str">
        <f>IFERROR(MATCH(SMALL(Cálculos!$AJ$5:$AJ$1000,309),Cálculos!$AJ$5:$AJ$1000,0)+4,"")</f>
        <v/>
      </c>
    </row>
    <row r="314">
      <c r="B314" s="5" t="str">
        <f>IF($H314="","",INDEX('Detalle individual'!$B:$B,$H314))</f>
        <v/>
      </c>
      <c r="C314" s="5" t="str">
        <f>IF($H314="","",INDEX('Detalle individual'!$A:$A,$H314))</f>
        <v/>
      </c>
      <c r="D314" s="5" t="str">
        <f>IF($H314="","",INDEX('Detalle individual'!$E:$E,$H314))</f>
        <v/>
      </c>
      <c r="E314" s="5" t="str">
        <f>IF($H314="","",INDEX('Detalle individual'!$C:$C,$H314))</f>
        <v/>
      </c>
      <c r="F314" s="5" t="str">
        <f>IF($H314="","",INDEX('Detalle individual'!$D:$D,$H314))</f>
        <v/>
      </c>
      <c r="G314" s="5" t="str">
        <f>IF($H314="","",INDEX('Detalle individual'!$F:$F,$H314))</f>
        <v/>
      </c>
      <c r="H314" t="str">
        <f>IFERROR(MATCH(SMALL(Cálculos!$AJ$5:$AJ$1000,310),Cálculos!$AJ$5:$AJ$1000,0)+4,"")</f>
        <v/>
      </c>
    </row>
    <row r="315">
      <c r="B315" s="5" t="str">
        <f>IF($H315="","",INDEX('Detalle individual'!$B:$B,$H315))</f>
        <v/>
      </c>
      <c r="C315" s="5" t="str">
        <f>IF($H315="","",INDEX('Detalle individual'!$A:$A,$H315))</f>
        <v/>
      </c>
      <c r="D315" s="5" t="str">
        <f>IF($H315="","",INDEX('Detalle individual'!$E:$E,$H315))</f>
        <v/>
      </c>
      <c r="E315" s="5" t="str">
        <f>IF($H315="","",INDEX('Detalle individual'!$C:$C,$H315))</f>
        <v/>
      </c>
      <c r="F315" s="5" t="str">
        <f>IF($H315="","",INDEX('Detalle individual'!$D:$D,$H315))</f>
        <v/>
      </c>
      <c r="G315" s="5" t="str">
        <f>IF($H315="","",INDEX('Detalle individual'!$F:$F,$H315))</f>
        <v/>
      </c>
      <c r="H315" t="str">
        <f>IFERROR(MATCH(SMALL(Cálculos!$AJ$5:$AJ$1000,311),Cálculos!$AJ$5:$AJ$1000,0)+4,"")</f>
        <v/>
      </c>
    </row>
    <row r="316">
      <c r="B316" s="5" t="str">
        <f>IF($H316="","",INDEX('Detalle individual'!$B:$B,$H316))</f>
        <v/>
      </c>
      <c r="C316" s="5" t="str">
        <f>IF($H316="","",INDEX('Detalle individual'!$A:$A,$H316))</f>
        <v/>
      </c>
      <c r="D316" s="5" t="str">
        <f>IF($H316="","",INDEX('Detalle individual'!$E:$E,$H316))</f>
        <v/>
      </c>
      <c r="E316" s="5" t="str">
        <f>IF($H316="","",INDEX('Detalle individual'!$C:$C,$H316))</f>
        <v/>
      </c>
      <c r="F316" s="5" t="str">
        <f>IF($H316="","",INDEX('Detalle individual'!$D:$D,$H316))</f>
        <v/>
      </c>
      <c r="G316" s="5" t="str">
        <f>IF($H316="","",INDEX('Detalle individual'!$F:$F,$H316))</f>
        <v/>
      </c>
      <c r="H316" t="str">
        <f>IFERROR(MATCH(SMALL(Cálculos!$AJ$5:$AJ$1000,312),Cálculos!$AJ$5:$AJ$1000,0)+4,"")</f>
        <v/>
      </c>
    </row>
    <row r="317">
      <c r="B317" s="5" t="str">
        <f>IF($H317="","",INDEX('Detalle individual'!$B:$B,$H317))</f>
        <v/>
      </c>
      <c r="C317" s="5" t="str">
        <f>IF($H317="","",INDEX('Detalle individual'!$A:$A,$H317))</f>
        <v/>
      </c>
      <c r="D317" s="5" t="str">
        <f>IF($H317="","",INDEX('Detalle individual'!$E:$E,$H317))</f>
        <v/>
      </c>
      <c r="E317" s="5" t="str">
        <f>IF($H317="","",INDEX('Detalle individual'!$C:$C,$H317))</f>
        <v/>
      </c>
      <c r="F317" s="5" t="str">
        <f>IF($H317="","",INDEX('Detalle individual'!$D:$D,$H317))</f>
        <v/>
      </c>
      <c r="G317" s="5" t="str">
        <f>IF($H317="","",INDEX('Detalle individual'!$F:$F,$H317))</f>
        <v/>
      </c>
      <c r="H317" t="str">
        <f>IFERROR(MATCH(SMALL(Cálculos!$AJ$5:$AJ$1000,313),Cálculos!$AJ$5:$AJ$1000,0)+4,"")</f>
        <v/>
      </c>
    </row>
    <row r="318">
      <c r="B318" s="5" t="str">
        <f>IF($H318="","",INDEX('Detalle individual'!$B:$B,$H318))</f>
        <v/>
      </c>
      <c r="C318" s="5" t="str">
        <f>IF($H318="","",INDEX('Detalle individual'!$A:$A,$H318))</f>
        <v/>
      </c>
      <c r="D318" s="5" t="str">
        <f>IF($H318="","",INDEX('Detalle individual'!$E:$E,$H318))</f>
        <v/>
      </c>
      <c r="E318" s="5" t="str">
        <f>IF($H318="","",INDEX('Detalle individual'!$C:$C,$H318))</f>
        <v/>
      </c>
      <c r="F318" s="5" t="str">
        <f>IF($H318="","",INDEX('Detalle individual'!$D:$D,$H318))</f>
        <v/>
      </c>
      <c r="G318" s="5" t="str">
        <f>IF($H318="","",INDEX('Detalle individual'!$F:$F,$H318))</f>
        <v/>
      </c>
      <c r="H318" t="str">
        <f>IFERROR(MATCH(SMALL(Cálculos!$AJ$5:$AJ$1000,314),Cálculos!$AJ$5:$AJ$1000,0)+4,"")</f>
        <v/>
      </c>
    </row>
    <row r="319">
      <c r="B319" s="5" t="str">
        <f>IF($H319="","",INDEX('Detalle individual'!$B:$B,$H319))</f>
        <v/>
      </c>
      <c r="C319" s="5" t="str">
        <f>IF($H319="","",INDEX('Detalle individual'!$A:$A,$H319))</f>
        <v/>
      </c>
      <c r="D319" s="5" t="str">
        <f>IF($H319="","",INDEX('Detalle individual'!$E:$E,$H319))</f>
        <v/>
      </c>
      <c r="E319" s="5" t="str">
        <f>IF($H319="","",INDEX('Detalle individual'!$C:$C,$H319))</f>
        <v/>
      </c>
      <c r="F319" s="5" t="str">
        <f>IF($H319="","",INDEX('Detalle individual'!$D:$D,$H319))</f>
        <v/>
      </c>
      <c r="G319" s="5" t="str">
        <f>IF($H319="","",INDEX('Detalle individual'!$F:$F,$H319))</f>
        <v/>
      </c>
      <c r="H319" t="str">
        <f>IFERROR(MATCH(SMALL(Cálculos!$AJ$5:$AJ$1000,315),Cálculos!$AJ$5:$AJ$1000,0)+4,"")</f>
        <v/>
      </c>
    </row>
    <row r="320">
      <c r="B320" s="5" t="str">
        <f>IF($H320="","",INDEX('Detalle individual'!$B:$B,$H320))</f>
        <v/>
      </c>
      <c r="C320" s="5" t="str">
        <f>IF($H320="","",INDEX('Detalle individual'!$A:$A,$H320))</f>
        <v/>
      </c>
      <c r="D320" s="5" t="str">
        <f>IF($H320="","",INDEX('Detalle individual'!$E:$E,$H320))</f>
        <v/>
      </c>
      <c r="E320" s="5" t="str">
        <f>IF($H320="","",INDEX('Detalle individual'!$C:$C,$H320))</f>
        <v/>
      </c>
      <c r="F320" s="5" t="str">
        <f>IF($H320="","",INDEX('Detalle individual'!$D:$D,$H320))</f>
        <v/>
      </c>
      <c r="G320" s="5" t="str">
        <f>IF($H320="","",INDEX('Detalle individual'!$F:$F,$H320))</f>
        <v/>
      </c>
      <c r="H320" t="str">
        <f>IFERROR(MATCH(SMALL(Cálculos!$AJ$5:$AJ$1000,316),Cálculos!$AJ$5:$AJ$1000,0)+4,"")</f>
        <v/>
      </c>
    </row>
    <row r="321">
      <c r="B321" s="5" t="str">
        <f>IF($H321="","",INDEX('Detalle individual'!$B:$B,$H321))</f>
        <v/>
      </c>
      <c r="C321" s="5" t="str">
        <f>IF($H321="","",INDEX('Detalle individual'!$A:$A,$H321))</f>
        <v/>
      </c>
      <c r="D321" s="5" t="str">
        <f>IF($H321="","",INDEX('Detalle individual'!$E:$E,$H321))</f>
        <v/>
      </c>
      <c r="E321" s="5" t="str">
        <f>IF($H321="","",INDEX('Detalle individual'!$C:$C,$H321))</f>
        <v/>
      </c>
      <c r="F321" s="5" t="str">
        <f>IF($H321="","",INDEX('Detalle individual'!$D:$D,$H321))</f>
        <v/>
      </c>
      <c r="G321" s="5" t="str">
        <f>IF($H321="","",INDEX('Detalle individual'!$F:$F,$H321))</f>
        <v/>
      </c>
      <c r="H321" t="str">
        <f>IFERROR(MATCH(SMALL(Cálculos!$AJ$5:$AJ$1000,317),Cálculos!$AJ$5:$AJ$1000,0)+4,"")</f>
        <v/>
      </c>
    </row>
    <row r="322">
      <c r="B322" s="5" t="str">
        <f>IF($H322="","",INDEX('Detalle individual'!$B:$B,$H322))</f>
        <v/>
      </c>
      <c r="C322" s="5" t="str">
        <f>IF($H322="","",INDEX('Detalle individual'!$A:$A,$H322))</f>
        <v/>
      </c>
      <c r="D322" s="5" t="str">
        <f>IF($H322="","",INDEX('Detalle individual'!$E:$E,$H322))</f>
        <v/>
      </c>
      <c r="E322" s="5" t="str">
        <f>IF($H322="","",INDEX('Detalle individual'!$C:$C,$H322))</f>
        <v/>
      </c>
      <c r="F322" s="5" t="str">
        <f>IF($H322="","",INDEX('Detalle individual'!$D:$D,$H322))</f>
        <v/>
      </c>
      <c r="G322" s="5" t="str">
        <f>IF($H322="","",INDEX('Detalle individual'!$F:$F,$H322))</f>
        <v/>
      </c>
      <c r="H322" t="str">
        <f>IFERROR(MATCH(SMALL(Cálculos!$AJ$5:$AJ$1000,318),Cálculos!$AJ$5:$AJ$1000,0)+4,"")</f>
        <v/>
      </c>
    </row>
    <row r="323">
      <c r="B323" s="5" t="str">
        <f>IF($H323="","",INDEX('Detalle individual'!$B:$B,$H323))</f>
        <v/>
      </c>
      <c r="C323" s="5" t="str">
        <f>IF($H323="","",INDEX('Detalle individual'!$A:$A,$H323))</f>
        <v/>
      </c>
      <c r="D323" s="5" t="str">
        <f>IF($H323="","",INDEX('Detalle individual'!$E:$E,$H323))</f>
        <v/>
      </c>
      <c r="E323" s="5" t="str">
        <f>IF($H323="","",INDEX('Detalle individual'!$C:$C,$H323))</f>
        <v/>
      </c>
      <c r="F323" s="5" t="str">
        <f>IF($H323="","",INDEX('Detalle individual'!$D:$D,$H323))</f>
        <v/>
      </c>
      <c r="G323" s="5" t="str">
        <f>IF($H323="","",INDEX('Detalle individual'!$F:$F,$H323))</f>
        <v/>
      </c>
      <c r="H323" t="str">
        <f>IFERROR(MATCH(SMALL(Cálculos!$AJ$5:$AJ$1000,319),Cálculos!$AJ$5:$AJ$1000,0)+4,"")</f>
        <v/>
      </c>
    </row>
    <row r="324">
      <c r="B324" s="5" t="str">
        <f>IF($H324="","",INDEX('Detalle individual'!$B:$B,$H324))</f>
        <v/>
      </c>
      <c r="C324" s="5" t="str">
        <f>IF($H324="","",INDEX('Detalle individual'!$A:$A,$H324))</f>
        <v/>
      </c>
      <c r="D324" s="5" t="str">
        <f>IF($H324="","",INDEX('Detalle individual'!$E:$E,$H324))</f>
        <v/>
      </c>
      <c r="E324" s="5" t="str">
        <f>IF($H324="","",INDEX('Detalle individual'!$C:$C,$H324))</f>
        <v/>
      </c>
      <c r="F324" s="5" t="str">
        <f>IF($H324="","",INDEX('Detalle individual'!$D:$D,$H324))</f>
        <v/>
      </c>
      <c r="G324" s="5" t="str">
        <f>IF($H324="","",INDEX('Detalle individual'!$F:$F,$H324))</f>
        <v/>
      </c>
      <c r="H324" t="str">
        <f>IFERROR(MATCH(SMALL(Cálculos!$AJ$5:$AJ$1000,320),Cálculos!$AJ$5:$AJ$1000,0)+4,"")</f>
        <v/>
      </c>
    </row>
    <row r="325">
      <c r="B325" s="5" t="str">
        <f>IF($H325="","",INDEX('Detalle individual'!$B:$B,$H325))</f>
        <v/>
      </c>
      <c r="C325" s="5" t="str">
        <f>IF($H325="","",INDEX('Detalle individual'!$A:$A,$H325))</f>
        <v/>
      </c>
      <c r="D325" s="5" t="str">
        <f>IF($H325="","",INDEX('Detalle individual'!$E:$E,$H325))</f>
        <v/>
      </c>
      <c r="E325" s="5" t="str">
        <f>IF($H325="","",INDEX('Detalle individual'!$C:$C,$H325))</f>
        <v/>
      </c>
      <c r="F325" s="5" t="str">
        <f>IF($H325="","",INDEX('Detalle individual'!$D:$D,$H325))</f>
        <v/>
      </c>
      <c r="G325" s="5" t="str">
        <f>IF($H325="","",INDEX('Detalle individual'!$F:$F,$H325))</f>
        <v/>
      </c>
      <c r="H325" t="str">
        <f>IFERROR(MATCH(SMALL(Cálculos!$AJ$5:$AJ$1000,321),Cálculos!$AJ$5:$AJ$1000,0)+4,"")</f>
        <v/>
      </c>
    </row>
    <row r="326">
      <c r="B326" s="5" t="str">
        <f>IF($H326="","",INDEX('Detalle individual'!$B:$B,$H326))</f>
        <v/>
      </c>
      <c r="C326" s="5" t="str">
        <f>IF($H326="","",INDEX('Detalle individual'!$A:$A,$H326))</f>
        <v/>
      </c>
      <c r="D326" s="5" t="str">
        <f>IF($H326="","",INDEX('Detalle individual'!$E:$E,$H326))</f>
        <v/>
      </c>
      <c r="E326" s="5" t="str">
        <f>IF($H326="","",INDEX('Detalle individual'!$C:$C,$H326))</f>
        <v/>
      </c>
      <c r="F326" s="5" t="str">
        <f>IF($H326="","",INDEX('Detalle individual'!$D:$D,$H326))</f>
        <v/>
      </c>
      <c r="G326" s="5" t="str">
        <f>IF($H326="","",INDEX('Detalle individual'!$F:$F,$H326))</f>
        <v/>
      </c>
      <c r="H326" t="str">
        <f>IFERROR(MATCH(SMALL(Cálculos!$AJ$5:$AJ$1000,322),Cálculos!$AJ$5:$AJ$1000,0)+4,"")</f>
        <v/>
      </c>
    </row>
    <row r="327">
      <c r="B327" s="5" t="str">
        <f>IF($H327="","",INDEX('Detalle individual'!$B:$B,$H327))</f>
        <v/>
      </c>
      <c r="C327" s="5" t="str">
        <f>IF($H327="","",INDEX('Detalle individual'!$A:$A,$H327))</f>
        <v/>
      </c>
      <c r="D327" s="5" t="str">
        <f>IF($H327="","",INDEX('Detalle individual'!$E:$E,$H327))</f>
        <v/>
      </c>
      <c r="E327" s="5" t="str">
        <f>IF($H327="","",INDEX('Detalle individual'!$C:$C,$H327))</f>
        <v/>
      </c>
      <c r="F327" s="5" t="str">
        <f>IF($H327="","",INDEX('Detalle individual'!$D:$D,$H327))</f>
        <v/>
      </c>
      <c r="G327" s="5" t="str">
        <f>IF($H327="","",INDEX('Detalle individual'!$F:$F,$H327))</f>
        <v/>
      </c>
      <c r="H327" t="str">
        <f>IFERROR(MATCH(SMALL(Cálculos!$AJ$5:$AJ$1000,323),Cálculos!$AJ$5:$AJ$1000,0)+4,"")</f>
        <v/>
      </c>
    </row>
    <row r="328">
      <c r="B328" s="5" t="str">
        <f>IF($H328="","",INDEX('Detalle individual'!$B:$B,$H328))</f>
        <v/>
      </c>
      <c r="C328" s="5" t="str">
        <f>IF($H328="","",INDEX('Detalle individual'!$A:$A,$H328))</f>
        <v/>
      </c>
      <c r="D328" s="5" t="str">
        <f>IF($H328="","",INDEX('Detalle individual'!$E:$E,$H328))</f>
        <v/>
      </c>
      <c r="E328" s="5" t="str">
        <f>IF($H328="","",INDEX('Detalle individual'!$C:$C,$H328))</f>
        <v/>
      </c>
      <c r="F328" s="5" t="str">
        <f>IF($H328="","",INDEX('Detalle individual'!$D:$D,$H328))</f>
        <v/>
      </c>
      <c r="G328" s="5" t="str">
        <f>IF($H328="","",INDEX('Detalle individual'!$F:$F,$H328))</f>
        <v/>
      </c>
      <c r="H328" t="str">
        <f>IFERROR(MATCH(SMALL(Cálculos!$AJ$5:$AJ$1000,324),Cálculos!$AJ$5:$AJ$1000,0)+4,"")</f>
        <v/>
      </c>
    </row>
    <row r="329">
      <c r="B329" s="5" t="str">
        <f>IF($H329="","",INDEX('Detalle individual'!$B:$B,$H329))</f>
        <v/>
      </c>
      <c r="C329" s="5" t="str">
        <f>IF($H329="","",INDEX('Detalle individual'!$A:$A,$H329))</f>
        <v/>
      </c>
      <c r="D329" s="5" t="str">
        <f>IF($H329="","",INDEX('Detalle individual'!$E:$E,$H329))</f>
        <v/>
      </c>
      <c r="E329" s="5" t="str">
        <f>IF($H329="","",INDEX('Detalle individual'!$C:$C,$H329))</f>
        <v/>
      </c>
      <c r="F329" s="5" t="str">
        <f>IF($H329="","",INDEX('Detalle individual'!$D:$D,$H329))</f>
        <v/>
      </c>
      <c r="G329" s="5" t="str">
        <f>IF($H329="","",INDEX('Detalle individual'!$F:$F,$H329))</f>
        <v/>
      </c>
      <c r="H329" t="str">
        <f>IFERROR(MATCH(SMALL(Cálculos!$AJ$5:$AJ$1000,325),Cálculos!$AJ$5:$AJ$1000,0)+4,"")</f>
        <v/>
      </c>
    </row>
    <row r="330">
      <c r="B330" s="5" t="str">
        <f>IF($H330="","",INDEX('Detalle individual'!$B:$B,$H330))</f>
        <v/>
      </c>
      <c r="C330" s="5" t="str">
        <f>IF($H330="","",INDEX('Detalle individual'!$A:$A,$H330))</f>
        <v/>
      </c>
      <c r="D330" s="5" t="str">
        <f>IF($H330="","",INDEX('Detalle individual'!$E:$E,$H330))</f>
        <v/>
      </c>
      <c r="E330" s="5" t="str">
        <f>IF($H330="","",INDEX('Detalle individual'!$C:$C,$H330))</f>
        <v/>
      </c>
      <c r="F330" s="5" t="str">
        <f>IF($H330="","",INDEX('Detalle individual'!$D:$D,$H330))</f>
        <v/>
      </c>
      <c r="G330" s="5" t="str">
        <f>IF($H330="","",INDEX('Detalle individual'!$F:$F,$H330))</f>
        <v/>
      </c>
      <c r="H330" t="str">
        <f>IFERROR(MATCH(SMALL(Cálculos!$AJ$5:$AJ$1000,326),Cálculos!$AJ$5:$AJ$1000,0)+4,"")</f>
        <v/>
      </c>
    </row>
    <row r="331">
      <c r="B331" s="5" t="str">
        <f>IF($H331="","",INDEX('Detalle individual'!$B:$B,$H331))</f>
        <v/>
      </c>
      <c r="C331" s="5" t="str">
        <f>IF($H331="","",INDEX('Detalle individual'!$A:$A,$H331))</f>
        <v/>
      </c>
      <c r="D331" s="5" t="str">
        <f>IF($H331="","",INDEX('Detalle individual'!$E:$E,$H331))</f>
        <v/>
      </c>
      <c r="E331" s="5" t="str">
        <f>IF($H331="","",INDEX('Detalle individual'!$C:$C,$H331))</f>
        <v/>
      </c>
      <c r="F331" s="5" t="str">
        <f>IF($H331="","",INDEX('Detalle individual'!$D:$D,$H331))</f>
        <v/>
      </c>
      <c r="G331" s="5" t="str">
        <f>IF($H331="","",INDEX('Detalle individual'!$F:$F,$H331))</f>
        <v/>
      </c>
      <c r="H331" t="str">
        <f>IFERROR(MATCH(SMALL(Cálculos!$AJ$5:$AJ$1000,327),Cálculos!$AJ$5:$AJ$1000,0)+4,"")</f>
        <v/>
      </c>
    </row>
    <row r="332">
      <c r="B332" s="5" t="str">
        <f>IF($H332="","",INDEX('Detalle individual'!$B:$B,$H332))</f>
        <v/>
      </c>
      <c r="C332" s="5" t="str">
        <f>IF($H332="","",INDEX('Detalle individual'!$A:$A,$H332))</f>
        <v/>
      </c>
      <c r="D332" s="5" t="str">
        <f>IF($H332="","",INDEX('Detalle individual'!$E:$E,$H332))</f>
        <v/>
      </c>
      <c r="E332" s="5" t="str">
        <f>IF($H332="","",INDEX('Detalle individual'!$C:$C,$H332))</f>
        <v/>
      </c>
      <c r="F332" s="5" t="str">
        <f>IF($H332="","",INDEX('Detalle individual'!$D:$D,$H332))</f>
        <v/>
      </c>
      <c r="G332" s="5" t="str">
        <f>IF($H332="","",INDEX('Detalle individual'!$F:$F,$H332))</f>
        <v/>
      </c>
      <c r="H332" t="str">
        <f>IFERROR(MATCH(SMALL(Cálculos!$AJ$5:$AJ$1000,328),Cálculos!$AJ$5:$AJ$1000,0)+4,"")</f>
        <v/>
      </c>
    </row>
    <row r="333">
      <c r="B333" s="5" t="str">
        <f>IF($H333="","",INDEX('Detalle individual'!$B:$B,$H333))</f>
        <v/>
      </c>
      <c r="C333" s="5" t="str">
        <f>IF($H333="","",INDEX('Detalle individual'!$A:$A,$H333))</f>
        <v/>
      </c>
      <c r="D333" s="5" t="str">
        <f>IF($H333="","",INDEX('Detalle individual'!$E:$E,$H333))</f>
        <v/>
      </c>
      <c r="E333" s="5" t="str">
        <f>IF($H333="","",INDEX('Detalle individual'!$C:$C,$H333))</f>
        <v/>
      </c>
      <c r="F333" s="5" t="str">
        <f>IF($H333="","",INDEX('Detalle individual'!$D:$D,$H333))</f>
        <v/>
      </c>
      <c r="G333" s="5" t="str">
        <f>IF($H333="","",INDEX('Detalle individual'!$F:$F,$H333))</f>
        <v/>
      </c>
      <c r="H333" t="str">
        <f>IFERROR(MATCH(SMALL(Cálculos!$AJ$5:$AJ$1000,329),Cálculos!$AJ$5:$AJ$1000,0)+4,"")</f>
        <v/>
      </c>
    </row>
    <row r="334">
      <c r="B334" s="5" t="str">
        <f>IF($H334="","",INDEX('Detalle individual'!$B:$B,$H334))</f>
        <v/>
      </c>
      <c r="C334" s="5" t="str">
        <f>IF($H334="","",INDEX('Detalle individual'!$A:$A,$H334))</f>
        <v/>
      </c>
      <c r="D334" s="5" t="str">
        <f>IF($H334="","",INDEX('Detalle individual'!$E:$E,$H334))</f>
        <v/>
      </c>
      <c r="E334" s="5" t="str">
        <f>IF($H334="","",INDEX('Detalle individual'!$C:$C,$H334))</f>
        <v/>
      </c>
      <c r="F334" s="5" t="str">
        <f>IF($H334="","",INDEX('Detalle individual'!$D:$D,$H334))</f>
        <v/>
      </c>
      <c r="G334" s="5" t="str">
        <f>IF($H334="","",INDEX('Detalle individual'!$F:$F,$H334))</f>
        <v/>
      </c>
      <c r="H334" t="str">
        <f>IFERROR(MATCH(SMALL(Cálculos!$AJ$5:$AJ$1000,330),Cálculos!$AJ$5:$AJ$1000,0)+4,"")</f>
        <v/>
      </c>
    </row>
    <row r="335">
      <c r="B335" s="5" t="str">
        <f>IF($H335="","",INDEX('Detalle individual'!$B:$B,$H335))</f>
        <v/>
      </c>
      <c r="C335" s="5" t="str">
        <f>IF($H335="","",INDEX('Detalle individual'!$A:$A,$H335))</f>
        <v/>
      </c>
      <c r="D335" s="5" t="str">
        <f>IF($H335="","",INDEX('Detalle individual'!$E:$E,$H335))</f>
        <v/>
      </c>
      <c r="E335" s="5" t="str">
        <f>IF($H335="","",INDEX('Detalle individual'!$C:$C,$H335))</f>
        <v/>
      </c>
      <c r="F335" s="5" t="str">
        <f>IF($H335="","",INDEX('Detalle individual'!$D:$D,$H335))</f>
        <v/>
      </c>
      <c r="G335" s="5" t="str">
        <f>IF($H335="","",INDEX('Detalle individual'!$F:$F,$H335))</f>
        <v/>
      </c>
      <c r="H335" t="str">
        <f>IFERROR(MATCH(SMALL(Cálculos!$AJ$5:$AJ$1000,331),Cálculos!$AJ$5:$AJ$1000,0)+4,"")</f>
        <v/>
      </c>
    </row>
    <row r="336">
      <c r="B336" s="5" t="str">
        <f>IF($H336="","",INDEX('Detalle individual'!$B:$B,$H336))</f>
        <v/>
      </c>
      <c r="C336" s="5" t="str">
        <f>IF($H336="","",INDEX('Detalle individual'!$A:$A,$H336))</f>
        <v/>
      </c>
      <c r="D336" s="5" t="str">
        <f>IF($H336="","",INDEX('Detalle individual'!$E:$E,$H336))</f>
        <v/>
      </c>
      <c r="E336" s="5" t="str">
        <f>IF($H336="","",INDEX('Detalle individual'!$C:$C,$H336))</f>
        <v/>
      </c>
      <c r="F336" s="5" t="str">
        <f>IF($H336="","",INDEX('Detalle individual'!$D:$D,$H336))</f>
        <v/>
      </c>
      <c r="G336" s="5" t="str">
        <f>IF($H336="","",INDEX('Detalle individual'!$F:$F,$H336))</f>
        <v/>
      </c>
      <c r="H336" t="str">
        <f>IFERROR(MATCH(SMALL(Cálculos!$AJ$5:$AJ$1000,332),Cálculos!$AJ$5:$AJ$1000,0)+4,"")</f>
        <v/>
      </c>
    </row>
    <row r="337">
      <c r="B337" s="5" t="str">
        <f>IF($H337="","",INDEX('Detalle individual'!$B:$B,$H337))</f>
        <v/>
      </c>
      <c r="C337" s="5" t="str">
        <f>IF($H337="","",INDEX('Detalle individual'!$A:$A,$H337))</f>
        <v/>
      </c>
      <c r="D337" s="5" t="str">
        <f>IF($H337="","",INDEX('Detalle individual'!$E:$E,$H337))</f>
        <v/>
      </c>
      <c r="E337" s="5" t="str">
        <f>IF($H337="","",INDEX('Detalle individual'!$C:$C,$H337))</f>
        <v/>
      </c>
      <c r="F337" s="5" t="str">
        <f>IF($H337="","",INDEX('Detalle individual'!$D:$D,$H337))</f>
        <v/>
      </c>
      <c r="G337" s="5" t="str">
        <f>IF($H337="","",INDEX('Detalle individual'!$F:$F,$H337))</f>
        <v/>
      </c>
      <c r="H337" t="str">
        <f>IFERROR(MATCH(SMALL(Cálculos!$AJ$5:$AJ$1000,333),Cálculos!$AJ$5:$AJ$1000,0)+4,"")</f>
        <v/>
      </c>
    </row>
    <row r="338">
      <c r="B338" s="5" t="str">
        <f>IF($H338="","",INDEX('Detalle individual'!$B:$B,$H338))</f>
        <v/>
      </c>
      <c r="C338" s="5" t="str">
        <f>IF($H338="","",INDEX('Detalle individual'!$A:$A,$H338))</f>
        <v/>
      </c>
      <c r="D338" s="5" t="str">
        <f>IF($H338="","",INDEX('Detalle individual'!$E:$E,$H338))</f>
        <v/>
      </c>
      <c r="E338" s="5" t="str">
        <f>IF($H338="","",INDEX('Detalle individual'!$C:$C,$H338))</f>
        <v/>
      </c>
      <c r="F338" s="5" t="str">
        <f>IF($H338="","",INDEX('Detalle individual'!$D:$D,$H338))</f>
        <v/>
      </c>
      <c r="G338" s="5" t="str">
        <f>IF($H338="","",INDEX('Detalle individual'!$F:$F,$H338))</f>
        <v/>
      </c>
      <c r="H338" t="str">
        <f>IFERROR(MATCH(SMALL(Cálculos!$AJ$5:$AJ$1000,334),Cálculos!$AJ$5:$AJ$1000,0)+4,"")</f>
        <v/>
      </c>
    </row>
    <row r="339">
      <c r="B339" s="5" t="str">
        <f>IF($H339="","",INDEX('Detalle individual'!$B:$B,$H339))</f>
        <v/>
      </c>
      <c r="C339" s="5" t="str">
        <f>IF($H339="","",INDEX('Detalle individual'!$A:$A,$H339))</f>
        <v/>
      </c>
      <c r="D339" s="5" t="str">
        <f>IF($H339="","",INDEX('Detalle individual'!$E:$E,$H339))</f>
        <v/>
      </c>
      <c r="E339" s="5" t="str">
        <f>IF($H339="","",INDEX('Detalle individual'!$C:$C,$H339))</f>
        <v/>
      </c>
      <c r="F339" s="5" t="str">
        <f>IF($H339="","",INDEX('Detalle individual'!$D:$D,$H339))</f>
        <v/>
      </c>
      <c r="G339" s="5" t="str">
        <f>IF($H339="","",INDEX('Detalle individual'!$F:$F,$H339))</f>
        <v/>
      </c>
      <c r="H339" t="str">
        <f>IFERROR(MATCH(SMALL(Cálculos!$AJ$5:$AJ$1000,335),Cálculos!$AJ$5:$AJ$1000,0)+4,"")</f>
        <v/>
      </c>
    </row>
    <row r="340">
      <c r="B340" s="5" t="str">
        <f>IF($H340="","",INDEX('Detalle individual'!$B:$B,$H340))</f>
        <v/>
      </c>
      <c r="C340" s="5" t="str">
        <f>IF($H340="","",INDEX('Detalle individual'!$A:$A,$H340))</f>
        <v/>
      </c>
      <c r="D340" s="5" t="str">
        <f>IF($H340="","",INDEX('Detalle individual'!$E:$E,$H340))</f>
        <v/>
      </c>
      <c r="E340" s="5" t="str">
        <f>IF($H340="","",INDEX('Detalle individual'!$C:$C,$H340))</f>
        <v/>
      </c>
      <c r="F340" s="5" t="str">
        <f>IF($H340="","",INDEX('Detalle individual'!$D:$D,$H340))</f>
        <v/>
      </c>
      <c r="G340" s="5" t="str">
        <f>IF($H340="","",INDEX('Detalle individual'!$F:$F,$H340))</f>
        <v/>
      </c>
      <c r="H340" t="str">
        <f>IFERROR(MATCH(SMALL(Cálculos!$AJ$5:$AJ$1000,336),Cálculos!$AJ$5:$AJ$1000,0)+4,"")</f>
        <v/>
      </c>
    </row>
    <row r="341">
      <c r="B341" s="5" t="str">
        <f>IF($H341="","",INDEX('Detalle individual'!$B:$B,$H341))</f>
        <v/>
      </c>
      <c r="C341" s="5" t="str">
        <f>IF($H341="","",INDEX('Detalle individual'!$A:$A,$H341))</f>
        <v/>
      </c>
      <c r="D341" s="5" t="str">
        <f>IF($H341="","",INDEX('Detalle individual'!$E:$E,$H341))</f>
        <v/>
      </c>
      <c r="E341" s="5" t="str">
        <f>IF($H341="","",INDEX('Detalle individual'!$C:$C,$H341))</f>
        <v/>
      </c>
      <c r="F341" s="5" t="str">
        <f>IF($H341="","",INDEX('Detalle individual'!$D:$D,$H341))</f>
        <v/>
      </c>
      <c r="G341" s="5" t="str">
        <f>IF($H341="","",INDEX('Detalle individual'!$F:$F,$H341))</f>
        <v/>
      </c>
      <c r="H341" t="str">
        <f>IFERROR(MATCH(SMALL(Cálculos!$AJ$5:$AJ$1000,337),Cálculos!$AJ$5:$AJ$1000,0)+4,"")</f>
        <v/>
      </c>
    </row>
    <row r="342">
      <c r="B342" s="5" t="str">
        <f>IF($H342="","",INDEX('Detalle individual'!$B:$B,$H342))</f>
        <v/>
      </c>
      <c r="C342" s="5" t="str">
        <f>IF($H342="","",INDEX('Detalle individual'!$A:$A,$H342))</f>
        <v/>
      </c>
      <c r="D342" s="5" t="str">
        <f>IF($H342="","",INDEX('Detalle individual'!$E:$E,$H342))</f>
        <v/>
      </c>
      <c r="E342" s="5" t="str">
        <f>IF($H342="","",INDEX('Detalle individual'!$C:$C,$H342))</f>
        <v/>
      </c>
      <c r="F342" s="5" t="str">
        <f>IF($H342="","",INDEX('Detalle individual'!$D:$D,$H342))</f>
        <v/>
      </c>
      <c r="G342" s="5" t="str">
        <f>IF($H342="","",INDEX('Detalle individual'!$F:$F,$H342))</f>
        <v/>
      </c>
      <c r="H342" t="str">
        <f>IFERROR(MATCH(SMALL(Cálculos!$AJ$5:$AJ$1000,338),Cálculos!$AJ$5:$AJ$1000,0)+4,"")</f>
        <v/>
      </c>
    </row>
    <row r="343">
      <c r="B343" s="5" t="str">
        <f>IF($H343="","",INDEX('Detalle individual'!$B:$B,$H343))</f>
        <v/>
      </c>
      <c r="C343" s="5" t="str">
        <f>IF($H343="","",INDEX('Detalle individual'!$A:$A,$H343))</f>
        <v/>
      </c>
      <c r="D343" s="5" t="str">
        <f>IF($H343="","",INDEX('Detalle individual'!$E:$E,$H343))</f>
        <v/>
      </c>
      <c r="E343" s="5" t="str">
        <f>IF($H343="","",INDEX('Detalle individual'!$C:$C,$H343))</f>
        <v/>
      </c>
      <c r="F343" s="5" t="str">
        <f>IF($H343="","",INDEX('Detalle individual'!$D:$D,$H343))</f>
        <v/>
      </c>
      <c r="G343" s="5" t="str">
        <f>IF($H343="","",INDEX('Detalle individual'!$F:$F,$H343))</f>
        <v/>
      </c>
      <c r="H343" t="str">
        <f>IFERROR(MATCH(SMALL(Cálculos!$AJ$5:$AJ$1000,339),Cálculos!$AJ$5:$AJ$1000,0)+4,"")</f>
        <v/>
      </c>
    </row>
    <row r="344">
      <c r="B344" s="5" t="str">
        <f>IF($H344="","",INDEX('Detalle individual'!$B:$B,$H344))</f>
        <v/>
      </c>
      <c r="C344" s="5" t="str">
        <f>IF($H344="","",INDEX('Detalle individual'!$A:$A,$H344))</f>
        <v/>
      </c>
      <c r="D344" s="5" t="str">
        <f>IF($H344="","",INDEX('Detalle individual'!$E:$E,$H344))</f>
        <v/>
      </c>
      <c r="E344" s="5" t="str">
        <f>IF($H344="","",INDEX('Detalle individual'!$C:$C,$H344))</f>
        <v/>
      </c>
      <c r="F344" s="5" t="str">
        <f>IF($H344="","",INDEX('Detalle individual'!$D:$D,$H344))</f>
        <v/>
      </c>
      <c r="G344" s="5" t="str">
        <f>IF($H344="","",INDEX('Detalle individual'!$F:$F,$H344))</f>
        <v/>
      </c>
      <c r="H344" t="str">
        <f>IFERROR(MATCH(SMALL(Cálculos!$AJ$5:$AJ$1000,340),Cálculos!$AJ$5:$AJ$1000,0)+4,"")</f>
        <v/>
      </c>
    </row>
    <row r="345">
      <c r="B345" s="5" t="str">
        <f>IF($H345="","",INDEX('Detalle individual'!$B:$B,$H345))</f>
        <v/>
      </c>
      <c r="C345" s="5" t="str">
        <f>IF($H345="","",INDEX('Detalle individual'!$A:$A,$H345))</f>
        <v/>
      </c>
      <c r="D345" s="5" t="str">
        <f>IF($H345="","",INDEX('Detalle individual'!$E:$E,$H345))</f>
        <v/>
      </c>
      <c r="E345" s="5" t="str">
        <f>IF($H345="","",INDEX('Detalle individual'!$C:$C,$H345))</f>
        <v/>
      </c>
      <c r="F345" s="5" t="str">
        <f>IF($H345="","",INDEX('Detalle individual'!$D:$D,$H345))</f>
        <v/>
      </c>
      <c r="G345" s="5" t="str">
        <f>IF($H345="","",INDEX('Detalle individual'!$F:$F,$H345))</f>
        <v/>
      </c>
      <c r="H345" t="str">
        <f>IFERROR(MATCH(SMALL(Cálculos!$AJ$5:$AJ$1000,341),Cálculos!$AJ$5:$AJ$1000,0)+4,"")</f>
        <v/>
      </c>
    </row>
    <row r="346">
      <c r="B346" s="5" t="str">
        <f>IF($H346="","",INDEX('Detalle individual'!$B:$B,$H346))</f>
        <v/>
      </c>
      <c r="C346" s="5" t="str">
        <f>IF($H346="","",INDEX('Detalle individual'!$A:$A,$H346))</f>
        <v/>
      </c>
      <c r="D346" s="5" t="str">
        <f>IF($H346="","",INDEX('Detalle individual'!$E:$E,$H346))</f>
        <v/>
      </c>
      <c r="E346" s="5" t="str">
        <f>IF($H346="","",INDEX('Detalle individual'!$C:$C,$H346))</f>
        <v/>
      </c>
      <c r="F346" s="5" t="str">
        <f>IF($H346="","",INDEX('Detalle individual'!$D:$D,$H346))</f>
        <v/>
      </c>
      <c r="G346" s="5" t="str">
        <f>IF($H346="","",INDEX('Detalle individual'!$F:$F,$H346))</f>
        <v/>
      </c>
      <c r="H346" t="str">
        <f>IFERROR(MATCH(SMALL(Cálculos!$AJ$5:$AJ$1000,342),Cálculos!$AJ$5:$AJ$1000,0)+4,"")</f>
        <v/>
      </c>
    </row>
    <row r="347">
      <c r="B347" s="5" t="str">
        <f>IF($H347="","",INDEX('Detalle individual'!$B:$B,$H347))</f>
        <v/>
      </c>
      <c r="C347" s="5" t="str">
        <f>IF($H347="","",INDEX('Detalle individual'!$A:$A,$H347))</f>
        <v/>
      </c>
      <c r="D347" s="5" t="str">
        <f>IF($H347="","",INDEX('Detalle individual'!$E:$E,$H347))</f>
        <v/>
      </c>
      <c r="E347" s="5" t="str">
        <f>IF($H347="","",INDEX('Detalle individual'!$C:$C,$H347))</f>
        <v/>
      </c>
      <c r="F347" s="5" t="str">
        <f>IF($H347="","",INDEX('Detalle individual'!$D:$D,$H347))</f>
        <v/>
      </c>
      <c r="G347" s="5" t="str">
        <f>IF($H347="","",INDEX('Detalle individual'!$F:$F,$H347))</f>
        <v/>
      </c>
      <c r="H347" t="str">
        <f>IFERROR(MATCH(SMALL(Cálculos!$AJ$5:$AJ$1000,343),Cálculos!$AJ$5:$AJ$1000,0)+4,"")</f>
        <v/>
      </c>
    </row>
    <row r="348">
      <c r="B348" s="5" t="str">
        <f>IF($H348="","",INDEX('Detalle individual'!$B:$B,$H348))</f>
        <v/>
      </c>
      <c r="C348" s="5" t="str">
        <f>IF($H348="","",INDEX('Detalle individual'!$A:$A,$H348))</f>
        <v/>
      </c>
      <c r="D348" s="5" t="str">
        <f>IF($H348="","",INDEX('Detalle individual'!$E:$E,$H348))</f>
        <v/>
      </c>
      <c r="E348" s="5" t="str">
        <f>IF($H348="","",INDEX('Detalle individual'!$C:$C,$H348))</f>
        <v/>
      </c>
      <c r="F348" s="5" t="str">
        <f>IF($H348="","",INDEX('Detalle individual'!$D:$D,$H348))</f>
        <v/>
      </c>
      <c r="G348" s="5" t="str">
        <f>IF($H348="","",INDEX('Detalle individual'!$F:$F,$H348))</f>
        <v/>
      </c>
      <c r="H348" t="str">
        <f>IFERROR(MATCH(SMALL(Cálculos!$AJ$5:$AJ$1000,344),Cálculos!$AJ$5:$AJ$1000,0)+4,"")</f>
        <v/>
      </c>
    </row>
    <row r="349">
      <c r="B349" s="5" t="str">
        <f>IF($H349="","",INDEX('Detalle individual'!$B:$B,$H349))</f>
        <v/>
      </c>
      <c r="C349" s="5" t="str">
        <f>IF($H349="","",INDEX('Detalle individual'!$A:$A,$H349))</f>
        <v/>
      </c>
      <c r="D349" s="5" t="str">
        <f>IF($H349="","",INDEX('Detalle individual'!$E:$E,$H349))</f>
        <v/>
      </c>
      <c r="E349" s="5" t="str">
        <f>IF($H349="","",INDEX('Detalle individual'!$C:$C,$H349))</f>
        <v/>
      </c>
      <c r="F349" s="5" t="str">
        <f>IF($H349="","",INDEX('Detalle individual'!$D:$D,$H349))</f>
        <v/>
      </c>
      <c r="G349" s="5" t="str">
        <f>IF($H349="","",INDEX('Detalle individual'!$F:$F,$H349))</f>
        <v/>
      </c>
      <c r="H349" t="str">
        <f>IFERROR(MATCH(SMALL(Cálculos!$AJ$5:$AJ$1000,345),Cálculos!$AJ$5:$AJ$1000,0)+4,"")</f>
        <v/>
      </c>
    </row>
    <row r="350">
      <c r="B350" s="5" t="str">
        <f>IF($H350="","",INDEX('Detalle individual'!$B:$B,$H350))</f>
        <v/>
      </c>
      <c r="C350" s="5" t="str">
        <f>IF($H350="","",INDEX('Detalle individual'!$A:$A,$H350))</f>
        <v/>
      </c>
      <c r="D350" s="5" t="str">
        <f>IF($H350="","",INDEX('Detalle individual'!$E:$E,$H350))</f>
        <v/>
      </c>
      <c r="E350" s="5" t="str">
        <f>IF($H350="","",INDEX('Detalle individual'!$C:$C,$H350))</f>
        <v/>
      </c>
      <c r="F350" s="5" t="str">
        <f>IF($H350="","",INDEX('Detalle individual'!$D:$D,$H350))</f>
        <v/>
      </c>
      <c r="G350" s="5" t="str">
        <f>IF($H350="","",INDEX('Detalle individual'!$F:$F,$H350))</f>
        <v/>
      </c>
      <c r="H350" t="str">
        <f>IFERROR(MATCH(SMALL(Cálculos!$AJ$5:$AJ$1000,346),Cálculos!$AJ$5:$AJ$1000,0)+4,"")</f>
        <v/>
      </c>
    </row>
    <row r="351">
      <c r="B351" s="5" t="str">
        <f>IF($H351="","",INDEX('Detalle individual'!$B:$B,$H351))</f>
        <v/>
      </c>
      <c r="C351" s="5" t="str">
        <f>IF($H351="","",INDEX('Detalle individual'!$A:$A,$H351))</f>
        <v/>
      </c>
      <c r="D351" s="5" t="str">
        <f>IF($H351="","",INDEX('Detalle individual'!$E:$E,$H351))</f>
        <v/>
      </c>
      <c r="E351" s="5" t="str">
        <f>IF($H351="","",INDEX('Detalle individual'!$C:$C,$H351))</f>
        <v/>
      </c>
      <c r="F351" s="5" t="str">
        <f>IF($H351="","",INDEX('Detalle individual'!$D:$D,$H351))</f>
        <v/>
      </c>
      <c r="G351" s="5" t="str">
        <f>IF($H351="","",INDEX('Detalle individual'!$F:$F,$H351))</f>
        <v/>
      </c>
      <c r="H351" t="str">
        <f>IFERROR(MATCH(SMALL(Cálculos!$AJ$5:$AJ$1000,347),Cálculos!$AJ$5:$AJ$1000,0)+4,"")</f>
        <v/>
      </c>
    </row>
    <row r="352">
      <c r="B352" s="5" t="str">
        <f>IF($H352="","",INDEX('Detalle individual'!$B:$B,$H352))</f>
        <v/>
      </c>
      <c r="C352" s="5" t="str">
        <f>IF($H352="","",INDEX('Detalle individual'!$A:$A,$H352))</f>
        <v/>
      </c>
      <c r="D352" s="5" t="str">
        <f>IF($H352="","",INDEX('Detalle individual'!$E:$E,$H352))</f>
        <v/>
      </c>
      <c r="E352" s="5" t="str">
        <f>IF($H352="","",INDEX('Detalle individual'!$C:$C,$H352))</f>
        <v/>
      </c>
      <c r="F352" s="5" t="str">
        <f>IF($H352="","",INDEX('Detalle individual'!$D:$D,$H352))</f>
        <v/>
      </c>
      <c r="G352" s="5" t="str">
        <f>IF($H352="","",INDEX('Detalle individual'!$F:$F,$H352))</f>
        <v/>
      </c>
      <c r="H352" t="str">
        <f>IFERROR(MATCH(SMALL(Cálculos!$AJ$5:$AJ$1000,348),Cálculos!$AJ$5:$AJ$1000,0)+4,"")</f>
        <v/>
      </c>
    </row>
    <row r="353">
      <c r="B353" s="5" t="str">
        <f>IF($H353="","",INDEX('Detalle individual'!$B:$B,$H353))</f>
        <v/>
      </c>
      <c r="C353" s="5" t="str">
        <f>IF($H353="","",INDEX('Detalle individual'!$A:$A,$H353))</f>
        <v/>
      </c>
      <c r="D353" s="5" t="str">
        <f>IF($H353="","",INDEX('Detalle individual'!$E:$E,$H353))</f>
        <v/>
      </c>
      <c r="E353" s="5" t="str">
        <f>IF($H353="","",INDEX('Detalle individual'!$C:$C,$H353))</f>
        <v/>
      </c>
      <c r="F353" s="5" t="str">
        <f>IF($H353="","",INDEX('Detalle individual'!$D:$D,$H353))</f>
        <v/>
      </c>
      <c r="G353" s="5" t="str">
        <f>IF($H353="","",INDEX('Detalle individual'!$F:$F,$H353))</f>
        <v/>
      </c>
      <c r="H353" t="str">
        <f>IFERROR(MATCH(SMALL(Cálculos!$AJ$5:$AJ$1000,349),Cálculos!$AJ$5:$AJ$1000,0)+4,"")</f>
        <v/>
      </c>
    </row>
    <row r="354">
      <c r="B354" s="5" t="str">
        <f>IF($H354="","",INDEX('Detalle individual'!$B:$B,$H354))</f>
        <v/>
      </c>
      <c r="C354" s="5" t="str">
        <f>IF($H354="","",INDEX('Detalle individual'!$A:$A,$H354))</f>
        <v/>
      </c>
      <c r="D354" s="5" t="str">
        <f>IF($H354="","",INDEX('Detalle individual'!$E:$E,$H354))</f>
        <v/>
      </c>
      <c r="E354" s="5" t="str">
        <f>IF($H354="","",INDEX('Detalle individual'!$C:$C,$H354))</f>
        <v/>
      </c>
      <c r="F354" s="5" t="str">
        <f>IF($H354="","",INDEX('Detalle individual'!$D:$D,$H354))</f>
        <v/>
      </c>
      <c r="G354" s="5" t="str">
        <f>IF($H354="","",INDEX('Detalle individual'!$F:$F,$H354))</f>
        <v/>
      </c>
      <c r="H354" t="str">
        <f>IFERROR(MATCH(SMALL(Cálculos!$AJ$5:$AJ$1000,350),Cálculos!$AJ$5:$AJ$1000,0)+4,"")</f>
        <v/>
      </c>
    </row>
    <row r="355">
      <c r="B355" s="5" t="str">
        <f>IF($H355="","",INDEX('Detalle individual'!$B:$B,$H355))</f>
        <v/>
      </c>
      <c r="C355" s="5" t="str">
        <f>IF($H355="","",INDEX('Detalle individual'!$A:$A,$H355))</f>
        <v/>
      </c>
      <c r="D355" s="5" t="str">
        <f>IF($H355="","",INDEX('Detalle individual'!$E:$E,$H355))</f>
        <v/>
      </c>
      <c r="E355" s="5" t="str">
        <f>IF($H355="","",INDEX('Detalle individual'!$C:$C,$H355))</f>
        <v/>
      </c>
      <c r="F355" s="5" t="str">
        <f>IF($H355="","",INDEX('Detalle individual'!$D:$D,$H355))</f>
        <v/>
      </c>
      <c r="G355" s="5" t="str">
        <f>IF($H355="","",INDEX('Detalle individual'!$F:$F,$H355))</f>
        <v/>
      </c>
      <c r="H355" t="str">
        <f>IFERROR(MATCH(SMALL(Cálculos!$AJ$5:$AJ$1000,351),Cálculos!$AJ$5:$AJ$1000,0)+4,"")</f>
        <v/>
      </c>
    </row>
    <row r="356">
      <c r="B356" s="5" t="str">
        <f>IF($H356="","",INDEX('Detalle individual'!$B:$B,$H356))</f>
        <v/>
      </c>
      <c r="C356" s="5" t="str">
        <f>IF($H356="","",INDEX('Detalle individual'!$A:$A,$H356))</f>
        <v/>
      </c>
      <c r="D356" s="5" t="str">
        <f>IF($H356="","",INDEX('Detalle individual'!$E:$E,$H356))</f>
        <v/>
      </c>
      <c r="E356" s="5" t="str">
        <f>IF($H356="","",INDEX('Detalle individual'!$C:$C,$H356))</f>
        <v/>
      </c>
      <c r="F356" s="5" t="str">
        <f>IF($H356="","",INDEX('Detalle individual'!$D:$D,$H356))</f>
        <v/>
      </c>
      <c r="G356" s="5" t="str">
        <f>IF($H356="","",INDEX('Detalle individual'!$F:$F,$H356))</f>
        <v/>
      </c>
      <c r="H356" t="str">
        <f>IFERROR(MATCH(SMALL(Cálculos!$AJ$5:$AJ$1000,352),Cálculos!$AJ$5:$AJ$1000,0)+4,"")</f>
        <v/>
      </c>
    </row>
    <row r="357">
      <c r="B357" s="5" t="str">
        <f>IF($H357="","",INDEX('Detalle individual'!$B:$B,$H357))</f>
        <v/>
      </c>
      <c r="C357" s="5" t="str">
        <f>IF($H357="","",INDEX('Detalle individual'!$A:$A,$H357))</f>
        <v/>
      </c>
      <c r="D357" s="5" t="str">
        <f>IF($H357="","",INDEX('Detalle individual'!$E:$E,$H357))</f>
        <v/>
      </c>
      <c r="E357" s="5" t="str">
        <f>IF($H357="","",INDEX('Detalle individual'!$C:$C,$H357))</f>
        <v/>
      </c>
      <c r="F357" s="5" t="str">
        <f>IF($H357="","",INDEX('Detalle individual'!$D:$D,$H357))</f>
        <v/>
      </c>
      <c r="G357" s="5" t="str">
        <f>IF($H357="","",INDEX('Detalle individual'!$F:$F,$H357))</f>
        <v/>
      </c>
      <c r="H357" t="str">
        <f>IFERROR(MATCH(SMALL(Cálculos!$AJ$5:$AJ$1000,353),Cálculos!$AJ$5:$AJ$1000,0)+4,"")</f>
        <v/>
      </c>
    </row>
    <row r="358">
      <c r="B358" s="5" t="str">
        <f>IF($H358="","",INDEX('Detalle individual'!$B:$B,$H358))</f>
        <v/>
      </c>
      <c r="C358" s="5" t="str">
        <f>IF($H358="","",INDEX('Detalle individual'!$A:$A,$H358))</f>
        <v/>
      </c>
      <c r="D358" s="5" t="str">
        <f>IF($H358="","",INDEX('Detalle individual'!$E:$E,$H358))</f>
        <v/>
      </c>
      <c r="E358" s="5" t="str">
        <f>IF($H358="","",INDEX('Detalle individual'!$C:$C,$H358))</f>
        <v/>
      </c>
      <c r="F358" s="5" t="str">
        <f>IF($H358="","",INDEX('Detalle individual'!$D:$D,$H358))</f>
        <v/>
      </c>
      <c r="G358" s="5" t="str">
        <f>IF($H358="","",INDEX('Detalle individual'!$F:$F,$H358))</f>
        <v/>
      </c>
      <c r="H358" t="str">
        <f>IFERROR(MATCH(SMALL(Cálculos!$AJ$5:$AJ$1000,354),Cálculos!$AJ$5:$AJ$1000,0)+4,"")</f>
        <v/>
      </c>
    </row>
    <row r="359">
      <c r="B359" s="5" t="str">
        <f>IF($H359="","",INDEX('Detalle individual'!$B:$B,$H359))</f>
        <v/>
      </c>
      <c r="C359" s="5" t="str">
        <f>IF($H359="","",INDEX('Detalle individual'!$A:$A,$H359))</f>
        <v/>
      </c>
      <c r="D359" s="5" t="str">
        <f>IF($H359="","",INDEX('Detalle individual'!$E:$E,$H359))</f>
        <v/>
      </c>
      <c r="E359" s="5" t="str">
        <f>IF($H359="","",INDEX('Detalle individual'!$C:$C,$H359))</f>
        <v/>
      </c>
      <c r="F359" s="5" t="str">
        <f>IF($H359="","",INDEX('Detalle individual'!$D:$D,$H359))</f>
        <v/>
      </c>
      <c r="G359" s="5" t="str">
        <f>IF($H359="","",INDEX('Detalle individual'!$F:$F,$H359))</f>
        <v/>
      </c>
      <c r="H359" t="str">
        <f>IFERROR(MATCH(SMALL(Cálculos!$AJ$5:$AJ$1000,355),Cálculos!$AJ$5:$AJ$1000,0)+4,"")</f>
        <v/>
      </c>
    </row>
    <row r="360">
      <c r="B360" s="5" t="str">
        <f>IF($H360="","",INDEX('Detalle individual'!$B:$B,$H360))</f>
        <v/>
      </c>
      <c r="C360" s="5" t="str">
        <f>IF($H360="","",INDEX('Detalle individual'!$A:$A,$H360))</f>
        <v/>
      </c>
      <c r="D360" s="5" t="str">
        <f>IF($H360="","",INDEX('Detalle individual'!$E:$E,$H360))</f>
        <v/>
      </c>
      <c r="E360" s="5" t="str">
        <f>IF($H360="","",INDEX('Detalle individual'!$C:$C,$H360))</f>
        <v/>
      </c>
      <c r="F360" s="5" t="str">
        <f>IF($H360="","",INDEX('Detalle individual'!$D:$D,$H360))</f>
        <v/>
      </c>
      <c r="G360" s="5" t="str">
        <f>IF($H360="","",INDEX('Detalle individual'!$F:$F,$H360))</f>
        <v/>
      </c>
      <c r="H360" t="str">
        <f>IFERROR(MATCH(SMALL(Cálculos!$AJ$5:$AJ$1000,356),Cálculos!$AJ$5:$AJ$1000,0)+4,"")</f>
        <v/>
      </c>
    </row>
    <row r="361">
      <c r="B361" s="5" t="str">
        <f>IF($H361="","",INDEX('Detalle individual'!$B:$B,$H361))</f>
        <v/>
      </c>
      <c r="C361" s="5" t="str">
        <f>IF($H361="","",INDEX('Detalle individual'!$A:$A,$H361))</f>
        <v/>
      </c>
      <c r="D361" s="5" t="str">
        <f>IF($H361="","",INDEX('Detalle individual'!$E:$E,$H361))</f>
        <v/>
      </c>
      <c r="E361" s="5" t="str">
        <f>IF($H361="","",INDEX('Detalle individual'!$C:$C,$H361))</f>
        <v/>
      </c>
      <c r="F361" s="5" t="str">
        <f>IF($H361="","",INDEX('Detalle individual'!$D:$D,$H361))</f>
        <v/>
      </c>
      <c r="G361" s="5" t="str">
        <f>IF($H361="","",INDEX('Detalle individual'!$F:$F,$H361))</f>
        <v/>
      </c>
      <c r="H361" t="str">
        <f>IFERROR(MATCH(SMALL(Cálculos!$AJ$5:$AJ$1000,357),Cálculos!$AJ$5:$AJ$1000,0)+4,"")</f>
        <v/>
      </c>
    </row>
    <row r="362">
      <c r="B362" s="5" t="str">
        <f>IF($H362="","",INDEX('Detalle individual'!$B:$B,$H362))</f>
        <v/>
      </c>
      <c r="C362" s="5" t="str">
        <f>IF($H362="","",INDEX('Detalle individual'!$A:$A,$H362))</f>
        <v/>
      </c>
      <c r="D362" s="5" t="str">
        <f>IF($H362="","",INDEX('Detalle individual'!$E:$E,$H362))</f>
        <v/>
      </c>
      <c r="E362" s="5" t="str">
        <f>IF($H362="","",INDEX('Detalle individual'!$C:$C,$H362))</f>
        <v/>
      </c>
      <c r="F362" s="5" t="str">
        <f>IF($H362="","",INDEX('Detalle individual'!$D:$D,$H362))</f>
        <v/>
      </c>
      <c r="G362" s="5" t="str">
        <f>IF($H362="","",INDEX('Detalle individual'!$F:$F,$H362))</f>
        <v/>
      </c>
      <c r="H362" t="str">
        <f>IFERROR(MATCH(SMALL(Cálculos!$AJ$5:$AJ$1000,358),Cálculos!$AJ$5:$AJ$1000,0)+4,"")</f>
        <v/>
      </c>
    </row>
    <row r="363">
      <c r="B363" s="5" t="str">
        <f>IF($H363="","",INDEX('Detalle individual'!$B:$B,$H363))</f>
        <v/>
      </c>
      <c r="C363" s="5" t="str">
        <f>IF($H363="","",INDEX('Detalle individual'!$A:$A,$H363))</f>
        <v/>
      </c>
      <c r="D363" s="5" t="str">
        <f>IF($H363="","",INDEX('Detalle individual'!$E:$E,$H363))</f>
        <v/>
      </c>
      <c r="E363" s="5" t="str">
        <f>IF($H363="","",INDEX('Detalle individual'!$C:$C,$H363))</f>
        <v/>
      </c>
      <c r="F363" s="5" t="str">
        <f>IF($H363="","",INDEX('Detalle individual'!$D:$D,$H363))</f>
        <v/>
      </c>
      <c r="G363" s="5" t="str">
        <f>IF($H363="","",INDEX('Detalle individual'!$F:$F,$H363))</f>
        <v/>
      </c>
      <c r="H363" t="str">
        <f>IFERROR(MATCH(SMALL(Cálculos!$AJ$5:$AJ$1000,359),Cálculos!$AJ$5:$AJ$1000,0)+4,"")</f>
        <v/>
      </c>
    </row>
    <row r="364">
      <c r="B364" s="5" t="str">
        <f>IF($H364="","",INDEX('Detalle individual'!$B:$B,$H364))</f>
        <v/>
      </c>
      <c r="C364" s="5" t="str">
        <f>IF($H364="","",INDEX('Detalle individual'!$A:$A,$H364))</f>
        <v/>
      </c>
      <c r="D364" s="5" t="str">
        <f>IF($H364="","",INDEX('Detalle individual'!$E:$E,$H364))</f>
        <v/>
      </c>
      <c r="E364" s="5" t="str">
        <f>IF($H364="","",INDEX('Detalle individual'!$C:$C,$H364))</f>
        <v/>
      </c>
      <c r="F364" s="5" t="str">
        <f>IF($H364="","",INDEX('Detalle individual'!$D:$D,$H364))</f>
        <v/>
      </c>
      <c r="G364" s="5" t="str">
        <f>IF($H364="","",INDEX('Detalle individual'!$F:$F,$H364))</f>
        <v/>
      </c>
      <c r="H364" t="str">
        <f>IFERROR(MATCH(SMALL(Cálculos!$AJ$5:$AJ$1000,360),Cálculos!$AJ$5:$AJ$1000,0)+4,"")</f>
        <v/>
      </c>
    </row>
    <row r="365">
      <c r="B365" s="5" t="str">
        <f>IF($H365="","",INDEX('Detalle individual'!$B:$B,$H365))</f>
        <v/>
      </c>
      <c r="C365" s="5" t="str">
        <f>IF($H365="","",INDEX('Detalle individual'!$A:$A,$H365))</f>
        <v/>
      </c>
      <c r="D365" s="5" t="str">
        <f>IF($H365="","",INDEX('Detalle individual'!$E:$E,$H365))</f>
        <v/>
      </c>
      <c r="E365" s="5" t="str">
        <f>IF($H365="","",INDEX('Detalle individual'!$C:$C,$H365))</f>
        <v/>
      </c>
      <c r="F365" s="5" t="str">
        <f>IF($H365="","",INDEX('Detalle individual'!$D:$D,$H365))</f>
        <v/>
      </c>
      <c r="G365" s="5" t="str">
        <f>IF($H365="","",INDEX('Detalle individual'!$F:$F,$H365))</f>
        <v/>
      </c>
      <c r="H365" t="str">
        <f>IFERROR(MATCH(SMALL(Cálculos!$AJ$5:$AJ$1000,361),Cálculos!$AJ$5:$AJ$1000,0)+4,"")</f>
        <v/>
      </c>
    </row>
    <row r="366">
      <c r="B366" s="5" t="str">
        <f>IF($H366="","",INDEX('Detalle individual'!$B:$B,$H366))</f>
        <v/>
      </c>
      <c r="C366" s="5" t="str">
        <f>IF($H366="","",INDEX('Detalle individual'!$A:$A,$H366))</f>
        <v/>
      </c>
      <c r="D366" s="5" t="str">
        <f>IF($H366="","",INDEX('Detalle individual'!$E:$E,$H366))</f>
        <v/>
      </c>
      <c r="E366" s="5" t="str">
        <f>IF($H366="","",INDEX('Detalle individual'!$C:$C,$H366))</f>
        <v/>
      </c>
      <c r="F366" s="5" t="str">
        <f>IF($H366="","",INDEX('Detalle individual'!$D:$D,$H366))</f>
        <v/>
      </c>
      <c r="G366" s="5" t="str">
        <f>IF($H366="","",INDEX('Detalle individual'!$F:$F,$H366))</f>
        <v/>
      </c>
      <c r="H366" t="str">
        <f>IFERROR(MATCH(SMALL(Cálculos!$AJ$5:$AJ$1000,362),Cálculos!$AJ$5:$AJ$1000,0)+4,"")</f>
        <v/>
      </c>
    </row>
    <row r="367">
      <c r="B367" s="5" t="str">
        <f>IF($H367="","",INDEX('Detalle individual'!$B:$B,$H367))</f>
        <v/>
      </c>
      <c r="C367" s="5" t="str">
        <f>IF($H367="","",INDEX('Detalle individual'!$A:$A,$H367))</f>
        <v/>
      </c>
      <c r="D367" s="5" t="str">
        <f>IF($H367="","",INDEX('Detalle individual'!$E:$E,$H367))</f>
        <v/>
      </c>
      <c r="E367" s="5" t="str">
        <f>IF($H367="","",INDEX('Detalle individual'!$C:$C,$H367))</f>
        <v/>
      </c>
      <c r="F367" s="5" t="str">
        <f>IF($H367="","",INDEX('Detalle individual'!$D:$D,$H367))</f>
        <v/>
      </c>
      <c r="G367" s="5" t="str">
        <f>IF($H367="","",INDEX('Detalle individual'!$F:$F,$H367))</f>
        <v/>
      </c>
      <c r="H367" t="str">
        <f>IFERROR(MATCH(SMALL(Cálculos!$AJ$5:$AJ$1000,363),Cálculos!$AJ$5:$AJ$1000,0)+4,"")</f>
        <v/>
      </c>
    </row>
    <row r="368">
      <c r="B368" s="5" t="str">
        <f>IF($H368="","",INDEX('Detalle individual'!$B:$B,$H368))</f>
        <v/>
      </c>
      <c r="C368" s="5" t="str">
        <f>IF($H368="","",INDEX('Detalle individual'!$A:$A,$H368))</f>
        <v/>
      </c>
      <c r="D368" s="5" t="str">
        <f>IF($H368="","",INDEX('Detalle individual'!$E:$E,$H368))</f>
        <v/>
      </c>
      <c r="E368" s="5" t="str">
        <f>IF($H368="","",INDEX('Detalle individual'!$C:$C,$H368))</f>
        <v/>
      </c>
      <c r="F368" s="5" t="str">
        <f>IF($H368="","",INDEX('Detalle individual'!$D:$D,$H368))</f>
        <v/>
      </c>
      <c r="G368" s="5" t="str">
        <f>IF($H368="","",INDEX('Detalle individual'!$F:$F,$H368))</f>
        <v/>
      </c>
      <c r="H368" t="str">
        <f>IFERROR(MATCH(SMALL(Cálculos!$AJ$5:$AJ$1000,364),Cálculos!$AJ$5:$AJ$1000,0)+4,"")</f>
        <v/>
      </c>
    </row>
    <row r="369">
      <c r="B369" s="5" t="str">
        <f>IF($H369="","",INDEX('Detalle individual'!$B:$B,$H369))</f>
        <v/>
      </c>
      <c r="C369" s="5" t="str">
        <f>IF($H369="","",INDEX('Detalle individual'!$A:$A,$H369))</f>
        <v/>
      </c>
      <c r="D369" s="5" t="str">
        <f>IF($H369="","",INDEX('Detalle individual'!$E:$E,$H369))</f>
        <v/>
      </c>
      <c r="E369" s="5" t="str">
        <f>IF($H369="","",INDEX('Detalle individual'!$C:$C,$H369))</f>
        <v/>
      </c>
      <c r="F369" s="5" t="str">
        <f>IF($H369="","",INDEX('Detalle individual'!$D:$D,$H369))</f>
        <v/>
      </c>
      <c r="G369" s="5" t="str">
        <f>IF($H369="","",INDEX('Detalle individual'!$F:$F,$H369))</f>
        <v/>
      </c>
      <c r="H369" t="str">
        <f>IFERROR(MATCH(SMALL(Cálculos!$AJ$5:$AJ$1000,365),Cálculos!$AJ$5:$AJ$1000,0)+4,"")</f>
        <v/>
      </c>
    </row>
    <row r="370">
      <c r="B370" s="5" t="str">
        <f>IF($H370="","",INDEX('Detalle individual'!$B:$B,$H370))</f>
        <v/>
      </c>
      <c r="C370" s="5" t="str">
        <f>IF($H370="","",INDEX('Detalle individual'!$A:$A,$H370))</f>
        <v/>
      </c>
      <c r="D370" s="5" t="str">
        <f>IF($H370="","",INDEX('Detalle individual'!$E:$E,$H370))</f>
        <v/>
      </c>
      <c r="E370" s="5" t="str">
        <f>IF($H370="","",INDEX('Detalle individual'!$C:$C,$H370))</f>
        <v/>
      </c>
      <c r="F370" s="5" t="str">
        <f>IF($H370="","",INDEX('Detalle individual'!$D:$D,$H370))</f>
        <v/>
      </c>
      <c r="G370" s="5" t="str">
        <f>IF($H370="","",INDEX('Detalle individual'!$F:$F,$H370))</f>
        <v/>
      </c>
      <c r="H370" t="str">
        <f>IFERROR(MATCH(SMALL(Cálculos!$AJ$5:$AJ$1000,366),Cálculos!$AJ$5:$AJ$1000,0)+4,"")</f>
        <v/>
      </c>
    </row>
    <row r="371">
      <c r="B371" s="5" t="str">
        <f>IF($H371="","",INDEX('Detalle individual'!$B:$B,$H371))</f>
        <v/>
      </c>
      <c r="C371" s="5" t="str">
        <f>IF($H371="","",INDEX('Detalle individual'!$A:$A,$H371))</f>
        <v/>
      </c>
      <c r="D371" s="5" t="str">
        <f>IF($H371="","",INDEX('Detalle individual'!$E:$E,$H371))</f>
        <v/>
      </c>
      <c r="E371" s="5" t="str">
        <f>IF($H371="","",INDEX('Detalle individual'!$C:$C,$H371))</f>
        <v/>
      </c>
      <c r="F371" s="5" t="str">
        <f>IF($H371="","",INDEX('Detalle individual'!$D:$D,$H371))</f>
        <v/>
      </c>
      <c r="G371" s="5" t="str">
        <f>IF($H371="","",INDEX('Detalle individual'!$F:$F,$H371))</f>
        <v/>
      </c>
      <c r="H371" t="str">
        <f>IFERROR(MATCH(SMALL(Cálculos!$AJ$5:$AJ$1000,367),Cálculos!$AJ$5:$AJ$1000,0)+4,"")</f>
        <v/>
      </c>
    </row>
    <row r="372">
      <c r="B372" s="5" t="str">
        <f>IF($H372="","",INDEX('Detalle individual'!$B:$B,$H372))</f>
        <v/>
      </c>
      <c r="C372" s="5" t="str">
        <f>IF($H372="","",INDEX('Detalle individual'!$A:$A,$H372))</f>
        <v/>
      </c>
      <c r="D372" s="5" t="str">
        <f>IF($H372="","",INDEX('Detalle individual'!$E:$E,$H372))</f>
        <v/>
      </c>
      <c r="E372" s="5" t="str">
        <f>IF($H372="","",INDEX('Detalle individual'!$C:$C,$H372))</f>
        <v/>
      </c>
      <c r="F372" s="5" t="str">
        <f>IF($H372="","",INDEX('Detalle individual'!$D:$D,$H372))</f>
        <v/>
      </c>
      <c r="G372" s="5" t="str">
        <f>IF($H372="","",INDEX('Detalle individual'!$F:$F,$H372))</f>
        <v/>
      </c>
      <c r="H372" t="str">
        <f>IFERROR(MATCH(SMALL(Cálculos!$AJ$5:$AJ$1000,368),Cálculos!$AJ$5:$AJ$1000,0)+4,"")</f>
        <v/>
      </c>
    </row>
    <row r="373">
      <c r="B373" s="5" t="str">
        <f>IF($H373="","",INDEX('Detalle individual'!$B:$B,$H373))</f>
        <v/>
      </c>
      <c r="C373" s="5" t="str">
        <f>IF($H373="","",INDEX('Detalle individual'!$A:$A,$H373))</f>
        <v/>
      </c>
      <c r="D373" s="5" t="str">
        <f>IF($H373="","",INDEX('Detalle individual'!$E:$E,$H373))</f>
        <v/>
      </c>
      <c r="E373" s="5" t="str">
        <f>IF($H373="","",INDEX('Detalle individual'!$C:$C,$H373))</f>
        <v/>
      </c>
      <c r="F373" s="5" t="str">
        <f>IF($H373="","",INDEX('Detalle individual'!$D:$D,$H373))</f>
        <v/>
      </c>
      <c r="G373" s="5" t="str">
        <f>IF($H373="","",INDEX('Detalle individual'!$F:$F,$H373))</f>
        <v/>
      </c>
      <c r="H373" t="str">
        <f>IFERROR(MATCH(SMALL(Cálculos!$AJ$5:$AJ$1000,369),Cálculos!$AJ$5:$AJ$1000,0)+4,"")</f>
        <v/>
      </c>
    </row>
    <row r="374">
      <c r="B374" s="5" t="str">
        <f>IF($H374="","",INDEX('Detalle individual'!$B:$B,$H374))</f>
        <v/>
      </c>
      <c r="C374" s="5" t="str">
        <f>IF($H374="","",INDEX('Detalle individual'!$A:$A,$H374))</f>
        <v/>
      </c>
      <c r="D374" s="5" t="str">
        <f>IF($H374="","",INDEX('Detalle individual'!$E:$E,$H374))</f>
        <v/>
      </c>
      <c r="E374" s="5" t="str">
        <f>IF($H374="","",INDEX('Detalle individual'!$C:$C,$H374))</f>
        <v/>
      </c>
      <c r="F374" s="5" t="str">
        <f>IF($H374="","",INDEX('Detalle individual'!$D:$D,$H374))</f>
        <v/>
      </c>
      <c r="G374" s="5" t="str">
        <f>IF($H374="","",INDEX('Detalle individual'!$F:$F,$H374))</f>
        <v/>
      </c>
      <c r="H374" t="str">
        <f>IFERROR(MATCH(SMALL(Cálculos!$AJ$5:$AJ$1000,370),Cálculos!$AJ$5:$AJ$1000,0)+4,"")</f>
        <v/>
      </c>
    </row>
    <row r="375">
      <c r="B375" s="5" t="str">
        <f>IF($H375="","",INDEX('Detalle individual'!$B:$B,$H375))</f>
        <v/>
      </c>
      <c r="C375" s="5" t="str">
        <f>IF($H375="","",INDEX('Detalle individual'!$A:$A,$H375))</f>
        <v/>
      </c>
      <c r="D375" s="5" t="str">
        <f>IF($H375="","",INDEX('Detalle individual'!$E:$E,$H375))</f>
        <v/>
      </c>
      <c r="E375" s="5" t="str">
        <f>IF($H375="","",INDEX('Detalle individual'!$C:$C,$H375))</f>
        <v/>
      </c>
      <c r="F375" s="5" t="str">
        <f>IF($H375="","",INDEX('Detalle individual'!$D:$D,$H375))</f>
        <v/>
      </c>
      <c r="G375" s="5" t="str">
        <f>IF($H375="","",INDEX('Detalle individual'!$F:$F,$H375))</f>
        <v/>
      </c>
      <c r="H375" t="str">
        <f>IFERROR(MATCH(SMALL(Cálculos!$AJ$5:$AJ$1000,371),Cálculos!$AJ$5:$AJ$1000,0)+4,"")</f>
        <v/>
      </c>
    </row>
    <row r="376">
      <c r="B376" s="5" t="str">
        <f>IF($H376="","",INDEX('Detalle individual'!$B:$B,$H376))</f>
        <v/>
      </c>
      <c r="C376" s="5" t="str">
        <f>IF($H376="","",INDEX('Detalle individual'!$A:$A,$H376))</f>
        <v/>
      </c>
      <c r="D376" s="5" t="str">
        <f>IF($H376="","",INDEX('Detalle individual'!$E:$E,$H376))</f>
        <v/>
      </c>
      <c r="E376" s="5" t="str">
        <f>IF($H376="","",INDEX('Detalle individual'!$C:$C,$H376))</f>
        <v/>
      </c>
      <c r="F376" s="5" t="str">
        <f>IF($H376="","",INDEX('Detalle individual'!$D:$D,$H376))</f>
        <v/>
      </c>
      <c r="G376" s="5" t="str">
        <f>IF($H376="","",INDEX('Detalle individual'!$F:$F,$H376))</f>
        <v/>
      </c>
      <c r="H376" t="str">
        <f>IFERROR(MATCH(SMALL(Cálculos!$AJ$5:$AJ$1000,372),Cálculos!$AJ$5:$AJ$1000,0)+4,"")</f>
        <v/>
      </c>
    </row>
    <row r="377">
      <c r="B377" s="5" t="str">
        <f>IF($H377="","",INDEX('Detalle individual'!$B:$B,$H377))</f>
        <v/>
      </c>
      <c r="C377" s="5" t="str">
        <f>IF($H377="","",INDEX('Detalle individual'!$A:$A,$H377))</f>
        <v/>
      </c>
      <c r="D377" s="5" t="str">
        <f>IF($H377="","",INDEX('Detalle individual'!$E:$E,$H377))</f>
        <v/>
      </c>
      <c r="E377" s="5" t="str">
        <f>IF($H377="","",INDEX('Detalle individual'!$C:$C,$H377))</f>
        <v/>
      </c>
      <c r="F377" s="5" t="str">
        <f>IF($H377="","",INDEX('Detalle individual'!$D:$D,$H377))</f>
        <v/>
      </c>
      <c r="G377" s="5" t="str">
        <f>IF($H377="","",INDEX('Detalle individual'!$F:$F,$H377))</f>
        <v/>
      </c>
      <c r="H377" t="str">
        <f>IFERROR(MATCH(SMALL(Cálculos!$AJ$5:$AJ$1000,373),Cálculos!$AJ$5:$AJ$1000,0)+4,"")</f>
        <v/>
      </c>
    </row>
    <row r="378">
      <c r="B378" s="5" t="str">
        <f>IF($H378="","",INDEX('Detalle individual'!$B:$B,$H378))</f>
        <v/>
      </c>
      <c r="C378" s="5" t="str">
        <f>IF($H378="","",INDEX('Detalle individual'!$A:$A,$H378))</f>
        <v/>
      </c>
      <c r="D378" s="5" t="str">
        <f>IF($H378="","",INDEX('Detalle individual'!$E:$E,$H378))</f>
        <v/>
      </c>
      <c r="E378" s="5" t="str">
        <f>IF($H378="","",INDEX('Detalle individual'!$C:$C,$H378))</f>
        <v/>
      </c>
      <c r="F378" s="5" t="str">
        <f>IF($H378="","",INDEX('Detalle individual'!$D:$D,$H378))</f>
        <v/>
      </c>
      <c r="G378" s="5" t="str">
        <f>IF($H378="","",INDEX('Detalle individual'!$F:$F,$H378))</f>
        <v/>
      </c>
      <c r="H378" t="str">
        <f>IFERROR(MATCH(SMALL(Cálculos!$AJ$5:$AJ$1000,374),Cálculos!$AJ$5:$AJ$1000,0)+4,"")</f>
        <v/>
      </c>
    </row>
    <row r="379">
      <c r="B379" s="5" t="str">
        <f>IF($H379="","",INDEX('Detalle individual'!$B:$B,$H379))</f>
        <v/>
      </c>
      <c r="C379" s="5" t="str">
        <f>IF($H379="","",INDEX('Detalle individual'!$A:$A,$H379))</f>
        <v/>
      </c>
      <c r="D379" s="5" t="str">
        <f>IF($H379="","",INDEX('Detalle individual'!$E:$E,$H379))</f>
        <v/>
      </c>
      <c r="E379" s="5" t="str">
        <f>IF($H379="","",INDEX('Detalle individual'!$C:$C,$H379))</f>
        <v/>
      </c>
      <c r="F379" s="5" t="str">
        <f>IF($H379="","",INDEX('Detalle individual'!$D:$D,$H379))</f>
        <v/>
      </c>
      <c r="G379" s="5" t="str">
        <f>IF($H379="","",INDEX('Detalle individual'!$F:$F,$H379))</f>
        <v/>
      </c>
      <c r="H379" t="str">
        <f>IFERROR(MATCH(SMALL(Cálculos!$AJ$5:$AJ$1000,375),Cálculos!$AJ$5:$AJ$1000,0)+4,"")</f>
        <v/>
      </c>
    </row>
    <row r="380">
      <c r="B380" s="5" t="str">
        <f>IF($H380="","",INDEX('Detalle individual'!$B:$B,$H380))</f>
        <v/>
      </c>
      <c r="C380" s="5" t="str">
        <f>IF($H380="","",INDEX('Detalle individual'!$A:$A,$H380))</f>
        <v/>
      </c>
      <c r="D380" s="5" t="str">
        <f>IF($H380="","",INDEX('Detalle individual'!$E:$E,$H380))</f>
        <v/>
      </c>
      <c r="E380" s="5" t="str">
        <f>IF($H380="","",INDEX('Detalle individual'!$C:$C,$H380))</f>
        <v/>
      </c>
      <c r="F380" s="5" t="str">
        <f>IF($H380="","",INDEX('Detalle individual'!$D:$D,$H380))</f>
        <v/>
      </c>
      <c r="G380" s="5" t="str">
        <f>IF($H380="","",INDEX('Detalle individual'!$F:$F,$H380))</f>
        <v/>
      </c>
      <c r="H380" t="str">
        <f>IFERROR(MATCH(SMALL(Cálculos!$AJ$5:$AJ$1000,376),Cálculos!$AJ$5:$AJ$1000,0)+4,"")</f>
        <v/>
      </c>
    </row>
    <row r="381">
      <c r="B381" s="5" t="str">
        <f>IF($H381="","",INDEX('Detalle individual'!$B:$B,$H381))</f>
        <v/>
      </c>
      <c r="C381" s="5" t="str">
        <f>IF($H381="","",INDEX('Detalle individual'!$A:$A,$H381))</f>
        <v/>
      </c>
      <c r="D381" s="5" t="str">
        <f>IF($H381="","",INDEX('Detalle individual'!$E:$E,$H381))</f>
        <v/>
      </c>
      <c r="E381" s="5" t="str">
        <f>IF($H381="","",INDEX('Detalle individual'!$C:$C,$H381))</f>
        <v/>
      </c>
      <c r="F381" s="5" t="str">
        <f>IF($H381="","",INDEX('Detalle individual'!$D:$D,$H381))</f>
        <v/>
      </c>
      <c r="G381" s="5" t="str">
        <f>IF($H381="","",INDEX('Detalle individual'!$F:$F,$H381))</f>
        <v/>
      </c>
      <c r="H381" t="str">
        <f>IFERROR(MATCH(SMALL(Cálculos!$AJ$5:$AJ$1000,377),Cálculos!$AJ$5:$AJ$1000,0)+4,"")</f>
        <v/>
      </c>
    </row>
    <row r="382">
      <c r="B382" s="5" t="str">
        <f>IF($H382="","",INDEX('Detalle individual'!$B:$B,$H382))</f>
        <v/>
      </c>
      <c r="C382" s="5" t="str">
        <f>IF($H382="","",INDEX('Detalle individual'!$A:$A,$H382))</f>
        <v/>
      </c>
      <c r="D382" s="5" t="str">
        <f>IF($H382="","",INDEX('Detalle individual'!$E:$E,$H382))</f>
        <v/>
      </c>
      <c r="E382" s="5" t="str">
        <f>IF($H382="","",INDEX('Detalle individual'!$C:$C,$H382))</f>
        <v/>
      </c>
      <c r="F382" s="5" t="str">
        <f>IF($H382="","",INDEX('Detalle individual'!$D:$D,$H382))</f>
        <v/>
      </c>
      <c r="G382" s="5" t="str">
        <f>IF($H382="","",INDEX('Detalle individual'!$F:$F,$H382))</f>
        <v/>
      </c>
      <c r="H382" t="str">
        <f>IFERROR(MATCH(SMALL(Cálculos!$AJ$5:$AJ$1000,378),Cálculos!$AJ$5:$AJ$1000,0)+4,"")</f>
        <v/>
      </c>
    </row>
    <row r="383">
      <c r="B383" s="5" t="str">
        <f>IF($H383="","",INDEX('Detalle individual'!$B:$B,$H383))</f>
        <v/>
      </c>
      <c r="C383" s="5" t="str">
        <f>IF($H383="","",INDEX('Detalle individual'!$A:$A,$H383))</f>
        <v/>
      </c>
      <c r="D383" s="5" t="str">
        <f>IF($H383="","",INDEX('Detalle individual'!$E:$E,$H383))</f>
        <v/>
      </c>
      <c r="E383" s="5" t="str">
        <f>IF($H383="","",INDEX('Detalle individual'!$C:$C,$H383))</f>
        <v/>
      </c>
      <c r="F383" s="5" t="str">
        <f>IF($H383="","",INDEX('Detalle individual'!$D:$D,$H383))</f>
        <v/>
      </c>
      <c r="G383" s="5" t="str">
        <f>IF($H383="","",INDEX('Detalle individual'!$F:$F,$H383))</f>
        <v/>
      </c>
      <c r="H383" t="str">
        <f>IFERROR(MATCH(SMALL(Cálculos!$AJ$5:$AJ$1000,379),Cálculos!$AJ$5:$AJ$1000,0)+4,"")</f>
        <v/>
      </c>
    </row>
    <row r="384">
      <c r="B384" s="5" t="str">
        <f>IF($H384="","",INDEX('Detalle individual'!$B:$B,$H384))</f>
        <v/>
      </c>
      <c r="C384" s="5" t="str">
        <f>IF($H384="","",INDEX('Detalle individual'!$A:$A,$H384))</f>
        <v/>
      </c>
      <c r="D384" s="5" t="str">
        <f>IF($H384="","",INDEX('Detalle individual'!$E:$E,$H384))</f>
        <v/>
      </c>
      <c r="E384" s="5" t="str">
        <f>IF($H384="","",INDEX('Detalle individual'!$C:$C,$H384))</f>
        <v/>
      </c>
      <c r="F384" s="5" t="str">
        <f>IF($H384="","",INDEX('Detalle individual'!$D:$D,$H384))</f>
        <v/>
      </c>
      <c r="G384" s="5" t="str">
        <f>IF($H384="","",INDEX('Detalle individual'!$F:$F,$H384))</f>
        <v/>
      </c>
      <c r="H384" t="str">
        <f>IFERROR(MATCH(SMALL(Cálculos!$AJ$5:$AJ$1000,380),Cálculos!$AJ$5:$AJ$1000,0)+4,"")</f>
        <v/>
      </c>
    </row>
    <row r="385">
      <c r="B385" s="5" t="str">
        <f>IF($H385="","",INDEX('Detalle individual'!$B:$B,$H385))</f>
        <v/>
      </c>
      <c r="C385" s="5" t="str">
        <f>IF($H385="","",INDEX('Detalle individual'!$A:$A,$H385))</f>
        <v/>
      </c>
      <c r="D385" s="5" t="str">
        <f>IF($H385="","",INDEX('Detalle individual'!$E:$E,$H385))</f>
        <v/>
      </c>
      <c r="E385" s="5" t="str">
        <f>IF($H385="","",INDEX('Detalle individual'!$C:$C,$H385))</f>
        <v/>
      </c>
      <c r="F385" s="5" t="str">
        <f>IF($H385="","",INDEX('Detalle individual'!$D:$D,$H385))</f>
        <v/>
      </c>
      <c r="G385" s="5" t="str">
        <f>IF($H385="","",INDEX('Detalle individual'!$F:$F,$H385))</f>
        <v/>
      </c>
      <c r="H385" t="str">
        <f>IFERROR(MATCH(SMALL(Cálculos!$AJ$5:$AJ$1000,381),Cálculos!$AJ$5:$AJ$1000,0)+4,"")</f>
        <v/>
      </c>
    </row>
    <row r="386">
      <c r="B386" s="5" t="str">
        <f>IF($H386="","",INDEX('Detalle individual'!$B:$B,$H386))</f>
        <v/>
      </c>
      <c r="C386" s="5" t="str">
        <f>IF($H386="","",INDEX('Detalle individual'!$A:$A,$H386))</f>
        <v/>
      </c>
      <c r="D386" s="5" t="str">
        <f>IF($H386="","",INDEX('Detalle individual'!$E:$E,$H386))</f>
        <v/>
      </c>
      <c r="E386" s="5" t="str">
        <f>IF($H386="","",INDEX('Detalle individual'!$C:$C,$H386))</f>
        <v/>
      </c>
      <c r="F386" s="5" t="str">
        <f>IF($H386="","",INDEX('Detalle individual'!$D:$D,$H386))</f>
        <v/>
      </c>
      <c r="G386" s="5" t="str">
        <f>IF($H386="","",INDEX('Detalle individual'!$F:$F,$H386))</f>
        <v/>
      </c>
      <c r="H386" t="str">
        <f>IFERROR(MATCH(SMALL(Cálculos!$AJ$5:$AJ$1000,382),Cálculos!$AJ$5:$AJ$1000,0)+4,"")</f>
        <v/>
      </c>
    </row>
    <row r="387">
      <c r="B387" s="5" t="str">
        <f>IF($H387="","",INDEX('Detalle individual'!$B:$B,$H387))</f>
        <v/>
      </c>
      <c r="C387" s="5" t="str">
        <f>IF($H387="","",INDEX('Detalle individual'!$A:$A,$H387))</f>
        <v/>
      </c>
      <c r="D387" s="5" t="str">
        <f>IF($H387="","",INDEX('Detalle individual'!$E:$E,$H387))</f>
        <v/>
      </c>
      <c r="E387" s="5" t="str">
        <f>IF($H387="","",INDEX('Detalle individual'!$C:$C,$H387))</f>
        <v/>
      </c>
      <c r="F387" s="5" t="str">
        <f>IF($H387="","",INDEX('Detalle individual'!$D:$D,$H387))</f>
        <v/>
      </c>
      <c r="G387" s="5" t="str">
        <f>IF($H387="","",INDEX('Detalle individual'!$F:$F,$H387))</f>
        <v/>
      </c>
      <c r="H387" t="str">
        <f>IFERROR(MATCH(SMALL(Cálculos!$AJ$5:$AJ$1000,383),Cálculos!$AJ$5:$AJ$1000,0)+4,"")</f>
        <v/>
      </c>
    </row>
    <row r="388">
      <c r="B388" s="5" t="str">
        <f>IF($H388="","",INDEX('Detalle individual'!$B:$B,$H388))</f>
        <v/>
      </c>
      <c r="C388" s="5" t="str">
        <f>IF($H388="","",INDEX('Detalle individual'!$A:$A,$H388))</f>
        <v/>
      </c>
      <c r="D388" s="5" t="str">
        <f>IF($H388="","",INDEX('Detalle individual'!$E:$E,$H388))</f>
        <v/>
      </c>
      <c r="E388" s="5" t="str">
        <f>IF($H388="","",INDEX('Detalle individual'!$C:$C,$H388))</f>
        <v/>
      </c>
      <c r="F388" s="5" t="str">
        <f>IF($H388="","",INDEX('Detalle individual'!$D:$D,$H388))</f>
        <v/>
      </c>
      <c r="G388" s="5" t="str">
        <f>IF($H388="","",INDEX('Detalle individual'!$F:$F,$H388))</f>
        <v/>
      </c>
      <c r="H388" t="str">
        <f>IFERROR(MATCH(SMALL(Cálculos!$AJ$5:$AJ$1000,384),Cálculos!$AJ$5:$AJ$1000,0)+4,"")</f>
        <v/>
      </c>
    </row>
    <row r="389">
      <c r="B389" s="5" t="str">
        <f>IF($H389="","",INDEX('Detalle individual'!$B:$B,$H389))</f>
        <v/>
      </c>
      <c r="C389" s="5" t="str">
        <f>IF($H389="","",INDEX('Detalle individual'!$A:$A,$H389))</f>
        <v/>
      </c>
      <c r="D389" s="5" t="str">
        <f>IF($H389="","",INDEX('Detalle individual'!$E:$E,$H389))</f>
        <v/>
      </c>
      <c r="E389" s="5" t="str">
        <f>IF($H389="","",INDEX('Detalle individual'!$C:$C,$H389))</f>
        <v/>
      </c>
      <c r="F389" s="5" t="str">
        <f>IF($H389="","",INDEX('Detalle individual'!$D:$D,$H389))</f>
        <v/>
      </c>
      <c r="G389" s="5" t="str">
        <f>IF($H389="","",INDEX('Detalle individual'!$F:$F,$H389))</f>
        <v/>
      </c>
      <c r="H389" t="str">
        <f>IFERROR(MATCH(SMALL(Cálculos!$AJ$5:$AJ$1000,385),Cálculos!$AJ$5:$AJ$1000,0)+4,"")</f>
        <v/>
      </c>
    </row>
    <row r="390">
      <c r="B390" s="5" t="str">
        <f>IF($H390="","",INDEX('Detalle individual'!$B:$B,$H390))</f>
        <v/>
      </c>
      <c r="C390" s="5" t="str">
        <f>IF($H390="","",INDEX('Detalle individual'!$A:$A,$H390))</f>
        <v/>
      </c>
      <c r="D390" s="5" t="str">
        <f>IF($H390="","",INDEX('Detalle individual'!$E:$E,$H390))</f>
        <v/>
      </c>
      <c r="E390" s="5" t="str">
        <f>IF($H390="","",INDEX('Detalle individual'!$C:$C,$H390))</f>
        <v/>
      </c>
      <c r="F390" s="5" t="str">
        <f>IF($H390="","",INDEX('Detalle individual'!$D:$D,$H390))</f>
        <v/>
      </c>
      <c r="G390" s="5" t="str">
        <f>IF($H390="","",INDEX('Detalle individual'!$F:$F,$H390))</f>
        <v/>
      </c>
      <c r="H390" t="str">
        <f>IFERROR(MATCH(SMALL(Cálculos!$AJ$5:$AJ$1000,386),Cálculos!$AJ$5:$AJ$1000,0)+4,"")</f>
        <v/>
      </c>
    </row>
    <row r="391">
      <c r="B391" s="5" t="str">
        <f>IF($H391="","",INDEX('Detalle individual'!$B:$B,$H391))</f>
        <v/>
      </c>
      <c r="C391" s="5" t="str">
        <f>IF($H391="","",INDEX('Detalle individual'!$A:$A,$H391))</f>
        <v/>
      </c>
      <c r="D391" s="5" t="str">
        <f>IF($H391="","",INDEX('Detalle individual'!$E:$E,$H391))</f>
        <v/>
      </c>
      <c r="E391" s="5" t="str">
        <f>IF($H391="","",INDEX('Detalle individual'!$C:$C,$H391))</f>
        <v/>
      </c>
      <c r="F391" s="5" t="str">
        <f>IF($H391="","",INDEX('Detalle individual'!$D:$D,$H391))</f>
        <v/>
      </c>
      <c r="G391" s="5" t="str">
        <f>IF($H391="","",INDEX('Detalle individual'!$F:$F,$H391))</f>
        <v/>
      </c>
      <c r="H391" t="str">
        <f>IFERROR(MATCH(SMALL(Cálculos!$AJ$5:$AJ$1000,387),Cálculos!$AJ$5:$AJ$1000,0)+4,"")</f>
        <v/>
      </c>
    </row>
    <row r="392">
      <c r="B392" s="5" t="str">
        <f>IF($H392="","",INDEX('Detalle individual'!$B:$B,$H392))</f>
        <v/>
      </c>
      <c r="C392" s="5" t="str">
        <f>IF($H392="","",INDEX('Detalle individual'!$A:$A,$H392))</f>
        <v/>
      </c>
      <c r="D392" s="5" t="str">
        <f>IF($H392="","",INDEX('Detalle individual'!$E:$E,$H392))</f>
        <v/>
      </c>
      <c r="E392" s="5" t="str">
        <f>IF($H392="","",INDEX('Detalle individual'!$C:$C,$H392))</f>
        <v/>
      </c>
      <c r="F392" s="5" t="str">
        <f>IF($H392="","",INDEX('Detalle individual'!$D:$D,$H392))</f>
        <v/>
      </c>
      <c r="G392" s="5" t="str">
        <f>IF($H392="","",INDEX('Detalle individual'!$F:$F,$H392))</f>
        <v/>
      </c>
      <c r="H392" t="str">
        <f>IFERROR(MATCH(SMALL(Cálculos!$AJ$5:$AJ$1000,388),Cálculos!$AJ$5:$AJ$1000,0)+4,"")</f>
        <v/>
      </c>
    </row>
    <row r="393">
      <c r="B393" s="5" t="str">
        <f>IF($H393="","",INDEX('Detalle individual'!$B:$B,$H393))</f>
        <v/>
      </c>
      <c r="C393" s="5" t="str">
        <f>IF($H393="","",INDEX('Detalle individual'!$A:$A,$H393))</f>
        <v/>
      </c>
      <c r="D393" s="5" t="str">
        <f>IF($H393="","",INDEX('Detalle individual'!$E:$E,$H393))</f>
        <v/>
      </c>
      <c r="E393" s="5" t="str">
        <f>IF($H393="","",INDEX('Detalle individual'!$C:$C,$H393))</f>
        <v/>
      </c>
      <c r="F393" s="5" t="str">
        <f>IF($H393="","",INDEX('Detalle individual'!$D:$D,$H393))</f>
        <v/>
      </c>
      <c r="G393" s="5" t="str">
        <f>IF($H393="","",INDEX('Detalle individual'!$F:$F,$H393))</f>
        <v/>
      </c>
      <c r="H393" t="str">
        <f>IFERROR(MATCH(SMALL(Cálculos!$AJ$5:$AJ$1000,389),Cálculos!$AJ$5:$AJ$1000,0)+4,"")</f>
        <v/>
      </c>
    </row>
    <row r="394">
      <c r="B394" s="5" t="str">
        <f>IF($H394="","",INDEX('Detalle individual'!$B:$B,$H394))</f>
        <v/>
      </c>
      <c r="C394" s="5" t="str">
        <f>IF($H394="","",INDEX('Detalle individual'!$A:$A,$H394))</f>
        <v/>
      </c>
      <c r="D394" s="5" t="str">
        <f>IF($H394="","",INDEX('Detalle individual'!$E:$E,$H394))</f>
        <v/>
      </c>
      <c r="E394" s="5" t="str">
        <f>IF($H394="","",INDEX('Detalle individual'!$C:$C,$H394))</f>
        <v/>
      </c>
      <c r="F394" s="5" t="str">
        <f>IF($H394="","",INDEX('Detalle individual'!$D:$D,$H394))</f>
        <v/>
      </c>
      <c r="G394" s="5" t="str">
        <f>IF($H394="","",INDEX('Detalle individual'!$F:$F,$H394))</f>
        <v/>
      </c>
      <c r="H394" t="str">
        <f>IFERROR(MATCH(SMALL(Cálculos!$AJ$5:$AJ$1000,390),Cálculos!$AJ$5:$AJ$1000,0)+4,"")</f>
        <v/>
      </c>
    </row>
    <row r="395">
      <c r="B395" s="5" t="str">
        <f>IF($H395="","",INDEX('Detalle individual'!$B:$B,$H395))</f>
        <v/>
      </c>
      <c r="C395" s="5" t="str">
        <f>IF($H395="","",INDEX('Detalle individual'!$A:$A,$H395))</f>
        <v/>
      </c>
      <c r="D395" s="5" t="str">
        <f>IF($H395="","",INDEX('Detalle individual'!$E:$E,$H395))</f>
        <v/>
      </c>
      <c r="E395" s="5" t="str">
        <f>IF($H395="","",INDEX('Detalle individual'!$C:$C,$H395))</f>
        <v/>
      </c>
      <c r="F395" s="5" t="str">
        <f>IF($H395="","",INDEX('Detalle individual'!$D:$D,$H395))</f>
        <v/>
      </c>
      <c r="G395" s="5" t="str">
        <f>IF($H395="","",INDEX('Detalle individual'!$F:$F,$H395))</f>
        <v/>
      </c>
      <c r="H395" t="str">
        <f>IFERROR(MATCH(SMALL(Cálculos!$AJ$5:$AJ$1000,391),Cálculos!$AJ$5:$AJ$1000,0)+4,"")</f>
        <v/>
      </c>
    </row>
    <row r="396">
      <c r="B396" s="5" t="str">
        <f>IF($H396="","",INDEX('Detalle individual'!$B:$B,$H396))</f>
        <v/>
      </c>
      <c r="C396" s="5" t="str">
        <f>IF($H396="","",INDEX('Detalle individual'!$A:$A,$H396))</f>
        <v/>
      </c>
      <c r="D396" s="5" t="str">
        <f>IF($H396="","",INDEX('Detalle individual'!$E:$E,$H396))</f>
        <v/>
      </c>
      <c r="E396" s="5" t="str">
        <f>IF($H396="","",INDEX('Detalle individual'!$C:$C,$H396))</f>
        <v/>
      </c>
      <c r="F396" s="5" t="str">
        <f>IF($H396="","",INDEX('Detalle individual'!$D:$D,$H396))</f>
        <v/>
      </c>
      <c r="G396" s="5" t="str">
        <f>IF($H396="","",INDEX('Detalle individual'!$F:$F,$H396))</f>
        <v/>
      </c>
      <c r="H396" t="str">
        <f>IFERROR(MATCH(SMALL(Cálculos!$AJ$5:$AJ$1000,392),Cálculos!$AJ$5:$AJ$1000,0)+4,"")</f>
        <v/>
      </c>
    </row>
    <row r="397">
      <c r="B397" s="5" t="str">
        <f>IF($H397="","",INDEX('Detalle individual'!$B:$B,$H397))</f>
        <v/>
      </c>
      <c r="C397" s="5" t="str">
        <f>IF($H397="","",INDEX('Detalle individual'!$A:$A,$H397))</f>
        <v/>
      </c>
      <c r="D397" s="5" t="str">
        <f>IF($H397="","",INDEX('Detalle individual'!$E:$E,$H397))</f>
        <v/>
      </c>
      <c r="E397" s="5" t="str">
        <f>IF($H397="","",INDEX('Detalle individual'!$C:$C,$H397))</f>
        <v/>
      </c>
      <c r="F397" s="5" t="str">
        <f>IF($H397="","",INDEX('Detalle individual'!$D:$D,$H397))</f>
        <v/>
      </c>
      <c r="G397" s="5" t="str">
        <f>IF($H397="","",INDEX('Detalle individual'!$F:$F,$H397))</f>
        <v/>
      </c>
      <c r="H397" t="str">
        <f>IFERROR(MATCH(SMALL(Cálculos!$AJ$5:$AJ$1000,393),Cálculos!$AJ$5:$AJ$1000,0)+4,"")</f>
        <v/>
      </c>
    </row>
    <row r="398">
      <c r="B398" s="5" t="str">
        <f>IF($H398="","",INDEX('Detalle individual'!$B:$B,$H398))</f>
        <v/>
      </c>
      <c r="C398" s="5" t="str">
        <f>IF($H398="","",INDEX('Detalle individual'!$A:$A,$H398))</f>
        <v/>
      </c>
      <c r="D398" s="5" t="str">
        <f>IF($H398="","",INDEX('Detalle individual'!$E:$E,$H398))</f>
        <v/>
      </c>
      <c r="E398" s="5" t="str">
        <f>IF($H398="","",INDEX('Detalle individual'!$C:$C,$H398))</f>
        <v/>
      </c>
      <c r="F398" s="5" t="str">
        <f>IF($H398="","",INDEX('Detalle individual'!$D:$D,$H398))</f>
        <v/>
      </c>
      <c r="G398" s="5" t="str">
        <f>IF($H398="","",INDEX('Detalle individual'!$F:$F,$H398))</f>
        <v/>
      </c>
      <c r="H398" t="str">
        <f>IFERROR(MATCH(SMALL(Cálculos!$AJ$5:$AJ$1000,394),Cálculos!$AJ$5:$AJ$1000,0)+4,"")</f>
        <v/>
      </c>
    </row>
    <row r="399">
      <c r="B399" s="5" t="str">
        <f>IF($H399="","",INDEX('Detalle individual'!$B:$B,$H399))</f>
        <v/>
      </c>
      <c r="C399" s="5" t="str">
        <f>IF($H399="","",INDEX('Detalle individual'!$A:$A,$H399))</f>
        <v/>
      </c>
      <c r="D399" s="5" t="str">
        <f>IF($H399="","",INDEX('Detalle individual'!$E:$E,$H399))</f>
        <v/>
      </c>
      <c r="E399" s="5" t="str">
        <f>IF($H399="","",INDEX('Detalle individual'!$C:$C,$H399))</f>
        <v/>
      </c>
      <c r="F399" s="5" t="str">
        <f>IF($H399="","",INDEX('Detalle individual'!$D:$D,$H399))</f>
        <v/>
      </c>
      <c r="G399" s="5" t="str">
        <f>IF($H399="","",INDEX('Detalle individual'!$F:$F,$H399))</f>
        <v/>
      </c>
      <c r="H399" t="str">
        <f>IFERROR(MATCH(SMALL(Cálculos!$AJ$5:$AJ$1000,395),Cálculos!$AJ$5:$AJ$1000,0)+4,"")</f>
        <v/>
      </c>
    </row>
    <row r="400">
      <c r="B400" s="5" t="str">
        <f>IF($H400="","",INDEX('Detalle individual'!$B:$B,$H400))</f>
        <v/>
      </c>
      <c r="C400" s="5" t="str">
        <f>IF($H400="","",INDEX('Detalle individual'!$A:$A,$H400))</f>
        <v/>
      </c>
      <c r="D400" s="5" t="str">
        <f>IF($H400="","",INDEX('Detalle individual'!$E:$E,$H400))</f>
        <v/>
      </c>
      <c r="E400" s="5" t="str">
        <f>IF($H400="","",INDEX('Detalle individual'!$C:$C,$H400))</f>
        <v/>
      </c>
      <c r="F400" s="5" t="str">
        <f>IF($H400="","",INDEX('Detalle individual'!$D:$D,$H400))</f>
        <v/>
      </c>
      <c r="G400" s="5" t="str">
        <f>IF($H400="","",INDEX('Detalle individual'!$F:$F,$H400))</f>
        <v/>
      </c>
      <c r="H400" t="str">
        <f>IFERROR(MATCH(SMALL(Cálculos!$AJ$5:$AJ$1000,396),Cálculos!$AJ$5:$AJ$1000,0)+4,"")</f>
        <v/>
      </c>
    </row>
    <row r="401">
      <c r="B401" s="5" t="str">
        <f>IF($H401="","",INDEX('Detalle individual'!$B:$B,$H401))</f>
        <v/>
      </c>
      <c r="C401" s="5" t="str">
        <f>IF($H401="","",INDEX('Detalle individual'!$A:$A,$H401))</f>
        <v/>
      </c>
      <c r="D401" s="5" t="str">
        <f>IF($H401="","",INDEX('Detalle individual'!$E:$E,$H401))</f>
        <v/>
      </c>
      <c r="E401" s="5" t="str">
        <f>IF($H401="","",INDEX('Detalle individual'!$C:$C,$H401))</f>
        <v/>
      </c>
      <c r="F401" s="5" t="str">
        <f>IF($H401="","",INDEX('Detalle individual'!$D:$D,$H401))</f>
        <v/>
      </c>
      <c r="G401" s="5" t="str">
        <f>IF($H401="","",INDEX('Detalle individual'!$F:$F,$H401))</f>
        <v/>
      </c>
      <c r="H401" t="str">
        <f>IFERROR(MATCH(SMALL(Cálculos!$AJ$5:$AJ$1000,397),Cálculos!$AJ$5:$AJ$1000,0)+4,"")</f>
        <v/>
      </c>
    </row>
    <row r="402">
      <c r="B402" s="5" t="str">
        <f>IF($H402="","",INDEX('Detalle individual'!$B:$B,$H402))</f>
        <v/>
      </c>
      <c r="C402" s="5" t="str">
        <f>IF($H402="","",INDEX('Detalle individual'!$A:$A,$H402))</f>
        <v/>
      </c>
      <c r="D402" s="5" t="str">
        <f>IF($H402="","",INDEX('Detalle individual'!$E:$E,$H402))</f>
        <v/>
      </c>
      <c r="E402" s="5" t="str">
        <f>IF($H402="","",INDEX('Detalle individual'!$C:$C,$H402))</f>
        <v/>
      </c>
      <c r="F402" s="5" t="str">
        <f>IF($H402="","",INDEX('Detalle individual'!$D:$D,$H402))</f>
        <v/>
      </c>
      <c r="G402" s="5" t="str">
        <f>IF($H402="","",INDEX('Detalle individual'!$F:$F,$H402))</f>
        <v/>
      </c>
      <c r="H402" t="str">
        <f>IFERROR(MATCH(SMALL(Cálculos!$AJ$5:$AJ$1000,398),Cálculos!$AJ$5:$AJ$1000,0)+4,"")</f>
        <v/>
      </c>
    </row>
    <row r="403">
      <c r="B403" s="5" t="str">
        <f>IF($H403="","",INDEX('Detalle individual'!$B:$B,$H403))</f>
        <v/>
      </c>
      <c r="C403" s="5" t="str">
        <f>IF($H403="","",INDEX('Detalle individual'!$A:$A,$H403))</f>
        <v/>
      </c>
      <c r="D403" s="5" t="str">
        <f>IF($H403="","",INDEX('Detalle individual'!$E:$E,$H403))</f>
        <v/>
      </c>
      <c r="E403" s="5" t="str">
        <f>IF($H403="","",INDEX('Detalle individual'!$C:$C,$H403))</f>
        <v/>
      </c>
      <c r="F403" s="5" t="str">
        <f>IF($H403="","",INDEX('Detalle individual'!$D:$D,$H403))</f>
        <v/>
      </c>
      <c r="G403" s="5" t="str">
        <f>IF($H403="","",INDEX('Detalle individual'!$F:$F,$H403))</f>
        <v/>
      </c>
      <c r="H403" t="str">
        <f>IFERROR(MATCH(SMALL(Cálculos!$AJ$5:$AJ$1000,399),Cálculos!$AJ$5:$AJ$1000,0)+4,"")</f>
        <v/>
      </c>
    </row>
    <row r="404">
      <c r="B404" s="5" t="str">
        <f>IF($H404="","",INDEX('Detalle individual'!$B:$B,$H404))</f>
        <v/>
      </c>
      <c r="C404" s="5" t="str">
        <f>IF($H404="","",INDEX('Detalle individual'!$A:$A,$H404))</f>
        <v/>
      </c>
      <c r="D404" s="5" t="str">
        <f>IF($H404="","",INDEX('Detalle individual'!$E:$E,$H404))</f>
        <v/>
      </c>
      <c r="E404" s="5" t="str">
        <f>IF($H404="","",INDEX('Detalle individual'!$C:$C,$H404))</f>
        <v/>
      </c>
      <c r="F404" s="5" t="str">
        <f>IF($H404="","",INDEX('Detalle individual'!$D:$D,$H404))</f>
        <v/>
      </c>
      <c r="G404" s="5" t="str">
        <f>IF($H404="","",INDEX('Detalle individual'!$F:$F,$H404))</f>
        <v/>
      </c>
      <c r="H404" t="str">
        <f>IFERROR(MATCH(SMALL(Cálculos!$AJ$5:$AJ$1000,400),Cálculos!$AJ$5:$AJ$1000,0)+4,"")</f>
        <v/>
      </c>
    </row>
    <row r="405">
      <c r="B405" s="5" t="str">
        <f>IF($H405="","",INDEX('Detalle individual'!$B:$B,$H405))</f>
        <v/>
      </c>
      <c r="C405" s="5" t="str">
        <f>IF($H405="","",INDEX('Detalle individual'!$A:$A,$H405))</f>
        <v/>
      </c>
      <c r="D405" s="5" t="str">
        <f>IF($H405="","",INDEX('Detalle individual'!$E:$E,$H405))</f>
        <v/>
      </c>
      <c r="E405" s="5" t="str">
        <f>IF($H405="","",INDEX('Detalle individual'!$C:$C,$H405))</f>
        <v/>
      </c>
      <c r="F405" s="5" t="str">
        <f>IF($H405="","",INDEX('Detalle individual'!$D:$D,$H405))</f>
        <v/>
      </c>
      <c r="G405" s="5" t="str">
        <f>IF($H405="","",INDEX('Detalle individual'!$F:$F,$H405))</f>
        <v/>
      </c>
      <c r="H405" t="str">
        <f>IFERROR(MATCH(SMALL(Cálculos!$AJ$5:$AJ$1000,401),Cálculos!$AJ$5:$AJ$1000,0)+4,"")</f>
        <v/>
      </c>
    </row>
    <row r="406">
      <c r="B406" s="5" t="str">
        <f>IF($H406="","",INDEX('Detalle individual'!$B:$B,$H406))</f>
        <v/>
      </c>
      <c r="C406" s="5" t="str">
        <f>IF($H406="","",INDEX('Detalle individual'!$A:$A,$H406))</f>
        <v/>
      </c>
      <c r="D406" s="5" t="str">
        <f>IF($H406="","",INDEX('Detalle individual'!$E:$E,$H406))</f>
        <v/>
      </c>
      <c r="E406" s="5" t="str">
        <f>IF($H406="","",INDEX('Detalle individual'!$C:$C,$H406))</f>
        <v/>
      </c>
      <c r="F406" s="5" t="str">
        <f>IF($H406="","",INDEX('Detalle individual'!$D:$D,$H406))</f>
        <v/>
      </c>
      <c r="G406" s="5" t="str">
        <f>IF($H406="","",INDEX('Detalle individual'!$F:$F,$H406))</f>
        <v/>
      </c>
      <c r="H406" t="str">
        <f>IFERROR(MATCH(SMALL(Cálculos!$AJ$5:$AJ$1000,402),Cálculos!$AJ$5:$AJ$1000,0)+4,"")</f>
        <v/>
      </c>
    </row>
    <row r="407">
      <c r="B407" s="5" t="str">
        <f>IF($H407="","",INDEX('Detalle individual'!$B:$B,$H407))</f>
        <v/>
      </c>
      <c r="C407" s="5" t="str">
        <f>IF($H407="","",INDEX('Detalle individual'!$A:$A,$H407))</f>
        <v/>
      </c>
      <c r="D407" s="5" t="str">
        <f>IF($H407="","",INDEX('Detalle individual'!$E:$E,$H407))</f>
        <v/>
      </c>
      <c r="E407" s="5" t="str">
        <f>IF($H407="","",INDEX('Detalle individual'!$C:$C,$H407))</f>
        <v/>
      </c>
      <c r="F407" s="5" t="str">
        <f>IF($H407="","",INDEX('Detalle individual'!$D:$D,$H407))</f>
        <v/>
      </c>
      <c r="G407" s="5" t="str">
        <f>IF($H407="","",INDEX('Detalle individual'!$F:$F,$H407))</f>
        <v/>
      </c>
      <c r="H407" t="str">
        <f>IFERROR(MATCH(SMALL(Cálculos!$AJ$5:$AJ$1000,403),Cálculos!$AJ$5:$AJ$1000,0)+4,"")</f>
        <v/>
      </c>
    </row>
    <row r="408">
      <c r="B408" s="5" t="str">
        <f>IF($H408="","",INDEX('Detalle individual'!$B:$B,$H408))</f>
        <v/>
      </c>
      <c r="C408" s="5" t="str">
        <f>IF($H408="","",INDEX('Detalle individual'!$A:$A,$H408))</f>
        <v/>
      </c>
      <c r="D408" s="5" t="str">
        <f>IF($H408="","",INDEX('Detalle individual'!$E:$E,$H408))</f>
        <v/>
      </c>
      <c r="E408" s="5" t="str">
        <f>IF($H408="","",INDEX('Detalle individual'!$C:$C,$H408))</f>
        <v/>
      </c>
      <c r="F408" s="5" t="str">
        <f>IF($H408="","",INDEX('Detalle individual'!$D:$D,$H408))</f>
        <v/>
      </c>
      <c r="G408" s="5" t="str">
        <f>IF($H408="","",INDEX('Detalle individual'!$F:$F,$H408))</f>
        <v/>
      </c>
      <c r="H408" t="str">
        <f>IFERROR(MATCH(SMALL(Cálculos!$AJ$5:$AJ$1000,404),Cálculos!$AJ$5:$AJ$1000,0)+4,"")</f>
        <v/>
      </c>
    </row>
    <row r="409">
      <c r="B409" s="5" t="str">
        <f>IF($H409="","",INDEX('Detalle individual'!$B:$B,$H409))</f>
        <v/>
      </c>
      <c r="C409" s="5" t="str">
        <f>IF($H409="","",INDEX('Detalle individual'!$A:$A,$H409))</f>
        <v/>
      </c>
      <c r="D409" s="5" t="str">
        <f>IF($H409="","",INDEX('Detalle individual'!$E:$E,$H409))</f>
        <v/>
      </c>
      <c r="E409" s="5" t="str">
        <f>IF($H409="","",INDEX('Detalle individual'!$C:$C,$H409))</f>
        <v/>
      </c>
      <c r="F409" s="5" t="str">
        <f>IF($H409="","",INDEX('Detalle individual'!$D:$D,$H409))</f>
        <v/>
      </c>
      <c r="G409" s="5" t="str">
        <f>IF($H409="","",INDEX('Detalle individual'!$F:$F,$H409))</f>
        <v/>
      </c>
      <c r="H409" t="str">
        <f>IFERROR(MATCH(SMALL(Cálculos!$AJ$5:$AJ$1000,405),Cálculos!$AJ$5:$AJ$1000,0)+4,"")</f>
        <v/>
      </c>
    </row>
    <row r="410">
      <c r="B410" s="5" t="str">
        <f>IF($H410="","",INDEX('Detalle individual'!$B:$B,$H410))</f>
        <v/>
      </c>
      <c r="C410" s="5" t="str">
        <f>IF($H410="","",INDEX('Detalle individual'!$A:$A,$H410))</f>
        <v/>
      </c>
      <c r="D410" s="5" t="str">
        <f>IF($H410="","",INDEX('Detalle individual'!$E:$E,$H410))</f>
        <v/>
      </c>
      <c r="E410" s="5" t="str">
        <f>IF($H410="","",INDEX('Detalle individual'!$C:$C,$H410))</f>
        <v/>
      </c>
      <c r="F410" s="5" t="str">
        <f>IF($H410="","",INDEX('Detalle individual'!$D:$D,$H410))</f>
        <v/>
      </c>
      <c r="G410" s="5" t="str">
        <f>IF($H410="","",INDEX('Detalle individual'!$F:$F,$H410))</f>
        <v/>
      </c>
      <c r="H410" t="str">
        <f>IFERROR(MATCH(SMALL(Cálculos!$AJ$5:$AJ$1000,406),Cálculos!$AJ$5:$AJ$1000,0)+4,"")</f>
        <v/>
      </c>
    </row>
    <row r="411">
      <c r="B411" s="5" t="str">
        <f>IF($H411="","",INDEX('Detalle individual'!$B:$B,$H411))</f>
        <v/>
      </c>
      <c r="C411" s="5" t="str">
        <f>IF($H411="","",INDEX('Detalle individual'!$A:$A,$H411))</f>
        <v/>
      </c>
      <c r="D411" s="5" t="str">
        <f>IF($H411="","",INDEX('Detalle individual'!$E:$E,$H411))</f>
        <v/>
      </c>
      <c r="E411" s="5" t="str">
        <f>IF($H411="","",INDEX('Detalle individual'!$C:$C,$H411))</f>
        <v/>
      </c>
      <c r="F411" s="5" t="str">
        <f>IF($H411="","",INDEX('Detalle individual'!$D:$D,$H411))</f>
        <v/>
      </c>
      <c r="G411" s="5" t="str">
        <f>IF($H411="","",INDEX('Detalle individual'!$F:$F,$H411))</f>
        <v/>
      </c>
      <c r="H411" t="str">
        <f>IFERROR(MATCH(SMALL(Cálculos!$AJ$5:$AJ$1000,407),Cálculos!$AJ$5:$AJ$1000,0)+4,"")</f>
        <v/>
      </c>
    </row>
    <row r="412">
      <c r="B412" s="5" t="str">
        <f>IF($H412="","",INDEX('Detalle individual'!$B:$B,$H412))</f>
        <v/>
      </c>
      <c r="C412" s="5" t="str">
        <f>IF($H412="","",INDEX('Detalle individual'!$A:$A,$H412))</f>
        <v/>
      </c>
      <c r="D412" s="5" t="str">
        <f>IF($H412="","",INDEX('Detalle individual'!$E:$E,$H412))</f>
        <v/>
      </c>
      <c r="E412" s="5" t="str">
        <f>IF($H412="","",INDEX('Detalle individual'!$C:$C,$H412))</f>
        <v/>
      </c>
      <c r="F412" s="5" t="str">
        <f>IF($H412="","",INDEX('Detalle individual'!$D:$D,$H412))</f>
        <v/>
      </c>
      <c r="G412" s="5" t="str">
        <f>IF($H412="","",INDEX('Detalle individual'!$F:$F,$H412))</f>
        <v/>
      </c>
      <c r="H412" t="str">
        <f>IFERROR(MATCH(SMALL(Cálculos!$AJ$5:$AJ$1000,408),Cálculos!$AJ$5:$AJ$1000,0)+4,"")</f>
        <v/>
      </c>
    </row>
    <row r="413">
      <c r="B413" s="5" t="str">
        <f>IF($H413="","",INDEX('Detalle individual'!$B:$B,$H413))</f>
        <v/>
      </c>
      <c r="C413" s="5" t="str">
        <f>IF($H413="","",INDEX('Detalle individual'!$A:$A,$H413))</f>
        <v/>
      </c>
      <c r="D413" s="5" t="str">
        <f>IF($H413="","",INDEX('Detalle individual'!$E:$E,$H413))</f>
        <v/>
      </c>
      <c r="E413" s="5" t="str">
        <f>IF($H413="","",INDEX('Detalle individual'!$C:$C,$H413))</f>
        <v/>
      </c>
      <c r="F413" s="5" t="str">
        <f>IF($H413="","",INDEX('Detalle individual'!$D:$D,$H413))</f>
        <v/>
      </c>
      <c r="G413" s="5" t="str">
        <f>IF($H413="","",INDEX('Detalle individual'!$F:$F,$H413))</f>
        <v/>
      </c>
      <c r="H413" t="str">
        <f>IFERROR(MATCH(SMALL(Cálculos!$AJ$5:$AJ$1000,409),Cálculos!$AJ$5:$AJ$1000,0)+4,"")</f>
        <v/>
      </c>
    </row>
    <row r="414">
      <c r="B414" s="5" t="str">
        <f>IF($H414="","",INDEX('Detalle individual'!$B:$B,$H414))</f>
        <v/>
      </c>
      <c r="C414" s="5" t="str">
        <f>IF($H414="","",INDEX('Detalle individual'!$A:$A,$H414))</f>
        <v/>
      </c>
      <c r="D414" s="5" t="str">
        <f>IF($H414="","",INDEX('Detalle individual'!$E:$E,$H414))</f>
        <v/>
      </c>
      <c r="E414" s="5" t="str">
        <f>IF($H414="","",INDEX('Detalle individual'!$C:$C,$H414))</f>
        <v/>
      </c>
      <c r="F414" s="5" t="str">
        <f>IF($H414="","",INDEX('Detalle individual'!$D:$D,$H414))</f>
        <v/>
      </c>
      <c r="G414" s="5" t="str">
        <f>IF($H414="","",INDEX('Detalle individual'!$F:$F,$H414))</f>
        <v/>
      </c>
      <c r="H414" t="str">
        <f>IFERROR(MATCH(SMALL(Cálculos!$AJ$5:$AJ$1000,410),Cálculos!$AJ$5:$AJ$1000,0)+4,"")</f>
        <v/>
      </c>
    </row>
    <row r="415">
      <c r="B415" s="5" t="str">
        <f>IF($H415="","",INDEX('Detalle individual'!$B:$B,$H415))</f>
        <v/>
      </c>
      <c r="C415" s="5" t="str">
        <f>IF($H415="","",INDEX('Detalle individual'!$A:$A,$H415))</f>
        <v/>
      </c>
      <c r="D415" s="5" t="str">
        <f>IF($H415="","",INDEX('Detalle individual'!$E:$E,$H415))</f>
        <v/>
      </c>
      <c r="E415" s="5" t="str">
        <f>IF($H415="","",INDEX('Detalle individual'!$C:$C,$H415))</f>
        <v/>
      </c>
      <c r="F415" s="5" t="str">
        <f>IF($H415="","",INDEX('Detalle individual'!$D:$D,$H415))</f>
        <v/>
      </c>
      <c r="G415" s="5" t="str">
        <f>IF($H415="","",INDEX('Detalle individual'!$F:$F,$H415))</f>
        <v/>
      </c>
      <c r="H415" t="str">
        <f>IFERROR(MATCH(SMALL(Cálculos!$AJ$5:$AJ$1000,411),Cálculos!$AJ$5:$AJ$1000,0)+4,"")</f>
        <v/>
      </c>
    </row>
    <row r="416">
      <c r="B416" s="5" t="str">
        <f>IF($H416="","",INDEX('Detalle individual'!$B:$B,$H416))</f>
        <v/>
      </c>
      <c r="C416" s="5" t="str">
        <f>IF($H416="","",INDEX('Detalle individual'!$A:$A,$H416))</f>
        <v/>
      </c>
      <c r="D416" s="5" t="str">
        <f>IF($H416="","",INDEX('Detalle individual'!$E:$E,$H416))</f>
        <v/>
      </c>
      <c r="E416" s="5" t="str">
        <f>IF($H416="","",INDEX('Detalle individual'!$C:$C,$H416))</f>
        <v/>
      </c>
      <c r="F416" s="5" t="str">
        <f>IF($H416="","",INDEX('Detalle individual'!$D:$D,$H416))</f>
        <v/>
      </c>
      <c r="G416" s="5" t="str">
        <f>IF($H416="","",INDEX('Detalle individual'!$F:$F,$H416))</f>
        <v/>
      </c>
      <c r="H416" t="str">
        <f>IFERROR(MATCH(SMALL(Cálculos!$AJ$5:$AJ$1000,412),Cálculos!$AJ$5:$AJ$1000,0)+4,"")</f>
        <v/>
      </c>
    </row>
    <row r="417">
      <c r="B417" s="5" t="str">
        <f>IF($H417="","",INDEX('Detalle individual'!$B:$B,$H417))</f>
        <v/>
      </c>
      <c r="C417" s="5" t="str">
        <f>IF($H417="","",INDEX('Detalle individual'!$A:$A,$H417))</f>
        <v/>
      </c>
      <c r="D417" s="5" t="str">
        <f>IF($H417="","",INDEX('Detalle individual'!$E:$E,$H417))</f>
        <v/>
      </c>
      <c r="E417" s="5" t="str">
        <f>IF($H417="","",INDEX('Detalle individual'!$C:$C,$H417))</f>
        <v/>
      </c>
      <c r="F417" s="5" t="str">
        <f>IF($H417="","",INDEX('Detalle individual'!$D:$D,$H417))</f>
        <v/>
      </c>
      <c r="G417" s="5" t="str">
        <f>IF($H417="","",INDEX('Detalle individual'!$F:$F,$H417))</f>
        <v/>
      </c>
      <c r="H417" t="str">
        <f>IFERROR(MATCH(SMALL(Cálculos!$AJ$5:$AJ$1000,413),Cálculos!$AJ$5:$AJ$1000,0)+4,"")</f>
        <v/>
      </c>
    </row>
    <row r="418">
      <c r="B418" s="5" t="str">
        <f>IF($H418="","",INDEX('Detalle individual'!$B:$B,$H418))</f>
        <v/>
      </c>
      <c r="C418" s="5" t="str">
        <f>IF($H418="","",INDEX('Detalle individual'!$A:$A,$H418))</f>
        <v/>
      </c>
      <c r="D418" s="5" t="str">
        <f>IF($H418="","",INDEX('Detalle individual'!$E:$E,$H418))</f>
        <v/>
      </c>
      <c r="E418" s="5" t="str">
        <f>IF($H418="","",INDEX('Detalle individual'!$C:$C,$H418))</f>
        <v/>
      </c>
      <c r="F418" s="5" t="str">
        <f>IF($H418="","",INDEX('Detalle individual'!$D:$D,$H418))</f>
        <v/>
      </c>
      <c r="G418" s="5" t="str">
        <f>IF($H418="","",INDEX('Detalle individual'!$F:$F,$H418))</f>
        <v/>
      </c>
      <c r="H418" t="str">
        <f>IFERROR(MATCH(SMALL(Cálculos!$AJ$5:$AJ$1000,414),Cálculos!$AJ$5:$AJ$1000,0)+4,"")</f>
        <v/>
      </c>
    </row>
    <row r="419">
      <c r="B419" s="5" t="str">
        <f>IF($H419="","",INDEX('Detalle individual'!$B:$B,$H419))</f>
        <v/>
      </c>
      <c r="C419" s="5" t="str">
        <f>IF($H419="","",INDEX('Detalle individual'!$A:$A,$H419))</f>
        <v/>
      </c>
      <c r="D419" s="5" t="str">
        <f>IF($H419="","",INDEX('Detalle individual'!$E:$E,$H419))</f>
        <v/>
      </c>
      <c r="E419" s="5" t="str">
        <f>IF($H419="","",INDEX('Detalle individual'!$C:$C,$H419))</f>
        <v/>
      </c>
      <c r="F419" s="5" t="str">
        <f>IF($H419="","",INDEX('Detalle individual'!$D:$D,$H419))</f>
        <v/>
      </c>
      <c r="G419" s="5" t="str">
        <f>IF($H419="","",INDEX('Detalle individual'!$F:$F,$H419))</f>
        <v/>
      </c>
      <c r="H419" t="str">
        <f>IFERROR(MATCH(SMALL(Cálculos!$AJ$5:$AJ$1000,415),Cálculos!$AJ$5:$AJ$1000,0)+4,"")</f>
        <v/>
      </c>
    </row>
    <row r="420">
      <c r="B420" s="5" t="str">
        <f>IF($H420="","",INDEX('Detalle individual'!$B:$B,$H420))</f>
        <v/>
      </c>
      <c r="C420" s="5" t="str">
        <f>IF($H420="","",INDEX('Detalle individual'!$A:$A,$H420))</f>
        <v/>
      </c>
      <c r="D420" s="5" t="str">
        <f>IF($H420="","",INDEX('Detalle individual'!$E:$E,$H420))</f>
        <v/>
      </c>
      <c r="E420" s="5" t="str">
        <f>IF($H420="","",INDEX('Detalle individual'!$C:$C,$H420))</f>
        <v/>
      </c>
      <c r="F420" s="5" t="str">
        <f>IF($H420="","",INDEX('Detalle individual'!$D:$D,$H420))</f>
        <v/>
      </c>
      <c r="G420" s="5" t="str">
        <f>IF($H420="","",INDEX('Detalle individual'!$F:$F,$H420))</f>
        <v/>
      </c>
      <c r="H420" t="str">
        <f>IFERROR(MATCH(SMALL(Cálculos!$AJ$5:$AJ$1000,416),Cálculos!$AJ$5:$AJ$1000,0)+4,"")</f>
        <v/>
      </c>
    </row>
    <row r="421">
      <c r="B421" s="5" t="str">
        <f>IF($H421="","",INDEX('Detalle individual'!$B:$B,$H421))</f>
        <v/>
      </c>
      <c r="C421" s="5" t="str">
        <f>IF($H421="","",INDEX('Detalle individual'!$A:$A,$H421))</f>
        <v/>
      </c>
      <c r="D421" s="5" t="str">
        <f>IF($H421="","",INDEX('Detalle individual'!$E:$E,$H421))</f>
        <v/>
      </c>
      <c r="E421" s="5" t="str">
        <f>IF($H421="","",INDEX('Detalle individual'!$C:$C,$H421))</f>
        <v/>
      </c>
      <c r="F421" s="5" t="str">
        <f>IF($H421="","",INDEX('Detalle individual'!$D:$D,$H421))</f>
        <v/>
      </c>
      <c r="G421" s="5" t="str">
        <f>IF($H421="","",INDEX('Detalle individual'!$F:$F,$H421))</f>
        <v/>
      </c>
      <c r="H421" t="str">
        <f>IFERROR(MATCH(SMALL(Cálculos!$AJ$5:$AJ$1000,417),Cálculos!$AJ$5:$AJ$1000,0)+4,"")</f>
        <v/>
      </c>
    </row>
    <row r="422">
      <c r="B422" s="5" t="str">
        <f>IF($H422="","",INDEX('Detalle individual'!$B:$B,$H422))</f>
        <v/>
      </c>
      <c r="C422" s="5" t="str">
        <f>IF($H422="","",INDEX('Detalle individual'!$A:$A,$H422))</f>
        <v/>
      </c>
      <c r="D422" s="5" t="str">
        <f>IF($H422="","",INDEX('Detalle individual'!$E:$E,$H422))</f>
        <v/>
      </c>
      <c r="E422" s="5" t="str">
        <f>IF($H422="","",INDEX('Detalle individual'!$C:$C,$H422))</f>
        <v/>
      </c>
      <c r="F422" s="5" t="str">
        <f>IF($H422="","",INDEX('Detalle individual'!$D:$D,$H422))</f>
        <v/>
      </c>
      <c r="G422" s="5" t="str">
        <f>IF($H422="","",INDEX('Detalle individual'!$F:$F,$H422))</f>
        <v/>
      </c>
      <c r="H422" t="str">
        <f>IFERROR(MATCH(SMALL(Cálculos!$AJ$5:$AJ$1000,418),Cálculos!$AJ$5:$AJ$1000,0)+4,"")</f>
        <v/>
      </c>
    </row>
    <row r="423">
      <c r="B423" s="5" t="str">
        <f>IF($H423="","",INDEX('Detalle individual'!$B:$B,$H423))</f>
        <v/>
      </c>
      <c r="C423" s="5" t="str">
        <f>IF($H423="","",INDEX('Detalle individual'!$A:$A,$H423))</f>
        <v/>
      </c>
      <c r="D423" s="5" t="str">
        <f>IF($H423="","",INDEX('Detalle individual'!$E:$E,$H423))</f>
        <v/>
      </c>
      <c r="E423" s="5" t="str">
        <f>IF($H423="","",INDEX('Detalle individual'!$C:$C,$H423))</f>
        <v/>
      </c>
      <c r="F423" s="5" t="str">
        <f>IF($H423="","",INDEX('Detalle individual'!$D:$D,$H423))</f>
        <v/>
      </c>
      <c r="G423" s="5" t="str">
        <f>IF($H423="","",INDEX('Detalle individual'!$F:$F,$H423))</f>
        <v/>
      </c>
      <c r="H423" t="str">
        <f>IFERROR(MATCH(SMALL(Cálculos!$AJ$5:$AJ$1000,419),Cálculos!$AJ$5:$AJ$1000,0)+4,"")</f>
        <v/>
      </c>
    </row>
    <row r="424">
      <c r="B424" s="5" t="str">
        <f>IF($H424="","",INDEX('Detalle individual'!$B:$B,$H424))</f>
        <v/>
      </c>
      <c r="C424" s="5" t="str">
        <f>IF($H424="","",INDEX('Detalle individual'!$A:$A,$H424))</f>
        <v/>
      </c>
      <c r="D424" s="5" t="str">
        <f>IF($H424="","",INDEX('Detalle individual'!$E:$E,$H424))</f>
        <v/>
      </c>
      <c r="E424" s="5" t="str">
        <f>IF($H424="","",INDEX('Detalle individual'!$C:$C,$H424))</f>
        <v/>
      </c>
      <c r="F424" s="5" t="str">
        <f>IF($H424="","",INDEX('Detalle individual'!$D:$D,$H424))</f>
        <v/>
      </c>
      <c r="G424" s="5" t="str">
        <f>IF($H424="","",INDEX('Detalle individual'!$F:$F,$H424))</f>
        <v/>
      </c>
      <c r="H424" t="str">
        <f>IFERROR(MATCH(SMALL(Cálculos!$AJ$5:$AJ$1000,420),Cálculos!$AJ$5:$AJ$1000,0)+4,"")</f>
        <v/>
      </c>
    </row>
    <row r="425">
      <c r="B425" s="5" t="str">
        <f>IF($H425="","",INDEX('Detalle individual'!$B:$B,$H425))</f>
        <v/>
      </c>
      <c r="C425" s="5" t="str">
        <f>IF($H425="","",INDEX('Detalle individual'!$A:$A,$H425))</f>
        <v/>
      </c>
      <c r="D425" s="5" t="str">
        <f>IF($H425="","",INDEX('Detalle individual'!$E:$E,$H425))</f>
        <v/>
      </c>
      <c r="E425" s="5" t="str">
        <f>IF($H425="","",INDEX('Detalle individual'!$C:$C,$H425))</f>
        <v/>
      </c>
      <c r="F425" s="5" t="str">
        <f>IF($H425="","",INDEX('Detalle individual'!$D:$D,$H425))</f>
        <v/>
      </c>
      <c r="G425" s="5" t="str">
        <f>IF($H425="","",INDEX('Detalle individual'!$F:$F,$H425))</f>
        <v/>
      </c>
      <c r="H425" t="str">
        <f>IFERROR(MATCH(SMALL(Cálculos!$AJ$5:$AJ$1000,421),Cálculos!$AJ$5:$AJ$1000,0)+4,"")</f>
        <v/>
      </c>
    </row>
    <row r="426">
      <c r="B426" s="5" t="str">
        <f>IF($H426="","",INDEX('Detalle individual'!$B:$B,$H426))</f>
        <v/>
      </c>
      <c r="C426" s="5" t="str">
        <f>IF($H426="","",INDEX('Detalle individual'!$A:$A,$H426))</f>
        <v/>
      </c>
      <c r="D426" s="5" t="str">
        <f>IF($H426="","",INDEX('Detalle individual'!$E:$E,$H426))</f>
        <v/>
      </c>
      <c r="E426" s="5" t="str">
        <f>IF($H426="","",INDEX('Detalle individual'!$C:$C,$H426))</f>
        <v/>
      </c>
      <c r="F426" s="5" t="str">
        <f>IF($H426="","",INDEX('Detalle individual'!$D:$D,$H426))</f>
        <v/>
      </c>
      <c r="G426" s="5" t="str">
        <f>IF($H426="","",INDEX('Detalle individual'!$F:$F,$H426))</f>
        <v/>
      </c>
      <c r="H426" t="str">
        <f>IFERROR(MATCH(SMALL(Cálculos!$AJ$5:$AJ$1000,422),Cálculos!$AJ$5:$AJ$1000,0)+4,"")</f>
        <v/>
      </c>
    </row>
    <row r="427">
      <c r="B427" s="5" t="str">
        <f>IF($H427="","",INDEX('Detalle individual'!$B:$B,$H427))</f>
        <v/>
      </c>
      <c r="C427" s="5" t="str">
        <f>IF($H427="","",INDEX('Detalle individual'!$A:$A,$H427))</f>
        <v/>
      </c>
      <c r="D427" s="5" t="str">
        <f>IF($H427="","",INDEX('Detalle individual'!$E:$E,$H427))</f>
        <v/>
      </c>
      <c r="E427" s="5" t="str">
        <f>IF($H427="","",INDEX('Detalle individual'!$C:$C,$H427))</f>
        <v/>
      </c>
      <c r="F427" s="5" t="str">
        <f>IF($H427="","",INDEX('Detalle individual'!$D:$D,$H427))</f>
        <v/>
      </c>
      <c r="G427" s="5" t="str">
        <f>IF($H427="","",INDEX('Detalle individual'!$F:$F,$H427))</f>
        <v/>
      </c>
      <c r="H427" t="str">
        <f>IFERROR(MATCH(SMALL(Cálculos!$AJ$5:$AJ$1000,423),Cálculos!$AJ$5:$AJ$1000,0)+4,"")</f>
        <v/>
      </c>
    </row>
    <row r="428">
      <c r="B428" s="5" t="str">
        <f>IF($H428="","",INDEX('Detalle individual'!$B:$B,$H428))</f>
        <v/>
      </c>
      <c r="C428" s="5" t="str">
        <f>IF($H428="","",INDEX('Detalle individual'!$A:$A,$H428))</f>
        <v/>
      </c>
      <c r="D428" s="5" t="str">
        <f>IF($H428="","",INDEX('Detalle individual'!$E:$E,$H428))</f>
        <v/>
      </c>
      <c r="E428" s="5" t="str">
        <f>IF($H428="","",INDEX('Detalle individual'!$C:$C,$H428))</f>
        <v/>
      </c>
      <c r="F428" s="5" t="str">
        <f>IF($H428="","",INDEX('Detalle individual'!$D:$D,$H428))</f>
        <v/>
      </c>
      <c r="G428" s="5" t="str">
        <f>IF($H428="","",INDEX('Detalle individual'!$F:$F,$H428))</f>
        <v/>
      </c>
      <c r="H428" t="str">
        <f>IFERROR(MATCH(SMALL(Cálculos!$AJ$5:$AJ$1000,424),Cálculos!$AJ$5:$AJ$1000,0)+4,"")</f>
        <v/>
      </c>
    </row>
    <row r="429">
      <c r="B429" s="5" t="str">
        <f>IF($H429="","",INDEX('Detalle individual'!$B:$B,$H429))</f>
        <v/>
      </c>
      <c r="C429" s="5" t="str">
        <f>IF($H429="","",INDEX('Detalle individual'!$A:$A,$H429))</f>
        <v/>
      </c>
      <c r="D429" s="5" t="str">
        <f>IF($H429="","",INDEX('Detalle individual'!$E:$E,$H429))</f>
        <v/>
      </c>
      <c r="E429" s="5" t="str">
        <f>IF($H429="","",INDEX('Detalle individual'!$C:$C,$H429))</f>
        <v/>
      </c>
      <c r="F429" s="5" t="str">
        <f>IF($H429="","",INDEX('Detalle individual'!$D:$D,$H429))</f>
        <v/>
      </c>
      <c r="G429" s="5" t="str">
        <f>IF($H429="","",INDEX('Detalle individual'!$F:$F,$H429))</f>
        <v/>
      </c>
      <c r="H429" t="str">
        <f>IFERROR(MATCH(SMALL(Cálculos!$AJ$5:$AJ$1000,425),Cálculos!$AJ$5:$AJ$1000,0)+4,"")</f>
        <v/>
      </c>
    </row>
    <row r="430">
      <c r="B430" s="5" t="str">
        <f>IF($H430="","",INDEX('Detalle individual'!$B:$B,$H430))</f>
        <v/>
      </c>
      <c r="C430" s="5" t="str">
        <f>IF($H430="","",INDEX('Detalle individual'!$A:$A,$H430))</f>
        <v/>
      </c>
      <c r="D430" s="5" t="str">
        <f>IF($H430="","",INDEX('Detalle individual'!$E:$E,$H430))</f>
        <v/>
      </c>
      <c r="E430" s="5" t="str">
        <f>IF($H430="","",INDEX('Detalle individual'!$C:$C,$H430))</f>
        <v/>
      </c>
      <c r="F430" s="5" t="str">
        <f>IF($H430="","",INDEX('Detalle individual'!$D:$D,$H430))</f>
        <v/>
      </c>
      <c r="G430" s="5" t="str">
        <f>IF($H430="","",INDEX('Detalle individual'!$F:$F,$H430))</f>
        <v/>
      </c>
      <c r="H430" t="str">
        <f>IFERROR(MATCH(SMALL(Cálculos!$AJ$5:$AJ$1000,426),Cálculos!$AJ$5:$AJ$1000,0)+4,"")</f>
        <v/>
      </c>
    </row>
    <row r="431">
      <c r="B431" s="5" t="str">
        <f>IF($H431="","",INDEX('Detalle individual'!$B:$B,$H431))</f>
        <v/>
      </c>
      <c r="C431" s="5" t="str">
        <f>IF($H431="","",INDEX('Detalle individual'!$A:$A,$H431))</f>
        <v/>
      </c>
      <c r="D431" s="5" t="str">
        <f>IF($H431="","",INDEX('Detalle individual'!$E:$E,$H431))</f>
        <v/>
      </c>
      <c r="E431" s="5" t="str">
        <f>IF($H431="","",INDEX('Detalle individual'!$C:$C,$H431))</f>
        <v/>
      </c>
      <c r="F431" s="5" t="str">
        <f>IF($H431="","",INDEX('Detalle individual'!$D:$D,$H431))</f>
        <v/>
      </c>
      <c r="G431" s="5" t="str">
        <f>IF($H431="","",INDEX('Detalle individual'!$F:$F,$H431))</f>
        <v/>
      </c>
      <c r="H431" t="str">
        <f>IFERROR(MATCH(SMALL(Cálculos!$AJ$5:$AJ$1000,427),Cálculos!$AJ$5:$AJ$1000,0)+4,"")</f>
        <v/>
      </c>
    </row>
    <row r="432">
      <c r="B432" s="5" t="str">
        <f>IF($H432="","",INDEX('Detalle individual'!$B:$B,$H432))</f>
        <v/>
      </c>
      <c r="C432" s="5" t="str">
        <f>IF($H432="","",INDEX('Detalle individual'!$A:$A,$H432))</f>
        <v/>
      </c>
      <c r="D432" s="5" t="str">
        <f>IF($H432="","",INDEX('Detalle individual'!$E:$E,$H432))</f>
        <v/>
      </c>
      <c r="E432" s="5" t="str">
        <f>IF($H432="","",INDEX('Detalle individual'!$C:$C,$H432))</f>
        <v/>
      </c>
      <c r="F432" s="5" t="str">
        <f>IF($H432="","",INDEX('Detalle individual'!$D:$D,$H432))</f>
        <v/>
      </c>
      <c r="G432" s="5" t="str">
        <f>IF($H432="","",INDEX('Detalle individual'!$F:$F,$H432))</f>
        <v/>
      </c>
      <c r="H432" t="str">
        <f>IFERROR(MATCH(SMALL(Cálculos!$AJ$5:$AJ$1000,428),Cálculos!$AJ$5:$AJ$1000,0)+4,"")</f>
        <v/>
      </c>
    </row>
    <row r="433">
      <c r="B433" s="5" t="str">
        <f>IF($H433="","",INDEX('Detalle individual'!$B:$B,$H433))</f>
        <v/>
      </c>
      <c r="C433" s="5" t="str">
        <f>IF($H433="","",INDEX('Detalle individual'!$A:$A,$H433))</f>
        <v/>
      </c>
      <c r="D433" s="5" t="str">
        <f>IF($H433="","",INDEX('Detalle individual'!$E:$E,$H433))</f>
        <v/>
      </c>
      <c r="E433" s="5" t="str">
        <f>IF($H433="","",INDEX('Detalle individual'!$C:$C,$H433))</f>
        <v/>
      </c>
      <c r="F433" s="5" t="str">
        <f>IF($H433="","",INDEX('Detalle individual'!$D:$D,$H433))</f>
        <v/>
      </c>
      <c r="G433" s="5" t="str">
        <f>IF($H433="","",INDEX('Detalle individual'!$F:$F,$H433))</f>
        <v/>
      </c>
      <c r="H433" t="str">
        <f>IFERROR(MATCH(SMALL(Cálculos!$AJ$5:$AJ$1000,429),Cálculos!$AJ$5:$AJ$1000,0)+4,"")</f>
        <v/>
      </c>
    </row>
    <row r="434">
      <c r="B434" s="5" t="str">
        <f>IF($H434="","",INDEX('Detalle individual'!$B:$B,$H434))</f>
        <v/>
      </c>
      <c r="C434" s="5" t="str">
        <f>IF($H434="","",INDEX('Detalle individual'!$A:$A,$H434))</f>
        <v/>
      </c>
      <c r="D434" s="5" t="str">
        <f>IF($H434="","",INDEX('Detalle individual'!$E:$E,$H434))</f>
        <v/>
      </c>
      <c r="E434" s="5" t="str">
        <f>IF($H434="","",INDEX('Detalle individual'!$C:$C,$H434))</f>
        <v/>
      </c>
      <c r="F434" s="5" t="str">
        <f>IF($H434="","",INDEX('Detalle individual'!$D:$D,$H434))</f>
        <v/>
      </c>
      <c r="G434" s="5" t="str">
        <f>IF($H434="","",INDEX('Detalle individual'!$F:$F,$H434))</f>
        <v/>
      </c>
      <c r="H434" t="str">
        <f>IFERROR(MATCH(SMALL(Cálculos!$AJ$5:$AJ$1000,430),Cálculos!$AJ$5:$AJ$1000,0)+4,"")</f>
        <v/>
      </c>
    </row>
    <row r="435">
      <c r="B435" s="5" t="str">
        <f>IF($H435="","",INDEX('Detalle individual'!$B:$B,$H435))</f>
        <v/>
      </c>
      <c r="C435" s="5" t="str">
        <f>IF($H435="","",INDEX('Detalle individual'!$A:$A,$H435))</f>
        <v/>
      </c>
      <c r="D435" s="5" t="str">
        <f>IF($H435="","",INDEX('Detalle individual'!$E:$E,$H435))</f>
        <v/>
      </c>
      <c r="E435" s="5" t="str">
        <f>IF($H435="","",INDEX('Detalle individual'!$C:$C,$H435))</f>
        <v/>
      </c>
      <c r="F435" s="5" t="str">
        <f>IF($H435="","",INDEX('Detalle individual'!$D:$D,$H435))</f>
        <v/>
      </c>
      <c r="G435" s="5" t="str">
        <f>IF($H435="","",INDEX('Detalle individual'!$F:$F,$H435))</f>
        <v/>
      </c>
      <c r="H435" t="str">
        <f>IFERROR(MATCH(SMALL(Cálculos!$AJ$5:$AJ$1000,431),Cálculos!$AJ$5:$AJ$1000,0)+4,"")</f>
        <v/>
      </c>
    </row>
    <row r="436">
      <c r="B436" s="5" t="str">
        <f>IF($H436="","",INDEX('Detalle individual'!$B:$B,$H436))</f>
        <v/>
      </c>
      <c r="C436" s="5" t="str">
        <f>IF($H436="","",INDEX('Detalle individual'!$A:$A,$H436))</f>
        <v/>
      </c>
      <c r="D436" s="5" t="str">
        <f>IF($H436="","",INDEX('Detalle individual'!$E:$E,$H436))</f>
        <v/>
      </c>
      <c r="E436" s="5" t="str">
        <f>IF($H436="","",INDEX('Detalle individual'!$C:$C,$H436))</f>
        <v/>
      </c>
      <c r="F436" s="5" t="str">
        <f>IF($H436="","",INDEX('Detalle individual'!$D:$D,$H436))</f>
        <v/>
      </c>
      <c r="G436" s="5" t="str">
        <f>IF($H436="","",INDEX('Detalle individual'!$F:$F,$H436))</f>
        <v/>
      </c>
      <c r="H436" t="str">
        <f>IFERROR(MATCH(SMALL(Cálculos!$AJ$5:$AJ$1000,432),Cálculos!$AJ$5:$AJ$1000,0)+4,"")</f>
        <v/>
      </c>
    </row>
    <row r="437">
      <c r="B437" s="5" t="str">
        <f>IF($H437="","",INDEX('Detalle individual'!$B:$B,$H437))</f>
        <v/>
      </c>
      <c r="C437" s="5" t="str">
        <f>IF($H437="","",INDEX('Detalle individual'!$A:$A,$H437))</f>
        <v/>
      </c>
      <c r="D437" s="5" t="str">
        <f>IF($H437="","",INDEX('Detalle individual'!$E:$E,$H437))</f>
        <v/>
      </c>
      <c r="E437" s="5" t="str">
        <f>IF($H437="","",INDEX('Detalle individual'!$C:$C,$H437))</f>
        <v/>
      </c>
      <c r="F437" s="5" t="str">
        <f>IF($H437="","",INDEX('Detalle individual'!$D:$D,$H437))</f>
        <v/>
      </c>
      <c r="G437" s="5" t="str">
        <f>IF($H437="","",INDEX('Detalle individual'!$F:$F,$H437))</f>
        <v/>
      </c>
      <c r="H437" t="str">
        <f>IFERROR(MATCH(SMALL(Cálculos!$AJ$5:$AJ$1000,433),Cálculos!$AJ$5:$AJ$1000,0)+4,"")</f>
        <v/>
      </c>
    </row>
    <row r="438">
      <c r="B438" s="5" t="str">
        <f>IF($H438="","",INDEX('Detalle individual'!$B:$B,$H438))</f>
        <v/>
      </c>
      <c r="C438" s="5" t="str">
        <f>IF($H438="","",INDEX('Detalle individual'!$A:$A,$H438))</f>
        <v/>
      </c>
      <c r="D438" s="5" t="str">
        <f>IF($H438="","",INDEX('Detalle individual'!$E:$E,$H438))</f>
        <v/>
      </c>
      <c r="E438" s="5" t="str">
        <f>IF($H438="","",INDEX('Detalle individual'!$C:$C,$H438))</f>
        <v/>
      </c>
      <c r="F438" s="5" t="str">
        <f>IF($H438="","",INDEX('Detalle individual'!$D:$D,$H438))</f>
        <v/>
      </c>
      <c r="G438" s="5" t="str">
        <f>IF($H438="","",INDEX('Detalle individual'!$F:$F,$H438))</f>
        <v/>
      </c>
      <c r="H438" t="str">
        <f>IFERROR(MATCH(SMALL(Cálculos!$AJ$5:$AJ$1000,434),Cálculos!$AJ$5:$AJ$1000,0)+4,"")</f>
        <v/>
      </c>
    </row>
    <row r="439">
      <c r="B439" s="5" t="str">
        <f>IF($H439="","",INDEX('Detalle individual'!$B:$B,$H439))</f>
        <v/>
      </c>
      <c r="C439" s="5" t="str">
        <f>IF($H439="","",INDEX('Detalle individual'!$A:$A,$H439))</f>
        <v/>
      </c>
      <c r="D439" s="5" t="str">
        <f>IF($H439="","",INDEX('Detalle individual'!$E:$E,$H439))</f>
        <v/>
      </c>
      <c r="E439" s="5" t="str">
        <f>IF($H439="","",INDEX('Detalle individual'!$C:$C,$H439))</f>
        <v/>
      </c>
      <c r="F439" s="5" t="str">
        <f>IF($H439="","",INDEX('Detalle individual'!$D:$D,$H439))</f>
        <v/>
      </c>
      <c r="G439" s="5" t="str">
        <f>IF($H439="","",INDEX('Detalle individual'!$F:$F,$H439))</f>
        <v/>
      </c>
      <c r="H439" t="str">
        <f>IFERROR(MATCH(SMALL(Cálculos!$AJ$5:$AJ$1000,435),Cálculos!$AJ$5:$AJ$1000,0)+4,"")</f>
        <v/>
      </c>
    </row>
    <row r="440">
      <c r="B440" s="5" t="str">
        <f>IF($H440="","",INDEX('Detalle individual'!$B:$B,$H440))</f>
        <v/>
      </c>
      <c r="C440" s="5" t="str">
        <f>IF($H440="","",INDEX('Detalle individual'!$A:$A,$H440))</f>
        <v/>
      </c>
      <c r="D440" s="5" t="str">
        <f>IF($H440="","",INDEX('Detalle individual'!$E:$E,$H440))</f>
        <v/>
      </c>
      <c r="E440" s="5" t="str">
        <f>IF($H440="","",INDEX('Detalle individual'!$C:$C,$H440))</f>
        <v/>
      </c>
      <c r="F440" s="5" t="str">
        <f>IF($H440="","",INDEX('Detalle individual'!$D:$D,$H440))</f>
        <v/>
      </c>
      <c r="G440" s="5" t="str">
        <f>IF($H440="","",INDEX('Detalle individual'!$F:$F,$H440))</f>
        <v/>
      </c>
      <c r="H440" t="str">
        <f>IFERROR(MATCH(SMALL(Cálculos!$AJ$5:$AJ$1000,436),Cálculos!$AJ$5:$AJ$1000,0)+4,"")</f>
        <v/>
      </c>
    </row>
    <row r="441">
      <c r="B441" s="5" t="str">
        <f>IF($H441="","",INDEX('Detalle individual'!$B:$B,$H441))</f>
        <v/>
      </c>
      <c r="C441" s="5" t="str">
        <f>IF($H441="","",INDEX('Detalle individual'!$A:$A,$H441))</f>
        <v/>
      </c>
      <c r="D441" s="5" t="str">
        <f>IF($H441="","",INDEX('Detalle individual'!$E:$E,$H441))</f>
        <v/>
      </c>
      <c r="E441" s="5" t="str">
        <f>IF($H441="","",INDEX('Detalle individual'!$C:$C,$H441))</f>
        <v/>
      </c>
      <c r="F441" s="5" t="str">
        <f>IF($H441="","",INDEX('Detalle individual'!$D:$D,$H441))</f>
        <v/>
      </c>
      <c r="G441" s="5" t="str">
        <f>IF($H441="","",INDEX('Detalle individual'!$F:$F,$H441))</f>
        <v/>
      </c>
      <c r="H441" t="str">
        <f>IFERROR(MATCH(SMALL(Cálculos!$AJ$5:$AJ$1000,437),Cálculos!$AJ$5:$AJ$1000,0)+4,"")</f>
        <v/>
      </c>
    </row>
    <row r="442">
      <c r="B442" s="5" t="str">
        <f>IF($H442="","",INDEX('Detalle individual'!$B:$B,$H442))</f>
        <v/>
      </c>
      <c r="C442" s="5" t="str">
        <f>IF($H442="","",INDEX('Detalle individual'!$A:$A,$H442))</f>
        <v/>
      </c>
      <c r="D442" s="5" t="str">
        <f>IF($H442="","",INDEX('Detalle individual'!$E:$E,$H442))</f>
        <v/>
      </c>
      <c r="E442" s="5" t="str">
        <f>IF($H442="","",INDEX('Detalle individual'!$C:$C,$H442))</f>
        <v/>
      </c>
      <c r="F442" s="5" t="str">
        <f>IF($H442="","",INDEX('Detalle individual'!$D:$D,$H442))</f>
        <v/>
      </c>
      <c r="G442" s="5" t="str">
        <f>IF($H442="","",INDEX('Detalle individual'!$F:$F,$H442))</f>
        <v/>
      </c>
      <c r="H442" t="str">
        <f>IFERROR(MATCH(SMALL(Cálculos!$AJ$5:$AJ$1000,438),Cálculos!$AJ$5:$AJ$1000,0)+4,"")</f>
        <v/>
      </c>
    </row>
    <row r="443">
      <c r="B443" s="5" t="str">
        <f>IF($H443="","",INDEX('Detalle individual'!$B:$B,$H443))</f>
        <v/>
      </c>
      <c r="C443" s="5" t="str">
        <f>IF($H443="","",INDEX('Detalle individual'!$A:$A,$H443))</f>
        <v/>
      </c>
      <c r="D443" s="5" t="str">
        <f>IF($H443="","",INDEX('Detalle individual'!$E:$E,$H443))</f>
        <v/>
      </c>
      <c r="E443" s="5" t="str">
        <f>IF($H443="","",INDEX('Detalle individual'!$C:$C,$H443))</f>
        <v/>
      </c>
      <c r="F443" s="5" t="str">
        <f>IF($H443="","",INDEX('Detalle individual'!$D:$D,$H443))</f>
        <v/>
      </c>
      <c r="G443" s="5" t="str">
        <f>IF($H443="","",INDEX('Detalle individual'!$F:$F,$H443))</f>
        <v/>
      </c>
      <c r="H443" t="str">
        <f>IFERROR(MATCH(SMALL(Cálculos!$AJ$5:$AJ$1000,439),Cálculos!$AJ$5:$AJ$1000,0)+4,"")</f>
        <v/>
      </c>
    </row>
    <row r="444">
      <c r="B444" s="5" t="str">
        <f>IF($H444="","",INDEX('Detalle individual'!$B:$B,$H444))</f>
        <v/>
      </c>
      <c r="C444" s="5" t="str">
        <f>IF($H444="","",INDEX('Detalle individual'!$A:$A,$H444))</f>
        <v/>
      </c>
      <c r="D444" s="5" t="str">
        <f>IF($H444="","",INDEX('Detalle individual'!$E:$E,$H444))</f>
        <v/>
      </c>
      <c r="E444" s="5" t="str">
        <f>IF($H444="","",INDEX('Detalle individual'!$C:$C,$H444))</f>
        <v/>
      </c>
      <c r="F444" s="5" t="str">
        <f>IF($H444="","",INDEX('Detalle individual'!$D:$D,$H444))</f>
        <v/>
      </c>
      <c r="G444" s="5" t="str">
        <f>IF($H444="","",INDEX('Detalle individual'!$F:$F,$H444))</f>
        <v/>
      </c>
      <c r="H444" t="str">
        <f>IFERROR(MATCH(SMALL(Cálculos!$AJ$5:$AJ$1000,440),Cálculos!$AJ$5:$AJ$1000,0)+4,"")</f>
        <v/>
      </c>
    </row>
    <row r="445">
      <c r="B445" s="5" t="str">
        <f>IF($H445="","",INDEX('Detalle individual'!$B:$B,$H445))</f>
        <v/>
      </c>
      <c r="C445" s="5" t="str">
        <f>IF($H445="","",INDEX('Detalle individual'!$A:$A,$H445))</f>
        <v/>
      </c>
      <c r="D445" s="5" t="str">
        <f>IF($H445="","",INDEX('Detalle individual'!$E:$E,$H445))</f>
        <v/>
      </c>
      <c r="E445" s="5" t="str">
        <f>IF($H445="","",INDEX('Detalle individual'!$C:$C,$H445))</f>
        <v/>
      </c>
      <c r="F445" s="5" t="str">
        <f>IF($H445="","",INDEX('Detalle individual'!$D:$D,$H445))</f>
        <v/>
      </c>
      <c r="G445" s="5" t="str">
        <f>IF($H445="","",INDEX('Detalle individual'!$F:$F,$H445))</f>
        <v/>
      </c>
      <c r="H445" t="str">
        <f>IFERROR(MATCH(SMALL(Cálculos!$AJ$5:$AJ$1000,441),Cálculos!$AJ$5:$AJ$1000,0)+4,"")</f>
        <v/>
      </c>
    </row>
    <row r="446">
      <c r="B446" s="5" t="str">
        <f>IF($H446="","",INDEX('Detalle individual'!$B:$B,$H446))</f>
        <v/>
      </c>
      <c r="C446" s="5" t="str">
        <f>IF($H446="","",INDEX('Detalle individual'!$A:$A,$H446))</f>
        <v/>
      </c>
      <c r="D446" s="5" t="str">
        <f>IF($H446="","",INDEX('Detalle individual'!$E:$E,$H446))</f>
        <v/>
      </c>
      <c r="E446" s="5" t="str">
        <f>IF($H446="","",INDEX('Detalle individual'!$C:$C,$H446))</f>
        <v/>
      </c>
      <c r="F446" s="5" t="str">
        <f>IF($H446="","",INDEX('Detalle individual'!$D:$D,$H446))</f>
        <v/>
      </c>
      <c r="G446" s="5" t="str">
        <f>IF($H446="","",INDEX('Detalle individual'!$F:$F,$H446))</f>
        <v/>
      </c>
      <c r="H446" t="str">
        <f>IFERROR(MATCH(SMALL(Cálculos!$AJ$5:$AJ$1000,442),Cálculos!$AJ$5:$AJ$1000,0)+4,"")</f>
        <v/>
      </c>
    </row>
    <row r="447">
      <c r="B447" s="5" t="str">
        <f>IF($H447="","",INDEX('Detalle individual'!$B:$B,$H447))</f>
        <v/>
      </c>
      <c r="C447" s="5" t="str">
        <f>IF($H447="","",INDEX('Detalle individual'!$A:$A,$H447))</f>
        <v/>
      </c>
      <c r="D447" s="5" t="str">
        <f>IF($H447="","",INDEX('Detalle individual'!$E:$E,$H447))</f>
        <v/>
      </c>
      <c r="E447" s="5" t="str">
        <f>IF($H447="","",INDEX('Detalle individual'!$C:$C,$H447))</f>
        <v/>
      </c>
      <c r="F447" s="5" t="str">
        <f>IF($H447="","",INDEX('Detalle individual'!$D:$D,$H447))</f>
        <v/>
      </c>
      <c r="G447" s="5" t="str">
        <f>IF($H447="","",INDEX('Detalle individual'!$F:$F,$H447))</f>
        <v/>
      </c>
      <c r="H447" t="str">
        <f>IFERROR(MATCH(SMALL(Cálculos!$AJ$5:$AJ$1000,443),Cálculos!$AJ$5:$AJ$1000,0)+4,"")</f>
        <v/>
      </c>
    </row>
    <row r="448">
      <c r="B448" s="5" t="str">
        <f>IF($H448="","",INDEX('Detalle individual'!$B:$B,$H448))</f>
        <v/>
      </c>
      <c r="C448" s="5" t="str">
        <f>IF($H448="","",INDEX('Detalle individual'!$A:$A,$H448))</f>
        <v/>
      </c>
      <c r="D448" s="5" t="str">
        <f>IF($H448="","",INDEX('Detalle individual'!$E:$E,$H448))</f>
        <v/>
      </c>
      <c r="E448" s="5" t="str">
        <f>IF($H448="","",INDEX('Detalle individual'!$C:$C,$H448))</f>
        <v/>
      </c>
      <c r="F448" s="5" t="str">
        <f>IF($H448="","",INDEX('Detalle individual'!$D:$D,$H448))</f>
        <v/>
      </c>
      <c r="G448" s="5" t="str">
        <f>IF($H448="","",INDEX('Detalle individual'!$F:$F,$H448))</f>
        <v/>
      </c>
      <c r="H448" t="str">
        <f>IFERROR(MATCH(SMALL(Cálculos!$AJ$5:$AJ$1000,444),Cálculos!$AJ$5:$AJ$1000,0)+4,"")</f>
        <v/>
      </c>
    </row>
    <row r="449">
      <c r="B449" s="5" t="str">
        <f>IF($H449="","",INDEX('Detalle individual'!$B:$B,$H449))</f>
        <v/>
      </c>
      <c r="C449" s="5" t="str">
        <f>IF($H449="","",INDEX('Detalle individual'!$A:$A,$H449))</f>
        <v/>
      </c>
      <c r="D449" s="5" t="str">
        <f>IF($H449="","",INDEX('Detalle individual'!$E:$E,$H449))</f>
        <v/>
      </c>
      <c r="E449" s="5" t="str">
        <f>IF($H449="","",INDEX('Detalle individual'!$C:$C,$H449))</f>
        <v/>
      </c>
      <c r="F449" s="5" t="str">
        <f>IF($H449="","",INDEX('Detalle individual'!$D:$D,$H449))</f>
        <v/>
      </c>
      <c r="G449" s="5" t="str">
        <f>IF($H449="","",INDEX('Detalle individual'!$F:$F,$H449))</f>
        <v/>
      </c>
      <c r="H449" t="str">
        <f>IFERROR(MATCH(SMALL(Cálculos!$AJ$5:$AJ$1000,445),Cálculos!$AJ$5:$AJ$1000,0)+4,"")</f>
        <v/>
      </c>
    </row>
    <row r="450">
      <c r="B450" s="5" t="str">
        <f>IF($H450="","",INDEX('Detalle individual'!$B:$B,$H450))</f>
        <v/>
      </c>
      <c r="C450" s="5" t="str">
        <f>IF($H450="","",INDEX('Detalle individual'!$A:$A,$H450))</f>
        <v/>
      </c>
      <c r="D450" s="5" t="str">
        <f>IF($H450="","",INDEX('Detalle individual'!$E:$E,$H450))</f>
        <v/>
      </c>
      <c r="E450" s="5" t="str">
        <f>IF($H450="","",INDEX('Detalle individual'!$C:$C,$H450))</f>
        <v/>
      </c>
      <c r="F450" s="5" t="str">
        <f>IF($H450="","",INDEX('Detalle individual'!$D:$D,$H450))</f>
        <v/>
      </c>
      <c r="G450" s="5" t="str">
        <f>IF($H450="","",INDEX('Detalle individual'!$F:$F,$H450))</f>
        <v/>
      </c>
      <c r="H450" t="str">
        <f>IFERROR(MATCH(SMALL(Cálculos!$AJ$5:$AJ$1000,446),Cálculos!$AJ$5:$AJ$1000,0)+4,"")</f>
        <v/>
      </c>
    </row>
    <row r="451">
      <c r="B451" s="5" t="str">
        <f>IF($H451="","",INDEX('Detalle individual'!$B:$B,$H451))</f>
        <v/>
      </c>
      <c r="C451" s="5" t="str">
        <f>IF($H451="","",INDEX('Detalle individual'!$A:$A,$H451))</f>
        <v/>
      </c>
      <c r="D451" s="5" t="str">
        <f>IF($H451="","",INDEX('Detalle individual'!$E:$E,$H451))</f>
        <v/>
      </c>
      <c r="E451" s="5" t="str">
        <f>IF($H451="","",INDEX('Detalle individual'!$C:$C,$H451))</f>
        <v/>
      </c>
      <c r="F451" s="5" t="str">
        <f>IF($H451="","",INDEX('Detalle individual'!$D:$D,$H451))</f>
        <v/>
      </c>
      <c r="G451" s="5" t="str">
        <f>IF($H451="","",INDEX('Detalle individual'!$F:$F,$H451))</f>
        <v/>
      </c>
      <c r="H451" t="str">
        <f>IFERROR(MATCH(SMALL(Cálculos!$AJ$5:$AJ$1000,447),Cálculos!$AJ$5:$AJ$1000,0)+4,"")</f>
        <v/>
      </c>
    </row>
    <row r="452">
      <c r="B452" s="5" t="str">
        <f>IF($H452="","",INDEX('Detalle individual'!$B:$B,$H452))</f>
        <v/>
      </c>
      <c r="C452" s="5" t="str">
        <f>IF($H452="","",INDEX('Detalle individual'!$A:$A,$H452))</f>
        <v/>
      </c>
      <c r="D452" s="5" t="str">
        <f>IF($H452="","",INDEX('Detalle individual'!$E:$E,$H452))</f>
        <v/>
      </c>
      <c r="E452" s="5" t="str">
        <f>IF($H452="","",INDEX('Detalle individual'!$C:$C,$H452))</f>
        <v/>
      </c>
      <c r="F452" s="5" t="str">
        <f>IF($H452="","",INDEX('Detalle individual'!$D:$D,$H452))</f>
        <v/>
      </c>
      <c r="G452" s="5" t="str">
        <f>IF($H452="","",INDEX('Detalle individual'!$F:$F,$H452))</f>
        <v/>
      </c>
      <c r="H452" t="str">
        <f>IFERROR(MATCH(SMALL(Cálculos!$AJ$5:$AJ$1000,448),Cálculos!$AJ$5:$AJ$1000,0)+4,"")</f>
        <v/>
      </c>
    </row>
    <row r="453">
      <c r="B453" s="5" t="str">
        <f>IF($H453="","",INDEX('Detalle individual'!$B:$B,$H453))</f>
        <v/>
      </c>
      <c r="C453" s="5" t="str">
        <f>IF($H453="","",INDEX('Detalle individual'!$A:$A,$H453))</f>
        <v/>
      </c>
      <c r="D453" s="5" t="str">
        <f>IF($H453="","",INDEX('Detalle individual'!$E:$E,$H453))</f>
        <v/>
      </c>
      <c r="E453" s="5" t="str">
        <f>IF($H453="","",INDEX('Detalle individual'!$C:$C,$H453))</f>
        <v/>
      </c>
      <c r="F453" s="5" t="str">
        <f>IF($H453="","",INDEX('Detalle individual'!$D:$D,$H453))</f>
        <v/>
      </c>
      <c r="G453" s="5" t="str">
        <f>IF($H453="","",INDEX('Detalle individual'!$F:$F,$H453))</f>
        <v/>
      </c>
      <c r="H453" t="str">
        <f>IFERROR(MATCH(SMALL(Cálculos!$AJ$5:$AJ$1000,449),Cálculos!$AJ$5:$AJ$1000,0)+4,"")</f>
        <v/>
      </c>
    </row>
    <row r="454">
      <c r="B454" s="5" t="str">
        <f>IF($H454="","",INDEX('Detalle individual'!$B:$B,$H454))</f>
        <v/>
      </c>
      <c r="C454" s="5" t="str">
        <f>IF($H454="","",INDEX('Detalle individual'!$A:$A,$H454))</f>
        <v/>
      </c>
      <c r="D454" s="5" t="str">
        <f>IF($H454="","",INDEX('Detalle individual'!$E:$E,$H454))</f>
        <v/>
      </c>
      <c r="E454" s="5" t="str">
        <f>IF($H454="","",INDEX('Detalle individual'!$C:$C,$H454))</f>
        <v/>
      </c>
      <c r="F454" s="5" t="str">
        <f>IF($H454="","",INDEX('Detalle individual'!$D:$D,$H454))</f>
        <v/>
      </c>
      <c r="G454" s="5" t="str">
        <f>IF($H454="","",INDEX('Detalle individual'!$F:$F,$H454))</f>
        <v/>
      </c>
      <c r="H454" t="str">
        <f>IFERROR(MATCH(SMALL(Cálculos!$AJ$5:$AJ$1000,450),Cálculos!$AJ$5:$AJ$1000,0)+4,"")</f>
        <v/>
      </c>
    </row>
    <row r="455">
      <c r="B455" s="5" t="str">
        <f>IF($H455="","",INDEX('Detalle individual'!$B:$B,$H455))</f>
        <v/>
      </c>
      <c r="C455" s="5" t="str">
        <f>IF($H455="","",INDEX('Detalle individual'!$A:$A,$H455))</f>
        <v/>
      </c>
      <c r="D455" s="5" t="str">
        <f>IF($H455="","",INDEX('Detalle individual'!$E:$E,$H455))</f>
        <v/>
      </c>
      <c r="E455" s="5" t="str">
        <f>IF($H455="","",INDEX('Detalle individual'!$C:$C,$H455))</f>
        <v/>
      </c>
      <c r="F455" s="5" t="str">
        <f>IF($H455="","",INDEX('Detalle individual'!$D:$D,$H455))</f>
        <v/>
      </c>
      <c r="G455" s="5" t="str">
        <f>IF($H455="","",INDEX('Detalle individual'!$F:$F,$H455))</f>
        <v/>
      </c>
      <c r="H455" t="str">
        <f>IFERROR(MATCH(SMALL(Cálculos!$AJ$5:$AJ$1000,451),Cálculos!$AJ$5:$AJ$1000,0)+4,"")</f>
        <v/>
      </c>
    </row>
    <row r="456">
      <c r="B456" s="5" t="str">
        <f>IF($H456="","",INDEX('Detalle individual'!$B:$B,$H456))</f>
        <v/>
      </c>
      <c r="C456" s="5" t="str">
        <f>IF($H456="","",INDEX('Detalle individual'!$A:$A,$H456))</f>
        <v/>
      </c>
      <c r="D456" s="5" t="str">
        <f>IF($H456="","",INDEX('Detalle individual'!$E:$E,$H456))</f>
        <v/>
      </c>
      <c r="E456" s="5" t="str">
        <f>IF($H456="","",INDEX('Detalle individual'!$C:$C,$H456))</f>
        <v/>
      </c>
      <c r="F456" s="5" t="str">
        <f>IF($H456="","",INDEX('Detalle individual'!$D:$D,$H456))</f>
        <v/>
      </c>
      <c r="G456" s="5" t="str">
        <f>IF($H456="","",INDEX('Detalle individual'!$F:$F,$H456))</f>
        <v/>
      </c>
      <c r="H456" t="str">
        <f>IFERROR(MATCH(SMALL(Cálculos!$AJ$5:$AJ$1000,452),Cálculos!$AJ$5:$AJ$1000,0)+4,"")</f>
        <v/>
      </c>
    </row>
    <row r="457">
      <c r="B457" s="5" t="str">
        <f>IF($H457="","",INDEX('Detalle individual'!$B:$B,$H457))</f>
        <v/>
      </c>
      <c r="C457" s="5" t="str">
        <f>IF($H457="","",INDEX('Detalle individual'!$A:$A,$H457))</f>
        <v/>
      </c>
      <c r="D457" s="5" t="str">
        <f>IF($H457="","",INDEX('Detalle individual'!$E:$E,$H457))</f>
        <v/>
      </c>
      <c r="E457" s="5" t="str">
        <f>IF($H457="","",INDEX('Detalle individual'!$C:$C,$H457))</f>
        <v/>
      </c>
      <c r="F457" s="5" t="str">
        <f>IF($H457="","",INDEX('Detalle individual'!$D:$D,$H457))</f>
        <v/>
      </c>
      <c r="G457" s="5" t="str">
        <f>IF($H457="","",INDEX('Detalle individual'!$F:$F,$H457))</f>
        <v/>
      </c>
      <c r="H457" t="str">
        <f>IFERROR(MATCH(SMALL(Cálculos!$AJ$5:$AJ$1000,453),Cálculos!$AJ$5:$AJ$1000,0)+4,"")</f>
        <v/>
      </c>
    </row>
    <row r="458">
      <c r="B458" s="5" t="str">
        <f>IF($H458="","",INDEX('Detalle individual'!$B:$B,$H458))</f>
        <v/>
      </c>
      <c r="C458" s="5" t="str">
        <f>IF($H458="","",INDEX('Detalle individual'!$A:$A,$H458))</f>
        <v/>
      </c>
      <c r="D458" s="5" t="str">
        <f>IF($H458="","",INDEX('Detalle individual'!$E:$E,$H458))</f>
        <v/>
      </c>
      <c r="E458" s="5" t="str">
        <f>IF($H458="","",INDEX('Detalle individual'!$C:$C,$H458))</f>
        <v/>
      </c>
      <c r="F458" s="5" t="str">
        <f>IF($H458="","",INDEX('Detalle individual'!$D:$D,$H458))</f>
        <v/>
      </c>
      <c r="G458" s="5" t="str">
        <f>IF($H458="","",INDEX('Detalle individual'!$F:$F,$H458))</f>
        <v/>
      </c>
      <c r="H458" t="str">
        <f>IFERROR(MATCH(SMALL(Cálculos!$AJ$5:$AJ$1000,454),Cálculos!$AJ$5:$AJ$1000,0)+4,"")</f>
        <v/>
      </c>
    </row>
    <row r="459">
      <c r="B459" s="5" t="str">
        <f>IF($H459="","",INDEX('Detalle individual'!$B:$B,$H459))</f>
        <v/>
      </c>
      <c r="C459" s="5" t="str">
        <f>IF($H459="","",INDEX('Detalle individual'!$A:$A,$H459))</f>
        <v/>
      </c>
      <c r="D459" s="5" t="str">
        <f>IF($H459="","",INDEX('Detalle individual'!$E:$E,$H459))</f>
        <v/>
      </c>
      <c r="E459" s="5" t="str">
        <f>IF($H459="","",INDEX('Detalle individual'!$C:$C,$H459))</f>
        <v/>
      </c>
      <c r="F459" s="5" t="str">
        <f>IF($H459="","",INDEX('Detalle individual'!$D:$D,$H459))</f>
        <v/>
      </c>
      <c r="G459" s="5" t="str">
        <f>IF($H459="","",INDEX('Detalle individual'!$F:$F,$H459))</f>
        <v/>
      </c>
      <c r="H459" t="str">
        <f>IFERROR(MATCH(SMALL(Cálculos!$AJ$5:$AJ$1000,455),Cálculos!$AJ$5:$AJ$1000,0)+4,"")</f>
        <v/>
      </c>
    </row>
    <row r="460">
      <c r="B460" s="5" t="str">
        <f>IF($H460="","",INDEX('Detalle individual'!$B:$B,$H460))</f>
        <v/>
      </c>
      <c r="C460" s="5" t="str">
        <f>IF($H460="","",INDEX('Detalle individual'!$A:$A,$H460))</f>
        <v/>
      </c>
      <c r="D460" s="5" t="str">
        <f>IF($H460="","",INDEX('Detalle individual'!$E:$E,$H460))</f>
        <v/>
      </c>
      <c r="E460" s="5" t="str">
        <f>IF($H460="","",INDEX('Detalle individual'!$C:$C,$H460))</f>
        <v/>
      </c>
      <c r="F460" s="5" t="str">
        <f>IF($H460="","",INDEX('Detalle individual'!$D:$D,$H460))</f>
        <v/>
      </c>
      <c r="G460" s="5" t="str">
        <f>IF($H460="","",INDEX('Detalle individual'!$F:$F,$H460))</f>
        <v/>
      </c>
      <c r="H460" t="str">
        <f>IFERROR(MATCH(SMALL(Cálculos!$AJ$5:$AJ$1000,456),Cálculos!$AJ$5:$AJ$1000,0)+4,"")</f>
        <v/>
      </c>
    </row>
    <row r="461">
      <c r="B461" s="5" t="str">
        <f>IF($H461="","",INDEX('Detalle individual'!$B:$B,$H461))</f>
        <v/>
      </c>
      <c r="C461" s="5" t="str">
        <f>IF($H461="","",INDEX('Detalle individual'!$A:$A,$H461))</f>
        <v/>
      </c>
      <c r="D461" s="5" t="str">
        <f>IF($H461="","",INDEX('Detalle individual'!$E:$E,$H461))</f>
        <v/>
      </c>
      <c r="E461" s="5" t="str">
        <f>IF($H461="","",INDEX('Detalle individual'!$C:$C,$H461))</f>
        <v/>
      </c>
      <c r="F461" s="5" t="str">
        <f>IF($H461="","",INDEX('Detalle individual'!$D:$D,$H461))</f>
        <v/>
      </c>
      <c r="G461" s="5" t="str">
        <f>IF($H461="","",INDEX('Detalle individual'!$F:$F,$H461))</f>
        <v/>
      </c>
      <c r="H461" t="str">
        <f>IFERROR(MATCH(SMALL(Cálculos!$AJ$5:$AJ$1000,457),Cálculos!$AJ$5:$AJ$1000,0)+4,"")</f>
        <v/>
      </c>
    </row>
    <row r="462">
      <c r="B462" s="5" t="str">
        <f>IF($H462="","",INDEX('Detalle individual'!$B:$B,$H462))</f>
        <v/>
      </c>
      <c r="C462" s="5" t="str">
        <f>IF($H462="","",INDEX('Detalle individual'!$A:$A,$H462))</f>
        <v/>
      </c>
      <c r="D462" s="5" t="str">
        <f>IF($H462="","",INDEX('Detalle individual'!$E:$E,$H462))</f>
        <v/>
      </c>
      <c r="E462" s="5" t="str">
        <f>IF($H462="","",INDEX('Detalle individual'!$C:$C,$H462))</f>
        <v/>
      </c>
      <c r="F462" s="5" t="str">
        <f>IF($H462="","",INDEX('Detalle individual'!$D:$D,$H462))</f>
        <v/>
      </c>
      <c r="G462" s="5" t="str">
        <f>IF($H462="","",INDEX('Detalle individual'!$F:$F,$H462))</f>
        <v/>
      </c>
      <c r="H462" t="str">
        <f>IFERROR(MATCH(SMALL(Cálculos!$AJ$5:$AJ$1000,458),Cálculos!$AJ$5:$AJ$1000,0)+4,"")</f>
        <v/>
      </c>
    </row>
    <row r="463">
      <c r="B463" s="5" t="str">
        <f>IF($H463="","",INDEX('Detalle individual'!$B:$B,$H463))</f>
        <v/>
      </c>
      <c r="C463" s="5" t="str">
        <f>IF($H463="","",INDEX('Detalle individual'!$A:$A,$H463))</f>
        <v/>
      </c>
      <c r="D463" s="5" t="str">
        <f>IF($H463="","",INDEX('Detalle individual'!$E:$E,$H463))</f>
        <v/>
      </c>
      <c r="E463" s="5" t="str">
        <f>IF($H463="","",INDEX('Detalle individual'!$C:$C,$H463))</f>
        <v/>
      </c>
      <c r="F463" s="5" t="str">
        <f>IF($H463="","",INDEX('Detalle individual'!$D:$D,$H463))</f>
        <v/>
      </c>
      <c r="G463" s="5" t="str">
        <f>IF($H463="","",INDEX('Detalle individual'!$F:$F,$H463))</f>
        <v/>
      </c>
      <c r="H463" t="str">
        <f>IFERROR(MATCH(SMALL(Cálculos!$AJ$5:$AJ$1000,459),Cálculos!$AJ$5:$AJ$1000,0)+4,"")</f>
        <v/>
      </c>
    </row>
    <row r="464">
      <c r="B464" s="5" t="str">
        <f>IF($H464="","",INDEX('Detalle individual'!$B:$B,$H464))</f>
        <v/>
      </c>
      <c r="C464" s="5" t="str">
        <f>IF($H464="","",INDEX('Detalle individual'!$A:$A,$H464))</f>
        <v/>
      </c>
      <c r="D464" s="5" t="str">
        <f>IF($H464="","",INDEX('Detalle individual'!$E:$E,$H464))</f>
        <v/>
      </c>
      <c r="E464" s="5" t="str">
        <f>IF($H464="","",INDEX('Detalle individual'!$C:$C,$H464))</f>
        <v/>
      </c>
      <c r="F464" s="5" t="str">
        <f>IF($H464="","",INDEX('Detalle individual'!$D:$D,$H464))</f>
        <v/>
      </c>
      <c r="G464" s="5" t="str">
        <f>IF($H464="","",INDEX('Detalle individual'!$F:$F,$H464))</f>
        <v/>
      </c>
      <c r="H464" t="str">
        <f>IFERROR(MATCH(SMALL(Cálculos!$AJ$5:$AJ$1000,460),Cálculos!$AJ$5:$AJ$1000,0)+4,"")</f>
        <v/>
      </c>
    </row>
    <row r="465">
      <c r="B465" s="5" t="str">
        <f>IF($H465="","",INDEX('Detalle individual'!$B:$B,$H465))</f>
        <v/>
      </c>
      <c r="C465" s="5" t="str">
        <f>IF($H465="","",INDEX('Detalle individual'!$A:$A,$H465))</f>
        <v/>
      </c>
      <c r="D465" s="5" t="str">
        <f>IF($H465="","",INDEX('Detalle individual'!$E:$E,$H465))</f>
        <v/>
      </c>
      <c r="E465" s="5" t="str">
        <f>IF($H465="","",INDEX('Detalle individual'!$C:$C,$H465))</f>
        <v/>
      </c>
      <c r="F465" s="5" t="str">
        <f>IF($H465="","",INDEX('Detalle individual'!$D:$D,$H465))</f>
        <v/>
      </c>
      <c r="G465" s="5" t="str">
        <f>IF($H465="","",INDEX('Detalle individual'!$F:$F,$H465))</f>
        <v/>
      </c>
      <c r="H465" t="str">
        <f>IFERROR(MATCH(SMALL(Cálculos!$AJ$5:$AJ$1000,461),Cálculos!$AJ$5:$AJ$1000,0)+4,"")</f>
        <v/>
      </c>
    </row>
    <row r="466">
      <c r="B466" s="5" t="str">
        <f>IF($H466="","",INDEX('Detalle individual'!$B:$B,$H466))</f>
        <v/>
      </c>
      <c r="C466" s="5" t="str">
        <f>IF($H466="","",INDEX('Detalle individual'!$A:$A,$H466))</f>
        <v/>
      </c>
      <c r="D466" s="5" t="str">
        <f>IF($H466="","",INDEX('Detalle individual'!$E:$E,$H466))</f>
        <v/>
      </c>
      <c r="E466" s="5" t="str">
        <f>IF($H466="","",INDEX('Detalle individual'!$C:$C,$H466))</f>
        <v/>
      </c>
      <c r="F466" s="5" t="str">
        <f>IF($H466="","",INDEX('Detalle individual'!$D:$D,$H466))</f>
        <v/>
      </c>
      <c r="G466" s="5" t="str">
        <f>IF($H466="","",INDEX('Detalle individual'!$F:$F,$H466))</f>
        <v/>
      </c>
      <c r="H466" t="str">
        <f>IFERROR(MATCH(SMALL(Cálculos!$AJ$5:$AJ$1000,462),Cálculos!$AJ$5:$AJ$1000,0)+4,"")</f>
        <v/>
      </c>
    </row>
    <row r="467">
      <c r="B467" s="5" t="str">
        <f>IF($H467="","",INDEX('Detalle individual'!$B:$B,$H467))</f>
        <v/>
      </c>
      <c r="C467" s="5" t="str">
        <f>IF($H467="","",INDEX('Detalle individual'!$A:$A,$H467))</f>
        <v/>
      </c>
      <c r="D467" s="5" t="str">
        <f>IF($H467="","",INDEX('Detalle individual'!$E:$E,$H467))</f>
        <v/>
      </c>
      <c r="E467" s="5" t="str">
        <f>IF($H467="","",INDEX('Detalle individual'!$C:$C,$H467))</f>
        <v/>
      </c>
      <c r="F467" s="5" t="str">
        <f>IF($H467="","",INDEX('Detalle individual'!$D:$D,$H467))</f>
        <v/>
      </c>
      <c r="G467" s="5" t="str">
        <f>IF($H467="","",INDEX('Detalle individual'!$F:$F,$H467))</f>
        <v/>
      </c>
      <c r="H467" t="str">
        <f>IFERROR(MATCH(SMALL(Cálculos!$AJ$5:$AJ$1000,463),Cálculos!$AJ$5:$AJ$1000,0)+4,"")</f>
        <v/>
      </c>
    </row>
    <row r="468">
      <c r="B468" s="5" t="str">
        <f>IF($H468="","",INDEX('Detalle individual'!$B:$B,$H468))</f>
        <v/>
      </c>
      <c r="C468" s="5" t="str">
        <f>IF($H468="","",INDEX('Detalle individual'!$A:$A,$H468))</f>
        <v/>
      </c>
      <c r="D468" s="5" t="str">
        <f>IF($H468="","",INDEX('Detalle individual'!$E:$E,$H468))</f>
        <v/>
      </c>
      <c r="E468" s="5" t="str">
        <f>IF($H468="","",INDEX('Detalle individual'!$C:$C,$H468))</f>
        <v/>
      </c>
      <c r="F468" s="5" t="str">
        <f>IF($H468="","",INDEX('Detalle individual'!$D:$D,$H468))</f>
        <v/>
      </c>
      <c r="G468" s="5" t="str">
        <f>IF($H468="","",INDEX('Detalle individual'!$F:$F,$H468))</f>
        <v/>
      </c>
      <c r="H468" t="str">
        <f>IFERROR(MATCH(SMALL(Cálculos!$AJ$5:$AJ$1000,464),Cálculos!$AJ$5:$AJ$1000,0)+4,"")</f>
        <v/>
      </c>
    </row>
    <row r="469">
      <c r="B469" s="5" t="str">
        <f>IF($H469="","",INDEX('Detalle individual'!$B:$B,$H469))</f>
        <v/>
      </c>
      <c r="C469" s="5" t="str">
        <f>IF($H469="","",INDEX('Detalle individual'!$A:$A,$H469))</f>
        <v/>
      </c>
      <c r="D469" s="5" t="str">
        <f>IF($H469="","",INDEX('Detalle individual'!$E:$E,$H469))</f>
        <v/>
      </c>
      <c r="E469" s="5" t="str">
        <f>IF($H469="","",INDEX('Detalle individual'!$C:$C,$H469))</f>
        <v/>
      </c>
      <c r="F469" s="5" t="str">
        <f>IF($H469="","",INDEX('Detalle individual'!$D:$D,$H469))</f>
        <v/>
      </c>
      <c r="G469" s="5" t="str">
        <f>IF($H469="","",INDEX('Detalle individual'!$F:$F,$H469))</f>
        <v/>
      </c>
      <c r="H469" t="str">
        <f>IFERROR(MATCH(SMALL(Cálculos!$AJ$5:$AJ$1000,465),Cálculos!$AJ$5:$AJ$1000,0)+4,"")</f>
        <v/>
      </c>
    </row>
    <row r="470">
      <c r="B470" s="5" t="str">
        <f>IF($H470="","",INDEX('Detalle individual'!$B:$B,$H470))</f>
        <v/>
      </c>
      <c r="C470" s="5" t="str">
        <f>IF($H470="","",INDEX('Detalle individual'!$A:$A,$H470))</f>
        <v/>
      </c>
      <c r="D470" s="5" t="str">
        <f>IF($H470="","",INDEX('Detalle individual'!$E:$E,$H470))</f>
        <v/>
      </c>
      <c r="E470" s="5" t="str">
        <f>IF($H470="","",INDEX('Detalle individual'!$C:$C,$H470))</f>
        <v/>
      </c>
      <c r="F470" s="5" t="str">
        <f>IF($H470="","",INDEX('Detalle individual'!$D:$D,$H470))</f>
        <v/>
      </c>
      <c r="G470" s="5" t="str">
        <f>IF($H470="","",INDEX('Detalle individual'!$F:$F,$H470))</f>
        <v/>
      </c>
      <c r="H470" t="str">
        <f>IFERROR(MATCH(SMALL(Cálculos!$AJ$5:$AJ$1000,466),Cálculos!$AJ$5:$AJ$1000,0)+4,"")</f>
        <v/>
      </c>
    </row>
    <row r="471">
      <c r="B471" s="5" t="str">
        <f>IF($H471="","",INDEX('Detalle individual'!$B:$B,$H471))</f>
        <v/>
      </c>
      <c r="C471" s="5" t="str">
        <f>IF($H471="","",INDEX('Detalle individual'!$A:$A,$H471))</f>
        <v/>
      </c>
      <c r="D471" s="5" t="str">
        <f>IF($H471="","",INDEX('Detalle individual'!$E:$E,$H471))</f>
        <v/>
      </c>
      <c r="E471" s="5" t="str">
        <f>IF($H471="","",INDEX('Detalle individual'!$C:$C,$H471))</f>
        <v/>
      </c>
      <c r="F471" s="5" t="str">
        <f>IF($H471="","",INDEX('Detalle individual'!$D:$D,$H471))</f>
        <v/>
      </c>
      <c r="G471" s="5" t="str">
        <f>IF($H471="","",INDEX('Detalle individual'!$F:$F,$H471))</f>
        <v/>
      </c>
      <c r="H471" t="str">
        <f>IFERROR(MATCH(SMALL(Cálculos!$AJ$5:$AJ$1000,467),Cálculos!$AJ$5:$AJ$1000,0)+4,"")</f>
        <v/>
      </c>
    </row>
    <row r="472">
      <c r="B472" s="5" t="str">
        <f>IF($H472="","",INDEX('Detalle individual'!$B:$B,$H472))</f>
        <v/>
      </c>
      <c r="C472" s="5" t="str">
        <f>IF($H472="","",INDEX('Detalle individual'!$A:$A,$H472))</f>
        <v/>
      </c>
      <c r="D472" s="5" t="str">
        <f>IF($H472="","",INDEX('Detalle individual'!$E:$E,$H472))</f>
        <v/>
      </c>
      <c r="E472" s="5" t="str">
        <f>IF($H472="","",INDEX('Detalle individual'!$C:$C,$H472))</f>
        <v/>
      </c>
      <c r="F472" s="5" t="str">
        <f>IF($H472="","",INDEX('Detalle individual'!$D:$D,$H472))</f>
        <v/>
      </c>
      <c r="G472" s="5" t="str">
        <f>IF($H472="","",INDEX('Detalle individual'!$F:$F,$H472))</f>
        <v/>
      </c>
      <c r="H472" t="str">
        <f>IFERROR(MATCH(SMALL(Cálculos!$AJ$5:$AJ$1000,468),Cálculos!$AJ$5:$AJ$1000,0)+4,"")</f>
        <v/>
      </c>
    </row>
    <row r="473">
      <c r="B473" s="5" t="str">
        <f>IF($H473="","",INDEX('Detalle individual'!$B:$B,$H473))</f>
        <v/>
      </c>
      <c r="C473" s="5" t="str">
        <f>IF($H473="","",INDEX('Detalle individual'!$A:$A,$H473))</f>
        <v/>
      </c>
      <c r="D473" s="5" t="str">
        <f>IF($H473="","",INDEX('Detalle individual'!$E:$E,$H473))</f>
        <v/>
      </c>
      <c r="E473" s="5" t="str">
        <f>IF($H473="","",INDEX('Detalle individual'!$C:$C,$H473))</f>
        <v/>
      </c>
      <c r="F473" s="5" t="str">
        <f>IF($H473="","",INDEX('Detalle individual'!$D:$D,$H473))</f>
        <v/>
      </c>
      <c r="G473" s="5" t="str">
        <f>IF($H473="","",INDEX('Detalle individual'!$F:$F,$H473))</f>
        <v/>
      </c>
      <c r="H473" t="str">
        <f>IFERROR(MATCH(SMALL(Cálculos!$AJ$5:$AJ$1000,469),Cálculos!$AJ$5:$AJ$1000,0)+4,"")</f>
        <v/>
      </c>
    </row>
    <row r="474">
      <c r="B474" s="5" t="str">
        <f>IF($H474="","",INDEX('Detalle individual'!$B:$B,$H474))</f>
        <v/>
      </c>
      <c r="C474" s="5" t="str">
        <f>IF($H474="","",INDEX('Detalle individual'!$A:$A,$H474))</f>
        <v/>
      </c>
      <c r="D474" s="5" t="str">
        <f>IF($H474="","",INDEX('Detalle individual'!$E:$E,$H474))</f>
        <v/>
      </c>
      <c r="E474" s="5" t="str">
        <f>IF($H474="","",INDEX('Detalle individual'!$C:$C,$H474))</f>
        <v/>
      </c>
      <c r="F474" s="5" t="str">
        <f>IF($H474="","",INDEX('Detalle individual'!$D:$D,$H474))</f>
        <v/>
      </c>
      <c r="G474" s="5" t="str">
        <f>IF($H474="","",INDEX('Detalle individual'!$F:$F,$H474))</f>
        <v/>
      </c>
      <c r="H474" t="str">
        <f>IFERROR(MATCH(SMALL(Cálculos!$AJ$5:$AJ$1000,470),Cálculos!$AJ$5:$AJ$1000,0)+4,"")</f>
        <v/>
      </c>
    </row>
    <row r="475">
      <c r="B475" s="5" t="str">
        <f>IF($H475="","",INDEX('Detalle individual'!$B:$B,$H475))</f>
        <v/>
      </c>
      <c r="C475" s="5" t="str">
        <f>IF($H475="","",INDEX('Detalle individual'!$A:$A,$H475))</f>
        <v/>
      </c>
      <c r="D475" s="5" t="str">
        <f>IF($H475="","",INDEX('Detalle individual'!$E:$E,$H475))</f>
        <v/>
      </c>
      <c r="E475" s="5" t="str">
        <f>IF($H475="","",INDEX('Detalle individual'!$C:$C,$H475))</f>
        <v/>
      </c>
      <c r="F475" s="5" t="str">
        <f>IF($H475="","",INDEX('Detalle individual'!$D:$D,$H475))</f>
        <v/>
      </c>
      <c r="G475" s="5" t="str">
        <f>IF($H475="","",INDEX('Detalle individual'!$F:$F,$H475))</f>
        <v/>
      </c>
      <c r="H475" t="str">
        <f>IFERROR(MATCH(SMALL(Cálculos!$AJ$5:$AJ$1000,471),Cálculos!$AJ$5:$AJ$1000,0)+4,"")</f>
        <v/>
      </c>
    </row>
    <row r="476">
      <c r="B476" s="5" t="str">
        <f>IF($H476="","",INDEX('Detalle individual'!$B:$B,$H476))</f>
        <v/>
      </c>
      <c r="C476" s="5" t="str">
        <f>IF($H476="","",INDEX('Detalle individual'!$A:$A,$H476))</f>
        <v/>
      </c>
      <c r="D476" s="5" t="str">
        <f>IF($H476="","",INDEX('Detalle individual'!$E:$E,$H476))</f>
        <v/>
      </c>
      <c r="E476" s="5" t="str">
        <f>IF($H476="","",INDEX('Detalle individual'!$C:$C,$H476))</f>
        <v/>
      </c>
      <c r="F476" s="5" t="str">
        <f>IF($H476="","",INDEX('Detalle individual'!$D:$D,$H476))</f>
        <v/>
      </c>
      <c r="G476" s="5" t="str">
        <f>IF($H476="","",INDEX('Detalle individual'!$F:$F,$H476))</f>
        <v/>
      </c>
      <c r="H476" t="str">
        <f>IFERROR(MATCH(SMALL(Cálculos!$AJ$5:$AJ$1000,472),Cálculos!$AJ$5:$AJ$1000,0)+4,"")</f>
        <v/>
      </c>
    </row>
    <row r="477">
      <c r="B477" s="5" t="str">
        <f>IF($H477="","",INDEX('Detalle individual'!$B:$B,$H477))</f>
        <v/>
      </c>
      <c r="C477" s="5" t="str">
        <f>IF($H477="","",INDEX('Detalle individual'!$A:$A,$H477))</f>
        <v/>
      </c>
      <c r="D477" s="5" t="str">
        <f>IF($H477="","",INDEX('Detalle individual'!$E:$E,$H477))</f>
        <v/>
      </c>
      <c r="E477" s="5" t="str">
        <f>IF($H477="","",INDEX('Detalle individual'!$C:$C,$H477))</f>
        <v/>
      </c>
      <c r="F477" s="5" t="str">
        <f>IF($H477="","",INDEX('Detalle individual'!$D:$D,$H477))</f>
        <v/>
      </c>
      <c r="G477" s="5" t="str">
        <f>IF($H477="","",INDEX('Detalle individual'!$F:$F,$H477))</f>
        <v/>
      </c>
      <c r="H477" t="str">
        <f>IFERROR(MATCH(SMALL(Cálculos!$AJ$5:$AJ$1000,473),Cálculos!$AJ$5:$AJ$1000,0)+4,"")</f>
        <v/>
      </c>
    </row>
    <row r="478">
      <c r="B478" s="5" t="str">
        <f>IF($H478="","",INDEX('Detalle individual'!$B:$B,$H478))</f>
        <v/>
      </c>
      <c r="C478" s="5" t="str">
        <f>IF($H478="","",INDEX('Detalle individual'!$A:$A,$H478))</f>
        <v/>
      </c>
      <c r="D478" s="5" t="str">
        <f>IF($H478="","",INDEX('Detalle individual'!$E:$E,$H478))</f>
        <v/>
      </c>
      <c r="E478" s="5" t="str">
        <f>IF($H478="","",INDEX('Detalle individual'!$C:$C,$H478))</f>
        <v/>
      </c>
      <c r="F478" s="5" t="str">
        <f>IF($H478="","",INDEX('Detalle individual'!$D:$D,$H478))</f>
        <v/>
      </c>
      <c r="G478" s="5" t="str">
        <f>IF($H478="","",INDEX('Detalle individual'!$F:$F,$H478))</f>
        <v/>
      </c>
      <c r="H478" t="str">
        <f>IFERROR(MATCH(SMALL(Cálculos!$AJ$5:$AJ$1000,474),Cálculos!$AJ$5:$AJ$1000,0)+4,"")</f>
        <v/>
      </c>
    </row>
    <row r="479">
      <c r="B479" s="5" t="str">
        <f>IF($H479="","",INDEX('Detalle individual'!$B:$B,$H479))</f>
        <v/>
      </c>
      <c r="C479" s="5" t="str">
        <f>IF($H479="","",INDEX('Detalle individual'!$A:$A,$H479))</f>
        <v/>
      </c>
      <c r="D479" s="5" t="str">
        <f>IF($H479="","",INDEX('Detalle individual'!$E:$E,$H479))</f>
        <v/>
      </c>
      <c r="E479" s="5" t="str">
        <f>IF($H479="","",INDEX('Detalle individual'!$C:$C,$H479))</f>
        <v/>
      </c>
      <c r="F479" s="5" t="str">
        <f>IF($H479="","",INDEX('Detalle individual'!$D:$D,$H479))</f>
        <v/>
      </c>
      <c r="G479" s="5" t="str">
        <f>IF($H479="","",INDEX('Detalle individual'!$F:$F,$H479))</f>
        <v/>
      </c>
      <c r="H479" t="str">
        <f>IFERROR(MATCH(SMALL(Cálculos!$AJ$5:$AJ$1000,475),Cálculos!$AJ$5:$AJ$1000,0)+4,"")</f>
        <v/>
      </c>
    </row>
    <row r="480">
      <c r="B480" s="5" t="str">
        <f>IF($H480="","",INDEX('Detalle individual'!$B:$B,$H480))</f>
        <v/>
      </c>
      <c r="C480" s="5" t="str">
        <f>IF($H480="","",INDEX('Detalle individual'!$A:$A,$H480))</f>
        <v/>
      </c>
      <c r="D480" s="5" t="str">
        <f>IF($H480="","",INDEX('Detalle individual'!$E:$E,$H480))</f>
        <v/>
      </c>
      <c r="E480" s="5" t="str">
        <f>IF($H480="","",INDEX('Detalle individual'!$C:$C,$H480))</f>
        <v/>
      </c>
      <c r="F480" s="5" t="str">
        <f>IF($H480="","",INDEX('Detalle individual'!$D:$D,$H480))</f>
        <v/>
      </c>
      <c r="G480" s="5" t="str">
        <f>IF($H480="","",INDEX('Detalle individual'!$F:$F,$H480))</f>
        <v/>
      </c>
      <c r="H480" t="str">
        <f>IFERROR(MATCH(SMALL(Cálculos!$AJ$5:$AJ$1000,476),Cálculos!$AJ$5:$AJ$1000,0)+4,"")</f>
        <v/>
      </c>
    </row>
    <row r="481">
      <c r="B481" s="5" t="str">
        <f>IF($H481="","",INDEX('Detalle individual'!$B:$B,$H481))</f>
        <v/>
      </c>
      <c r="C481" s="5" t="str">
        <f>IF($H481="","",INDEX('Detalle individual'!$A:$A,$H481))</f>
        <v/>
      </c>
      <c r="D481" s="5" t="str">
        <f>IF($H481="","",INDEX('Detalle individual'!$E:$E,$H481))</f>
        <v/>
      </c>
      <c r="E481" s="5" t="str">
        <f>IF($H481="","",INDEX('Detalle individual'!$C:$C,$H481))</f>
        <v/>
      </c>
      <c r="F481" s="5" t="str">
        <f>IF($H481="","",INDEX('Detalle individual'!$D:$D,$H481))</f>
        <v/>
      </c>
      <c r="G481" s="5" t="str">
        <f>IF($H481="","",INDEX('Detalle individual'!$F:$F,$H481))</f>
        <v/>
      </c>
      <c r="H481" t="str">
        <f>IFERROR(MATCH(SMALL(Cálculos!$AJ$5:$AJ$1000,477),Cálculos!$AJ$5:$AJ$1000,0)+4,"")</f>
        <v/>
      </c>
    </row>
    <row r="482">
      <c r="B482" s="5" t="str">
        <f>IF($H482="","",INDEX('Detalle individual'!$B:$B,$H482))</f>
        <v/>
      </c>
      <c r="C482" s="5" t="str">
        <f>IF($H482="","",INDEX('Detalle individual'!$A:$A,$H482))</f>
        <v/>
      </c>
      <c r="D482" s="5" t="str">
        <f>IF($H482="","",INDEX('Detalle individual'!$E:$E,$H482))</f>
        <v/>
      </c>
      <c r="E482" s="5" t="str">
        <f>IF($H482="","",INDEX('Detalle individual'!$C:$C,$H482))</f>
        <v/>
      </c>
      <c r="F482" s="5" t="str">
        <f>IF($H482="","",INDEX('Detalle individual'!$D:$D,$H482))</f>
        <v/>
      </c>
      <c r="G482" s="5" t="str">
        <f>IF($H482="","",INDEX('Detalle individual'!$F:$F,$H482))</f>
        <v/>
      </c>
      <c r="H482" t="str">
        <f>IFERROR(MATCH(SMALL(Cálculos!$AJ$5:$AJ$1000,478),Cálculos!$AJ$5:$AJ$1000,0)+4,"")</f>
        <v/>
      </c>
    </row>
    <row r="483">
      <c r="B483" s="5" t="str">
        <f>IF($H483="","",INDEX('Detalle individual'!$B:$B,$H483))</f>
        <v/>
      </c>
      <c r="C483" s="5" t="str">
        <f>IF($H483="","",INDEX('Detalle individual'!$A:$A,$H483))</f>
        <v/>
      </c>
      <c r="D483" s="5" t="str">
        <f>IF($H483="","",INDEX('Detalle individual'!$E:$E,$H483))</f>
        <v/>
      </c>
      <c r="E483" s="5" t="str">
        <f>IF($H483="","",INDEX('Detalle individual'!$C:$C,$H483))</f>
        <v/>
      </c>
      <c r="F483" s="5" t="str">
        <f>IF($H483="","",INDEX('Detalle individual'!$D:$D,$H483))</f>
        <v/>
      </c>
      <c r="G483" s="5" t="str">
        <f>IF($H483="","",INDEX('Detalle individual'!$F:$F,$H483))</f>
        <v/>
      </c>
      <c r="H483" t="str">
        <f>IFERROR(MATCH(SMALL(Cálculos!$AJ$5:$AJ$1000,479),Cálculos!$AJ$5:$AJ$1000,0)+4,"")</f>
        <v/>
      </c>
    </row>
    <row r="484">
      <c r="B484" s="5" t="str">
        <f>IF($H484="","",INDEX('Detalle individual'!$B:$B,$H484))</f>
        <v/>
      </c>
      <c r="C484" s="5" t="str">
        <f>IF($H484="","",INDEX('Detalle individual'!$A:$A,$H484))</f>
        <v/>
      </c>
      <c r="D484" s="5" t="str">
        <f>IF($H484="","",INDEX('Detalle individual'!$E:$E,$H484))</f>
        <v/>
      </c>
      <c r="E484" s="5" t="str">
        <f>IF($H484="","",INDEX('Detalle individual'!$C:$C,$H484))</f>
        <v/>
      </c>
      <c r="F484" s="5" t="str">
        <f>IF($H484="","",INDEX('Detalle individual'!$D:$D,$H484))</f>
        <v/>
      </c>
      <c r="G484" s="5" t="str">
        <f>IF($H484="","",INDEX('Detalle individual'!$F:$F,$H484))</f>
        <v/>
      </c>
      <c r="H484" t="str">
        <f>IFERROR(MATCH(SMALL(Cálculos!$AJ$5:$AJ$1000,480),Cálculos!$AJ$5:$AJ$1000,0)+4,"")</f>
        <v/>
      </c>
    </row>
    <row r="485">
      <c r="B485" s="5" t="str">
        <f>IF($H485="","",INDEX('Detalle individual'!$B:$B,$H485))</f>
        <v/>
      </c>
      <c r="C485" s="5" t="str">
        <f>IF($H485="","",INDEX('Detalle individual'!$A:$A,$H485))</f>
        <v/>
      </c>
      <c r="D485" s="5" t="str">
        <f>IF($H485="","",INDEX('Detalle individual'!$E:$E,$H485))</f>
        <v/>
      </c>
      <c r="E485" s="5" t="str">
        <f>IF($H485="","",INDEX('Detalle individual'!$C:$C,$H485))</f>
        <v/>
      </c>
      <c r="F485" s="5" t="str">
        <f>IF($H485="","",INDEX('Detalle individual'!$D:$D,$H485))</f>
        <v/>
      </c>
      <c r="G485" s="5" t="str">
        <f>IF($H485="","",INDEX('Detalle individual'!$F:$F,$H485))</f>
        <v/>
      </c>
      <c r="H485" t="str">
        <f>IFERROR(MATCH(SMALL(Cálculos!$AJ$5:$AJ$1000,481),Cálculos!$AJ$5:$AJ$1000,0)+4,"")</f>
        <v/>
      </c>
    </row>
    <row r="486">
      <c r="B486" s="5" t="str">
        <f>IF($H486="","",INDEX('Detalle individual'!$B:$B,$H486))</f>
        <v/>
      </c>
      <c r="C486" s="5" t="str">
        <f>IF($H486="","",INDEX('Detalle individual'!$A:$A,$H486))</f>
        <v/>
      </c>
      <c r="D486" s="5" t="str">
        <f>IF($H486="","",INDEX('Detalle individual'!$E:$E,$H486))</f>
        <v/>
      </c>
      <c r="E486" s="5" t="str">
        <f>IF($H486="","",INDEX('Detalle individual'!$C:$C,$H486))</f>
        <v/>
      </c>
      <c r="F486" s="5" t="str">
        <f>IF($H486="","",INDEX('Detalle individual'!$D:$D,$H486))</f>
        <v/>
      </c>
      <c r="G486" s="5" t="str">
        <f>IF($H486="","",INDEX('Detalle individual'!$F:$F,$H486))</f>
        <v/>
      </c>
      <c r="H486" t="str">
        <f>IFERROR(MATCH(SMALL(Cálculos!$AJ$5:$AJ$1000,482),Cálculos!$AJ$5:$AJ$1000,0)+4,"")</f>
        <v/>
      </c>
    </row>
    <row r="487">
      <c r="B487" s="5" t="str">
        <f>IF($H487="","",INDEX('Detalle individual'!$B:$B,$H487))</f>
        <v/>
      </c>
      <c r="C487" s="5" t="str">
        <f>IF($H487="","",INDEX('Detalle individual'!$A:$A,$H487))</f>
        <v/>
      </c>
      <c r="D487" s="5" t="str">
        <f>IF($H487="","",INDEX('Detalle individual'!$E:$E,$H487))</f>
        <v/>
      </c>
      <c r="E487" s="5" t="str">
        <f>IF($H487="","",INDEX('Detalle individual'!$C:$C,$H487))</f>
        <v/>
      </c>
      <c r="F487" s="5" t="str">
        <f>IF($H487="","",INDEX('Detalle individual'!$D:$D,$H487))</f>
        <v/>
      </c>
      <c r="G487" s="5" t="str">
        <f>IF($H487="","",INDEX('Detalle individual'!$F:$F,$H487))</f>
        <v/>
      </c>
      <c r="H487" t="str">
        <f>IFERROR(MATCH(SMALL(Cálculos!$AJ$5:$AJ$1000,483),Cálculos!$AJ$5:$AJ$1000,0)+4,"")</f>
        <v/>
      </c>
    </row>
    <row r="488">
      <c r="B488" s="5" t="str">
        <f>IF($H488="","",INDEX('Detalle individual'!$B:$B,$H488))</f>
        <v/>
      </c>
      <c r="C488" s="5" t="str">
        <f>IF($H488="","",INDEX('Detalle individual'!$A:$A,$H488))</f>
        <v/>
      </c>
      <c r="D488" s="5" t="str">
        <f>IF($H488="","",INDEX('Detalle individual'!$E:$E,$H488))</f>
        <v/>
      </c>
      <c r="E488" s="5" t="str">
        <f>IF($H488="","",INDEX('Detalle individual'!$C:$C,$H488))</f>
        <v/>
      </c>
      <c r="F488" s="5" t="str">
        <f>IF($H488="","",INDEX('Detalle individual'!$D:$D,$H488))</f>
        <v/>
      </c>
      <c r="G488" s="5" t="str">
        <f>IF($H488="","",INDEX('Detalle individual'!$F:$F,$H488))</f>
        <v/>
      </c>
      <c r="H488" t="str">
        <f>IFERROR(MATCH(SMALL(Cálculos!$AJ$5:$AJ$1000,484),Cálculos!$AJ$5:$AJ$1000,0)+4,"")</f>
        <v/>
      </c>
    </row>
    <row r="489">
      <c r="B489" s="5" t="str">
        <f>IF($H489="","",INDEX('Detalle individual'!$B:$B,$H489))</f>
        <v/>
      </c>
      <c r="C489" s="5" t="str">
        <f>IF($H489="","",INDEX('Detalle individual'!$A:$A,$H489))</f>
        <v/>
      </c>
      <c r="D489" s="5" t="str">
        <f>IF($H489="","",INDEX('Detalle individual'!$E:$E,$H489))</f>
        <v/>
      </c>
      <c r="E489" s="5" t="str">
        <f>IF($H489="","",INDEX('Detalle individual'!$C:$C,$H489))</f>
        <v/>
      </c>
      <c r="F489" s="5" t="str">
        <f>IF($H489="","",INDEX('Detalle individual'!$D:$D,$H489))</f>
        <v/>
      </c>
      <c r="G489" s="5" t="str">
        <f>IF($H489="","",INDEX('Detalle individual'!$F:$F,$H489))</f>
        <v/>
      </c>
      <c r="H489" t="str">
        <f>IFERROR(MATCH(SMALL(Cálculos!$AJ$5:$AJ$1000,485),Cálculos!$AJ$5:$AJ$1000,0)+4,"")</f>
        <v/>
      </c>
    </row>
    <row r="490">
      <c r="B490" s="5" t="str">
        <f>IF($H490="","",INDEX('Detalle individual'!$B:$B,$H490))</f>
        <v/>
      </c>
      <c r="C490" s="5" t="str">
        <f>IF($H490="","",INDEX('Detalle individual'!$A:$A,$H490))</f>
        <v/>
      </c>
      <c r="D490" s="5" t="str">
        <f>IF($H490="","",INDEX('Detalle individual'!$E:$E,$H490))</f>
        <v/>
      </c>
      <c r="E490" s="5" t="str">
        <f>IF($H490="","",INDEX('Detalle individual'!$C:$C,$H490))</f>
        <v/>
      </c>
      <c r="F490" s="5" t="str">
        <f>IF($H490="","",INDEX('Detalle individual'!$D:$D,$H490))</f>
        <v/>
      </c>
      <c r="G490" s="5" t="str">
        <f>IF($H490="","",INDEX('Detalle individual'!$F:$F,$H490))</f>
        <v/>
      </c>
      <c r="H490" t="str">
        <f>IFERROR(MATCH(SMALL(Cálculos!$AJ$5:$AJ$1000,486),Cálculos!$AJ$5:$AJ$1000,0)+4,"")</f>
        <v/>
      </c>
    </row>
    <row r="491">
      <c r="B491" s="5" t="str">
        <f>IF($H491="","",INDEX('Detalle individual'!$B:$B,$H491))</f>
        <v/>
      </c>
      <c r="C491" s="5" t="str">
        <f>IF($H491="","",INDEX('Detalle individual'!$A:$A,$H491))</f>
        <v/>
      </c>
      <c r="D491" s="5" t="str">
        <f>IF($H491="","",INDEX('Detalle individual'!$E:$E,$H491))</f>
        <v/>
      </c>
      <c r="E491" s="5" t="str">
        <f>IF($H491="","",INDEX('Detalle individual'!$C:$C,$H491))</f>
        <v/>
      </c>
      <c r="F491" s="5" t="str">
        <f>IF($H491="","",INDEX('Detalle individual'!$D:$D,$H491))</f>
        <v/>
      </c>
      <c r="G491" s="5" t="str">
        <f>IF($H491="","",INDEX('Detalle individual'!$F:$F,$H491))</f>
        <v/>
      </c>
      <c r="H491" t="str">
        <f>IFERROR(MATCH(SMALL(Cálculos!$AJ$5:$AJ$1000,487),Cálculos!$AJ$5:$AJ$1000,0)+4,"")</f>
        <v/>
      </c>
    </row>
    <row r="492">
      <c r="B492" s="5" t="str">
        <f>IF($H492="","",INDEX('Detalle individual'!$B:$B,$H492))</f>
        <v/>
      </c>
      <c r="C492" s="5" t="str">
        <f>IF($H492="","",INDEX('Detalle individual'!$A:$A,$H492))</f>
        <v/>
      </c>
      <c r="D492" s="5" t="str">
        <f>IF($H492="","",INDEX('Detalle individual'!$E:$E,$H492))</f>
        <v/>
      </c>
      <c r="E492" s="5" t="str">
        <f>IF($H492="","",INDEX('Detalle individual'!$C:$C,$H492))</f>
        <v/>
      </c>
      <c r="F492" s="5" t="str">
        <f>IF($H492="","",INDEX('Detalle individual'!$D:$D,$H492))</f>
        <v/>
      </c>
      <c r="G492" s="5" t="str">
        <f>IF($H492="","",INDEX('Detalle individual'!$F:$F,$H492))</f>
        <v/>
      </c>
      <c r="H492" t="str">
        <f>IFERROR(MATCH(SMALL(Cálculos!$AJ$5:$AJ$1000,488),Cálculos!$AJ$5:$AJ$1000,0)+4,"")</f>
        <v/>
      </c>
    </row>
    <row r="493">
      <c r="B493" s="5" t="str">
        <f>IF($H493="","",INDEX('Detalle individual'!$B:$B,$H493))</f>
        <v/>
      </c>
      <c r="C493" s="5" t="str">
        <f>IF($H493="","",INDEX('Detalle individual'!$A:$A,$H493))</f>
        <v/>
      </c>
      <c r="D493" s="5" t="str">
        <f>IF($H493="","",INDEX('Detalle individual'!$E:$E,$H493))</f>
        <v/>
      </c>
      <c r="E493" s="5" t="str">
        <f>IF($H493="","",INDEX('Detalle individual'!$C:$C,$H493))</f>
        <v/>
      </c>
      <c r="F493" s="5" t="str">
        <f>IF($H493="","",INDEX('Detalle individual'!$D:$D,$H493))</f>
        <v/>
      </c>
      <c r="G493" s="5" t="str">
        <f>IF($H493="","",INDEX('Detalle individual'!$F:$F,$H493))</f>
        <v/>
      </c>
      <c r="H493" t="str">
        <f>IFERROR(MATCH(SMALL(Cálculos!$AJ$5:$AJ$1000,489),Cálculos!$AJ$5:$AJ$1000,0)+4,"")</f>
        <v/>
      </c>
    </row>
    <row r="494">
      <c r="B494" s="5" t="str">
        <f>IF($H494="","",INDEX('Detalle individual'!$B:$B,$H494))</f>
        <v/>
      </c>
      <c r="C494" s="5" t="str">
        <f>IF($H494="","",INDEX('Detalle individual'!$A:$A,$H494))</f>
        <v/>
      </c>
      <c r="D494" s="5" t="str">
        <f>IF($H494="","",INDEX('Detalle individual'!$E:$E,$H494))</f>
        <v/>
      </c>
      <c r="E494" s="5" t="str">
        <f>IF($H494="","",INDEX('Detalle individual'!$C:$C,$H494))</f>
        <v/>
      </c>
      <c r="F494" s="5" t="str">
        <f>IF($H494="","",INDEX('Detalle individual'!$D:$D,$H494))</f>
        <v/>
      </c>
      <c r="G494" s="5" t="str">
        <f>IF($H494="","",INDEX('Detalle individual'!$F:$F,$H494))</f>
        <v/>
      </c>
      <c r="H494" t="str">
        <f>IFERROR(MATCH(SMALL(Cálculos!$AJ$5:$AJ$1000,490),Cálculos!$AJ$5:$AJ$1000,0)+4,"")</f>
        <v/>
      </c>
    </row>
    <row r="495">
      <c r="B495" s="5" t="str">
        <f>IF($H495="","",INDEX('Detalle individual'!$B:$B,$H495))</f>
        <v/>
      </c>
      <c r="C495" s="5" t="str">
        <f>IF($H495="","",INDEX('Detalle individual'!$A:$A,$H495))</f>
        <v/>
      </c>
      <c r="D495" s="5" t="str">
        <f>IF($H495="","",INDEX('Detalle individual'!$E:$E,$H495))</f>
        <v/>
      </c>
      <c r="E495" s="5" t="str">
        <f>IF($H495="","",INDEX('Detalle individual'!$C:$C,$H495))</f>
        <v/>
      </c>
      <c r="F495" s="5" t="str">
        <f>IF($H495="","",INDEX('Detalle individual'!$D:$D,$H495))</f>
        <v/>
      </c>
      <c r="G495" s="5" t="str">
        <f>IF($H495="","",INDEX('Detalle individual'!$F:$F,$H495))</f>
        <v/>
      </c>
      <c r="H495" t="str">
        <f>IFERROR(MATCH(SMALL(Cálculos!$AJ$5:$AJ$1000,491),Cálculos!$AJ$5:$AJ$1000,0)+4,"")</f>
        <v/>
      </c>
    </row>
    <row r="496">
      <c r="B496" s="5" t="str">
        <f>IF($H496="","",INDEX('Detalle individual'!$B:$B,$H496))</f>
        <v/>
      </c>
      <c r="C496" s="5" t="str">
        <f>IF($H496="","",INDEX('Detalle individual'!$A:$A,$H496))</f>
        <v/>
      </c>
      <c r="D496" s="5" t="str">
        <f>IF($H496="","",INDEX('Detalle individual'!$E:$E,$H496))</f>
        <v/>
      </c>
      <c r="E496" s="5" t="str">
        <f>IF($H496="","",INDEX('Detalle individual'!$C:$C,$H496))</f>
        <v/>
      </c>
      <c r="F496" s="5" t="str">
        <f>IF($H496="","",INDEX('Detalle individual'!$D:$D,$H496))</f>
        <v/>
      </c>
      <c r="G496" s="5" t="str">
        <f>IF($H496="","",INDEX('Detalle individual'!$F:$F,$H496))</f>
        <v/>
      </c>
      <c r="H496" t="str">
        <f>IFERROR(MATCH(SMALL(Cálculos!$AJ$5:$AJ$1000,492),Cálculos!$AJ$5:$AJ$1000,0)+4,"")</f>
        <v/>
      </c>
    </row>
    <row r="497">
      <c r="B497" s="5" t="str">
        <f>IF($H497="","",INDEX('Detalle individual'!$B:$B,$H497))</f>
        <v/>
      </c>
      <c r="C497" s="5" t="str">
        <f>IF($H497="","",INDEX('Detalle individual'!$A:$A,$H497))</f>
        <v/>
      </c>
      <c r="D497" s="5" t="str">
        <f>IF($H497="","",INDEX('Detalle individual'!$E:$E,$H497))</f>
        <v/>
      </c>
      <c r="E497" s="5" t="str">
        <f>IF($H497="","",INDEX('Detalle individual'!$C:$C,$H497))</f>
        <v/>
      </c>
      <c r="F497" s="5" t="str">
        <f>IF($H497="","",INDEX('Detalle individual'!$D:$D,$H497))</f>
        <v/>
      </c>
      <c r="G497" s="5" t="str">
        <f>IF($H497="","",INDEX('Detalle individual'!$F:$F,$H497))</f>
        <v/>
      </c>
      <c r="H497" t="str">
        <f>IFERROR(MATCH(SMALL(Cálculos!$AJ$5:$AJ$1000,493),Cálculos!$AJ$5:$AJ$1000,0)+4,"")</f>
        <v/>
      </c>
    </row>
    <row r="498">
      <c r="B498" s="5" t="str">
        <f>IF($H498="","",INDEX('Detalle individual'!$B:$B,$H498))</f>
        <v/>
      </c>
      <c r="C498" s="5" t="str">
        <f>IF($H498="","",INDEX('Detalle individual'!$A:$A,$H498))</f>
        <v/>
      </c>
      <c r="D498" s="5" t="str">
        <f>IF($H498="","",INDEX('Detalle individual'!$E:$E,$H498))</f>
        <v/>
      </c>
      <c r="E498" s="5" t="str">
        <f>IF($H498="","",INDEX('Detalle individual'!$C:$C,$H498))</f>
        <v/>
      </c>
      <c r="F498" s="5" t="str">
        <f>IF($H498="","",INDEX('Detalle individual'!$D:$D,$H498))</f>
        <v/>
      </c>
      <c r="G498" s="5" t="str">
        <f>IF($H498="","",INDEX('Detalle individual'!$F:$F,$H498))</f>
        <v/>
      </c>
      <c r="H498" t="str">
        <f>IFERROR(MATCH(SMALL(Cálculos!$AJ$5:$AJ$1000,494),Cálculos!$AJ$5:$AJ$1000,0)+4,"")</f>
        <v/>
      </c>
    </row>
    <row r="499">
      <c r="B499" s="5" t="str">
        <f>IF($H499="","",INDEX('Detalle individual'!$B:$B,$H499))</f>
        <v/>
      </c>
      <c r="C499" s="5" t="str">
        <f>IF($H499="","",INDEX('Detalle individual'!$A:$A,$H499))</f>
        <v/>
      </c>
      <c r="D499" s="5" t="str">
        <f>IF($H499="","",INDEX('Detalle individual'!$E:$E,$H499))</f>
        <v/>
      </c>
      <c r="E499" s="5" t="str">
        <f>IF($H499="","",INDEX('Detalle individual'!$C:$C,$H499))</f>
        <v/>
      </c>
      <c r="F499" s="5" t="str">
        <f>IF($H499="","",INDEX('Detalle individual'!$D:$D,$H499))</f>
        <v/>
      </c>
      <c r="G499" s="5" t="str">
        <f>IF($H499="","",INDEX('Detalle individual'!$F:$F,$H499))</f>
        <v/>
      </c>
      <c r="H499" t="str">
        <f>IFERROR(MATCH(SMALL(Cálculos!$AJ$5:$AJ$1000,495),Cálculos!$AJ$5:$AJ$1000,0)+4,"")</f>
        <v/>
      </c>
    </row>
    <row r="500">
      <c r="B500" s="5" t="str">
        <f>IF($H500="","",INDEX('Detalle individual'!$B:$B,$H500))</f>
        <v/>
      </c>
      <c r="C500" s="5" t="str">
        <f>IF($H500="","",INDEX('Detalle individual'!$A:$A,$H500))</f>
        <v/>
      </c>
      <c r="D500" s="5" t="str">
        <f>IF($H500="","",INDEX('Detalle individual'!$E:$E,$H500))</f>
        <v/>
      </c>
      <c r="E500" s="5" t="str">
        <f>IF($H500="","",INDEX('Detalle individual'!$C:$C,$H500))</f>
        <v/>
      </c>
      <c r="F500" s="5" t="str">
        <f>IF($H500="","",INDEX('Detalle individual'!$D:$D,$H500))</f>
        <v/>
      </c>
      <c r="G500" s="5" t="str">
        <f>IF($H500="","",INDEX('Detalle individual'!$F:$F,$H500))</f>
        <v/>
      </c>
      <c r="H500" t="str">
        <f>IFERROR(MATCH(SMALL(Cálculos!$AJ$5:$AJ$1000,496),Cálculos!$AJ$5:$AJ$1000,0)+4,"")</f>
        <v/>
      </c>
    </row>
    <row r="501">
      <c r="B501" s="5" t="str">
        <f>IF($H501="","",INDEX('Detalle individual'!$B:$B,$H501))</f>
        <v/>
      </c>
      <c r="C501" s="5" t="str">
        <f>IF($H501="","",INDEX('Detalle individual'!$A:$A,$H501))</f>
        <v/>
      </c>
      <c r="D501" s="5" t="str">
        <f>IF($H501="","",INDEX('Detalle individual'!$E:$E,$H501))</f>
        <v/>
      </c>
      <c r="E501" s="5" t="str">
        <f>IF($H501="","",INDEX('Detalle individual'!$C:$C,$H501))</f>
        <v/>
      </c>
      <c r="F501" s="5" t="str">
        <f>IF($H501="","",INDEX('Detalle individual'!$D:$D,$H501))</f>
        <v/>
      </c>
      <c r="G501" s="5" t="str">
        <f>IF($H501="","",INDEX('Detalle individual'!$F:$F,$H501))</f>
        <v/>
      </c>
      <c r="H501" t="str">
        <f>IFERROR(MATCH(SMALL(Cálculos!$AJ$5:$AJ$1000,497),Cálculos!$AJ$5:$AJ$1000,0)+4,"")</f>
        <v/>
      </c>
    </row>
    <row r="502">
      <c r="B502" s="5" t="str">
        <f>IF($H502="","",INDEX('Detalle individual'!$B:$B,$H502))</f>
        <v/>
      </c>
      <c r="C502" s="5" t="str">
        <f>IF($H502="","",INDEX('Detalle individual'!$A:$A,$H502))</f>
        <v/>
      </c>
      <c r="D502" s="5" t="str">
        <f>IF($H502="","",INDEX('Detalle individual'!$E:$E,$H502))</f>
        <v/>
      </c>
      <c r="E502" s="5" t="str">
        <f>IF($H502="","",INDEX('Detalle individual'!$C:$C,$H502))</f>
        <v/>
      </c>
      <c r="F502" s="5" t="str">
        <f>IF($H502="","",INDEX('Detalle individual'!$D:$D,$H502))</f>
        <v/>
      </c>
      <c r="G502" s="5" t="str">
        <f>IF($H502="","",INDEX('Detalle individual'!$F:$F,$H502))</f>
        <v/>
      </c>
      <c r="H502" t="str">
        <f>IFERROR(MATCH(SMALL(Cálculos!$AJ$5:$AJ$1000,498),Cálculos!$AJ$5:$AJ$1000,0)+4,"")</f>
        <v/>
      </c>
    </row>
    <row r="503">
      <c r="B503" s="5" t="str">
        <f>IF($H503="","",INDEX('Detalle individual'!$B:$B,$H503))</f>
        <v/>
      </c>
      <c r="C503" s="5" t="str">
        <f>IF($H503="","",INDEX('Detalle individual'!$A:$A,$H503))</f>
        <v/>
      </c>
      <c r="D503" s="5" t="str">
        <f>IF($H503="","",INDEX('Detalle individual'!$E:$E,$H503))</f>
        <v/>
      </c>
      <c r="E503" s="5" t="str">
        <f>IF($H503="","",INDEX('Detalle individual'!$C:$C,$H503))</f>
        <v/>
      </c>
      <c r="F503" s="5" t="str">
        <f>IF($H503="","",INDEX('Detalle individual'!$D:$D,$H503))</f>
        <v/>
      </c>
      <c r="G503" s="5" t="str">
        <f>IF($H503="","",INDEX('Detalle individual'!$F:$F,$H503))</f>
        <v/>
      </c>
      <c r="H503" t="str">
        <f>IFERROR(MATCH(SMALL(Cálculos!$AJ$5:$AJ$1000,499),Cálculos!$AJ$5:$AJ$1000,0)+4,"")</f>
        <v/>
      </c>
    </row>
    <row r="504">
      <c r="B504" s="5" t="str">
        <f>IF($H504="","",INDEX('Detalle individual'!$B:$B,$H504))</f>
        <v/>
      </c>
      <c r="C504" s="5" t="str">
        <f>IF($H504="","",INDEX('Detalle individual'!$A:$A,$H504))</f>
        <v/>
      </c>
      <c r="D504" s="5" t="str">
        <f>IF($H504="","",INDEX('Detalle individual'!$E:$E,$H504))</f>
        <v/>
      </c>
      <c r="E504" s="5" t="str">
        <f>IF($H504="","",INDEX('Detalle individual'!$C:$C,$H504))</f>
        <v/>
      </c>
      <c r="F504" s="5" t="str">
        <f>IF($H504="","",INDEX('Detalle individual'!$D:$D,$H504))</f>
        <v/>
      </c>
      <c r="G504" s="5" t="str">
        <f>IF($H504="","",INDEX('Detalle individual'!$F:$F,$H504))</f>
        <v/>
      </c>
      <c r="H504" t="str">
        <f>IFERROR(MATCH(SMALL(Cálculos!$AJ$5:$AJ$1000,500),Cálculos!$AJ$5:$AJ$1000,0)+4,"")</f>
        <v/>
      </c>
    </row>
    <row r="505">
      <c r="B505" s="5" t="str">
        <f>IF($H505="","",INDEX('Detalle individual'!$B:$B,$H505))</f>
        <v/>
      </c>
      <c r="C505" s="5" t="str">
        <f>IF($H505="","",INDEX('Detalle individual'!$A:$A,$H505))</f>
        <v/>
      </c>
      <c r="D505" s="5" t="str">
        <f>IF($H505="","",INDEX('Detalle individual'!$E:$E,$H505))</f>
        <v/>
      </c>
      <c r="E505" s="5" t="str">
        <f>IF($H505="","",INDEX('Detalle individual'!$C:$C,$H505))</f>
        <v/>
      </c>
      <c r="F505" s="5" t="str">
        <f>IF($H505="","",INDEX('Detalle individual'!$D:$D,$H505))</f>
        <v/>
      </c>
      <c r="G505" s="5" t="str">
        <f>IF($H505="","",INDEX('Detalle individual'!$F:$F,$H505))</f>
        <v/>
      </c>
      <c r="H505" t="str">
        <f>IFERROR(MATCH(SMALL(Cálculos!$AJ$5:$AJ$1000,501),Cálculos!$AJ$5:$AJ$1000,0)+4,"")</f>
        <v/>
      </c>
    </row>
    <row r="506">
      <c r="B506" s="5" t="str">
        <f>IF($H506="","",INDEX('Detalle individual'!$B:$B,$H506))</f>
        <v/>
      </c>
      <c r="C506" s="5" t="str">
        <f>IF($H506="","",INDEX('Detalle individual'!$A:$A,$H506))</f>
        <v/>
      </c>
      <c r="D506" s="5" t="str">
        <f>IF($H506="","",INDEX('Detalle individual'!$E:$E,$H506))</f>
        <v/>
      </c>
      <c r="E506" s="5" t="str">
        <f>IF($H506="","",INDEX('Detalle individual'!$C:$C,$H506))</f>
        <v/>
      </c>
      <c r="F506" s="5" t="str">
        <f>IF($H506="","",INDEX('Detalle individual'!$D:$D,$H506))</f>
        <v/>
      </c>
      <c r="G506" s="5" t="str">
        <f>IF($H506="","",INDEX('Detalle individual'!$F:$F,$H506))</f>
        <v/>
      </c>
      <c r="H506" t="str">
        <f>IFERROR(MATCH(SMALL(Cálculos!$AJ$5:$AJ$1000,502),Cálculos!$AJ$5:$AJ$1000,0)+4,"")</f>
        <v/>
      </c>
    </row>
    <row r="507">
      <c r="B507" s="5" t="str">
        <f>IF($H507="","",INDEX('Detalle individual'!$B:$B,$H507))</f>
        <v/>
      </c>
      <c r="C507" s="5" t="str">
        <f>IF($H507="","",INDEX('Detalle individual'!$A:$A,$H507))</f>
        <v/>
      </c>
      <c r="D507" s="5" t="str">
        <f>IF($H507="","",INDEX('Detalle individual'!$E:$E,$H507))</f>
        <v/>
      </c>
      <c r="E507" s="5" t="str">
        <f>IF($H507="","",INDEX('Detalle individual'!$C:$C,$H507))</f>
        <v/>
      </c>
      <c r="F507" s="5" t="str">
        <f>IF($H507="","",INDEX('Detalle individual'!$D:$D,$H507))</f>
        <v/>
      </c>
      <c r="G507" s="5" t="str">
        <f>IF($H507="","",INDEX('Detalle individual'!$F:$F,$H507))</f>
        <v/>
      </c>
      <c r="H507" t="str">
        <f>IFERROR(MATCH(SMALL(Cálculos!$AJ$5:$AJ$1000,503),Cálculos!$AJ$5:$AJ$1000,0)+4,"")</f>
        <v/>
      </c>
    </row>
    <row r="508">
      <c r="B508" s="5" t="str">
        <f>IF($H508="","",INDEX('Detalle individual'!$B:$B,$H508))</f>
        <v/>
      </c>
      <c r="C508" s="5" t="str">
        <f>IF($H508="","",INDEX('Detalle individual'!$A:$A,$H508))</f>
        <v/>
      </c>
      <c r="D508" s="5" t="str">
        <f>IF($H508="","",INDEX('Detalle individual'!$E:$E,$H508))</f>
        <v/>
      </c>
      <c r="E508" s="5" t="str">
        <f>IF($H508="","",INDEX('Detalle individual'!$C:$C,$H508))</f>
        <v/>
      </c>
      <c r="F508" s="5" t="str">
        <f>IF($H508="","",INDEX('Detalle individual'!$D:$D,$H508))</f>
        <v/>
      </c>
      <c r="G508" s="5" t="str">
        <f>IF($H508="","",INDEX('Detalle individual'!$F:$F,$H508))</f>
        <v/>
      </c>
      <c r="H508" t="str">
        <f>IFERROR(MATCH(SMALL(Cálculos!$AJ$5:$AJ$1000,504),Cálculos!$AJ$5:$AJ$1000,0)+4,"")</f>
        <v/>
      </c>
    </row>
    <row r="509">
      <c r="B509" s="5" t="str">
        <f>IF($H509="","",INDEX('Detalle individual'!$B:$B,$H509))</f>
        <v/>
      </c>
      <c r="C509" s="5" t="str">
        <f>IF($H509="","",INDEX('Detalle individual'!$A:$A,$H509))</f>
        <v/>
      </c>
      <c r="D509" s="5" t="str">
        <f>IF($H509="","",INDEX('Detalle individual'!$E:$E,$H509))</f>
        <v/>
      </c>
      <c r="E509" s="5" t="str">
        <f>IF($H509="","",INDEX('Detalle individual'!$C:$C,$H509))</f>
        <v/>
      </c>
      <c r="F509" s="5" t="str">
        <f>IF($H509="","",INDEX('Detalle individual'!$D:$D,$H509))</f>
        <v/>
      </c>
      <c r="G509" s="5" t="str">
        <f>IF($H509="","",INDEX('Detalle individual'!$F:$F,$H509))</f>
        <v/>
      </c>
      <c r="H509" t="str">
        <f>IFERROR(MATCH(SMALL(Cálculos!$AJ$5:$AJ$1000,505),Cálculos!$AJ$5:$AJ$1000,0)+4,"")</f>
        <v/>
      </c>
    </row>
    <row r="510">
      <c r="B510" s="5" t="str">
        <f>IF($H510="","",INDEX('Detalle individual'!$B:$B,$H510))</f>
        <v/>
      </c>
      <c r="C510" s="5" t="str">
        <f>IF($H510="","",INDEX('Detalle individual'!$A:$A,$H510))</f>
        <v/>
      </c>
      <c r="D510" s="5" t="str">
        <f>IF($H510="","",INDEX('Detalle individual'!$E:$E,$H510))</f>
        <v/>
      </c>
      <c r="E510" s="5" t="str">
        <f>IF($H510="","",INDEX('Detalle individual'!$C:$C,$H510))</f>
        <v/>
      </c>
      <c r="F510" s="5" t="str">
        <f>IF($H510="","",INDEX('Detalle individual'!$D:$D,$H510))</f>
        <v/>
      </c>
      <c r="G510" s="5" t="str">
        <f>IF($H510="","",INDEX('Detalle individual'!$F:$F,$H510))</f>
        <v/>
      </c>
      <c r="H510" t="str">
        <f>IFERROR(MATCH(SMALL(Cálculos!$AJ$5:$AJ$1000,506),Cálculos!$AJ$5:$AJ$1000,0)+4,"")</f>
        <v/>
      </c>
    </row>
    <row r="511">
      <c r="B511" s="5" t="str">
        <f>IF($H511="","",INDEX('Detalle individual'!$B:$B,$H511))</f>
        <v/>
      </c>
      <c r="C511" s="5" t="str">
        <f>IF($H511="","",INDEX('Detalle individual'!$A:$A,$H511))</f>
        <v/>
      </c>
      <c r="D511" s="5" t="str">
        <f>IF($H511="","",INDEX('Detalle individual'!$E:$E,$H511))</f>
        <v/>
      </c>
      <c r="E511" s="5" t="str">
        <f>IF($H511="","",INDEX('Detalle individual'!$C:$C,$H511))</f>
        <v/>
      </c>
      <c r="F511" s="5" t="str">
        <f>IF($H511="","",INDEX('Detalle individual'!$D:$D,$H511))</f>
        <v/>
      </c>
      <c r="G511" s="5" t="str">
        <f>IF($H511="","",INDEX('Detalle individual'!$F:$F,$H511))</f>
        <v/>
      </c>
      <c r="H511" t="str">
        <f>IFERROR(MATCH(SMALL(Cálculos!$AJ$5:$AJ$1000,507),Cálculos!$AJ$5:$AJ$1000,0)+4,"")</f>
        <v/>
      </c>
    </row>
    <row r="512">
      <c r="B512" s="5" t="str">
        <f>IF($H512="","",INDEX('Detalle individual'!$B:$B,$H512))</f>
        <v/>
      </c>
      <c r="C512" s="5" t="str">
        <f>IF($H512="","",INDEX('Detalle individual'!$A:$A,$H512))</f>
        <v/>
      </c>
      <c r="D512" s="5" t="str">
        <f>IF($H512="","",INDEX('Detalle individual'!$E:$E,$H512))</f>
        <v/>
      </c>
      <c r="E512" s="5" t="str">
        <f>IF($H512="","",INDEX('Detalle individual'!$C:$C,$H512))</f>
        <v/>
      </c>
      <c r="F512" s="5" t="str">
        <f>IF($H512="","",INDEX('Detalle individual'!$D:$D,$H512))</f>
        <v/>
      </c>
      <c r="G512" s="5" t="str">
        <f>IF($H512="","",INDEX('Detalle individual'!$F:$F,$H512))</f>
        <v/>
      </c>
      <c r="H512" t="str">
        <f>IFERROR(MATCH(SMALL(Cálculos!$AJ$5:$AJ$1000,508),Cálculos!$AJ$5:$AJ$1000,0)+4,"")</f>
        <v/>
      </c>
    </row>
    <row r="513">
      <c r="B513" s="5" t="str">
        <f>IF($H513="","",INDEX('Detalle individual'!$B:$B,$H513))</f>
        <v/>
      </c>
      <c r="C513" s="5" t="str">
        <f>IF($H513="","",INDEX('Detalle individual'!$A:$A,$H513))</f>
        <v/>
      </c>
      <c r="D513" s="5" t="str">
        <f>IF($H513="","",INDEX('Detalle individual'!$E:$E,$H513))</f>
        <v/>
      </c>
      <c r="E513" s="5" t="str">
        <f>IF($H513="","",INDEX('Detalle individual'!$C:$C,$H513))</f>
        <v/>
      </c>
      <c r="F513" s="5" t="str">
        <f>IF($H513="","",INDEX('Detalle individual'!$D:$D,$H513))</f>
        <v/>
      </c>
      <c r="G513" s="5" t="str">
        <f>IF($H513="","",INDEX('Detalle individual'!$F:$F,$H513))</f>
        <v/>
      </c>
      <c r="H513" t="str">
        <f>IFERROR(MATCH(SMALL(Cálculos!$AJ$5:$AJ$1000,509),Cálculos!$AJ$5:$AJ$1000,0)+4,"")</f>
        <v/>
      </c>
    </row>
    <row r="514">
      <c r="B514" s="5" t="str">
        <f>IF($H514="","",INDEX('Detalle individual'!$B:$B,$H514))</f>
        <v/>
      </c>
      <c r="C514" s="5" t="str">
        <f>IF($H514="","",INDEX('Detalle individual'!$A:$A,$H514))</f>
        <v/>
      </c>
      <c r="D514" s="5" t="str">
        <f>IF($H514="","",INDEX('Detalle individual'!$E:$E,$H514))</f>
        <v/>
      </c>
      <c r="E514" s="5" t="str">
        <f>IF($H514="","",INDEX('Detalle individual'!$C:$C,$H514))</f>
        <v/>
      </c>
      <c r="F514" s="5" t="str">
        <f>IF($H514="","",INDEX('Detalle individual'!$D:$D,$H514))</f>
        <v/>
      </c>
      <c r="G514" s="5" t="str">
        <f>IF($H514="","",INDEX('Detalle individual'!$F:$F,$H514))</f>
        <v/>
      </c>
      <c r="H514" t="str">
        <f>IFERROR(MATCH(SMALL(Cálculos!$AJ$5:$AJ$1000,510),Cálculos!$AJ$5:$AJ$1000,0)+4,"")</f>
        <v/>
      </c>
    </row>
    <row r="515">
      <c r="B515" s="5" t="str">
        <f>IF($H515="","",INDEX('Detalle individual'!$B:$B,$H515))</f>
        <v/>
      </c>
      <c r="C515" s="5" t="str">
        <f>IF($H515="","",INDEX('Detalle individual'!$A:$A,$H515))</f>
        <v/>
      </c>
      <c r="D515" s="5" t="str">
        <f>IF($H515="","",INDEX('Detalle individual'!$E:$E,$H515))</f>
        <v/>
      </c>
      <c r="E515" s="5" t="str">
        <f>IF($H515="","",INDEX('Detalle individual'!$C:$C,$H515))</f>
        <v/>
      </c>
      <c r="F515" s="5" t="str">
        <f>IF($H515="","",INDEX('Detalle individual'!$D:$D,$H515))</f>
        <v/>
      </c>
      <c r="G515" s="5" t="str">
        <f>IF($H515="","",INDEX('Detalle individual'!$F:$F,$H515))</f>
        <v/>
      </c>
      <c r="H515" t="str">
        <f>IFERROR(MATCH(SMALL(Cálculos!$AJ$5:$AJ$1000,511),Cálculos!$AJ$5:$AJ$1000,0)+4,"")</f>
        <v/>
      </c>
    </row>
    <row r="516">
      <c r="B516" s="5" t="str">
        <f>IF($H516="","",INDEX('Detalle individual'!$B:$B,$H516))</f>
        <v/>
      </c>
      <c r="C516" s="5" t="str">
        <f>IF($H516="","",INDEX('Detalle individual'!$A:$A,$H516))</f>
        <v/>
      </c>
      <c r="D516" s="5" t="str">
        <f>IF($H516="","",INDEX('Detalle individual'!$E:$E,$H516))</f>
        <v/>
      </c>
      <c r="E516" s="5" t="str">
        <f>IF($H516="","",INDEX('Detalle individual'!$C:$C,$H516))</f>
        <v/>
      </c>
      <c r="F516" s="5" t="str">
        <f>IF($H516="","",INDEX('Detalle individual'!$D:$D,$H516))</f>
        <v/>
      </c>
      <c r="G516" s="5" t="str">
        <f>IF($H516="","",INDEX('Detalle individual'!$F:$F,$H516))</f>
        <v/>
      </c>
      <c r="H516" t="str">
        <f>IFERROR(MATCH(SMALL(Cálculos!$AJ$5:$AJ$1000,512),Cálculos!$AJ$5:$AJ$1000,0)+4,"")</f>
        <v/>
      </c>
    </row>
    <row r="517">
      <c r="B517" s="5" t="str">
        <f>IF($H517="","",INDEX('Detalle individual'!$B:$B,$H517))</f>
        <v/>
      </c>
      <c r="C517" s="5" t="str">
        <f>IF($H517="","",INDEX('Detalle individual'!$A:$A,$H517))</f>
        <v/>
      </c>
      <c r="D517" s="5" t="str">
        <f>IF($H517="","",INDEX('Detalle individual'!$E:$E,$H517))</f>
        <v/>
      </c>
      <c r="E517" s="5" t="str">
        <f>IF($H517="","",INDEX('Detalle individual'!$C:$C,$H517))</f>
        <v/>
      </c>
      <c r="F517" s="5" t="str">
        <f>IF($H517="","",INDEX('Detalle individual'!$D:$D,$H517))</f>
        <v/>
      </c>
      <c r="G517" s="5" t="str">
        <f>IF($H517="","",INDEX('Detalle individual'!$F:$F,$H517))</f>
        <v/>
      </c>
      <c r="H517" t="str">
        <f>IFERROR(MATCH(SMALL(Cálculos!$AJ$5:$AJ$1000,513),Cálculos!$AJ$5:$AJ$1000,0)+4,"")</f>
        <v/>
      </c>
    </row>
    <row r="518">
      <c r="B518" s="5" t="str">
        <f>IF($H518="","",INDEX('Detalle individual'!$B:$B,$H518))</f>
        <v/>
      </c>
      <c r="C518" s="5" t="str">
        <f>IF($H518="","",INDEX('Detalle individual'!$A:$A,$H518))</f>
        <v/>
      </c>
      <c r="D518" s="5" t="str">
        <f>IF($H518="","",INDEX('Detalle individual'!$E:$E,$H518))</f>
        <v/>
      </c>
      <c r="E518" s="5" t="str">
        <f>IF($H518="","",INDEX('Detalle individual'!$C:$C,$H518))</f>
        <v/>
      </c>
      <c r="F518" s="5" t="str">
        <f>IF($H518="","",INDEX('Detalle individual'!$D:$D,$H518))</f>
        <v/>
      </c>
      <c r="G518" s="5" t="str">
        <f>IF($H518="","",INDEX('Detalle individual'!$F:$F,$H518))</f>
        <v/>
      </c>
      <c r="H518" t="str">
        <f>IFERROR(MATCH(SMALL(Cálculos!$AJ$5:$AJ$1000,514),Cálculos!$AJ$5:$AJ$1000,0)+4,"")</f>
        <v/>
      </c>
    </row>
    <row r="519">
      <c r="B519" s="5" t="str">
        <f>IF($H519="","",INDEX('Detalle individual'!$B:$B,$H519))</f>
        <v/>
      </c>
      <c r="C519" s="5" t="str">
        <f>IF($H519="","",INDEX('Detalle individual'!$A:$A,$H519))</f>
        <v/>
      </c>
      <c r="D519" s="5" t="str">
        <f>IF($H519="","",INDEX('Detalle individual'!$E:$E,$H519))</f>
        <v/>
      </c>
      <c r="E519" s="5" t="str">
        <f>IF($H519="","",INDEX('Detalle individual'!$C:$C,$H519))</f>
        <v/>
      </c>
      <c r="F519" s="5" t="str">
        <f>IF($H519="","",INDEX('Detalle individual'!$D:$D,$H519))</f>
        <v/>
      </c>
      <c r="G519" s="5" t="str">
        <f>IF($H519="","",INDEX('Detalle individual'!$F:$F,$H519))</f>
        <v/>
      </c>
      <c r="H519" t="str">
        <f>IFERROR(MATCH(SMALL(Cálculos!$AJ$5:$AJ$1000,515),Cálculos!$AJ$5:$AJ$1000,0)+4,"")</f>
        <v/>
      </c>
    </row>
    <row r="520">
      <c r="B520" s="5" t="str">
        <f>IF($H520="","",INDEX('Detalle individual'!$B:$B,$H520))</f>
        <v/>
      </c>
      <c r="C520" s="5" t="str">
        <f>IF($H520="","",INDEX('Detalle individual'!$A:$A,$H520))</f>
        <v/>
      </c>
      <c r="D520" s="5" t="str">
        <f>IF($H520="","",INDEX('Detalle individual'!$E:$E,$H520))</f>
        <v/>
      </c>
      <c r="E520" s="5" t="str">
        <f>IF($H520="","",INDEX('Detalle individual'!$C:$C,$H520))</f>
        <v/>
      </c>
      <c r="F520" s="5" t="str">
        <f>IF($H520="","",INDEX('Detalle individual'!$D:$D,$H520))</f>
        <v/>
      </c>
      <c r="G520" s="5" t="str">
        <f>IF($H520="","",INDEX('Detalle individual'!$F:$F,$H520))</f>
        <v/>
      </c>
      <c r="H520" t="str">
        <f>IFERROR(MATCH(SMALL(Cálculos!$AJ$5:$AJ$1000,516),Cálculos!$AJ$5:$AJ$1000,0)+4,"")</f>
        <v/>
      </c>
    </row>
    <row r="521">
      <c r="B521" s="5" t="str">
        <f>IF($H521="","",INDEX('Detalle individual'!$B:$B,$H521))</f>
        <v/>
      </c>
      <c r="C521" s="5" t="str">
        <f>IF($H521="","",INDEX('Detalle individual'!$A:$A,$H521))</f>
        <v/>
      </c>
      <c r="D521" s="5" t="str">
        <f>IF($H521="","",INDEX('Detalle individual'!$E:$E,$H521))</f>
        <v/>
      </c>
      <c r="E521" s="5" t="str">
        <f>IF($H521="","",INDEX('Detalle individual'!$C:$C,$H521))</f>
        <v/>
      </c>
      <c r="F521" s="5" t="str">
        <f>IF($H521="","",INDEX('Detalle individual'!$D:$D,$H521))</f>
        <v/>
      </c>
      <c r="G521" s="5" t="str">
        <f>IF($H521="","",INDEX('Detalle individual'!$F:$F,$H521))</f>
        <v/>
      </c>
      <c r="H521" t="str">
        <f>IFERROR(MATCH(SMALL(Cálculos!$AJ$5:$AJ$1000,517),Cálculos!$AJ$5:$AJ$1000,0)+4,"")</f>
        <v/>
      </c>
    </row>
    <row r="522">
      <c r="B522" s="5" t="str">
        <f>IF($H522="","",INDEX('Detalle individual'!$B:$B,$H522))</f>
        <v/>
      </c>
      <c r="C522" s="5" t="str">
        <f>IF($H522="","",INDEX('Detalle individual'!$A:$A,$H522))</f>
        <v/>
      </c>
      <c r="D522" s="5" t="str">
        <f>IF($H522="","",INDEX('Detalle individual'!$E:$E,$H522))</f>
        <v/>
      </c>
      <c r="E522" s="5" t="str">
        <f>IF($H522="","",INDEX('Detalle individual'!$C:$C,$H522))</f>
        <v/>
      </c>
      <c r="F522" s="5" t="str">
        <f>IF($H522="","",INDEX('Detalle individual'!$D:$D,$H522))</f>
        <v/>
      </c>
      <c r="G522" s="5" t="str">
        <f>IF($H522="","",INDEX('Detalle individual'!$F:$F,$H522))</f>
        <v/>
      </c>
      <c r="H522" t="str">
        <f>IFERROR(MATCH(SMALL(Cálculos!$AJ$5:$AJ$1000,518),Cálculos!$AJ$5:$AJ$1000,0)+4,"")</f>
        <v/>
      </c>
    </row>
    <row r="523">
      <c r="B523" s="5" t="str">
        <f>IF($H523="","",INDEX('Detalle individual'!$B:$B,$H523))</f>
        <v/>
      </c>
      <c r="C523" s="5" t="str">
        <f>IF($H523="","",INDEX('Detalle individual'!$A:$A,$H523))</f>
        <v/>
      </c>
      <c r="D523" s="5" t="str">
        <f>IF($H523="","",INDEX('Detalle individual'!$E:$E,$H523))</f>
        <v/>
      </c>
      <c r="E523" s="5" t="str">
        <f>IF($H523="","",INDEX('Detalle individual'!$C:$C,$H523))</f>
        <v/>
      </c>
      <c r="F523" s="5" t="str">
        <f>IF($H523="","",INDEX('Detalle individual'!$D:$D,$H523))</f>
        <v/>
      </c>
      <c r="G523" s="5" t="str">
        <f>IF($H523="","",INDEX('Detalle individual'!$F:$F,$H523))</f>
        <v/>
      </c>
      <c r="H523" t="str">
        <f>IFERROR(MATCH(SMALL(Cálculos!$AJ$5:$AJ$1000,519),Cálculos!$AJ$5:$AJ$1000,0)+4,"")</f>
        <v/>
      </c>
    </row>
    <row r="524">
      <c r="B524" s="5" t="str">
        <f>IF($H524="","",INDEX('Detalle individual'!$B:$B,$H524))</f>
        <v/>
      </c>
      <c r="C524" s="5" t="str">
        <f>IF($H524="","",INDEX('Detalle individual'!$A:$A,$H524))</f>
        <v/>
      </c>
      <c r="D524" s="5" t="str">
        <f>IF($H524="","",INDEX('Detalle individual'!$E:$E,$H524))</f>
        <v/>
      </c>
      <c r="E524" s="5" t="str">
        <f>IF($H524="","",INDEX('Detalle individual'!$C:$C,$H524))</f>
        <v/>
      </c>
      <c r="F524" s="5" t="str">
        <f>IF($H524="","",INDEX('Detalle individual'!$D:$D,$H524))</f>
        <v/>
      </c>
      <c r="G524" s="5" t="str">
        <f>IF($H524="","",INDEX('Detalle individual'!$F:$F,$H524))</f>
        <v/>
      </c>
      <c r="H524" t="str">
        <f>IFERROR(MATCH(SMALL(Cálculos!$AJ$5:$AJ$1000,520),Cálculos!$AJ$5:$AJ$1000,0)+4,"")</f>
        <v/>
      </c>
    </row>
    <row r="525">
      <c r="B525" s="5" t="str">
        <f>IF($H525="","",INDEX('Detalle individual'!$B:$B,$H525))</f>
        <v/>
      </c>
      <c r="C525" s="5" t="str">
        <f>IF($H525="","",INDEX('Detalle individual'!$A:$A,$H525))</f>
        <v/>
      </c>
      <c r="D525" s="5" t="str">
        <f>IF($H525="","",INDEX('Detalle individual'!$E:$E,$H525))</f>
        <v/>
      </c>
      <c r="E525" s="5" t="str">
        <f>IF($H525="","",INDEX('Detalle individual'!$C:$C,$H525))</f>
        <v/>
      </c>
      <c r="F525" s="5" t="str">
        <f>IF($H525="","",INDEX('Detalle individual'!$D:$D,$H525))</f>
        <v/>
      </c>
      <c r="G525" s="5" t="str">
        <f>IF($H525="","",INDEX('Detalle individual'!$F:$F,$H525))</f>
        <v/>
      </c>
      <c r="H525" t="str">
        <f>IFERROR(MATCH(SMALL(Cálculos!$AJ$5:$AJ$1000,521),Cálculos!$AJ$5:$AJ$1000,0)+4,"")</f>
        <v/>
      </c>
    </row>
    <row r="526">
      <c r="B526" s="5" t="str">
        <f>IF($H526="","",INDEX('Detalle individual'!$B:$B,$H526))</f>
        <v/>
      </c>
      <c r="C526" s="5" t="str">
        <f>IF($H526="","",INDEX('Detalle individual'!$A:$A,$H526))</f>
        <v/>
      </c>
      <c r="D526" s="5" t="str">
        <f>IF($H526="","",INDEX('Detalle individual'!$E:$E,$H526))</f>
        <v/>
      </c>
      <c r="E526" s="5" t="str">
        <f>IF($H526="","",INDEX('Detalle individual'!$C:$C,$H526))</f>
        <v/>
      </c>
      <c r="F526" s="5" t="str">
        <f>IF($H526="","",INDEX('Detalle individual'!$D:$D,$H526))</f>
        <v/>
      </c>
      <c r="G526" s="5" t="str">
        <f>IF($H526="","",INDEX('Detalle individual'!$F:$F,$H526))</f>
        <v/>
      </c>
      <c r="H526" t="str">
        <f>IFERROR(MATCH(SMALL(Cálculos!$AJ$5:$AJ$1000,522),Cálculos!$AJ$5:$AJ$1000,0)+4,"")</f>
        <v/>
      </c>
    </row>
    <row r="527">
      <c r="B527" s="5" t="str">
        <f>IF($H527="","",INDEX('Detalle individual'!$B:$B,$H527))</f>
        <v/>
      </c>
      <c r="C527" s="5" t="str">
        <f>IF($H527="","",INDEX('Detalle individual'!$A:$A,$H527))</f>
        <v/>
      </c>
      <c r="D527" s="5" t="str">
        <f>IF($H527="","",INDEX('Detalle individual'!$E:$E,$H527))</f>
        <v/>
      </c>
      <c r="E527" s="5" t="str">
        <f>IF($H527="","",INDEX('Detalle individual'!$C:$C,$H527))</f>
        <v/>
      </c>
      <c r="F527" s="5" t="str">
        <f>IF($H527="","",INDEX('Detalle individual'!$D:$D,$H527))</f>
        <v/>
      </c>
      <c r="G527" s="5" t="str">
        <f>IF($H527="","",INDEX('Detalle individual'!$F:$F,$H527))</f>
        <v/>
      </c>
      <c r="H527" t="str">
        <f>IFERROR(MATCH(SMALL(Cálculos!$AJ$5:$AJ$1000,523),Cálculos!$AJ$5:$AJ$1000,0)+4,"")</f>
        <v/>
      </c>
    </row>
    <row r="528">
      <c r="B528" s="5" t="str">
        <f>IF($H528="","",INDEX('Detalle individual'!$B:$B,$H528))</f>
        <v/>
      </c>
      <c r="C528" s="5" t="str">
        <f>IF($H528="","",INDEX('Detalle individual'!$A:$A,$H528))</f>
        <v/>
      </c>
      <c r="D528" s="5" t="str">
        <f>IF($H528="","",INDEX('Detalle individual'!$E:$E,$H528))</f>
        <v/>
      </c>
      <c r="E528" s="5" t="str">
        <f>IF($H528="","",INDEX('Detalle individual'!$C:$C,$H528))</f>
        <v/>
      </c>
      <c r="F528" s="5" t="str">
        <f>IF($H528="","",INDEX('Detalle individual'!$D:$D,$H528))</f>
        <v/>
      </c>
      <c r="G528" s="5" t="str">
        <f>IF($H528="","",INDEX('Detalle individual'!$F:$F,$H528))</f>
        <v/>
      </c>
      <c r="H528" t="str">
        <f>IFERROR(MATCH(SMALL(Cálculos!$AJ$5:$AJ$1000,524),Cálculos!$AJ$5:$AJ$1000,0)+4,"")</f>
        <v/>
      </c>
    </row>
    <row r="529">
      <c r="B529" s="5" t="str">
        <f>IF($H529="","",INDEX('Detalle individual'!$B:$B,$H529))</f>
        <v/>
      </c>
      <c r="C529" s="5" t="str">
        <f>IF($H529="","",INDEX('Detalle individual'!$A:$A,$H529))</f>
        <v/>
      </c>
      <c r="D529" s="5" t="str">
        <f>IF($H529="","",INDEX('Detalle individual'!$E:$E,$H529))</f>
        <v/>
      </c>
      <c r="E529" s="5" t="str">
        <f>IF($H529="","",INDEX('Detalle individual'!$C:$C,$H529))</f>
        <v/>
      </c>
      <c r="F529" s="5" t="str">
        <f>IF($H529="","",INDEX('Detalle individual'!$D:$D,$H529))</f>
        <v/>
      </c>
      <c r="G529" s="5" t="str">
        <f>IF($H529="","",INDEX('Detalle individual'!$F:$F,$H529))</f>
        <v/>
      </c>
      <c r="H529" t="str">
        <f>IFERROR(MATCH(SMALL(Cálculos!$AJ$5:$AJ$1000,525),Cálculos!$AJ$5:$AJ$1000,0)+4,"")</f>
        <v/>
      </c>
    </row>
    <row r="530">
      <c r="B530" s="5" t="str">
        <f>IF($H530="","",INDEX('Detalle individual'!$B:$B,$H530))</f>
        <v/>
      </c>
      <c r="C530" s="5" t="str">
        <f>IF($H530="","",INDEX('Detalle individual'!$A:$A,$H530))</f>
        <v/>
      </c>
      <c r="D530" s="5" t="str">
        <f>IF($H530="","",INDEX('Detalle individual'!$E:$E,$H530))</f>
        <v/>
      </c>
      <c r="E530" s="5" t="str">
        <f>IF($H530="","",INDEX('Detalle individual'!$C:$C,$H530))</f>
        <v/>
      </c>
      <c r="F530" s="5" t="str">
        <f>IF($H530="","",INDEX('Detalle individual'!$D:$D,$H530))</f>
        <v/>
      </c>
      <c r="G530" s="5" t="str">
        <f>IF($H530="","",INDEX('Detalle individual'!$F:$F,$H530))</f>
        <v/>
      </c>
      <c r="H530" t="str">
        <f>IFERROR(MATCH(SMALL(Cálculos!$AJ$5:$AJ$1000,526),Cálculos!$AJ$5:$AJ$1000,0)+4,"")</f>
        <v/>
      </c>
    </row>
    <row r="531">
      <c r="B531" s="5" t="str">
        <f>IF($H531="","",INDEX('Detalle individual'!$B:$B,$H531))</f>
        <v/>
      </c>
      <c r="C531" s="5" t="str">
        <f>IF($H531="","",INDEX('Detalle individual'!$A:$A,$H531))</f>
        <v/>
      </c>
      <c r="D531" s="5" t="str">
        <f>IF($H531="","",INDEX('Detalle individual'!$E:$E,$H531))</f>
        <v/>
      </c>
      <c r="E531" s="5" t="str">
        <f>IF($H531="","",INDEX('Detalle individual'!$C:$C,$H531))</f>
        <v/>
      </c>
      <c r="F531" s="5" t="str">
        <f>IF($H531="","",INDEX('Detalle individual'!$D:$D,$H531))</f>
        <v/>
      </c>
      <c r="G531" s="5" t="str">
        <f>IF($H531="","",INDEX('Detalle individual'!$F:$F,$H531))</f>
        <v/>
      </c>
      <c r="H531" t="str">
        <f>IFERROR(MATCH(SMALL(Cálculos!$AJ$5:$AJ$1000,527),Cálculos!$AJ$5:$AJ$1000,0)+4,"")</f>
        <v/>
      </c>
    </row>
    <row r="532">
      <c r="B532" s="5" t="str">
        <f>IF($H532="","",INDEX('Detalle individual'!$B:$B,$H532))</f>
        <v/>
      </c>
      <c r="C532" s="5" t="str">
        <f>IF($H532="","",INDEX('Detalle individual'!$A:$A,$H532))</f>
        <v/>
      </c>
      <c r="D532" s="5" t="str">
        <f>IF($H532="","",INDEX('Detalle individual'!$E:$E,$H532))</f>
        <v/>
      </c>
      <c r="E532" s="5" t="str">
        <f>IF($H532="","",INDEX('Detalle individual'!$C:$C,$H532))</f>
        <v/>
      </c>
      <c r="F532" s="5" t="str">
        <f>IF($H532="","",INDEX('Detalle individual'!$D:$D,$H532))</f>
        <v/>
      </c>
      <c r="G532" s="5" t="str">
        <f>IF($H532="","",INDEX('Detalle individual'!$F:$F,$H532))</f>
        <v/>
      </c>
      <c r="H532" t="str">
        <f>IFERROR(MATCH(SMALL(Cálculos!$AJ$5:$AJ$1000,528),Cálculos!$AJ$5:$AJ$1000,0)+4,"")</f>
        <v/>
      </c>
    </row>
    <row r="533">
      <c r="B533" s="5" t="str">
        <f>IF($H533="","",INDEX('Detalle individual'!$B:$B,$H533))</f>
        <v/>
      </c>
      <c r="C533" s="5" t="str">
        <f>IF($H533="","",INDEX('Detalle individual'!$A:$A,$H533))</f>
        <v/>
      </c>
      <c r="D533" s="5" t="str">
        <f>IF($H533="","",INDEX('Detalle individual'!$E:$E,$H533))</f>
        <v/>
      </c>
      <c r="E533" s="5" t="str">
        <f>IF($H533="","",INDEX('Detalle individual'!$C:$C,$H533))</f>
        <v/>
      </c>
      <c r="F533" s="5" t="str">
        <f>IF($H533="","",INDEX('Detalle individual'!$D:$D,$H533))</f>
        <v/>
      </c>
      <c r="G533" s="5" t="str">
        <f>IF($H533="","",INDEX('Detalle individual'!$F:$F,$H533))</f>
        <v/>
      </c>
      <c r="H533" t="str">
        <f>IFERROR(MATCH(SMALL(Cálculos!$AJ$5:$AJ$1000,529),Cálculos!$AJ$5:$AJ$1000,0)+4,"")</f>
        <v/>
      </c>
    </row>
    <row r="534">
      <c r="B534" s="5" t="str">
        <f>IF($H534="","",INDEX('Detalle individual'!$B:$B,$H534))</f>
        <v/>
      </c>
      <c r="C534" s="5" t="str">
        <f>IF($H534="","",INDEX('Detalle individual'!$A:$A,$H534))</f>
        <v/>
      </c>
      <c r="D534" s="5" t="str">
        <f>IF($H534="","",INDEX('Detalle individual'!$E:$E,$H534))</f>
        <v/>
      </c>
      <c r="E534" s="5" t="str">
        <f>IF($H534="","",INDEX('Detalle individual'!$C:$C,$H534))</f>
        <v/>
      </c>
      <c r="F534" s="5" t="str">
        <f>IF($H534="","",INDEX('Detalle individual'!$D:$D,$H534))</f>
        <v/>
      </c>
      <c r="G534" s="5" t="str">
        <f>IF($H534="","",INDEX('Detalle individual'!$F:$F,$H534))</f>
        <v/>
      </c>
      <c r="H534" t="str">
        <f>IFERROR(MATCH(SMALL(Cálculos!$AJ$5:$AJ$1000,530),Cálculos!$AJ$5:$AJ$1000,0)+4,"")</f>
        <v/>
      </c>
    </row>
    <row r="535">
      <c r="B535" s="5" t="str">
        <f>IF($H535="","",INDEX('Detalle individual'!$B:$B,$H535))</f>
        <v/>
      </c>
      <c r="C535" s="5" t="str">
        <f>IF($H535="","",INDEX('Detalle individual'!$A:$A,$H535))</f>
        <v/>
      </c>
      <c r="D535" s="5" t="str">
        <f>IF($H535="","",INDEX('Detalle individual'!$E:$E,$H535))</f>
        <v/>
      </c>
      <c r="E535" s="5" t="str">
        <f>IF($H535="","",INDEX('Detalle individual'!$C:$C,$H535))</f>
        <v/>
      </c>
      <c r="F535" s="5" t="str">
        <f>IF($H535="","",INDEX('Detalle individual'!$D:$D,$H535))</f>
        <v/>
      </c>
      <c r="G535" s="5" t="str">
        <f>IF($H535="","",INDEX('Detalle individual'!$F:$F,$H535))</f>
        <v/>
      </c>
      <c r="H535" t="str">
        <f>IFERROR(MATCH(SMALL(Cálculos!$AJ$5:$AJ$1000,531),Cálculos!$AJ$5:$AJ$1000,0)+4,"")</f>
        <v/>
      </c>
    </row>
    <row r="536">
      <c r="B536" s="5" t="str">
        <f>IF($H536="","",INDEX('Detalle individual'!$B:$B,$H536))</f>
        <v/>
      </c>
      <c r="C536" s="5" t="str">
        <f>IF($H536="","",INDEX('Detalle individual'!$A:$A,$H536))</f>
        <v/>
      </c>
      <c r="D536" s="5" t="str">
        <f>IF($H536="","",INDEX('Detalle individual'!$E:$E,$H536))</f>
        <v/>
      </c>
      <c r="E536" s="5" t="str">
        <f>IF($H536="","",INDEX('Detalle individual'!$C:$C,$H536))</f>
        <v/>
      </c>
      <c r="F536" s="5" t="str">
        <f>IF($H536="","",INDEX('Detalle individual'!$D:$D,$H536))</f>
        <v/>
      </c>
      <c r="G536" s="5" t="str">
        <f>IF($H536="","",INDEX('Detalle individual'!$F:$F,$H536))</f>
        <v/>
      </c>
      <c r="H536" t="str">
        <f>IFERROR(MATCH(SMALL(Cálculos!$AJ$5:$AJ$1000,532),Cálculos!$AJ$5:$AJ$1000,0)+4,"")</f>
        <v/>
      </c>
    </row>
    <row r="537">
      <c r="B537" s="5" t="str">
        <f>IF($H537="","",INDEX('Detalle individual'!$B:$B,$H537))</f>
        <v/>
      </c>
      <c r="C537" s="5" t="str">
        <f>IF($H537="","",INDEX('Detalle individual'!$A:$A,$H537))</f>
        <v/>
      </c>
      <c r="D537" s="5" t="str">
        <f>IF($H537="","",INDEX('Detalle individual'!$E:$E,$H537))</f>
        <v/>
      </c>
      <c r="E537" s="5" t="str">
        <f>IF($H537="","",INDEX('Detalle individual'!$C:$C,$H537))</f>
        <v/>
      </c>
      <c r="F537" s="5" t="str">
        <f>IF($H537="","",INDEX('Detalle individual'!$D:$D,$H537))</f>
        <v/>
      </c>
      <c r="G537" s="5" t="str">
        <f>IF($H537="","",INDEX('Detalle individual'!$F:$F,$H537))</f>
        <v/>
      </c>
      <c r="H537" t="str">
        <f>IFERROR(MATCH(SMALL(Cálculos!$AJ$5:$AJ$1000,533),Cálculos!$AJ$5:$AJ$1000,0)+4,"")</f>
        <v/>
      </c>
    </row>
    <row r="538">
      <c r="B538" s="5" t="str">
        <f>IF($H538="","",INDEX('Detalle individual'!$B:$B,$H538))</f>
        <v/>
      </c>
      <c r="C538" s="5" t="str">
        <f>IF($H538="","",INDEX('Detalle individual'!$A:$A,$H538))</f>
        <v/>
      </c>
      <c r="D538" s="5" t="str">
        <f>IF($H538="","",INDEX('Detalle individual'!$E:$E,$H538))</f>
        <v/>
      </c>
      <c r="E538" s="5" t="str">
        <f>IF($H538="","",INDEX('Detalle individual'!$C:$C,$H538))</f>
        <v/>
      </c>
      <c r="F538" s="5" t="str">
        <f>IF($H538="","",INDEX('Detalle individual'!$D:$D,$H538))</f>
        <v/>
      </c>
      <c r="G538" s="5" t="str">
        <f>IF($H538="","",INDEX('Detalle individual'!$F:$F,$H538))</f>
        <v/>
      </c>
      <c r="H538" t="str">
        <f>IFERROR(MATCH(SMALL(Cálculos!$AJ$5:$AJ$1000,534),Cálculos!$AJ$5:$AJ$1000,0)+4,"")</f>
        <v/>
      </c>
    </row>
    <row r="539">
      <c r="B539" s="5" t="str">
        <f>IF($H539="","",INDEX('Detalle individual'!$B:$B,$H539))</f>
        <v/>
      </c>
      <c r="C539" s="5" t="str">
        <f>IF($H539="","",INDEX('Detalle individual'!$A:$A,$H539))</f>
        <v/>
      </c>
      <c r="D539" s="5" t="str">
        <f>IF($H539="","",INDEX('Detalle individual'!$E:$E,$H539))</f>
        <v/>
      </c>
      <c r="E539" s="5" t="str">
        <f>IF($H539="","",INDEX('Detalle individual'!$C:$C,$H539))</f>
        <v/>
      </c>
      <c r="F539" s="5" t="str">
        <f>IF($H539="","",INDEX('Detalle individual'!$D:$D,$H539))</f>
        <v/>
      </c>
      <c r="G539" s="5" t="str">
        <f>IF($H539="","",INDEX('Detalle individual'!$F:$F,$H539))</f>
        <v/>
      </c>
      <c r="H539" t="str">
        <f>IFERROR(MATCH(SMALL(Cálculos!$AJ$5:$AJ$1000,535),Cálculos!$AJ$5:$AJ$1000,0)+4,"")</f>
        <v/>
      </c>
    </row>
    <row r="540">
      <c r="B540" s="5" t="str">
        <f>IF($H540="","",INDEX('Detalle individual'!$B:$B,$H540))</f>
        <v/>
      </c>
      <c r="C540" s="5" t="str">
        <f>IF($H540="","",INDEX('Detalle individual'!$A:$A,$H540))</f>
        <v/>
      </c>
      <c r="D540" s="5" t="str">
        <f>IF($H540="","",INDEX('Detalle individual'!$E:$E,$H540))</f>
        <v/>
      </c>
      <c r="E540" s="5" t="str">
        <f>IF($H540="","",INDEX('Detalle individual'!$C:$C,$H540))</f>
        <v/>
      </c>
      <c r="F540" s="5" t="str">
        <f>IF($H540="","",INDEX('Detalle individual'!$D:$D,$H540))</f>
        <v/>
      </c>
      <c r="G540" s="5" t="str">
        <f>IF($H540="","",INDEX('Detalle individual'!$F:$F,$H540))</f>
        <v/>
      </c>
      <c r="H540" t="str">
        <f>IFERROR(MATCH(SMALL(Cálculos!$AJ$5:$AJ$1000,536),Cálculos!$AJ$5:$AJ$1000,0)+4,"")</f>
        <v/>
      </c>
    </row>
    <row r="541">
      <c r="B541" s="5" t="str">
        <f>IF($H541="","",INDEX('Detalle individual'!$B:$B,$H541))</f>
        <v/>
      </c>
      <c r="C541" s="5" t="str">
        <f>IF($H541="","",INDEX('Detalle individual'!$A:$A,$H541))</f>
        <v/>
      </c>
      <c r="D541" s="5" t="str">
        <f>IF($H541="","",INDEX('Detalle individual'!$E:$E,$H541))</f>
        <v/>
      </c>
      <c r="E541" s="5" t="str">
        <f>IF($H541="","",INDEX('Detalle individual'!$C:$C,$H541))</f>
        <v/>
      </c>
      <c r="F541" s="5" t="str">
        <f>IF($H541="","",INDEX('Detalle individual'!$D:$D,$H541))</f>
        <v/>
      </c>
      <c r="G541" s="5" t="str">
        <f>IF($H541="","",INDEX('Detalle individual'!$F:$F,$H541))</f>
        <v/>
      </c>
      <c r="H541" t="str">
        <f>IFERROR(MATCH(SMALL(Cálculos!$AJ$5:$AJ$1000,537),Cálculos!$AJ$5:$AJ$1000,0)+4,"")</f>
        <v/>
      </c>
    </row>
    <row r="542">
      <c r="B542" s="5" t="str">
        <f>IF($H542="","",INDEX('Detalle individual'!$B:$B,$H542))</f>
        <v/>
      </c>
      <c r="C542" s="5" t="str">
        <f>IF($H542="","",INDEX('Detalle individual'!$A:$A,$H542))</f>
        <v/>
      </c>
      <c r="D542" s="5" t="str">
        <f>IF($H542="","",INDEX('Detalle individual'!$E:$E,$H542))</f>
        <v/>
      </c>
      <c r="E542" s="5" t="str">
        <f>IF($H542="","",INDEX('Detalle individual'!$C:$C,$H542))</f>
        <v/>
      </c>
      <c r="F542" s="5" t="str">
        <f>IF($H542="","",INDEX('Detalle individual'!$D:$D,$H542))</f>
        <v/>
      </c>
      <c r="G542" s="5" t="str">
        <f>IF($H542="","",INDEX('Detalle individual'!$F:$F,$H542))</f>
        <v/>
      </c>
      <c r="H542" t="str">
        <f>IFERROR(MATCH(SMALL(Cálculos!$AJ$5:$AJ$1000,538),Cálculos!$AJ$5:$AJ$1000,0)+4,"")</f>
        <v/>
      </c>
    </row>
    <row r="543">
      <c r="B543" s="5" t="str">
        <f>IF($H543="","",INDEX('Detalle individual'!$B:$B,$H543))</f>
        <v/>
      </c>
      <c r="C543" s="5" t="str">
        <f>IF($H543="","",INDEX('Detalle individual'!$A:$A,$H543))</f>
        <v/>
      </c>
      <c r="D543" s="5" t="str">
        <f>IF($H543="","",INDEX('Detalle individual'!$E:$E,$H543))</f>
        <v/>
      </c>
      <c r="E543" s="5" t="str">
        <f>IF($H543="","",INDEX('Detalle individual'!$C:$C,$H543))</f>
        <v/>
      </c>
      <c r="F543" s="5" t="str">
        <f>IF($H543="","",INDEX('Detalle individual'!$D:$D,$H543))</f>
        <v/>
      </c>
      <c r="G543" s="5" t="str">
        <f>IF($H543="","",INDEX('Detalle individual'!$F:$F,$H543))</f>
        <v/>
      </c>
      <c r="H543" t="str">
        <f>IFERROR(MATCH(SMALL(Cálculos!$AJ$5:$AJ$1000,539),Cálculos!$AJ$5:$AJ$1000,0)+4,"")</f>
        <v/>
      </c>
    </row>
    <row r="544">
      <c r="B544" s="5" t="str">
        <f>IF($H544="","",INDEX('Detalle individual'!$B:$B,$H544))</f>
        <v/>
      </c>
      <c r="C544" s="5" t="str">
        <f>IF($H544="","",INDEX('Detalle individual'!$A:$A,$H544))</f>
        <v/>
      </c>
      <c r="D544" s="5" t="str">
        <f>IF($H544="","",INDEX('Detalle individual'!$E:$E,$H544))</f>
        <v/>
      </c>
      <c r="E544" s="5" t="str">
        <f>IF($H544="","",INDEX('Detalle individual'!$C:$C,$H544))</f>
        <v/>
      </c>
      <c r="F544" s="5" t="str">
        <f>IF($H544="","",INDEX('Detalle individual'!$D:$D,$H544))</f>
        <v/>
      </c>
      <c r="G544" s="5" t="str">
        <f>IF($H544="","",INDEX('Detalle individual'!$F:$F,$H544))</f>
        <v/>
      </c>
      <c r="H544" t="str">
        <f>IFERROR(MATCH(SMALL(Cálculos!$AJ$5:$AJ$1000,540),Cálculos!$AJ$5:$AJ$1000,0)+4,"")</f>
        <v/>
      </c>
    </row>
    <row r="545">
      <c r="B545" s="5" t="str">
        <f>IF($H545="","",INDEX('Detalle individual'!$B:$B,$H545))</f>
        <v/>
      </c>
      <c r="C545" s="5" t="str">
        <f>IF($H545="","",INDEX('Detalle individual'!$A:$A,$H545))</f>
        <v/>
      </c>
      <c r="D545" s="5" t="str">
        <f>IF($H545="","",INDEX('Detalle individual'!$E:$E,$H545))</f>
        <v/>
      </c>
      <c r="E545" s="5" t="str">
        <f>IF($H545="","",INDEX('Detalle individual'!$C:$C,$H545))</f>
        <v/>
      </c>
      <c r="F545" s="5" t="str">
        <f>IF($H545="","",INDEX('Detalle individual'!$D:$D,$H545))</f>
        <v/>
      </c>
      <c r="G545" s="5" t="str">
        <f>IF($H545="","",INDEX('Detalle individual'!$F:$F,$H545))</f>
        <v/>
      </c>
      <c r="H545" t="str">
        <f>IFERROR(MATCH(SMALL(Cálculos!$AJ$5:$AJ$1000,541),Cálculos!$AJ$5:$AJ$1000,0)+4,"")</f>
        <v/>
      </c>
    </row>
    <row r="546">
      <c r="B546" s="5" t="str">
        <f>IF($H546="","",INDEX('Detalle individual'!$B:$B,$H546))</f>
        <v/>
      </c>
      <c r="C546" s="5" t="str">
        <f>IF($H546="","",INDEX('Detalle individual'!$A:$A,$H546))</f>
        <v/>
      </c>
      <c r="D546" s="5" t="str">
        <f>IF($H546="","",INDEX('Detalle individual'!$E:$E,$H546))</f>
        <v/>
      </c>
      <c r="E546" s="5" t="str">
        <f>IF($H546="","",INDEX('Detalle individual'!$C:$C,$H546))</f>
        <v/>
      </c>
      <c r="F546" s="5" t="str">
        <f>IF($H546="","",INDEX('Detalle individual'!$D:$D,$H546))</f>
        <v/>
      </c>
      <c r="G546" s="5" t="str">
        <f>IF($H546="","",INDEX('Detalle individual'!$F:$F,$H546))</f>
        <v/>
      </c>
      <c r="H546" t="str">
        <f>IFERROR(MATCH(SMALL(Cálculos!$AJ$5:$AJ$1000,542),Cálculos!$AJ$5:$AJ$1000,0)+4,"")</f>
        <v/>
      </c>
    </row>
    <row r="547">
      <c r="B547" s="5" t="str">
        <f>IF($H547="","",INDEX('Detalle individual'!$B:$B,$H547))</f>
        <v/>
      </c>
      <c r="C547" s="5" t="str">
        <f>IF($H547="","",INDEX('Detalle individual'!$A:$A,$H547))</f>
        <v/>
      </c>
      <c r="D547" s="5" t="str">
        <f>IF($H547="","",INDEX('Detalle individual'!$E:$E,$H547))</f>
        <v/>
      </c>
      <c r="E547" s="5" t="str">
        <f>IF($H547="","",INDEX('Detalle individual'!$C:$C,$H547))</f>
        <v/>
      </c>
      <c r="F547" s="5" t="str">
        <f>IF($H547="","",INDEX('Detalle individual'!$D:$D,$H547))</f>
        <v/>
      </c>
      <c r="G547" s="5" t="str">
        <f>IF($H547="","",INDEX('Detalle individual'!$F:$F,$H547))</f>
        <v/>
      </c>
      <c r="H547" t="str">
        <f>IFERROR(MATCH(SMALL(Cálculos!$AJ$5:$AJ$1000,543),Cálculos!$AJ$5:$AJ$1000,0)+4,"")</f>
        <v/>
      </c>
    </row>
    <row r="548">
      <c r="B548" s="5" t="str">
        <f>IF($H548="","",INDEX('Detalle individual'!$B:$B,$H548))</f>
        <v/>
      </c>
      <c r="C548" s="5" t="str">
        <f>IF($H548="","",INDEX('Detalle individual'!$A:$A,$H548))</f>
        <v/>
      </c>
      <c r="D548" s="5" t="str">
        <f>IF($H548="","",INDEX('Detalle individual'!$E:$E,$H548))</f>
        <v/>
      </c>
      <c r="E548" s="5" t="str">
        <f>IF($H548="","",INDEX('Detalle individual'!$C:$C,$H548))</f>
        <v/>
      </c>
      <c r="F548" s="5" t="str">
        <f>IF($H548="","",INDEX('Detalle individual'!$D:$D,$H548))</f>
        <v/>
      </c>
      <c r="G548" s="5" t="str">
        <f>IF($H548="","",INDEX('Detalle individual'!$F:$F,$H548))</f>
        <v/>
      </c>
      <c r="H548" t="str">
        <f>IFERROR(MATCH(SMALL(Cálculos!$AJ$5:$AJ$1000,544),Cálculos!$AJ$5:$AJ$1000,0)+4,"")</f>
        <v/>
      </c>
    </row>
    <row r="549">
      <c r="B549" s="5" t="str">
        <f>IF($H549="","",INDEX('Detalle individual'!$B:$B,$H549))</f>
        <v/>
      </c>
      <c r="C549" s="5" t="str">
        <f>IF($H549="","",INDEX('Detalle individual'!$A:$A,$H549))</f>
        <v/>
      </c>
      <c r="D549" s="5" t="str">
        <f>IF($H549="","",INDEX('Detalle individual'!$E:$E,$H549))</f>
        <v/>
      </c>
      <c r="E549" s="5" t="str">
        <f>IF($H549="","",INDEX('Detalle individual'!$C:$C,$H549))</f>
        <v/>
      </c>
      <c r="F549" s="5" t="str">
        <f>IF($H549="","",INDEX('Detalle individual'!$D:$D,$H549))</f>
        <v/>
      </c>
      <c r="G549" s="5" t="str">
        <f>IF($H549="","",INDEX('Detalle individual'!$F:$F,$H549))</f>
        <v/>
      </c>
      <c r="H549" t="str">
        <f>IFERROR(MATCH(SMALL(Cálculos!$AJ$5:$AJ$1000,545),Cálculos!$AJ$5:$AJ$1000,0)+4,"")</f>
        <v/>
      </c>
    </row>
    <row r="550">
      <c r="B550" s="5" t="str">
        <f>IF($H550="","",INDEX('Detalle individual'!$B:$B,$H550))</f>
        <v/>
      </c>
      <c r="C550" s="5" t="str">
        <f>IF($H550="","",INDEX('Detalle individual'!$A:$A,$H550))</f>
        <v/>
      </c>
      <c r="D550" s="5" t="str">
        <f>IF($H550="","",INDEX('Detalle individual'!$E:$E,$H550))</f>
        <v/>
      </c>
      <c r="E550" s="5" t="str">
        <f>IF($H550="","",INDEX('Detalle individual'!$C:$C,$H550))</f>
        <v/>
      </c>
      <c r="F550" s="5" t="str">
        <f>IF($H550="","",INDEX('Detalle individual'!$D:$D,$H550))</f>
        <v/>
      </c>
      <c r="G550" s="5" t="str">
        <f>IF($H550="","",INDEX('Detalle individual'!$F:$F,$H550))</f>
        <v/>
      </c>
      <c r="H550" t="str">
        <f>IFERROR(MATCH(SMALL(Cálculos!$AJ$5:$AJ$1000,546),Cálculos!$AJ$5:$AJ$1000,0)+4,"")</f>
        <v/>
      </c>
    </row>
    <row r="551">
      <c r="B551" s="5" t="str">
        <f>IF($H551="","",INDEX('Detalle individual'!$B:$B,$H551))</f>
        <v/>
      </c>
      <c r="C551" s="5" t="str">
        <f>IF($H551="","",INDEX('Detalle individual'!$A:$A,$H551))</f>
        <v/>
      </c>
      <c r="D551" s="5" t="str">
        <f>IF($H551="","",INDEX('Detalle individual'!$E:$E,$H551))</f>
        <v/>
      </c>
      <c r="E551" s="5" t="str">
        <f>IF($H551="","",INDEX('Detalle individual'!$C:$C,$H551))</f>
        <v/>
      </c>
      <c r="F551" s="5" t="str">
        <f>IF($H551="","",INDEX('Detalle individual'!$D:$D,$H551))</f>
        <v/>
      </c>
      <c r="G551" s="5" t="str">
        <f>IF($H551="","",INDEX('Detalle individual'!$F:$F,$H551))</f>
        <v/>
      </c>
      <c r="H551" t="str">
        <f>IFERROR(MATCH(SMALL(Cálculos!$AJ$5:$AJ$1000,547),Cálculos!$AJ$5:$AJ$1000,0)+4,"")</f>
        <v/>
      </c>
    </row>
    <row r="552">
      <c r="B552" s="5" t="str">
        <f>IF($H552="","",INDEX('Detalle individual'!$B:$B,$H552))</f>
        <v/>
      </c>
      <c r="C552" s="5" t="str">
        <f>IF($H552="","",INDEX('Detalle individual'!$A:$A,$H552))</f>
        <v/>
      </c>
      <c r="D552" s="5" t="str">
        <f>IF($H552="","",INDEX('Detalle individual'!$E:$E,$H552))</f>
        <v/>
      </c>
      <c r="E552" s="5" t="str">
        <f>IF($H552="","",INDEX('Detalle individual'!$C:$C,$H552))</f>
        <v/>
      </c>
      <c r="F552" s="5" t="str">
        <f>IF($H552="","",INDEX('Detalle individual'!$D:$D,$H552))</f>
        <v/>
      </c>
      <c r="G552" s="5" t="str">
        <f>IF($H552="","",INDEX('Detalle individual'!$F:$F,$H552))</f>
        <v/>
      </c>
      <c r="H552" t="str">
        <f>IFERROR(MATCH(SMALL(Cálculos!$AJ$5:$AJ$1000,548),Cálculos!$AJ$5:$AJ$1000,0)+4,"")</f>
        <v/>
      </c>
    </row>
    <row r="553">
      <c r="B553" s="5" t="str">
        <f>IF($H553="","",INDEX('Detalle individual'!$B:$B,$H553))</f>
        <v/>
      </c>
      <c r="C553" s="5" t="str">
        <f>IF($H553="","",INDEX('Detalle individual'!$A:$A,$H553))</f>
        <v/>
      </c>
      <c r="D553" s="5" t="str">
        <f>IF($H553="","",INDEX('Detalle individual'!$E:$E,$H553))</f>
        <v/>
      </c>
      <c r="E553" s="5" t="str">
        <f>IF($H553="","",INDEX('Detalle individual'!$C:$C,$H553))</f>
        <v/>
      </c>
      <c r="F553" s="5" t="str">
        <f>IF($H553="","",INDEX('Detalle individual'!$D:$D,$H553))</f>
        <v/>
      </c>
      <c r="G553" s="5" t="str">
        <f>IF($H553="","",INDEX('Detalle individual'!$F:$F,$H553))</f>
        <v/>
      </c>
      <c r="H553" t="str">
        <f>IFERROR(MATCH(SMALL(Cálculos!$AJ$5:$AJ$1000,549),Cálculos!$AJ$5:$AJ$1000,0)+4,"")</f>
        <v/>
      </c>
    </row>
    <row r="554">
      <c r="B554" s="5" t="str">
        <f>IF($H554="","",INDEX('Detalle individual'!$B:$B,$H554))</f>
        <v/>
      </c>
      <c r="C554" s="5" t="str">
        <f>IF($H554="","",INDEX('Detalle individual'!$A:$A,$H554))</f>
        <v/>
      </c>
      <c r="D554" s="5" t="str">
        <f>IF($H554="","",INDEX('Detalle individual'!$E:$E,$H554))</f>
        <v/>
      </c>
      <c r="E554" s="5" t="str">
        <f>IF($H554="","",INDEX('Detalle individual'!$C:$C,$H554))</f>
        <v/>
      </c>
      <c r="F554" s="5" t="str">
        <f>IF($H554="","",INDEX('Detalle individual'!$D:$D,$H554))</f>
        <v/>
      </c>
      <c r="G554" s="5" t="str">
        <f>IF($H554="","",INDEX('Detalle individual'!$F:$F,$H554))</f>
        <v/>
      </c>
      <c r="H554" t="str">
        <f>IFERROR(MATCH(SMALL(Cálculos!$AJ$5:$AJ$1000,550),Cálculos!$AJ$5:$AJ$1000,0)+4,"")</f>
        <v/>
      </c>
    </row>
    <row r="555">
      <c r="B555" s="5" t="str">
        <f>IF($H555="","",INDEX('Detalle individual'!$B:$B,$H555))</f>
        <v/>
      </c>
      <c r="C555" s="5" t="str">
        <f>IF($H555="","",INDEX('Detalle individual'!$A:$A,$H555))</f>
        <v/>
      </c>
      <c r="D555" s="5" t="str">
        <f>IF($H555="","",INDEX('Detalle individual'!$E:$E,$H555))</f>
        <v/>
      </c>
      <c r="E555" s="5" t="str">
        <f>IF($H555="","",INDEX('Detalle individual'!$C:$C,$H555))</f>
        <v/>
      </c>
      <c r="F555" s="5" t="str">
        <f>IF($H555="","",INDEX('Detalle individual'!$D:$D,$H555))</f>
        <v/>
      </c>
      <c r="G555" s="5" t="str">
        <f>IF($H555="","",INDEX('Detalle individual'!$F:$F,$H555))</f>
        <v/>
      </c>
      <c r="H555" t="str">
        <f>IFERROR(MATCH(SMALL(Cálculos!$AJ$5:$AJ$1000,551),Cálculos!$AJ$5:$AJ$1000,0)+4,"")</f>
        <v/>
      </c>
    </row>
    <row r="556">
      <c r="B556" s="5" t="str">
        <f>IF($H556="","",INDEX('Detalle individual'!$B:$B,$H556))</f>
        <v/>
      </c>
      <c r="C556" s="5" t="str">
        <f>IF($H556="","",INDEX('Detalle individual'!$A:$A,$H556))</f>
        <v/>
      </c>
      <c r="D556" s="5" t="str">
        <f>IF($H556="","",INDEX('Detalle individual'!$E:$E,$H556))</f>
        <v/>
      </c>
      <c r="E556" s="5" t="str">
        <f>IF($H556="","",INDEX('Detalle individual'!$C:$C,$H556))</f>
        <v/>
      </c>
      <c r="F556" s="5" t="str">
        <f>IF($H556="","",INDEX('Detalle individual'!$D:$D,$H556))</f>
        <v/>
      </c>
      <c r="G556" s="5" t="str">
        <f>IF($H556="","",INDEX('Detalle individual'!$F:$F,$H556))</f>
        <v/>
      </c>
      <c r="H556" t="str">
        <f>IFERROR(MATCH(SMALL(Cálculos!$AJ$5:$AJ$1000,552),Cálculos!$AJ$5:$AJ$1000,0)+4,"")</f>
        <v/>
      </c>
    </row>
    <row r="557">
      <c r="B557" s="5" t="str">
        <f>IF($H557="","",INDEX('Detalle individual'!$B:$B,$H557))</f>
        <v/>
      </c>
      <c r="C557" s="5" t="str">
        <f>IF($H557="","",INDEX('Detalle individual'!$A:$A,$H557))</f>
        <v/>
      </c>
      <c r="D557" s="5" t="str">
        <f>IF($H557="","",INDEX('Detalle individual'!$E:$E,$H557))</f>
        <v/>
      </c>
      <c r="E557" s="5" t="str">
        <f>IF($H557="","",INDEX('Detalle individual'!$C:$C,$H557))</f>
        <v/>
      </c>
      <c r="F557" s="5" t="str">
        <f>IF($H557="","",INDEX('Detalle individual'!$D:$D,$H557))</f>
        <v/>
      </c>
      <c r="G557" s="5" t="str">
        <f>IF($H557="","",INDEX('Detalle individual'!$F:$F,$H557))</f>
        <v/>
      </c>
      <c r="H557" t="str">
        <f>IFERROR(MATCH(SMALL(Cálculos!$AJ$5:$AJ$1000,553),Cálculos!$AJ$5:$AJ$1000,0)+4,"")</f>
        <v/>
      </c>
    </row>
    <row r="558">
      <c r="B558" s="5" t="str">
        <f>IF($H558="","",INDEX('Detalle individual'!$B:$B,$H558))</f>
        <v/>
      </c>
      <c r="C558" s="5" t="str">
        <f>IF($H558="","",INDEX('Detalle individual'!$A:$A,$H558))</f>
        <v/>
      </c>
      <c r="D558" s="5" t="str">
        <f>IF($H558="","",INDEX('Detalle individual'!$E:$E,$H558))</f>
        <v/>
      </c>
      <c r="E558" s="5" t="str">
        <f>IF($H558="","",INDEX('Detalle individual'!$C:$C,$H558))</f>
        <v/>
      </c>
      <c r="F558" s="5" t="str">
        <f>IF($H558="","",INDEX('Detalle individual'!$D:$D,$H558))</f>
        <v/>
      </c>
      <c r="G558" s="5" t="str">
        <f>IF($H558="","",INDEX('Detalle individual'!$F:$F,$H558))</f>
        <v/>
      </c>
      <c r="H558" t="str">
        <f>IFERROR(MATCH(SMALL(Cálculos!$AJ$5:$AJ$1000,554),Cálculos!$AJ$5:$AJ$1000,0)+4,"")</f>
        <v/>
      </c>
    </row>
    <row r="559">
      <c r="B559" s="5" t="str">
        <f>IF($H559="","",INDEX('Detalle individual'!$B:$B,$H559))</f>
        <v/>
      </c>
      <c r="C559" s="5" t="str">
        <f>IF($H559="","",INDEX('Detalle individual'!$A:$A,$H559))</f>
        <v/>
      </c>
      <c r="D559" s="5" t="str">
        <f>IF($H559="","",INDEX('Detalle individual'!$E:$E,$H559))</f>
        <v/>
      </c>
      <c r="E559" s="5" t="str">
        <f>IF($H559="","",INDEX('Detalle individual'!$C:$C,$H559))</f>
        <v/>
      </c>
      <c r="F559" s="5" t="str">
        <f>IF($H559="","",INDEX('Detalle individual'!$D:$D,$H559))</f>
        <v/>
      </c>
      <c r="G559" s="5" t="str">
        <f>IF($H559="","",INDEX('Detalle individual'!$F:$F,$H559))</f>
        <v/>
      </c>
      <c r="H559" t="str">
        <f>IFERROR(MATCH(SMALL(Cálculos!$AJ$5:$AJ$1000,555),Cálculos!$AJ$5:$AJ$1000,0)+4,"")</f>
        <v/>
      </c>
    </row>
    <row r="560">
      <c r="B560" s="5" t="str">
        <f>IF($H560="","",INDEX('Detalle individual'!$B:$B,$H560))</f>
        <v/>
      </c>
      <c r="C560" s="5" t="str">
        <f>IF($H560="","",INDEX('Detalle individual'!$A:$A,$H560))</f>
        <v/>
      </c>
      <c r="D560" s="5" t="str">
        <f>IF($H560="","",INDEX('Detalle individual'!$E:$E,$H560))</f>
        <v/>
      </c>
      <c r="E560" s="5" t="str">
        <f>IF($H560="","",INDEX('Detalle individual'!$C:$C,$H560))</f>
        <v/>
      </c>
      <c r="F560" s="5" t="str">
        <f>IF($H560="","",INDEX('Detalle individual'!$D:$D,$H560))</f>
        <v/>
      </c>
      <c r="G560" s="5" t="str">
        <f>IF($H560="","",INDEX('Detalle individual'!$F:$F,$H560))</f>
        <v/>
      </c>
      <c r="H560" t="str">
        <f>IFERROR(MATCH(SMALL(Cálculos!$AJ$5:$AJ$1000,556),Cálculos!$AJ$5:$AJ$1000,0)+4,"")</f>
        <v/>
      </c>
    </row>
    <row r="561">
      <c r="B561" s="5" t="str">
        <f>IF($H561="","",INDEX('Detalle individual'!$B:$B,$H561))</f>
        <v/>
      </c>
      <c r="C561" s="5" t="str">
        <f>IF($H561="","",INDEX('Detalle individual'!$A:$A,$H561))</f>
        <v/>
      </c>
      <c r="D561" s="5" t="str">
        <f>IF($H561="","",INDEX('Detalle individual'!$E:$E,$H561))</f>
        <v/>
      </c>
      <c r="E561" s="5" t="str">
        <f>IF($H561="","",INDEX('Detalle individual'!$C:$C,$H561))</f>
        <v/>
      </c>
      <c r="F561" s="5" t="str">
        <f>IF($H561="","",INDEX('Detalle individual'!$D:$D,$H561))</f>
        <v/>
      </c>
      <c r="G561" s="5" t="str">
        <f>IF($H561="","",INDEX('Detalle individual'!$F:$F,$H561))</f>
        <v/>
      </c>
      <c r="H561" t="str">
        <f>IFERROR(MATCH(SMALL(Cálculos!$AJ$5:$AJ$1000,557),Cálculos!$AJ$5:$AJ$1000,0)+4,"")</f>
        <v/>
      </c>
    </row>
    <row r="562">
      <c r="B562" s="5" t="str">
        <f>IF($H562="","",INDEX('Detalle individual'!$B:$B,$H562))</f>
        <v/>
      </c>
      <c r="C562" s="5" t="str">
        <f>IF($H562="","",INDEX('Detalle individual'!$A:$A,$H562))</f>
        <v/>
      </c>
      <c r="D562" s="5" t="str">
        <f>IF($H562="","",INDEX('Detalle individual'!$E:$E,$H562))</f>
        <v/>
      </c>
      <c r="E562" s="5" t="str">
        <f>IF($H562="","",INDEX('Detalle individual'!$C:$C,$H562))</f>
        <v/>
      </c>
      <c r="F562" s="5" t="str">
        <f>IF($H562="","",INDEX('Detalle individual'!$D:$D,$H562))</f>
        <v/>
      </c>
      <c r="G562" s="5" t="str">
        <f>IF($H562="","",INDEX('Detalle individual'!$F:$F,$H562))</f>
        <v/>
      </c>
      <c r="H562" t="str">
        <f>IFERROR(MATCH(SMALL(Cálculos!$AJ$5:$AJ$1000,558),Cálculos!$AJ$5:$AJ$1000,0)+4,"")</f>
        <v/>
      </c>
    </row>
    <row r="563">
      <c r="B563" s="5" t="str">
        <f>IF($H563="","",INDEX('Detalle individual'!$B:$B,$H563))</f>
        <v/>
      </c>
      <c r="C563" s="5" t="str">
        <f>IF($H563="","",INDEX('Detalle individual'!$A:$A,$H563))</f>
        <v/>
      </c>
      <c r="D563" s="5" t="str">
        <f>IF($H563="","",INDEX('Detalle individual'!$E:$E,$H563))</f>
        <v/>
      </c>
      <c r="E563" s="5" t="str">
        <f>IF($H563="","",INDEX('Detalle individual'!$C:$C,$H563))</f>
        <v/>
      </c>
      <c r="F563" s="5" t="str">
        <f>IF($H563="","",INDEX('Detalle individual'!$D:$D,$H563))</f>
        <v/>
      </c>
      <c r="G563" s="5" t="str">
        <f>IF($H563="","",INDEX('Detalle individual'!$F:$F,$H563))</f>
        <v/>
      </c>
      <c r="H563" t="str">
        <f>IFERROR(MATCH(SMALL(Cálculos!$AJ$5:$AJ$1000,559),Cálculos!$AJ$5:$AJ$1000,0)+4,"")</f>
        <v/>
      </c>
    </row>
    <row r="564">
      <c r="B564" s="5" t="str">
        <f>IF($H564="","",INDEX('Detalle individual'!$B:$B,$H564))</f>
        <v/>
      </c>
      <c r="C564" s="5" t="str">
        <f>IF($H564="","",INDEX('Detalle individual'!$A:$A,$H564))</f>
        <v/>
      </c>
      <c r="D564" s="5" t="str">
        <f>IF($H564="","",INDEX('Detalle individual'!$E:$E,$H564))</f>
        <v/>
      </c>
      <c r="E564" s="5" t="str">
        <f>IF($H564="","",INDEX('Detalle individual'!$C:$C,$H564))</f>
        <v/>
      </c>
      <c r="F564" s="5" t="str">
        <f>IF($H564="","",INDEX('Detalle individual'!$D:$D,$H564))</f>
        <v/>
      </c>
      <c r="G564" s="5" t="str">
        <f>IF($H564="","",INDEX('Detalle individual'!$F:$F,$H564))</f>
        <v/>
      </c>
      <c r="H564" t="str">
        <f>IFERROR(MATCH(SMALL(Cálculos!$AJ$5:$AJ$1000,560),Cálculos!$AJ$5:$AJ$1000,0)+4,"")</f>
        <v/>
      </c>
    </row>
    <row r="565">
      <c r="B565" s="5" t="str">
        <f>IF($H565="","",INDEX('Detalle individual'!$B:$B,$H565))</f>
        <v/>
      </c>
      <c r="C565" s="5" t="str">
        <f>IF($H565="","",INDEX('Detalle individual'!$A:$A,$H565))</f>
        <v/>
      </c>
      <c r="D565" s="5" t="str">
        <f>IF($H565="","",INDEX('Detalle individual'!$E:$E,$H565))</f>
        <v/>
      </c>
      <c r="E565" s="5" t="str">
        <f>IF($H565="","",INDEX('Detalle individual'!$C:$C,$H565))</f>
        <v/>
      </c>
      <c r="F565" s="5" t="str">
        <f>IF($H565="","",INDEX('Detalle individual'!$D:$D,$H565))</f>
        <v/>
      </c>
      <c r="G565" s="5" t="str">
        <f>IF($H565="","",INDEX('Detalle individual'!$F:$F,$H565))</f>
        <v/>
      </c>
      <c r="H565" t="str">
        <f>IFERROR(MATCH(SMALL(Cálculos!$AJ$5:$AJ$1000,561),Cálculos!$AJ$5:$AJ$1000,0)+4,"")</f>
        <v/>
      </c>
    </row>
    <row r="566">
      <c r="B566" s="5" t="str">
        <f>IF($H566="","",INDEX('Detalle individual'!$B:$B,$H566))</f>
        <v/>
      </c>
      <c r="C566" s="5" t="str">
        <f>IF($H566="","",INDEX('Detalle individual'!$A:$A,$H566))</f>
        <v/>
      </c>
      <c r="D566" s="5" t="str">
        <f>IF($H566="","",INDEX('Detalle individual'!$E:$E,$H566))</f>
        <v/>
      </c>
      <c r="E566" s="5" t="str">
        <f>IF($H566="","",INDEX('Detalle individual'!$C:$C,$H566))</f>
        <v/>
      </c>
      <c r="F566" s="5" t="str">
        <f>IF($H566="","",INDEX('Detalle individual'!$D:$D,$H566))</f>
        <v/>
      </c>
      <c r="G566" s="5" t="str">
        <f>IF($H566="","",INDEX('Detalle individual'!$F:$F,$H566))</f>
        <v/>
      </c>
      <c r="H566" t="str">
        <f>IFERROR(MATCH(SMALL(Cálculos!$AJ$5:$AJ$1000,562),Cálculos!$AJ$5:$AJ$1000,0)+4,"")</f>
        <v/>
      </c>
    </row>
    <row r="567">
      <c r="B567" s="5" t="str">
        <f>IF($H567="","",INDEX('Detalle individual'!$B:$B,$H567))</f>
        <v/>
      </c>
      <c r="C567" s="5" t="str">
        <f>IF($H567="","",INDEX('Detalle individual'!$A:$A,$H567))</f>
        <v/>
      </c>
      <c r="D567" s="5" t="str">
        <f>IF($H567="","",INDEX('Detalle individual'!$E:$E,$H567))</f>
        <v/>
      </c>
      <c r="E567" s="5" t="str">
        <f>IF($H567="","",INDEX('Detalle individual'!$C:$C,$H567))</f>
        <v/>
      </c>
      <c r="F567" s="5" t="str">
        <f>IF($H567="","",INDEX('Detalle individual'!$D:$D,$H567))</f>
        <v/>
      </c>
      <c r="G567" s="5" t="str">
        <f>IF($H567="","",INDEX('Detalle individual'!$F:$F,$H567))</f>
        <v/>
      </c>
      <c r="H567" t="str">
        <f>IFERROR(MATCH(SMALL(Cálculos!$AJ$5:$AJ$1000,563),Cálculos!$AJ$5:$AJ$1000,0)+4,"")</f>
        <v/>
      </c>
    </row>
    <row r="568">
      <c r="B568" s="5" t="str">
        <f>IF($H568="","",INDEX('Detalle individual'!$B:$B,$H568))</f>
        <v/>
      </c>
      <c r="C568" s="5" t="str">
        <f>IF($H568="","",INDEX('Detalle individual'!$A:$A,$H568))</f>
        <v/>
      </c>
      <c r="D568" s="5" t="str">
        <f>IF($H568="","",INDEX('Detalle individual'!$E:$E,$H568))</f>
        <v/>
      </c>
      <c r="E568" s="5" t="str">
        <f>IF($H568="","",INDEX('Detalle individual'!$C:$C,$H568))</f>
        <v/>
      </c>
      <c r="F568" s="5" t="str">
        <f>IF($H568="","",INDEX('Detalle individual'!$D:$D,$H568))</f>
        <v/>
      </c>
      <c r="G568" s="5" t="str">
        <f>IF($H568="","",INDEX('Detalle individual'!$F:$F,$H568))</f>
        <v/>
      </c>
      <c r="H568" t="str">
        <f>IFERROR(MATCH(SMALL(Cálculos!$AJ$5:$AJ$1000,564),Cálculos!$AJ$5:$AJ$1000,0)+4,"")</f>
        <v/>
      </c>
    </row>
    <row r="569">
      <c r="B569" s="5" t="str">
        <f>IF($H569="","",INDEX('Detalle individual'!$B:$B,$H569))</f>
        <v/>
      </c>
      <c r="C569" s="5" t="str">
        <f>IF($H569="","",INDEX('Detalle individual'!$A:$A,$H569))</f>
        <v/>
      </c>
      <c r="D569" s="5" t="str">
        <f>IF($H569="","",INDEX('Detalle individual'!$E:$E,$H569))</f>
        <v/>
      </c>
      <c r="E569" s="5" t="str">
        <f>IF($H569="","",INDEX('Detalle individual'!$C:$C,$H569))</f>
        <v/>
      </c>
      <c r="F569" s="5" t="str">
        <f>IF($H569="","",INDEX('Detalle individual'!$D:$D,$H569))</f>
        <v/>
      </c>
      <c r="G569" s="5" t="str">
        <f>IF($H569="","",INDEX('Detalle individual'!$F:$F,$H569))</f>
        <v/>
      </c>
      <c r="H569" t="str">
        <f>IFERROR(MATCH(SMALL(Cálculos!$AJ$5:$AJ$1000,565),Cálculos!$AJ$5:$AJ$1000,0)+4,"")</f>
        <v/>
      </c>
    </row>
    <row r="570">
      <c r="B570" s="5" t="str">
        <f>IF($H570="","",INDEX('Detalle individual'!$B:$B,$H570))</f>
        <v/>
      </c>
      <c r="C570" s="5" t="str">
        <f>IF($H570="","",INDEX('Detalle individual'!$A:$A,$H570))</f>
        <v/>
      </c>
      <c r="D570" s="5" t="str">
        <f>IF($H570="","",INDEX('Detalle individual'!$E:$E,$H570))</f>
        <v/>
      </c>
      <c r="E570" s="5" t="str">
        <f>IF($H570="","",INDEX('Detalle individual'!$C:$C,$H570))</f>
        <v/>
      </c>
      <c r="F570" s="5" t="str">
        <f>IF($H570="","",INDEX('Detalle individual'!$D:$D,$H570))</f>
        <v/>
      </c>
      <c r="G570" s="5" t="str">
        <f>IF($H570="","",INDEX('Detalle individual'!$F:$F,$H570))</f>
        <v/>
      </c>
      <c r="H570" t="str">
        <f>IFERROR(MATCH(SMALL(Cálculos!$AJ$5:$AJ$1000,566),Cálculos!$AJ$5:$AJ$1000,0)+4,"")</f>
        <v/>
      </c>
    </row>
    <row r="571">
      <c r="B571" s="5" t="str">
        <f>IF($H571="","",INDEX('Detalle individual'!$B:$B,$H571))</f>
        <v/>
      </c>
      <c r="C571" s="5" t="str">
        <f>IF($H571="","",INDEX('Detalle individual'!$A:$A,$H571))</f>
        <v/>
      </c>
      <c r="D571" s="5" t="str">
        <f>IF($H571="","",INDEX('Detalle individual'!$E:$E,$H571))</f>
        <v/>
      </c>
      <c r="E571" s="5" t="str">
        <f>IF($H571="","",INDEX('Detalle individual'!$C:$C,$H571))</f>
        <v/>
      </c>
      <c r="F571" s="5" t="str">
        <f>IF($H571="","",INDEX('Detalle individual'!$D:$D,$H571))</f>
        <v/>
      </c>
      <c r="G571" s="5" t="str">
        <f>IF($H571="","",INDEX('Detalle individual'!$F:$F,$H571))</f>
        <v/>
      </c>
      <c r="H571" t="str">
        <f>IFERROR(MATCH(SMALL(Cálculos!$AJ$5:$AJ$1000,567),Cálculos!$AJ$5:$AJ$1000,0)+4,"")</f>
        <v/>
      </c>
    </row>
    <row r="572">
      <c r="B572" s="5" t="str">
        <f>IF($H572="","",INDEX('Detalle individual'!$B:$B,$H572))</f>
        <v/>
      </c>
      <c r="C572" s="5" t="str">
        <f>IF($H572="","",INDEX('Detalle individual'!$A:$A,$H572))</f>
        <v/>
      </c>
      <c r="D572" s="5" t="str">
        <f>IF($H572="","",INDEX('Detalle individual'!$E:$E,$H572))</f>
        <v/>
      </c>
      <c r="E572" s="5" t="str">
        <f>IF($H572="","",INDEX('Detalle individual'!$C:$C,$H572))</f>
        <v/>
      </c>
      <c r="F572" s="5" t="str">
        <f>IF($H572="","",INDEX('Detalle individual'!$D:$D,$H572))</f>
        <v/>
      </c>
      <c r="G572" s="5" t="str">
        <f>IF($H572="","",INDEX('Detalle individual'!$F:$F,$H572))</f>
        <v/>
      </c>
      <c r="H572" t="str">
        <f>IFERROR(MATCH(SMALL(Cálculos!$AJ$5:$AJ$1000,568),Cálculos!$AJ$5:$AJ$1000,0)+4,"")</f>
        <v/>
      </c>
    </row>
    <row r="573">
      <c r="B573" s="5" t="str">
        <f>IF($H573="","",INDEX('Detalle individual'!$B:$B,$H573))</f>
        <v/>
      </c>
      <c r="C573" s="5" t="str">
        <f>IF($H573="","",INDEX('Detalle individual'!$A:$A,$H573))</f>
        <v/>
      </c>
      <c r="D573" s="5" t="str">
        <f>IF($H573="","",INDEX('Detalle individual'!$E:$E,$H573))</f>
        <v/>
      </c>
      <c r="E573" s="5" t="str">
        <f>IF($H573="","",INDEX('Detalle individual'!$C:$C,$H573))</f>
        <v/>
      </c>
      <c r="F573" s="5" t="str">
        <f>IF($H573="","",INDEX('Detalle individual'!$D:$D,$H573))</f>
        <v/>
      </c>
      <c r="G573" s="5" t="str">
        <f>IF($H573="","",INDEX('Detalle individual'!$F:$F,$H573))</f>
        <v/>
      </c>
      <c r="H573" t="str">
        <f>IFERROR(MATCH(SMALL(Cálculos!$AJ$5:$AJ$1000,569),Cálculos!$AJ$5:$AJ$1000,0)+4,"")</f>
        <v/>
      </c>
    </row>
    <row r="574">
      <c r="B574" s="5" t="str">
        <f>IF($H574="","",INDEX('Detalle individual'!$B:$B,$H574))</f>
        <v/>
      </c>
      <c r="C574" s="5" t="str">
        <f>IF($H574="","",INDEX('Detalle individual'!$A:$A,$H574))</f>
        <v/>
      </c>
      <c r="D574" s="5" t="str">
        <f>IF($H574="","",INDEX('Detalle individual'!$E:$E,$H574))</f>
        <v/>
      </c>
      <c r="E574" s="5" t="str">
        <f>IF($H574="","",INDEX('Detalle individual'!$C:$C,$H574))</f>
        <v/>
      </c>
      <c r="F574" s="5" t="str">
        <f>IF($H574="","",INDEX('Detalle individual'!$D:$D,$H574))</f>
        <v/>
      </c>
      <c r="G574" s="5" t="str">
        <f>IF($H574="","",INDEX('Detalle individual'!$F:$F,$H574))</f>
        <v/>
      </c>
      <c r="H574" t="str">
        <f>IFERROR(MATCH(SMALL(Cálculos!$AJ$5:$AJ$1000,570),Cálculos!$AJ$5:$AJ$1000,0)+4,"")</f>
        <v/>
      </c>
    </row>
    <row r="575">
      <c r="B575" s="5" t="str">
        <f>IF($H575="","",INDEX('Detalle individual'!$B:$B,$H575))</f>
        <v/>
      </c>
      <c r="C575" s="5" t="str">
        <f>IF($H575="","",INDEX('Detalle individual'!$A:$A,$H575))</f>
        <v/>
      </c>
      <c r="D575" s="5" t="str">
        <f>IF($H575="","",INDEX('Detalle individual'!$E:$E,$H575))</f>
        <v/>
      </c>
      <c r="E575" s="5" t="str">
        <f>IF($H575="","",INDEX('Detalle individual'!$C:$C,$H575))</f>
        <v/>
      </c>
      <c r="F575" s="5" t="str">
        <f>IF($H575="","",INDEX('Detalle individual'!$D:$D,$H575))</f>
        <v/>
      </c>
      <c r="G575" s="5" t="str">
        <f>IF($H575="","",INDEX('Detalle individual'!$F:$F,$H575))</f>
        <v/>
      </c>
      <c r="H575" t="str">
        <f>IFERROR(MATCH(SMALL(Cálculos!$AJ$5:$AJ$1000,571),Cálculos!$AJ$5:$AJ$1000,0)+4,"")</f>
        <v/>
      </c>
    </row>
    <row r="576">
      <c r="B576" s="5" t="str">
        <f>IF($H576="","",INDEX('Detalle individual'!$B:$B,$H576))</f>
        <v/>
      </c>
      <c r="C576" s="5" t="str">
        <f>IF($H576="","",INDEX('Detalle individual'!$A:$A,$H576))</f>
        <v/>
      </c>
      <c r="D576" s="5" t="str">
        <f>IF($H576="","",INDEX('Detalle individual'!$E:$E,$H576))</f>
        <v/>
      </c>
      <c r="E576" s="5" t="str">
        <f>IF($H576="","",INDEX('Detalle individual'!$C:$C,$H576))</f>
        <v/>
      </c>
      <c r="F576" s="5" t="str">
        <f>IF($H576="","",INDEX('Detalle individual'!$D:$D,$H576))</f>
        <v/>
      </c>
      <c r="G576" s="5" t="str">
        <f>IF($H576="","",INDEX('Detalle individual'!$F:$F,$H576))</f>
        <v/>
      </c>
      <c r="H576" t="str">
        <f>IFERROR(MATCH(SMALL(Cálculos!$AJ$5:$AJ$1000,572),Cálculos!$AJ$5:$AJ$1000,0)+4,"")</f>
        <v/>
      </c>
    </row>
    <row r="577">
      <c r="B577" s="5" t="str">
        <f>IF($H577="","",INDEX('Detalle individual'!$B:$B,$H577))</f>
        <v/>
      </c>
      <c r="C577" s="5" t="str">
        <f>IF($H577="","",INDEX('Detalle individual'!$A:$A,$H577))</f>
        <v/>
      </c>
      <c r="D577" s="5" t="str">
        <f>IF($H577="","",INDEX('Detalle individual'!$E:$E,$H577))</f>
        <v/>
      </c>
      <c r="E577" s="5" t="str">
        <f>IF($H577="","",INDEX('Detalle individual'!$C:$C,$H577))</f>
        <v/>
      </c>
      <c r="F577" s="5" t="str">
        <f>IF($H577="","",INDEX('Detalle individual'!$D:$D,$H577))</f>
        <v/>
      </c>
      <c r="G577" s="5" t="str">
        <f>IF($H577="","",INDEX('Detalle individual'!$F:$F,$H577))</f>
        <v/>
      </c>
      <c r="H577" t="str">
        <f>IFERROR(MATCH(SMALL(Cálculos!$AJ$5:$AJ$1000,573),Cálculos!$AJ$5:$AJ$1000,0)+4,"")</f>
        <v/>
      </c>
    </row>
    <row r="578">
      <c r="B578" s="5" t="str">
        <f>IF($H578="","",INDEX('Detalle individual'!$B:$B,$H578))</f>
        <v/>
      </c>
      <c r="C578" s="5" t="str">
        <f>IF($H578="","",INDEX('Detalle individual'!$A:$A,$H578))</f>
        <v/>
      </c>
      <c r="D578" s="5" t="str">
        <f>IF($H578="","",INDEX('Detalle individual'!$E:$E,$H578))</f>
        <v/>
      </c>
      <c r="E578" s="5" t="str">
        <f>IF($H578="","",INDEX('Detalle individual'!$C:$C,$H578))</f>
        <v/>
      </c>
      <c r="F578" s="5" t="str">
        <f>IF($H578="","",INDEX('Detalle individual'!$D:$D,$H578))</f>
        <v/>
      </c>
      <c r="G578" s="5" t="str">
        <f>IF($H578="","",INDEX('Detalle individual'!$F:$F,$H578))</f>
        <v/>
      </c>
      <c r="H578" t="str">
        <f>IFERROR(MATCH(SMALL(Cálculos!$AJ$5:$AJ$1000,574),Cálculos!$AJ$5:$AJ$1000,0)+4,"")</f>
        <v/>
      </c>
    </row>
    <row r="579">
      <c r="B579" s="5" t="str">
        <f>IF($H579="","",INDEX('Detalle individual'!$B:$B,$H579))</f>
        <v/>
      </c>
      <c r="C579" s="5" t="str">
        <f>IF($H579="","",INDEX('Detalle individual'!$A:$A,$H579))</f>
        <v/>
      </c>
      <c r="D579" s="5" t="str">
        <f>IF($H579="","",INDEX('Detalle individual'!$E:$E,$H579))</f>
        <v/>
      </c>
      <c r="E579" s="5" t="str">
        <f>IF($H579="","",INDEX('Detalle individual'!$C:$C,$H579))</f>
        <v/>
      </c>
      <c r="F579" s="5" t="str">
        <f>IF($H579="","",INDEX('Detalle individual'!$D:$D,$H579))</f>
        <v/>
      </c>
      <c r="G579" s="5" t="str">
        <f>IF($H579="","",INDEX('Detalle individual'!$F:$F,$H579))</f>
        <v/>
      </c>
      <c r="H579" t="str">
        <f>IFERROR(MATCH(SMALL(Cálculos!$AJ$5:$AJ$1000,575),Cálculos!$AJ$5:$AJ$1000,0)+4,"")</f>
        <v/>
      </c>
    </row>
    <row r="580">
      <c r="B580" s="5" t="str">
        <f>IF($H580="","",INDEX('Detalle individual'!$B:$B,$H580))</f>
        <v/>
      </c>
      <c r="C580" s="5" t="str">
        <f>IF($H580="","",INDEX('Detalle individual'!$A:$A,$H580))</f>
        <v/>
      </c>
      <c r="D580" s="5" t="str">
        <f>IF($H580="","",INDEX('Detalle individual'!$E:$E,$H580))</f>
        <v/>
      </c>
      <c r="E580" s="5" t="str">
        <f>IF($H580="","",INDEX('Detalle individual'!$C:$C,$H580))</f>
        <v/>
      </c>
      <c r="F580" s="5" t="str">
        <f>IF($H580="","",INDEX('Detalle individual'!$D:$D,$H580))</f>
        <v/>
      </c>
      <c r="G580" s="5" t="str">
        <f>IF($H580="","",INDEX('Detalle individual'!$F:$F,$H580))</f>
        <v/>
      </c>
      <c r="H580" t="str">
        <f>IFERROR(MATCH(SMALL(Cálculos!$AJ$5:$AJ$1000,576),Cálculos!$AJ$5:$AJ$1000,0)+4,"")</f>
        <v/>
      </c>
    </row>
    <row r="581">
      <c r="B581" s="5" t="str">
        <f>IF($H581="","",INDEX('Detalle individual'!$B:$B,$H581))</f>
        <v/>
      </c>
      <c r="C581" s="5" t="str">
        <f>IF($H581="","",INDEX('Detalle individual'!$A:$A,$H581))</f>
        <v/>
      </c>
      <c r="D581" s="5" t="str">
        <f>IF($H581="","",INDEX('Detalle individual'!$E:$E,$H581))</f>
        <v/>
      </c>
      <c r="E581" s="5" t="str">
        <f>IF($H581="","",INDEX('Detalle individual'!$C:$C,$H581))</f>
        <v/>
      </c>
      <c r="F581" s="5" t="str">
        <f>IF($H581="","",INDEX('Detalle individual'!$D:$D,$H581))</f>
        <v/>
      </c>
      <c r="G581" s="5" t="str">
        <f>IF($H581="","",INDEX('Detalle individual'!$F:$F,$H581))</f>
        <v/>
      </c>
      <c r="H581" t="str">
        <f>IFERROR(MATCH(SMALL(Cálculos!$AJ$5:$AJ$1000,577),Cálculos!$AJ$5:$AJ$1000,0)+4,"")</f>
        <v/>
      </c>
    </row>
    <row r="582">
      <c r="B582" s="5" t="str">
        <f>IF($H582="","",INDEX('Detalle individual'!$B:$B,$H582))</f>
        <v/>
      </c>
      <c r="C582" s="5" t="str">
        <f>IF($H582="","",INDEX('Detalle individual'!$A:$A,$H582))</f>
        <v/>
      </c>
      <c r="D582" s="5" t="str">
        <f>IF($H582="","",INDEX('Detalle individual'!$E:$E,$H582))</f>
        <v/>
      </c>
      <c r="E582" s="5" t="str">
        <f>IF($H582="","",INDEX('Detalle individual'!$C:$C,$H582))</f>
        <v/>
      </c>
      <c r="F582" s="5" t="str">
        <f>IF($H582="","",INDEX('Detalle individual'!$D:$D,$H582))</f>
        <v/>
      </c>
      <c r="G582" s="5" t="str">
        <f>IF($H582="","",INDEX('Detalle individual'!$F:$F,$H582))</f>
        <v/>
      </c>
      <c r="H582" t="str">
        <f>IFERROR(MATCH(SMALL(Cálculos!$AJ$5:$AJ$1000,578),Cálculos!$AJ$5:$AJ$1000,0)+4,"")</f>
        <v/>
      </c>
    </row>
    <row r="583">
      <c r="B583" s="5" t="str">
        <f>IF($H583="","",INDEX('Detalle individual'!$B:$B,$H583))</f>
        <v/>
      </c>
      <c r="C583" s="5" t="str">
        <f>IF($H583="","",INDEX('Detalle individual'!$A:$A,$H583))</f>
        <v/>
      </c>
      <c r="D583" s="5" t="str">
        <f>IF($H583="","",INDEX('Detalle individual'!$E:$E,$H583))</f>
        <v/>
      </c>
      <c r="E583" s="5" t="str">
        <f>IF($H583="","",INDEX('Detalle individual'!$C:$C,$H583))</f>
        <v/>
      </c>
      <c r="F583" s="5" t="str">
        <f>IF($H583="","",INDEX('Detalle individual'!$D:$D,$H583))</f>
        <v/>
      </c>
      <c r="G583" s="5" t="str">
        <f>IF($H583="","",INDEX('Detalle individual'!$F:$F,$H583))</f>
        <v/>
      </c>
      <c r="H583" t="str">
        <f>IFERROR(MATCH(SMALL(Cálculos!$AJ$5:$AJ$1000,579),Cálculos!$AJ$5:$AJ$1000,0)+4,"")</f>
        <v/>
      </c>
    </row>
    <row r="584">
      <c r="B584" s="5" t="str">
        <f>IF($H584="","",INDEX('Detalle individual'!$B:$B,$H584))</f>
        <v/>
      </c>
      <c r="C584" s="5" t="str">
        <f>IF($H584="","",INDEX('Detalle individual'!$A:$A,$H584))</f>
        <v/>
      </c>
      <c r="D584" s="5" t="str">
        <f>IF($H584="","",INDEX('Detalle individual'!$E:$E,$H584))</f>
        <v/>
      </c>
      <c r="E584" s="5" t="str">
        <f>IF($H584="","",INDEX('Detalle individual'!$C:$C,$H584))</f>
        <v/>
      </c>
      <c r="F584" s="5" t="str">
        <f>IF($H584="","",INDEX('Detalle individual'!$D:$D,$H584))</f>
        <v/>
      </c>
      <c r="G584" s="5" t="str">
        <f>IF($H584="","",INDEX('Detalle individual'!$F:$F,$H584))</f>
        <v/>
      </c>
      <c r="H584" t="str">
        <f>IFERROR(MATCH(SMALL(Cálculos!$AJ$5:$AJ$1000,580),Cálculos!$AJ$5:$AJ$1000,0)+4,"")</f>
        <v/>
      </c>
    </row>
    <row r="585">
      <c r="B585" s="5" t="str">
        <f>IF($H585="","",INDEX('Detalle individual'!$B:$B,$H585))</f>
        <v/>
      </c>
      <c r="C585" s="5" t="str">
        <f>IF($H585="","",INDEX('Detalle individual'!$A:$A,$H585))</f>
        <v/>
      </c>
      <c r="D585" s="5" t="str">
        <f>IF($H585="","",INDEX('Detalle individual'!$E:$E,$H585))</f>
        <v/>
      </c>
      <c r="E585" s="5" t="str">
        <f>IF($H585="","",INDEX('Detalle individual'!$C:$C,$H585))</f>
        <v/>
      </c>
      <c r="F585" s="5" t="str">
        <f>IF($H585="","",INDEX('Detalle individual'!$D:$D,$H585))</f>
        <v/>
      </c>
      <c r="G585" s="5" t="str">
        <f>IF($H585="","",INDEX('Detalle individual'!$F:$F,$H585))</f>
        <v/>
      </c>
      <c r="H585" t="str">
        <f>IFERROR(MATCH(SMALL(Cálculos!$AJ$5:$AJ$1000,581),Cálculos!$AJ$5:$AJ$1000,0)+4,"")</f>
        <v/>
      </c>
    </row>
    <row r="586">
      <c r="B586" s="5" t="str">
        <f>IF($H586="","",INDEX('Detalle individual'!$B:$B,$H586))</f>
        <v/>
      </c>
      <c r="C586" s="5" t="str">
        <f>IF($H586="","",INDEX('Detalle individual'!$A:$A,$H586))</f>
        <v/>
      </c>
      <c r="D586" s="5" t="str">
        <f>IF($H586="","",INDEX('Detalle individual'!$E:$E,$H586))</f>
        <v/>
      </c>
      <c r="E586" s="5" t="str">
        <f>IF($H586="","",INDEX('Detalle individual'!$C:$C,$H586))</f>
        <v/>
      </c>
      <c r="F586" s="5" t="str">
        <f>IF($H586="","",INDEX('Detalle individual'!$D:$D,$H586))</f>
        <v/>
      </c>
      <c r="G586" s="5" t="str">
        <f>IF($H586="","",INDEX('Detalle individual'!$F:$F,$H586))</f>
        <v/>
      </c>
      <c r="H586" t="str">
        <f>IFERROR(MATCH(SMALL(Cálculos!$AJ$5:$AJ$1000,582),Cálculos!$AJ$5:$AJ$1000,0)+4,"")</f>
        <v/>
      </c>
    </row>
    <row r="587">
      <c r="B587" s="5" t="str">
        <f>IF($H587="","",INDEX('Detalle individual'!$B:$B,$H587))</f>
        <v/>
      </c>
      <c r="C587" s="5" t="str">
        <f>IF($H587="","",INDEX('Detalle individual'!$A:$A,$H587))</f>
        <v/>
      </c>
      <c r="D587" s="5" t="str">
        <f>IF($H587="","",INDEX('Detalle individual'!$E:$E,$H587))</f>
        <v/>
      </c>
      <c r="E587" s="5" t="str">
        <f>IF($H587="","",INDEX('Detalle individual'!$C:$C,$H587))</f>
        <v/>
      </c>
      <c r="F587" s="5" t="str">
        <f>IF($H587="","",INDEX('Detalle individual'!$D:$D,$H587))</f>
        <v/>
      </c>
      <c r="G587" s="5" t="str">
        <f>IF($H587="","",INDEX('Detalle individual'!$F:$F,$H587))</f>
        <v/>
      </c>
      <c r="H587" t="str">
        <f>IFERROR(MATCH(SMALL(Cálculos!$AJ$5:$AJ$1000,583),Cálculos!$AJ$5:$AJ$1000,0)+4,"")</f>
        <v/>
      </c>
    </row>
    <row r="588">
      <c r="B588" s="5" t="str">
        <f>IF($H588="","",INDEX('Detalle individual'!$B:$B,$H588))</f>
        <v/>
      </c>
      <c r="C588" s="5" t="str">
        <f>IF($H588="","",INDEX('Detalle individual'!$A:$A,$H588))</f>
        <v/>
      </c>
      <c r="D588" s="5" t="str">
        <f>IF($H588="","",INDEX('Detalle individual'!$E:$E,$H588))</f>
        <v/>
      </c>
      <c r="E588" s="5" t="str">
        <f>IF($H588="","",INDEX('Detalle individual'!$C:$C,$H588))</f>
        <v/>
      </c>
      <c r="F588" s="5" t="str">
        <f>IF($H588="","",INDEX('Detalle individual'!$D:$D,$H588))</f>
        <v/>
      </c>
      <c r="G588" s="5" t="str">
        <f>IF($H588="","",INDEX('Detalle individual'!$F:$F,$H588))</f>
        <v/>
      </c>
      <c r="H588" t="str">
        <f>IFERROR(MATCH(SMALL(Cálculos!$AJ$5:$AJ$1000,584),Cálculos!$AJ$5:$AJ$1000,0)+4,"")</f>
        <v/>
      </c>
    </row>
    <row r="589">
      <c r="B589" s="5" t="str">
        <f>IF($H589="","",INDEX('Detalle individual'!$B:$B,$H589))</f>
        <v/>
      </c>
      <c r="C589" s="5" t="str">
        <f>IF($H589="","",INDEX('Detalle individual'!$A:$A,$H589))</f>
        <v/>
      </c>
      <c r="D589" s="5" t="str">
        <f>IF($H589="","",INDEX('Detalle individual'!$E:$E,$H589))</f>
        <v/>
      </c>
      <c r="E589" s="5" t="str">
        <f>IF($H589="","",INDEX('Detalle individual'!$C:$C,$H589))</f>
        <v/>
      </c>
      <c r="F589" s="5" t="str">
        <f>IF($H589="","",INDEX('Detalle individual'!$D:$D,$H589))</f>
        <v/>
      </c>
      <c r="G589" s="5" t="str">
        <f>IF($H589="","",INDEX('Detalle individual'!$F:$F,$H589))</f>
        <v/>
      </c>
      <c r="H589" t="str">
        <f>IFERROR(MATCH(SMALL(Cálculos!$AJ$5:$AJ$1000,585),Cálculos!$AJ$5:$AJ$1000,0)+4,"")</f>
        <v/>
      </c>
    </row>
    <row r="590">
      <c r="B590" s="5" t="str">
        <f>IF($H590="","",INDEX('Detalle individual'!$B:$B,$H590))</f>
        <v/>
      </c>
      <c r="C590" s="5" t="str">
        <f>IF($H590="","",INDEX('Detalle individual'!$A:$A,$H590))</f>
        <v/>
      </c>
      <c r="D590" s="5" t="str">
        <f>IF($H590="","",INDEX('Detalle individual'!$E:$E,$H590))</f>
        <v/>
      </c>
      <c r="E590" s="5" t="str">
        <f>IF($H590="","",INDEX('Detalle individual'!$C:$C,$H590))</f>
        <v/>
      </c>
      <c r="F590" s="5" t="str">
        <f>IF($H590="","",INDEX('Detalle individual'!$D:$D,$H590))</f>
        <v/>
      </c>
      <c r="G590" s="5" t="str">
        <f>IF($H590="","",INDEX('Detalle individual'!$F:$F,$H590))</f>
        <v/>
      </c>
      <c r="H590" t="str">
        <f>IFERROR(MATCH(SMALL(Cálculos!$AJ$5:$AJ$1000,586),Cálculos!$AJ$5:$AJ$1000,0)+4,"")</f>
        <v/>
      </c>
    </row>
    <row r="591">
      <c r="B591" s="5" t="str">
        <f>IF($H591="","",INDEX('Detalle individual'!$B:$B,$H591))</f>
        <v/>
      </c>
      <c r="C591" s="5" t="str">
        <f>IF($H591="","",INDEX('Detalle individual'!$A:$A,$H591))</f>
        <v/>
      </c>
      <c r="D591" s="5" t="str">
        <f>IF($H591="","",INDEX('Detalle individual'!$E:$E,$H591))</f>
        <v/>
      </c>
      <c r="E591" s="5" t="str">
        <f>IF($H591="","",INDEX('Detalle individual'!$C:$C,$H591))</f>
        <v/>
      </c>
      <c r="F591" s="5" t="str">
        <f>IF($H591="","",INDEX('Detalle individual'!$D:$D,$H591))</f>
        <v/>
      </c>
      <c r="G591" s="5" t="str">
        <f>IF($H591="","",INDEX('Detalle individual'!$F:$F,$H591))</f>
        <v/>
      </c>
      <c r="H591" t="str">
        <f>IFERROR(MATCH(SMALL(Cálculos!$AJ$5:$AJ$1000,587),Cálculos!$AJ$5:$AJ$1000,0)+4,"")</f>
        <v/>
      </c>
    </row>
    <row r="592">
      <c r="B592" s="5" t="str">
        <f>IF($H592="","",INDEX('Detalle individual'!$B:$B,$H592))</f>
        <v/>
      </c>
      <c r="C592" s="5" t="str">
        <f>IF($H592="","",INDEX('Detalle individual'!$A:$A,$H592))</f>
        <v/>
      </c>
      <c r="D592" s="5" t="str">
        <f>IF($H592="","",INDEX('Detalle individual'!$E:$E,$H592))</f>
        <v/>
      </c>
      <c r="E592" s="5" t="str">
        <f>IF($H592="","",INDEX('Detalle individual'!$C:$C,$H592))</f>
        <v/>
      </c>
      <c r="F592" s="5" t="str">
        <f>IF($H592="","",INDEX('Detalle individual'!$D:$D,$H592))</f>
        <v/>
      </c>
      <c r="G592" s="5" t="str">
        <f>IF($H592="","",INDEX('Detalle individual'!$F:$F,$H592))</f>
        <v/>
      </c>
      <c r="H592" t="str">
        <f>IFERROR(MATCH(SMALL(Cálculos!$AJ$5:$AJ$1000,588),Cálculos!$AJ$5:$AJ$1000,0)+4,"")</f>
        <v/>
      </c>
    </row>
    <row r="593">
      <c r="B593" s="5" t="str">
        <f>IF($H593="","",INDEX('Detalle individual'!$B:$B,$H593))</f>
        <v/>
      </c>
      <c r="C593" s="5" t="str">
        <f>IF($H593="","",INDEX('Detalle individual'!$A:$A,$H593))</f>
        <v/>
      </c>
      <c r="D593" s="5" t="str">
        <f>IF($H593="","",INDEX('Detalle individual'!$E:$E,$H593))</f>
        <v/>
      </c>
      <c r="E593" s="5" t="str">
        <f>IF($H593="","",INDEX('Detalle individual'!$C:$C,$H593))</f>
        <v/>
      </c>
      <c r="F593" s="5" t="str">
        <f>IF($H593="","",INDEX('Detalle individual'!$D:$D,$H593))</f>
        <v/>
      </c>
      <c r="G593" s="5" t="str">
        <f>IF($H593="","",INDEX('Detalle individual'!$F:$F,$H593))</f>
        <v/>
      </c>
      <c r="H593" t="str">
        <f>IFERROR(MATCH(SMALL(Cálculos!$AJ$5:$AJ$1000,589),Cálculos!$AJ$5:$AJ$1000,0)+4,"")</f>
        <v/>
      </c>
    </row>
    <row r="594">
      <c r="B594" s="5" t="str">
        <f>IF($H594="","",INDEX('Detalle individual'!$B:$B,$H594))</f>
        <v/>
      </c>
      <c r="C594" s="5" t="str">
        <f>IF($H594="","",INDEX('Detalle individual'!$A:$A,$H594))</f>
        <v/>
      </c>
      <c r="D594" s="5" t="str">
        <f>IF($H594="","",INDEX('Detalle individual'!$E:$E,$H594))</f>
        <v/>
      </c>
      <c r="E594" s="5" t="str">
        <f>IF($H594="","",INDEX('Detalle individual'!$C:$C,$H594))</f>
        <v/>
      </c>
      <c r="F594" s="5" t="str">
        <f>IF($H594="","",INDEX('Detalle individual'!$D:$D,$H594))</f>
        <v/>
      </c>
      <c r="G594" s="5" t="str">
        <f>IF($H594="","",INDEX('Detalle individual'!$F:$F,$H594))</f>
        <v/>
      </c>
      <c r="H594" t="str">
        <f>IFERROR(MATCH(SMALL(Cálculos!$AJ$5:$AJ$1000,590),Cálculos!$AJ$5:$AJ$1000,0)+4,"")</f>
        <v/>
      </c>
    </row>
    <row r="595">
      <c r="B595" s="5" t="str">
        <f>IF($H595="","",INDEX('Detalle individual'!$B:$B,$H595))</f>
        <v/>
      </c>
      <c r="C595" s="5" t="str">
        <f>IF($H595="","",INDEX('Detalle individual'!$A:$A,$H595))</f>
        <v/>
      </c>
      <c r="D595" s="5" t="str">
        <f>IF($H595="","",INDEX('Detalle individual'!$E:$E,$H595))</f>
        <v/>
      </c>
      <c r="E595" s="5" t="str">
        <f>IF($H595="","",INDEX('Detalle individual'!$C:$C,$H595))</f>
        <v/>
      </c>
      <c r="F595" s="5" t="str">
        <f>IF($H595="","",INDEX('Detalle individual'!$D:$D,$H595))</f>
        <v/>
      </c>
      <c r="G595" s="5" t="str">
        <f>IF($H595="","",INDEX('Detalle individual'!$F:$F,$H595))</f>
        <v/>
      </c>
      <c r="H595" t="str">
        <f>IFERROR(MATCH(SMALL(Cálculos!$AJ$5:$AJ$1000,591),Cálculos!$AJ$5:$AJ$1000,0)+4,"")</f>
        <v/>
      </c>
    </row>
    <row r="596">
      <c r="B596" s="5" t="str">
        <f>IF($H596="","",INDEX('Detalle individual'!$B:$B,$H596))</f>
        <v/>
      </c>
      <c r="C596" s="5" t="str">
        <f>IF($H596="","",INDEX('Detalle individual'!$A:$A,$H596))</f>
        <v/>
      </c>
      <c r="D596" s="5" t="str">
        <f>IF($H596="","",INDEX('Detalle individual'!$E:$E,$H596))</f>
        <v/>
      </c>
      <c r="E596" s="5" t="str">
        <f>IF($H596="","",INDEX('Detalle individual'!$C:$C,$H596))</f>
        <v/>
      </c>
      <c r="F596" s="5" t="str">
        <f>IF($H596="","",INDEX('Detalle individual'!$D:$D,$H596))</f>
        <v/>
      </c>
      <c r="G596" s="5" t="str">
        <f>IF($H596="","",INDEX('Detalle individual'!$F:$F,$H596))</f>
        <v/>
      </c>
      <c r="H596" t="str">
        <f>IFERROR(MATCH(SMALL(Cálculos!$AJ$5:$AJ$1000,592),Cálculos!$AJ$5:$AJ$1000,0)+4,"")</f>
        <v/>
      </c>
    </row>
    <row r="597">
      <c r="B597" s="5" t="str">
        <f>IF($H597="","",INDEX('Detalle individual'!$B:$B,$H597))</f>
        <v/>
      </c>
      <c r="C597" s="5" t="str">
        <f>IF($H597="","",INDEX('Detalle individual'!$A:$A,$H597))</f>
        <v/>
      </c>
      <c r="D597" s="5" t="str">
        <f>IF($H597="","",INDEX('Detalle individual'!$E:$E,$H597))</f>
        <v/>
      </c>
      <c r="E597" s="5" t="str">
        <f>IF($H597="","",INDEX('Detalle individual'!$C:$C,$H597))</f>
        <v/>
      </c>
      <c r="F597" s="5" t="str">
        <f>IF($H597="","",INDEX('Detalle individual'!$D:$D,$H597))</f>
        <v/>
      </c>
      <c r="G597" s="5" t="str">
        <f>IF($H597="","",INDEX('Detalle individual'!$F:$F,$H597))</f>
        <v/>
      </c>
      <c r="H597" t="str">
        <f>IFERROR(MATCH(SMALL(Cálculos!$AJ$5:$AJ$1000,593),Cálculos!$AJ$5:$AJ$1000,0)+4,"")</f>
        <v/>
      </c>
    </row>
    <row r="598">
      <c r="B598" s="5" t="str">
        <f>IF($H598="","",INDEX('Detalle individual'!$B:$B,$H598))</f>
        <v/>
      </c>
      <c r="C598" s="5" t="str">
        <f>IF($H598="","",INDEX('Detalle individual'!$A:$A,$H598))</f>
        <v/>
      </c>
      <c r="D598" s="5" t="str">
        <f>IF($H598="","",INDEX('Detalle individual'!$E:$E,$H598))</f>
        <v/>
      </c>
      <c r="E598" s="5" t="str">
        <f>IF($H598="","",INDEX('Detalle individual'!$C:$C,$H598))</f>
        <v/>
      </c>
      <c r="F598" s="5" t="str">
        <f>IF($H598="","",INDEX('Detalle individual'!$D:$D,$H598))</f>
        <v/>
      </c>
      <c r="G598" s="5" t="str">
        <f>IF($H598="","",INDEX('Detalle individual'!$F:$F,$H598))</f>
        <v/>
      </c>
      <c r="H598" t="str">
        <f>IFERROR(MATCH(SMALL(Cálculos!$AJ$5:$AJ$1000,594),Cálculos!$AJ$5:$AJ$1000,0)+4,"")</f>
        <v/>
      </c>
    </row>
    <row r="599">
      <c r="B599" s="5" t="str">
        <f>IF($H599="","",INDEX('Detalle individual'!$B:$B,$H599))</f>
        <v/>
      </c>
      <c r="C599" s="5" t="str">
        <f>IF($H599="","",INDEX('Detalle individual'!$A:$A,$H599))</f>
        <v/>
      </c>
      <c r="D599" s="5" t="str">
        <f>IF($H599="","",INDEX('Detalle individual'!$E:$E,$H599))</f>
        <v/>
      </c>
      <c r="E599" s="5" t="str">
        <f>IF($H599="","",INDEX('Detalle individual'!$C:$C,$H599))</f>
        <v/>
      </c>
      <c r="F599" s="5" t="str">
        <f>IF($H599="","",INDEX('Detalle individual'!$D:$D,$H599))</f>
        <v/>
      </c>
      <c r="G599" s="5" t="str">
        <f>IF($H599="","",INDEX('Detalle individual'!$F:$F,$H599))</f>
        <v/>
      </c>
      <c r="H599" t="str">
        <f>IFERROR(MATCH(SMALL(Cálculos!$AJ$5:$AJ$1000,595),Cálculos!$AJ$5:$AJ$1000,0)+4,"")</f>
        <v/>
      </c>
    </row>
    <row r="600">
      <c r="B600" s="5" t="str">
        <f>IF($H600="","",INDEX('Detalle individual'!$B:$B,$H600))</f>
        <v/>
      </c>
      <c r="C600" s="5" t="str">
        <f>IF($H600="","",INDEX('Detalle individual'!$A:$A,$H600))</f>
        <v/>
      </c>
      <c r="D600" s="5" t="str">
        <f>IF($H600="","",INDEX('Detalle individual'!$E:$E,$H600))</f>
        <v/>
      </c>
      <c r="E600" s="5" t="str">
        <f>IF($H600="","",INDEX('Detalle individual'!$C:$C,$H600))</f>
        <v/>
      </c>
      <c r="F600" s="5" t="str">
        <f>IF($H600="","",INDEX('Detalle individual'!$D:$D,$H600))</f>
        <v/>
      </c>
      <c r="G600" s="5" t="str">
        <f>IF($H600="","",INDEX('Detalle individual'!$F:$F,$H600))</f>
        <v/>
      </c>
      <c r="H600" t="str">
        <f>IFERROR(MATCH(SMALL(Cálculos!$AJ$5:$AJ$1000,596),Cálculos!$AJ$5:$AJ$1000,0)+4,"")</f>
        <v/>
      </c>
    </row>
    <row r="601">
      <c r="B601" s="5" t="str">
        <f>IF($H601="","",INDEX('Detalle individual'!$B:$B,$H601))</f>
        <v/>
      </c>
      <c r="C601" s="5" t="str">
        <f>IF($H601="","",INDEX('Detalle individual'!$A:$A,$H601))</f>
        <v/>
      </c>
      <c r="D601" s="5" t="str">
        <f>IF($H601="","",INDEX('Detalle individual'!$E:$E,$H601))</f>
        <v/>
      </c>
      <c r="E601" s="5" t="str">
        <f>IF($H601="","",INDEX('Detalle individual'!$C:$C,$H601))</f>
        <v/>
      </c>
      <c r="F601" s="5" t="str">
        <f>IF($H601="","",INDEX('Detalle individual'!$D:$D,$H601))</f>
        <v/>
      </c>
      <c r="G601" s="5" t="str">
        <f>IF($H601="","",INDEX('Detalle individual'!$F:$F,$H601))</f>
        <v/>
      </c>
      <c r="H601" t="str">
        <f>IFERROR(MATCH(SMALL(Cálculos!$AJ$5:$AJ$1000,597),Cálculos!$AJ$5:$AJ$1000,0)+4,"")</f>
        <v/>
      </c>
    </row>
    <row r="602">
      <c r="B602" s="5" t="str">
        <f>IF($H602="","",INDEX('Detalle individual'!$B:$B,$H602))</f>
        <v/>
      </c>
      <c r="C602" s="5" t="str">
        <f>IF($H602="","",INDEX('Detalle individual'!$A:$A,$H602))</f>
        <v/>
      </c>
      <c r="D602" s="5" t="str">
        <f>IF($H602="","",INDEX('Detalle individual'!$E:$E,$H602))</f>
        <v/>
      </c>
      <c r="E602" s="5" t="str">
        <f>IF($H602="","",INDEX('Detalle individual'!$C:$C,$H602))</f>
        <v/>
      </c>
      <c r="F602" s="5" t="str">
        <f>IF($H602="","",INDEX('Detalle individual'!$D:$D,$H602))</f>
        <v/>
      </c>
      <c r="G602" s="5" t="str">
        <f>IF($H602="","",INDEX('Detalle individual'!$F:$F,$H602))</f>
        <v/>
      </c>
      <c r="H602" t="str">
        <f>IFERROR(MATCH(SMALL(Cálculos!$AJ$5:$AJ$1000,598),Cálculos!$AJ$5:$AJ$1000,0)+4,"")</f>
        <v/>
      </c>
    </row>
    <row r="603">
      <c r="B603" s="5" t="str">
        <f>IF($H603="","",INDEX('Detalle individual'!$B:$B,$H603))</f>
        <v/>
      </c>
      <c r="C603" s="5" t="str">
        <f>IF($H603="","",INDEX('Detalle individual'!$A:$A,$H603))</f>
        <v/>
      </c>
      <c r="D603" s="5" t="str">
        <f>IF($H603="","",INDEX('Detalle individual'!$E:$E,$H603))</f>
        <v/>
      </c>
      <c r="E603" s="5" t="str">
        <f>IF($H603="","",INDEX('Detalle individual'!$C:$C,$H603))</f>
        <v/>
      </c>
      <c r="F603" s="5" t="str">
        <f>IF($H603="","",INDEX('Detalle individual'!$D:$D,$H603))</f>
        <v/>
      </c>
      <c r="G603" s="5" t="str">
        <f>IF($H603="","",INDEX('Detalle individual'!$F:$F,$H603))</f>
        <v/>
      </c>
      <c r="H603" t="str">
        <f>IFERROR(MATCH(SMALL(Cálculos!$AJ$5:$AJ$1000,599),Cálculos!$AJ$5:$AJ$1000,0)+4,"")</f>
        <v/>
      </c>
    </row>
    <row r="604">
      <c r="B604" s="5" t="str">
        <f>IF($H604="","",INDEX('Detalle individual'!$B:$B,$H604))</f>
        <v/>
      </c>
      <c r="C604" s="5" t="str">
        <f>IF($H604="","",INDEX('Detalle individual'!$A:$A,$H604))</f>
        <v/>
      </c>
      <c r="D604" s="5" t="str">
        <f>IF($H604="","",INDEX('Detalle individual'!$E:$E,$H604))</f>
        <v/>
      </c>
      <c r="E604" s="5" t="str">
        <f>IF($H604="","",INDEX('Detalle individual'!$C:$C,$H604))</f>
        <v/>
      </c>
      <c r="F604" s="5" t="str">
        <f>IF($H604="","",INDEX('Detalle individual'!$D:$D,$H604))</f>
        <v/>
      </c>
      <c r="G604" s="5" t="str">
        <f>IF($H604="","",INDEX('Detalle individual'!$F:$F,$H604))</f>
        <v/>
      </c>
      <c r="H604" t="str">
        <f>IFERROR(MATCH(SMALL(Cálculos!$AJ$5:$AJ$1000,600),Cálculos!$AJ$5:$AJ$1000,0)+4,"")</f>
        <v/>
      </c>
    </row>
    <row r="605">
      <c r="B605" s="5" t="str">
        <f>IF($H605="","",INDEX('Detalle individual'!$B:$B,$H605))</f>
        <v/>
      </c>
      <c r="C605" s="5" t="str">
        <f>IF($H605="","",INDEX('Detalle individual'!$A:$A,$H605))</f>
        <v/>
      </c>
      <c r="D605" s="5" t="str">
        <f>IF($H605="","",INDEX('Detalle individual'!$E:$E,$H605))</f>
        <v/>
      </c>
      <c r="E605" s="5" t="str">
        <f>IF($H605="","",INDEX('Detalle individual'!$C:$C,$H605))</f>
        <v/>
      </c>
      <c r="F605" s="5" t="str">
        <f>IF($H605="","",INDEX('Detalle individual'!$D:$D,$H605))</f>
        <v/>
      </c>
      <c r="G605" s="5" t="str">
        <f>IF($H605="","",INDEX('Detalle individual'!$F:$F,$H605))</f>
        <v/>
      </c>
      <c r="H605" t="str">
        <f>IFERROR(MATCH(SMALL(Cálculos!$AJ$5:$AJ$1000,601),Cálculos!$AJ$5:$AJ$1000,0)+4,"")</f>
        <v/>
      </c>
    </row>
    <row r="606">
      <c r="B606" s="5" t="str">
        <f>IF($H606="","",INDEX('Detalle individual'!$B:$B,$H606))</f>
        <v/>
      </c>
      <c r="C606" s="5" t="str">
        <f>IF($H606="","",INDEX('Detalle individual'!$A:$A,$H606))</f>
        <v/>
      </c>
      <c r="D606" s="5" t="str">
        <f>IF($H606="","",INDEX('Detalle individual'!$E:$E,$H606))</f>
        <v/>
      </c>
      <c r="E606" s="5" t="str">
        <f>IF($H606="","",INDEX('Detalle individual'!$C:$C,$H606))</f>
        <v/>
      </c>
      <c r="F606" s="5" t="str">
        <f>IF($H606="","",INDEX('Detalle individual'!$D:$D,$H606))</f>
        <v/>
      </c>
      <c r="G606" s="5" t="str">
        <f>IF($H606="","",INDEX('Detalle individual'!$F:$F,$H606))</f>
        <v/>
      </c>
      <c r="H606" t="str">
        <f>IFERROR(MATCH(SMALL(Cálculos!$AJ$5:$AJ$1000,602),Cálculos!$AJ$5:$AJ$1000,0)+4,"")</f>
        <v/>
      </c>
    </row>
    <row r="607">
      <c r="B607" s="5" t="str">
        <f>IF($H607="","",INDEX('Detalle individual'!$B:$B,$H607))</f>
        <v/>
      </c>
      <c r="C607" s="5" t="str">
        <f>IF($H607="","",INDEX('Detalle individual'!$A:$A,$H607))</f>
        <v/>
      </c>
      <c r="D607" s="5" t="str">
        <f>IF($H607="","",INDEX('Detalle individual'!$E:$E,$H607))</f>
        <v/>
      </c>
      <c r="E607" s="5" t="str">
        <f>IF($H607="","",INDEX('Detalle individual'!$C:$C,$H607))</f>
        <v/>
      </c>
      <c r="F607" s="5" t="str">
        <f>IF($H607="","",INDEX('Detalle individual'!$D:$D,$H607))</f>
        <v/>
      </c>
      <c r="G607" s="5" t="str">
        <f>IF($H607="","",INDEX('Detalle individual'!$F:$F,$H607))</f>
        <v/>
      </c>
      <c r="H607" t="str">
        <f>IFERROR(MATCH(SMALL(Cálculos!$AJ$5:$AJ$1000,603),Cálculos!$AJ$5:$AJ$1000,0)+4,"")</f>
        <v/>
      </c>
    </row>
    <row r="608">
      <c r="B608" s="5" t="str">
        <f>IF($H608="","",INDEX('Detalle individual'!$B:$B,$H608))</f>
        <v/>
      </c>
      <c r="C608" s="5" t="str">
        <f>IF($H608="","",INDEX('Detalle individual'!$A:$A,$H608))</f>
        <v/>
      </c>
      <c r="D608" s="5" t="str">
        <f>IF($H608="","",INDEX('Detalle individual'!$E:$E,$H608))</f>
        <v/>
      </c>
      <c r="E608" s="5" t="str">
        <f>IF($H608="","",INDEX('Detalle individual'!$C:$C,$H608))</f>
        <v/>
      </c>
      <c r="F608" s="5" t="str">
        <f>IF($H608="","",INDEX('Detalle individual'!$D:$D,$H608))</f>
        <v/>
      </c>
      <c r="G608" s="5" t="str">
        <f>IF($H608="","",INDEX('Detalle individual'!$F:$F,$H608))</f>
        <v/>
      </c>
      <c r="H608" t="str">
        <f>IFERROR(MATCH(SMALL(Cálculos!$AJ$5:$AJ$1000,604),Cálculos!$AJ$5:$AJ$1000,0)+4,"")</f>
        <v/>
      </c>
    </row>
    <row r="609">
      <c r="B609" s="5" t="str">
        <f>IF($H609="","",INDEX('Detalle individual'!$B:$B,$H609))</f>
        <v/>
      </c>
      <c r="C609" s="5" t="str">
        <f>IF($H609="","",INDEX('Detalle individual'!$A:$A,$H609))</f>
        <v/>
      </c>
      <c r="D609" s="5" t="str">
        <f>IF($H609="","",INDEX('Detalle individual'!$E:$E,$H609))</f>
        <v/>
      </c>
      <c r="E609" s="5" t="str">
        <f>IF($H609="","",INDEX('Detalle individual'!$C:$C,$H609))</f>
        <v/>
      </c>
      <c r="F609" s="5" t="str">
        <f>IF($H609="","",INDEX('Detalle individual'!$D:$D,$H609))</f>
        <v/>
      </c>
      <c r="G609" s="5" t="str">
        <f>IF($H609="","",INDEX('Detalle individual'!$F:$F,$H609))</f>
        <v/>
      </c>
      <c r="H609" t="str">
        <f>IFERROR(MATCH(SMALL(Cálculos!$AJ$5:$AJ$1000,605),Cálculos!$AJ$5:$AJ$1000,0)+4,"")</f>
        <v/>
      </c>
    </row>
    <row r="610">
      <c r="B610" s="5" t="str">
        <f>IF($H610="","",INDEX('Detalle individual'!$B:$B,$H610))</f>
        <v/>
      </c>
      <c r="C610" s="5" t="str">
        <f>IF($H610="","",INDEX('Detalle individual'!$A:$A,$H610))</f>
        <v/>
      </c>
      <c r="D610" s="5" t="str">
        <f>IF($H610="","",INDEX('Detalle individual'!$E:$E,$H610))</f>
        <v/>
      </c>
      <c r="E610" s="5" t="str">
        <f>IF($H610="","",INDEX('Detalle individual'!$C:$C,$H610))</f>
        <v/>
      </c>
      <c r="F610" s="5" t="str">
        <f>IF($H610="","",INDEX('Detalle individual'!$D:$D,$H610))</f>
        <v/>
      </c>
      <c r="G610" s="5" t="str">
        <f>IF($H610="","",INDEX('Detalle individual'!$F:$F,$H610))</f>
        <v/>
      </c>
      <c r="H610" t="str">
        <f>IFERROR(MATCH(SMALL(Cálculos!$AJ$5:$AJ$1000,606),Cálculos!$AJ$5:$AJ$1000,0)+4,"")</f>
        <v/>
      </c>
    </row>
    <row r="611">
      <c r="B611" s="5" t="str">
        <f>IF($H611="","",INDEX('Detalle individual'!$B:$B,$H611))</f>
        <v/>
      </c>
      <c r="C611" s="5" t="str">
        <f>IF($H611="","",INDEX('Detalle individual'!$A:$A,$H611))</f>
        <v/>
      </c>
      <c r="D611" s="5" t="str">
        <f>IF($H611="","",INDEX('Detalle individual'!$E:$E,$H611))</f>
        <v/>
      </c>
      <c r="E611" s="5" t="str">
        <f>IF($H611="","",INDEX('Detalle individual'!$C:$C,$H611))</f>
        <v/>
      </c>
      <c r="F611" s="5" t="str">
        <f>IF($H611="","",INDEX('Detalle individual'!$D:$D,$H611))</f>
        <v/>
      </c>
      <c r="G611" s="5" t="str">
        <f>IF($H611="","",INDEX('Detalle individual'!$F:$F,$H611))</f>
        <v/>
      </c>
      <c r="H611" t="str">
        <f>IFERROR(MATCH(SMALL(Cálculos!$AJ$5:$AJ$1000,607),Cálculos!$AJ$5:$AJ$1000,0)+4,"")</f>
        <v/>
      </c>
    </row>
    <row r="612">
      <c r="B612" s="5" t="str">
        <f>IF($H612="","",INDEX('Detalle individual'!$B:$B,$H612))</f>
        <v/>
      </c>
      <c r="C612" s="5" t="str">
        <f>IF($H612="","",INDEX('Detalle individual'!$A:$A,$H612))</f>
        <v/>
      </c>
      <c r="D612" s="5" t="str">
        <f>IF($H612="","",INDEX('Detalle individual'!$E:$E,$H612))</f>
        <v/>
      </c>
      <c r="E612" s="5" t="str">
        <f>IF($H612="","",INDEX('Detalle individual'!$C:$C,$H612))</f>
        <v/>
      </c>
      <c r="F612" s="5" t="str">
        <f>IF($H612="","",INDEX('Detalle individual'!$D:$D,$H612))</f>
        <v/>
      </c>
      <c r="G612" s="5" t="str">
        <f>IF($H612="","",INDEX('Detalle individual'!$F:$F,$H612))</f>
        <v/>
      </c>
      <c r="H612" t="str">
        <f>IFERROR(MATCH(SMALL(Cálculos!$AJ$5:$AJ$1000,608),Cálculos!$AJ$5:$AJ$1000,0)+4,"")</f>
        <v/>
      </c>
    </row>
    <row r="613">
      <c r="B613" s="5" t="str">
        <f>IF($H613="","",INDEX('Detalle individual'!$B:$B,$H613))</f>
        <v/>
      </c>
      <c r="C613" s="5" t="str">
        <f>IF($H613="","",INDEX('Detalle individual'!$A:$A,$H613))</f>
        <v/>
      </c>
      <c r="D613" s="5" t="str">
        <f>IF($H613="","",INDEX('Detalle individual'!$E:$E,$H613))</f>
        <v/>
      </c>
      <c r="E613" s="5" t="str">
        <f>IF($H613="","",INDEX('Detalle individual'!$C:$C,$H613))</f>
        <v/>
      </c>
      <c r="F613" s="5" t="str">
        <f>IF($H613="","",INDEX('Detalle individual'!$D:$D,$H613))</f>
        <v/>
      </c>
      <c r="G613" s="5" t="str">
        <f>IF($H613="","",INDEX('Detalle individual'!$F:$F,$H613))</f>
        <v/>
      </c>
      <c r="H613" t="str">
        <f>IFERROR(MATCH(SMALL(Cálculos!$AJ$5:$AJ$1000,609),Cálculos!$AJ$5:$AJ$1000,0)+4,"")</f>
        <v/>
      </c>
    </row>
    <row r="614">
      <c r="B614" s="5" t="str">
        <f>IF($H614="","",INDEX('Detalle individual'!$B:$B,$H614))</f>
        <v/>
      </c>
      <c r="C614" s="5" t="str">
        <f>IF($H614="","",INDEX('Detalle individual'!$A:$A,$H614))</f>
        <v/>
      </c>
      <c r="D614" s="5" t="str">
        <f>IF($H614="","",INDEX('Detalle individual'!$E:$E,$H614))</f>
        <v/>
      </c>
      <c r="E614" s="5" t="str">
        <f>IF($H614="","",INDEX('Detalle individual'!$C:$C,$H614))</f>
        <v/>
      </c>
      <c r="F614" s="5" t="str">
        <f>IF($H614="","",INDEX('Detalle individual'!$D:$D,$H614))</f>
        <v/>
      </c>
      <c r="G614" s="5" t="str">
        <f>IF($H614="","",INDEX('Detalle individual'!$F:$F,$H614))</f>
        <v/>
      </c>
      <c r="H614" t="str">
        <f>IFERROR(MATCH(SMALL(Cálculos!$AJ$5:$AJ$1000,610),Cálculos!$AJ$5:$AJ$1000,0)+4,"")</f>
        <v/>
      </c>
    </row>
    <row r="615">
      <c r="B615" s="5" t="str">
        <f>IF($H615="","",INDEX('Detalle individual'!$B:$B,$H615))</f>
        <v/>
      </c>
      <c r="C615" s="5" t="str">
        <f>IF($H615="","",INDEX('Detalle individual'!$A:$A,$H615))</f>
        <v/>
      </c>
      <c r="D615" s="5" t="str">
        <f>IF($H615="","",INDEX('Detalle individual'!$E:$E,$H615))</f>
        <v/>
      </c>
      <c r="E615" s="5" t="str">
        <f>IF($H615="","",INDEX('Detalle individual'!$C:$C,$H615))</f>
        <v/>
      </c>
      <c r="F615" s="5" t="str">
        <f>IF($H615="","",INDEX('Detalle individual'!$D:$D,$H615))</f>
        <v/>
      </c>
      <c r="G615" s="5" t="str">
        <f>IF($H615="","",INDEX('Detalle individual'!$F:$F,$H615))</f>
        <v/>
      </c>
      <c r="H615" t="str">
        <f>IFERROR(MATCH(SMALL(Cálculos!$AJ$5:$AJ$1000,611),Cálculos!$AJ$5:$AJ$1000,0)+4,"")</f>
        <v/>
      </c>
    </row>
    <row r="616">
      <c r="B616" s="5" t="str">
        <f>IF($H616="","",INDEX('Detalle individual'!$B:$B,$H616))</f>
        <v/>
      </c>
      <c r="C616" s="5" t="str">
        <f>IF($H616="","",INDEX('Detalle individual'!$A:$A,$H616))</f>
        <v/>
      </c>
      <c r="D616" s="5" t="str">
        <f>IF($H616="","",INDEX('Detalle individual'!$E:$E,$H616))</f>
        <v/>
      </c>
      <c r="E616" s="5" t="str">
        <f>IF($H616="","",INDEX('Detalle individual'!$C:$C,$H616))</f>
        <v/>
      </c>
      <c r="F616" s="5" t="str">
        <f>IF($H616="","",INDEX('Detalle individual'!$D:$D,$H616))</f>
        <v/>
      </c>
      <c r="G616" s="5" t="str">
        <f>IF($H616="","",INDEX('Detalle individual'!$F:$F,$H616))</f>
        <v/>
      </c>
      <c r="H616" t="str">
        <f>IFERROR(MATCH(SMALL(Cálculos!$AJ$5:$AJ$1000,612),Cálculos!$AJ$5:$AJ$1000,0)+4,"")</f>
        <v/>
      </c>
    </row>
    <row r="617">
      <c r="B617" s="5" t="str">
        <f>IF($H617="","",INDEX('Detalle individual'!$B:$B,$H617))</f>
        <v/>
      </c>
      <c r="C617" s="5" t="str">
        <f>IF($H617="","",INDEX('Detalle individual'!$A:$A,$H617))</f>
        <v/>
      </c>
      <c r="D617" s="5" t="str">
        <f>IF($H617="","",INDEX('Detalle individual'!$E:$E,$H617))</f>
        <v/>
      </c>
      <c r="E617" s="5" t="str">
        <f>IF($H617="","",INDEX('Detalle individual'!$C:$C,$H617))</f>
        <v/>
      </c>
      <c r="F617" s="5" t="str">
        <f>IF($H617="","",INDEX('Detalle individual'!$D:$D,$H617))</f>
        <v/>
      </c>
      <c r="G617" s="5" t="str">
        <f>IF($H617="","",INDEX('Detalle individual'!$F:$F,$H617))</f>
        <v/>
      </c>
      <c r="H617" t="str">
        <f>IFERROR(MATCH(SMALL(Cálculos!$AJ$5:$AJ$1000,613),Cálculos!$AJ$5:$AJ$1000,0)+4,"")</f>
        <v/>
      </c>
    </row>
    <row r="618">
      <c r="B618" s="5" t="str">
        <f>IF($H618="","",INDEX('Detalle individual'!$B:$B,$H618))</f>
        <v/>
      </c>
      <c r="C618" s="5" t="str">
        <f>IF($H618="","",INDEX('Detalle individual'!$A:$A,$H618))</f>
        <v/>
      </c>
      <c r="D618" s="5" t="str">
        <f>IF($H618="","",INDEX('Detalle individual'!$E:$E,$H618))</f>
        <v/>
      </c>
      <c r="E618" s="5" t="str">
        <f>IF($H618="","",INDEX('Detalle individual'!$C:$C,$H618))</f>
        <v/>
      </c>
      <c r="F618" s="5" t="str">
        <f>IF($H618="","",INDEX('Detalle individual'!$D:$D,$H618))</f>
        <v/>
      </c>
      <c r="G618" s="5" t="str">
        <f>IF($H618="","",INDEX('Detalle individual'!$F:$F,$H618))</f>
        <v/>
      </c>
      <c r="H618" t="str">
        <f>IFERROR(MATCH(SMALL(Cálculos!$AJ$5:$AJ$1000,614),Cálculos!$AJ$5:$AJ$1000,0)+4,"")</f>
        <v/>
      </c>
    </row>
    <row r="619">
      <c r="B619" s="5" t="str">
        <f>IF($H619="","",INDEX('Detalle individual'!$B:$B,$H619))</f>
        <v/>
      </c>
      <c r="C619" s="5" t="str">
        <f>IF($H619="","",INDEX('Detalle individual'!$A:$A,$H619))</f>
        <v/>
      </c>
      <c r="D619" s="5" t="str">
        <f>IF($H619="","",INDEX('Detalle individual'!$E:$E,$H619))</f>
        <v/>
      </c>
      <c r="E619" s="5" t="str">
        <f>IF($H619="","",INDEX('Detalle individual'!$C:$C,$H619))</f>
        <v/>
      </c>
      <c r="F619" s="5" t="str">
        <f>IF($H619="","",INDEX('Detalle individual'!$D:$D,$H619))</f>
        <v/>
      </c>
      <c r="G619" s="5" t="str">
        <f>IF($H619="","",INDEX('Detalle individual'!$F:$F,$H619))</f>
        <v/>
      </c>
      <c r="H619" t="str">
        <f>IFERROR(MATCH(SMALL(Cálculos!$AJ$5:$AJ$1000,615),Cálculos!$AJ$5:$AJ$1000,0)+4,"")</f>
        <v/>
      </c>
    </row>
    <row r="620">
      <c r="B620" s="5" t="str">
        <f>IF($H620="","",INDEX('Detalle individual'!$B:$B,$H620))</f>
        <v/>
      </c>
      <c r="C620" s="5" t="str">
        <f>IF($H620="","",INDEX('Detalle individual'!$A:$A,$H620))</f>
        <v/>
      </c>
      <c r="D620" s="5" t="str">
        <f>IF($H620="","",INDEX('Detalle individual'!$E:$E,$H620))</f>
        <v/>
      </c>
      <c r="E620" s="5" t="str">
        <f>IF($H620="","",INDEX('Detalle individual'!$C:$C,$H620))</f>
        <v/>
      </c>
      <c r="F620" s="5" t="str">
        <f>IF($H620="","",INDEX('Detalle individual'!$D:$D,$H620))</f>
        <v/>
      </c>
      <c r="G620" s="5" t="str">
        <f>IF($H620="","",INDEX('Detalle individual'!$F:$F,$H620))</f>
        <v/>
      </c>
      <c r="H620" t="str">
        <f>IFERROR(MATCH(SMALL(Cálculos!$AJ$5:$AJ$1000,616),Cálculos!$AJ$5:$AJ$1000,0)+4,"")</f>
        <v/>
      </c>
    </row>
    <row r="621">
      <c r="B621" s="5" t="str">
        <f>IF($H621="","",INDEX('Detalle individual'!$B:$B,$H621))</f>
        <v/>
      </c>
      <c r="C621" s="5" t="str">
        <f>IF($H621="","",INDEX('Detalle individual'!$A:$A,$H621))</f>
        <v/>
      </c>
      <c r="D621" s="5" t="str">
        <f>IF($H621="","",INDEX('Detalle individual'!$E:$E,$H621))</f>
        <v/>
      </c>
      <c r="E621" s="5" t="str">
        <f>IF($H621="","",INDEX('Detalle individual'!$C:$C,$H621))</f>
        <v/>
      </c>
      <c r="F621" s="5" t="str">
        <f>IF($H621="","",INDEX('Detalle individual'!$D:$D,$H621))</f>
        <v/>
      </c>
      <c r="G621" s="5" t="str">
        <f>IF($H621="","",INDEX('Detalle individual'!$F:$F,$H621))</f>
        <v/>
      </c>
      <c r="H621" t="str">
        <f>IFERROR(MATCH(SMALL(Cálculos!$AJ$5:$AJ$1000,617),Cálculos!$AJ$5:$AJ$1000,0)+4,"")</f>
        <v/>
      </c>
    </row>
    <row r="622">
      <c r="B622" s="5" t="str">
        <f>IF($H622="","",INDEX('Detalle individual'!$B:$B,$H622))</f>
        <v/>
      </c>
      <c r="C622" s="5" t="str">
        <f>IF($H622="","",INDEX('Detalle individual'!$A:$A,$H622))</f>
        <v/>
      </c>
      <c r="D622" s="5" t="str">
        <f>IF($H622="","",INDEX('Detalle individual'!$E:$E,$H622))</f>
        <v/>
      </c>
      <c r="E622" s="5" t="str">
        <f>IF($H622="","",INDEX('Detalle individual'!$C:$C,$H622))</f>
        <v/>
      </c>
      <c r="F622" s="5" t="str">
        <f>IF($H622="","",INDEX('Detalle individual'!$D:$D,$H622))</f>
        <v/>
      </c>
      <c r="G622" s="5" t="str">
        <f>IF($H622="","",INDEX('Detalle individual'!$F:$F,$H622))</f>
        <v/>
      </c>
      <c r="H622" t="str">
        <f>IFERROR(MATCH(SMALL(Cálculos!$AJ$5:$AJ$1000,618),Cálculos!$AJ$5:$AJ$1000,0)+4,"")</f>
        <v/>
      </c>
    </row>
    <row r="623">
      <c r="B623" s="5" t="str">
        <f>IF($H623="","",INDEX('Detalle individual'!$B:$B,$H623))</f>
        <v/>
      </c>
      <c r="C623" s="5" t="str">
        <f>IF($H623="","",INDEX('Detalle individual'!$A:$A,$H623))</f>
        <v/>
      </c>
      <c r="D623" s="5" t="str">
        <f>IF($H623="","",INDEX('Detalle individual'!$E:$E,$H623))</f>
        <v/>
      </c>
      <c r="E623" s="5" t="str">
        <f>IF($H623="","",INDEX('Detalle individual'!$C:$C,$H623))</f>
        <v/>
      </c>
      <c r="F623" s="5" t="str">
        <f>IF($H623="","",INDEX('Detalle individual'!$D:$D,$H623))</f>
        <v/>
      </c>
      <c r="G623" s="5" t="str">
        <f>IF($H623="","",INDEX('Detalle individual'!$F:$F,$H623))</f>
        <v/>
      </c>
      <c r="H623" t="str">
        <f>IFERROR(MATCH(SMALL(Cálculos!$AJ$5:$AJ$1000,619),Cálculos!$AJ$5:$AJ$1000,0)+4,"")</f>
        <v/>
      </c>
    </row>
    <row r="624">
      <c r="B624" s="5" t="str">
        <f>IF($H624="","",INDEX('Detalle individual'!$B:$B,$H624))</f>
        <v/>
      </c>
      <c r="C624" s="5" t="str">
        <f>IF($H624="","",INDEX('Detalle individual'!$A:$A,$H624))</f>
        <v/>
      </c>
      <c r="D624" s="5" t="str">
        <f>IF($H624="","",INDEX('Detalle individual'!$E:$E,$H624))</f>
        <v/>
      </c>
      <c r="E624" s="5" t="str">
        <f>IF($H624="","",INDEX('Detalle individual'!$C:$C,$H624))</f>
        <v/>
      </c>
      <c r="F624" s="5" t="str">
        <f>IF($H624="","",INDEX('Detalle individual'!$D:$D,$H624))</f>
        <v/>
      </c>
      <c r="G624" s="5" t="str">
        <f>IF($H624="","",INDEX('Detalle individual'!$F:$F,$H624))</f>
        <v/>
      </c>
      <c r="H624" t="str">
        <f>IFERROR(MATCH(SMALL(Cálculos!$AJ$5:$AJ$1000,620),Cálculos!$AJ$5:$AJ$1000,0)+4,"")</f>
        <v/>
      </c>
    </row>
    <row r="625">
      <c r="B625" s="5" t="str">
        <f>IF($H625="","",INDEX('Detalle individual'!$B:$B,$H625))</f>
        <v/>
      </c>
      <c r="C625" s="5" t="str">
        <f>IF($H625="","",INDEX('Detalle individual'!$A:$A,$H625))</f>
        <v/>
      </c>
      <c r="D625" s="5" t="str">
        <f>IF($H625="","",INDEX('Detalle individual'!$E:$E,$H625))</f>
        <v/>
      </c>
      <c r="E625" s="5" t="str">
        <f>IF($H625="","",INDEX('Detalle individual'!$C:$C,$H625))</f>
        <v/>
      </c>
      <c r="F625" s="5" t="str">
        <f>IF($H625="","",INDEX('Detalle individual'!$D:$D,$H625))</f>
        <v/>
      </c>
      <c r="G625" s="5" t="str">
        <f>IF($H625="","",INDEX('Detalle individual'!$F:$F,$H625))</f>
        <v/>
      </c>
      <c r="H625" t="str">
        <f>IFERROR(MATCH(SMALL(Cálculos!$AJ$5:$AJ$1000,621),Cálculos!$AJ$5:$AJ$1000,0)+4,"")</f>
        <v/>
      </c>
    </row>
    <row r="626">
      <c r="B626" s="5" t="str">
        <f>IF($H626="","",INDEX('Detalle individual'!$B:$B,$H626))</f>
        <v/>
      </c>
      <c r="C626" s="5" t="str">
        <f>IF($H626="","",INDEX('Detalle individual'!$A:$A,$H626))</f>
        <v/>
      </c>
      <c r="D626" s="5" t="str">
        <f>IF($H626="","",INDEX('Detalle individual'!$E:$E,$H626))</f>
        <v/>
      </c>
      <c r="E626" s="5" t="str">
        <f>IF($H626="","",INDEX('Detalle individual'!$C:$C,$H626))</f>
        <v/>
      </c>
      <c r="F626" s="5" t="str">
        <f>IF($H626="","",INDEX('Detalle individual'!$D:$D,$H626))</f>
        <v/>
      </c>
      <c r="G626" s="5" t="str">
        <f>IF($H626="","",INDEX('Detalle individual'!$F:$F,$H626))</f>
        <v/>
      </c>
      <c r="H626" t="str">
        <f>IFERROR(MATCH(SMALL(Cálculos!$AJ$5:$AJ$1000,622),Cálculos!$AJ$5:$AJ$1000,0)+4,"")</f>
        <v/>
      </c>
    </row>
    <row r="627">
      <c r="B627" s="5" t="str">
        <f>IF($H627="","",INDEX('Detalle individual'!$B:$B,$H627))</f>
        <v/>
      </c>
      <c r="C627" s="5" t="str">
        <f>IF($H627="","",INDEX('Detalle individual'!$A:$A,$H627))</f>
        <v/>
      </c>
      <c r="D627" s="5" t="str">
        <f>IF($H627="","",INDEX('Detalle individual'!$E:$E,$H627))</f>
        <v/>
      </c>
      <c r="E627" s="5" t="str">
        <f>IF($H627="","",INDEX('Detalle individual'!$C:$C,$H627))</f>
        <v/>
      </c>
      <c r="F627" s="5" t="str">
        <f>IF($H627="","",INDEX('Detalle individual'!$D:$D,$H627))</f>
        <v/>
      </c>
      <c r="G627" s="5" t="str">
        <f>IF($H627="","",INDEX('Detalle individual'!$F:$F,$H627))</f>
        <v/>
      </c>
      <c r="H627" t="str">
        <f>IFERROR(MATCH(SMALL(Cálculos!$AJ$5:$AJ$1000,623),Cálculos!$AJ$5:$AJ$1000,0)+4,"")</f>
        <v/>
      </c>
    </row>
    <row r="628">
      <c r="B628" s="5" t="str">
        <f>IF($H628="","",INDEX('Detalle individual'!$B:$B,$H628))</f>
        <v/>
      </c>
      <c r="C628" s="5" t="str">
        <f>IF($H628="","",INDEX('Detalle individual'!$A:$A,$H628))</f>
        <v/>
      </c>
      <c r="D628" s="5" t="str">
        <f>IF($H628="","",INDEX('Detalle individual'!$E:$E,$H628))</f>
        <v/>
      </c>
      <c r="E628" s="5" t="str">
        <f>IF($H628="","",INDEX('Detalle individual'!$C:$C,$H628))</f>
        <v/>
      </c>
      <c r="F628" s="5" t="str">
        <f>IF($H628="","",INDEX('Detalle individual'!$D:$D,$H628))</f>
        <v/>
      </c>
      <c r="G628" s="5" t="str">
        <f>IF($H628="","",INDEX('Detalle individual'!$F:$F,$H628))</f>
        <v/>
      </c>
      <c r="H628" t="str">
        <f>IFERROR(MATCH(SMALL(Cálculos!$AJ$5:$AJ$1000,624),Cálculos!$AJ$5:$AJ$1000,0)+4,"")</f>
        <v/>
      </c>
    </row>
    <row r="629">
      <c r="B629" s="5" t="str">
        <f>IF($H629="","",INDEX('Detalle individual'!$B:$B,$H629))</f>
        <v/>
      </c>
      <c r="C629" s="5" t="str">
        <f>IF($H629="","",INDEX('Detalle individual'!$A:$A,$H629))</f>
        <v/>
      </c>
      <c r="D629" s="5" t="str">
        <f>IF($H629="","",INDEX('Detalle individual'!$E:$E,$H629))</f>
        <v/>
      </c>
      <c r="E629" s="5" t="str">
        <f>IF($H629="","",INDEX('Detalle individual'!$C:$C,$H629))</f>
        <v/>
      </c>
      <c r="F629" s="5" t="str">
        <f>IF($H629="","",INDEX('Detalle individual'!$D:$D,$H629))</f>
        <v/>
      </c>
      <c r="G629" s="5" t="str">
        <f>IF($H629="","",INDEX('Detalle individual'!$F:$F,$H629))</f>
        <v/>
      </c>
      <c r="H629" t="str">
        <f>IFERROR(MATCH(SMALL(Cálculos!$AJ$5:$AJ$1000,625),Cálculos!$AJ$5:$AJ$1000,0)+4,"")</f>
        <v/>
      </c>
    </row>
    <row r="630">
      <c r="B630" s="5" t="str">
        <f>IF($H630="","",INDEX('Detalle individual'!$B:$B,$H630))</f>
        <v/>
      </c>
      <c r="C630" s="5" t="str">
        <f>IF($H630="","",INDEX('Detalle individual'!$A:$A,$H630))</f>
        <v/>
      </c>
      <c r="D630" s="5" t="str">
        <f>IF($H630="","",INDEX('Detalle individual'!$E:$E,$H630))</f>
        <v/>
      </c>
      <c r="E630" s="5" t="str">
        <f>IF($H630="","",INDEX('Detalle individual'!$C:$C,$H630))</f>
        <v/>
      </c>
      <c r="F630" s="5" t="str">
        <f>IF($H630="","",INDEX('Detalle individual'!$D:$D,$H630))</f>
        <v/>
      </c>
      <c r="G630" s="5" t="str">
        <f>IF($H630="","",INDEX('Detalle individual'!$F:$F,$H630))</f>
        <v/>
      </c>
      <c r="H630" t="str">
        <f>IFERROR(MATCH(SMALL(Cálculos!$AJ$5:$AJ$1000,626),Cálculos!$AJ$5:$AJ$1000,0)+4,"")</f>
        <v/>
      </c>
    </row>
    <row r="631">
      <c r="B631" s="5" t="str">
        <f>IF($H631="","",INDEX('Detalle individual'!$B:$B,$H631))</f>
        <v/>
      </c>
      <c r="C631" s="5" t="str">
        <f>IF($H631="","",INDEX('Detalle individual'!$A:$A,$H631))</f>
        <v/>
      </c>
      <c r="D631" s="5" t="str">
        <f>IF($H631="","",INDEX('Detalle individual'!$E:$E,$H631))</f>
        <v/>
      </c>
      <c r="E631" s="5" t="str">
        <f>IF($H631="","",INDEX('Detalle individual'!$C:$C,$H631))</f>
        <v/>
      </c>
      <c r="F631" s="5" t="str">
        <f>IF($H631="","",INDEX('Detalle individual'!$D:$D,$H631))</f>
        <v/>
      </c>
      <c r="G631" s="5" t="str">
        <f>IF($H631="","",INDEX('Detalle individual'!$F:$F,$H631))</f>
        <v/>
      </c>
      <c r="H631" t="str">
        <f>IFERROR(MATCH(SMALL(Cálculos!$AJ$5:$AJ$1000,627),Cálculos!$AJ$5:$AJ$1000,0)+4,"")</f>
        <v/>
      </c>
    </row>
    <row r="632">
      <c r="B632" s="5" t="str">
        <f>IF($H632="","",INDEX('Detalle individual'!$B:$B,$H632))</f>
        <v/>
      </c>
      <c r="C632" s="5" t="str">
        <f>IF($H632="","",INDEX('Detalle individual'!$A:$A,$H632))</f>
        <v/>
      </c>
      <c r="D632" s="5" t="str">
        <f>IF($H632="","",INDEX('Detalle individual'!$E:$E,$H632))</f>
        <v/>
      </c>
      <c r="E632" s="5" t="str">
        <f>IF($H632="","",INDEX('Detalle individual'!$C:$C,$H632))</f>
        <v/>
      </c>
      <c r="F632" s="5" t="str">
        <f>IF($H632="","",INDEX('Detalle individual'!$D:$D,$H632))</f>
        <v/>
      </c>
      <c r="G632" s="5" t="str">
        <f>IF($H632="","",INDEX('Detalle individual'!$F:$F,$H632))</f>
        <v/>
      </c>
      <c r="H632" t="str">
        <f>IFERROR(MATCH(SMALL(Cálculos!$AJ$5:$AJ$1000,628),Cálculos!$AJ$5:$AJ$1000,0)+4,"")</f>
        <v/>
      </c>
    </row>
    <row r="633">
      <c r="B633" s="5" t="str">
        <f>IF($H633="","",INDEX('Detalle individual'!$B:$B,$H633))</f>
        <v/>
      </c>
      <c r="C633" s="5" t="str">
        <f>IF($H633="","",INDEX('Detalle individual'!$A:$A,$H633))</f>
        <v/>
      </c>
      <c r="D633" s="5" t="str">
        <f>IF($H633="","",INDEX('Detalle individual'!$E:$E,$H633))</f>
        <v/>
      </c>
      <c r="E633" s="5" t="str">
        <f>IF($H633="","",INDEX('Detalle individual'!$C:$C,$H633))</f>
        <v/>
      </c>
      <c r="F633" s="5" t="str">
        <f>IF($H633="","",INDEX('Detalle individual'!$D:$D,$H633))</f>
        <v/>
      </c>
      <c r="G633" s="5" t="str">
        <f>IF($H633="","",INDEX('Detalle individual'!$F:$F,$H633))</f>
        <v/>
      </c>
      <c r="H633" t="str">
        <f>IFERROR(MATCH(SMALL(Cálculos!$AJ$5:$AJ$1000,629),Cálculos!$AJ$5:$AJ$1000,0)+4,"")</f>
        <v/>
      </c>
    </row>
    <row r="634">
      <c r="B634" s="5" t="str">
        <f>IF($H634="","",INDEX('Detalle individual'!$B:$B,$H634))</f>
        <v/>
      </c>
      <c r="C634" s="5" t="str">
        <f>IF($H634="","",INDEX('Detalle individual'!$A:$A,$H634))</f>
        <v/>
      </c>
      <c r="D634" s="5" t="str">
        <f>IF($H634="","",INDEX('Detalle individual'!$E:$E,$H634))</f>
        <v/>
      </c>
      <c r="E634" s="5" t="str">
        <f>IF($H634="","",INDEX('Detalle individual'!$C:$C,$H634))</f>
        <v/>
      </c>
      <c r="F634" s="5" t="str">
        <f>IF($H634="","",INDEX('Detalle individual'!$D:$D,$H634))</f>
        <v/>
      </c>
      <c r="G634" s="5" t="str">
        <f>IF($H634="","",INDEX('Detalle individual'!$F:$F,$H634))</f>
        <v/>
      </c>
      <c r="H634" t="str">
        <f>IFERROR(MATCH(SMALL(Cálculos!$AJ$5:$AJ$1000,630),Cálculos!$AJ$5:$AJ$1000,0)+4,"")</f>
        <v/>
      </c>
    </row>
    <row r="635">
      <c r="B635" s="5" t="str">
        <f>IF($H635="","",INDEX('Detalle individual'!$B:$B,$H635))</f>
        <v/>
      </c>
      <c r="C635" s="5" t="str">
        <f>IF($H635="","",INDEX('Detalle individual'!$A:$A,$H635))</f>
        <v/>
      </c>
      <c r="D635" s="5" t="str">
        <f>IF($H635="","",INDEX('Detalle individual'!$E:$E,$H635))</f>
        <v/>
      </c>
      <c r="E635" s="5" t="str">
        <f>IF($H635="","",INDEX('Detalle individual'!$C:$C,$H635))</f>
        <v/>
      </c>
      <c r="F635" s="5" t="str">
        <f>IF($H635="","",INDEX('Detalle individual'!$D:$D,$H635))</f>
        <v/>
      </c>
      <c r="G635" s="5" t="str">
        <f>IF($H635="","",INDEX('Detalle individual'!$F:$F,$H635))</f>
        <v/>
      </c>
      <c r="H635" t="str">
        <f>IFERROR(MATCH(SMALL(Cálculos!$AJ$5:$AJ$1000,631),Cálculos!$AJ$5:$AJ$1000,0)+4,"")</f>
        <v/>
      </c>
    </row>
    <row r="636">
      <c r="B636" s="5" t="str">
        <f>IF($H636="","",INDEX('Detalle individual'!$B:$B,$H636))</f>
        <v/>
      </c>
      <c r="C636" s="5" t="str">
        <f>IF($H636="","",INDEX('Detalle individual'!$A:$A,$H636))</f>
        <v/>
      </c>
      <c r="D636" s="5" t="str">
        <f>IF($H636="","",INDEX('Detalle individual'!$E:$E,$H636))</f>
        <v/>
      </c>
      <c r="E636" s="5" t="str">
        <f>IF($H636="","",INDEX('Detalle individual'!$C:$C,$H636))</f>
        <v/>
      </c>
      <c r="F636" s="5" t="str">
        <f>IF($H636="","",INDEX('Detalle individual'!$D:$D,$H636))</f>
        <v/>
      </c>
      <c r="G636" s="5" t="str">
        <f>IF($H636="","",INDEX('Detalle individual'!$F:$F,$H636))</f>
        <v/>
      </c>
      <c r="H636" t="str">
        <f>IFERROR(MATCH(SMALL(Cálculos!$AJ$5:$AJ$1000,632),Cálculos!$AJ$5:$AJ$1000,0)+4,"")</f>
        <v/>
      </c>
    </row>
    <row r="637">
      <c r="B637" s="5" t="str">
        <f>IF($H637="","",INDEX('Detalle individual'!$B:$B,$H637))</f>
        <v/>
      </c>
      <c r="C637" s="5" t="str">
        <f>IF($H637="","",INDEX('Detalle individual'!$A:$A,$H637))</f>
        <v/>
      </c>
      <c r="D637" s="5" t="str">
        <f>IF($H637="","",INDEX('Detalle individual'!$E:$E,$H637))</f>
        <v/>
      </c>
      <c r="E637" s="5" t="str">
        <f>IF($H637="","",INDEX('Detalle individual'!$C:$C,$H637))</f>
        <v/>
      </c>
      <c r="F637" s="5" t="str">
        <f>IF($H637="","",INDEX('Detalle individual'!$D:$D,$H637))</f>
        <v/>
      </c>
      <c r="G637" s="5" t="str">
        <f>IF($H637="","",INDEX('Detalle individual'!$F:$F,$H637))</f>
        <v/>
      </c>
      <c r="H637" t="str">
        <f>IFERROR(MATCH(SMALL(Cálculos!$AJ$5:$AJ$1000,633),Cálculos!$AJ$5:$AJ$1000,0)+4,"")</f>
        <v/>
      </c>
    </row>
    <row r="638">
      <c r="B638" s="5" t="str">
        <f>IF($H638="","",INDEX('Detalle individual'!$B:$B,$H638))</f>
        <v/>
      </c>
      <c r="C638" s="5" t="str">
        <f>IF($H638="","",INDEX('Detalle individual'!$A:$A,$H638))</f>
        <v/>
      </c>
      <c r="D638" s="5" t="str">
        <f>IF($H638="","",INDEX('Detalle individual'!$E:$E,$H638))</f>
        <v/>
      </c>
      <c r="E638" s="5" t="str">
        <f>IF($H638="","",INDEX('Detalle individual'!$C:$C,$H638))</f>
        <v/>
      </c>
      <c r="F638" s="5" t="str">
        <f>IF($H638="","",INDEX('Detalle individual'!$D:$D,$H638))</f>
        <v/>
      </c>
      <c r="G638" s="5" t="str">
        <f>IF($H638="","",INDEX('Detalle individual'!$F:$F,$H638))</f>
        <v/>
      </c>
      <c r="H638" t="str">
        <f>IFERROR(MATCH(SMALL(Cálculos!$AJ$5:$AJ$1000,634),Cálculos!$AJ$5:$AJ$1000,0)+4,"")</f>
        <v/>
      </c>
    </row>
    <row r="639">
      <c r="B639" s="5" t="str">
        <f>IF($H639="","",INDEX('Detalle individual'!$B:$B,$H639))</f>
        <v/>
      </c>
      <c r="C639" s="5" t="str">
        <f>IF($H639="","",INDEX('Detalle individual'!$A:$A,$H639))</f>
        <v/>
      </c>
      <c r="D639" s="5" t="str">
        <f>IF($H639="","",INDEX('Detalle individual'!$E:$E,$H639))</f>
        <v/>
      </c>
      <c r="E639" s="5" t="str">
        <f>IF($H639="","",INDEX('Detalle individual'!$C:$C,$H639))</f>
        <v/>
      </c>
      <c r="F639" s="5" t="str">
        <f>IF($H639="","",INDEX('Detalle individual'!$D:$D,$H639))</f>
        <v/>
      </c>
      <c r="G639" s="5" t="str">
        <f>IF($H639="","",INDEX('Detalle individual'!$F:$F,$H639))</f>
        <v/>
      </c>
      <c r="H639" t="str">
        <f>IFERROR(MATCH(SMALL(Cálculos!$AJ$5:$AJ$1000,635),Cálculos!$AJ$5:$AJ$1000,0)+4,"")</f>
        <v/>
      </c>
    </row>
    <row r="640">
      <c r="B640" s="5" t="str">
        <f>IF($H640="","",INDEX('Detalle individual'!$B:$B,$H640))</f>
        <v/>
      </c>
      <c r="C640" s="5" t="str">
        <f>IF($H640="","",INDEX('Detalle individual'!$A:$A,$H640))</f>
        <v/>
      </c>
      <c r="D640" s="5" t="str">
        <f>IF($H640="","",INDEX('Detalle individual'!$E:$E,$H640))</f>
        <v/>
      </c>
      <c r="E640" s="5" t="str">
        <f>IF($H640="","",INDEX('Detalle individual'!$C:$C,$H640))</f>
        <v/>
      </c>
      <c r="F640" s="5" t="str">
        <f>IF($H640="","",INDEX('Detalle individual'!$D:$D,$H640))</f>
        <v/>
      </c>
      <c r="G640" s="5" t="str">
        <f>IF($H640="","",INDEX('Detalle individual'!$F:$F,$H640))</f>
        <v/>
      </c>
      <c r="H640" t="str">
        <f>IFERROR(MATCH(SMALL(Cálculos!$AJ$5:$AJ$1000,636),Cálculos!$AJ$5:$AJ$1000,0)+4,"")</f>
        <v/>
      </c>
    </row>
    <row r="641">
      <c r="B641" s="5" t="str">
        <f>IF($H641="","",INDEX('Detalle individual'!$B:$B,$H641))</f>
        <v/>
      </c>
      <c r="C641" s="5" t="str">
        <f>IF($H641="","",INDEX('Detalle individual'!$A:$A,$H641))</f>
        <v/>
      </c>
      <c r="D641" s="5" t="str">
        <f>IF($H641="","",INDEX('Detalle individual'!$E:$E,$H641))</f>
        <v/>
      </c>
      <c r="E641" s="5" t="str">
        <f>IF($H641="","",INDEX('Detalle individual'!$C:$C,$H641))</f>
        <v/>
      </c>
      <c r="F641" s="5" t="str">
        <f>IF($H641="","",INDEX('Detalle individual'!$D:$D,$H641))</f>
        <v/>
      </c>
      <c r="G641" s="5" t="str">
        <f>IF($H641="","",INDEX('Detalle individual'!$F:$F,$H641))</f>
        <v/>
      </c>
      <c r="H641" t="str">
        <f>IFERROR(MATCH(SMALL(Cálculos!$AJ$5:$AJ$1000,637),Cálculos!$AJ$5:$AJ$1000,0)+4,"")</f>
        <v/>
      </c>
    </row>
    <row r="642">
      <c r="B642" s="5" t="str">
        <f>IF($H642="","",INDEX('Detalle individual'!$B:$B,$H642))</f>
        <v/>
      </c>
      <c r="C642" s="5" t="str">
        <f>IF($H642="","",INDEX('Detalle individual'!$A:$A,$H642))</f>
        <v/>
      </c>
      <c r="D642" s="5" t="str">
        <f>IF($H642="","",INDEX('Detalle individual'!$E:$E,$H642))</f>
        <v/>
      </c>
      <c r="E642" s="5" t="str">
        <f>IF($H642="","",INDEX('Detalle individual'!$C:$C,$H642))</f>
        <v/>
      </c>
      <c r="F642" s="5" t="str">
        <f>IF($H642="","",INDEX('Detalle individual'!$D:$D,$H642))</f>
        <v/>
      </c>
      <c r="G642" s="5" t="str">
        <f>IF($H642="","",INDEX('Detalle individual'!$F:$F,$H642))</f>
        <v/>
      </c>
      <c r="H642" t="str">
        <f>IFERROR(MATCH(SMALL(Cálculos!$AJ$5:$AJ$1000,638),Cálculos!$AJ$5:$AJ$1000,0)+4,"")</f>
        <v/>
      </c>
    </row>
    <row r="643">
      <c r="B643" s="5" t="str">
        <f>IF($H643="","",INDEX('Detalle individual'!$B:$B,$H643))</f>
        <v/>
      </c>
      <c r="C643" s="5" t="str">
        <f>IF($H643="","",INDEX('Detalle individual'!$A:$A,$H643))</f>
        <v/>
      </c>
      <c r="D643" s="5" t="str">
        <f>IF($H643="","",INDEX('Detalle individual'!$E:$E,$H643))</f>
        <v/>
      </c>
      <c r="E643" s="5" t="str">
        <f>IF($H643="","",INDEX('Detalle individual'!$C:$C,$H643))</f>
        <v/>
      </c>
      <c r="F643" s="5" t="str">
        <f>IF($H643="","",INDEX('Detalle individual'!$D:$D,$H643))</f>
        <v/>
      </c>
      <c r="G643" s="5" t="str">
        <f>IF($H643="","",INDEX('Detalle individual'!$F:$F,$H643))</f>
        <v/>
      </c>
      <c r="H643" t="str">
        <f>IFERROR(MATCH(SMALL(Cálculos!$AJ$5:$AJ$1000,639),Cálculos!$AJ$5:$AJ$1000,0)+4,"")</f>
        <v/>
      </c>
    </row>
    <row r="644">
      <c r="B644" s="5" t="str">
        <f>IF($H644="","",INDEX('Detalle individual'!$B:$B,$H644))</f>
        <v/>
      </c>
      <c r="C644" s="5" t="str">
        <f>IF($H644="","",INDEX('Detalle individual'!$A:$A,$H644))</f>
        <v/>
      </c>
      <c r="D644" s="5" t="str">
        <f>IF($H644="","",INDEX('Detalle individual'!$E:$E,$H644))</f>
        <v/>
      </c>
      <c r="E644" s="5" t="str">
        <f>IF($H644="","",INDEX('Detalle individual'!$C:$C,$H644))</f>
        <v/>
      </c>
      <c r="F644" s="5" t="str">
        <f>IF($H644="","",INDEX('Detalle individual'!$D:$D,$H644))</f>
        <v/>
      </c>
      <c r="G644" s="5" t="str">
        <f>IF($H644="","",INDEX('Detalle individual'!$F:$F,$H644))</f>
        <v/>
      </c>
      <c r="H644" t="str">
        <f>IFERROR(MATCH(SMALL(Cálculos!$AJ$5:$AJ$1000,640),Cálculos!$AJ$5:$AJ$1000,0)+4,"")</f>
        <v/>
      </c>
    </row>
    <row r="645">
      <c r="B645" s="5" t="str">
        <f>IF($H645="","",INDEX('Detalle individual'!$B:$B,$H645))</f>
        <v/>
      </c>
      <c r="C645" s="5" t="str">
        <f>IF($H645="","",INDEX('Detalle individual'!$A:$A,$H645))</f>
        <v/>
      </c>
      <c r="D645" s="5" t="str">
        <f>IF($H645="","",INDEX('Detalle individual'!$E:$E,$H645))</f>
        <v/>
      </c>
      <c r="E645" s="5" t="str">
        <f>IF($H645="","",INDEX('Detalle individual'!$C:$C,$H645))</f>
        <v/>
      </c>
      <c r="F645" s="5" t="str">
        <f>IF($H645="","",INDEX('Detalle individual'!$D:$D,$H645))</f>
        <v/>
      </c>
      <c r="G645" s="5" t="str">
        <f>IF($H645="","",INDEX('Detalle individual'!$F:$F,$H645))</f>
        <v/>
      </c>
      <c r="H645" t="str">
        <f>IFERROR(MATCH(SMALL(Cálculos!$AJ$5:$AJ$1000,641),Cálculos!$AJ$5:$AJ$1000,0)+4,"")</f>
        <v/>
      </c>
    </row>
    <row r="646">
      <c r="B646" s="5" t="str">
        <f>IF($H646="","",INDEX('Detalle individual'!$B:$B,$H646))</f>
        <v/>
      </c>
      <c r="C646" s="5" t="str">
        <f>IF($H646="","",INDEX('Detalle individual'!$A:$A,$H646))</f>
        <v/>
      </c>
      <c r="D646" s="5" t="str">
        <f>IF($H646="","",INDEX('Detalle individual'!$E:$E,$H646))</f>
        <v/>
      </c>
      <c r="E646" s="5" t="str">
        <f>IF($H646="","",INDEX('Detalle individual'!$C:$C,$H646))</f>
        <v/>
      </c>
      <c r="F646" s="5" t="str">
        <f>IF($H646="","",INDEX('Detalle individual'!$D:$D,$H646))</f>
        <v/>
      </c>
      <c r="G646" s="5" t="str">
        <f>IF($H646="","",INDEX('Detalle individual'!$F:$F,$H646))</f>
        <v/>
      </c>
      <c r="H646" t="str">
        <f>IFERROR(MATCH(SMALL(Cálculos!$AJ$5:$AJ$1000,642),Cálculos!$AJ$5:$AJ$1000,0)+4,"")</f>
        <v/>
      </c>
    </row>
    <row r="647">
      <c r="B647" s="5" t="str">
        <f>IF($H647="","",INDEX('Detalle individual'!$B:$B,$H647))</f>
        <v/>
      </c>
      <c r="C647" s="5" t="str">
        <f>IF($H647="","",INDEX('Detalle individual'!$A:$A,$H647))</f>
        <v/>
      </c>
      <c r="D647" s="5" t="str">
        <f>IF($H647="","",INDEX('Detalle individual'!$E:$E,$H647))</f>
        <v/>
      </c>
      <c r="E647" s="5" t="str">
        <f>IF($H647="","",INDEX('Detalle individual'!$C:$C,$H647))</f>
        <v/>
      </c>
      <c r="F647" s="5" t="str">
        <f>IF($H647="","",INDEX('Detalle individual'!$D:$D,$H647))</f>
        <v/>
      </c>
      <c r="G647" s="5" t="str">
        <f>IF($H647="","",INDEX('Detalle individual'!$F:$F,$H647))</f>
        <v/>
      </c>
      <c r="H647" t="str">
        <f>IFERROR(MATCH(SMALL(Cálculos!$AJ$5:$AJ$1000,643),Cálculos!$AJ$5:$AJ$1000,0)+4,"")</f>
        <v/>
      </c>
    </row>
    <row r="648">
      <c r="B648" s="5" t="str">
        <f>IF($H648="","",INDEX('Detalle individual'!$B:$B,$H648))</f>
        <v/>
      </c>
      <c r="C648" s="5" t="str">
        <f>IF($H648="","",INDEX('Detalle individual'!$A:$A,$H648))</f>
        <v/>
      </c>
      <c r="D648" s="5" t="str">
        <f>IF($H648="","",INDEX('Detalle individual'!$E:$E,$H648))</f>
        <v/>
      </c>
      <c r="E648" s="5" t="str">
        <f>IF($H648="","",INDEX('Detalle individual'!$C:$C,$H648))</f>
        <v/>
      </c>
      <c r="F648" s="5" t="str">
        <f>IF($H648="","",INDEX('Detalle individual'!$D:$D,$H648))</f>
        <v/>
      </c>
      <c r="G648" s="5" t="str">
        <f>IF($H648="","",INDEX('Detalle individual'!$F:$F,$H648))</f>
        <v/>
      </c>
      <c r="H648" t="str">
        <f>IFERROR(MATCH(SMALL(Cálculos!$AJ$5:$AJ$1000,644),Cálculos!$AJ$5:$AJ$1000,0)+4,"")</f>
        <v/>
      </c>
    </row>
    <row r="649">
      <c r="B649" s="5" t="str">
        <f>IF($H649="","",INDEX('Detalle individual'!$B:$B,$H649))</f>
        <v/>
      </c>
      <c r="C649" s="5" t="str">
        <f>IF($H649="","",INDEX('Detalle individual'!$A:$A,$H649))</f>
        <v/>
      </c>
      <c r="D649" s="5" t="str">
        <f>IF($H649="","",INDEX('Detalle individual'!$E:$E,$H649))</f>
        <v/>
      </c>
      <c r="E649" s="5" t="str">
        <f>IF($H649="","",INDEX('Detalle individual'!$C:$C,$H649))</f>
        <v/>
      </c>
      <c r="F649" s="5" t="str">
        <f>IF($H649="","",INDEX('Detalle individual'!$D:$D,$H649))</f>
        <v/>
      </c>
      <c r="G649" s="5" t="str">
        <f>IF($H649="","",INDEX('Detalle individual'!$F:$F,$H649))</f>
        <v/>
      </c>
      <c r="H649" t="str">
        <f>IFERROR(MATCH(SMALL(Cálculos!$AJ$5:$AJ$1000,645),Cálculos!$AJ$5:$AJ$1000,0)+4,"")</f>
        <v/>
      </c>
    </row>
    <row r="650">
      <c r="B650" s="5" t="str">
        <f>IF($H650="","",INDEX('Detalle individual'!$B:$B,$H650))</f>
        <v/>
      </c>
      <c r="C650" s="5" t="str">
        <f>IF($H650="","",INDEX('Detalle individual'!$A:$A,$H650))</f>
        <v/>
      </c>
      <c r="D650" s="5" t="str">
        <f>IF($H650="","",INDEX('Detalle individual'!$E:$E,$H650))</f>
        <v/>
      </c>
      <c r="E650" s="5" t="str">
        <f>IF($H650="","",INDEX('Detalle individual'!$C:$C,$H650))</f>
        <v/>
      </c>
      <c r="F650" s="5" t="str">
        <f>IF($H650="","",INDEX('Detalle individual'!$D:$D,$H650))</f>
        <v/>
      </c>
      <c r="G650" s="5" t="str">
        <f>IF($H650="","",INDEX('Detalle individual'!$F:$F,$H650))</f>
        <v/>
      </c>
      <c r="H650" t="str">
        <f>IFERROR(MATCH(SMALL(Cálculos!$AJ$5:$AJ$1000,646),Cálculos!$AJ$5:$AJ$1000,0)+4,"")</f>
        <v/>
      </c>
    </row>
    <row r="651">
      <c r="B651" s="5" t="str">
        <f>IF($H651="","",INDEX('Detalle individual'!$B:$B,$H651))</f>
        <v/>
      </c>
      <c r="C651" s="5" t="str">
        <f>IF($H651="","",INDEX('Detalle individual'!$A:$A,$H651))</f>
        <v/>
      </c>
      <c r="D651" s="5" t="str">
        <f>IF($H651="","",INDEX('Detalle individual'!$E:$E,$H651))</f>
        <v/>
      </c>
      <c r="E651" s="5" t="str">
        <f>IF($H651="","",INDEX('Detalle individual'!$C:$C,$H651))</f>
        <v/>
      </c>
      <c r="F651" s="5" t="str">
        <f>IF($H651="","",INDEX('Detalle individual'!$D:$D,$H651))</f>
        <v/>
      </c>
      <c r="G651" s="5" t="str">
        <f>IF($H651="","",INDEX('Detalle individual'!$F:$F,$H651))</f>
        <v/>
      </c>
      <c r="H651" t="str">
        <f>IFERROR(MATCH(SMALL(Cálculos!$AJ$5:$AJ$1000,647),Cálculos!$AJ$5:$AJ$1000,0)+4,"")</f>
        <v/>
      </c>
    </row>
    <row r="652">
      <c r="B652" s="5" t="str">
        <f>IF($H652="","",INDEX('Detalle individual'!$B:$B,$H652))</f>
        <v/>
      </c>
      <c r="C652" s="5" t="str">
        <f>IF($H652="","",INDEX('Detalle individual'!$A:$A,$H652))</f>
        <v/>
      </c>
      <c r="D652" s="5" t="str">
        <f>IF($H652="","",INDEX('Detalle individual'!$E:$E,$H652))</f>
        <v/>
      </c>
      <c r="E652" s="5" t="str">
        <f>IF($H652="","",INDEX('Detalle individual'!$C:$C,$H652))</f>
        <v/>
      </c>
      <c r="F652" s="5" t="str">
        <f>IF($H652="","",INDEX('Detalle individual'!$D:$D,$H652))</f>
        <v/>
      </c>
      <c r="G652" s="5" t="str">
        <f>IF($H652="","",INDEX('Detalle individual'!$F:$F,$H652))</f>
        <v/>
      </c>
      <c r="H652" t="str">
        <f>IFERROR(MATCH(SMALL(Cálculos!$AJ$5:$AJ$1000,648),Cálculos!$AJ$5:$AJ$1000,0)+4,"")</f>
        <v/>
      </c>
    </row>
    <row r="653">
      <c r="B653" s="5" t="str">
        <f>IF($H653="","",INDEX('Detalle individual'!$B:$B,$H653))</f>
        <v/>
      </c>
      <c r="C653" s="5" t="str">
        <f>IF($H653="","",INDEX('Detalle individual'!$A:$A,$H653))</f>
        <v/>
      </c>
      <c r="D653" s="5" t="str">
        <f>IF($H653="","",INDEX('Detalle individual'!$E:$E,$H653))</f>
        <v/>
      </c>
      <c r="E653" s="5" t="str">
        <f>IF($H653="","",INDEX('Detalle individual'!$C:$C,$H653))</f>
        <v/>
      </c>
      <c r="F653" s="5" t="str">
        <f>IF($H653="","",INDEX('Detalle individual'!$D:$D,$H653))</f>
        <v/>
      </c>
      <c r="G653" s="5" t="str">
        <f>IF($H653="","",INDEX('Detalle individual'!$F:$F,$H653))</f>
        <v/>
      </c>
      <c r="H653" t="str">
        <f>IFERROR(MATCH(SMALL(Cálculos!$AJ$5:$AJ$1000,649),Cálculos!$AJ$5:$AJ$1000,0)+4,"")</f>
        <v/>
      </c>
    </row>
    <row r="654">
      <c r="B654" s="5" t="str">
        <f>IF($H654="","",INDEX('Detalle individual'!$B:$B,$H654))</f>
        <v/>
      </c>
      <c r="C654" s="5" t="str">
        <f>IF($H654="","",INDEX('Detalle individual'!$A:$A,$H654))</f>
        <v/>
      </c>
      <c r="D654" s="5" t="str">
        <f>IF($H654="","",INDEX('Detalle individual'!$E:$E,$H654))</f>
        <v/>
      </c>
      <c r="E654" s="5" t="str">
        <f>IF($H654="","",INDEX('Detalle individual'!$C:$C,$H654))</f>
        <v/>
      </c>
      <c r="F654" s="5" t="str">
        <f>IF($H654="","",INDEX('Detalle individual'!$D:$D,$H654))</f>
        <v/>
      </c>
      <c r="G654" s="5" t="str">
        <f>IF($H654="","",INDEX('Detalle individual'!$F:$F,$H654))</f>
        <v/>
      </c>
      <c r="H654" t="str">
        <f>IFERROR(MATCH(SMALL(Cálculos!$AJ$5:$AJ$1000,650),Cálculos!$AJ$5:$AJ$1000,0)+4,"")</f>
        <v/>
      </c>
    </row>
    <row r="655">
      <c r="B655" s="5" t="str">
        <f>IF($H655="","",INDEX('Detalle individual'!$B:$B,$H655))</f>
        <v/>
      </c>
      <c r="C655" s="5" t="str">
        <f>IF($H655="","",INDEX('Detalle individual'!$A:$A,$H655))</f>
        <v/>
      </c>
      <c r="D655" s="5" t="str">
        <f>IF($H655="","",INDEX('Detalle individual'!$E:$E,$H655))</f>
        <v/>
      </c>
      <c r="E655" s="5" t="str">
        <f>IF($H655="","",INDEX('Detalle individual'!$C:$C,$H655))</f>
        <v/>
      </c>
      <c r="F655" s="5" t="str">
        <f>IF($H655="","",INDEX('Detalle individual'!$D:$D,$H655))</f>
        <v/>
      </c>
      <c r="G655" s="5" t="str">
        <f>IF($H655="","",INDEX('Detalle individual'!$F:$F,$H655))</f>
        <v/>
      </c>
      <c r="H655" t="str">
        <f>IFERROR(MATCH(SMALL(Cálculos!$AJ$5:$AJ$1000,651),Cálculos!$AJ$5:$AJ$1000,0)+4,"")</f>
        <v/>
      </c>
    </row>
    <row r="656">
      <c r="B656" s="5" t="str">
        <f>IF($H656="","",INDEX('Detalle individual'!$B:$B,$H656))</f>
        <v/>
      </c>
      <c r="C656" s="5" t="str">
        <f>IF($H656="","",INDEX('Detalle individual'!$A:$A,$H656))</f>
        <v/>
      </c>
      <c r="D656" s="5" t="str">
        <f>IF($H656="","",INDEX('Detalle individual'!$E:$E,$H656))</f>
        <v/>
      </c>
      <c r="E656" s="5" t="str">
        <f>IF($H656="","",INDEX('Detalle individual'!$C:$C,$H656))</f>
        <v/>
      </c>
      <c r="F656" s="5" t="str">
        <f>IF($H656="","",INDEX('Detalle individual'!$D:$D,$H656))</f>
        <v/>
      </c>
      <c r="G656" s="5" t="str">
        <f>IF($H656="","",INDEX('Detalle individual'!$F:$F,$H656))</f>
        <v/>
      </c>
      <c r="H656" t="str">
        <f>IFERROR(MATCH(SMALL(Cálculos!$AJ$5:$AJ$1000,652),Cálculos!$AJ$5:$AJ$1000,0)+4,"")</f>
        <v/>
      </c>
    </row>
    <row r="657">
      <c r="B657" s="5" t="str">
        <f>IF($H657="","",INDEX('Detalle individual'!$B:$B,$H657))</f>
        <v/>
      </c>
      <c r="C657" s="5" t="str">
        <f>IF($H657="","",INDEX('Detalle individual'!$A:$A,$H657))</f>
        <v/>
      </c>
      <c r="D657" s="5" t="str">
        <f>IF($H657="","",INDEX('Detalle individual'!$E:$E,$H657))</f>
        <v/>
      </c>
      <c r="E657" s="5" t="str">
        <f>IF($H657="","",INDEX('Detalle individual'!$C:$C,$H657))</f>
        <v/>
      </c>
      <c r="F657" s="5" t="str">
        <f>IF($H657="","",INDEX('Detalle individual'!$D:$D,$H657))</f>
        <v/>
      </c>
      <c r="G657" s="5" t="str">
        <f>IF($H657="","",INDEX('Detalle individual'!$F:$F,$H657))</f>
        <v/>
      </c>
      <c r="H657" t="str">
        <f>IFERROR(MATCH(SMALL(Cálculos!$AJ$5:$AJ$1000,653),Cálculos!$AJ$5:$AJ$1000,0)+4,"")</f>
        <v/>
      </c>
    </row>
    <row r="658">
      <c r="B658" s="5" t="str">
        <f>IF($H658="","",INDEX('Detalle individual'!$B:$B,$H658))</f>
        <v/>
      </c>
      <c r="C658" s="5" t="str">
        <f>IF($H658="","",INDEX('Detalle individual'!$A:$A,$H658))</f>
        <v/>
      </c>
      <c r="D658" s="5" t="str">
        <f>IF($H658="","",INDEX('Detalle individual'!$E:$E,$H658))</f>
        <v/>
      </c>
      <c r="E658" s="5" t="str">
        <f>IF($H658="","",INDEX('Detalle individual'!$C:$C,$H658))</f>
        <v/>
      </c>
      <c r="F658" s="5" t="str">
        <f>IF($H658="","",INDEX('Detalle individual'!$D:$D,$H658))</f>
        <v/>
      </c>
      <c r="G658" s="5" t="str">
        <f>IF($H658="","",INDEX('Detalle individual'!$F:$F,$H658))</f>
        <v/>
      </c>
      <c r="H658" t="str">
        <f>IFERROR(MATCH(SMALL(Cálculos!$AJ$5:$AJ$1000,654),Cálculos!$AJ$5:$AJ$1000,0)+4,"")</f>
        <v/>
      </c>
    </row>
    <row r="659">
      <c r="B659" s="5" t="str">
        <f>IF($H659="","",INDEX('Detalle individual'!$B:$B,$H659))</f>
        <v/>
      </c>
      <c r="C659" s="5" t="str">
        <f>IF($H659="","",INDEX('Detalle individual'!$A:$A,$H659))</f>
        <v/>
      </c>
      <c r="D659" s="5" t="str">
        <f>IF($H659="","",INDEX('Detalle individual'!$E:$E,$H659))</f>
        <v/>
      </c>
      <c r="E659" s="5" t="str">
        <f>IF($H659="","",INDEX('Detalle individual'!$C:$C,$H659))</f>
        <v/>
      </c>
      <c r="F659" s="5" t="str">
        <f>IF($H659="","",INDEX('Detalle individual'!$D:$D,$H659))</f>
        <v/>
      </c>
      <c r="G659" s="5" t="str">
        <f>IF($H659="","",INDEX('Detalle individual'!$F:$F,$H659))</f>
        <v/>
      </c>
      <c r="H659" t="str">
        <f>IFERROR(MATCH(SMALL(Cálculos!$AJ$5:$AJ$1000,655),Cálculos!$AJ$5:$AJ$1000,0)+4,"")</f>
        <v/>
      </c>
    </row>
    <row r="660">
      <c r="B660" s="5" t="str">
        <f>IF($H660="","",INDEX('Detalle individual'!$B:$B,$H660))</f>
        <v/>
      </c>
      <c r="C660" s="5" t="str">
        <f>IF($H660="","",INDEX('Detalle individual'!$A:$A,$H660))</f>
        <v/>
      </c>
      <c r="D660" s="5" t="str">
        <f>IF($H660="","",INDEX('Detalle individual'!$E:$E,$H660))</f>
        <v/>
      </c>
      <c r="E660" s="5" t="str">
        <f>IF($H660="","",INDEX('Detalle individual'!$C:$C,$H660))</f>
        <v/>
      </c>
      <c r="F660" s="5" t="str">
        <f>IF($H660="","",INDEX('Detalle individual'!$D:$D,$H660))</f>
        <v/>
      </c>
      <c r="G660" s="5" t="str">
        <f>IF($H660="","",INDEX('Detalle individual'!$F:$F,$H660))</f>
        <v/>
      </c>
      <c r="H660" t="str">
        <f>IFERROR(MATCH(SMALL(Cálculos!$AJ$5:$AJ$1000,656),Cálculos!$AJ$5:$AJ$1000,0)+4,"")</f>
        <v/>
      </c>
    </row>
    <row r="661">
      <c r="B661" s="5" t="str">
        <f>IF($H661="","",INDEX('Detalle individual'!$B:$B,$H661))</f>
        <v/>
      </c>
      <c r="C661" s="5" t="str">
        <f>IF($H661="","",INDEX('Detalle individual'!$A:$A,$H661))</f>
        <v/>
      </c>
      <c r="D661" s="5" t="str">
        <f>IF($H661="","",INDEX('Detalle individual'!$E:$E,$H661))</f>
        <v/>
      </c>
      <c r="E661" s="5" t="str">
        <f>IF($H661="","",INDEX('Detalle individual'!$C:$C,$H661))</f>
        <v/>
      </c>
      <c r="F661" s="5" t="str">
        <f>IF($H661="","",INDEX('Detalle individual'!$D:$D,$H661))</f>
        <v/>
      </c>
      <c r="G661" s="5" t="str">
        <f>IF($H661="","",INDEX('Detalle individual'!$F:$F,$H661))</f>
        <v/>
      </c>
      <c r="H661" t="str">
        <f>IFERROR(MATCH(SMALL(Cálculos!$AJ$5:$AJ$1000,657),Cálculos!$AJ$5:$AJ$1000,0)+4,"")</f>
        <v/>
      </c>
    </row>
    <row r="662">
      <c r="B662" s="5" t="str">
        <f>IF($H662="","",INDEX('Detalle individual'!$B:$B,$H662))</f>
        <v/>
      </c>
      <c r="C662" s="5" t="str">
        <f>IF($H662="","",INDEX('Detalle individual'!$A:$A,$H662))</f>
        <v/>
      </c>
      <c r="D662" s="5" t="str">
        <f>IF($H662="","",INDEX('Detalle individual'!$E:$E,$H662))</f>
        <v/>
      </c>
      <c r="E662" s="5" t="str">
        <f>IF($H662="","",INDEX('Detalle individual'!$C:$C,$H662))</f>
        <v/>
      </c>
      <c r="F662" s="5" t="str">
        <f>IF($H662="","",INDEX('Detalle individual'!$D:$D,$H662))</f>
        <v/>
      </c>
      <c r="G662" s="5" t="str">
        <f>IF($H662="","",INDEX('Detalle individual'!$F:$F,$H662))</f>
        <v/>
      </c>
      <c r="H662" t="str">
        <f>IFERROR(MATCH(SMALL(Cálculos!$AJ$5:$AJ$1000,658),Cálculos!$AJ$5:$AJ$1000,0)+4,"")</f>
        <v/>
      </c>
    </row>
    <row r="663">
      <c r="B663" s="5" t="str">
        <f>IF($H663="","",INDEX('Detalle individual'!$B:$B,$H663))</f>
        <v/>
      </c>
      <c r="C663" s="5" t="str">
        <f>IF($H663="","",INDEX('Detalle individual'!$A:$A,$H663))</f>
        <v/>
      </c>
      <c r="D663" s="5" t="str">
        <f>IF($H663="","",INDEX('Detalle individual'!$E:$E,$H663))</f>
        <v/>
      </c>
      <c r="E663" s="5" t="str">
        <f>IF($H663="","",INDEX('Detalle individual'!$C:$C,$H663))</f>
        <v/>
      </c>
      <c r="F663" s="5" t="str">
        <f>IF($H663="","",INDEX('Detalle individual'!$D:$D,$H663))</f>
        <v/>
      </c>
      <c r="G663" s="5" t="str">
        <f>IF($H663="","",INDEX('Detalle individual'!$F:$F,$H663))</f>
        <v/>
      </c>
      <c r="H663" t="str">
        <f>IFERROR(MATCH(SMALL(Cálculos!$AJ$5:$AJ$1000,659),Cálculos!$AJ$5:$AJ$1000,0)+4,"")</f>
        <v/>
      </c>
    </row>
    <row r="664">
      <c r="B664" s="5" t="str">
        <f>IF($H664="","",INDEX('Detalle individual'!$B:$B,$H664))</f>
        <v/>
      </c>
      <c r="C664" s="5" t="str">
        <f>IF($H664="","",INDEX('Detalle individual'!$A:$A,$H664))</f>
        <v/>
      </c>
      <c r="D664" s="5" t="str">
        <f>IF($H664="","",INDEX('Detalle individual'!$E:$E,$H664))</f>
        <v/>
      </c>
      <c r="E664" s="5" t="str">
        <f>IF($H664="","",INDEX('Detalle individual'!$C:$C,$H664))</f>
        <v/>
      </c>
      <c r="F664" s="5" t="str">
        <f>IF($H664="","",INDEX('Detalle individual'!$D:$D,$H664))</f>
        <v/>
      </c>
      <c r="G664" s="5" t="str">
        <f>IF($H664="","",INDEX('Detalle individual'!$F:$F,$H664))</f>
        <v/>
      </c>
      <c r="H664" t="str">
        <f>IFERROR(MATCH(SMALL(Cálculos!$AJ$5:$AJ$1000,660),Cálculos!$AJ$5:$AJ$1000,0)+4,"")</f>
        <v/>
      </c>
    </row>
    <row r="665">
      <c r="B665" s="5" t="str">
        <f>IF($H665="","",INDEX('Detalle individual'!$B:$B,$H665))</f>
        <v/>
      </c>
      <c r="C665" s="5" t="str">
        <f>IF($H665="","",INDEX('Detalle individual'!$A:$A,$H665))</f>
        <v/>
      </c>
      <c r="D665" s="5" t="str">
        <f>IF($H665="","",INDEX('Detalle individual'!$E:$E,$H665))</f>
        <v/>
      </c>
      <c r="E665" s="5" t="str">
        <f>IF($H665="","",INDEX('Detalle individual'!$C:$C,$H665))</f>
        <v/>
      </c>
      <c r="F665" s="5" t="str">
        <f>IF($H665="","",INDEX('Detalle individual'!$D:$D,$H665))</f>
        <v/>
      </c>
      <c r="G665" s="5" t="str">
        <f>IF($H665="","",INDEX('Detalle individual'!$F:$F,$H665))</f>
        <v/>
      </c>
      <c r="H665" t="str">
        <f>IFERROR(MATCH(SMALL(Cálculos!$AJ$5:$AJ$1000,661),Cálculos!$AJ$5:$AJ$1000,0)+4,"")</f>
        <v/>
      </c>
    </row>
    <row r="666">
      <c r="B666" s="5" t="str">
        <f>IF($H666="","",INDEX('Detalle individual'!$B:$B,$H666))</f>
        <v/>
      </c>
      <c r="C666" s="5" t="str">
        <f>IF($H666="","",INDEX('Detalle individual'!$A:$A,$H666))</f>
        <v/>
      </c>
      <c r="D666" s="5" t="str">
        <f>IF($H666="","",INDEX('Detalle individual'!$E:$E,$H666))</f>
        <v/>
      </c>
      <c r="E666" s="5" t="str">
        <f>IF($H666="","",INDEX('Detalle individual'!$C:$C,$H666))</f>
        <v/>
      </c>
      <c r="F666" s="5" t="str">
        <f>IF($H666="","",INDEX('Detalle individual'!$D:$D,$H666))</f>
        <v/>
      </c>
      <c r="G666" s="5" t="str">
        <f>IF($H666="","",INDEX('Detalle individual'!$F:$F,$H666))</f>
        <v/>
      </c>
      <c r="H666" t="str">
        <f>IFERROR(MATCH(SMALL(Cálculos!$AJ$5:$AJ$1000,662),Cálculos!$AJ$5:$AJ$1000,0)+4,"")</f>
        <v/>
      </c>
    </row>
    <row r="667">
      <c r="B667" s="5" t="str">
        <f>IF($H667="","",INDEX('Detalle individual'!$B:$B,$H667))</f>
        <v/>
      </c>
      <c r="C667" s="5" t="str">
        <f>IF($H667="","",INDEX('Detalle individual'!$A:$A,$H667))</f>
        <v/>
      </c>
      <c r="D667" s="5" t="str">
        <f>IF($H667="","",INDEX('Detalle individual'!$E:$E,$H667))</f>
        <v/>
      </c>
      <c r="E667" s="5" t="str">
        <f>IF($H667="","",INDEX('Detalle individual'!$C:$C,$H667))</f>
        <v/>
      </c>
      <c r="F667" s="5" t="str">
        <f>IF($H667="","",INDEX('Detalle individual'!$D:$D,$H667))</f>
        <v/>
      </c>
      <c r="G667" s="5" t="str">
        <f>IF($H667="","",INDEX('Detalle individual'!$F:$F,$H667))</f>
        <v/>
      </c>
      <c r="H667" t="str">
        <f>IFERROR(MATCH(SMALL(Cálculos!$AJ$5:$AJ$1000,663),Cálculos!$AJ$5:$AJ$1000,0)+4,"")</f>
        <v/>
      </c>
    </row>
    <row r="668">
      <c r="B668" s="5" t="str">
        <f>IF($H668="","",INDEX('Detalle individual'!$B:$B,$H668))</f>
        <v/>
      </c>
      <c r="C668" s="5" t="str">
        <f>IF($H668="","",INDEX('Detalle individual'!$A:$A,$H668))</f>
        <v/>
      </c>
      <c r="D668" s="5" t="str">
        <f>IF($H668="","",INDEX('Detalle individual'!$E:$E,$H668))</f>
        <v/>
      </c>
      <c r="E668" s="5" t="str">
        <f>IF($H668="","",INDEX('Detalle individual'!$C:$C,$H668))</f>
        <v/>
      </c>
      <c r="F668" s="5" t="str">
        <f>IF($H668="","",INDEX('Detalle individual'!$D:$D,$H668))</f>
        <v/>
      </c>
      <c r="G668" s="5" t="str">
        <f>IF($H668="","",INDEX('Detalle individual'!$F:$F,$H668))</f>
        <v/>
      </c>
      <c r="H668" t="str">
        <f>IFERROR(MATCH(SMALL(Cálculos!$AJ$5:$AJ$1000,664),Cálculos!$AJ$5:$AJ$1000,0)+4,"")</f>
        <v/>
      </c>
    </row>
    <row r="669">
      <c r="B669" s="5" t="str">
        <f>IF($H669="","",INDEX('Detalle individual'!$B:$B,$H669))</f>
        <v/>
      </c>
      <c r="C669" s="5" t="str">
        <f>IF($H669="","",INDEX('Detalle individual'!$A:$A,$H669))</f>
        <v/>
      </c>
      <c r="D669" s="5" t="str">
        <f>IF($H669="","",INDEX('Detalle individual'!$E:$E,$H669))</f>
        <v/>
      </c>
      <c r="E669" s="5" t="str">
        <f>IF($H669="","",INDEX('Detalle individual'!$C:$C,$H669))</f>
        <v/>
      </c>
      <c r="F669" s="5" t="str">
        <f>IF($H669="","",INDEX('Detalle individual'!$D:$D,$H669))</f>
        <v/>
      </c>
      <c r="G669" s="5" t="str">
        <f>IF($H669="","",INDEX('Detalle individual'!$F:$F,$H669))</f>
        <v/>
      </c>
      <c r="H669" t="str">
        <f>IFERROR(MATCH(SMALL(Cálculos!$AJ$5:$AJ$1000,665),Cálculos!$AJ$5:$AJ$1000,0)+4,"")</f>
        <v/>
      </c>
    </row>
    <row r="670">
      <c r="B670" s="5" t="str">
        <f>IF($H670="","",INDEX('Detalle individual'!$B:$B,$H670))</f>
        <v/>
      </c>
      <c r="C670" s="5" t="str">
        <f>IF($H670="","",INDEX('Detalle individual'!$A:$A,$H670))</f>
        <v/>
      </c>
      <c r="D670" s="5" t="str">
        <f>IF($H670="","",INDEX('Detalle individual'!$E:$E,$H670))</f>
        <v/>
      </c>
      <c r="E670" s="5" t="str">
        <f>IF($H670="","",INDEX('Detalle individual'!$C:$C,$H670))</f>
        <v/>
      </c>
      <c r="F670" s="5" t="str">
        <f>IF($H670="","",INDEX('Detalle individual'!$D:$D,$H670))</f>
        <v/>
      </c>
      <c r="G670" s="5" t="str">
        <f>IF($H670="","",INDEX('Detalle individual'!$F:$F,$H670))</f>
        <v/>
      </c>
      <c r="H670" t="str">
        <f>IFERROR(MATCH(SMALL(Cálculos!$AJ$5:$AJ$1000,666),Cálculos!$AJ$5:$AJ$1000,0)+4,"")</f>
        <v/>
      </c>
    </row>
    <row r="671">
      <c r="B671" s="5" t="str">
        <f>IF($H671="","",INDEX('Detalle individual'!$B:$B,$H671))</f>
        <v/>
      </c>
      <c r="C671" s="5" t="str">
        <f>IF($H671="","",INDEX('Detalle individual'!$A:$A,$H671))</f>
        <v/>
      </c>
      <c r="D671" s="5" t="str">
        <f>IF($H671="","",INDEX('Detalle individual'!$E:$E,$H671))</f>
        <v/>
      </c>
      <c r="E671" s="5" t="str">
        <f>IF($H671="","",INDEX('Detalle individual'!$C:$C,$H671))</f>
        <v/>
      </c>
      <c r="F671" s="5" t="str">
        <f>IF($H671="","",INDEX('Detalle individual'!$D:$D,$H671))</f>
        <v/>
      </c>
      <c r="G671" s="5" t="str">
        <f>IF($H671="","",INDEX('Detalle individual'!$F:$F,$H671))</f>
        <v/>
      </c>
      <c r="H671" t="str">
        <f>IFERROR(MATCH(SMALL(Cálculos!$AJ$5:$AJ$1000,667),Cálculos!$AJ$5:$AJ$1000,0)+4,"")</f>
        <v/>
      </c>
    </row>
    <row r="672">
      <c r="B672" s="5" t="str">
        <f>IF($H672="","",INDEX('Detalle individual'!$B:$B,$H672))</f>
        <v/>
      </c>
      <c r="C672" s="5" t="str">
        <f>IF($H672="","",INDEX('Detalle individual'!$A:$A,$H672))</f>
        <v/>
      </c>
      <c r="D672" s="5" t="str">
        <f>IF($H672="","",INDEX('Detalle individual'!$E:$E,$H672))</f>
        <v/>
      </c>
      <c r="E672" s="5" t="str">
        <f>IF($H672="","",INDEX('Detalle individual'!$C:$C,$H672))</f>
        <v/>
      </c>
      <c r="F672" s="5" t="str">
        <f>IF($H672="","",INDEX('Detalle individual'!$D:$D,$H672))</f>
        <v/>
      </c>
      <c r="G672" s="5" t="str">
        <f>IF($H672="","",INDEX('Detalle individual'!$F:$F,$H672))</f>
        <v/>
      </c>
      <c r="H672" t="str">
        <f>IFERROR(MATCH(SMALL(Cálculos!$AJ$5:$AJ$1000,668),Cálculos!$AJ$5:$AJ$1000,0)+4,"")</f>
        <v/>
      </c>
    </row>
    <row r="673">
      <c r="B673" s="5" t="str">
        <f>IF($H673="","",INDEX('Detalle individual'!$B:$B,$H673))</f>
        <v/>
      </c>
      <c r="C673" s="5" t="str">
        <f>IF($H673="","",INDEX('Detalle individual'!$A:$A,$H673))</f>
        <v/>
      </c>
      <c r="D673" s="5" t="str">
        <f>IF($H673="","",INDEX('Detalle individual'!$E:$E,$H673))</f>
        <v/>
      </c>
      <c r="E673" s="5" t="str">
        <f>IF($H673="","",INDEX('Detalle individual'!$C:$C,$H673))</f>
        <v/>
      </c>
      <c r="F673" s="5" t="str">
        <f>IF($H673="","",INDEX('Detalle individual'!$D:$D,$H673))</f>
        <v/>
      </c>
      <c r="G673" s="5" t="str">
        <f>IF($H673="","",INDEX('Detalle individual'!$F:$F,$H673))</f>
        <v/>
      </c>
      <c r="H673" t="str">
        <f>IFERROR(MATCH(SMALL(Cálculos!$AJ$5:$AJ$1000,669),Cálculos!$AJ$5:$AJ$1000,0)+4,"")</f>
        <v/>
      </c>
    </row>
    <row r="674">
      <c r="B674" s="5" t="str">
        <f>IF($H674="","",INDEX('Detalle individual'!$B:$B,$H674))</f>
        <v/>
      </c>
      <c r="C674" s="5" t="str">
        <f>IF($H674="","",INDEX('Detalle individual'!$A:$A,$H674))</f>
        <v/>
      </c>
      <c r="D674" s="5" t="str">
        <f>IF($H674="","",INDEX('Detalle individual'!$E:$E,$H674))</f>
        <v/>
      </c>
      <c r="E674" s="5" t="str">
        <f>IF($H674="","",INDEX('Detalle individual'!$C:$C,$H674))</f>
        <v/>
      </c>
      <c r="F674" s="5" t="str">
        <f>IF($H674="","",INDEX('Detalle individual'!$D:$D,$H674))</f>
        <v/>
      </c>
      <c r="G674" s="5" t="str">
        <f>IF($H674="","",INDEX('Detalle individual'!$F:$F,$H674))</f>
        <v/>
      </c>
      <c r="H674" t="str">
        <f>IFERROR(MATCH(SMALL(Cálculos!$AJ$5:$AJ$1000,670),Cálculos!$AJ$5:$AJ$1000,0)+4,"")</f>
        <v/>
      </c>
    </row>
    <row r="675">
      <c r="B675" s="5" t="str">
        <f>IF($H675="","",INDEX('Detalle individual'!$B:$B,$H675))</f>
        <v/>
      </c>
      <c r="C675" s="5" t="str">
        <f>IF($H675="","",INDEX('Detalle individual'!$A:$A,$H675))</f>
        <v/>
      </c>
      <c r="D675" s="5" t="str">
        <f>IF($H675="","",INDEX('Detalle individual'!$E:$E,$H675))</f>
        <v/>
      </c>
      <c r="E675" s="5" t="str">
        <f>IF($H675="","",INDEX('Detalle individual'!$C:$C,$H675))</f>
        <v/>
      </c>
      <c r="F675" s="5" t="str">
        <f>IF($H675="","",INDEX('Detalle individual'!$D:$D,$H675))</f>
        <v/>
      </c>
      <c r="G675" s="5" t="str">
        <f>IF($H675="","",INDEX('Detalle individual'!$F:$F,$H675))</f>
        <v/>
      </c>
      <c r="H675" t="str">
        <f>IFERROR(MATCH(SMALL(Cálculos!$AJ$5:$AJ$1000,671),Cálculos!$AJ$5:$AJ$1000,0)+4,"")</f>
        <v/>
      </c>
    </row>
    <row r="676">
      <c r="B676" s="5" t="str">
        <f>IF($H676="","",INDEX('Detalle individual'!$B:$B,$H676))</f>
        <v/>
      </c>
      <c r="C676" s="5" t="str">
        <f>IF($H676="","",INDEX('Detalle individual'!$A:$A,$H676))</f>
        <v/>
      </c>
      <c r="D676" s="5" t="str">
        <f>IF($H676="","",INDEX('Detalle individual'!$E:$E,$H676))</f>
        <v/>
      </c>
      <c r="E676" s="5" t="str">
        <f>IF($H676="","",INDEX('Detalle individual'!$C:$C,$H676))</f>
        <v/>
      </c>
      <c r="F676" s="5" t="str">
        <f>IF($H676="","",INDEX('Detalle individual'!$D:$D,$H676))</f>
        <v/>
      </c>
      <c r="G676" s="5" t="str">
        <f>IF($H676="","",INDEX('Detalle individual'!$F:$F,$H676))</f>
        <v/>
      </c>
      <c r="H676" t="str">
        <f>IFERROR(MATCH(SMALL(Cálculos!$AJ$5:$AJ$1000,672),Cálculos!$AJ$5:$AJ$1000,0)+4,"")</f>
        <v/>
      </c>
    </row>
    <row r="677">
      <c r="B677" s="5" t="str">
        <f>IF($H677="","",INDEX('Detalle individual'!$B:$B,$H677))</f>
        <v/>
      </c>
      <c r="C677" s="5" t="str">
        <f>IF($H677="","",INDEX('Detalle individual'!$A:$A,$H677))</f>
        <v/>
      </c>
      <c r="D677" s="5" t="str">
        <f>IF($H677="","",INDEX('Detalle individual'!$E:$E,$H677))</f>
        <v/>
      </c>
      <c r="E677" s="5" t="str">
        <f>IF($H677="","",INDEX('Detalle individual'!$C:$C,$H677))</f>
        <v/>
      </c>
      <c r="F677" s="5" t="str">
        <f>IF($H677="","",INDEX('Detalle individual'!$D:$D,$H677))</f>
        <v/>
      </c>
      <c r="G677" s="5" t="str">
        <f>IF($H677="","",INDEX('Detalle individual'!$F:$F,$H677))</f>
        <v/>
      </c>
      <c r="H677" t="str">
        <f>IFERROR(MATCH(SMALL(Cálculos!$AJ$5:$AJ$1000,673),Cálculos!$AJ$5:$AJ$1000,0)+4,"")</f>
        <v/>
      </c>
    </row>
    <row r="678">
      <c r="B678" s="5" t="str">
        <f>IF($H678="","",INDEX('Detalle individual'!$B:$B,$H678))</f>
        <v/>
      </c>
      <c r="C678" s="5" t="str">
        <f>IF($H678="","",INDEX('Detalle individual'!$A:$A,$H678))</f>
        <v/>
      </c>
      <c r="D678" s="5" t="str">
        <f>IF($H678="","",INDEX('Detalle individual'!$E:$E,$H678))</f>
        <v/>
      </c>
      <c r="E678" s="5" t="str">
        <f>IF($H678="","",INDEX('Detalle individual'!$C:$C,$H678))</f>
        <v/>
      </c>
      <c r="F678" s="5" t="str">
        <f>IF($H678="","",INDEX('Detalle individual'!$D:$D,$H678))</f>
        <v/>
      </c>
      <c r="G678" s="5" t="str">
        <f>IF($H678="","",INDEX('Detalle individual'!$F:$F,$H678))</f>
        <v/>
      </c>
      <c r="H678" t="str">
        <f>IFERROR(MATCH(SMALL(Cálculos!$AJ$5:$AJ$1000,674),Cálculos!$AJ$5:$AJ$1000,0)+4,"")</f>
        <v/>
      </c>
    </row>
    <row r="679">
      <c r="B679" s="5" t="str">
        <f>IF($H679="","",INDEX('Detalle individual'!$B:$B,$H679))</f>
        <v/>
      </c>
      <c r="C679" s="5" t="str">
        <f>IF($H679="","",INDEX('Detalle individual'!$A:$A,$H679))</f>
        <v/>
      </c>
      <c r="D679" s="5" t="str">
        <f>IF($H679="","",INDEX('Detalle individual'!$E:$E,$H679))</f>
        <v/>
      </c>
      <c r="E679" s="5" t="str">
        <f>IF($H679="","",INDEX('Detalle individual'!$C:$C,$H679))</f>
        <v/>
      </c>
      <c r="F679" s="5" t="str">
        <f>IF($H679="","",INDEX('Detalle individual'!$D:$D,$H679))</f>
        <v/>
      </c>
      <c r="G679" s="5" t="str">
        <f>IF($H679="","",INDEX('Detalle individual'!$F:$F,$H679))</f>
        <v/>
      </c>
      <c r="H679" t="str">
        <f>IFERROR(MATCH(SMALL(Cálculos!$AJ$5:$AJ$1000,675),Cálculos!$AJ$5:$AJ$1000,0)+4,"")</f>
        <v/>
      </c>
    </row>
    <row r="680">
      <c r="B680" s="5" t="str">
        <f>IF($H680="","",INDEX('Detalle individual'!$B:$B,$H680))</f>
        <v/>
      </c>
      <c r="C680" s="5" t="str">
        <f>IF($H680="","",INDEX('Detalle individual'!$A:$A,$H680))</f>
        <v/>
      </c>
      <c r="D680" s="5" t="str">
        <f>IF($H680="","",INDEX('Detalle individual'!$E:$E,$H680))</f>
        <v/>
      </c>
      <c r="E680" s="5" t="str">
        <f>IF($H680="","",INDEX('Detalle individual'!$C:$C,$H680))</f>
        <v/>
      </c>
      <c r="F680" s="5" t="str">
        <f>IF($H680="","",INDEX('Detalle individual'!$D:$D,$H680))</f>
        <v/>
      </c>
      <c r="G680" s="5" t="str">
        <f>IF($H680="","",INDEX('Detalle individual'!$F:$F,$H680))</f>
        <v/>
      </c>
      <c r="H680" t="str">
        <f>IFERROR(MATCH(SMALL(Cálculos!$AJ$5:$AJ$1000,676),Cálculos!$AJ$5:$AJ$1000,0)+4,"")</f>
        <v/>
      </c>
    </row>
    <row r="681">
      <c r="B681" s="5" t="str">
        <f>IF($H681="","",INDEX('Detalle individual'!$B:$B,$H681))</f>
        <v/>
      </c>
      <c r="C681" s="5" t="str">
        <f>IF($H681="","",INDEX('Detalle individual'!$A:$A,$H681))</f>
        <v/>
      </c>
      <c r="D681" s="5" t="str">
        <f>IF($H681="","",INDEX('Detalle individual'!$E:$E,$H681))</f>
        <v/>
      </c>
      <c r="E681" s="5" t="str">
        <f>IF($H681="","",INDEX('Detalle individual'!$C:$C,$H681))</f>
        <v/>
      </c>
      <c r="F681" s="5" t="str">
        <f>IF($H681="","",INDEX('Detalle individual'!$D:$D,$H681))</f>
        <v/>
      </c>
      <c r="G681" s="5" t="str">
        <f>IF($H681="","",INDEX('Detalle individual'!$F:$F,$H681))</f>
        <v/>
      </c>
      <c r="H681" t="str">
        <f>IFERROR(MATCH(SMALL(Cálculos!$AJ$5:$AJ$1000,677),Cálculos!$AJ$5:$AJ$1000,0)+4,"")</f>
        <v/>
      </c>
    </row>
    <row r="682">
      <c r="B682" s="5" t="str">
        <f>IF($H682="","",INDEX('Detalle individual'!$B:$B,$H682))</f>
        <v/>
      </c>
      <c r="C682" s="5" t="str">
        <f>IF($H682="","",INDEX('Detalle individual'!$A:$A,$H682))</f>
        <v/>
      </c>
      <c r="D682" s="5" t="str">
        <f>IF($H682="","",INDEX('Detalle individual'!$E:$E,$H682))</f>
        <v/>
      </c>
      <c r="E682" s="5" t="str">
        <f>IF($H682="","",INDEX('Detalle individual'!$C:$C,$H682))</f>
        <v/>
      </c>
      <c r="F682" s="5" t="str">
        <f>IF($H682="","",INDEX('Detalle individual'!$D:$D,$H682))</f>
        <v/>
      </c>
      <c r="G682" s="5" t="str">
        <f>IF($H682="","",INDEX('Detalle individual'!$F:$F,$H682))</f>
        <v/>
      </c>
      <c r="H682" t="str">
        <f>IFERROR(MATCH(SMALL(Cálculos!$AJ$5:$AJ$1000,678),Cálculos!$AJ$5:$AJ$1000,0)+4,"")</f>
        <v/>
      </c>
    </row>
    <row r="683">
      <c r="B683" s="5" t="str">
        <f>IF($H683="","",INDEX('Detalle individual'!$B:$B,$H683))</f>
        <v/>
      </c>
      <c r="C683" s="5" t="str">
        <f>IF($H683="","",INDEX('Detalle individual'!$A:$A,$H683))</f>
        <v/>
      </c>
      <c r="D683" s="5" t="str">
        <f>IF($H683="","",INDEX('Detalle individual'!$E:$E,$H683))</f>
        <v/>
      </c>
      <c r="E683" s="5" t="str">
        <f>IF($H683="","",INDEX('Detalle individual'!$C:$C,$H683))</f>
        <v/>
      </c>
      <c r="F683" s="5" t="str">
        <f>IF($H683="","",INDEX('Detalle individual'!$D:$D,$H683))</f>
        <v/>
      </c>
      <c r="G683" s="5" t="str">
        <f>IF($H683="","",INDEX('Detalle individual'!$F:$F,$H683))</f>
        <v/>
      </c>
      <c r="H683" t="str">
        <f>IFERROR(MATCH(SMALL(Cálculos!$AJ$5:$AJ$1000,679),Cálculos!$AJ$5:$AJ$1000,0)+4,"")</f>
        <v/>
      </c>
    </row>
    <row r="684">
      <c r="B684" s="5" t="str">
        <f>IF($H684="","",INDEX('Detalle individual'!$B:$B,$H684))</f>
        <v/>
      </c>
      <c r="C684" s="5" t="str">
        <f>IF($H684="","",INDEX('Detalle individual'!$A:$A,$H684))</f>
        <v/>
      </c>
      <c r="D684" s="5" t="str">
        <f>IF($H684="","",INDEX('Detalle individual'!$E:$E,$H684))</f>
        <v/>
      </c>
      <c r="E684" s="5" t="str">
        <f>IF($H684="","",INDEX('Detalle individual'!$C:$C,$H684))</f>
        <v/>
      </c>
      <c r="F684" s="5" t="str">
        <f>IF($H684="","",INDEX('Detalle individual'!$D:$D,$H684))</f>
        <v/>
      </c>
      <c r="G684" s="5" t="str">
        <f>IF($H684="","",INDEX('Detalle individual'!$F:$F,$H684))</f>
        <v/>
      </c>
      <c r="H684" t="str">
        <f>IFERROR(MATCH(SMALL(Cálculos!$AJ$5:$AJ$1000,680),Cálculos!$AJ$5:$AJ$1000,0)+4,"")</f>
        <v/>
      </c>
    </row>
    <row r="685">
      <c r="B685" s="5" t="str">
        <f>IF($H685="","",INDEX('Detalle individual'!$B:$B,$H685))</f>
        <v/>
      </c>
      <c r="C685" s="5" t="str">
        <f>IF($H685="","",INDEX('Detalle individual'!$A:$A,$H685))</f>
        <v/>
      </c>
      <c r="D685" s="5" t="str">
        <f>IF($H685="","",INDEX('Detalle individual'!$E:$E,$H685))</f>
        <v/>
      </c>
      <c r="E685" s="5" t="str">
        <f>IF($H685="","",INDEX('Detalle individual'!$C:$C,$H685))</f>
        <v/>
      </c>
      <c r="F685" s="5" t="str">
        <f>IF($H685="","",INDEX('Detalle individual'!$D:$D,$H685))</f>
        <v/>
      </c>
      <c r="G685" s="5" t="str">
        <f>IF($H685="","",INDEX('Detalle individual'!$F:$F,$H685))</f>
        <v/>
      </c>
      <c r="H685" t="str">
        <f>IFERROR(MATCH(SMALL(Cálculos!$AJ$5:$AJ$1000,681),Cálculos!$AJ$5:$AJ$1000,0)+4,"")</f>
        <v/>
      </c>
    </row>
    <row r="686">
      <c r="B686" s="5" t="str">
        <f>IF($H686="","",INDEX('Detalle individual'!$B:$B,$H686))</f>
        <v/>
      </c>
      <c r="C686" s="5" t="str">
        <f>IF($H686="","",INDEX('Detalle individual'!$A:$A,$H686))</f>
        <v/>
      </c>
      <c r="D686" s="5" t="str">
        <f>IF($H686="","",INDEX('Detalle individual'!$E:$E,$H686))</f>
        <v/>
      </c>
      <c r="E686" s="5" t="str">
        <f>IF($H686="","",INDEX('Detalle individual'!$C:$C,$H686))</f>
        <v/>
      </c>
      <c r="F686" s="5" t="str">
        <f>IF($H686="","",INDEX('Detalle individual'!$D:$D,$H686))</f>
        <v/>
      </c>
      <c r="G686" s="5" t="str">
        <f>IF($H686="","",INDEX('Detalle individual'!$F:$F,$H686))</f>
        <v/>
      </c>
      <c r="H686" t="str">
        <f>IFERROR(MATCH(SMALL(Cálculos!$AJ$5:$AJ$1000,682),Cálculos!$AJ$5:$AJ$1000,0)+4,"")</f>
        <v/>
      </c>
    </row>
    <row r="687">
      <c r="B687" s="5" t="str">
        <f>IF($H687="","",INDEX('Detalle individual'!$B:$B,$H687))</f>
        <v/>
      </c>
      <c r="C687" s="5" t="str">
        <f>IF($H687="","",INDEX('Detalle individual'!$A:$A,$H687))</f>
        <v/>
      </c>
      <c r="D687" s="5" t="str">
        <f>IF($H687="","",INDEX('Detalle individual'!$E:$E,$H687))</f>
        <v/>
      </c>
      <c r="E687" s="5" t="str">
        <f>IF($H687="","",INDEX('Detalle individual'!$C:$C,$H687))</f>
        <v/>
      </c>
      <c r="F687" s="5" t="str">
        <f>IF($H687="","",INDEX('Detalle individual'!$D:$D,$H687))</f>
        <v/>
      </c>
      <c r="G687" s="5" t="str">
        <f>IF($H687="","",INDEX('Detalle individual'!$F:$F,$H687))</f>
        <v/>
      </c>
      <c r="H687" t="str">
        <f>IFERROR(MATCH(SMALL(Cálculos!$AJ$5:$AJ$1000,683),Cálculos!$AJ$5:$AJ$1000,0)+4,"")</f>
        <v/>
      </c>
    </row>
    <row r="688">
      <c r="B688" s="5" t="str">
        <f>IF($H688="","",INDEX('Detalle individual'!$B:$B,$H688))</f>
        <v/>
      </c>
      <c r="C688" s="5" t="str">
        <f>IF($H688="","",INDEX('Detalle individual'!$A:$A,$H688))</f>
        <v/>
      </c>
      <c r="D688" s="5" t="str">
        <f>IF($H688="","",INDEX('Detalle individual'!$E:$E,$H688))</f>
        <v/>
      </c>
      <c r="E688" s="5" t="str">
        <f>IF($H688="","",INDEX('Detalle individual'!$C:$C,$H688))</f>
        <v/>
      </c>
      <c r="F688" s="5" t="str">
        <f>IF($H688="","",INDEX('Detalle individual'!$D:$D,$H688))</f>
        <v/>
      </c>
      <c r="G688" s="5" t="str">
        <f>IF($H688="","",INDEX('Detalle individual'!$F:$F,$H688))</f>
        <v/>
      </c>
      <c r="H688" t="str">
        <f>IFERROR(MATCH(SMALL(Cálculos!$AJ$5:$AJ$1000,684),Cálculos!$AJ$5:$AJ$1000,0)+4,"")</f>
        <v/>
      </c>
    </row>
    <row r="689">
      <c r="B689" s="5" t="str">
        <f>IF($H689="","",INDEX('Detalle individual'!$B:$B,$H689))</f>
        <v/>
      </c>
      <c r="C689" s="5" t="str">
        <f>IF($H689="","",INDEX('Detalle individual'!$A:$A,$H689))</f>
        <v/>
      </c>
      <c r="D689" s="5" t="str">
        <f>IF($H689="","",INDEX('Detalle individual'!$E:$E,$H689))</f>
        <v/>
      </c>
      <c r="E689" s="5" t="str">
        <f>IF($H689="","",INDEX('Detalle individual'!$C:$C,$H689))</f>
        <v/>
      </c>
      <c r="F689" s="5" t="str">
        <f>IF($H689="","",INDEX('Detalle individual'!$D:$D,$H689))</f>
        <v/>
      </c>
      <c r="G689" s="5" t="str">
        <f>IF($H689="","",INDEX('Detalle individual'!$F:$F,$H689))</f>
        <v/>
      </c>
      <c r="H689" t="str">
        <f>IFERROR(MATCH(SMALL(Cálculos!$AJ$5:$AJ$1000,685),Cálculos!$AJ$5:$AJ$1000,0)+4,"")</f>
        <v/>
      </c>
    </row>
    <row r="690">
      <c r="B690" s="5" t="str">
        <f>IF($H690="","",INDEX('Detalle individual'!$B:$B,$H690))</f>
        <v/>
      </c>
      <c r="C690" s="5" t="str">
        <f>IF($H690="","",INDEX('Detalle individual'!$A:$A,$H690))</f>
        <v/>
      </c>
      <c r="D690" s="5" t="str">
        <f>IF($H690="","",INDEX('Detalle individual'!$E:$E,$H690))</f>
        <v/>
      </c>
      <c r="E690" s="5" t="str">
        <f>IF($H690="","",INDEX('Detalle individual'!$C:$C,$H690))</f>
        <v/>
      </c>
      <c r="F690" s="5" t="str">
        <f>IF($H690="","",INDEX('Detalle individual'!$D:$D,$H690))</f>
        <v/>
      </c>
      <c r="G690" s="5" t="str">
        <f>IF($H690="","",INDEX('Detalle individual'!$F:$F,$H690))</f>
        <v/>
      </c>
      <c r="H690" t="str">
        <f>IFERROR(MATCH(SMALL(Cálculos!$AJ$5:$AJ$1000,686),Cálculos!$AJ$5:$AJ$1000,0)+4,"")</f>
        <v/>
      </c>
    </row>
    <row r="691">
      <c r="B691" s="5" t="str">
        <f>IF($H691="","",INDEX('Detalle individual'!$B:$B,$H691))</f>
        <v/>
      </c>
      <c r="C691" s="5" t="str">
        <f>IF($H691="","",INDEX('Detalle individual'!$A:$A,$H691))</f>
        <v/>
      </c>
      <c r="D691" s="5" t="str">
        <f>IF($H691="","",INDEX('Detalle individual'!$E:$E,$H691))</f>
        <v/>
      </c>
      <c r="E691" s="5" t="str">
        <f>IF($H691="","",INDEX('Detalle individual'!$C:$C,$H691))</f>
        <v/>
      </c>
      <c r="F691" s="5" t="str">
        <f>IF($H691="","",INDEX('Detalle individual'!$D:$D,$H691))</f>
        <v/>
      </c>
      <c r="G691" s="5" t="str">
        <f>IF($H691="","",INDEX('Detalle individual'!$F:$F,$H691))</f>
        <v/>
      </c>
      <c r="H691" t="str">
        <f>IFERROR(MATCH(SMALL(Cálculos!$AJ$5:$AJ$1000,687),Cálculos!$AJ$5:$AJ$1000,0)+4,"")</f>
        <v/>
      </c>
    </row>
    <row r="692">
      <c r="B692" s="5" t="str">
        <f>IF($H692="","",INDEX('Detalle individual'!$B:$B,$H692))</f>
        <v/>
      </c>
      <c r="C692" s="5" t="str">
        <f>IF($H692="","",INDEX('Detalle individual'!$A:$A,$H692))</f>
        <v/>
      </c>
      <c r="D692" s="5" t="str">
        <f>IF($H692="","",INDEX('Detalle individual'!$E:$E,$H692))</f>
        <v/>
      </c>
      <c r="E692" s="5" t="str">
        <f>IF($H692="","",INDEX('Detalle individual'!$C:$C,$H692))</f>
        <v/>
      </c>
      <c r="F692" s="5" t="str">
        <f>IF($H692="","",INDEX('Detalle individual'!$D:$D,$H692))</f>
        <v/>
      </c>
      <c r="G692" s="5" t="str">
        <f>IF($H692="","",INDEX('Detalle individual'!$F:$F,$H692))</f>
        <v/>
      </c>
      <c r="H692" t="str">
        <f>IFERROR(MATCH(SMALL(Cálculos!$AJ$5:$AJ$1000,688),Cálculos!$AJ$5:$AJ$1000,0)+4,"")</f>
        <v/>
      </c>
    </row>
    <row r="693">
      <c r="B693" s="5" t="str">
        <f>IF($H693="","",INDEX('Detalle individual'!$B:$B,$H693))</f>
        <v/>
      </c>
      <c r="C693" s="5" t="str">
        <f>IF($H693="","",INDEX('Detalle individual'!$A:$A,$H693))</f>
        <v/>
      </c>
      <c r="D693" s="5" t="str">
        <f>IF($H693="","",INDEX('Detalle individual'!$E:$E,$H693))</f>
        <v/>
      </c>
      <c r="E693" s="5" t="str">
        <f>IF($H693="","",INDEX('Detalle individual'!$C:$C,$H693))</f>
        <v/>
      </c>
      <c r="F693" s="5" t="str">
        <f>IF($H693="","",INDEX('Detalle individual'!$D:$D,$H693))</f>
        <v/>
      </c>
      <c r="G693" s="5" t="str">
        <f>IF($H693="","",INDEX('Detalle individual'!$F:$F,$H693))</f>
        <v/>
      </c>
      <c r="H693" t="str">
        <f>IFERROR(MATCH(SMALL(Cálculos!$AJ$5:$AJ$1000,689),Cálculos!$AJ$5:$AJ$1000,0)+4,"")</f>
        <v/>
      </c>
    </row>
    <row r="694">
      <c r="B694" s="5" t="str">
        <f>IF($H694="","",INDEX('Detalle individual'!$B:$B,$H694))</f>
        <v/>
      </c>
      <c r="C694" s="5" t="str">
        <f>IF($H694="","",INDEX('Detalle individual'!$A:$A,$H694))</f>
        <v/>
      </c>
      <c r="D694" s="5" t="str">
        <f>IF($H694="","",INDEX('Detalle individual'!$E:$E,$H694))</f>
        <v/>
      </c>
      <c r="E694" s="5" t="str">
        <f>IF($H694="","",INDEX('Detalle individual'!$C:$C,$H694))</f>
        <v/>
      </c>
      <c r="F694" s="5" t="str">
        <f>IF($H694="","",INDEX('Detalle individual'!$D:$D,$H694))</f>
        <v/>
      </c>
      <c r="G694" s="5" t="str">
        <f>IF($H694="","",INDEX('Detalle individual'!$F:$F,$H694))</f>
        <v/>
      </c>
      <c r="H694" t="str">
        <f>IFERROR(MATCH(SMALL(Cálculos!$AJ$5:$AJ$1000,690),Cálculos!$AJ$5:$AJ$1000,0)+4,"")</f>
        <v/>
      </c>
    </row>
    <row r="695">
      <c r="B695" s="5" t="str">
        <f>IF($H695="","",INDEX('Detalle individual'!$B:$B,$H695))</f>
        <v/>
      </c>
      <c r="C695" s="5" t="str">
        <f>IF($H695="","",INDEX('Detalle individual'!$A:$A,$H695))</f>
        <v/>
      </c>
      <c r="D695" s="5" t="str">
        <f>IF($H695="","",INDEX('Detalle individual'!$E:$E,$H695))</f>
        <v/>
      </c>
      <c r="E695" s="5" t="str">
        <f>IF($H695="","",INDEX('Detalle individual'!$C:$C,$H695))</f>
        <v/>
      </c>
      <c r="F695" s="5" t="str">
        <f>IF($H695="","",INDEX('Detalle individual'!$D:$D,$H695))</f>
        <v/>
      </c>
      <c r="G695" s="5" t="str">
        <f>IF($H695="","",INDEX('Detalle individual'!$F:$F,$H695))</f>
        <v/>
      </c>
      <c r="H695" t="str">
        <f>IFERROR(MATCH(SMALL(Cálculos!$AJ$5:$AJ$1000,691),Cálculos!$AJ$5:$AJ$1000,0)+4,"")</f>
        <v/>
      </c>
    </row>
    <row r="696">
      <c r="B696" s="5" t="str">
        <f>IF($H696="","",INDEX('Detalle individual'!$B:$B,$H696))</f>
        <v/>
      </c>
      <c r="C696" s="5" t="str">
        <f>IF($H696="","",INDEX('Detalle individual'!$A:$A,$H696))</f>
        <v/>
      </c>
      <c r="D696" s="5" t="str">
        <f>IF($H696="","",INDEX('Detalle individual'!$E:$E,$H696))</f>
        <v/>
      </c>
      <c r="E696" s="5" t="str">
        <f>IF($H696="","",INDEX('Detalle individual'!$C:$C,$H696))</f>
        <v/>
      </c>
      <c r="F696" s="5" t="str">
        <f>IF($H696="","",INDEX('Detalle individual'!$D:$D,$H696))</f>
        <v/>
      </c>
      <c r="G696" s="5" t="str">
        <f>IF($H696="","",INDEX('Detalle individual'!$F:$F,$H696))</f>
        <v/>
      </c>
      <c r="H696" t="str">
        <f>IFERROR(MATCH(SMALL(Cálculos!$AJ$5:$AJ$1000,692),Cálculos!$AJ$5:$AJ$1000,0)+4,"")</f>
        <v/>
      </c>
    </row>
    <row r="697">
      <c r="B697" s="5" t="str">
        <f>IF($H697="","",INDEX('Detalle individual'!$B:$B,$H697))</f>
        <v/>
      </c>
      <c r="C697" s="5" t="str">
        <f>IF($H697="","",INDEX('Detalle individual'!$A:$A,$H697))</f>
        <v/>
      </c>
      <c r="D697" s="5" t="str">
        <f>IF($H697="","",INDEX('Detalle individual'!$E:$E,$H697))</f>
        <v/>
      </c>
      <c r="E697" s="5" t="str">
        <f>IF($H697="","",INDEX('Detalle individual'!$C:$C,$H697))</f>
        <v/>
      </c>
      <c r="F697" s="5" t="str">
        <f>IF($H697="","",INDEX('Detalle individual'!$D:$D,$H697))</f>
        <v/>
      </c>
      <c r="G697" s="5" t="str">
        <f>IF($H697="","",INDEX('Detalle individual'!$F:$F,$H697))</f>
        <v/>
      </c>
      <c r="H697" t="str">
        <f>IFERROR(MATCH(SMALL(Cálculos!$AJ$5:$AJ$1000,693),Cálculos!$AJ$5:$AJ$1000,0)+4,"")</f>
        <v/>
      </c>
    </row>
    <row r="698">
      <c r="B698" s="5" t="str">
        <f>IF($H698="","",INDEX('Detalle individual'!$B:$B,$H698))</f>
        <v/>
      </c>
      <c r="C698" s="5" t="str">
        <f>IF($H698="","",INDEX('Detalle individual'!$A:$A,$H698))</f>
        <v/>
      </c>
      <c r="D698" s="5" t="str">
        <f>IF($H698="","",INDEX('Detalle individual'!$E:$E,$H698))</f>
        <v/>
      </c>
      <c r="E698" s="5" t="str">
        <f>IF($H698="","",INDEX('Detalle individual'!$C:$C,$H698))</f>
        <v/>
      </c>
      <c r="F698" s="5" t="str">
        <f>IF($H698="","",INDEX('Detalle individual'!$D:$D,$H698))</f>
        <v/>
      </c>
      <c r="G698" s="5" t="str">
        <f>IF($H698="","",INDEX('Detalle individual'!$F:$F,$H698))</f>
        <v/>
      </c>
      <c r="H698" t="str">
        <f>IFERROR(MATCH(SMALL(Cálculos!$AJ$5:$AJ$1000,694),Cálculos!$AJ$5:$AJ$1000,0)+4,"")</f>
        <v/>
      </c>
    </row>
    <row r="699">
      <c r="B699" s="5" t="str">
        <f>IF($H699="","",INDEX('Detalle individual'!$B:$B,$H699))</f>
        <v/>
      </c>
      <c r="C699" s="5" t="str">
        <f>IF($H699="","",INDEX('Detalle individual'!$A:$A,$H699))</f>
        <v/>
      </c>
      <c r="D699" s="5" t="str">
        <f>IF($H699="","",INDEX('Detalle individual'!$E:$E,$H699))</f>
        <v/>
      </c>
      <c r="E699" s="5" t="str">
        <f>IF($H699="","",INDEX('Detalle individual'!$C:$C,$H699))</f>
        <v/>
      </c>
      <c r="F699" s="5" t="str">
        <f>IF($H699="","",INDEX('Detalle individual'!$D:$D,$H699))</f>
        <v/>
      </c>
      <c r="G699" s="5" t="str">
        <f>IF($H699="","",INDEX('Detalle individual'!$F:$F,$H699))</f>
        <v/>
      </c>
      <c r="H699" t="str">
        <f>IFERROR(MATCH(SMALL(Cálculos!$AJ$5:$AJ$1000,695),Cálculos!$AJ$5:$AJ$1000,0)+4,"")</f>
        <v/>
      </c>
    </row>
    <row r="700">
      <c r="B700" s="5" t="str">
        <f>IF($H700="","",INDEX('Detalle individual'!$B:$B,$H700))</f>
        <v/>
      </c>
      <c r="C700" s="5" t="str">
        <f>IF($H700="","",INDEX('Detalle individual'!$A:$A,$H700))</f>
        <v/>
      </c>
      <c r="D700" s="5" t="str">
        <f>IF($H700="","",INDEX('Detalle individual'!$E:$E,$H700))</f>
        <v/>
      </c>
      <c r="E700" s="5" t="str">
        <f>IF($H700="","",INDEX('Detalle individual'!$C:$C,$H700))</f>
        <v/>
      </c>
      <c r="F700" s="5" t="str">
        <f>IF($H700="","",INDEX('Detalle individual'!$D:$D,$H700))</f>
        <v/>
      </c>
      <c r="G700" s="5" t="str">
        <f>IF($H700="","",INDEX('Detalle individual'!$F:$F,$H700))</f>
        <v/>
      </c>
      <c r="H700" t="str">
        <f>IFERROR(MATCH(SMALL(Cálculos!$AJ$5:$AJ$1000,696),Cálculos!$AJ$5:$AJ$1000,0)+4,"")</f>
        <v/>
      </c>
    </row>
    <row r="701">
      <c r="B701" s="5" t="str">
        <f>IF($H701="","",INDEX('Detalle individual'!$B:$B,$H701))</f>
        <v/>
      </c>
      <c r="C701" s="5" t="str">
        <f>IF($H701="","",INDEX('Detalle individual'!$A:$A,$H701))</f>
        <v/>
      </c>
      <c r="D701" s="5" t="str">
        <f>IF($H701="","",INDEX('Detalle individual'!$E:$E,$H701))</f>
        <v/>
      </c>
      <c r="E701" s="5" t="str">
        <f>IF($H701="","",INDEX('Detalle individual'!$C:$C,$H701))</f>
        <v/>
      </c>
      <c r="F701" s="5" t="str">
        <f>IF($H701="","",INDEX('Detalle individual'!$D:$D,$H701))</f>
        <v/>
      </c>
      <c r="G701" s="5" t="str">
        <f>IF($H701="","",INDEX('Detalle individual'!$F:$F,$H701))</f>
        <v/>
      </c>
      <c r="H701" t="str">
        <f>IFERROR(MATCH(SMALL(Cálculos!$AJ$5:$AJ$1000,697),Cálculos!$AJ$5:$AJ$1000,0)+4,"")</f>
        <v/>
      </c>
    </row>
    <row r="702">
      <c r="B702" s="5" t="str">
        <f>IF($H702="","",INDEX('Detalle individual'!$B:$B,$H702))</f>
        <v/>
      </c>
      <c r="C702" s="5" t="str">
        <f>IF($H702="","",INDEX('Detalle individual'!$A:$A,$H702))</f>
        <v/>
      </c>
      <c r="D702" s="5" t="str">
        <f>IF($H702="","",INDEX('Detalle individual'!$E:$E,$H702))</f>
        <v/>
      </c>
      <c r="E702" s="5" t="str">
        <f>IF($H702="","",INDEX('Detalle individual'!$C:$C,$H702))</f>
        <v/>
      </c>
      <c r="F702" s="5" t="str">
        <f>IF($H702="","",INDEX('Detalle individual'!$D:$D,$H702))</f>
        <v/>
      </c>
      <c r="G702" s="5" t="str">
        <f>IF($H702="","",INDEX('Detalle individual'!$F:$F,$H702))</f>
        <v/>
      </c>
      <c r="H702" t="str">
        <f>IFERROR(MATCH(SMALL(Cálculos!$AJ$5:$AJ$1000,698),Cálculos!$AJ$5:$AJ$1000,0)+4,"")</f>
        <v/>
      </c>
    </row>
    <row r="703">
      <c r="B703" s="5" t="str">
        <f>IF($H703="","",INDEX('Detalle individual'!$B:$B,$H703))</f>
        <v/>
      </c>
      <c r="C703" s="5" t="str">
        <f>IF($H703="","",INDEX('Detalle individual'!$A:$A,$H703))</f>
        <v/>
      </c>
      <c r="D703" s="5" t="str">
        <f>IF($H703="","",INDEX('Detalle individual'!$E:$E,$H703))</f>
        <v/>
      </c>
      <c r="E703" s="5" t="str">
        <f>IF($H703="","",INDEX('Detalle individual'!$C:$C,$H703))</f>
        <v/>
      </c>
      <c r="F703" s="5" t="str">
        <f>IF($H703="","",INDEX('Detalle individual'!$D:$D,$H703))</f>
        <v/>
      </c>
      <c r="G703" s="5" t="str">
        <f>IF($H703="","",INDEX('Detalle individual'!$F:$F,$H703))</f>
        <v/>
      </c>
      <c r="H703" t="str">
        <f>IFERROR(MATCH(SMALL(Cálculos!$AJ$5:$AJ$1000,699),Cálculos!$AJ$5:$AJ$1000,0)+4,"")</f>
        <v/>
      </c>
    </row>
    <row r="704">
      <c r="B704" s="5" t="str">
        <f>IF($H704="","",INDEX('Detalle individual'!$B:$B,$H704))</f>
        <v/>
      </c>
      <c r="C704" s="5" t="str">
        <f>IF($H704="","",INDEX('Detalle individual'!$A:$A,$H704))</f>
        <v/>
      </c>
      <c r="D704" s="5" t="str">
        <f>IF($H704="","",INDEX('Detalle individual'!$E:$E,$H704))</f>
        <v/>
      </c>
      <c r="E704" s="5" t="str">
        <f>IF($H704="","",INDEX('Detalle individual'!$C:$C,$H704))</f>
        <v/>
      </c>
      <c r="F704" s="5" t="str">
        <f>IF($H704="","",INDEX('Detalle individual'!$D:$D,$H704))</f>
        <v/>
      </c>
      <c r="G704" s="5" t="str">
        <f>IF($H704="","",INDEX('Detalle individual'!$F:$F,$H704))</f>
        <v/>
      </c>
      <c r="H704" t="str">
        <f>IFERROR(MATCH(SMALL(Cálculos!$AJ$5:$AJ$1000,700),Cálculos!$AJ$5:$AJ$1000,0)+4,"")</f>
        <v/>
      </c>
    </row>
    <row r="705">
      <c r="B705" s="5" t="str">
        <f>IF($H705="","",INDEX('Detalle individual'!$B:$B,$H705))</f>
        <v/>
      </c>
      <c r="C705" s="5" t="str">
        <f>IF($H705="","",INDEX('Detalle individual'!$A:$A,$H705))</f>
        <v/>
      </c>
      <c r="D705" s="5" t="str">
        <f>IF($H705="","",INDEX('Detalle individual'!$E:$E,$H705))</f>
        <v/>
      </c>
      <c r="E705" s="5" t="str">
        <f>IF($H705="","",INDEX('Detalle individual'!$C:$C,$H705))</f>
        <v/>
      </c>
      <c r="F705" s="5" t="str">
        <f>IF($H705="","",INDEX('Detalle individual'!$D:$D,$H705))</f>
        <v/>
      </c>
      <c r="G705" s="5" t="str">
        <f>IF($H705="","",INDEX('Detalle individual'!$F:$F,$H705))</f>
        <v/>
      </c>
      <c r="H705" t="str">
        <f>IFERROR(MATCH(SMALL(Cálculos!$AJ$5:$AJ$1000,701),Cálculos!$AJ$5:$AJ$1000,0)+4,"")</f>
        <v/>
      </c>
    </row>
    <row r="706">
      <c r="B706" s="5" t="str">
        <f>IF($H706="","",INDEX('Detalle individual'!$B:$B,$H706))</f>
        <v/>
      </c>
      <c r="C706" s="5" t="str">
        <f>IF($H706="","",INDEX('Detalle individual'!$A:$A,$H706))</f>
        <v/>
      </c>
      <c r="D706" s="5" t="str">
        <f>IF($H706="","",INDEX('Detalle individual'!$E:$E,$H706))</f>
        <v/>
      </c>
      <c r="E706" s="5" t="str">
        <f>IF($H706="","",INDEX('Detalle individual'!$C:$C,$H706))</f>
        <v/>
      </c>
      <c r="F706" s="5" t="str">
        <f>IF($H706="","",INDEX('Detalle individual'!$D:$D,$H706))</f>
        <v/>
      </c>
      <c r="G706" s="5" t="str">
        <f>IF($H706="","",INDEX('Detalle individual'!$F:$F,$H706))</f>
        <v/>
      </c>
      <c r="H706" t="str">
        <f>IFERROR(MATCH(SMALL(Cálculos!$AJ$5:$AJ$1000,702),Cálculos!$AJ$5:$AJ$1000,0)+4,"")</f>
        <v/>
      </c>
    </row>
    <row r="707">
      <c r="B707" s="5" t="str">
        <f>IF($H707="","",INDEX('Detalle individual'!$B:$B,$H707))</f>
        <v/>
      </c>
      <c r="C707" s="5" t="str">
        <f>IF($H707="","",INDEX('Detalle individual'!$A:$A,$H707))</f>
        <v/>
      </c>
      <c r="D707" s="5" t="str">
        <f>IF($H707="","",INDEX('Detalle individual'!$E:$E,$H707))</f>
        <v/>
      </c>
      <c r="E707" s="5" t="str">
        <f>IF($H707="","",INDEX('Detalle individual'!$C:$C,$H707))</f>
        <v/>
      </c>
      <c r="F707" s="5" t="str">
        <f>IF($H707="","",INDEX('Detalle individual'!$D:$D,$H707))</f>
        <v/>
      </c>
      <c r="G707" s="5" t="str">
        <f>IF($H707="","",INDEX('Detalle individual'!$F:$F,$H707))</f>
        <v/>
      </c>
      <c r="H707" t="str">
        <f>IFERROR(MATCH(SMALL(Cálculos!$AJ$5:$AJ$1000,703),Cálculos!$AJ$5:$AJ$1000,0)+4,"")</f>
        <v/>
      </c>
    </row>
    <row r="708">
      <c r="B708" s="5" t="str">
        <f>IF($H708="","",INDEX('Detalle individual'!$B:$B,$H708))</f>
        <v/>
      </c>
      <c r="C708" s="5" t="str">
        <f>IF($H708="","",INDEX('Detalle individual'!$A:$A,$H708))</f>
        <v/>
      </c>
      <c r="D708" s="5" t="str">
        <f>IF($H708="","",INDEX('Detalle individual'!$E:$E,$H708))</f>
        <v/>
      </c>
      <c r="E708" s="5" t="str">
        <f>IF($H708="","",INDEX('Detalle individual'!$C:$C,$H708))</f>
        <v/>
      </c>
      <c r="F708" s="5" t="str">
        <f>IF($H708="","",INDEX('Detalle individual'!$D:$D,$H708))</f>
        <v/>
      </c>
      <c r="G708" s="5" t="str">
        <f>IF($H708="","",INDEX('Detalle individual'!$F:$F,$H708))</f>
        <v/>
      </c>
      <c r="H708" t="str">
        <f>IFERROR(MATCH(SMALL(Cálculos!$AJ$5:$AJ$1000,704),Cálculos!$AJ$5:$AJ$1000,0)+4,"")</f>
        <v/>
      </c>
    </row>
    <row r="709">
      <c r="B709" s="5" t="str">
        <f>IF($H709="","",INDEX('Detalle individual'!$B:$B,$H709))</f>
        <v/>
      </c>
      <c r="C709" s="5" t="str">
        <f>IF($H709="","",INDEX('Detalle individual'!$A:$A,$H709))</f>
        <v/>
      </c>
      <c r="D709" s="5" t="str">
        <f>IF($H709="","",INDEX('Detalle individual'!$E:$E,$H709))</f>
        <v/>
      </c>
      <c r="E709" s="5" t="str">
        <f>IF($H709="","",INDEX('Detalle individual'!$C:$C,$H709))</f>
        <v/>
      </c>
      <c r="F709" s="5" t="str">
        <f>IF($H709="","",INDEX('Detalle individual'!$D:$D,$H709))</f>
        <v/>
      </c>
      <c r="G709" s="5" t="str">
        <f>IF($H709="","",INDEX('Detalle individual'!$F:$F,$H709))</f>
        <v/>
      </c>
      <c r="H709" t="str">
        <f>IFERROR(MATCH(SMALL(Cálculos!$AJ$5:$AJ$1000,705),Cálculos!$AJ$5:$AJ$1000,0)+4,"")</f>
        <v/>
      </c>
    </row>
    <row r="710">
      <c r="B710" s="5" t="str">
        <f>IF($H710="","",INDEX('Detalle individual'!$B:$B,$H710))</f>
        <v/>
      </c>
      <c r="C710" s="5" t="str">
        <f>IF($H710="","",INDEX('Detalle individual'!$A:$A,$H710))</f>
        <v/>
      </c>
      <c r="D710" s="5" t="str">
        <f>IF($H710="","",INDEX('Detalle individual'!$E:$E,$H710))</f>
        <v/>
      </c>
      <c r="E710" s="5" t="str">
        <f>IF($H710="","",INDEX('Detalle individual'!$C:$C,$H710))</f>
        <v/>
      </c>
      <c r="F710" s="5" t="str">
        <f>IF($H710="","",INDEX('Detalle individual'!$D:$D,$H710))</f>
        <v/>
      </c>
      <c r="G710" s="5" t="str">
        <f>IF($H710="","",INDEX('Detalle individual'!$F:$F,$H710))</f>
        <v/>
      </c>
      <c r="H710" t="str">
        <f>IFERROR(MATCH(SMALL(Cálculos!$AJ$5:$AJ$1000,706),Cálculos!$AJ$5:$AJ$1000,0)+4,"")</f>
        <v/>
      </c>
    </row>
    <row r="711">
      <c r="B711" s="5" t="str">
        <f>IF($H711="","",INDEX('Detalle individual'!$B:$B,$H711))</f>
        <v/>
      </c>
      <c r="C711" s="5" t="str">
        <f>IF($H711="","",INDEX('Detalle individual'!$A:$A,$H711))</f>
        <v/>
      </c>
      <c r="D711" s="5" t="str">
        <f>IF($H711="","",INDEX('Detalle individual'!$E:$E,$H711))</f>
        <v/>
      </c>
      <c r="E711" s="5" t="str">
        <f>IF($H711="","",INDEX('Detalle individual'!$C:$C,$H711))</f>
        <v/>
      </c>
      <c r="F711" s="5" t="str">
        <f>IF($H711="","",INDEX('Detalle individual'!$D:$D,$H711))</f>
        <v/>
      </c>
      <c r="G711" s="5" t="str">
        <f>IF($H711="","",INDEX('Detalle individual'!$F:$F,$H711))</f>
        <v/>
      </c>
      <c r="H711" t="str">
        <f>IFERROR(MATCH(SMALL(Cálculos!$AJ$5:$AJ$1000,707),Cálculos!$AJ$5:$AJ$1000,0)+4,"")</f>
        <v/>
      </c>
    </row>
    <row r="712">
      <c r="B712" s="5" t="str">
        <f>IF($H712="","",INDEX('Detalle individual'!$B:$B,$H712))</f>
        <v/>
      </c>
      <c r="C712" s="5" t="str">
        <f>IF($H712="","",INDEX('Detalle individual'!$A:$A,$H712))</f>
        <v/>
      </c>
      <c r="D712" s="5" t="str">
        <f>IF($H712="","",INDEX('Detalle individual'!$E:$E,$H712))</f>
        <v/>
      </c>
      <c r="E712" s="5" t="str">
        <f>IF($H712="","",INDEX('Detalle individual'!$C:$C,$H712))</f>
        <v/>
      </c>
      <c r="F712" s="5" t="str">
        <f>IF($H712="","",INDEX('Detalle individual'!$D:$D,$H712))</f>
        <v/>
      </c>
      <c r="G712" s="5" t="str">
        <f>IF($H712="","",INDEX('Detalle individual'!$F:$F,$H712))</f>
        <v/>
      </c>
      <c r="H712" t="str">
        <f>IFERROR(MATCH(SMALL(Cálculos!$AJ$5:$AJ$1000,708),Cálculos!$AJ$5:$AJ$1000,0)+4,"")</f>
        <v/>
      </c>
    </row>
    <row r="713">
      <c r="B713" s="5" t="str">
        <f>IF($H713="","",INDEX('Detalle individual'!$B:$B,$H713))</f>
        <v/>
      </c>
      <c r="C713" s="5" t="str">
        <f>IF($H713="","",INDEX('Detalle individual'!$A:$A,$H713))</f>
        <v/>
      </c>
      <c r="D713" s="5" t="str">
        <f>IF($H713="","",INDEX('Detalle individual'!$E:$E,$H713))</f>
        <v/>
      </c>
      <c r="E713" s="5" t="str">
        <f>IF($H713="","",INDEX('Detalle individual'!$C:$C,$H713))</f>
        <v/>
      </c>
      <c r="F713" s="5" t="str">
        <f>IF($H713="","",INDEX('Detalle individual'!$D:$D,$H713))</f>
        <v/>
      </c>
      <c r="G713" s="5" t="str">
        <f>IF($H713="","",INDEX('Detalle individual'!$F:$F,$H713))</f>
        <v/>
      </c>
      <c r="H713" t="str">
        <f>IFERROR(MATCH(SMALL(Cálculos!$AJ$5:$AJ$1000,709),Cálculos!$AJ$5:$AJ$1000,0)+4,"")</f>
        <v/>
      </c>
    </row>
    <row r="714">
      <c r="B714" s="5" t="str">
        <f>IF($H714="","",INDEX('Detalle individual'!$B:$B,$H714))</f>
        <v/>
      </c>
      <c r="C714" s="5" t="str">
        <f>IF($H714="","",INDEX('Detalle individual'!$A:$A,$H714))</f>
        <v/>
      </c>
      <c r="D714" s="5" t="str">
        <f>IF($H714="","",INDEX('Detalle individual'!$E:$E,$H714))</f>
        <v/>
      </c>
      <c r="E714" s="5" t="str">
        <f>IF($H714="","",INDEX('Detalle individual'!$C:$C,$H714))</f>
        <v/>
      </c>
      <c r="F714" s="5" t="str">
        <f>IF($H714="","",INDEX('Detalle individual'!$D:$D,$H714))</f>
        <v/>
      </c>
      <c r="G714" s="5" t="str">
        <f>IF($H714="","",INDEX('Detalle individual'!$F:$F,$H714))</f>
        <v/>
      </c>
      <c r="H714" t="str">
        <f>IFERROR(MATCH(SMALL(Cálculos!$AJ$5:$AJ$1000,710),Cálculos!$AJ$5:$AJ$1000,0)+4,"")</f>
        <v/>
      </c>
    </row>
    <row r="715">
      <c r="B715" s="5" t="str">
        <f>IF($H715="","",INDEX('Detalle individual'!$B:$B,$H715))</f>
        <v/>
      </c>
      <c r="C715" s="5" t="str">
        <f>IF($H715="","",INDEX('Detalle individual'!$A:$A,$H715))</f>
        <v/>
      </c>
      <c r="D715" s="5" t="str">
        <f>IF($H715="","",INDEX('Detalle individual'!$E:$E,$H715))</f>
        <v/>
      </c>
      <c r="E715" s="5" t="str">
        <f>IF($H715="","",INDEX('Detalle individual'!$C:$C,$H715))</f>
        <v/>
      </c>
      <c r="F715" s="5" t="str">
        <f>IF($H715="","",INDEX('Detalle individual'!$D:$D,$H715))</f>
        <v/>
      </c>
      <c r="G715" s="5" t="str">
        <f>IF($H715="","",INDEX('Detalle individual'!$F:$F,$H715))</f>
        <v/>
      </c>
      <c r="H715" t="str">
        <f>IFERROR(MATCH(SMALL(Cálculos!$AJ$5:$AJ$1000,711),Cálculos!$AJ$5:$AJ$1000,0)+4,"")</f>
        <v/>
      </c>
    </row>
    <row r="716">
      <c r="B716" s="5" t="str">
        <f>IF($H716="","",INDEX('Detalle individual'!$B:$B,$H716))</f>
        <v/>
      </c>
      <c r="C716" s="5" t="str">
        <f>IF($H716="","",INDEX('Detalle individual'!$A:$A,$H716))</f>
        <v/>
      </c>
      <c r="D716" s="5" t="str">
        <f>IF($H716="","",INDEX('Detalle individual'!$E:$E,$H716))</f>
        <v/>
      </c>
      <c r="E716" s="5" t="str">
        <f>IF($H716="","",INDEX('Detalle individual'!$C:$C,$H716))</f>
        <v/>
      </c>
      <c r="F716" s="5" t="str">
        <f>IF($H716="","",INDEX('Detalle individual'!$D:$D,$H716))</f>
        <v/>
      </c>
      <c r="G716" s="5" t="str">
        <f>IF($H716="","",INDEX('Detalle individual'!$F:$F,$H716))</f>
        <v/>
      </c>
      <c r="H716" t="str">
        <f>IFERROR(MATCH(SMALL(Cálculos!$AJ$5:$AJ$1000,712),Cálculos!$AJ$5:$AJ$1000,0)+4,"")</f>
        <v/>
      </c>
    </row>
    <row r="717">
      <c r="B717" s="5" t="str">
        <f>IF($H717="","",INDEX('Detalle individual'!$B:$B,$H717))</f>
        <v/>
      </c>
      <c r="C717" s="5" t="str">
        <f>IF($H717="","",INDEX('Detalle individual'!$A:$A,$H717))</f>
        <v/>
      </c>
      <c r="D717" s="5" t="str">
        <f>IF($H717="","",INDEX('Detalle individual'!$E:$E,$H717))</f>
        <v/>
      </c>
      <c r="E717" s="5" t="str">
        <f>IF($H717="","",INDEX('Detalle individual'!$C:$C,$H717))</f>
        <v/>
      </c>
      <c r="F717" s="5" t="str">
        <f>IF($H717="","",INDEX('Detalle individual'!$D:$D,$H717))</f>
        <v/>
      </c>
      <c r="G717" s="5" t="str">
        <f>IF($H717="","",INDEX('Detalle individual'!$F:$F,$H717))</f>
        <v/>
      </c>
      <c r="H717" t="str">
        <f>IFERROR(MATCH(SMALL(Cálculos!$AJ$5:$AJ$1000,713),Cálculos!$AJ$5:$AJ$1000,0)+4,"")</f>
        <v/>
      </c>
    </row>
    <row r="718">
      <c r="B718" s="5" t="str">
        <f>IF($H718="","",INDEX('Detalle individual'!$B:$B,$H718))</f>
        <v/>
      </c>
      <c r="C718" s="5" t="str">
        <f>IF($H718="","",INDEX('Detalle individual'!$A:$A,$H718))</f>
        <v/>
      </c>
      <c r="D718" s="5" t="str">
        <f>IF($H718="","",INDEX('Detalle individual'!$E:$E,$H718))</f>
        <v/>
      </c>
      <c r="E718" s="5" t="str">
        <f>IF($H718="","",INDEX('Detalle individual'!$C:$C,$H718))</f>
        <v/>
      </c>
      <c r="F718" s="5" t="str">
        <f>IF($H718="","",INDEX('Detalle individual'!$D:$D,$H718))</f>
        <v/>
      </c>
      <c r="G718" s="5" t="str">
        <f>IF($H718="","",INDEX('Detalle individual'!$F:$F,$H718))</f>
        <v/>
      </c>
      <c r="H718" t="str">
        <f>IFERROR(MATCH(SMALL(Cálculos!$AJ$5:$AJ$1000,714),Cálculos!$AJ$5:$AJ$1000,0)+4,"")</f>
        <v/>
      </c>
    </row>
    <row r="719">
      <c r="B719" s="5" t="str">
        <f>IF($H719="","",INDEX('Detalle individual'!$B:$B,$H719))</f>
        <v/>
      </c>
      <c r="C719" s="5" t="str">
        <f>IF($H719="","",INDEX('Detalle individual'!$A:$A,$H719))</f>
        <v/>
      </c>
      <c r="D719" s="5" t="str">
        <f>IF($H719="","",INDEX('Detalle individual'!$E:$E,$H719))</f>
        <v/>
      </c>
      <c r="E719" s="5" t="str">
        <f>IF($H719="","",INDEX('Detalle individual'!$C:$C,$H719))</f>
        <v/>
      </c>
      <c r="F719" s="5" t="str">
        <f>IF($H719="","",INDEX('Detalle individual'!$D:$D,$H719))</f>
        <v/>
      </c>
      <c r="G719" s="5" t="str">
        <f>IF($H719="","",INDEX('Detalle individual'!$F:$F,$H719))</f>
        <v/>
      </c>
      <c r="H719" t="str">
        <f>IFERROR(MATCH(SMALL(Cálculos!$AJ$5:$AJ$1000,715),Cálculos!$AJ$5:$AJ$1000,0)+4,"")</f>
        <v/>
      </c>
    </row>
    <row r="720">
      <c r="B720" s="5" t="str">
        <f>IF($H720="","",INDEX('Detalle individual'!$B:$B,$H720))</f>
        <v/>
      </c>
      <c r="C720" s="5" t="str">
        <f>IF($H720="","",INDEX('Detalle individual'!$A:$A,$H720))</f>
        <v/>
      </c>
      <c r="D720" s="5" t="str">
        <f>IF($H720="","",INDEX('Detalle individual'!$E:$E,$H720))</f>
        <v/>
      </c>
      <c r="E720" s="5" t="str">
        <f>IF($H720="","",INDEX('Detalle individual'!$C:$C,$H720))</f>
        <v/>
      </c>
      <c r="F720" s="5" t="str">
        <f>IF($H720="","",INDEX('Detalle individual'!$D:$D,$H720))</f>
        <v/>
      </c>
      <c r="G720" s="5" t="str">
        <f>IF($H720="","",INDEX('Detalle individual'!$F:$F,$H720))</f>
        <v/>
      </c>
      <c r="H720" t="str">
        <f>IFERROR(MATCH(SMALL(Cálculos!$AJ$5:$AJ$1000,716),Cálculos!$AJ$5:$AJ$1000,0)+4,"")</f>
        <v/>
      </c>
    </row>
    <row r="721">
      <c r="B721" s="5" t="str">
        <f>IF($H721="","",INDEX('Detalle individual'!$B:$B,$H721))</f>
        <v/>
      </c>
      <c r="C721" s="5" t="str">
        <f>IF($H721="","",INDEX('Detalle individual'!$A:$A,$H721))</f>
        <v/>
      </c>
      <c r="D721" s="5" t="str">
        <f>IF($H721="","",INDEX('Detalle individual'!$E:$E,$H721))</f>
        <v/>
      </c>
      <c r="E721" s="5" t="str">
        <f>IF($H721="","",INDEX('Detalle individual'!$C:$C,$H721))</f>
        <v/>
      </c>
      <c r="F721" s="5" t="str">
        <f>IF($H721="","",INDEX('Detalle individual'!$D:$D,$H721))</f>
        <v/>
      </c>
      <c r="G721" s="5" t="str">
        <f>IF($H721="","",INDEX('Detalle individual'!$F:$F,$H721))</f>
        <v/>
      </c>
      <c r="H721" t="str">
        <f>IFERROR(MATCH(SMALL(Cálculos!$AJ$5:$AJ$1000,717),Cálculos!$AJ$5:$AJ$1000,0)+4,"")</f>
        <v/>
      </c>
    </row>
    <row r="722">
      <c r="B722" s="5" t="str">
        <f>IF($H722="","",INDEX('Detalle individual'!$B:$B,$H722))</f>
        <v/>
      </c>
      <c r="C722" s="5" t="str">
        <f>IF($H722="","",INDEX('Detalle individual'!$A:$A,$H722))</f>
        <v/>
      </c>
      <c r="D722" s="5" t="str">
        <f>IF($H722="","",INDEX('Detalle individual'!$E:$E,$H722))</f>
        <v/>
      </c>
      <c r="E722" s="5" t="str">
        <f>IF($H722="","",INDEX('Detalle individual'!$C:$C,$H722))</f>
        <v/>
      </c>
      <c r="F722" s="5" t="str">
        <f>IF($H722="","",INDEX('Detalle individual'!$D:$D,$H722))</f>
        <v/>
      </c>
      <c r="G722" s="5" t="str">
        <f>IF($H722="","",INDEX('Detalle individual'!$F:$F,$H722))</f>
        <v/>
      </c>
      <c r="H722" t="str">
        <f>IFERROR(MATCH(SMALL(Cálculos!$AJ$5:$AJ$1000,718),Cálculos!$AJ$5:$AJ$1000,0)+4,"")</f>
        <v/>
      </c>
    </row>
    <row r="723">
      <c r="B723" s="5" t="str">
        <f>IF($H723="","",INDEX('Detalle individual'!$B:$B,$H723))</f>
        <v/>
      </c>
      <c r="C723" s="5" t="str">
        <f>IF($H723="","",INDEX('Detalle individual'!$A:$A,$H723))</f>
        <v/>
      </c>
      <c r="D723" s="5" t="str">
        <f>IF($H723="","",INDEX('Detalle individual'!$E:$E,$H723))</f>
        <v/>
      </c>
      <c r="E723" s="5" t="str">
        <f>IF($H723="","",INDEX('Detalle individual'!$C:$C,$H723))</f>
        <v/>
      </c>
      <c r="F723" s="5" t="str">
        <f>IF($H723="","",INDEX('Detalle individual'!$D:$D,$H723))</f>
        <v/>
      </c>
      <c r="G723" s="5" t="str">
        <f>IF($H723="","",INDEX('Detalle individual'!$F:$F,$H723))</f>
        <v/>
      </c>
      <c r="H723" t="str">
        <f>IFERROR(MATCH(SMALL(Cálculos!$AJ$5:$AJ$1000,719),Cálculos!$AJ$5:$AJ$1000,0)+4,"")</f>
        <v/>
      </c>
    </row>
    <row r="724">
      <c r="B724" s="5" t="str">
        <f>IF($H724="","",INDEX('Detalle individual'!$B:$B,$H724))</f>
        <v/>
      </c>
      <c r="C724" s="5" t="str">
        <f>IF($H724="","",INDEX('Detalle individual'!$A:$A,$H724))</f>
        <v/>
      </c>
      <c r="D724" s="5" t="str">
        <f>IF($H724="","",INDEX('Detalle individual'!$E:$E,$H724))</f>
        <v/>
      </c>
      <c r="E724" s="5" t="str">
        <f>IF($H724="","",INDEX('Detalle individual'!$C:$C,$H724))</f>
        <v/>
      </c>
      <c r="F724" s="5" t="str">
        <f>IF($H724="","",INDEX('Detalle individual'!$D:$D,$H724))</f>
        <v/>
      </c>
      <c r="G724" s="5" t="str">
        <f>IF($H724="","",INDEX('Detalle individual'!$F:$F,$H724))</f>
        <v/>
      </c>
      <c r="H724" t="str">
        <f>IFERROR(MATCH(SMALL(Cálculos!$AJ$5:$AJ$1000,720),Cálculos!$AJ$5:$AJ$1000,0)+4,"")</f>
        <v/>
      </c>
    </row>
    <row r="725">
      <c r="B725" s="5" t="str">
        <f>IF($H725="","",INDEX('Detalle individual'!$B:$B,$H725))</f>
        <v/>
      </c>
      <c r="C725" s="5" t="str">
        <f>IF($H725="","",INDEX('Detalle individual'!$A:$A,$H725))</f>
        <v/>
      </c>
      <c r="D725" s="5" t="str">
        <f>IF($H725="","",INDEX('Detalle individual'!$E:$E,$H725))</f>
        <v/>
      </c>
      <c r="E725" s="5" t="str">
        <f>IF($H725="","",INDEX('Detalle individual'!$C:$C,$H725))</f>
        <v/>
      </c>
      <c r="F725" s="5" t="str">
        <f>IF($H725="","",INDEX('Detalle individual'!$D:$D,$H725))</f>
        <v/>
      </c>
      <c r="G725" s="5" t="str">
        <f>IF($H725="","",INDEX('Detalle individual'!$F:$F,$H725))</f>
        <v/>
      </c>
      <c r="H725" t="str">
        <f>IFERROR(MATCH(SMALL(Cálculos!$AJ$5:$AJ$1000,721),Cálculos!$AJ$5:$AJ$1000,0)+4,"")</f>
        <v/>
      </c>
    </row>
    <row r="726">
      <c r="B726" s="5" t="str">
        <f>IF($H726="","",INDEX('Detalle individual'!$B:$B,$H726))</f>
        <v/>
      </c>
      <c r="C726" s="5" t="str">
        <f>IF($H726="","",INDEX('Detalle individual'!$A:$A,$H726))</f>
        <v/>
      </c>
      <c r="D726" s="5" t="str">
        <f>IF($H726="","",INDEX('Detalle individual'!$E:$E,$H726))</f>
        <v/>
      </c>
      <c r="E726" s="5" t="str">
        <f>IF($H726="","",INDEX('Detalle individual'!$C:$C,$H726))</f>
        <v/>
      </c>
      <c r="F726" s="5" t="str">
        <f>IF($H726="","",INDEX('Detalle individual'!$D:$D,$H726))</f>
        <v/>
      </c>
      <c r="G726" s="5" t="str">
        <f>IF($H726="","",INDEX('Detalle individual'!$F:$F,$H726))</f>
        <v/>
      </c>
      <c r="H726" t="str">
        <f>IFERROR(MATCH(SMALL(Cálculos!$AJ$5:$AJ$1000,722),Cálculos!$AJ$5:$AJ$1000,0)+4,"")</f>
        <v/>
      </c>
    </row>
    <row r="727">
      <c r="B727" s="5" t="str">
        <f>IF($H727="","",INDEX('Detalle individual'!$B:$B,$H727))</f>
        <v/>
      </c>
      <c r="C727" s="5" t="str">
        <f>IF($H727="","",INDEX('Detalle individual'!$A:$A,$H727))</f>
        <v/>
      </c>
      <c r="D727" s="5" t="str">
        <f>IF($H727="","",INDEX('Detalle individual'!$E:$E,$H727))</f>
        <v/>
      </c>
      <c r="E727" s="5" t="str">
        <f>IF($H727="","",INDEX('Detalle individual'!$C:$C,$H727))</f>
        <v/>
      </c>
      <c r="F727" s="5" t="str">
        <f>IF($H727="","",INDEX('Detalle individual'!$D:$D,$H727))</f>
        <v/>
      </c>
      <c r="G727" s="5" t="str">
        <f>IF($H727="","",INDEX('Detalle individual'!$F:$F,$H727))</f>
        <v/>
      </c>
      <c r="H727" t="str">
        <f>IFERROR(MATCH(SMALL(Cálculos!$AJ$5:$AJ$1000,723),Cálculos!$AJ$5:$AJ$1000,0)+4,"")</f>
        <v/>
      </c>
    </row>
    <row r="728">
      <c r="B728" s="5" t="str">
        <f>IF($H728="","",INDEX('Detalle individual'!$B:$B,$H728))</f>
        <v/>
      </c>
      <c r="C728" s="5" t="str">
        <f>IF($H728="","",INDEX('Detalle individual'!$A:$A,$H728))</f>
        <v/>
      </c>
      <c r="D728" s="5" t="str">
        <f>IF($H728="","",INDEX('Detalle individual'!$E:$E,$H728))</f>
        <v/>
      </c>
      <c r="E728" s="5" t="str">
        <f>IF($H728="","",INDEX('Detalle individual'!$C:$C,$H728))</f>
        <v/>
      </c>
      <c r="F728" s="5" t="str">
        <f>IF($H728="","",INDEX('Detalle individual'!$D:$D,$H728))</f>
        <v/>
      </c>
      <c r="G728" s="5" t="str">
        <f>IF($H728="","",INDEX('Detalle individual'!$F:$F,$H728))</f>
        <v/>
      </c>
      <c r="H728" t="str">
        <f>IFERROR(MATCH(SMALL(Cálculos!$AJ$5:$AJ$1000,724),Cálculos!$AJ$5:$AJ$1000,0)+4,"")</f>
        <v/>
      </c>
    </row>
    <row r="729">
      <c r="B729" s="5" t="str">
        <f>IF($H729="","",INDEX('Detalle individual'!$B:$B,$H729))</f>
        <v/>
      </c>
      <c r="C729" s="5" t="str">
        <f>IF($H729="","",INDEX('Detalle individual'!$A:$A,$H729))</f>
        <v/>
      </c>
      <c r="D729" s="5" t="str">
        <f>IF($H729="","",INDEX('Detalle individual'!$E:$E,$H729))</f>
        <v/>
      </c>
      <c r="E729" s="5" t="str">
        <f>IF($H729="","",INDEX('Detalle individual'!$C:$C,$H729))</f>
        <v/>
      </c>
      <c r="F729" s="5" t="str">
        <f>IF($H729="","",INDEX('Detalle individual'!$D:$D,$H729))</f>
        <v/>
      </c>
      <c r="G729" s="5" t="str">
        <f>IF($H729="","",INDEX('Detalle individual'!$F:$F,$H729))</f>
        <v/>
      </c>
      <c r="H729" t="str">
        <f>IFERROR(MATCH(SMALL(Cálculos!$AJ$5:$AJ$1000,725),Cálculos!$AJ$5:$AJ$1000,0)+4,"")</f>
        <v/>
      </c>
    </row>
    <row r="730">
      <c r="B730" s="5" t="str">
        <f>IF($H730="","",INDEX('Detalle individual'!$B:$B,$H730))</f>
        <v/>
      </c>
      <c r="C730" s="5" t="str">
        <f>IF($H730="","",INDEX('Detalle individual'!$A:$A,$H730))</f>
        <v/>
      </c>
      <c r="D730" s="5" t="str">
        <f>IF($H730="","",INDEX('Detalle individual'!$E:$E,$H730))</f>
        <v/>
      </c>
      <c r="E730" s="5" t="str">
        <f>IF($H730="","",INDEX('Detalle individual'!$C:$C,$H730))</f>
        <v/>
      </c>
      <c r="F730" s="5" t="str">
        <f>IF($H730="","",INDEX('Detalle individual'!$D:$D,$H730))</f>
        <v/>
      </c>
      <c r="G730" s="5" t="str">
        <f>IF($H730="","",INDEX('Detalle individual'!$F:$F,$H730))</f>
        <v/>
      </c>
      <c r="H730" t="str">
        <f>IFERROR(MATCH(SMALL(Cálculos!$AJ$5:$AJ$1000,726),Cálculos!$AJ$5:$AJ$1000,0)+4,"")</f>
        <v/>
      </c>
    </row>
    <row r="731">
      <c r="B731" s="5" t="str">
        <f>IF($H731="","",INDEX('Detalle individual'!$B:$B,$H731))</f>
        <v/>
      </c>
      <c r="C731" s="5" t="str">
        <f>IF($H731="","",INDEX('Detalle individual'!$A:$A,$H731))</f>
        <v/>
      </c>
      <c r="D731" s="5" t="str">
        <f>IF($H731="","",INDEX('Detalle individual'!$E:$E,$H731))</f>
        <v/>
      </c>
      <c r="E731" s="5" t="str">
        <f>IF($H731="","",INDEX('Detalle individual'!$C:$C,$H731))</f>
        <v/>
      </c>
      <c r="F731" s="5" t="str">
        <f>IF($H731="","",INDEX('Detalle individual'!$D:$D,$H731))</f>
        <v/>
      </c>
      <c r="G731" s="5" t="str">
        <f>IF($H731="","",INDEX('Detalle individual'!$F:$F,$H731))</f>
        <v/>
      </c>
      <c r="H731" t="str">
        <f>IFERROR(MATCH(SMALL(Cálculos!$AJ$5:$AJ$1000,727),Cálculos!$AJ$5:$AJ$1000,0)+4,"")</f>
        <v/>
      </c>
    </row>
    <row r="732">
      <c r="B732" s="5" t="str">
        <f>IF($H732="","",INDEX('Detalle individual'!$B:$B,$H732))</f>
        <v/>
      </c>
      <c r="C732" s="5" t="str">
        <f>IF($H732="","",INDEX('Detalle individual'!$A:$A,$H732))</f>
        <v/>
      </c>
      <c r="D732" s="5" t="str">
        <f>IF($H732="","",INDEX('Detalle individual'!$E:$E,$H732))</f>
        <v/>
      </c>
      <c r="E732" s="5" t="str">
        <f>IF($H732="","",INDEX('Detalle individual'!$C:$C,$H732))</f>
        <v/>
      </c>
      <c r="F732" s="5" t="str">
        <f>IF($H732="","",INDEX('Detalle individual'!$D:$D,$H732))</f>
        <v/>
      </c>
      <c r="G732" s="5" t="str">
        <f>IF($H732="","",INDEX('Detalle individual'!$F:$F,$H732))</f>
        <v/>
      </c>
      <c r="H732" t="str">
        <f>IFERROR(MATCH(SMALL(Cálculos!$AJ$5:$AJ$1000,728),Cálculos!$AJ$5:$AJ$1000,0)+4,"")</f>
        <v/>
      </c>
    </row>
    <row r="733">
      <c r="B733" s="5" t="str">
        <f>IF($H733="","",INDEX('Detalle individual'!$B:$B,$H733))</f>
        <v/>
      </c>
      <c r="C733" s="5" t="str">
        <f>IF($H733="","",INDEX('Detalle individual'!$A:$A,$H733))</f>
        <v/>
      </c>
      <c r="D733" s="5" t="str">
        <f>IF($H733="","",INDEX('Detalle individual'!$E:$E,$H733))</f>
        <v/>
      </c>
      <c r="E733" s="5" t="str">
        <f>IF($H733="","",INDEX('Detalle individual'!$C:$C,$H733))</f>
        <v/>
      </c>
      <c r="F733" s="5" t="str">
        <f>IF($H733="","",INDEX('Detalle individual'!$D:$D,$H733))</f>
        <v/>
      </c>
      <c r="G733" s="5" t="str">
        <f>IF($H733="","",INDEX('Detalle individual'!$F:$F,$H733))</f>
        <v/>
      </c>
      <c r="H733" t="str">
        <f>IFERROR(MATCH(SMALL(Cálculos!$AJ$5:$AJ$1000,729),Cálculos!$AJ$5:$AJ$1000,0)+4,"")</f>
        <v/>
      </c>
    </row>
    <row r="734">
      <c r="B734" s="5" t="str">
        <f>IF($H734="","",INDEX('Detalle individual'!$B:$B,$H734))</f>
        <v/>
      </c>
      <c r="C734" s="5" t="str">
        <f>IF($H734="","",INDEX('Detalle individual'!$A:$A,$H734))</f>
        <v/>
      </c>
      <c r="D734" s="5" t="str">
        <f>IF($H734="","",INDEX('Detalle individual'!$E:$E,$H734))</f>
        <v/>
      </c>
      <c r="E734" s="5" t="str">
        <f>IF($H734="","",INDEX('Detalle individual'!$C:$C,$H734))</f>
        <v/>
      </c>
      <c r="F734" s="5" t="str">
        <f>IF($H734="","",INDEX('Detalle individual'!$D:$D,$H734))</f>
        <v/>
      </c>
      <c r="G734" s="5" t="str">
        <f>IF($H734="","",INDEX('Detalle individual'!$F:$F,$H734))</f>
        <v/>
      </c>
      <c r="H734" t="str">
        <f>IFERROR(MATCH(SMALL(Cálculos!$AJ$5:$AJ$1000,730),Cálculos!$AJ$5:$AJ$1000,0)+4,"")</f>
        <v/>
      </c>
    </row>
    <row r="735">
      <c r="B735" s="5" t="str">
        <f>IF($H735="","",INDEX('Detalle individual'!$B:$B,$H735))</f>
        <v/>
      </c>
      <c r="C735" s="5" t="str">
        <f>IF($H735="","",INDEX('Detalle individual'!$A:$A,$H735))</f>
        <v/>
      </c>
      <c r="D735" s="5" t="str">
        <f>IF($H735="","",INDEX('Detalle individual'!$E:$E,$H735))</f>
        <v/>
      </c>
      <c r="E735" s="5" t="str">
        <f>IF($H735="","",INDEX('Detalle individual'!$C:$C,$H735))</f>
        <v/>
      </c>
      <c r="F735" s="5" t="str">
        <f>IF($H735="","",INDEX('Detalle individual'!$D:$D,$H735))</f>
        <v/>
      </c>
      <c r="G735" s="5" t="str">
        <f>IF($H735="","",INDEX('Detalle individual'!$F:$F,$H735))</f>
        <v/>
      </c>
      <c r="H735" t="str">
        <f>IFERROR(MATCH(SMALL(Cálculos!$AJ$5:$AJ$1000,731),Cálculos!$AJ$5:$AJ$1000,0)+4,"")</f>
        <v/>
      </c>
    </row>
    <row r="736">
      <c r="B736" s="5" t="str">
        <f>IF($H736="","",INDEX('Detalle individual'!$B:$B,$H736))</f>
        <v/>
      </c>
      <c r="C736" s="5" t="str">
        <f>IF($H736="","",INDEX('Detalle individual'!$A:$A,$H736))</f>
        <v/>
      </c>
      <c r="D736" s="5" t="str">
        <f>IF($H736="","",INDEX('Detalle individual'!$E:$E,$H736))</f>
        <v/>
      </c>
      <c r="E736" s="5" t="str">
        <f>IF($H736="","",INDEX('Detalle individual'!$C:$C,$H736))</f>
        <v/>
      </c>
      <c r="F736" s="5" t="str">
        <f>IF($H736="","",INDEX('Detalle individual'!$D:$D,$H736))</f>
        <v/>
      </c>
      <c r="G736" s="5" t="str">
        <f>IF($H736="","",INDEX('Detalle individual'!$F:$F,$H736))</f>
        <v/>
      </c>
      <c r="H736" t="str">
        <f>IFERROR(MATCH(SMALL(Cálculos!$AJ$5:$AJ$1000,732),Cálculos!$AJ$5:$AJ$1000,0)+4,"")</f>
        <v/>
      </c>
    </row>
    <row r="737">
      <c r="B737" s="5" t="str">
        <f>IF($H737="","",INDEX('Detalle individual'!$B:$B,$H737))</f>
        <v/>
      </c>
      <c r="C737" s="5" t="str">
        <f>IF($H737="","",INDEX('Detalle individual'!$A:$A,$H737))</f>
        <v/>
      </c>
      <c r="D737" s="5" t="str">
        <f>IF($H737="","",INDEX('Detalle individual'!$E:$E,$H737))</f>
        <v/>
      </c>
      <c r="E737" s="5" t="str">
        <f>IF($H737="","",INDEX('Detalle individual'!$C:$C,$H737))</f>
        <v/>
      </c>
      <c r="F737" s="5" t="str">
        <f>IF($H737="","",INDEX('Detalle individual'!$D:$D,$H737))</f>
        <v/>
      </c>
      <c r="G737" s="5" t="str">
        <f>IF($H737="","",INDEX('Detalle individual'!$F:$F,$H737))</f>
        <v/>
      </c>
      <c r="H737" t="str">
        <f>IFERROR(MATCH(SMALL(Cálculos!$AJ$5:$AJ$1000,733),Cálculos!$AJ$5:$AJ$1000,0)+4,"")</f>
        <v/>
      </c>
    </row>
    <row r="738">
      <c r="B738" s="5" t="str">
        <f>IF($H738="","",INDEX('Detalle individual'!$B:$B,$H738))</f>
        <v/>
      </c>
      <c r="C738" s="5" t="str">
        <f>IF($H738="","",INDEX('Detalle individual'!$A:$A,$H738))</f>
        <v/>
      </c>
      <c r="D738" s="5" t="str">
        <f>IF($H738="","",INDEX('Detalle individual'!$E:$E,$H738))</f>
        <v/>
      </c>
      <c r="E738" s="5" t="str">
        <f>IF($H738="","",INDEX('Detalle individual'!$C:$C,$H738))</f>
        <v/>
      </c>
      <c r="F738" s="5" t="str">
        <f>IF($H738="","",INDEX('Detalle individual'!$D:$D,$H738))</f>
        <v/>
      </c>
      <c r="G738" s="5" t="str">
        <f>IF($H738="","",INDEX('Detalle individual'!$F:$F,$H738))</f>
        <v/>
      </c>
      <c r="H738" t="str">
        <f>IFERROR(MATCH(SMALL(Cálculos!$AJ$5:$AJ$1000,734),Cálculos!$AJ$5:$AJ$1000,0)+4,"")</f>
        <v/>
      </c>
    </row>
    <row r="739">
      <c r="B739" s="5" t="str">
        <f>IF($H739="","",INDEX('Detalle individual'!$B:$B,$H739))</f>
        <v/>
      </c>
      <c r="C739" s="5" t="str">
        <f>IF($H739="","",INDEX('Detalle individual'!$A:$A,$H739))</f>
        <v/>
      </c>
      <c r="D739" s="5" t="str">
        <f>IF($H739="","",INDEX('Detalle individual'!$E:$E,$H739))</f>
        <v/>
      </c>
      <c r="E739" s="5" t="str">
        <f>IF($H739="","",INDEX('Detalle individual'!$C:$C,$H739))</f>
        <v/>
      </c>
      <c r="F739" s="5" t="str">
        <f>IF($H739="","",INDEX('Detalle individual'!$D:$D,$H739))</f>
        <v/>
      </c>
      <c r="G739" s="5" t="str">
        <f>IF($H739="","",INDEX('Detalle individual'!$F:$F,$H739))</f>
        <v/>
      </c>
      <c r="H739" t="str">
        <f>IFERROR(MATCH(SMALL(Cálculos!$AJ$5:$AJ$1000,735),Cálculos!$AJ$5:$AJ$1000,0)+4,"")</f>
        <v/>
      </c>
    </row>
    <row r="740">
      <c r="B740" s="5" t="str">
        <f>IF($H740="","",INDEX('Detalle individual'!$B:$B,$H740))</f>
        <v/>
      </c>
      <c r="C740" s="5" t="str">
        <f>IF($H740="","",INDEX('Detalle individual'!$A:$A,$H740))</f>
        <v/>
      </c>
      <c r="D740" s="5" t="str">
        <f>IF($H740="","",INDEX('Detalle individual'!$E:$E,$H740))</f>
        <v/>
      </c>
      <c r="E740" s="5" t="str">
        <f>IF($H740="","",INDEX('Detalle individual'!$C:$C,$H740))</f>
        <v/>
      </c>
      <c r="F740" s="5" t="str">
        <f>IF($H740="","",INDEX('Detalle individual'!$D:$D,$H740))</f>
        <v/>
      </c>
      <c r="G740" s="5" t="str">
        <f>IF($H740="","",INDEX('Detalle individual'!$F:$F,$H740))</f>
        <v/>
      </c>
      <c r="H740" t="str">
        <f>IFERROR(MATCH(SMALL(Cálculos!$AJ$5:$AJ$1000,736),Cálculos!$AJ$5:$AJ$1000,0)+4,"")</f>
        <v/>
      </c>
    </row>
    <row r="741">
      <c r="B741" s="5" t="str">
        <f>IF($H741="","",INDEX('Detalle individual'!$B:$B,$H741))</f>
        <v/>
      </c>
      <c r="C741" s="5" t="str">
        <f>IF($H741="","",INDEX('Detalle individual'!$A:$A,$H741))</f>
        <v/>
      </c>
      <c r="D741" s="5" t="str">
        <f>IF($H741="","",INDEX('Detalle individual'!$E:$E,$H741))</f>
        <v/>
      </c>
      <c r="E741" s="5" t="str">
        <f>IF($H741="","",INDEX('Detalle individual'!$C:$C,$H741))</f>
        <v/>
      </c>
      <c r="F741" s="5" t="str">
        <f>IF($H741="","",INDEX('Detalle individual'!$D:$D,$H741))</f>
        <v/>
      </c>
      <c r="G741" s="5" t="str">
        <f>IF($H741="","",INDEX('Detalle individual'!$F:$F,$H741))</f>
        <v/>
      </c>
      <c r="H741" t="str">
        <f>IFERROR(MATCH(SMALL(Cálculos!$AJ$5:$AJ$1000,737),Cálculos!$AJ$5:$AJ$1000,0)+4,"")</f>
        <v/>
      </c>
    </row>
    <row r="742">
      <c r="B742" s="5" t="str">
        <f>IF($H742="","",INDEX('Detalle individual'!$B:$B,$H742))</f>
        <v/>
      </c>
      <c r="C742" s="5" t="str">
        <f>IF($H742="","",INDEX('Detalle individual'!$A:$A,$H742))</f>
        <v/>
      </c>
      <c r="D742" s="5" t="str">
        <f>IF($H742="","",INDEX('Detalle individual'!$E:$E,$H742))</f>
        <v/>
      </c>
      <c r="E742" s="5" t="str">
        <f>IF($H742="","",INDEX('Detalle individual'!$C:$C,$H742))</f>
        <v/>
      </c>
      <c r="F742" s="5" t="str">
        <f>IF($H742="","",INDEX('Detalle individual'!$D:$D,$H742))</f>
        <v/>
      </c>
      <c r="G742" s="5" t="str">
        <f>IF($H742="","",INDEX('Detalle individual'!$F:$F,$H742))</f>
        <v/>
      </c>
      <c r="H742" t="str">
        <f>IFERROR(MATCH(SMALL(Cálculos!$AJ$5:$AJ$1000,738),Cálculos!$AJ$5:$AJ$1000,0)+4,"")</f>
        <v/>
      </c>
    </row>
    <row r="743">
      <c r="B743" s="5" t="str">
        <f>IF($H743="","",INDEX('Detalle individual'!$B:$B,$H743))</f>
        <v/>
      </c>
      <c r="C743" s="5" t="str">
        <f>IF($H743="","",INDEX('Detalle individual'!$A:$A,$H743))</f>
        <v/>
      </c>
      <c r="D743" s="5" t="str">
        <f>IF($H743="","",INDEX('Detalle individual'!$E:$E,$H743))</f>
        <v/>
      </c>
      <c r="E743" s="5" t="str">
        <f>IF($H743="","",INDEX('Detalle individual'!$C:$C,$H743))</f>
        <v/>
      </c>
      <c r="F743" s="5" t="str">
        <f>IF($H743="","",INDEX('Detalle individual'!$D:$D,$H743))</f>
        <v/>
      </c>
      <c r="G743" s="5" t="str">
        <f>IF($H743="","",INDEX('Detalle individual'!$F:$F,$H743))</f>
        <v/>
      </c>
      <c r="H743" t="str">
        <f>IFERROR(MATCH(SMALL(Cálculos!$AJ$5:$AJ$1000,739),Cálculos!$AJ$5:$AJ$1000,0)+4,"")</f>
        <v/>
      </c>
    </row>
    <row r="744">
      <c r="B744" s="5" t="str">
        <f>IF($H744="","",INDEX('Detalle individual'!$B:$B,$H744))</f>
        <v/>
      </c>
      <c r="C744" s="5" t="str">
        <f>IF($H744="","",INDEX('Detalle individual'!$A:$A,$H744))</f>
        <v/>
      </c>
      <c r="D744" s="5" t="str">
        <f>IF($H744="","",INDEX('Detalle individual'!$E:$E,$H744))</f>
        <v/>
      </c>
      <c r="E744" s="5" t="str">
        <f>IF($H744="","",INDEX('Detalle individual'!$C:$C,$H744))</f>
        <v/>
      </c>
      <c r="F744" s="5" t="str">
        <f>IF($H744="","",INDEX('Detalle individual'!$D:$D,$H744))</f>
        <v/>
      </c>
      <c r="G744" s="5" t="str">
        <f>IF($H744="","",INDEX('Detalle individual'!$F:$F,$H744))</f>
        <v/>
      </c>
      <c r="H744" t="str">
        <f>IFERROR(MATCH(SMALL(Cálculos!$AJ$5:$AJ$1000,740),Cálculos!$AJ$5:$AJ$1000,0)+4,"")</f>
        <v/>
      </c>
    </row>
    <row r="745">
      <c r="B745" s="5" t="str">
        <f>IF($H745="","",INDEX('Detalle individual'!$B:$B,$H745))</f>
        <v/>
      </c>
      <c r="C745" s="5" t="str">
        <f>IF($H745="","",INDEX('Detalle individual'!$A:$A,$H745))</f>
        <v/>
      </c>
      <c r="D745" s="5" t="str">
        <f>IF($H745="","",INDEX('Detalle individual'!$E:$E,$H745))</f>
        <v/>
      </c>
      <c r="E745" s="5" t="str">
        <f>IF($H745="","",INDEX('Detalle individual'!$C:$C,$H745))</f>
        <v/>
      </c>
      <c r="F745" s="5" t="str">
        <f>IF($H745="","",INDEX('Detalle individual'!$D:$D,$H745))</f>
        <v/>
      </c>
      <c r="G745" s="5" t="str">
        <f>IF($H745="","",INDEX('Detalle individual'!$F:$F,$H745))</f>
        <v/>
      </c>
      <c r="H745" t="str">
        <f>IFERROR(MATCH(SMALL(Cálculos!$AJ$5:$AJ$1000,741),Cálculos!$AJ$5:$AJ$1000,0)+4,"")</f>
        <v/>
      </c>
    </row>
    <row r="746">
      <c r="B746" s="5" t="str">
        <f>IF($H746="","",INDEX('Detalle individual'!$B:$B,$H746))</f>
        <v/>
      </c>
      <c r="C746" s="5" t="str">
        <f>IF($H746="","",INDEX('Detalle individual'!$A:$A,$H746))</f>
        <v/>
      </c>
      <c r="D746" s="5" t="str">
        <f>IF($H746="","",INDEX('Detalle individual'!$E:$E,$H746))</f>
        <v/>
      </c>
      <c r="E746" s="5" t="str">
        <f>IF($H746="","",INDEX('Detalle individual'!$C:$C,$H746))</f>
        <v/>
      </c>
      <c r="F746" s="5" t="str">
        <f>IF($H746="","",INDEX('Detalle individual'!$D:$D,$H746))</f>
        <v/>
      </c>
      <c r="G746" s="5" t="str">
        <f>IF($H746="","",INDEX('Detalle individual'!$F:$F,$H746))</f>
        <v/>
      </c>
      <c r="H746" t="str">
        <f>IFERROR(MATCH(SMALL(Cálculos!$AJ$5:$AJ$1000,742),Cálculos!$AJ$5:$AJ$1000,0)+4,"")</f>
        <v/>
      </c>
    </row>
    <row r="747">
      <c r="B747" s="5" t="str">
        <f>IF($H747="","",INDEX('Detalle individual'!$B:$B,$H747))</f>
        <v/>
      </c>
      <c r="C747" s="5" t="str">
        <f>IF($H747="","",INDEX('Detalle individual'!$A:$A,$H747))</f>
        <v/>
      </c>
      <c r="D747" s="5" t="str">
        <f>IF($H747="","",INDEX('Detalle individual'!$E:$E,$H747))</f>
        <v/>
      </c>
      <c r="E747" s="5" t="str">
        <f>IF($H747="","",INDEX('Detalle individual'!$C:$C,$H747))</f>
        <v/>
      </c>
      <c r="F747" s="5" t="str">
        <f>IF($H747="","",INDEX('Detalle individual'!$D:$D,$H747))</f>
        <v/>
      </c>
      <c r="G747" s="5" t="str">
        <f>IF($H747="","",INDEX('Detalle individual'!$F:$F,$H747))</f>
        <v/>
      </c>
      <c r="H747" t="str">
        <f>IFERROR(MATCH(SMALL(Cálculos!$AJ$5:$AJ$1000,743),Cálculos!$AJ$5:$AJ$1000,0)+4,"")</f>
        <v/>
      </c>
    </row>
    <row r="748">
      <c r="B748" s="5" t="str">
        <f>IF($H748="","",INDEX('Detalle individual'!$B:$B,$H748))</f>
        <v/>
      </c>
      <c r="C748" s="5" t="str">
        <f>IF($H748="","",INDEX('Detalle individual'!$A:$A,$H748))</f>
        <v/>
      </c>
      <c r="D748" s="5" t="str">
        <f>IF($H748="","",INDEX('Detalle individual'!$E:$E,$H748))</f>
        <v/>
      </c>
      <c r="E748" s="5" t="str">
        <f>IF($H748="","",INDEX('Detalle individual'!$C:$C,$H748))</f>
        <v/>
      </c>
      <c r="F748" s="5" t="str">
        <f>IF($H748="","",INDEX('Detalle individual'!$D:$D,$H748))</f>
        <v/>
      </c>
      <c r="G748" s="5" t="str">
        <f>IF($H748="","",INDEX('Detalle individual'!$F:$F,$H748))</f>
        <v/>
      </c>
      <c r="H748" t="str">
        <f>IFERROR(MATCH(SMALL(Cálculos!$AJ$5:$AJ$1000,744),Cálculos!$AJ$5:$AJ$1000,0)+4,"")</f>
        <v/>
      </c>
    </row>
    <row r="749">
      <c r="B749" s="5" t="str">
        <f>IF($H749="","",INDEX('Detalle individual'!$B:$B,$H749))</f>
        <v/>
      </c>
      <c r="C749" s="5" t="str">
        <f>IF($H749="","",INDEX('Detalle individual'!$A:$A,$H749))</f>
        <v/>
      </c>
      <c r="D749" s="5" t="str">
        <f>IF($H749="","",INDEX('Detalle individual'!$E:$E,$H749))</f>
        <v/>
      </c>
      <c r="E749" s="5" t="str">
        <f>IF($H749="","",INDEX('Detalle individual'!$C:$C,$H749))</f>
        <v/>
      </c>
      <c r="F749" s="5" t="str">
        <f>IF($H749="","",INDEX('Detalle individual'!$D:$D,$H749))</f>
        <v/>
      </c>
      <c r="G749" s="5" t="str">
        <f>IF($H749="","",INDEX('Detalle individual'!$F:$F,$H749))</f>
        <v/>
      </c>
      <c r="H749" t="str">
        <f>IFERROR(MATCH(SMALL(Cálculos!$AJ$5:$AJ$1000,745),Cálculos!$AJ$5:$AJ$1000,0)+4,"")</f>
        <v/>
      </c>
    </row>
    <row r="750">
      <c r="B750" s="5" t="str">
        <f>IF($H750="","",INDEX('Detalle individual'!$B:$B,$H750))</f>
        <v/>
      </c>
      <c r="C750" s="5" t="str">
        <f>IF($H750="","",INDEX('Detalle individual'!$A:$A,$H750))</f>
        <v/>
      </c>
      <c r="D750" s="5" t="str">
        <f>IF($H750="","",INDEX('Detalle individual'!$E:$E,$H750))</f>
        <v/>
      </c>
      <c r="E750" s="5" t="str">
        <f>IF($H750="","",INDEX('Detalle individual'!$C:$C,$H750))</f>
        <v/>
      </c>
      <c r="F750" s="5" t="str">
        <f>IF($H750="","",INDEX('Detalle individual'!$D:$D,$H750))</f>
        <v/>
      </c>
      <c r="G750" s="5" t="str">
        <f>IF($H750="","",INDEX('Detalle individual'!$F:$F,$H750))</f>
        <v/>
      </c>
      <c r="H750" t="str">
        <f>IFERROR(MATCH(SMALL(Cálculos!$AJ$5:$AJ$1000,746),Cálculos!$AJ$5:$AJ$1000,0)+4,"")</f>
        <v/>
      </c>
    </row>
    <row r="751">
      <c r="B751" s="5" t="str">
        <f>IF($H751="","",INDEX('Detalle individual'!$B:$B,$H751))</f>
        <v/>
      </c>
      <c r="C751" s="5" t="str">
        <f>IF($H751="","",INDEX('Detalle individual'!$A:$A,$H751))</f>
        <v/>
      </c>
      <c r="D751" s="5" t="str">
        <f>IF($H751="","",INDEX('Detalle individual'!$E:$E,$H751))</f>
        <v/>
      </c>
      <c r="E751" s="5" t="str">
        <f>IF($H751="","",INDEX('Detalle individual'!$C:$C,$H751))</f>
        <v/>
      </c>
      <c r="F751" s="5" t="str">
        <f>IF($H751="","",INDEX('Detalle individual'!$D:$D,$H751))</f>
        <v/>
      </c>
      <c r="G751" s="5" t="str">
        <f>IF($H751="","",INDEX('Detalle individual'!$F:$F,$H751))</f>
        <v/>
      </c>
      <c r="H751" t="str">
        <f>IFERROR(MATCH(SMALL(Cálculos!$AJ$5:$AJ$1000,747),Cálculos!$AJ$5:$AJ$1000,0)+4,"")</f>
        <v/>
      </c>
    </row>
    <row r="752">
      <c r="B752" s="5" t="str">
        <f>IF($H752="","",INDEX('Detalle individual'!$B:$B,$H752))</f>
        <v/>
      </c>
      <c r="C752" s="5" t="str">
        <f>IF($H752="","",INDEX('Detalle individual'!$A:$A,$H752))</f>
        <v/>
      </c>
      <c r="D752" s="5" t="str">
        <f>IF($H752="","",INDEX('Detalle individual'!$E:$E,$H752))</f>
        <v/>
      </c>
      <c r="E752" s="5" t="str">
        <f>IF($H752="","",INDEX('Detalle individual'!$C:$C,$H752))</f>
        <v/>
      </c>
      <c r="F752" s="5" t="str">
        <f>IF($H752="","",INDEX('Detalle individual'!$D:$D,$H752))</f>
        <v/>
      </c>
      <c r="G752" s="5" t="str">
        <f>IF($H752="","",INDEX('Detalle individual'!$F:$F,$H752))</f>
        <v/>
      </c>
      <c r="H752" t="str">
        <f>IFERROR(MATCH(SMALL(Cálculos!$AJ$5:$AJ$1000,748),Cálculos!$AJ$5:$AJ$1000,0)+4,"")</f>
        <v/>
      </c>
    </row>
    <row r="753">
      <c r="B753" s="5" t="str">
        <f>IF($H753="","",INDEX('Detalle individual'!$B:$B,$H753))</f>
        <v/>
      </c>
      <c r="C753" s="5" t="str">
        <f>IF($H753="","",INDEX('Detalle individual'!$A:$A,$H753))</f>
        <v/>
      </c>
      <c r="D753" s="5" t="str">
        <f>IF($H753="","",INDEX('Detalle individual'!$E:$E,$H753))</f>
        <v/>
      </c>
      <c r="E753" s="5" t="str">
        <f>IF($H753="","",INDEX('Detalle individual'!$C:$C,$H753))</f>
        <v/>
      </c>
      <c r="F753" s="5" t="str">
        <f>IF($H753="","",INDEX('Detalle individual'!$D:$D,$H753))</f>
        <v/>
      </c>
      <c r="G753" s="5" t="str">
        <f>IF($H753="","",INDEX('Detalle individual'!$F:$F,$H753))</f>
        <v/>
      </c>
      <c r="H753" t="str">
        <f>IFERROR(MATCH(SMALL(Cálculos!$AJ$5:$AJ$1000,749),Cálculos!$AJ$5:$AJ$1000,0)+4,"")</f>
        <v/>
      </c>
    </row>
    <row r="754">
      <c r="B754" s="5" t="str">
        <f>IF($H754="","",INDEX('Detalle individual'!$B:$B,$H754))</f>
        <v/>
      </c>
      <c r="C754" s="5" t="str">
        <f>IF($H754="","",INDEX('Detalle individual'!$A:$A,$H754))</f>
        <v/>
      </c>
      <c r="D754" s="5" t="str">
        <f>IF($H754="","",INDEX('Detalle individual'!$E:$E,$H754))</f>
        <v/>
      </c>
      <c r="E754" s="5" t="str">
        <f>IF($H754="","",INDEX('Detalle individual'!$C:$C,$H754))</f>
        <v/>
      </c>
      <c r="F754" s="5" t="str">
        <f>IF($H754="","",INDEX('Detalle individual'!$D:$D,$H754))</f>
        <v/>
      </c>
      <c r="G754" s="5" t="str">
        <f>IF($H754="","",INDEX('Detalle individual'!$F:$F,$H754))</f>
        <v/>
      </c>
      <c r="H754" t="str">
        <f>IFERROR(MATCH(SMALL(Cálculos!$AJ$5:$AJ$1000,750),Cálculos!$AJ$5:$AJ$1000,0)+4,"")</f>
        <v/>
      </c>
    </row>
    <row r="755">
      <c r="B755" s="5" t="str">
        <f>IF($H755="","",INDEX('Detalle individual'!$B:$B,$H755))</f>
        <v/>
      </c>
      <c r="C755" s="5" t="str">
        <f>IF($H755="","",INDEX('Detalle individual'!$A:$A,$H755))</f>
        <v/>
      </c>
      <c r="D755" s="5" t="str">
        <f>IF($H755="","",INDEX('Detalle individual'!$E:$E,$H755))</f>
        <v/>
      </c>
      <c r="E755" s="5" t="str">
        <f>IF($H755="","",INDEX('Detalle individual'!$C:$C,$H755))</f>
        <v/>
      </c>
      <c r="F755" s="5" t="str">
        <f>IF($H755="","",INDEX('Detalle individual'!$D:$D,$H755))</f>
        <v/>
      </c>
      <c r="G755" s="5" t="str">
        <f>IF($H755="","",INDEX('Detalle individual'!$F:$F,$H755))</f>
        <v/>
      </c>
      <c r="H755" t="str">
        <f>IFERROR(MATCH(SMALL(Cálculos!$AJ$5:$AJ$1000,751),Cálculos!$AJ$5:$AJ$1000,0)+4,"")</f>
        <v/>
      </c>
    </row>
    <row r="756">
      <c r="B756" s="5" t="str">
        <f>IF($H756="","",INDEX('Detalle individual'!$B:$B,$H756))</f>
        <v/>
      </c>
      <c r="C756" s="5" t="str">
        <f>IF($H756="","",INDEX('Detalle individual'!$A:$A,$H756))</f>
        <v/>
      </c>
      <c r="D756" s="5" t="str">
        <f>IF($H756="","",INDEX('Detalle individual'!$E:$E,$H756))</f>
        <v/>
      </c>
      <c r="E756" s="5" t="str">
        <f>IF($H756="","",INDEX('Detalle individual'!$C:$C,$H756))</f>
        <v/>
      </c>
      <c r="F756" s="5" t="str">
        <f>IF($H756="","",INDEX('Detalle individual'!$D:$D,$H756))</f>
        <v/>
      </c>
      <c r="G756" s="5" t="str">
        <f>IF($H756="","",INDEX('Detalle individual'!$F:$F,$H756))</f>
        <v/>
      </c>
      <c r="H756" t="str">
        <f>IFERROR(MATCH(SMALL(Cálculos!$AJ$5:$AJ$1000,752),Cálculos!$AJ$5:$AJ$1000,0)+4,"")</f>
        <v/>
      </c>
    </row>
    <row r="757">
      <c r="B757" s="5" t="str">
        <f>IF($H757="","",INDEX('Detalle individual'!$B:$B,$H757))</f>
        <v/>
      </c>
      <c r="C757" s="5" t="str">
        <f>IF($H757="","",INDEX('Detalle individual'!$A:$A,$H757))</f>
        <v/>
      </c>
      <c r="D757" s="5" t="str">
        <f>IF($H757="","",INDEX('Detalle individual'!$E:$E,$H757))</f>
        <v/>
      </c>
      <c r="E757" s="5" t="str">
        <f>IF($H757="","",INDEX('Detalle individual'!$C:$C,$H757))</f>
        <v/>
      </c>
      <c r="F757" s="5" t="str">
        <f>IF($H757="","",INDEX('Detalle individual'!$D:$D,$H757))</f>
        <v/>
      </c>
      <c r="G757" s="5" t="str">
        <f>IF($H757="","",INDEX('Detalle individual'!$F:$F,$H757))</f>
        <v/>
      </c>
      <c r="H757" t="str">
        <f>IFERROR(MATCH(SMALL(Cálculos!$AJ$5:$AJ$1000,753),Cálculos!$AJ$5:$AJ$1000,0)+4,"")</f>
        <v/>
      </c>
    </row>
    <row r="758">
      <c r="B758" s="5" t="str">
        <f>IF($H758="","",INDEX('Detalle individual'!$B:$B,$H758))</f>
        <v/>
      </c>
      <c r="C758" s="5" t="str">
        <f>IF($H758="","",INDEX('Detalle individual'!$A:$A,$H758))</f>
        <v/>
      </c>
      <c r="D758" s="5" t="str">
        <f>IF($H758="","",INDEX('Detalle individual'!$E:$E,$H758))</f>
        <v/>
      </c>
      <c r="E758" s="5" t="str">
        <f>IF($H758="","",INDEX('Detalle individual'!$C:$C,$H758))</f>
        <v/>
      </c>
      <c r="F758" s="5" t="str">
        <f>IF($H758="","",INDEX('Detalle individual'!$D:$D,$H758))</f>
        <v/>
      </c>
      <c r="G758" s="5" t="str">
        <f>IF($H758="","",INDEX('Detalle individual'!$F:$F,$H758))</f>
        <v/>
      </c>
      <c r="H758" t="str">
        <f>IFERROR(MATCH(SMALL(Cálculos!$AJ$5:$AJ$1000,754),Cálculos!$AJ$5:$AJ$1000,0)+4,"")</f>
        <v/>
      </c>
    </row>
    <row r="759">
      <c r="B759" s="5" t="str">
        <f>IF($H759="","",INDEX('Detalle individual'!$B:$B,$H759))</f>
        <v/>
      </c>
      <c r="C759" s="5" t="str">
        <f>IF($H759="","",INDEX('Detalle individual'!$A:$A,$H759))</f>
        <v/>
      </c>
      <c r="D759" s="5" t="str">
        <f>IF($H759="","",INDEX('Detalle individual'!$E:$E,$H759))</f>
        <v/>
      </c>
      <c r="E759" s="5" t="str">
        <f>IF($H759="","",INDEX('Detalle individual'!$C:$C,$H759))</f>
        <v/>
      </c>
      <c r="F759" s="5" t="str">
        <f>IF($H759="","",INDEX('Detalle individual'!$D:$D,$H759))</f>
        <v/>
      </c>
      <c r="G759" s="5" t="str">
        <f>IF($H759="","",INDEX('Detalle individual'!$F:$F,$H759))</f>
        <v/>
      </c>
      <c r="H759" t="str">
        <f>IFERROR(MATCH(SMALL(Cálculos!$AJ$5:$AJ$1000,755),Cálculos!$AJ$5:$AJ$1000,0)+4,"")</f>
        <v/>
      </c>
    </row>
    <row r="760">
      <c r="B760" s="5" t="str">
        <f>IF($H760="","",INDEX('Detalle individual'!$B:$B,$H760))</f>
        <v/>
      </c>
      <c r="C760" s="5" t="str">
        <f>IF($H760="","",INDEX('Detalle individual'!$A:$A,$H760))</f>
        <v/>
      </c>
      <c r="D760" s="5" t="str">
        <f>IF($H760="","",INDEX('Detalle individual'!$E:$E,$H760))</f>
        <v/>
      </c>
      <c r="E760" s="5" t="str">
        <f>IF($H760="","",INDEX('Detalle individual'!$C:$C,$H760))</f>
        <v/>
      </c>
      <c r="F760" s="5" t="str">
        <f>IF($H760="","",INDEX('Detalle individual'!$D:$D,$H760))</f>
        <v/>
      </c>
      <c r="G760" s="5" t="str">
        <f>IF($H760="","",INDEX('Detalle individual'!$F:$F,$H760))</f>
        <v/>
      </c>
      <c r="H760" t="str">
        <f>IFERROR(MATCH(SMALL(Cálculos!$AJ$5:$AJ$1000,756),Cálculos!$AJ$5:$AJ$1000,0)+4,"")</f>
        <v/>
      </c>
    </row>
    <row r="761">
      <c r="B761" s="5" t="str">
        <f>IF($H761="","",INDEX('Detalle individual'!$B:$B,$H761))</f>
        <v/>
      </c>
      <c r="C761" s="5" t="str">
        <f>IF($H761="","",INDEX('Detalle individual'!$A:$A,$H761))</f>
        <v/>
      </c>
      <c r="D761" s="5" t="str">
        <f>IF($H761="","",INDEX('Detalle individual'!$E:$E,$H761))</f>
        <v/>
      </c>
      <c r="E761" s="5" t="str">
        <f>IF($H761="","",INDEX('Detalle individual'!$C:$C,$H761))</f>
        <v/>
      </c>
      <c r="F761" s="5" t="str">
        <f>IF($H761="","",INDEX('Detalle individual'!$D:$D,$H761))</f>
        <v/>
      </c>
      <c r="G761" s="5" t="str">
        <f>IF($H761="","",INDEX('Detalle individual'!$F:$F,$H761))</f>
        <v/>
      </c>
      <c r="H761" t="str">
        <f>IFERROR(MATCH(SMALL(Cálculos!$AJ$5:$AJ$1000,757),Cálculos!$AJ$5:$AJ$1000,0)+4,"")</f>
        <v/>
      </c>
    </row>
    <row r="762">
      <c r="B762" s="5" t="str">
        <f>IF($H762="","",INDEX('Detalle individual'!$B:$B,$H762))</f>
        <v/>
      </c>
      <c r="C762" s="5" t="str">
        <f>IF($H762="","",INDEX('Detalle individual'!$A:$A,$H762))</f>
        <v/>
      </c>
      <c r="D762" s="5" t="str">
        <f>IF($H762="","",INDEX('Detalle individual'!$E:$E,$H762))</f>
        <v/>
      </c>
      <c r="E762" s="5" t="str">
        <f>IF($H762="","",INDEX('Detalle individual'!$C:$C,$H762))</f>
        <v/>
      </c>
      <c r="F762" s="5" t="str">
        <f>IF($H762="","",INDEX('Detalle individual'!$D:$D,$H762))</f>
        <v/>
      </c>
      <c r="G762" s="5" t="str">
        <f>IF($H762="","",INDEX('Detalle individual'!$F:$F,$H762))</f>
        <v/>
      </c>
      <c r="H762" t="str">
        <f>IFERROR(MATCH(SMALL(Cálculos!$AJ$5:$AJ$1000,758),Cálculos!$AJ$5:$AJ$1000,0)+4,"")</f>
        <v/>
      </c>
    </row>
    <row r="763">
      <c r="B763" s="5" t="str">
        <f>IF($H763="","",INDEX('Detalle individual'!$B:$B,$H763))</f>
        <v/>
      </c>
      <c r="C763" s="5" t="str">
        <f>IF($H763="","",INDEX('Detalle individual'!$A:$A,$H763))</f>
        <v/>
      </c>
      <c r="D763" s="5" t="str">
        <f>IF($H763="","",INDEX('Detalle individual'!$E:$E,$H763))</f>
        <v/>
      </c>
      <c r="E763" s="5" t="str">
        <f>IF($H763="","",INDEX('Detalle individual'!$C:$C,$H763))</f>
        <v/>
      </c>
      <c r="F763" s="5" t="str">
        <f>IF($H763="","",INDEX('Detalle individual'!$D:$D,$H763))</f>
        <v/>
      </c>
      <c r="G763" s="5" t="str">
        <f>IF($H763="","",INDEX('Detalle individual'!$F:$F,$H763))</f>
        <v/>
      </c>
      <c r="H763" t="str">
        <f>IFERROR(MATCH(SMALL(Cálculos!$AJ$5:$AJ$1000,759),Cálculos!$AJ$5:$AJ$1000,0)+4,"")</f>
        <v/>
      </c>
    </row>
    <row r="764">
      <c r="B764" s="5" t="str">
        <f>IF($H764="","",INDEX('Detalle individual'!$B:$B,$H764))</f>
        <v/>
      </c>
      <c r="C764" s="5" t="str">
        <f>IF($H764="","",INDEX('Detalle individual'!$A:$A,$H764))</f>
        <v/>
      </c>
      <c r="D764" s="5" t="str">
        <f>IF($H764="","",INDEX('Detalle individual'!$E:$E,$H764))</f>
        <v/>
      </c>
      <c r="E764" s="5" t="str">
        <f>IF($H764="","",INDEX('Detalle individual'!$C:$C,$H764))</f>
        <v/>
      </c>
      <c r="F764" s="5" t="str">
        <f>IF($H764="","",INDEX('Detalle individual'!$D:$D,$H764))</f>
        <v/>
      </c>
      <c r="G764" s="5" t="str">
        <f>IF($H764="","",INDEX('Detalle individual'!$F:$F,$H764))</f>
        <v/>
      </c>
      <c r="H764" t="str">
        <f>IFERROR(MATCH(SMALL(Cálculos!$AJ$5:$AJ$1000,760),Cálculos!$AJ$5:$AJ$1000,0)+4,"")</f>
        <v/>
      </c>
    </row>
    <row r="765">
      <c r="B765" s="5" t="str">
        <f>IF($H765="","",INDEX('Detalle individual'!$B:$B,$H765))</f>
        <v/>
      </c>
      <c r="C765" s="5" t="str">
        <f>IF($H765="","",INDEX('Detalle individual'!$A:$A,$H765))</f>
        <v/>
      </c>
      <c r="D765" s="5" t="str">
        <f>IF($H765="","",INDEX('Detalle individual'!$E:$E,$H765))</f>
        <v/>
      </c>
      <c r="E765" s="5" t="str">
        <f>IF($H765="","",INDEX('Detalle individual'!$C:$C,$H765))</f>
        <v/>
      </c>
      <c r="F765" s="5" t="str">
        <f>IF($H765="","",INDEX('Detalle individual'!$D:$D,$H765))</f>
        <v/>
      </c>
      <c r="G765" s="5" t="str">
        <f>IF($H765="","",INDEX('Detalle individual'!$F:$F,$H765))</f>
        <v/>
      </c>
      <c r="H765" t="str">
        <f>IFERROR(MATCH(SMALL(Cálculos!$AJ$5:$AJ$1000,761),Cálculos!$AJ$5:$AJ$1000,0)+4,"")</f>
        <v/>
      </c>
    </row>
    <row r="766">
      <c r="B766" s="5" t="str">
        <f>IF($H766="","",INDEX('Detalle individual'!$B:$B,$H766))</f>
        <v/>
      </c>
      <c r="C766" s="5" t="str">
        <f>IF($H766="","",INDEX('Detalle individual'!$A:$A,$H766))</f>
        <v/>
      </c>
      <c r="D766" s="5" t="str">
        <f>IF($H766="","",INDEX('Detalle individual'!$E:$E,$H766))</f>
        <v/>
      </c>
      <c r="E766" s="5" t="str">
        <f>IF($H766="","",INDEX('Detalle individual'!$C:$C,$H766))</f>
        <v/>
      </c>
      <c r="F766" s="5" t="str">
        <f>IF($H766="","",INDEX('Detalle individual'!$D:$D,$H766))</f>
        <v/>
      </c>
      <c r="G766" s="5" t="str">
        <f>IF($H766="","",INDEX('Detalle individual'!$F:$F,$H766))</f>
        <v/>
      </c>
      <c r="H766" t="str">
        <f>IFERROR(MATCH(SMALL(Cálculos!$AJ$5:$AJ$1000,762),Cálculos!$AJ$5:$AJ$1000,0)+4,"")</f>
        <v/>
      </c>
    </row>
    <row r="767">
      <c r="B767" s="5" t="str">
        <f>IF($H767="","",INDEX('Detalle individual'!$B:$B,$H767))</f>
        <v/>
      </c>
      <c r="C767" s="5" t="str">
        <f>IF($H767="","",INDEX('Detalle individual'!$A:$A,$H767))</f>
        <v/>
      </c>
      <c r="D767" s="5" t="str">
        <f>IF($H767="","",INDEX('Detalle individual'!$E:$E,$H767))</f>
        <v/>
      </c>
      <c r="E767" s="5" t="str">
        <f>IF($H767="","",INDEX('Detalle individual'!$C:$C,$H767))</f>
        <v/>
      </c>
      <c r="F767" s="5" t="str">
        <f>IF($H767="","",INDEX('Detalle individual'!$D:$D,$H767))</f>
        <v/>
      </c>
      <c r="G767" s="5" t="str">
        <f>IF($H767="","",INDEX('Detalle individual'!$F:$F,$H767))</f>
        <v/>
      </c>
      <c r="H767" t="str">
        <f>IFERROR(MATCH(SMALL(Cálculos!$AJ$5:$AJ$1000,763),Cálculos!$AJ$5:$AJ$1000,0)+4,"")</f>
        <v/>
      </c>
    </row>
    <row r="768">
      <c r="B768" s="5" t="str">
        <f>IF($H768="","",INDEX('Detalle individual'!$B:$B,$H768))</f>
        <v/>
      </c>
      <c r="C768" s="5" t="str">
        <f>IF($H768="","",INDEX('Detalle individual'!$A:$A,$H768))</f>
        <v/>
      </c>
      <c r="D768" s="5" t="str">
        <f>IF($H768="","",INDEX('Detalle individual'!$E:$E,$H768))</f>
        <v/>
      </c>
      <c r="E768" s="5" t="str">
        <f>IF($H768="","",INDEX('Detalle individual'!$C:$C,$H768))</f>
        <v/>
      </c>
      <c r="F768" s="5" t="str">
        <f>IF($H768="","",INDEX('Detalle individual'!$D:$D,$H768))</f>
        <v/>
      </c>
      <c r="G768" s="5" t="str">
        <f>IF($H768="","",INDEX('Detalle individual'!$F:$F,$H768))</f>
        <v/>
      </c>
      <c r="H768" t="str">
        <f>IFERROR(MATCH(SMALL(Cálculos!$AJ$5:$AJ$1000,764),Cálculos!$AJ$5:$AJ$1000,0)+4,"")</f>
        <v/>
      </c>
    </row>
    <row r="769">
      <c r="B769" s="5" t="str">
        <f>IF($H769="","",INDEX('Detalle individual'!$B:$B,$H769))</f>
        <v/>
      </c>
      <c r="C769" s="5" t="str">
        <f>IF($H769="","",INDEX('Detalle individual'!$A:$A,$H769))</f>
        <v/>
      </c>
      <c r="D769" s="5" t="str">
        <f>IF($H769="","",INDEX('Detalle individual'!$E:$E,$H769))</f>
        <v/>
      </c>
      <c r="E769" s="5" t="str">
        <f>IF($H769="","",INDEX('Detalle individual'!$C:$C,$H769))</f>
        <v/>
      </c>
      <c r="F769" s="5" t="str">
        <f>IF($H769="","",INDEX('Detalle individual'!$D:$D,$H769))</f>
        <v/>
      </c>
      <c r="G769" s="5" t="str">
        <f>IF($H769="","",INDEX('Detalle individual'!$F:$F,$H769))</f>
        <v/>
      </c>
      <c r="H769" t="str">
        <f>IFERROR(MATCH(SMALL(Cálculos!$AJ$5:$AJ$1000,765),Cálculos!$AJ$5:$AJ$1000,0)+4,"")</f>
        <v/>
      </c>
    </row>
    <row r="770">
      <c r="B770" s="5" t="str">
        <f>IF($H770="","",INDEX('Detalle individual'!$B:$B,$H770))</f>
        <v/>
      </c>
      <c r="C770" s="5" t="str">
        <f>IF($H770="","",INDEX('Detalle individual'!$A:$A,$H770))</f>
        <v/>
      </c>
      <c r="D770" s="5" t="str">
        <f>IF($H770="","",INDEX('Detalle individual'!$E:$E,$H770))</f>
        <v/>
      </c>
      <c r="E770" s="5" t="str">
        <f>IF($H770="","",INDEX('Detalle individual'!$C:$C,$H770))</f>
        <v/>
      </c>
      <c r="F770" s="5" t="str">
        <f>IF($H770="","",INDEX('Detalle individual'!$D:$D,$H770))</f>
        <v/>
      </c>
      <c r="G770" s="5" t="str">
        <f>IF($H770="","",INDEX('Detalle individual'!$F:$F,$H770))</f>
        <v/>
      </c>
      <c r="H770" t="str">
        <f>IFERROR(MATCH(SMALL(Cálculos!$AJ$5:$AJ$1000,766),Cálculos!$AJ$5:$AJ$1000,0)+4,"")</f>
        <v/>
      </c>
    </row>
    <row r="771">
      <c r="B771" s="5" t="str">
        <f>IF($H771="","",INDEX('Detalle individual'!$B:$B,$H771))</f>
        <v/>
      </c>
      <c r="C771" s="5" t="str">
        <f>IF($H771="","",INDEX('Detalle individual'!$A:$A,$H771))</f>
        <v/>
      </c>
      <c r="D771" s="5" t="str">
        <f>IF($H771="","",INDEX('Detalle individual'!$E:$E,$H771))</f>
        <v/>
      </c>
      <c r="E771" s="5" t="str">
        <f>IF($H771="","",INDEX('Detalle individual'!$C:$C,$H771))</f>
        <v/>
      </c>
      <c r="F771" s="5" t="str">
        <f>IF($H771="","",INDEX('Detalle individual'!$D:$D,$H771))</f>
        <v/>
      </c>
      <c r="G771" s="5" t="str">
        <f>IF($H771="","",INDEX('Detalle individual'!$F:$F,$H771))</f>
        <v/>
      </c>
      <c r="H771" t="str">
        <f>IFERROR(MATCH(SMALL(Cálculos!$AJ$5:$AJ$1000,767),Cálculos!$AJ$5:$AJ$1000,0)+4,"")</f>
        <v/>
      </c>
    </row>
    <row r="772">
      <c r="B772" s="5" t="str">
        <f>IF($H772="","",INDEX('Detalle individual'!$B:$B,$H772))</f>
        <v/>
      </c>
      <c r="C772" s="5" t="str">
        <f>IF($H772="","",INDEX('Detalle individual'!$A:$A,$H772))</f>
        <v/>
      </c>
      <c r="D772" s="5" t="str">
        <f>IF($H772="","",INDEX('Detalle individual'!$E:$E,$H772))</f>
        <v/>
      </c>
      <c r="E772" s="5" t="str">
        <f>IF($H772="","",INDEX('Detalle individual'!$C:$C,$H772))</f>
        <v/>
      </c>
      <c r="F772" s="5" t="str">
        <f>IF($H772="","",INDEX('Detalle individual'!$D:$D,$H772))</f>
        <v/>
      </c>
      <c r="G772" s="5" t="str">
        <f>IF($H772="","",INDEX('Detalle individual'!$F:$F,$H772))</f>
        <v/>
      </c>
      <c r="H772" t="str">
        <f>IFERROR(MATCH(SMALL(Cálculos!$AJ$5:$AJ$1000,768),Cálculos!$AJ$5:$AJ$1000,0)+4,"")</f>
        <v/>
      </c>
    </row>
    <row r="773">
      <c r="B773" s="5" t="str">
        <f>IF($H773="","",INDEX('Detalle individual'!$B:$B,$H773))</f>
        <v/>
      </c>
      <c r="C773" s="5" t="str">
        <f>IF($H773="","",INDEX('Detalle individual'!$A:$A,$H773))</f>
        <v/>
      </c>
      <c r="D773" s="5" t="str">
        <f>IF($H773="","",INDEX('Detalle individual'!$E:$E,$H773))</f>
        <v/>
      </c>
      <c r="E773" s="5" t="str">
        <f>IF($H773="","",INDEX('Detalle individual'!$C:$C,$H773))</f>
        <v/>
      </c>
      <c r="F773" s="5" t="str">
        <f>IF($H773="","",INDEX('Detalle individual'!$D:$D,$H773))</f>
        <v/>
      </c>
      <c r="G773" s="5" t="str">
        <f>IF($H773="","",INDEX('Detalle individual'!$F:$F,$H773))</f>
        <v/>
      </c>
      <c r="H773" t="str">
        <f>IFERROR(MATCH(SMALL(Cálculos!$AJ$5:$AJ$1000,769),Cálculos!$AJ$5:$AJ$1000,0)+4,"")</f>
        <v/>
      </c>
    </row>
    <row r="774">
      <c r="B774" s="5" t="str">
        <f>IF($H774="","",INDEX('Detalle individual'!$B:$B,$H774))</f>
        <v/>
      </c>
      <c r="C774" s="5" t="str">
        <f>IF($H774="","",INDEX('Detalle individual'!$A:$A,$H774))</f>
        <v/>
      </c>
      <c r="D774" s="5" t="str">
        <f>IF($H774="","",INDEX('Detalle individual'!$E:$E,$H774))</f>
        <v/>
      </c>
      <c r="E774" s="5" t="str">
        <f>IF($H774="","",INDEX('Detalle individual'!$C:$C,$H774))</f>
        <v/>
      </c>
      <c r="F774" s="5" t="str">
        <f>IF($H774="","",INDEX('Detalle individual'!$D:$D,$H774))</f>
        <v/>
      </c>
      <c r="G774" s="5" t="str">
        <f>IF($H774="","",INDEX('Detalle individual'!$F:$F,$H774))</f>
        <v/>
      </c>
      <c r="H774" t="str">
        <f>IFERROR(MATCH(SMALL(Cálculos!$AJ$5:$AJ$1000,770),Cálculos!$AJ$5:$AJ$1000,0)+4,"")</f>
        <v/>
      </c>
    </row>
    <row r="775">
      <c r="B775" s="5" t="str">
        <f>IF($H775="","",INDEX('Detalle individual'!$B:$B,$H775))</f>
        <v/>
      </c>
      <c r="C775" s="5" t="str">
        <f>IF($H775="","",INDEX('Detalle individual'!$A:$A,$H775))</f>
        <v/>
      </c>
      <c r="D775" s="5" t="str">
        <f>IF($H775="","",INDEX('Detalle individual'!$E:$E,$H775))</f>
        <v/>
      </c>
      <c r="E775" s="5" t="str">
        <f>IF($H775="","",INDEX('Detalle individual'!$C:$C,$H775))</f>
        <v/>
      </c>
      <c r="F775" s="5" t="str">
        <f>IF($H775="","",INDEX('Detalle individual'!$D:$D,$H775))</f>
        <v/>
      </c>
      <c r="G775" s="5" t="str">
        <f>IF($H775="","",INDEX('Detalle individual'!$F:$F,$H775))</f>
        <v/>
      </c>
      <c r="H775" t="str">
        <f>IFERROR(MATCH(SMALL(Cálculos!$AJ$5:$AJ$1000,771),Cálculos!$AJ$5:$AJ$1000,0)+4,"")</f>
        <v/>
      </c>
    </row>
    <row r="776">
      <c r="B776" s="5" t="str">
        <f>IF($H776="","",INDEX('Detalle individual'!$B:$B,$H776))</f>
        <v/>
      </c>
      <c r="C776" s="5" t="str">
        <f>IF($H776="","",INDEX('Detalle individual'!$A:$A,$H776))</f>
        <v/>
      </c>
      <c r="D776" s="5" t="str">
        <f>IF($H776="","",INDEX('Detalle individual'!$E:$E,$H776))</f>
        <v/>
      </c>
      <c r="E776" s="5" t="str">
        <f>IF($H776="","",INDEX('Detalle individual'!$C:$C,$H776))</f>
        <v/>
      </c>
      <c r="F776" s="5" t="str">
        <f>IF($H776="","",INDEX('Detalle individual'!$D:$D,$H776))</f>
        <v/>
      </c>
      <c r="G776" s="5" t="str">
        <f>IF($H776="","",INDEX('Detalle individual'!$F:$F,$H776))</f>
        <v/>
      </c>
      <c r="H776" t="str">
        <f>IFERROR(MATCH(SMALL(Cálculos!$AJ$5:$AJ$1000,772),Cálculos!$AJ$5:$AJ$1000,0)+4,"")</f>
        <v/>
      </c>
    </row>
    <row r="777">
      <c r="B777" s="5" t="str">
        <f>IF($H777="","",INDEX('Detalle individual'!$B:$B,$H777))</f>
        <v/>
      </c>
      <c r="C777" s="5" t="str">
        <f>IF($H777="","",INDEX('Detalle individual'!$A:$A,$H777))</f>
        <v/>
      </c>
      <c r="D777" s="5" t="str">
        <f>IF($H777="","",INDEX('Detalle individual'!$E:$E,$H777))</f>
        <v/>
      </c>
      <c r="E777" s="5" t="str">
        <f>IF($H777="","",INDEX('Detalle individual'!$C:$C,$H777))</f>
        <v/>
      </c>
      <c r="F777" s="5" t="str">
        <f>IF($H777="","",INDEX('Detalle individual'!$D:$D,$H777))</f>
        <v/>
      </c>
      <c r="G777" s="5" t="str">
        <f>IF($H777="","",INDEX('Detalle individual'!$F:$F,$H777))</f>
        <v/>
      </c>
      <c r="H777" t="str">
        <f>IFERROR(MATCH(SMALL(Cálculos!$AJ$5:$AJ$1000,773),Cálculos!$AJ$5:$AJ$1000,0)+4,"")</f>
        <v/>
      </c>
    </row>
    <row r="778">
      <c r="B778" s="5" t="str">
        <f>IF($H778="","",INDEX('Detalle individual'!$B:$B,$H778))</f>
        <v/>
      </c>
      <c r="C778" s="5" t="str">
        <f>IF($H778="","",INDEX('Detalle individual'!$A:$A,$H778))</f>
        <v/>
      </c>
      <c r="D778" s="5" t="str">
        <f>IF($H778="","",INDEX('Detalle individual'!$E:$E,$H778))</f>
        <v/>
      </c>
      <c r="E778" s="5" t="str">
        <f>IF($H778="","",INDEX('Detalle individual'!$C:$C,$H778))</f>
        <v/>
      </c>
      <c r="F778" s="5" t="str">
        <f>IF($H778="","",INDEX('Detalle individual'!$D:$D,$H778))</f>
        <v/>
      </c>
      <c r="G778" s="5" t="str">
        <f>IF($H778="","",INDEX('Detalle individual'!$F:$F,$H778))</f>
        <v/>
      </c>
      <c r="H778" t="str">
        <f>IFERROR(MATCH(SMALL(Cálculos!$AJ$5:$AJ$1000,774),Cálculos!$AJ$5:$AJ$1000,0)+4,"")</f>
        <v/>
      </c>
    </row>
    <row r="779">
      <c r="B779" s="5" t="str">
        <f>IF($H779="","",INDEX('Detalle individual'!$B:$B,$H779))</f>
        <v/>
      </c>
      <c r="C779" s="5" t="str">
        <f>IF($H779="","",INDEX('Detalle individual'!$A:$A,$H779))</f>
        <v/>
      </c>
      <c r="D779" s="5" t="str">
        <f>IF($H779="","",INDEX('Detalle individual'!$E:$E,$H779))</f>
        <v/>
      </c>
      <c r="E779" s="5" t="str">
        <f>IF($H779="","",INDEX('Detalle individual'!$C:$C,$H779))</f>
        <v/>
      </c>
      <c r="F779" s="5" t="str">
        <f>IF($H779="","",INDEX('Detalle individual'!$D:$D,$H779))</f>
        <v/>
      </c>
      <c r="G779" s="5" t="str">
        <f>IF($H779="","",INDEX('Detalle individual'!$F:$F,$H779))</f>
        <v/>
      </c>
      <c r="H779" t="str">
        <f>IFERROR(MATCH(SMALL(Cálculos!$AJ$5:$AJ$1000,775),Cálculos!$AJ$5:$AJ$1000,0)+4,"")</f>
        <v/>
      </c>
    </row>
    <row r="780">
      <c r="B780" s="5" t="str">
        <f>IF($H780="","",INDEX('Detalle individual'!$B:$B,$H780))</f>
        <v/>
      </c>
      <c r="C780" s="5" t="str">
        <f>IF($H780="","",INDEX('Detalle individual'!$A:$A,$H780))</f>
        <v/>
      </c>
      <c r="D780" s="5" t="str">
        <f>IF($H780="","",INDEX('Detalle individual'!$E:$E,$H780))</f>
        <v/>
      </c>
      <c r="E780" s="5" t="str">
        <f>IF($H780="","",INDEX('Detalle individual'!$C:$C,$H780))</f>
        <v/>
      </c>
      <c r="F780" s="5" t="str">
        <f>IF($H780="","",INDEX('Detalle individual'!$D:$D,$H780))</f>
        <v/>
      </c>
      <c r="G780" s="5" t="str">
        <f>IF($H780="","",INDEX('Detalle individual'!$F:$F,$H780))</f>
        <v/>
      </c>
      <c r="H780" t="str">
        <f>IFERROR(MATCH(SMALL(Cálculos!$AJ$5:$AJ$1000,776),Cálculos!$AJ$5:$AJ$1000,0)+4,"")</f>
        <v/>
      </c>
    </row>
    <row r="781">
      <c r="B781" s="5" t="str">
        <f>IF($H781="","",INDEX('Detalle individual'!$B:$B,$H781))</f>
        <v/>
      </c>
      <c r="C781" s="5" t="str">
        <f>IF($H781="","",INDEX('Detalle individual'!$A:$A,$H781))</f>
        <v/>
      </c>
      <c r="D781" s="5" t="str">
        <f>IF($H781="","",INDEX('Detalle individual'!$E:$E,$H781))</f>
        <v/>
      </c>
      <c r="E781" s="5" t="str">
        <f>IF($H781="","",INDEX('Detalle individual'!$C:$C,$H781))</f>
        <v/>
      </c>
      <c r="F781" s="5" t="str">
        <f>IF($H781="","",INDEX('Detalle individual'!$D:$D,$H781))</f>
        <v/>
      </c>
      <c r="G781" s="5" t="str">
        <f>IF($H781="","",INDEX('Detalle individual'!$F:$F,$H781))</f>
        <v/>
      </c>
      <c r="H781" t="str">
        <f>IFERROR(MATCH(SMALL(Cálculos!$AJ$5:$AJ$1000,777),Cálculos!$AJ$5:$AJ$1000,0)+4,"")</f>
        <v/>
      </c>
    </row>
    <row r="782">
      <c r="B782" s="5" t="str">
        <f>IF($H782="","",INDEX('Detalle individual'!$B:$B,$H782))</f>
        <v/>
      </c>
      <c r="C782" s="5" t="str">
        <f>IF($H782="","",INDEX('Detalle individual'!$A:$A,$H782))</f>
        <v/>
      </c>
      <c r="D782" s="5" t="str">
        <f>IF($H782="","",INDEX('Detalle individual'!$E:$E,$H782))</f>
        <v/>
      </c>
      <c r="E782" s="5" t="str">
        <f>IF($H782="","",INDEX('Detalle individual'!$C:$C,$H782))</f>
        <v/>
      </c>
      <c r="F782" s="5" t="str">
        <f>IF($H782="","",INDEX('Detalle individual'!$D:$D,$H782))</f>
        <v/>
      </c>
      <c r="G782" s="5" t="str">
        <f>IF($H782="","",INDEX('Detalle individual'!$F:$F,$H782))</f>
        <v/>
      </c>
      <c r="H782" t="str">
        <f>IFERROR(MATCH(SMALL(Cálculos!$AJ$5:$AJ$1000,778),Cálculos!$AJ$5:$AJ$1000,0)+4,"")</f>
        <v/>
      </c>
    </row>
    <row r="783">
      <c r="B783" s="5" t="str">
        <f>IF($H783="","",INDEX('Detalle individual'!$B:$B,$H783))</f>
        <v/>
      </c>
      <c r="C783" s="5" t="str">
        <f>IF($H783="","",INDEX('Detalle individual'!$A:$A,$H783))</f>
        <v/>
      </c>
      <c r="D783" s="5" t="str">
        <f>IF($H783="","",INDEX('Detalle individual'!$E:$E,$H783))</f>
        <v/>
      </c>
      <c r="E783" s="5" t="str">
        <f>IF($H783="","",INDEX('Detalle individual'!$C:$C,$H783))</f>
        <v/>
      </c>
      <c r="F783" s="5" t="str">
        <f>IF($H783="","",INDEX('Detalle individual'!$D:$D,$H783))</f>
        <v/>
      </c>
      <c r="G783" s="5" t="str">
        <f>IF($H783="","",INDEX('Detalle individual'!$F:$F,$H783))</f>
        <v/>
      </c>
      <c r="H783" t="str">
        <f>IFERROR(MATCH(SMALL(Cálculos!$AJ$5:$AJ$1000,779),Cálculos!$AJ$5:$AJ$1000,0)+4,"")</f>
        <v/>
      </c>
    </row>
    <row r="784">
      <c r="B784" s="5" t="str">
        <f>IF($H784="","",INDEX('Detalle individual'!$B:$B,$H784))</f>
        <v/>
      </c>
      <c r="C784" s="5" t="str">
        <f>IF($H784="","",INDEX('Detalle individual'!$A:$A,$H784))</f>
        <v/>
      </c>
      <c r="D784" s="5" t="str">
        <f>IF($H784="","",INDEX('Detalle individual'!$E:$E,$H784))</f>
        <v/>
      </c>
      <c r="E784" s="5" t="str">
        <f>IF($H784="","",INDEX('Detalle individual'!$C:$C,$H784))</f>
        <v/>
      </c>
      <c r="F784" s="5" t="str">
        <f>IF($H784="","",INDEX('Detalle individual'!$D:$D,$H784))</f>
        <v/>
      </c>
      <c r="G784" s="5" t="str">
        <f>IF($H784="","",INDEX('Detalle individual'!$F:$F,$H784))</f>
        <v/>
      </c>
      <c r="H784" t="str">
        <f>IFERROR(MATCH(SMALL(Cálculos!$AJ$5:$AJ$1000,780),Cálculos!$AJ$5:$AJ$1000,0)+4,"")</f>
        <v/>
      </c>
    </row>
    <row r="785">
      <c r="B785" s="5" t="str">
        <f>IF($H785="","",INDEX('Detalle individual'!$B:$B,$H785))</f>
        <v/>
      </c>
      <c r="C785" s="5" t="str">
        <f>IF($H785="","",INDEX('Detalle individual'!$A:$A,$H785))</f>
        <v/>
      </c>
      <c r="D785" s="5" t="str">
        <f>IF($H785="","",INDEX('Detalle individual'!$E:$E,$H785))</f>
        <v/>
      </c>
      <c r="E785" s="5" t="str">
        <f>IF($H785="","",INDEX('Detalle individual'!$C:$C,$H785))</f>
        <v/>
      </c>
      <c r="F785" s="5" t="str">
        <f>IF($H785="","",INDEX('Detalle individual'!$D:$D,$H785))</f>
        <v/>
      </c>
      <c r="G785" s="5" t="str">
        <f>IF($H785="","",INDEX('Detalle individual'!$F:$F,$H785))</f>
        <v/>
      </c>
      <c r="H785" t="str">
        <f>IFERROR(MATCH(SMALL(Cálculos!$AJ$5:$AJ$1000,781),Cálculos!$AJ$5:$AJ$1000,0)+4,"")</f>
        <v/>
      </c>
    </row>
    <row r="786">
      <c r="B786" s="5" t="str">
        <f>IF($H786="","",INDEX('Detalle individual'!$B:$B,$H786))</f>
        <v/>
      </c>
      <c r="C786" s="5" t="str">
        <f>IF($H786="","",INDEX('Detalle individual'!$A:$A,$H786))</f>
        <v/>
      </c>
      <c r="D786" s="5" t="str">
        <f>IF($H786="","",INDEX('Detalle individual'!$E:$E,$H786))</f>
        <v/>
      </c>
      <c r="E786" s="5" t="str">
        <f>IF($H786="","",INDEX('Detalle individual'!$C:$C,$H786))</f>
        <v/>
      </c>
      <c r="F786" s="5" t="str">
        <f>IF($H786="","",INDEX('Detalle individual'!$D:$D,$H786))</f>
        <v/>
      </c>
      <c r="G786" s="5" t="str">
        <f>IF($H786="","",INDEX('Detalle individual'!$F:$F,$H786))</f>
        <v/>
      </c>
      <c r="H786" t="str">
        <f>IFERROR(MATCH(SMALL(Cálculos!$AJ$5:$AJ$1000,782),Cálculos!$AJ$5:$AJ$1000,0)+4,"")</f>
        <v/>
      </c>
    </row>
    <row r="787">
      <c r="B787" s="5" t="str">
        <f>IF($H787="","",INDEX('Detalle individual'!$B:$B,$H787))</f>
        <v/>
      </c>
      <c r="C787" s="5" t="str">
        <f>IF($H787="","",INDEX('Detalle individual'!$A:$A,$H787))</f>
        <v/>
      </c>
      <c r="D787" s="5" t="str">
        <f>IF($H787="","",INDEX('Detalle individual'!$E:$E,$H787))</f>
        <v/>
      </c>
      <c r="E787" s="5" t="str">
        <f>IF($H787="","",INDEX('Detalle individual'!$C:$C,$H787))</f>
        <v/>
      </c>
      <c r="F787" s="5" t="str">
        <f>IF($H787="","",INDEX('Detalle individual'!$D:$D,$H787))</f>
        <v/>
      </c>
      <c r="G787" s="5" t="str">
        <f>IF($H787="","",INDEX('Detalle individual'!$F:$F,$H787))</f>
        <v/>
      </c>
      <c r="H787" t="str">
        <f>IFERROR(MATCH(SMALL(Cálculos!$AJ$5:$AJ$1000,783),Cálculos!$AJ$5:$AJ$1000,0)+4,"")</f>
        <v/>
      </c>
    </row>
    <row r="788">
      <c r="B788" s="5" t="str">
        <f>IF($H788="","",INDEX('Detalle individual'!$B:$B,$H788))</f>
        <v/>
      </c>
      <c r="C788" s="5" t="str">
        <f>IF($H788="","",INDEX('Detalle individual'!$A:$A,$H788))</f>
        <v/>
      </c>
      <c r="D788" s="5" t="str">
        <f>IF($H788="","",INDEX('Detalle individual'!$E:$E,$H788))</f>
        <v/>
      </c>
      <c r="E788" s="5" t="str">
        <f>IF($H788="","",INDEX('Detalle individual'!$C:$C,$H788))</f>
        <v/>
      </c>
      <c r="F788" s="5" t="str">
        <f>IF($H788="","",INDEX('Detalle individual'!$D:$D,$H788))</f>
        <v/>
      </c>
      <c r="G788" s="5" t="str">
        <f>IF($H788="","",INDEX('Detalle individual'!$F:$F,$H788))</f>
        <v/>
      </c>
      <c r="H788" t="str">
        <f>IFERROR(MATCH(SMALL(Cálculos!$AJ$5:$AJ$1000,784),Cálculos!$AJ$5:$AJ$1000,0)+4,"")</f>
        <v/>
      </c>
    </row>
    <row r="789">
      <c r="B789" s="5" t="str">
        <f>IF($H789="","",INDEX('Detalle individual'!$B:$B,$H789))</f>
        <v/>
      </c>
      <c r="C789" s="5" t="str">
        <f>IF($H789="","",INDEX('Detalle individual'!$A:$A,$H789))</f>
        <v/>
      </c>
      <c r="D789" s="5" t="str">
        <f>IF($H789="","",INDEX('Detalle individual'!$E:$E,$H789))</f>
        <v/>
      </c>
      <c r="E789" s="5" t="str">
        <f>IF($H789="","",INDEX('Detalle individual'!$C:$C,$H789))</f>
        <v/>
      </c>
      <c r="F789" s="5" t="str">
        <f>IF($H789="","",INDEX('Detalle individual'!$D:$D,$H789))</f>
        <v/>
      </c>
      <c r="G789" s="5" t="str">
        <f>IF($H789="","",INDEX('Detalle individual'!$F:$F,$H789))</f>
        <v/>
      </c>
      <c r="H789" t="str">
        <f>IFERROR(MATCH(SMALL(Cálculos!$AJ$5:$AJ$1000,785),Cálculos!$AJ$5:$AJ$1000,0)+4,"")</f>
        <v/>
      </c>
    </row>
    <row r="790">
      <c r="B790" s="5" t="str">
        <f>IF($H790="","",INDEX('Detalle individual'!$B:$B,$H790))</f>
        <v/>
      </c>
      <c r="C790" s="5" t="str">
        <f>IF($H790="","",INDEX('Detalle individual'!$A:$A,$H790))</f>
        <v/>
      </c>
      <c r="D790" s="5" t="str">
        <f>IF($H790="","",INDEX('Detalle individual'!$E:$E,$H790))</f>
        <v/>
      </c>
      <c r="E790" s="5" t="str">
        <f>IF($H790="","",INDEX('Detalle individual'!$C:$C,$H790))</f>
        <v/>
      </c>
      <c r="F790" s="5" t="str">
        <f>IF($H790="","",INDEX('Detalle individual'!$D:$D,$H790))</f>
        <v/>
      </c>
      <c r="G790" s="5" t="str">
        <f>IF($H790="","",INDEX('Detalle individual'!$F:$F,$H790))</f>
        <v/>
      </c>
      <c r="H790" t="str">
        <f>IFERROR(MATCH(SMALL(Cálculos!$AJ$5:$AJ$1000,786),Cálculos!$AJ$5:$AJ$1000,0)+4,"")</f>
        <v/>
      </c>
    </row>
    <row r="791">
      <c r="B791" s="5" t="str">
        <f>IF($H791="","",INDEX('Detalle individual'!$B:$B,$H791))</f>
        <v/>
      </c>
      <c r="C791" s="5" t="str">
        <f>IF($H791="","",INDEX('Detalle individual'!$A:$A,$H791))</f>
        <v/>
      </c>
      <c r="D791" s="5" t="str">
        <f>IF($H791="","",INDEX('Detalle individual'!$E:$E,$H791))</f>
        <v/>
      </c>
      <c r="E791" s="5" t="str">
        <f>IF($H791="","",INDEX('Detalle individual'!$C:$C,$H791))</f>
        <v/>
      </c>
      <c r="F791" s="5" t="str">
        <f>IF($H791="","",INDEX('Detalle individual'!$D:$D,$H791))</f>
        <v/>
      </c>
      <c r="G791" s="5" t="str">
        <f>IF($H791="","",INDEX('Detalle individual'!$F:$F,$H791))</f>
        <v/>
      </c>
      <c r="H791" t="str">
        <f>IFERROR(MATCH(SMALL(Cálculos!$AJ$5:$AJ$1000,787),Cálculos!$AJ$5:$AJ$1000,0)+4,"")</f>
        <v/>
      </c>
    </row>
    <row r="792">
      <c r="B792" s="5" t="str">
        <f>IF($H792="","",INDEX('Detalle individual'!$B:$B,$H792))</f>
        <v/>
      </c>
      <c r="C792" s="5" t="str">
        <f>IF($H792="","",INDEX('Detalle individual'!$A:$A,$H792))</f>
        <v/>
      </c>
      <c r="D792" s="5" t="str">
        <f>IF($H792="","",INDEX('Detalle individual'!$E:$E,$H792))</f>
        <v/>
      </c>
      <c r="E792" s="5" t="str">
        <f>IF($H792="","",INDEX('Detalle individual'!$C:$C,$H792))</f>
        <v/>
      </c>
      <c r="F792" s="5" t="str">
        <f>IF($H792="","",INDEX('Detalle individual'!$D:$D,$H792))</f>
        <v/>
      </c>
      <c r="G792" s="5" t="str">
        <f>IF($H792="","",INDEX('Detalle individual'!$F:$F,$H792))</f>
        <v/>
      </c>
      <c r="H792" t="str">
        <f>IFERROR(MATCH(SMALL(Cálculos!$AJ$5:$AJ$1000,788),Cálculos!$AJ$5:$AJ$1000,0)+4,"")</f>
        <v/>
      </c>
    </row>
    <row r="793">
      <c r="B793" s="5" t="str">
        <f>IF($H793="","",INDEX('Detalle individual'!$B:$B,$H793))</f>
        <v/>
      </c>
      <c r="C793" s="5" t="str">
        <f>IF($H793="","",INDEX('Detalle individual'!$A:$A,$H793))</f>
        <v/>
      </c>
      <c r="D793" s="5" t="str">
        <f>IF($H793="","",INDEX('Detalle individual'!$E:$E,$H793))</f>
        <v/>
      </c>
      <c r="E793" s="5" t="str">
        <f>IF($H793="","",INDEX('Detalle individual'!$C:$C,$H793))</f>
        <v/>
      </c>
      <c r="F793" s="5" t="str">
        <f>IF($H793="","",INDEX('Detalle individual'!$D:$D,$H793))</f>
        <v/>
      </c>
      <c r="G793" s="5" t="str">
        <f>IF($H793="","",INDEX('Detalle individual'!$F:$F,$H793))</f>
        <v/>
      </c>
      <c r="H793" t="str">
        <f>IFERROR(MATCH(SMALL(Cálculos!$AJ$5:$AJ$1000,789),Cálculos!$AJ$5:$AJ$1000,0)+4,"")</f>
        <v/>
      </c>
    </row>
    <row r="794">
      <c r="B794" s="5" t="str">
        <f>IF($H794="","",INDEX('Detalle individual'!$B:$B,$H794))</f>
        <v/>
      </c>
      <c r="C794" s="5" t="str">
        <f>IF($H794="","",INDEX('Detalle individual'!$A:$A,$H794))</f>
        <v/>
      </c>
      <c r="D794" s="5" t="str">
        <f>IF($H794="","",INDEX('Detalle individual'!$E:$E,$H794))</f>
        <v/>
      </c>
      <c r="E794" s="5" t="str">
        <f>IF($H794="","",INDEX('Detalle individual'!$C:$C,$H794))</f>
        <v/>
      </c>
      <c r="F794" s="5" t="str">
        <f>IF($H794="","",INDEX('Detalle individual'!$D:$D,$H794))</f>
        <v/>
      </c>
      <c r="G794" s="5" t="str">
        <f>IF($H794="","",INDEX('Detalle individual'!$F:$F,$H794))</f>
        <v/>
      </c>
      <c r="H794" t="str">
        <f>IFERROR(MATCH(SMALL(Cálculos!$AJ$5:$AJ$1000,790),Cálculos!$AJ$5:$AJ$1000,0)+4,"")</f>
        <v/>
      </c>
    </row>
    <row r="795">
      <c r="B795" s="5" t="str">
        <f>IF($H795="","",INDEX('Detalle individual'!$B:$B,$H795))</f>
        <v/>
      </c>
      <c r="C795" s="5" t="str">
        <f>IF($H795="","",INDEX('Detalle individual'!$A:$A,$H795))</f>
        <v/>
      </c>
      <c r="D795" s="5" t="str">
        <f>IF($H795="","",INDEX('Detalle individual'!$E:$E,$H795))</f>
        <v/>
      </c>
      <c r="E795" s="5" t="str">
        <f>IF($H795="","",INDEX('Detalle individual'!$C:$C,$H795))</f>
        <v/>
      </c>
      <c r="F795" s="5" t="str">
        <f>IF($H795="","",INDEX('Detalle individual'!$D:$D,$H795))</f>
        <v/>
      </c>
      <c r="G795" s="5" t="str">
        <f>IF($H795="","",INDEX('Detalle individual'!$F:$F,$H795))</f>
        <v/>
      </c>
      <c r="H795" t="str">
        <f>IFERROR(MATCH(SMALL(Cálculos!$AJ$5:$AJ$1000,791),Cálculos!$AJ$5:$AJ$1000,0)+4,"")</f>
        <v/>
      </c>
    </row>
    <row r="796">
      <c r="B796" s="5" t="str">
        <f>IF($H796="","",INDEX('Detalle individual'!$B:$B,$H796))</f>
        <v/>
      </c>
      <c r="C796" s="5" t="str">
        <f>IF($H796="","",INDEX('Detalle individual'!$A:$A,$H796))</f>
        <v/>
      </c>
      <c r="D796" s="5" t="str">
        <f>IF($H796="","",INDEX('Detalle individual'!$E:$E,$H796))</f>
        <v/>
      </c>
      <c r="E796" s="5" t="str">
        <f>IF($H796="","",INDEX('Detalle individual'!$C:$C,$H796))</f>
        <v/>
      </c>
      <c r="F796" s="5" t="str">
        <f>IF($H796="","",INDEX('Detalle individual'!$D:$D,$H796))</f>
        <v/>
      </c>
      <c r="G796" s="5" t="str">
        <f>IF($H796="","",INDEX('Detalle individual'!$F:$F,$H796))</f>
        <v/>
      </c>
      <c r="H796" t="str">
        <f>IFERROR(MATCH(SMALL(Cálculos!$AJ$5:$AJ$1000,792),Cálculos!$AJ$5:$AJ$1000,0)+4,"")</f>
        <v/>
      </c>
    </row>
    <row r="797">
      <c r="B797" s="5" t="str">
        <f>IF($H797="","",INDEX('Detalle individual'!$B:$B,$H797))</f>
        <v/>
      </c>
      <c r="C797" s="5" t="str">
        <f>IF($H797="","",INDEX('Detalle individual'!$A:$A,$H797))</f>
        <v/>
      </c>
      <c r="D797" s="5" t="str">
        <f>IF($H797="","",INDEX('Detalle individual'!$E:$E,$H797))</f>
        <v/>
      </c>
      <c r="E797" s="5" t="str">
        <f>IF($H797="","",INDEX('Detalle individual'!$C:$C,$H797))</f>
        <v/>
      </c>
      <c r="F797" s="5" t="str">
        <f>IF($H797="","",INDEX('Detalle individual'!$D:$D,$H797))</f>
        <v/>
      </c>
      <c r="G797" s="5" t="str">
        <f>IF($H797="","",INDEX('Detalle individual'!$F:$F,$H797))</f>
        <v/>
      </c>
      <c r="H797" t="str">
        <f>IFERROR(MATCH(SMALL(Cálculos!$AJ$5:$AJ$1000,793),Cálculos!$AJ$5:$AJ$1000,0)+4,"")</f>
        <v/>
      </c>
    </row>
    <row r="798">
      <c r="B798" s="5" t="str">
        <f>IF($H798="","",INDEX('Detalle individual'!$B:$B,$H798))</f>
        <v/>
      </c>
      <c r="C798" s="5" t="str">
        <f>IF($H798="","",INDEX('Detalle individual'!$A:$A,$H798))</f>
        <v/>
      </c>
      <c r="D798" s="5" t="str">
        <f>IF($H798="","",INDEX('Detalle individual'!$E:$E,$H798))</f>
        <v/>
      </c>
      <c r="E798" s="5" t="str">
        <f>IF($H798="","",INDEX('Detalle individual'!$C:$C,$H798))</f>
        <v/>
      </c>
      <c r="F798" s="5" t="str">
        <f>IF($H798="","",INDEX('Detalle individual'!$D:$D,$H798))</f>
        <v/>
      </c>
      <c r="G798" s="5" t="str">
        <f>IF($H798="","",INDEX('Detalle individual'!$F:$F,$H798))</f>
        <v/>
      </c>
      <c r="H798" t="str">
        <f>IFERROR(MATCH(SMALL(Cálculos!$AJ$5:$AJ$1000,794),Cálculos!$AJ$5:$AJ$1000,0)+4,"")</f>
        <v/>
      </c>
    </row>
    <row r="799">
      <c r="B799" s="5" t="str">
        <f>IF($H799="","",INDEX('Detalle individual'!$B:$B,$H799))</f>
        <v/>
      </c>
      <c r="C799" s="5" t="str">
        <f>IF($H799="","",INDEX('Detalle individual'!$A:$A,$H799))</f>
        <v/>
      </c>
      <c r="D799" s="5" t="str">
        <f>IF($H799="","",INDEX('Detalle individual'!$E:$E,$H799))</f>
        <v/>
      </c>
      <c r="E799" s="5" t="str">
        <f>IF($H799="","",INDEX('Detalle individual'!$C:$C,$H799))</f>
        <v/>
      </c>
      <c r="F799" s="5" t="str">
        <f>IF($H799="","",INDEX('Detalle individual'!$D:$D,$H799))</f>
        <v/>
      </c>
      <c r="G799" s="5" t="str">
        <f>IF($H799="","",INDEX('Detalle individual'!$F:$F,$H799))</f>
        <v/>
      </c>
      <c r="H799" t="str">
        <f>IFERROR(MATCH(SMALL(Cálculos!$AJ$5:$AJ$1000,795),Cálculos!$AJ$5:$AJ$1000,0)+4,"")</f>
        <v/>
      </c>
    </row>
    <row r="800">
      <c r="B800" s="5" t="str">
        <f>IF($H800="","",INDEX('Detalle individual'!$B:$B,$H800))</f>
        <v/>
      </c>
      <c r="C800" s="5" t="str">
        <f>IF($H800="","",INDEX('Detalle individual'!$A:$A,$H800))</f>
        <v/>
      </c>
      <c r="D800" s="5" t="str">
        <f>IF($H800="","",INDEX('Detalle individual'!$E:$E,$H800))</f>
        <v/>
      </c>
      <c r="E800" s="5" t="str">
        <f>IF($H800="","",INDEX('Detalle individual'!$C:$C,$H800))</f>
        <v/>
      </c>
      <c r="F800" s="5" t="str">
        <f>IF($H800="","",INDEX('Detalle individual'!$D:$D,$H800))</f>
        <v/>
      </c>
      <c r="G800" s="5" t="str">
        <f>IF($H800="","",INDEX('Detalle individual'!$F:$F,$H800))</f>
        <v/>
      </c>
      <c r="H800" t="str">
        <f>IFERROR(MATCH(SMALL(Cálculos!$AJ$5:$AJ$1000,796),Cálculos!$AJ$5:$AJ$1000,0)+4,"")</f>
        <v/>
      </c>
    </row>
    <row r="801">
      <c r="B801" s="5" t="str">
        <f>IF($H801="","",INDEX('Detalle individual'!$B:$B,$H801))</f>
        <v/>
      </c>
      <c r="C801" s="5" t="str">
        <f>IF($H801="","",INDEX('Detalle individual'!$A:$A,$H801))</f>
        <v/>
      </c>
      <c r="D801" s="5" t="str">
        <f>IF($H801="","",INDEX('Detalle individual'!$E:$E,$H801))</f>
        <v/>
      </c>
      <c r="E801" s="5" t="str">
        <f>IF($H801="","",INDEX('Detalle individual'!$C:$C,$H801))</f>
        <v/>
      </c>
      <c r="F801" s="5" t="str">
        <f>IF($H801="","",INDEX('Detalle individual'!$D:$D,$H801))</f>
        <v/>
      </c>
      <c r="G801" s="5" t="str">
        <f>IF($H801="","",INDEX('Detalle individual'!$F:$F,$H801))</f>
        <v/>
      </c>
      <c r="H801" t="str">
        <f>IFERROR(MATCH(SMALL(Cálculos!$AJ$5:$AJ$1000,797),Cálculos!$AJ$5:$AJ$1000,0)+4,"")</f>
        <v/>
      </c>
    </row>
    <row r="802">
      <c r="B802" s="5" t="str">
        <f>IF($H802="","",INDEX('Detalle individual'!$B:$B,$H802))</f>
        <v/>
      </c>
      <c r="C802" s="5" t="str">
        <f>IF($H802="","",INDEX('Detalle individual'!$A:$A,$H802))</f>
        <v/>
      </c>
      <c r="D802" s="5" t="str">
        <f>IF($H802="","",INDEX('Detalle individual'!$E:$E,$H802))</f>
        <v/>
      </c>
      <c r="E802" s="5" t="str">
        <f>IF($H802="","",INDEX('Detalle individual'!$C:$C,$H802))</f>
        <v/>
      </c>
      <c r="F802" s="5" t="str">
        <f>IF($H802="","",INDEX('Detalle individual'!$D:$D,$H802))</f>
        <v/>
      </c>
      <c r="G802" s="5" t="str">
        <f>IF($H802="","",INDEX('Detalle individual'!$F:$F,$H802))</f>
        <v/>
      </c>
      <c r="H802" t="str">
        <f>IFERROR(MATCH(SMALL(Cálculos!$AJ$5:$AJ$1000,798),Cálculos!$AJ$5:$AJ$1000,0)+4,"")</f>
        <v/>
      </c>
    </row>
    <row r="803">
      <c r="B803" s="5" t="str">
        <f>IF($H803="","",INDEX('Detalle individual'!$B:$B,$H803))</f>
        <v/>
      </c>
      <c r="C803" s="5" t="str">
        <f>IF($H803="","",INDEX('Detalle individual'!$A:$A,$H803))</f>
        <v/>
      </c>
      <c r="D803" s="5" t="str">
        <f>IF($H803="","",INDEX('Detalle individual'!$E:$E,$H803))</f>
        <v/>
      </c>
      <c r="E803" s="5" t="str">
        <f>IF($H803="","",INDEX('Detalle individual'!$C:$C,$H803))</f>
        <v/>
      </c>
      <c r="F803" s="5" t="str">
        <f>IF($H803="","",INDEX('Detalle individual'!$D:$D,$H803))</f>
        <v/>
      </c>
      <c r="G803" s="5" t="str">
        <f>IF($H803="","",INDEX('Detalle individual'!$F:$F,$H803))</f>
        <v/>
      </c>
      <c r="H803" t="str">
        <f>IFERROR(MATCH(SMALL(Cálculos!$AJ$5:$AJ$1000,799),Cálculos!$AJ$5:$AJ$1000,0)+4,"")</f>
        <v/>
      </c>
    </row>
    <row r="804">
      <c r="B804" s="5" t="str">
        <f>IF($H804="","",INDEX('Detalle individual'!$B:$B,$H804))</f>
        <v/>
      </c>
      <c r="C804" s="5" t="str">
        <f>IF($H804="","",INDEX('Detalle individual'!$A:$A,$H804))</f>
        <v/>
      </c>
      <c r="D804" s="5" t="str">
        <f>IF($H804="","",INDEX('Detalle individual'!$E:$E,$H804))</f>
        <v/>
      </c>
      <c r="E804" s="5" t="str">
        <f>IF($H804="","",INDEX('Detalle individual'!$C:$C,$H804))</f>
        <v/>
      </c>
      <c r="F804" s="5" t="str">
        <f>IF($H804="","",INDEX('Detalle individual'!$D:$D,$H804))</f>
        <v/>
      </c>
      <c r="G804" s="5" t="str">
        <f>IF($H804="","",INDEX('Detalle individual'!$F:$F,$H804))</f>
        <v/>
      </c>
      <c r="H804" t="str">
        <f>IFERROR(MATCH(SMALL(Cálculos!$AJ$5:$AJ$1000,800),Cálculos!$AJ$5:$AJ$1000,0)+4,"")</f>
        <v/>
      </c>
    </row>
    <row r="805">
      <c r="B805" s="5" t="str">
        <f>IF($H805="","",INDEX('Detalle individual'!$B:$B,$H805))</f>
        <v/>
      </c>
      <c r="C805" s="5" t="str">
        <f>IF($H805="","",INDEX('Detalle individual'!$A:$A,$H805))</f>
        <v/>
      </c>
      <c r="D805" s="5" t="str">
        <f>IF($H805="","",INDEX('Detalle individual'!$E:$E,$H805))</f>
        <v/>
      </c>
      <c r="E805" s="5" t="str">
        <f>IF($H805="","",INDEX('Detalle individual'!$C:$C,$H805))</f>
        <v/>
      </c>
      <c r="F805" s="5" t="str">
        <f>IF($H805="","",INDEX('Detalle individual'!$D:$D,$H805))</f>
        <v/>
      </c>
      <c r="G805" s="5" t="str">
        <f>IF($H805="","",INDEX('Detalle individual'!$F:$F,$H805))</f>
        <v/>
      </c>
      <c r="H805" t="str">
        <f>IFERROR(MATCH(SMALL(Cálculos!$AJ$5:$AJ$1000,801),Cálculos!$AJ$5:$AJ$1000,0)+4,"")</f>
        <v/>
      </c>
    </row>
    <row r="806">
      <c r="B806" s="5" t="str">
        <f>IF($H806="","",INDEX('Detalle individual'!$B:$B,$H806))</f>
        <v/>
      </c>
      <c r="C806" s="5" t="str">
        <f>IF($H806="","",INDEX('Detalle individual'!$A:$A,$H806))</f>
        <v/>
      </c>
      <c r="D806" s="5" t="str">
        <f>IF($H806="","",INDEX('Detalle individual'!$E:$E,$H806))</f>
        <v/>
      </c>
      <c r="E806" s="5" t="str">
        <f>IF($H806="","",INDEX('Detalle individual'!$C:$C,$H806))</f>
        <v/>
      </c>
      <c r="F806" s="5" t="str">
        <f>IF($H806="","",INDEX('Detalle individual'!$D:$D,$H806))</f>
        <v/>
      </c>
      <c r="G806" s="5" t="str">
        <f>IF($H806="","",INDEX('Detalle individual'!$F:$F,$H806))</f>
        <v/>
      </c>
      <c r="H806" t="str">
        <f>IFERROR(MATCH(SMALL(Cálculos!$AJ$5:$AJ$1000,802),Cálculos!$AJ$5:$AJ$1000,0)+4,"")</f>
        <v/>
      </c>
    </row>
    <row r="807">
      <c r="B807" s="5" t="str">
        <f>IF($H807="","",INDEX('Detalle individual'!$B:$B,$H807))</f>
        <v/>
      </c>
      <c r="C807" s="5" t="str">
        <f>IF($H807="","",INDEX('Detalle individual'!$A:$A,$H807))</f>
        <v/>
      </c>
      <c r="D807" s="5" t="str">
        <f>IF($H807="","",INDEX('Detalle individual'!$E:$E,$H807))</f>
        <v/>
      </c>
      <c r="E807" s="5" t="str">
        <f>IF($H807="","",INDEX('Detalle individual'!$C:$C,$H807))</f>
        <v/>
      </c>
      <c r="F807" s="5" t="str">
        <f>IF($H807="","",INDEX('Detalle individual'!$D:$D,$H807))</f>
        <v/>
      </c>
      <c r="G807" s="5" t="str">
        <f>IF($H807="","",INDEX('Detalle individual'!$F:$F,$H807))</f>
        <v/>
      </c>
      <c r="H807" t="str">
        <f>IFERROR(MATCH(SMALL(Cálculos!$AJ$5:$AJ$1000,803),Cálculos!$AJ$5:$AJ$1000,0)+4,"")</f>
        <v/>
      </c>
    </row>
    <row r="808">
      <c r="B808" s="5" t="str">
        <f>IF($H808="","",INDEX('Detalle individual'!$B:$B,$H808))</f>
        <v/>
      </c>
      <c r="C808" s="5" t="str">
        <f>IF($H808="","",INDEX('Detalle individual'!$A:$A,$H808))</f>
        <v/>
      </c>
      <c r="D808" s="5" t="str">
        <f>IF($H808="","",INDEX('Detalle individual'!$E:$E,$H808))</f>
        <v/>
      </c>
      <c r="E808" s="5" t="str">
        <f>IF($H808="","",INDEX('Detalle individual'!$C:$C,$H808))</f>
        <v/>
      </c>
      <c r="F808" s="5" t="str">
        <f>IF($H808="","",INDEX('Detalle individual'!$D:$D,$H808))</f>
        <v/>
      </c>
      <c r="G808" s="5" t="str">
        <f>IF($H808="","",INDEX('Detalle individual'!$F:$F,$H808))</f>
        <v/>
      </c>
      <c r="H808" t="str">
        <f>IFERROR(MATCH(SMALL(Cálculos!$AJ$5:$AJ$1000,804),Cálculos!$AJ$5:$AJ$1000,0)+4,"")</f>
        <v/>
      </c>
    </row>
    <row r="809">
      <c r="B809" s="5" t="str">
        <f>IF($H809="","",INDEX('Detalle individual'!$B:$B,$H809))</f>
        <v/>
      </c>
      <c r="C809" s="5" t="str">
        <f>IF($H809="","",INDEX('Detalle individual'!$A:$A,$H809))</f>
        <v/>
      </c>
      <c r="D809" s="5" t="str">
        <f>IF($H809="","",INDEX('Detalle individual'!$E:$E,$H809))</f>
        <v/>
      </c>
      <c r="E809" s="5" t="str">
        <f>IF($H809="","",INDEX('Detalle individual'!$C:$C,$H809))</f>
        <v/>
      </c>
      <c r="F809" s="5" t="str">
        <f>IF($H809="","",INDEX('Detalle individual'!$D:$D,$H809))</f>
        <v/>
      </c>
      <c r="G809" s="5" t="str">
        <f>IF($H809="","",INDEX('Detalle individual'!$F:$F,$H809))</f>
        <v/>
      </c>
      <c r="H809" t="str">
        <f>IFERROR(MATCH(SMALL(Cálculos!$AJ$5:$AJ$1000,805),Cálculos!$AJ$5:$AJ$1000,0)+4,"")</f>
        <v/>
      </c>
    </row>
    <row r="810">
      <c r="B810" s="5" t="str">
        <f>IF($H810="","",INDEX('Detalle individual'!$B:$B,$H810))</f>
        <v/>
      </c>
      <c r="C810" s="5" t="str">
        <f>IF($H810="","",INDEX('Detalle individual'!$A:$A,$H810))</f>
        <v/>
      </c>
      <c r="D810" s="5" t="str">
        <f>IF($H810="","",INDEX('Detalle individual'!$E:$E,$H810))</f>
        <v/>
      </c>
      <c r="E810" s="5" t="str">
        <f>IF($H810="","",INDEX('Detalle individual'!$C:$C,$H810))</f>
        <v/>
      </c>
      <c r="F810" s="5" t="str">
        <f>IF($H810="","",INDEX('Detalle individual'!$D:$D,$H810))</f>
        <v/>
      </c>
      <c r="G810" s="5" t="str">
        <f>IF($H810="","",INDEX('Detalle individual'!$F:$F,$H810))</f>
        <v/>
      </c>
      <c r="H810" t="str">
        <f>IFERROR(MATCH(SMALL(Cálculos!$AJ$5:$AJ$1000,806),Cálculos!$AJ$5:$AJ$1000,0)+4,"")</f>
        <v/>
      </c>
    </row>
    <row r="811">
      <c r="B811" s="5" t="str">
        <f>IF($H811="","",INDEX('Detalle individual'!$B:$B,$H811))</f>
        <v/>
      </c>
      <c r="C811" s="5" t="str">
        <f>IF($H811="","",INDEX('Detalle individual'!$A:$A,$H811))</f>
        <v/>
      </c>
      <c r="D811" s="5" t="str">
        <f>IF($H811="","",INDEX('Detalle individual'!$E:$E,$H811))</f>
        <v/>
      </c>
      <c r="E811" s="5" t="str">
        <f>IF($H811="","",INDEX('Detalle individual'!$C:$C,$H811))</f>
        <v/>
      </c>
      <c r="F811" s="5" t="str">
        <f>IF($H811="","",INDEX('Detalle individual'!$D:$D,$H811))</f>
        <v/>
      </c>
      <c r="G811" s="5" t="str">
        <f>IF($H811="","",INDEX('Detalle individual'!$F:$F,$H811))</f>
        <v/>
      </c>
      <c r="H811" t="str">
        <f>IFERROR(MATCH(SMALL(Cálculos!$AJ$5:$AJ$1000,807),Cálculos!$AJ$5:$AJ$1000,0)+4,"")</f>
        <v/>
      </c>
    </row>
    <row r="812">
      <c r="B812" s="5" t="str">
        <f>IF($H812="","",INDEX('Detalle individual'!$B:$B,$H812))</f>
        <v/>
      </c>
      <c r="C812" s="5" t="str">
        <f>IF($H812="","",INDEX('Detalle individual'!$A:$A,$H812))</f>
        <v/>
      </c>
      <c r="D812" s="5" t="str">
        <f>IF($H812="","",INDEX('Detalle individual'!$E:$E,$H812))</f>
        <v/>
      </c>
      <c r="E812" s="5" t="str">
        <f>IF($H812="","",INDEX('Detalle individual'!$C:$C,$H812))</f>
        <v/>
      </c>
      <c r="F812" s="5" t="str">
        <f>IF($H812="","",INDEX('Detalle individual'!$D:$D,$H812))</f>
        <v/>
      </c>
      <c r="G812" s="5" t="str">
        <f>IF($H812="","",INDEX('Detalle individual'!$F:$F,$H812))</f>
        <v/>
      </c>
      <c r="H812" t="str">
        <f>IFERROR(MATCH(SMALL(Cálculos!$AJ$5:$AJ$1000,808),Cálculos!$AJ$5:$AJ$1000,0)+4,"")</f>
        <v/>
      </c>
    </row>
    <row r="813">
      <c r="B813" s="5" t="str">
        <f>IF($H813="","",INDEX('Detalle individual'!$B:$B,$H813))</f>
        <v/>
      </c>
      <c r="C813" s="5" t="str">
        <f>IF($H813="","",INDEX('Detalle individual'!$A:$A,$H813))</f>
        <v/>
      </c>
      <c r="D813" s="5" t="str">
        <f>IF($H813="","",INDEX('Detalle individual'!$E:$E,$H813))</f>
        <v/>
      </c>
      <c r="E813" s="5" t="str">
        <f>IF($H813="","",INDEX('Detalle individual'!$C:$C,$H813))</f>
        <v/>
      </c>
      <c r="F813" s="5" t="str">
        <f>IF($H813="","",INDEX('Detalle individual'!$D:$D,$H813))</f>
        <v/>
      </c>
      <c r="G813" s="5" t="str">
        <f>IF($H813="","",INDEX('Detalle individual'!$F:$F,$H813))</f>
        <v/>
      </c>
      <c r="H813" t="str">
        <f>IFERROR(MATCH(SMALL(Cálculos!$AJ$5:$AJ$1000,809),Cálculos!$AJ$5:$AJ$1000,0)+4,"")</f>
        <v/>
      </c>
    </row>
    <row r="814">
      <c r="B814" s="5" t="str">
        <f>IF($H814="","",INDEX('Detalle individual'!$B:$B,$H814))</f>
        <v/>
      </c>
      <c r="C814" s="5" t="str">
        <f>IF($H814="","",INDEX('Detalle individual'!$A:$A,$H814))</f>
        <v/>
      </c>
      <c r="D814" s="5" t="str">
        <f>IF($H814="","",INDEX('Detalle individual'!$E:$E,$H814))</f>
        <v/>
      </c>
      <c r="E814" s="5" t="str">
        <f>IF($H814="","",INDEX('Detalle individual'!$C:$C,$H814))</f>
        <v/>
      </c>
      <c r="F814" s="5" t="str">
        <f>IF($H814="","",INDEX('Detalle individual'!$D:$D,$H814))</f>
        <v/>
      </c>
      <c r="G814" s="5" t="str">
        <f>IF($H814="","",INDEX('Detalle individual'!$F:$F,$H814))</f>
        <v/>
      </c>
      <c r="H814" t="str">
        <f>IFERROR(MATCH(SMALL(Cálculos!$AJ$5:$AJ$1000,810),Cálculos!$AJ$5:$AJ$1000,0)+4,"")</f>
        <v/>
      </c>
    </row>
    <row r="815">
      <c r="B815" s="5" t="str">
        <f>IF($H815="","",INDEX('Detalle individual'!$B:$B,$H815))</f>
        <v/>
      </c>
      <c r="C815" s="5" t="str">
        <f>IF($H815="","",INDEX('Detalle individual'!$A:$A,$H815))</f>
        <v/>
      </c>
      <c r="D815" s="5" t="str">
        <f>IF($H815="","",INDEX('Detalle individual'!$E:$E,$H815))</f>
        <v/>
      </c>
      <c r="E815" s="5" t="str">
        <f>IF($H815="","",INDEX('Detalle individual'!$C:$C,$H815))</f>
        <v/>
      </c>
      <c r="F815" s="5" t="str">
        <f>IF($H815="","",INDEX('Detalle individual'!$D:$D,$H815))</f>
        <v/>
      </c>
      <c r="G815" s="5" t="str">
        <f>IF($H815="","",INDEX('Detalle individual'!$F:$F,$H815))</f>
        <v/>
      </c>
      <c r="H815" t="str">
        <f>IFERROR(MATCH(SMALL(Cálculos!$AJ$5:$AJ$1000,811),Cálculos!$AJ$5:$AJ$1000,0)+4,"")</f>
        <v/>
      </c>
    </row>
    <row r="816">
      <c r="B816" s="5" t="str">
        <f>IF($H816="","",INDEX('Detalle individual'!$B:$B,$H816))</f>
        <v/>
      </c>
      <c r="C816" s="5" t="str">
        <f>IF($H816="","",INDEX('Detalle individual'!$A:$A,$H816))</f>
        <v/>
      </c>
      <c r="D816" s="5" t="str">
        <f>IF($H816="","",INDEX('Detalle individual'!$E:$E,$H816))</f>
        <v/>
      </c>
      <c r="E816" s="5" t="str">
        <f>IF($H816="","",INDEX('Detalle individual'!$C:$C,$H816))</f>
        <v/>
      </c>
      <c r="F816" s="5" t="str">
        <f>IF($H816="","",INDEX('Detalle individual'!$D:$D,$H816))</f>
        <v/>
      </c>
      <c r="G816" s="5" t="str">
        <f>IF($H816="","",INDEX('Detalle individual'!$F:$F,$H816))</f>
        <v/>
      </c>
      <c r="H816" t="str">
        <f>IFERROR(MATCH(SMALL(Cálculos!$AJ$5:$AJ$1000,812),Cálculos!$AJ$5:$AJ$1000,0)+4,"")</f>
        <v/>
      </c>
    </row>
    <row r="817">
      <c r="B817" s="5" t="str">
        <f>IF($H817="","",INDEX('Detalle individual'!$B:$B,$H817))</f>
        <v/>
      </c>
      <c r="C817" s="5" t="str">
        <f>IF($H817="","",INDEX('Detalle individual'!$A:$A,$H817))</f>
        <v/>
      </c>
      <c r="D817" s="5" t="str">
        <f>IF($H817="","",INDEX('Detalle individual'!$E:$E,$H817))</f>
        <v/>
      </c>
      <c r="E817" s="5" t="str">
        <f>IF($H817="","",INDEX('Detalle individual'!$C:$C,$H817))</f>
        <v/>
      </c>
      <c r="F817" s="5" t="str">
        <f>IF($H817="","",INDEX('Detalle individual'!$D:$D,$H817))</f>
        <v/>
      </c>
      <c r="G817" s="5" t="str">
        <f>IF($H817="","",INDEX('Detalle individual'!$F:$F,$H817))</f>
        <v/>
      </c>
      <c r="H817" t="str">
        <f>IFERROR(MATCH(SMALL(Cálculos!$AJ$5:$AJ$1000,813),Cálculos!$AJ$5:$AJ$1000,0)+4,"")</f>
        <v/>
      </c>
    </row>
    <row r="818">
      <c r="B818" s="5" t="str">
        <f>IF($H818="","",INDEX('Detalle individual'!$B:$B,$H818))</f>
        <v/>
      </c>
      <c r="C818" s="5" t="str">
        <f>IF($H818="","",INDEX('Detalle individual'!$A:$A,$H818))</f>
        <v/>
      </c>
      <c r="D818" s="5" t="str">
        <f>IF($H818="","",INDEX('Detalle individual'!$E:$E,$H818))</f>
        <v/>
      </c>
      <c r="E818" s="5" t="str">
        <f>IF($H818="","",INDEX('Detalle individual'!$C:$C,$H818))</f>
        <v/>
      </c>
      <c r="F818" s="5" t="str">
        <f>IF($H818="","",INDEX('Detalle individual'!$D:$D,$H818))</f>
        <v/>
      </c>
      <c r="G818" s="5" t="str">
        <f>IF($H818="","",INDEX('Detalle individual'!$F:$F,$H818))</f>
        <v/>
      </c>
      <c r="H818" t="str">
        <f>IFERROR(MATCH(SMALL(Cálculos!$AJ$5:$AJ$1000,814),Cálculos!$AJ$5:$AJ$1000,0)+4,"")</f>
        <v/>
      </c>
    </row>
    <row r="819">
      <c r="B819" s="5" t="str">
        <f>IF($H819="","",INDEX('Detalle individual'!$B:$B,$H819))</f>
        <v/>
      </c>
      <c r="C819" s="5" t="str">
        <f>IF($H819="","",INDEX('Detalle individual'!$A:$A,$H819))</f>
        <v/>
      </c>
      <c r="D819" s="5" t="str">
        <f>IF($H819="","",INDEX('Detalle individual'!$E:$E,$H819))</f>
        <v/>
      </c>
      <c r="E819" s="5" t="str">
        <f>IF($H819="","",INDEX('Detalle individual'!$C:$C,$H819))</f>
        <v/>
      </c>
      <c r="F819" s="5" t="str">
        <f>IF($H819="","",INDEX('Detalle individual'!$D:$D,$H819))</f>
        <v/>
      </c>
      <c r="G819" s="5" t="str">
        <f>IF($H819="","",INDEX('Detalle individual'!$F:$F,$H819))</f>
        <v/>
      </c>
      <c r="H819" t="str">
        <f>IFERROR(MATCH(SMALL(Cálculos!$AJ$5:$AJ$1000,815),Cálculos!$AJ$5:$AJ$1000,0)+4,"")</f>
        <v/>
      </c>
    </row>
    <row r="820">
      <c r="B820" s="5" t="str">
        <f>IF($H820="","",INDEX('Detalle individual'!$B:$B,$H820))</f>
        <v/>
      </c>
      <c r="C820" s="5" t="str">
        <f>IF($H820="","",INDEX('Detalle individual'!$A:$A,$H820))</f>
        <v/>
      </c>
      <c r="D820" s="5" t="str">
        <f>IF($H820="","",INDEX('Detalle individual'!$E:$E,$H820))</f>
        <v/>
      </c>
      <c r="E820" s="5" t="str">
        <f>IF($H820="","",INDEX('Detalle individual'!$C:$C,$H820))</f>
        <v/>
      </c>
      <c r="F820" s="5" t="str">
        <f>IF($H820="","",INDEX('Detalle individual'!$D:$D,$H820))</f>
        <v/>
      </c>
      <c r="G820" s="5" t="str">
        <f>IF($H820="","",INDEX('Detalle individual'!$F:$F,$H820))</f>
        <v/>
      </c>
      <c r="H820" t="str">
        <f>IFERROR(MATCH(SMALL(Cálculos!$AJ$5:$AJ$1000,816),Cálculos!$AJ$5:$AJ$1000,0)+4,"")</f>
        <v/>
      </c>
    </row>
    <row r="821">
      <c r="B821" s="5" t="str">
        <f>IF($H821="","",INDEX('Detalle individual'!$B:$B,$H821))</f>
        <v/>
      </c>
      <c r="C821" s="5" t="str">
        <f>IF($H821="","",INDEX('Detalle individual'!$A:$A,$H821))</f>
        <v/>
      </c>
      <c r="D821" s="5" t="str">
        <f>IF($H821="","",INDEX('Detalle individual'!$E:$E,$H821))</f>
        <v/>
      </c>
      <c r="E821" s="5" t="str">
        <f>IF($H821="","",INDEX('Detalle individual'!$C:$C,$H821))</f>
        <v/>
      </c>
      <c r="F821" s="5" t="str">
        <f>IF($H821="","",INDEX('Detalle individual'!$D:$D,$H821))</f>
        <v/>
      </c>
      <c r="G821" s="5" t="str">
        <f>IF($H821="","",INDEX('Detalle individual'!$F:$F,$H821))</f>
        <v/>
      </c>
      <c r="H821" t="str">
        <f>IFERROR(MATCH(SMALL(Cálculos!$AJ$5:$AJ$1000,817),Cálculos!$AJ$5:$AJ$1000,0)+4,"")</f>
        <v/>
      </c>
    </row>
    <row r="822">
      <c r="B822" s="5" t="str">
        <f>IF($H822="","",INDEX('Detalle individual'!$B:$B,$H822))</f>
        <v/>
      </c>
      <c r="C822" s="5" t="str">
        <f>IF($H822="","",INDEX('Detalle individual'!$A:$A,$H822))</f>
        <v/>
      </c>
      <c r="D822" s="5" t="str">
        <f>IF($H822="","",INDEX('Detalle individual'!$E:$E,$H822))</f>
        <v/>
      </c>
      <c r="E822" s="5" t="str">
        <f>IF($H822="","",INDEX('Detalle individual'!$C:$C,$H822))</f>
        <v/>
      </c>
      <c r="F822" s="5" t="str">
        <f>IF($H822="","",INDEX('Detalle individual'!$D:$D,$H822))</f>
        <v/>
      </c>
      <c r="G822" s="5" t="str">
        <f>IF($H822="","",INDEX('Detalle individual'!$F:$F,$H822))</f>
        <v/>
      </c>
      <c r="H822" t="str">
        <f>IFERROR(MATCH(SMALL(Cálculos!$AJ$5:$AJ$1000,818),Cálculos!$AJ$5:$AJ$1000,0)+4,"")</f>
        <v/>
      </c>
    </row>
    <row r="823">
      <c r="B823" s="5" t="str">
        <f>IF($H823="","",INDEX('Detalle individual'!$B:$B,$H823))</f>
        <v/>
      </c>
      <c r="C823" s="5" t="str">
        <f>IF($H823="","",INDEX('Detalle individual'!$A:$A,$H823))</f>
        <v/>
      </c>
      <c r="D823" s="5" t="str">
        <f>IF($H823="","",INDEX('Detalle individual'!$E:$E,$H823))</f>
        <v/>
      </c>
      <c r="E823" s="5" t="str">
        <f>IF($H823="","",INDEX('Detalle individual'!$C:$C,$H823))</f>
        <v/>
      </c>
      <c r="F823" s="5" t="str">
        <f>IF($H823="","",INDEX('Detalle individual'!$D:$D,$H823))</f>
        <v/>
      </c>
      <c r="G823" s="5" t="str">
        <f>IF($H823="","",INDEX('Detalle individual'!$F:$F,$H823))</f>
        <v/>
      </c>
      <c r="H823" t="str">
        <f>IFERROR(MATCH(SMALL(Cálculos!$AJ$5:$AJ$1000,819),Cálculos!$AJ$5:$AJ$1000,0)+4,"")</f>
        <v/>
      </c>
    </row>
    <row r="824">
      <c r="B824" s="5" t="str">
        <f>IF($H824="","",INDEX('Detalle individual'!$B:$B,$H824))</f>
        <v/>
      </c>
      <c r="C824" s="5" t="str">
        <f>IF($H824="","",INDEX('Detalle individual'!$A:$A,$H824))</f>
        <v/>
      </c>
      <c r="D824" s="5" t="str">
        <f>IF($H824="","",INDEX('Detalle individual'!$E:$E,$H824))</f>
        <v/>
      </c>
      <c r="E824" s="5" t="str">
        <f>IF($H824="","",INDEX('Detalle individual'!$C:$C,$H824))</f>
        <v/>
      </c>
      <c r="F824" s="5" t="str">
        <f>IF($H824="","",INDEX('Detalle individual'!$D:$D,$H824))</f>
        <v/>
      </c>
      <c r="G824" s="5" t="str">
        <f>IF($H824="","",INDEX('Detalle individual'!$F:$F,$H824))</f>
        <v/>
      </c>
      <c r="H824" t="str">
        <f>IFERROR(MATCH(SMALL(Cálculos!$AJ$5:$AJ$1000,820),Cálculos!$AJ$5:$AJ$1000,0)+4,"")</f>
        <v/>
      </c>
    </row>
    <row r="825">
      <c r="B825" s="5" t="str">
        <f>IF($H825="","",INDEX('Detalle individual'!$B:$B,$H825))</f>
        <v/>
      </c>
      <c r="C825" s="5" t="str">
        <f>IF($H825="","",INDEX('Detalle individual'!$A:$A,$H825))</f>
        <v/>
      </c>
      <c r="D825" s="5" t="str">
        <f>IF($H825="","",INDEX('Detalle individual'!$E:$E,$H825))</f>
        <v/>
      </c>
      <c r="E825" s="5" t="str">
        <f>IF($H825="","",INDEX('Detalle individual'!$C:$C,$H825))</f>
        <v/>
      </c>
      <c r="F825" s="5" t="str">
        <f>IF($H825="","",INDEX('Detalle individual'!$D:$D,$H825))</f>
        <v/>
      </c>
      <c r="G825" s="5" t="str">
        <f>IF($H825="","",INDEX('Detalle individual'!$F:$F,$H825))</f>
        <v/>
      </c>
      <c r="H825" t="str">
        <f>IFERROR(MATCH(SMALL(Cálculos!$AJ$5:$AJ$1000,821),Cálculos!$AJ$5:$AJ$1000,0)+4,"")</f>
        <v/>
      </c>
    </row>
    <row r="826">
      <c r="B826" s="5" t="str">
        <f>IF($H826="","",INDEX('Detalle individual'!$B:$B,$H826))</f>
        <v/>
      </c>
      <c r="C826" s="5" t="str">
        <f>IF($H826="","",INDEX('Detalle individual'!$A:$A,$H826))</f>
        <v/>
      </c>
      <c r="D826" s="5" t="str">
        <f>IF($H826="","",INDEX('Detalle individual'!$E:$E,$H826))</f>
        <v/>
      </c>
      <c r="E826" s="5" t="str">
        <f>IF($H826="","",INDEX('Detalle individual'!$C:$C,$H826))</f>
        <v/>
      </c>
      <c r="F826" s="5" t="str">
        <f>IF($H826="","",INDEX('Detalle individual'!$D:$D,$H826))</f>
        <v/>
      </c>
      <c r="G826" s="5" t="str">
        <f>IF($H826="","",INDEX('Detalle individual'!$F:$F,$H826))</f>
        <v/>
      </c>
      <c r="H826" t="str">
        <f>IFERROR(MATCH(SMALL(Cálculos!$AJ$5:$AJ$1000,822),Cálculos!$AJ$5:$AJ$1000,0)+4,"")</f>
        <v/>
      </c>
    </row>
    <row r="827">
      <c r="B827" s="5" t="str">
        <f>IF($H827="","",INDEX('Detalle individual'!$B:$B,$H827))</f>
        <v/>
      </c>
      <c r="C827" s="5" t="str">
        <f>IF($H827="","",INDEX('Detalle individual'!$A:$A,$H827))</f>
        <v/>
      </c>
      <c r="D827" s="5" t="str">
        <f>IF($H827="","",INDEX('Detalle individual'!$E:$E,$H827))</f>
        <v/>
      </c>
      <c r="E827" s="5" t="str">
        <f>IF($H827="","",INDEX('Detalle individual'!$C:$C,$H827))</f>
        <v/>
      </c>
      <c r="F827" s="5" t="str">
        <f>IF($H827="","",INDEX('Detalle individual'!$D:$D,$H827))</f>
        <v/>
      </c>
      <c r="G827" s="5" t="str">
        <f>IF($H827="","",INDEX('Detalle individual'!$F:$F,$H827))</f>
        <v/>
      </c>
      <c r="H827" t="str">
        <f>IFERROR(MATCH(SMALL(Cálculos!$AJ$5:$AJ$1000,823),Cálculos!$AJ$5:$AJ$1000,0)+4,"")</f>
        <v/>
      </c>
    </row>
    <row r="828">
      <c r="B828" s="5" t="str">
        <f>IF($H828="","",INDEX('Detalle individual'!$B:$B,$H828))</f>
        <v/>
      </c>
      <c r="C828" s="5" t="str">
        <f>IF($H828="","",INDEX('Detalle individual'!$A:$A,$H828))</f>
        <v/>
      </c>
      <c r="D828" s="5" t="str">
        <f>IF($H828="","",INDEX('Detalle individual'!$E:$E,$H828))</f>
        <v/>
      </c>
      <c r="E828" s="5" t="str">
        <f>IF($H828="","",INDEX('Detalle individual'!$C:$C,$H828))</f>
        <v/>
      </c>
      <c r="F828" s="5" t="str">
        <f>IF($H828="","",INDEX('Detalle individual'!$D:$D,$H828))</f>
        <v/>
      </c>
      <c r="G828" s="5" t="str">
        <f>IF($H828="","",INDEX('Detalle individual'!$F:$F,$H828))</f>
        <v/>
      </c>
      <c r="H828" t="str">
        <f>IFERROR(MATCH(SMALL(Cálculos!$AJ$5:$AJ$1000,824),Cálculos!$AJ$5:$AJ$1000,0)+4,"")</f>
        <v/>
      </c>
    </row>
    <row r="829">
      <c r="B829" s="5" t="str">
        <f>IF($H829="","",INDEX('Detalle individual'!$B:$B,$H829))</f>
        <v/>
      </c>
      <c r="C829" s="5" t="str">
        <f>IF($H829="","",INDEX('Detalle individual'!$A:$A,$H829))</f>
        <v/>
      </c>
      <c r="D829" s="5" t="str">
        <f>IF($H829="","",INDEX('Detalle individual'!$E:$E,$H829))</f>
        <v/>
      </c>
      <c r="E829" s="5" t="str">
        <f>IF($H829="","",INDEX('Detalle individual'!$C:$C,$H829))</f>
        <v/>
      </c>
      <c r="F829" s="5" t="str">
        <f>IF($H829="","",INDEX('Detalle individual'!$D:$D,$H829))</f>
        <v/>
      </c>
      <c r="G829" s="5" t="str">
        <f>IF($H829="","",INDEX('Detalle individual'!$F:$F,$H829))</f>
        <v/>
      </c>
      <c r="H829" t="str">
        <f>IFERROR(MATCH(SMALL(Cálculos!$AJ$5:$AJ$1000,825),Cálculos!$AJ$5:$AJ$1000,0)+4,"")</f>
        <v/>
      </c>
    </row>
    <row r="830">
      <c r="B830" s="5" t="str">
        <f>IF($H830="","",INDEX('Detalle individual'!$B:$B,$H830))</f>
        <v/>
      </c>
      <c r="C830" s="5" t="str">
        <f>IF($H830="","",INDEX('Detalle individual'!$A:$A,$H830))</f>
        <v/>
      </c>
      <c r="D830" s="5" t="str">
        <f>IF($H830="","",INDEX('Detalle individual'!$E:$E,$H830))</f>
        <v/>
      </c>
      <c r="E830" s="5" t="str">
        <f>IF($H830="","",INDEX('Detalle individual'!$C:$C,$H830))</f>
        <v/>
      </c>
      <c r="F830" s="5" t="str">
        <f>IF($H830="","",INDEX('Detalle individual'!$D:$D,$H830))</f>
        <v/>
      </c>
      <c r="G830" s="5" t="str">
        <f>IF($H830="","",INDEX('Detalle individual'!$F:$F,$H830))</f>
        <v/>
      </c>
      <c r="H830" t="str">
        <f>IFERROR(MATCH(SMALL(Cálculos!$AJ$5:$AJ$1000,826),Cálculos!$AJ$5:$AJ$1000,0)+4,"")</f>
        <v/>
      </c>
    </row>
    <row r="831">
      <c r="B831" s="5" t="str">
        <f>IF($H831="","",INDEX('Detalle individual'!$B:$B,$H831))</f>
        <v/>
      </c>
      <c r="C831" s="5" t="str">
        <f>IF($H831="","",INDEX('Detalle individual'!$A:$A,$H831))</f>
        <v/>
      </c>
      <c r="D831" s="5" t="str">
        <f>IF($H831="","",INDEX('Detalle individual'!$E:$E,$H831))</f>
        <v/>
      </c>
      <c r="E831" s="5" t="str">
        <f>IF($H831="","",INDEX('Detalle individual'!$C:$C,$H831))</f>
        <v/>
      </c>
      <c r="F831" s="5" t="str">
        <f>IF($H831="","",INDEX('Detalle individual'!$D:$D,$H831))</f>
        <v/>
      </c>
      <c r="G831" s="5" t="str">
        <f>IF($H831="","",INDEX('Detalle individual'!$F:$F,$H831))</f>
        <v/>
      </c>
      <c r="H831" t="str">
        <f>IFERROR(MATCH(SMALL(Cálculos!$AJ$5:$AJ$1000,827),Cálculos!$AJ$5:$AJ$1000,0)+4,"")</f>
        <v/>
      </c>
    </row>
    <row r="832">
      <c r="B832" s="5" t="str">
        <f>IF($H832="","",INDEX('Detalle individual'!$B:$B,$H832))</f>
        <v/>
      </c>
      <c r="C832" s="5" t="str">
        <f>IF($H832="","",INDEX('Detalle individual'!$A:$A,$H832))</f>
        <v/>
      </c>
      <c r="D832" s="5" t="str">
        <f>IF($H832="","",INDEX('Detalle individual'!$E:$E,$H832))</f>
        <v/>
      </c>
      <c r="E832" s="5" t="str">
        <f>IF($H832="","",INDEX('Detalle individual'!$C:$C,$H832))</f>
        <v/>
      </c>
      <c r="F832" s="5" t="str">
        <f>IF($H832="","",INDEX('Detalle individual'!$D:$D,$H832))</f>
        <v/>
      </c>
      <c r="G832" s="5" t="str">
        <f>IF($H832="","",INDEX('Detalle individual'!$F:$F,$H832))</f>
        <v/>
      </c>
      <c r="H832" t="str">
        <f>IFERROR(MATCH(SMALL(Cálculos!$AJ$5:$AJ$1000,828),Cálculos!$AJ$5:$AJ$1000,0)+4,"")</f>
        <v/>
      </c>
    </row>
    <row r="833">
      <c r="B833" s="5" t="str">
        <f>IF($H833="","",INDEX('Detalle individual'!$B:$B,$H833))</f>
        <v/>
      </c>
      <c r="C833" s="5" t="str">
        <f>IF($H833="","",INDEX('Detalle individual'!$A:$A,$H833))</f>
        <v/>
      </c>
      <c r="D833" s="5" t="str">
        <f>IF($H833="","",INDEX('Detalle individual'!$E:$E,$H833))</f>
        <v/>
      </c>
      <c r="E833" s="5" t="str">
        <f>IF($H833="","",INDEX('Detalle individual'!$C:$C,$H833))</f>
        <v/>
      </c>
      <c r="F833" s="5" t="str">
        <f>IF($H833="","",INDEX('Detalle individual'!$D:$D,$H833))</f>
        <v/>
      </c>
      <c r="G833" s="5" t="str">
        <f>IF($H833="","",INDEX('Detalle individual'!$F:$F,$H833))</f>
        <v/>
      </c>
      <c r="H833" t="str">
        <f>IFERROR(MATCH(SMALL(Cálculos!$AJ$5:$AJ$1000,829),Cálculos!$AJ$5:$AJ$1000,0)+4,"")</f>
        <v/>
      </c>
    </row>
    <row r="834">
      <c r="B834" s="5" t="str">
        <f>IF($H834="","",INDEX('Detalle individual'!$B:$B,$H834))</f>
        <v/>
      </c>
      <c r="C834" s="5" t="str">
        <f>IF($H834="","",INDEX('Detalle individual'!$A:$A,$H834))</f>
        <v/>
      </c>
      <c r="D834" s="5" t="str">
        <f>IF($H834="","",INDEX('Detalle individual'!$E:$E,$H834))</f>
        <v/>
      </c>
      <c r="E834" s="5" t="str">
        <f>IF($H834="","",INDEX('Detalle individual'!$C:$C,$H834))</f>
        <v/>
      </c>
      <c r="F834" s="5" t="str">
        <f>IF($H834="","",INDEX('Detalle individual'!$D:$D,$H834))</f>
        <v/>
      </c>
      <c r="G834" s="5" t="str">
        <f>IF($H834="","",INDEX('Detalle individual'!$F:$F,$H834))</f>
        <v/>
      </c>
      <c r="H834" t="str">
        <f>IFERROR(MATCH(SMALL(Cálculos!$AJ$5:$AJ$1000,830),Cálculos!$AJ$5:$AJ$1000,0)+4,"")</f>
        <v/>
      </c>
    </row>
    <row r="835">
      <c r="B835" s="5" t="str">
        <f>IF($H835="","",INDEX('Detalle individual'!$B:$B,$H835))</f>
        <v/>
      </c>
      <c r="C835" s="5" t="str">
        <f>IF($H835="","",INDEX('Detalle individual'!$A:$A,$H835))</f>
        <v/>
      </c>
      <c r="D835" s="5" t="str">
        <f>IF($H835="","",INDEX('Detalle individual'!$E:$E,$H835))</f>
        <v/>
      </c>
      <c r="E835" s="5" t="str">
        <f>IF($H835="","",INDEX('Detalle individual'!$C:$C,$H835))</f>
        <v/>
      </c>
      <c r="F835" s="5" t="str">
        <f>IF($H835="","",INDEX('Detalle individual'!$D:$D,$H835))</f>
        <v/>
      </c>
      <c r="G835" s="5" t="str">
        <f>IF($H835="","",INDEX('Detalle individual'!$F:$F,$H835))</f>
        <v/>
      </c>
      <c r="H835" t="str">
        <f>IFERROR(MATCH(SMALL(Cálculos!$AJ$5:$AJ$1000,831),Cálculos!$AJ$5:$AJ$1000,0)+4,"")</f>
        <v/>
      </c>
    </row>
    <row r="836">
      <c r="B836" s="5" t="str">
        <f>IF($H836="","",INDEX('Detalle individual'!$B:$B,$H836))</f>
        <v/>
      </c>
      <c r="C836" s="5" t="str">
        <f>IF($H836="","",INDEX('Detalle individual'!$A:$A,$H836))</f>
        <v/>
      </c>
      <c r="D836" s="5" t="str">
        <f>IF($H836="","",INDEX('Detalle individual'!$E:$E,$H836))</f>
        <v/>
      </c>
      <c r="E836" s="5" t="str">
        <f>IF($H836="","",INDEX('Detalle individual'!$C:$C,$H836))</f>
        <v/>
      </c>
      <c r="F836" s="5" t="str">
        <f>IF($H836="","",INDEX('Detalle individual'!$D:$D,$H836))</f>
        <v/>
      </c>
      <c r="G836" s="5" t="str">
        <f>IF($H836="","",INDEX('Detalle individual'!$F:$F,$H836))</f>
        <v/>
      </c>
      <c r="H836" t="str">
        <f>IFERROR(MATCH(SMALL(Cálculos!$AJ$5:$AJ$1000,832),Cálculos!$AJ$5:$AJ$1000,0)+4,"")</f>
        <v/>
      </c>
    </row>
    <row r="837">
      <c r="B837" s="5" t="str">
        <f>IF($H837="","",INDEX('Detalle individual'!$B:$B,$H837))</f>
        <v/>
      </c>
      <c r="C837" s="5" t="str">
        <f>IF($H837="","",INDEX('Detalle individual'!$A:$A,$H837))</f>
        <v/>
      </c>
      <c r="D837" s="5" t="str">
        <f>IF($H837="","",INDEX('Detalle individual'!$E:$E,$H837))</f>
        <v/>
      </c>
      <c r="E837" s="5" t="str">
        <f>IF($H837="","",INDEX('Detalle individual'!$C:$C,$H837))</f>
        <v/>
      </c>
      <c r="F837" s="5" t="str">
        <f>IF($H837="","",INDEX('Detalle individual'!$D:$D,$H837))</f>
        <v/>
      </c>
      <c r="G837" s="5" t="str">
        <f>IF($H837="","",INDEX('Detalle individual'!$F:$F,$H837))</f>
        <v/>
      </c>
      <c r="H837" t="str">
        <f>IFERROR(MATCH(SMALL(Cálculos!$AJ$5:$AJ$1000,833),Cálculos!$AJ$5:$AJ$1000,0)+4,"")</f>
        <v/>
      </c>
    </row>
    <row r="838">
      <c r="B838" s="5" t="str">
        <f>IF($H838="","",INDEX('Detalle individual'!$B:$B,$H838))</f>
        <v/>
      </c>
      <c r="C838" s="5" t="str">
        <f>IF($H838="","",INDEX('Detalle individual'!$A:$A,$H838))</f>
        <v/>
      </c>
      <c r="D838" s="5" t="str">
        <f>IF($H838="","",INDEX('Detalle individual'!$E:$E,$H838))</f>
        <v/>
      </c>
      <c r="E838" s="5" t="str">
        <f>IF($H838="","",INDEX('Detalle individual'!$C:$C,$H838))</f>
        <v/>
      </c>
      <c r="F838" s="5" t="str">
        <f>IF($H838="","",INDEX('Detalle individual'!$D:$D,$H838))</f>
        <v/>
      </c>
      <c r="G838" s="5" t="str">
        <f>IF($H838="","",INDEX('Detalle individual'!$F:$F,$H838))</f>
        <v/>
      </c>
      <c r="H838" t="str">
        <f>IFERROR(MATCH(SMALL(Cálculos!$AJ$5:$AJ$1000,834),Cálculos!$AJ$5:$AJ$1000,0)+4,"")</f>
        <v/>
      </c>
    </row>
    <row r="839">
      <c r="B839" s="5" t="str">
        <f>IF($H839="","",INDEX('Detalle individual'!$B:$B,$H839))</f>
        <v/>
      </c>
      <c r="C839" s="5" t="str">
        <f>IF($H839="","",INDEX('Detalle individual'!$A:$A,$H839))</f>
        <v/>
      </c>
      <c r="D839" s="5" t="str">
        <f>IF($H839="","",INDEX('Detalle individual'!$E:$E,$H839))</f>
        <v/>
      </c>
      <c r="E839" s="5" t="str">
        <f>IF($H839="","",INDEX('Detalle individual'!$C:$C,$H839))</f>
        <v/>
      </c>
      <c r="F839" s="5" t="str">
        <f>IF($H839="","",INDEX('Detalle individual'!$D:$D,$H839))</f>
        <v/>
      </c>
      <c r="G839" s="5" t="str">
        <f>IF($H839="","",INDEX('Detalle individual'!$F:$F,$H839))</f>
        <v/>
      </c>
      <c r="H839" t="str">
        <f>IFERROR(MATCH(SMALL(Cálculos!$AJ$5:$AJ$1000,835),Cálculos!$AJ$5:$AJ$1000,0)+4,"")</f>
        <v/>
      </c>
    </row>
    <row r="840">
      <c r="B840" s="5" t="str">
        <f>IF($H840="","",INDEX('Detalle individual'!$B:$B,$H840))</f>
        <v/>
      </c>
      <c r="C840" s="5" t="str">
        <f>IF($H840="","",INDEX('Detalle individual'!$A:$A,$H840))</f>
        <v/>
      </c>
      <c r="D840" s="5" t="str">
        <f>IF($H840="","",INDEX('Detalle individual'!$E:$E,$H840))</f>
        <v/>
      </c>
      <c r="E840" s="5" t="str">
        <f>IF($H840="","",INDEX('Detalle individual'!$C:$C,$H840))</f>
        <v/>
      </c>
      <c r="F840" s="5" t="str">
        <f>IF($H840="","",INDEX('Detalle individual'!$D:$D,$H840))</f>
        <v/>
      </c>
      <c r="G840" s="5" t="str">
        <f>IF($H840="","",INDEX('Detalle individual'!$F:$F,$H840))</f>
        <v/>
      </c>
      <c r="H840" t="str">
        <f>IFERROR(MATCH(SMALL(Cálculos!$AJ$5:$AJ$1000,836),Cálculos!$AJ$5:$AJ$1000,0)+4,"")</f>
        <v/>
      </c>
    </row>
    <row r="841">
      <c r="B841" s="5" t="str">
        <f>IF($H841="","",INDEX('Detalle individual'!$B:$B,$H841))</f>
        <v/>
      </c>
      <c r="C841" s="5" t="str">
        <f>IF($H841="","",INDEX('Detalle individual'!$A:$A,$H841))</f>
        <v/>
      </c>
      <c r="D841" s="5" t="str">
        <f>IF($H841="","",INDEX('Detalle individual'!$E:$E,$H841))</f>
        <v/>
      </c>
      <c r="E841" s="5" t="str">
        <f>IF($H841="","",INDEX('Detalle individual'!$C:$C,$H841))</f>
        <v/>
      </c>
      <c r="F841" s="5" t="str">
        <f>IF($H841="","",INDEX('Detalle individual'!$D:$D,$H841))</f>
        <v/>
      </c>
      <c r="G841" s="5" t="str">
        <f>IF($H841="","",INDEX('Detalle individual'!$F:$F,$H841))</f>
        <v/>
      </c>
      <c r="H841" t="str">
        <f>IFERROR(MATCH(SMALL(Cálculos!$AJ$5:$AJ$1000,837),Cálculos!$AJ$5:$AJ$1000,0)+4,"")</f>
        <v/>
      </c>
    </row>
    <row r="842">
      <c r="B842" s="5" t="str">
        <f>IF($H842="","",INDEX('Detalle individual'!$B:$B,$H842))</f>
        <v/>
      </c>
      <c r="C842" s="5" t="str">
        <f>IF($H842="","",INDEX('Detalle individual'!$A:$A,$H842))</f>
        <v/>
      </c>
      <c r="D842" s="5" t="str">
        <f>IF($H842="","",INDEX('Detalle individual'!$E:$E,$H842))</f>
        <v/>
      </c>
      <c r="E842" s="5" t="str">
        <f>IF($H842="","",INDEX('Detalle individual'!$C:$C,$H842))</f>
        <v/>
      </c>
      <c r="F842" s="5" t="str">
        <f>IF($H842="","",INDEX('Detalle individual'!$D:$D,$H842))</f>
        <v/>
      </c>
      <c r="G842" s="5" t="str">
        <f>IF($H842="","",INDEX('Detalle individual'!$F:$F,$H842))</f>
        <v/>
      </c>
      <c r="H842" t="str">
        <f>IFERROR(MATCH(SMALL(Cálculos!$AJ$5:$AJ$1000,838),Cálculos!$AJ$5:$AJ$1000,0)+4,"")</f>
        <v/>
      </c>
    </row>
    <row r="843">
      <c r="B843" s="5" t="str">
        <f>IF($H843="","",INDEX('Detalle individual'!$B:$B,$H843))</f>
        <v/>
      </c>
      <c r="C843" s="5" t="str">
        <f>IF($H843="","",INDEX('Detalle individual'!$A:$A,$H843))</f>
        <v/>
      </c>
      <c r="D843" s="5" t="str">
        <f>IF($H843="","",INDEX('Detalle individual'!$E:$E,$H843))</f>
        <v/>
      </c>
      <c r="E843" s="5" t="str">
        <f>IF($H843="","",INDEX('Detalle individual'!$C:$C,$H843))</f>
        <v/>
      </c>
      <c r="F843" s="5" t="str">
        <f>IF($H843="","",INDEX('Detalle individual'!$D:$D,$H843))</f>
        <v/>
      </c>
      <c r="G843" s="5" t="str">
        <f>IF($H843="","",INDEX('Detalle individual'!$F:$F,$H843))</f>
        <v/>
      </c>
      <c r="H843" t="str">
        <f>IFERROR(MATCH(SMALL(Cálculos!$AJ$5:$AJ$1000,839),Cálculos!$AJ$5:$AJ$1000,0)+4,"")</f>
        <v/>
      </c>
    </row>
    <row r="844">
      <c r="B844" s="5" t="str">
        <f>IF($H844="","",INDEX('Detalle individual'!$B:$B,$H844))</f>
        <v/>
      </c>
      <c r="C844" s="5" t="str">
        <f>IF($H844="","",INDEX('Detalle individual'!$A:$A,$H844))</f>
        <v/>
      </c>
      <c r="D844" s="5" t="str">
        <f>IF($H844="","",INDEX('Detalle individual'!$E:$E,$H844))</f>
        <v/>
      </c>
      <c r="E844" s="5" t="str">
        <f>IF($H844="","",INDEX('Detalle individual'!$C:$C,$H844))</f>
        <v/>
      </c>
      <c r="F844" s="5" t="str">
        <f>IF($H844="","",INDEX('Detalle individual'!$D:$D,$H844))</f>
        <v/>
      </c>
      <c r="G844" s="5" t="str">
        <f>IF($H844="","",INDEX('Detalle individual'!$F:$F,$H844))</f>
        <v/>
      </c>
      <c r="H844" t="str">
        <f>IFERROR(MATCH(SMALL(Cálculos!$AJ$5:$AJ$1000,840),Cálculos!$AJ$5:$AJ$1000,0)+4,"")</f>
        <v/>
      </c>
    </row>
    <row r="845">
      <c r="B845" s="5" t="str">
        <f>IF($H845="","",INDEX('Detalle individual'!$B:$B,$H845))</f>
        <v/>
      </c>
      <c r="C845" s="5" t="str">
        <f>IF($H845="","",INDEX('Detalle individual'!$A:$A,$H845))</f>
        <v/>
      </c>
      <c r="D845" s="5" t="str">
        <f>IF($H845="","",INDEX('Detalle individual'!$E:$E,$H845))</f>
        <v/>
      </c>
      <c r="E845" s="5" t="str">
        <f>IF($H845="","",INDEX('Detalle individual'!$C:$C,$H845))</f>
        <v/>
      </c>
      <c r="F845" s="5" t="str">
        <f>IF($H845="","",INDEX('Detalle individual'!$D:$D,$H845))</f>
        <v/>
      </c>
      <c r="G845" s="5" t="str">
        <f>IF($H845="","",INDEX('Detalle individual'!$F:$F,$H845))</f>
        <v/>
      </c>
      <c r="H845" t="str">
        <f>IFERROR(MATCH(SMALL(Cálculos!$AJ$5:$AJ$1000,841),Cálculos!$AJ$5:$AJ$1000,0)+4,"")</f>
        <v/>
      </c>
    </row>
    <row r="846">
      <c r="B846" s="5" t="str">
        <f>IF($H846="","",INDEX('Detalle individual'!$B:$B,$H846))</f>
        <v/>
      </c>
      <c r="C846" s="5" t="str">
        <f>IF($H846="","",INDEX('Detalle individual'!$A:$A,$H846))</f>
        <v/>
      </c>
      <c r="D846" s="5" t="str">
        <f>IF($H846="","",INDEX('Detalle individual'!$E:$E,$H846))</f>
        <v/>
      </c>
      <c r="E846" s="5" t="str">
        <f>IF($H846="","",INDEX('Detalle individual'!$C:$C,$H846))</f>
        <v/>
      </c>
      <c r="F846" s="5" t="str">
        <f>IF($H846="","",INDEX('Detalle individual'!$D:$D,$H846))</f>
        <v/>
      </c>
      <c r="G846" s="5" t="str">
        <f>IF($H846="","",INDEX('Detalle individual'!$F:$F,$H846))</f>
        <v/>
      </c>
      <c r="H846" t="str">
        <f>IFERROR(MATCH(SMALL(Cálculos!$AJ$5:$AJ$1000,842),Cálculos!$AJ$5:$AJ$1000,0)+4,"")</f>
        <v/>
      </c>
    </row>
    <row r="847">
      <c r="B847" s="5" t="str">
        <f>IF($H847="","",INDEX('Detalle individual'!$B:$B,$H847))</f>
        <v/>
      </c>
      <c r="C847" s="5" t="str">
        <f>IF($H847="","",INDEX('Detalle individual'!$A:$A,$H847))</f>
        <v/>
      </c>
      <c r="D847" s="5" t="str">
        <f>IF($H847="","",INDEX('Detalle individual'!$E:$E,$H847))</f>
        <v/>
      </c>
      <c r="E847" s="5" t="str">
        <f>IF($H847="","",INDEX('Detalle individual'!$C:$C,$H847))</f>
        <v/>
      </c>
      <c r="F847" s="5" t="str">
        <f>IF($H847="","",INDEX('Detalle individual'!$D:$D,$H847))</f>
        <v/>
      </c>
      <c r="G847" s="5" t="str">
        <f>IF($H847="","",INDEX('Detalle individual'!$F:$F,$H847))</f>
        <v/>
      </c>
      <c r="H847" t="str">
        <f>IFERROR(MATCH(SMALL(Cálculos!$AJ$5:$AJ$1000,843),Cálculos!$AJ$5:$AJ$1000,0)+4,"")</f>
        <v/>
      </c>
    </row>
    <row r="848">
      <c r="B848" s="5" t="str">
        <f>IF($H848="","",INDEX('Detalle individual'!$B:$B,$H848))</f>
        <v/>
      </c>
      <c r="C848" s="5" t="str">
        <f>IF($H848="","",INDEX('Detalle individual'!$A:$A,$H848))</f>
        <v/>
      </c>
      <c r="D848" s="5" t="str">
        <f>IF($H848="","",INDEX('Detalle individual'!$E:$E,$H848))</f>
        <v/>
      </c>
      <c r="E848" s="5" t="str">
        <f>IF($H848="","",INDEX('Detalle individual'!$C:$C,$H848))</f>
        <v/>
      </c>
      <c r="F848" s="5" t="str">
        <f>IF($H848="","",INDEX('Detalle individual'!$D:$D,$H848))</f>
        <v/>
      </c>
      <c r="G848" s="5" t="str">
        <f>IF($H848="","",INDEX('Detalle individual'!$F:$F,$H848))</f>
        <v/>
      </c>
      <c r="H848" t="str">
        <f>IFERROR(MATCH(SMALL(Cálculos!$AJ$5:$AJ$1000,844),Cálculos!$AJ$5:$AJ$1000,0)+4,"")</f>
        <v/>
      </c>
    </row>
    <row r="849">
      <c r="B849" s="5" t="str">
        <f>IF($H849="","",INDEX('Detalle individual'!$B:$B,$H849))</f>
        <v/>
      </c>
      <c r="C849" s="5" t="str">
        <f>IF($H849="","",INDEX('Detalle individual'!$A:$A,$H849))</f>
        <v/>
      </c>
      <c r="D849" s="5" t="str">
        <f>IF($H849="","",INDEX('Detalle individual'!$E:$E,$H849))</f>
        <v/>
      </c>
      <c r="E849" s="5" t="str">
        <f>IF($H849="","",INDEX('Detalle individual'!$C:$C,$H849))</f>
        <v/>
      </c>
      <c r="F849" s="5" t="str">
        <f>IF($H849="","",INDEX('Detalle individual'!$D:$D,$H849))</f>
        <v/>
      </c>
      <c r="G849" s="5" t="str">
        <f>IF($H849="","",INDEX('Detalle individual'!$F:$F,$H849))</f>
        <v/>
      </c>
      <c r="H849" t="str">
        <f>IFERROR(MATCH(SMALL(Cálculos!$AJ$5:$AJ$1000,845),Cálculos!$AJ$5:$AJ$1000,0)+4,"")</f>
        <v/>
      </c>
    </row>
    <row r="850">
      <c r="B850" s="5" t="str">
        <f>IF($H850="","",INDEX('Detalle individual'!$B:$B,$H850))</f>
        <v/>
      </c>
      <c r="C850" s="5" t="str">
        <f>IF($H850="","",INDEX('Detalle individual'!$A:$A,$H850))</f>
        <v/>
      </c>
      <c r="D850" s="5" t="str">
        <f>IF($H850="","",INDEX('Detalle individual'!$E:$E,$H850))</f>
        <v/>
      </c>
      <c r="E850" s="5" t="str">
        <f>IF($H850="","",INDEX('Detalle individual'!$C:$C,$H850))</f>
        <v/>
      </c>
      <c r="F850" s="5" t="str">
        <f>IF($H850="","",INDEX('Detalle individual'!$D:$D,$H850))</f>
        <v/>
      </c>
      <c r="G850" s="5" t="str">
        <f>IF($H850="","",INDEX('Detalle individual'!$F:$F,$H850))</f>
        <v/>
      </c>
      <c r="H850" t="str">
        <f>IFERROR(MATCH(SMALL(Cálculos!$AJ$5:$AJ$1000,846),Cálculos!$AJ$5:$AJ$1000,0)+4,"")</f>
        <v/>
      </c>
    </row>
    <row r="851">
      <c r="B851" s="5" t="str">
        <f>IF($H851="","",INDEX('Detalle individual'!$B:$B,$H851))</f>
        <v/>
      </c>
      <c r="C851" s="5" t="str">
        <f>IF($H851="","",INDEX('Detalle individual'!$A:$A,$H851))</f>
        <v/>
      </c>
      <c r="D851" s="5" t="str">
        <f>IF($H851="","",INDEX('Detalle individual'!$E:$E,$H851))</f>
        <v/>
      </c>
      <c r="E851" s="5" t="str">
        <f>IF($H851="","",INDEX('Detalle individual'!$C:$C,$H851))</f>
        <v/>
      </c>
      <c r="F851" s="5" t="str">
        <f>IF($H851="","",INDEX('Detalle individual'!$D:$D,$H851))</f>
        <v/>
      </c>
      <c r="G851" s="5" t="str">
        <f>IF($H851="","",INDEX('Detalle individual'!$F:$F,$H851))</f>
        <v/>
      </c>
      <c r="H851" t="str">
        <f>IFERROR(MATCH(SMALL(Cálculos!$AJ$5:$AJ$1000,847),Cálculos!$AJ$5:$AJ$1000,0)+4,"")</f>
        <v/>
      </c>
    </row>
    <row r="852">
      <c r="B852" s="5" t="str">
        <f>IF($H852="","",INDEX('Detalle individual'!$B:$B,$H852))</f>
        <v/>
      </c>
      <c r="C852" s="5" t="str">
        <f>IF($H852="","",INDEX('Detalle individual'!$A:$A,$H852))</f>
        <v/>
      </c>
      <c r="D852" s="5" t="str">
        <f>IF($H852="","",INDEX('Detalle individual'!$E:$E,$H852))</f>
        <v/>
      </c>
      <c r="E852" s="5" t="str">
        <f>IF($H852="","",INDEX('Detalle individual'!$C:$C,$H852))</f>
        <v/>
      </c>
      <c r="F852" s="5" t="str">
        <f>IF($H852="","",INDEX('Detalle individual'!$D:$D,$H852))</f>
        <v/>
      </c>
      <c r="G852" s="5" t="str">
        <f>IF($H852="","",INDEX('Detalle individual'!$F:$F,$H852))</f>
        <v/>
      </c>
      <c r="H852" t="str">
        <f>IFERROR(MATCH(SMALL(Cálculos!$AJ$5:$AJ$1000,848),Cálculos!$AJ$5:$AJ$1000,0)+4,"")</f>
        <v/>
      </c>
    </row>
    <row r="853">
      <c r="B853" s="5" t="str">
        <f>IF($H853="","",INDEX('Detalle individual'!$B:$B,$H853))</f>
        <v/>
      </c>
      <c r="C853" s="5" t="str">
        <f>IF($H853="","",INDEX('Detalle individual'!$A:$A,$H853))</f>
        <v/>
      </c>
      <c r="D853" s="5" t="str">
        <f>IF($H853="","",INDEX('Detalle individual'!$E:$E,$H853))</f>
        <v/>
      </c>
      <c r="E853" s="5" t="str">
        <f>IF($H853="","",INDEX('Detalle individual'!$C:$C,$H853))</f>
        <v/>
      </c>
      <c r="F853" s="5" t="str">
        <f>IF($H853="","",INDEX('Detalle individual'!$D:$D,$H853))</f>
        <v/>
      </c>
      <c r="G853" s="5" t="str">
        <f>IF($H853="","",INDEX('Detalle individual'!$F:$F,$H853))</f>
        <v/>
      </c>
      <c r="H853" t="str">
        <f>IFERROR(MATCH(SMALL(Cálculos!$AJ$5:$AJ$1000,849),Cálculos!$AJ$5:$AJ$1000,0)+4,"")</f>
        <v/>
      </c>
    </row>
    <row r="854">
      <c r="B854" s="5" t="str">
        <f>IF($H854="","",INDEX('Detalle individual'!$B:$B,$H854))</f>
        <v/>
      </c>
      <c r="C854" s="5" t="str">
        <f>IF($H854="","",INDEX('Detalle individual'!$A:$A,$H854))</f>
        <v/>
      </c>
      <c r="D854" s="5" t="str">
        <f>IF($H854="","",INDEX('Detalle individual'!$E:$E,$H854))</f>
        <v/>
      </c>
      <c r="E854" s="5" t="str">
        <f>IF($H854="","",INDEX('Detalle individual'!$C:$C,$H854))</f>
        <v/>
      </c>
      <c r="F854" s="5" t="str">
        <f>IF($H854="","",INDEX('Detalle individual'!$D:$D,$H854))</f>
        <v/>
      </c>
      <c r="G854" s="5" t="str">
        <f>IF($H854="","",INDEX('Detalle individual'!$F:$F,$H854))</f>
        <v/>
      </c>
      <c r="H854" t="str">
        <f>IFERROR(MATCH(SMALL(Cálculos!$AJ$5:$AJ$1000,850),Cálculos!$AJ$5:$AJ$1000,0)+4,"")</f>
        <v/>
      </c>
    </row>
    <row r="855">
      <c r="B855" s="5" t="str">
        <f>IF($H855="","",INDEX('Detalle individual'!$B:$B,$H855))</f>
        <v/>
      </c>
      <c r="C855" s="5" t="str">
        <f>IF($H855="","",INDEX('Detalle individual'!$A:$A,$H855))</f>
        <v/>
      </c>
      <c r="D855" s="5" t="str">
        <f>IF($H855="","",INDEX('Detalle individual'!$E:$E,$H855))</f>
        <v/>
      </c>
      <c r="E855" s="5" t="str">
        <f>IF($H855="","",INDEX('Detalle individual'!$C:$C,$H855))</f>
        <v/>
      </c>
      <c r="F855" s="5" t="str">
        <f>IF($H855="","",INDEX('Detalle individual'!$D:$D,$H855))</f>
        <v/>
      </c>
      <c r="G855" s="5" t="str">
        <f>IF($H855="","",INDEX('Detalle individual'!$F:$F,$H855))</f>
        <v/>
      </c>
      <c r="H855" t="str">
        <f>IFERROR(MATCH(SMALL(Cálculos!$AJ$5:$AJ$1000,851),Cálculos!$AJ$5:$AJ$1000,0)+4,"")</f>
        <v/>
      </c>
    </row>
    <row r="856">
      <c r="B856" s="5" t="str">
        <f>IF($H856="","",INDEX('Detalle individual'!$B:$B,$H856))</f>
        <v/>
      </c>
      <c r="C856" s="5" t="str">
        <f>IF($H856="","",INDEX('Detalle individual'!$A:$A,$H856))</f>
        <v/>
      </c>
      <c r="D856" s="5" t="str">
        <f>IF($H856="","",INDEX('Detalle individual'!$E:$E,$H856))</f>
        <v/>
      </c>
      <c r="E856" s="5" t="str">
        <f>IF($H856="","",INDEX('Detalle individual'!$C:$C,$H856))</f>
        <v/>
      </c>
      <c r="F856" s="5" t="str">
        <f>IF($H856="","",INDEX('Detalle individual'!$D:$D,$H856))</f>
        <v/>
      </c>
      <c r="G856" s="5" t="str">
        <f>IF($H856="","",INDEX('Detalle individual'!$F:$F,$H856))</f>
        <v/>
      </c>
      <c r="H856" t="str">
        <f>IFERROR(MATCH(SMALL(Cálculos!$AJ$5:$AJ$1000,852),Cálculos!$AJ$5:$AJ$1000,0)+4,"")</f>
        <v/>
      </c>
    </row>
    <row r="857">
      <c r="B857" s="5" t="str">
        <f>IF($H857="","",INDEX('Detalle individual'!$B:$B,$H857))</f>
        <v/>
      </c>
      <c r="C857" s="5" t="str">
        <f>IF($H857="","",INDEX('Detalle individual'!$A:$A,$H857))</f>
        <v/>
      </c>
      <c r="D857" s="5" t="str">
        <f>IF($H857="","",INDEX('Detalle individual'!$E:$E,$H857))</f>
        <v/>
      </c>
      <c r="E857" s="5" t="str">
        <f>IF($H857="","",INDEX('Detalle individual'!$C:$C,$H857))</f>
        <v/>
      </c>
      <c r="F857" s="5" t="str">
        <f>IF($H857="","",INDEX('Detalle individual'!$D:$D,$H857))</f>
        <v/>
      </c>
      <c r="G857" s="5" t="str">
        <f>IF($H857="","",INDEX('Detalle individual'!$F:$F,$H857))</f>
        <v/>
      </c>
      <c r="H857" t="str">
        <f>IFERROR(MATCH(SMALL(Cálculos!$AJ$5:$AJ$1000,853),Cálculos!$AJ$5:$AJ$1000,0)+4,"")</f>
        <v/>
      </c>
    </row>
    <row r="858">
      <c r="B858" s="5" t="str">
        <f>IF($H858="","",INDEX('Detalle individual'!$B:$B,$H858))</f>
        <v/>
      </c>
      <c r="C858" s="5" t="str">
        <f>IF($H858="","",INDEX('Detalle individual'!$A:$A,$H858))</f>
        <v/>
      </c>
      <c r="D858" s="5" t="str">
        <f>IF($H858="","",INDEX('Detalle individual'!$E:$E,$H858))</f>
        <v/>
      </c>
      <c r="E858" s="5" t="str">
        <f>IF($H858="","",INDEX('Detalle individual'!$C:$C,$H858))</f>
        <v/>
      </c>
      <c r="F858" s="5" t="str">
        <f>IF($H858="","",INDEX('Detalle individual'!$D:$D,$H858))</f>
        <v/>
      </c>
      <c r="G858" s="5" t="str">
        <f>IF($H858="","",INDEX('Detalle individual'!$F:$F,$H858))</f>
        <v/>
      </c>
      <c r="H858" t="str">
        <f>IFERROR(MATCH(SMALL(Cálculos!$AJ$5:$AJ$1000,854),Cálculos!$AJ$5:$AJ$1000,0)+4,"")</f>
        <v/>
      </c>
    </row>
    <row r="859">
      <c r="B859" s="5" t="str">
        <f>IF($H859="","",INDEX('Detalle individual'!$B:$B,$H859))</f>
        <v/>
      </c>
      <c r="C859" s="5" t="str">
        <f>IF($H859="","",INDEX('Detalle individual'!$A:$A,$H859))</f>
        <v/>
      </c>
      <c r="D859" s="5" t="str">
        <f>IF($H859="","",INDEX('Detalle individual'!$E:$E,$H859))</f>
        <v/>
      </c>
      <c r="E859" s="5" t="str">
        <f>IF($H859="","",INDEX('Detalle individual'!$C:$C,$H859))</f>
        <v/>
      </c>
      <c r="F859" s="5" t="str">
        <f>IF($H859="","",INDEX('Detalle individual'!$D:$D,$H859))</f>
        <v/>
      </c>
      <c r="G859" s="5" t="str">
        <f>IF($H859="","",INDEX('Detalle individual'!$F:$F,$H859))</f>
        <v/>
      </c>
      <c r="H859" t="str">
        <f>IFERROR(MATCH(SMALL(Cálculos!$AJ$5:$AJ$1000,855),Cálculos!$AJ$5:$AJ$1000,0)+4,"")</f>
        <v/>
      </c>
    </row>
    <row r="860">
      <c r="B860" s="5" t="str">
        <f>IF($H860="","",INDEX('Detalle individual'!$B:$B,$H860))</f>
        <v/>
      </c>
      <c r="C860" s="5" t="str">
        <f>IF($H860="","",INDEX('Detalle individual'!$A:$A,$H860))</f>
        <v/>
      </c>
      <c r="D860" s="5" t="str">
        <f>IF($H860="","",INDEX('Detalle individual'!$E:$E,$H860))</f>
        <v/>
      </c>
      <c r="E860" s="5" t="str">
        <f>IF($H860="","",INDEX('Detalle individual'!$C:$C,$H860))</f>
        <v/>
      </c>
      <c r="F860" s="5" t="str">
        <f>IF($H860="","",INDEX('Detalle individual'!$D:$D,$H860))</f>
        <v/>
      </c>
      <c r="G860" s="5" t="str">
        <f>IF($H860="","",INDEX('Detalle individual'!$F:$F,$H860))</f>
        <v/>
      </c>
      <c r="H860" t="str">
        <f>IFERROR(MATCH(SMALL(Cálculos!$AJ$5:$AJ$1000,856),Cálculos!$AJ$5:$AJ$1000,0)+4,"")</f>
        <v/>
      </c>
    </row>
    <row r="861">
      <c r="B861" s="5" t="str">
        <f>IF($H861="","",INDEX('Detalle individual'!$B:$B,$H861))</f>
        <v/>
      </c>
      <c r="C861" s="5" t="str">
        <f>IF($H861="","",INDEX('Detalle individual'!$A:$A,$H861))</f>
        <v/>
      </c>
      <c r="D861" s="5" t="str">
        <f>IF($H861="","",INDEX('Detalle individual'!$E:$E,$H861))</f>
        <v/>
      </c>
      <c r="E861" s="5" t="str">
        <f>IF($H861="","",INDEX('Detalle individual'!$C:$C,$H861))</f>
        <v/>
      </c>
      <c r="F861" s="5" t="str">
        <f>IF($H861="","",INDEX('Detalle individual'!$D:$D,$H861))</f>
        <v/>
      </c>
      <c r="G861" s="5" t="str">
        <f>IF($H861="","",INDEX('Detalle individual'!$F:$F,$H861))</f>
        <v/>
      </c>
      <c r="H861" t="str">
        <f>IFERROR(MATCH(SMALL(Cálculos!$AJ$5:$AJ$1000,857),Cálculos!$AJ$5:$AJ$1000,0)+4,"")</f>
        <v/>
      </c>
    </row>
    <row r="862">
      <c r="B862" s="5" t="str">
        <f>IF($H862="","",INDEX('Detalle individual'!$B:$B,$H862))</f>
        <v/>
      </c>
      <c r="C862" s="5" t="str">
        <f>IF($H862="","",INDEX('Detalle individual'!$A:$A,$H862))</f>
        <v/>
      </c>
      <c r="D862" s="5" t="str">
        <f>IF($H862="","",INDEX('Detalle individual'!$E:$E,$H862))</f>
        <v/>
      </c>
      <c r="E862" s="5" t="str">
        <f>IF($H862="","",INDEX('Detalle individual'!$C:$C,$H862))</f>
        <v/>
      </c>
      <c r="F862" s="5" t="str">
        <f>IF($H862="","",INDEX('Detalle individual'!$D:$D,$H862))</f>
        <v/>
      </c>
      <c r="G862" s="5" t="str">
        <f>IF($H862="","",INDEX('Detalle individual'!$F:$F,$H862))</f>
        <v/>
      </c>
      <c r="H862" t="str">
        <f>IFERROR(MATCH(SMALL(Cálculos!$AJ$5:$AJ$1000,858),Cálculos!$AJ$5:$AJ$1000,0)+4,"")</f>
        <v/>
      </c>
    </row>
    <row r="863">
      <c r="B863" s="5" t="str">
        <f>IF($H863="","",INDEX('Detalle individual'!$B:$B,$H863))</f>
        <v/>
      </c>
      <c r="C863" s="5" t="str">
        <f>IF($H863="","",INDEX('Detalle individual'!$A:$A,$H863))</f>
        <v/>
      </c>
      <c r="D863" s="5" t="str">
        <f>IF($H863="","",INDEX('Detalle individual'!$E:$E,$H863))</f>
        <v/>
      </c>
      <c r="E863" s="5" t="str">
        <f>IF($H863="","",INDEX('Detalle individual'!$C:$C,$H863))</f>
        <v/>
      </c>
      <c r="F863" s="5" t="str">
        <f>IF($H863="","",INDEX('Detalle individual'!$D:$D,$H863))</f>
        <v/>
      </c>
      <c r="G863" s="5" t="str">
        <f>IF($H863="","",INDEX('Detalle individual'!$F:$F,$H863))</f>
        <v/>
      </c>
      <c r="H863" t="str">
        <f>IFERROR(MATCH(SMALL(Cálculos!$AJ$5:$AJ$1000,859),Cálculos!$AJ$5:$AJ$1000,0)+4,"")</f>
        <v/>
      </c>
    </row>
    <row r="864">
      <c r="B864" s="5" t="str">
        <f>IF($H864="","",INDEX('Detalle individual'!$B:$B,$H864))</f>
        <v/>
      </c>
      <c r="C864" s="5" t="str">
        <f>IF($H864="","",INDEX('Detalle individual'!$A:$A,$H864))</f>
        <v/>
      </c>
      <c r="D864" s="5" t="str">
        <f>IF($H864="","",INDEX('Detalle individual'!$E:$E,$H864))</f>
        <v/>
      </c>
      <c r="E864" s="5" t="str">
        <f>IF($H864="","",INDEX('Detalle individual'!$C:$C,$H864))</f>
        <v/>
      </c>
      <c r="F864" s="5" t="str">
        <f>IF($H864="","",INDEX('Detalle individual'!$D:$D,$H864))</f>
        <v/>
      </c>
      <c r="G864" s="5" t="str">
        <f>IF($H864="","",INDEX('Detalle individual'!$F:$F,$H864))</f>
        <v/>
      </c>
      <c r="H864" t="str">
        <f>IFERROR(MATCH(SMALL(Cálculos!$AJ$5:$AJ$1000,860),Cálculos!$AJ$5:$AJ$1000,0)+4,"")</f>
        <v/>
      </c>
    </row>
    <row r="865">
      <c r="B865" s="5" t="str">
        <f>IF($H865="","",INDEX('Detalle individual'!$B:$B,$H865))</f>
        <v/>
      </c>
      <c r="C865" s="5" t="str">
        <f>IF($H865="","",INDEX('Detalle individual'!$A:$A,$H865))</f>
        <v/>
      </c>
      <c r="D865" s="5" t="str">
        <f>IF($H865="","",INDEX('Detalle individual'!$E:$E,$H865))</f>
        <v/>
      </c>
      <c r="E865" s="5" t="str">
        <f>IF($H865="","",INDEX('Detalle individual'!$C:$C,$H865))</f>
        <v/>
      </c>
      <c r="F865" s="5" t="str">
        <f>IF($H865="","",INDEX('Detalle individual'!$D:$D,$H865))</f>
        <v/>
      </c>
      <c r="G865" s="5" t="str">
        <f>IF($H865="","",INDEX('Detalle individual'!$F:$F,$H865))</f>
        <v/>
      </c>
      <c r="H865" t="str">
        <f>IFERROR(MATCH(SMALL(Cálculos!$AJ$5:$AJ$1000,861),Cálculos!$AJ$5:$AJ$1000,0)+4,"")</f>
        <v/>
      </c>
    </row>
    <row r="866">
      <c r="B866" s="5" t="str">
        <f>IF($H866="","",INDEX('Detalle individual'!$B:$B,$H866))</f>
        <v/>
      </c>
      <c r="C866" s="5" t="str">
        <f>IF($H866="","",INDEX('Detalle individual'!$A:$A,$H866))</f>
        <v/>
      </c>
      <c r="D866" s="5" t="str">
        <f>IF($H866="","",INDEX('Detalle individual'!$E:$E,$H866))</f>
        <v/>
      </c>
      <c r="E866" s="5" t="str">
        <f>IF($H866="","",INDEX('Detalle individual'!$C:$C,$H866))</f>
        <v/>
      </c>
      <c r="F866" s="5" t="str">
        <f>IF($H866="","",INDEX('Detalle individual'!$D:$D,$H866))</f>
        <v/>
      </c>
      <c r="G866" s="5" t="str">
        <f>IF($H866="","",INDEX('Detalle individual'!$F:$F,$H866))</f>
        <v/>
      </c>
      <c r="H866" t="str">
        <f>IFERROR(MATCH(SMALL(Cálculos!$AJ$5:$AJ$1000,862),Cálculos!$AJ$5:$AJ$1000,0)+4,"")</f>
        <v/>
      </c>
    </row>
    <row r="867">
      <c r="B867" s="5" t="str">
        <f>IF($H867="","",INDEX('Detalle individual'!$B:$B,$H867))</f>
        <v/>
      </c>
      <c r="C867" s="5" t="str">
        <f>IF($H867="","",INDEX('Detalle individual'!$A:$A,$H867))</f>
        <v/>
      </c>
      <c r="D867" s="5" t="str">
        <f>IF($H867="","",INDEX('Detalle individual'!$E:$E,$H867))</f>
        <v/>
      </c>
      <c r="E867" s="5" t="str">
        <f>IF($H867="","",INDEX('Detalle individual'!$C:$C,$H867))</f>
        <v/>
      </c>
      <c r="F867" s="5" t="str">
        <f>IF($H867="","",INDEX('Detalle individual'!$D:$D,$H867))</f>
        <v/>
      </c>
      <c r="G867" s="5" t="str">
        <f>IF($H867="","",INDEX('Detalle individual'!$F:$F,$H867))</f>
        <v/>
      </c>
      <c r="H867" t="str">
        <f>IFERROR(MATCH(SMALL(Cálculos!$AJ$5:$AJ$1000,863),Cálculos!$AJ$5:$AJ$1000,0)+4,"")</f>
        <v/>
      </c>
    </row>
    <row r="868">
      <c r="B868" s="5" t="str">
        <f>IF($H868="","",INDEX('Detalle individual'!$B:$B,$H868))</f>
        <v/>
      </c>
      <c r="C868" s="5" t="str">
        <f>IF($H868="","",INDEX('Detalle individual'!$A:$A,$H868))</f>
        <v/>
      </c>
      <c r="D868" s="5" t="str">
        <f>IF($H868="","",INDEX('Detalle individual'!$E:$E,$H868))</f>
        <v/>
      </c>
      <c r="E868" s="5" t="str">
        <f>IF($H868="","",INDEX('Detalle individual'!$C:$C,$H868))</f>
        <v/>
      </c>
      <c r="F868" s="5" t="str">
        <f>IF($H868="","",INDEX('Detalle individual'!$D:$D,$H868))</f>
        <v/>
      </c>
      <c r="G868" s="5" t="str">
        <f>IF($H868="","",INDEX('Detalle individual'!$F:$F,$H868))</f>
        <v/>
      </c>
      <c r="H868" t="str">
        <f>IFERROR(MATCH(SMALL(Cálculos!$AJ$5:$AJ$1000,864),Cálculos!$AJ$5:$AJ$1000,0)+4,"")</f>
        <v/>
      </c>
    </row>
    <row r="869">
      <c r="B869" s="5" t="str">
        <f>IF($H869="","",INDEX('Detalle individual'!$B:$B,$H869))</f>
        <v/>
      </c>
      <c r="C869" s="5" t="str">
        <f>IF($H869="","",INDEX('Detalle individual'!$A:$A,$H869))</f>
        <v/>
      </c>
      <c r="D869" s="5" t="str">
        <f>IF($H869="","",INDEX('Detalle individual'!$E:$E,$H869))</f>
        <v/>
      </c>
      <c r="E869" s="5" t="str">
        <f>IF($H869="","",INDEX('Detalle individual'!$C:$C,$H869))</f>
        <v/>
      </c>
      <c r="F869" s="5" t="str">
        <f>IF($H869="","",INDEX('Detalle individual'!$D:$D,$H869))</f>
        <v/>
      </c>
      <c r="G869" s="5" t="str">
        <f>IF($H869="","",INDEX('Detalle individual'!$F:$F,$H869))</f>
        <v/>
      </c>
      <c r="H869" t="str">
        <f>IFERROR(MATCH(SMALL(Cálculos!$AJ$5:$AJ$1000,865),Cálculos!$AJ$5:$AJ$1000,0)+4,"")</f>
        <v/>
      </c>
    </row>
    <row r="870">
      <c r="B870" s="5" t="str">
        <f>IF($H870="","",INDEX('Detalle individual'!$B:$B,$H870))</f>
        <v/>
      </c>
      <c r="C870" s="5" t="str">
        <f>IF($H870="","",INDEX('Detalle individual'!$A:$A,$H870))</f>
        <v/>
      </c>
      <c r="D870" s="5" t="str">
        <f>IF($H870="","",INDEX('Detalle individual'!$E:$E,$H870))</f>
        <v/>
      </c>
      <c r="E870" s="5" t="str">
        <f>IF($H870="","",INDEX('Detalle individual'!$C:$C,$H870))</f>
        <v/>
      </c>
      <c r="F870" s="5" t="str">
        <f>IF($H870="","",INDEX('Detalle individual'!$D:$D,$H870))</f>
        <v/>
      </c>
      <c r="G870" s="5" t="str">
        <f>IF($H870="","",INDEX('Detalle individual'!$F:$F,$H870))</f>
        <v/>
      </c>
      <c r="H870" t="str">
        <f>IFERROR(MATCH(SMALL(Cálculos!$AJ$5:$AJ$1000,866),Cálculos!$AJ$5:$AJ$1000,0)+4,"")</f>
        <v/>
      </c>
    </row>
    <row r="871">
      <c r="B871" s="5" t="str">
        <f>IF($H871="","",INDEX('Detalle individual'!$B:$B,$H871))</f>
        <v/>
      </c>
      <c r="C871" s="5" t="str">
        <f>IF($H871="","",INDEX('Detalle individual'!$A:$A,$H871))</f>
        <v/>
      </c>
      <c r="D871" s="5" t="str">
        <f>IF($H871="","",INDEX('Detalle individual'!$E:$E,$H871))</f>
        <v/>
      </c>
      <c r="E871" s="5" t="str">
        <f>IF($H871="","",INDEX('Detalle individual'!$C:$C,$H871))</f>
        <v/>
      </c>
      <c r="F871" s="5" t="str">
        <f>IF($H871="","",INDEX('Detalle individual'!$D:$D,$H871))</f>
        <v/>
      </c>
      <c r="G871" s="5" t="str">
        <f>IF($H871="","",INDEX('Detalle individual'!$F:$F,$H871))</f>
        <v/>
      </c>
      <c r="H871" t="str">
        <f>IFERROR(MATCH(SMALL(Cálculos!$AJ$5:$AJ$1000,867),Cálculos!$AJ$5:$AJ$1000,0)+4,"")</f>
        <v/>
      </c>
    </row>
    <row r="872">
      <c r="B872" s="5" t="str">
        <f>IF($H872="","",INDEX('Detalle individual'!$B:$B,$H872))</f>
        <v/>
      </c>
      <c r="C872" s="5" t="str">
        <f>IF($H872="","",INDEX('Detalle individual'!$A:$A,$H872))</f>
        <v/>
      </c>
      <c r="D872" s="5" t="str">
        <f>IF($H872="","",INDEX('Detalle individual'!$E:$E,$H872))</f>
        <v/>
      </c>
      <c r="E872" s="5" t="str">
        <f>IF($H872="","",INDEX('Detalle individual'!$C:$C,$H872))</f>
        <v/>
      </c>
      <c r="F872" s="5" t="str">
        <f>IF($H872="","",INDEX('Detalle individual'!$D:$D,$H872))</f>
        <v/>
      </c>
      <c r="G872" s="5" t="str">
        <f>IF($H872="","",INDEX('Detalle individual'!$F:$F,$H872))</f>
        <v/>
      </c>
      <c r="H872" t="str">
        <f>IFERROR(MATCH(SMALL(Cálculos!$AJ$5:$AJ$1000,868),Cálculos!$AJ$5:$AJ$1000,0)+4,"")</f>
        <v/>
      </c>
    </row>
    <row r="873">
      <c r="B873" s="5" t="str">
        <f>IF($H873="","",INDEX('Detalle individual'!$B:$B,$H873))</f>
        <v/>
      </c>
      <c r="C873" s="5" t="str">
        <f>IF($H873="","",INDEX('Detalle individual'!$A:$A,$H873))</f>
        <v/>
      </c>
      <c r="D873" s="5" t="str">
        <f>IF($H873="","",INDEX('Detalle individual'!$E:$E,$H873))</f>
        <v/>
      </c>
      <c r="E873" s="5" t="str">
        <f>IF($H873="","",INDEX('Detalle individual'!$C:$C,$H873))</f>
        <v/>
      </c>
      <c r="F873" s="5" t="str">
        <f>IF($H873="","",INDEX('Detalle individual'!$D:$D,$H873))</f>
        <v/>
      </c>
      <c r="G873" s="5" t="str">
        <f>IF($H873="","",INDEX('Detalle individual'!$F:$F,$H873))</f>
        <v/>
      </c>
      <c r="H873" t="str">
        <f>IFERROR(MATCH(SMALL(Cálculos!$AJ$5:$AJ$1000,869),Cálculos!$AJ$5:$AJ$1000,0)+4,"")</f>
        <v/>
      </c>
    </row>
    <row r="874">
      <c r="B874" s="5" t="str">
        <f>IF($H874="","",INDEX('Detalle individual'!$B:$B,$H874))</f>
        <v/>
      </c>
      <c r="C874" s="5" t="str">
        <f>IF($H874="","",INDEX('Detalle individual'!$A:$A,$H874))</f>
        <v/>
      </c>
      <c r="D874" s="5" t="str">
        <f>IF($H874="","",INDEX('Detalle individual'!$E:$E,$H874))</f>
        <v/>
      </c>
      <c r="E874" s="5" t="str">
        <f>IF($H874="","",INDEX('Detalle individual'!$C:$C,$H874))</f>
        <v/>
      </c>
      <c r="F874" s="5" t="str">
        <f>IF($H874="","",INDEX('Detalle individual'!$D:$D,$H874))</f>
        <v/>
      </c>
      <c r="G874" s="5" t="str">
        <f>IF($H874="","",INDEX('Detalle individual'!$F:$F,$H874))</f>
        <v/>
      </c>
      <c r="H874" t="str">
        <f>IFERROR(MATCH(SMALL(Cálculos!$AJ$5:$AJ$1000,870),Cálculos!$AJ$5:$AJ$1000,0)+4,"")</f>
        <v/>
      </c>
    </row>
    <row r="875">
      <c r="B875" s="5" t="str">
        <f>IF($H875="","",INDEX('Detalle individual'!$B:$B,$H875))</f>
        <v/>
      </c>
      <c r="C875" s="5" t="str">
        <f>IF($H875="","",INDEX('Detalle individual'!$A:$A,$H875))</f>
        <v/>
      </c>
      <c r="D875" s="5" t="str">
        <f>IF($H875="","",INDEX('Detalle individual'!$E:$E,$H875))</f>
        <v/>
      </c>
      <c r="E875" s="5" t="str">
        <f>IF($H875="","",INDEX('Detalle individual'!$C:$C,$H875))</f>
        <v/>
      </c>
      <c r="F875" s="5" t="str">
        <f>IF($H875="","",INDEX('Detalle individual'!$D:$D,$H875))</f>
        <v/>
      </c>
      <c r="G875" s="5" t="str">
        <f>IF($H875="","",INDEX('Detalle individual'!$F:$F,$H875))</f>
        <v/>
      </c>
      <c r="H875" t="str">
        <f>IFERROR(MATCH(SMALL(Cálculos!$AJ$5:$AJ$1000,871),Cálculos!$AJ$5:$AJ$1000,0)+4,"")</f>
        <v/>
      </c>
    </row>
    <row r="876">
      <c r="B876" s="5" t="str">
        <f>IF($H876="","",INDEX('Detalle individual'!$B:$B,$H876))</f>
        <v/>
      </c>
      <c r="C876" s="5" t="str">
        <f>IF($H876="","",INDEX('Detalle individual'!$A:$A,$H876))</f>
        <v/>
      </c>
      <c r="D876" s="5" t="str">
        <f>IF($H876="","",INDEX('Detalle individual'!$E:$E,$H876))</f>
        <v/>
      </c>
      <c r="E876" s="5" t="str">
        <f>IF($H876="","",INDEX('Detalle individual'!$C:$C,$H876))</f>
        <v/>
      </c>
      <c r="F876" s="5" t="str">
        <f>IF($H876="","",INDEX('Detalle individual'!$D:$D,$H876))</f>
        <v/>
      </c>
      <c r="G876" s="5" t="str">
        <f>IF($H876="","",INDEX('Detalle individual'!$F:$F,$H876))</f>
        <v/>
      </c>
      <c r="H876" t="str">
        <f>IFERROR(MATCH(SMALL(Cálculos!$AJ$5:$AJ$1000,872),Cálculos!$AJ$5:$AJ$1000,0)+4,"")</f>
        <v/>
      </c>
    </row>
    <row r="877">
      <c r="B877" s="5" t="str">
        <f>IF($H877="","",INDEX('Detalle individual'!$B:$B,$H877))</f>
        <v/>
      </c>
      <c r="C877" s="5" t="str">
        <f>IF($H877="","",INDEX('Detalle individual'!$A:$A,$H877))</f>
        <v/>
      </c>
      <c r="D877" s="5" t="str">
        <f>IF($H877="","",INDEX('Detalle individual'!$E:$E,$H877))</f>
        <v/>
      </c>
      <c r="E877" s="5" t="str">
        <f>IF($H877="","",INDEX('Detalle individual'!$C:$C,$H877))</f>
        <v/>
      </c>
      <c r="F877" s="5" t="str">
        <f>IF($H877="","",INDEX('Detalle individual'!$D:$D,$H877))</f>
        <v/>
      </c>
      <c r="G877" s="5" t="str">
        <f>IF($H877="","",INDEX('Detalle individual'!$F:$F,$H877))</f>
        <v/>
      </c>
      <c r="H877" t="str">
        <f>IFERROR(MATCH(SMALL(Cálculos!$AJ$5:$AJ$1000,873),Cálculos!$AJ$5:$AJ$1000,0)+4,"")</f>
        <v/>
      </c>
    </row>
    <row r="878">
      <c r="B878" s="5" t="str">
        <f>IF($H878="","",INDEX('Detalle individual'!$B:$B,$H878))</f>
        <v/>
      </c>
      <c r="C878" s="5" t="str">
        <f>IF($H878="","",INDEX('Detalle individual'!$A:$A,$H878))</f>
        <v/>
      </c>
      <c r="D878" s="5" t="str">
        <f>IF($H878="","",INDEX('Detalle individual'!$E:$E,$H878))</f>
        <v/>
      </c>
      <c r="E878" s="5" t="str">
        <f>IF($H878="","",INDEX('Detalle individual'!$C:$C,$H878))</f>
        <v/>
      </c>
      <c r="F878" s="5" t="str">
        <f>IF($H878="","",INDEX('Detalle individual'!$D:$D,$H878))</f>
        <v/>
      </c>
      <c r="G878" s="5" t="str">
        <f>IF($H878="","",INDEX('Detalle individual'!$F:$F,$H878))</f>
        <v/>
      </c>
      <c r="H878" t="str">
        <f>IFERROR(MATCH(SMALL(Cálculos!$AJ$5:$AJ$1000,874),Cálculos!$AJ$5:$AJ$1000,0)+4,"")</f>
        <v/>
      </c>
    </row>
    <row r="879">
      <c r="B879" s="5" t="str">
        <f>IF($H879="","",INDEX('Detalle individual'!$B:$B,$H879))</f>
        <v/>
      </c>
      <c r="C879" s="5" t="str">
        <f>IF($H879="","",INDEX('Detalle individual'!$A:$A,$H879))</f>
        <v/>
      </c>
      <c r="D879" s="5" t="str">
        <f>IF($H879="","",INDEX('Detalle individual'!$E:$E,$H879))</f>
        <v/>
      </c>
      <c r="E879" s="5" t="str">
        <f>IF($H879="","",INDEX('Detalle individual'!$C:$C,$H879))</f>
        <v/>
      </c>
      <c r="F879" s="5" t="str">
        <f>IF($H879="","",INDEX('Detalle individual'!$D:$D,$H879))</f>
        <v/>
      </c>
      <c r="G879" s="5" t="str">
        <f>IF($H879="","",INDEX('Detalle individual'!$F:$F,$H879))</f>
        <v/>
      </c>
      <c r="H879" t="str">
        <f>IFERROR(MATCH(SMALL(Cálculos!$AJ$5:$AJ$1000,875),Cálculos!$AJ$5:$AJ$1000,0)+4,"")</f>
        <v/>
      </c>
    </row>
    <row r="880">
      <c r="B880" s="5" t="str">
        <f>IF($H880="","",INDEX('Detalle individual'!$B:$B,$H880))</f>
        <v/>
      </c>
      <c r="C880" s="5" t="str">
        <f>IF($H880="","",INDEX('Detalle individual'!$A:$A,$H880))</f>
        <v/>
      </c>
      <c r="D880" s="5" t="str">
        <f>IF($H880="","",INDEX('Detalle individual'!$E:$E,$H880))</f>
        <v/>
      </c>
      <c r="E880" s="5" t="str">
        <f>IF($H880="","",INDEX('Detalle individual'!$C:$C,$H880))</f>
        <v/>
      </c>
      <c r="F880" s="5" t="str">
        <f>IF($H880="","",INDEX('Detalle individual'!$D:$D,$H880))</f>
        <v/>
      </c>
      <c r="G880" s="5" t="str">
        <f>IF($H880="","",INDEX('Detalle individual'!$F:$F,$H880))</f>
        <v/>
      </c>
      <c r="H880" t="str">
        <f>IFERROR(MATCH(SMALL(Cálculos!$AJ$5:$AJ$1000,876),Cálculos!$AJ$5:$AJ$1000,0)+4,"")</f>
        <v/>
      </c>
    </row>
    <row r="881">
      <c r="B881" s="5" t="str">
        <f>IF($H881="","",INDEX('Detalle individual'!$B:$B,$H881))</f>
        <v/>
      </c>
      <c r="C881" s="5" t="str">
        <f>IF($H881="","",INDEX('Detalle individual'!$A:$A,$H881))</f>
        <v/>
      </c>
      <c r="D881" s="5" t="str">
        <f>IF($H881="","",INDEX('Detalle individual'!$E:$E,$H881))</f>
        <v/>
      </c>
      <c r="E881" s="5" t="str">
        <f>IF($H881="","",INDEX('Detalle individual'!$C:$C,$H881))</f>
        <v/>
      </c>
      <c r="F881" s="5" t="str">
        <f>IF($H881="","",INDEX('Detalle individual'!$D:$D,$H881))</f>
        <v/>
      </c>
      <c r="G881" s="5" t="str">
        <f>IF($H881="","",INDEX('Detalle individual'!$F:$F,$H881))</f>
        <v/>
      </c>
      <c r="H881" t="str">
        <f>IFERROR(MATCH(SMALL(Cálculos!$AJ$5:$AJ$1000,877),Cálculos!$AJ$5:$AJ$1000,0)+4,"")</f>
        <v/>
      </c>
    </row>
    <row r="882">
      <c r="B882" s="5" t="str">
        <f>IF($H882="","",INDEX('Detalle individual'!$B:$B,$H882))</f>
        <v/>
      </c>
      <c r="C882" s="5" t="str">
        <f>IF($H882="","",INDEX('Detalle individual'!$A:$A,$H882))</f>
        <v/>
      </c>
      <c r="D882" s="5" t="str">
        <f>IF($H882="","",INDEX('Detalle individual'!$E:$E,$H882))</f>
        <v/>
      </c>
      <c r="E882" s="5" t="str">
        <f>IF($H882="","",INDEX('Detalle individual'!$C:$C,$H882))</f>
        <v/>
      </c>
      <c r="F882" s="5" t="str">
        <f>IF($H882="","",INDEX('Detalle individual'!$D:$D,$H882))</f>
        <v/>
      </c>
      <c r="G882" s="5" t="str">
        <f>IF($H882="","",INDEX('Detalle individual'!$F:$F,$H882))</f>
        <v/>
      </c>
      <c r="H882" t="str">
        <f>IFERROR(MATCH(SMALL(Cálculos!$AJ$5:$AJ$1000,878),Cálculos!$AJ$5:$AJ$1000,0)+4,"")</f>
        <v/>
      </c>
    </row>
    <row r="883">
      <c r="B883" s="5" t="str">
        <f>IF($H883="","",INDEX('Detalle individual'!$B:$B,$H883))</f>
        <v/>
      </c>
      <c r="C883" s="5" t="str">
        <f>IF($H883="","",INDEX('Detalle individual'!$A:$A,$H883))</f>
        <v/>
      </c>
      <c r="D883" s="5" t="str">
        <f>IF($H883="","",INDEX('Detalle individual'!$E:$E,$H883))</f>
        <v/>
      </c>
      <c r="E883" s="5" t="str">
        <f>IF($H883="","",INDEX('Detalle individual'!$C:$C,$H883))</f>
        <v/>
      </c>
      <c r="F883" s="5" t="str">
        <f>IF($H883="","",INDEX('Detalle individual'!$D:$D,$H883))</f>
        <v/>
      </c>
      <c r="G883" s="5" t="str">
        <f>IF($H883="","",INDEX('Detalle individual'!$F:$F,$H883))</f>
        <v/>
      </c>
      <c r="H883" t="str">
        <f>IFERROR(MATCH(SMALL(Cálculos!$AJ$5:$AJ$1000,879),Cálculos!$AJ$5:$AJ$1000,0)+4,"")</f>
        <v/>
      </c>
    </row>
    <row r="884">
      <c r="B884" s="5" t="str">
        <f>IF($H884="","",INDEX('Detalle individual'!$B:$B,$H884))</f>
        <v/>
      </c>
      <c r="C884" s="5" t="str">
        <f>IF($H884="","",INDEX('Detalle individual'!$A:$A,$H884))</f>
        <v/>
      </c>
      <c r="D884" s="5" t="str">
        <f>IF($H884="","",INDEX('Detalle individual'!$E:$E,$H884))</f>
        <v/>
      </c>
      <c r="E884" s="5" t="str">
        <f>IF($H884="","",INDEX('Detalle individual'!$C:$C,$H884))</f>
        <v/>
      </c>
      <c r="F884" s="5" t="str">
        <f>IF($H884="","",INDEX('Detalle individual'!$D:$D,$H884))</f>
        <v/>
      </c>
      <c r="G884" s="5" t="str">
        <f>IF($H884="","",INDEX('Detalle individual'!$F:$F,$H884))</f>
        <v/>
      </c>
      <c r="H884" t="str">
        <f>IFERROR(MATCH(SMALL(Cálculos!$AJ$5:$AJ$1000,880),Cálculos!$AJ$5:$AJ$1000,0)+4,"")</f>
        <v/>
      </c>
    </row>
    <row r="885">
      <c r="B885" s="5" t="str">
        <f>IF($H885="","",INDEX('Detalle individual'!$B:$B,$H885))</f>
        <v/>
      </c>
      <c r="C885" s="5" t="str">
        <f>IF($H885="","",INDEX('Detalle individual'!$A:$A,$H885))</f>
        <v/>
      </c>
      <c r="D885" s="5" t="str">
        <f>IF($H885="","",INDEX('Detalle individual'!$E:$E,$H885))</f>
        <v/>
      </c>
      <c r="E885" s="5" t="str">
        <f>IF($H885="","",INDEX('Detalle individual'!$C:$C,$H885))</f>
        <v/>
      </c>
      <c r="F885" s="5" t="str">
        <f>IF($H885="","",INDEX('Detalle individual'!$D:$D,$H885))</f>
        <v/>
      </c>
      <c r="G885" s="5" t="str">
        <f>IF($H885="","",INDEX('Detalle individual'!$F:$F,$H885))</f>
        <v/>
      </c>
      <c r="H885" t="str">
        <f>IFERROR(MATCH(SMALL(Cálculos!$AJ$5:$AJ$1000,881),Cálculos!$AJ$5:$AJ$1000,0)+4,"")</f>
        <v/>
      </c>
    </row>
    <row r="886">
      <c r="B886" s="5" t="str">
        <f>IF($H886="","",INDEX('Detalle individual'!$B:$B,$H886))</f>
        <v/>
      </c>
      <c r="C886" s="5" t="str">
        <f>IF($H886="","",INDEX('Detalle individual'!$A:$A,$H886))</f>
        <v/>
      </c>
      <c r="D886" s="5" t="str">
        <f>IF($H886="","",INDEX('Detalle individual'!$E:$E,$H886))</f>
        <v/>
      </c>
      <c r="E886" s="5" t="str">
        <f>IF($H886="","",INDEX('Detalle individual'!$C:$C,$H886))</f>
        <v/>
      </c>
      <c r="F886" s="5" t="str">
        <f>IF($H886="","",INDEX('Detalle individual'!$D:$D,$H886))</f>
        <v/>
      </c>
      <c r="G886" s="5" t="str">
        <f>IF($H886="","",INDEX('Detalle individual'!$F:$F,$H886))</f>
        <v/>
      </c>
      <c r="H886" t="str">
        <f>IFERROR(MATCH(SMALL(Cálculos!$AJ$5:$AJ$1000,882),Cálculos!$AJ$5:$AJ$1000,0)+4,"")</f>
        <v/>
      </c>
    </row>
    <row r="887">
      <c r="B887" s="5" t="str">
        <f>IF($H887="","",INDEX('Detalle individual'!$B:$B,$H887))</f>
        <v/>
      </c>
      <c r="C887" s="5" t="str">
        <f>IF($H887="","",INDEX('Detalle individual'!$A:$A,$H887))</f>
        <v/>
      </c>
      <c r="D887" s="5" t="str">
        <f>IF($H887="","",INDEX('Detalle individual'!$E:$E,$H887))</f>
        <v/>
      </c>
      <c r="E887" s="5" t="str">
        <f>IF($H887="","",INDEX('Detalle individual'!$C:$C,$H887))</f>
        <v/>
      </c>
      <c r="F887" s="5" t="str">
        <f>IF($H887="","",INDEX('Detalle individual'!$D:$D,$H887))</f>
        <v/>
      </c>
      <c r="G887" s="5" t="str">
        <f>IF($H887="","",INDEX('Detalle individual'!$F:$F,$H887))</f>
        <v/>
      </c>
      <c r="H887" t="str">
        <f>IFERROR(MATCH(SMALL(Cálculos!$AJ$5:$AJ$1000,883),Cálculos!$AJ$5:$AJ$1000,0)+4,"")</f>
        <v/>
      </c>
    </row>
    <row r="888">
      <c r="B888" s="5" t="str">
        <f>IF($H888="","",INDEX('Detalle individual'!$B:$B,$H888))</f>
        <v/>
      </c>
      <c r="C888" s="5" t="str">
        <f>IF($H888="","",INDEX('Detalle individual'!$A:$A,$H888))</f>
        <v/>
      </c>
      <c r="D888" s="5" t="str">
        <f>IF($H888="","",INDEX('Detalle individual'!$E:$E,$H888))</f>
        <v/>
      </c>
      <c r="E888" s="5" t="str">
        <f>IF($H888="","",INDEX('Detalle individual'!$C:$C,$H888))</f>
        <v/>
      </c>
      <c r="F888" s="5" t="str">
        <f>IF($H888="","",INDEX('Detalle individual'!$D:$D,$H888))</f>
        <v/>
      </c>
      <c r="G888" s="5" t="str">
        <f>IF($H888="","",INDEX('Detalle individual'!$F:$F,$H888))</f>
        <v/>
      </c>
      <c r="H888" t="str">
        <f>IFERROR(MATCH(SMALL(Cálculos!$AJ$5:$AJ$1000,884),Cálculos!$AJ$5:$AJ$1000,0)+4,"")</f>
        <v/>
      </c>
    </row>
    <row r="889">
      <c r="B889" s="5" t="str">
        <f>IF($H889="","",INDEX('Detalle individual'!$B:$B,$H889))</f>
        <v/>
      </c>
      <c r="C889" s="5" t="str">
        <f>IF($H889="","",INDEX('Detalle individual'!$A:$A,$H889))</f>
        <v/>
      </c>
      <c r="D889" s="5" t="str">
        <f>IF($H889="","",INDEX('Detalle individual'!$E:$E,$H889))</f>
        <v/>
      </c>
      <c r="E889" s="5" t="str">
        <f>IF($H889="","",INDEX('Detalle individual'!$C:$C,$H889))</f>
        <v/>
      </c>
      <c r="F889" s="5" t="str">
        <f>IF($H889="","",INDEX('Detalle individual'!$D:$D,$H889))</f>
        <v/>
      </c>
      <c r="G889" s="5" t="str">
        <f>IF($H889="","",INDEX('Detalle individual'!$F:$F,$H889))</f>
        <v/>
      </c>
      <c r="H889" t="str">
        <f>IFERROR(MATCH(SMALL(Cálculos!$AJ$5:$AJ$1000,885),Cálculos!$AJ$5:$AJ$1000,0)+4,"")</f>
        <v/>
      </c>
    </row>
    <row r="890">
      <c r="B890" s="5" t="str">
        <f>IF($H890="","",INDEX('Detalle individual'!$B:$B,$H890))</f>
        <v/>
      </c>
      <c r="C890" s="5" t="str">
        <f>IF($H890="","",INDEX('Detalle individual'!$A:$A,$H890))</f>
        <v/>
      </c>
      <c r="D890" s="5" t="str">
        <f>IF($H890="","",INDEX('Detalle individual'!$E:$E,$H890))</f>
        <v/>
      </c>
      <c r="E890" s="5" t="str">
        <f>IF($H890="","",INDEX('Detalle individual'!$C:$C,$H890))</f>
        <v/>
      </c>
      <c r="F890" s="5" t="str">
        <f>IF($H890="","",INDEX('Detalle individual'!$D:$D,$H890))</f>
        <v/>
      </c>
      <c r="G890" s="5" t="str">
        <f>IF($H890="","",INDEX('Detalle individual'!$F:$F,$H890))</f>
        <v/>
      </c>
      <c r="H890" t="str">
        <f>IFERROR(MATCH(SMALL(Cálculos!$AJ$5:$AJ$1000,886),Cálculos!$AJ$5:$AJ$1000,0)+4,"")</f>
        <v/>
      </c>
    </row>
    <row r="891">
      <c r="B891" s="5" t="str">
        <f>IF($H891="","",INDEX('Detalle individual'!$B:$B,$H891))</f>
        <v/>
      </c>
      <c r="C891" s="5" t="str">
        <f>IF($H891="","",INDEX('Detalle individual'!$A:$A,$H891))</f>
        <v/>
      </c>
      <c r="D891" s="5" t="str">
        <f>IF($H891="","",INDEX('Detalle individual'!$E:$E,$H891))</f>
        <v/>
      </c>
      <c r="E891" s="5" t="str">
        <f>IF($H891="","",INDEX('Detalle individual'!$C:$C,$H891))</f>
        <v/>
      </c>
      <c r="F891" s="5" t="str">
        <f>IF($H891="","",INDEX('Detalle individual'!$D:$D,$H891))</f>
        <v/>
      </c>
      <c r="G891" s="5" t="str">
        <f>IF($H891="","",INDEX('Detalle individual'!$F:$F,$H891))</f>
        <v/>
      </c>
      <c r="H891" t="str">
        <f>IFERROR(MATCH(SMALL(Cálculos!$AJ$5:$AJ$1000,887),Cálculos!$AJ$5:$AJ$1000,0)+4,"")</f>
        <v/>
      </c>
    </row>
    <row r="892">
      <c r="B892" s="5" t="str">
        <f>IF($H892="","",INDEX('Detalle individual'!$B:$B,$H892))</f>
        <v/>
      </c>
      <c r="C892" s="5" t="str">
        <f>IF($H892="","",INDEX('Detalle individual'!$A:$A,$H892))</f>
        <v/>
      </c>
      <c r="D892" s="5" t="str">
        <f>IF($H892="","",INDEX('Detalle individual'!$E:$E,$H892))</f>
        <v/>
      </c>
      <c r="E892" s="5" t="str">
        <f>IF($H892="","",INDEX('Detalle individual'!$C:$C,$H892))</f>
        <v/>
      </c>
      <c r="F892" s="5" t="str">
        <f>IF($H892="","",INDEX('Detalle individual'!$D:$D,$H892))</f>
        <v/>
      </c>
      <c r="G892" s="5" t="str">
        <f>IF($H892="","",INDEX('Detalle individual'!$F:$F,$H892))</f>
        <v/>
      </c>
      <c r="H892" t="str">
        <f>IFERROR(MATCH(SMALL(Cálculos!$AJ$5:$AJ$1000,888),Cálculos!$AJ$5:$AJ$1000,0)+4,"")</f>
        <v/>
      </c>
    </row>
    <row r="893">
      <c r="B893" s="5" t="str">
        <f>IF($H893="","",INDEX('Detalle individual'!$B:$B,$H893))</f>
        <v/>
      </c>
      <c r="C893" s="5" t="str">
        <f>IF($H893="","",INDEX('Detalle individual'!$A:$A,$H893))</f>
        <v/>
      </c>
      <c r="D893" s="5" t="str">
        <f>IF($H893="","",INDEX('Detalle individual'!$E:$E,$H893))</f>
        <v/>
      </c>
      <c r="E893" s="5" t="str">
        <f>IF($H893="","",INDEX('Detalle individual'!$C:$C,$H893))</f>
        <v/>
      </c>
      <c r="F893" s="5" t="str">
        <f>IF($H893="","",INDEX('Detalle individual'!$D:$D,$H893))</f>
        <v/>
      </c>
      <c r="G893" s="5" t="str">
        <f>IF($H893="","",INDEX('Detalle individual'!$F:$F,$H893))</f>
        <v/>
      </c>
      <c r="H893" t="str">
        <f>IFERROR(MATCH(SMALL(Cálculos!$AJ$5:$AJ$1000,889),Cálculos!$AJ$5:$AJ$1000,0)+4,"")</f>
        <v/>
      </c>
    </row>
    <row r="894">
      <c r="B894" s="5" t="str">
        <f>IF($H894="","",INDEX('Detalle individual'!$B:$B,$H894))</f>
        <v/>
      </c>
      <c r="C894" s="5" t="str">
        <f>IF($H894="","",INDEX('Detalle individual'!$A:$A,$H894))</f>
        <v/>
      </c>
      <c r="D894" s="5" t="str">
        <f>IF($H894="","",INDEX('Detalle individual'!$E:$E,$H894))</f>
        <v/>
      </c>
      <c r="E894" s="5" t="str">
        <f>IF($H894="","",INDEX('Detalle individual'!$C:$C,$H894))</f>
        <v/>
      </c>
      <c r="F894" s="5" t="str">
        <f>IF($H894="","",INDEX('Detalle individual'!$D:$D,$H894))</f>
        <v/>
      </c>
      <c r="G894" s="5" t="str">
        <f>IF($H894="","",INDEX('Detalle individual'!$F:$F,$H894))</f>
        <v/>
      </c>
      <c r="H894" t="str">
        <f>IFERROR(MATCH(SMALL(Cálculos!$AJ$5:$AJ$1000,890),Cálculos!$AJ$5:$AJ$1000,0)+4,"")</f>
        <v/>
      </c>
    </row>
    <row r="895">
      <c r="B895" s="5" t="str">
        <f>IF($H895="","",INDEX('Detalle individual'!$B:$B,$H895))</f>
        <v/>
      </c>
      <c r="C895" s="5" t="str">
        <f>IF($H895="","",INDEX('Detalle individual'!$A:$A,$H895))</f>
        <v/>
      </c>
      <c r="D895" s="5" t="str">
        <f>IF($H895="","",INDEX('Detalle individual'!$E:$E,$H895))</f>
        <v/>
      </c>
      <c r="E895" s="5" t="str">
        <f>IF($H895="","",INDEX('Detalle individual'!$C:$C,$H895))</f>
        <v/>
      </c>
      <c r="F895" s="5" t="str">
        <f>IF($H895="","",INDEX('Detalle individual'!$D:$D,$H895))</f>
        <v/>
      </c>
      <c r="G895" s="5" t="str">
        <f>IF($H895="","",INDEX('Detalle individual'!$F:$F,$H895))</f>
        <v/>
      </c>
      <c r="H895" t="str">
        <f>IFERROR(MATCH(SMALL(Cálculos!$AJ$5:$AJ$1000,891),Cálculos!$AJ$5:$AJ$1000,0)+4,"")</f>
        <v/>
      </c>
    </row>
    <row r="896">
      <c r="B896" s="5" t="str">
        <f>IF($H896="","",INDEX('Detalle individual'!$B:$B,$H896))</f>
        <v/>
      </c>
      <c r="C896" s="5" t="str">
        <f>IF($H896="","",INDEX('Detalle individual'!$A:$A,$H896))</f>
        <v/>
      </c>
      <c r="D896" s="5" t="str">
        <f>IF($H896="","",INDEX('Detalle individual'!$E:$E,$H896))</f>
        <v/>
      </c>
      <c r="E896" s="5" t="str">
        <f>IF($H896="","",INDEX('Detalle individual'!$C:$C,$H896))</f>
        <v/>
      </c>
      <c r="F896" s="5" t="str">
        <f>IF($H896="","",INDEX('Detalle individual'!$D:$D,$H896))</f>
        <v/>
      </c>
      <c r="G896" s="5" t="str">
        <f>IF($H896="","",INDEX('Detalle individual'!$F:$F,$H896))</f>
        <v/>
      </c>
      <c r="H896" t="str">
        <f>IFERROR(MATCH(SMALL(Cálculos!$AJ$5:$AJ$1000,892),Cálculos!$AJ$5:$AJ$1000,0)+4,"")</f>
        <v/>
      </c>
    </row>
    <row r="897">
      <c r="B897" s="5" t="str">
        <f>IF($H897="","",INDEX('Detalle individual'!$B:$B,$H897))</f>
        <v/>
      </c>
      <c r="C897" s="5" t="str">
        <f>IF($H897="","",INDEX('Detalle individual'!$A:$A,$H897))</f>
        <v/>
      </c>
      <c r="D897" s="5" t="str">
        <f>IF($H897="","",INDEX('Detalle individual'!$E:$E,$H897))</f>
        <v/>
      </c>
      <c r="E897" s="5" t="str">
        <f>IF($H897="","",INDEX('Detalle individual'!$C:$C,$H897))</f>
        <v/>
      </c>
      <c r="F897" s="5" t="str">
        <f>IF($H897="","",INDEX('Detalle individual'!$D:$D,$H897))</f>
        <v/>
      </c>
      <c r="G897" s="5" t="str">
        <f>IF($H897="","",INDEX('Detalle individual'!$F:$F,$H897))</f>
        <v/>
      </c>
      <c r="H897" t="str">
        <f>IFERROR(MATCH(SMALL(Cálculos!$AJ$5:$AJ$1000,893),Cálculos!$AJ$5:$AJ$1000,0)+4,"")</f>
        <v/>
      </c>
    </row>
    <row r="898">
      <c r="B898" s="5" t="str">
        <f>IF($H898="","",INDEX('Detalle individual'!$B:$B,$H898))</f>
        <v/>
      </c>
      <c r="C898" s="5" t="str">
        <f>IF($H898="","",INDEX('Detalle individual'!$A:$A,$H898))</f>
        <v/>
      </c>
      <c r="D898" s="5" t="str">
        <f>IF($H898="","",INDEX('Detalle individual'!$E:$E,$H898))</f>
        <v/>
      </c>
      <c r="E898" s="5" t="str">
        <f>IF($H898="","",INDEX('Detalle individual'!$C:$C,$H898))</f>
        <v/>
      </c>
      <c r="F898" s="5" t="str">
        <f>IF($H898="","",INDEX('Detalle individual'!$D:$D,$H898))</f>
        <v/>
      </c>
      <c r="G898" s="5" t="str">
        <f>IF($H898="","",INDEX('Detalle individual'!$F:$F,$H898))</f>
        <v/>
      </c>
      <c r="H898" t="str">
        <f>IFERROR(MATCH(SMALL(Cálculos!$AJ$5:$AJ$1000,894),Cálculos!$AJ$5:$AJ$1000,0)+4,"")</f>
        <v/>
      </c>
    </row>
    <row r="899">
      <c r="B899" s="5" t="str">
        <f>IF($H899="","",INDEX('Detalle individual'!$B:$B,$H899))</f>
        <v/>
      </c>
      <c r="C899" s="5" t="str">
        <f>IF($H899="","",INDEX('Detalle individual'!$A:$A,$H899))</f>
        <v/>
      </c>
      <c r="D899" s="5" t="str">
        <f>IF($H899="","",INDEX('Detalle individual'!$E:$E,$H899))</f>
        <v/>
      </c>
      <c r="E899" s="5" t="str">
        <f>IF($H899="","",INDEX('Detalle individual'!$C:$C,$H899))</f>
        <v/>
      </c>
      <c r="F899" s="5" t="str">
        <f>IF($H899="","",INDEX('Detalle individual'!$D:$D,$H899))</f>
        <v/>
      </c>
      <c r="G899" s="5" t="str">
        <f>IF($H899="","",INDEX('Detalle individual'!$F:$F,$H899))</f>
        <v/>
      </c>
      <c r="H899" t="str">
        <f>IFERROR(MATCH(SMALL(Cálculos!$AJ$5:$AJ$1000,895),Cálculos!$AJ$5:$AJ$1000,0)+4,"")</f>
        <v/>
      </c>
    </row>
    <row r="900">
      <c r="B900" s="5" t="str">
        <f>IF($H900="","",INDEX('Detalle individual'!$B:$B,$H900))</f>
        <v/>
      </c>
      <c r="C900" s="5" t="str">
        <f>IF($H900="","",INDEX('Detalle individual'!$A:$A,$H900))</f>
        <v/>
      </c>
      <c r="D900" s="5" t="str">
        <f>IF($H900="","",INDEX('Detalle individual'!$E:$E,$H900))</f>
        <v/>
      </c>
      <c r="E900" s="5" t="str">
        <f>IF($H900="","",INDEX('Detalle individual'!$C:$C,$H900))</f>
        <v/>
      </c>
      <c r="F900" s="5" t="str">
        <f>IF($H900="","",INDEX('Detalle individual'!$D:$D,$H900))</f>
        <v/>
      </c>
      <c r="G900" s="5" t="str">
        <f>IF($H900="","",INDEX('Detalle individual'!$F:$F,$H900))</f>
        <v/>
      </c>
      <c r="H900" t="str">
        <f>IFERROR(MATCH(SMALL(Cálculos!$AJ$5:$AJ$1000,896),Cálculos!$AJ$5:$AJ$1000,0)+4,"")</f>
        <v/>
      </c>
    </row>
    <row r="901">
      <c r="B901" s="5" t="str">
        <f>IF($H901="","",INDEX('Detalle individual'!$B:$B,$H901))</f>
        <v/>
      </c>
      <c r="C901" s="5" t="str">
        <f>IF($H901="","",INDEX('Detalle individual'!$A:$A,$H901))</f>
        <v/>
      </c>
      <c r="D901" s="5" t="str">
        <f>IF($H901="","",INDEX('Detalle individual'!$E:$E,$H901))</f>
        <v/>
      </c>
      <c r="E901" s="5" t="str">
        <f>IF($H901="","",INDEX('Detalle individual'!$C:$C,$H901))</f>
        <v/>
      </c>
      <c r="F901" s="5" t="str">
        <f>IF($H901="","",INDEX('Detalle individual'!$D:$D,$H901))</f>
        <v/>
      </c>
      <c r="G901" s="5" t="str">
        <f>IF($H901="","",INDEX('Detalle individual'!$F:$F,$H901))</f>
        <v/>
      </c>
      <c r="H901" t="str">
        <f>IFERROR(MATCH(SMALL(Cálculos!$AJ$5:$AJ$1000,897),Cálculos!$AJ$5:$AJ$1000,0)+4,"")</f>
        <v/>
      </c>
    </row>
    <row r="902">
      <c r="B902" s="5" t="str">
        <f>IF($H902="","",INDEX('Detalle individual'!$B:$B,$H902))</f>
        <v/>
      </c>
      <c r="C902" s="5" t="str">
        <f>IF($H902="","",INDEX('Detalle individual'!$A:$A,$H902))</f>
        <v/>
      </c>
      <c r="D902" s="5" t="str">
        <f>IF($H902="","",INDEX('Detalle individual'!$E:$E,$H902))</f>
        <v/>
      </c>
      <c r="E902" s="5" t="str">
        <f>IF($H902="","",INDEX('Detalle individual'!$C:$C,$H902))</f>
        <v/>
      </c>
      <c r="F902" s="5" t="str">
        <f>IF($H902="","",INDEX('Detalle individual'!$D:$D,$H902))</f>
        <v/>
      </c>
      <c r="G902" s="5" t="str">
        <f>IF($H902="","",INDEX('Detalle individual'!$F:$F,$H902))</f>
        <v/>
      </c>
      <c r="H902" t="str">
        <f>IFERROR(MATCH(SMALL(Cálculos!$AJ$5:$AJ$1000,898),Cálculos!$AJ$5:$AJ$1000,0)+4,"")</f>
        <v/>
      </c>
    </row>
    <row r="903">
      <c r="B903" s="5" t="str">
        <f>IF($H903="","",INDEX('Detalle individual'!$B:$B,$H903))</f>
        <v/>
      </c>
      <c r="C903" s="5" t="str">
        <f>IF($H903="","",INDEX('Detalle individual'!$A:$A,$H903))</f>
        <v/>
      </c>
      <c r="D903" s="5" t="str">
        <f>IF($H903="","",INDEX('Detalle individual'!$E:$E,$H903))</f>
        <v/>
      </c>
      <c r="E903" s="5" t="str">
        <f>IF($H903="","",INDEX('Detalle individual'!$C:$C,$H903))</f>
        <v/>
      </c>
      <c r="F903" s="5" t="str">
        <f>IF($H903="","",INDEX('Detalle individual'!$D:$D,$H903))</f>
        <v/>
      </c>
      <c r="G903" s="5" t="str">
        <f>IF($H903="","",INDEX('Detalle individual'!$F:$F,$H903))</f>
        <v/>
      </c>
      <c r="H903" t="str">
        <f>IFERROR(MATCH(SMALL(Cálculos!$AJ$5:$AJ$1000,899),Cálculos!$AJ$5:$AJ$1000,0)+4,"")</f>
        <v/>
      </c>
    </row>
    <row r="904">
      <c r="B904" s="5" t="str">
        <f>IF($H904="","",INDEX('Detalle individual'!$B:$B,$H904))</f>
        <v/>
      </c>
      <c r="C904" s="5" t="str">
        <f>IF($H904="","",INDEX('Detalle individual'!$A:$A,$H904))</f>
        <v/>
      </c>
      <c r="D904" s="5" t="str">
        <f>IF($H904="","",INDEX('Detalle individual'!$E:$E,$H904))</f>
        <v/>
      </c>
      <c r="E904" s="5" t="str">
        <f>IF($H904="","",INDEX('Detalle individual'!$C:$C,$H904))</f>
        <v/>
      </c>
      <c r="F904" s="5" t="str">
        <f>IF($H904="","",INDEX('Detalle individual'!$D:$D,$H904))</f>
        <v/>
      </c>
      <c r="G904" s="5" t="str">
        <f>IF($H904="","",INDEX('Detalle individual'!$F:$F,$H904))</f>
        <v/>
      </c>
      <c r="H904" t="str">
        <f>IFERROR(MATCH(SMALL(Cálculos!$AJ$5:$AJ$1000,900),Cálculos!$AJ$5:$AJ$1000,0)+4,"")</f>
        <v/>
      </c>
    </row>
    <row r="905">
      <c r="B905" s="5" t="str">
        <f>IF($H905="","",INDEX('Detalle individual'!$B:$B,$H905))</f>
        <v/>
      </c>
      <c r="C905" s="5" t="str">
        <f>IF($H905="","",INDEX('Detalle individual'!$A:$A,$H905))</f>
        <v/>
      </c>
      <c r="D905" s="5" t="str">
        <f>IF($H905="","",INDEX('Detalle individual'!$E:$E,$H905))</f>
        <v/>
      </c>
      <c r="E905" s="5" t="str">
        <f>IF($H905="","",INDEX('Detalle individual'!$C:$C,$H905))</f>
        <v/>
      </c>
      <c r="F905" s="5" t="str">
        <f>IF($H905="","",INDEX('Detalle individual'!$D:$D,$H905))</f>
        <v/>
      </c>
      <c r="G905" s="5" t="str">
        <f>IF($H905="","",INDEX('Detalle individual'!$F:$F,$H905))</f>
        <v/>
      </c>
      <c r="H905" t="str">
        <f>IFERROR(MATCH(SMALL(Cálculos!$AJ$5:$AJ$1000,901),Cálculos!$AJ$5:$AJ$1000,0)+4,"")</f>
        <v/>
      </c>
    </row>
    <row r="906">
      <c r="B906" s="5" t="str">
        <f>IF($H906="","",INDEX('Detalle individual'!$B:$B,$H906))</f>
        <v/>
      </c>
      <c r="C906" s="5" t="str">
        <f>IF($H906="","",INDEX('Detalle individual'!$A:$A,$H906))</f>
        <v/>
      </c>
      <c r="D906" s="5" t="str">
        <f>IF($H906="","",INDEX('Detalle individual'!$E:$E,$H906))</f>
        <v/>
      </c>
      <c r="E906" s="5" t="str">
        <f>IF($H906="","",INDEX('Detalle individual'!$C:$C,$H906))</f>
        <v/>
      </c>
      <c r="F906" s="5" t="str">
        <f>IF($H906="","",INDEX('Detalle individual'!$D:$D,$H906))</f>
        <v/>
      </c>
      <c r="G906" s="5" t="str">
        <f>IF($H906="","",INDEX('Detalle individual'!$F:$F,$H906))</f>
        <v/>
      </c>
      <c r="H906" t="str">
        <f>IFERROR(MATCH(SMALL(Cálculos!$AJ$5:$AJ$1000,902),Cálculos!$AJ$5:$AJ$1000,0)+4,"")</f>
        <v/>
      </c>
    </row>
    <row r="907">
      <c r="B907" s="5" t="str">
        <f>IF($H907="","",INDEX('Detalle individual'!$B:$B,$H907))</f>
        <v/>
      </c>
      <c r="C907" s="5" t="str">
        <f>IF($H907="","",INDEX('Detalle individual'!$A:$A,$H907))</f>
        <v/>
      </c>
      <c r="D907" s="5" t="str">
        <f>IF($H907="","",INDEX('Detalle individual'!$E:$E,$H907))</f>
        <v/>
      </c>
      <c r="E907" s="5" t="str">
        <f>IF($H907="","",INDEX('Detalle individual'!$C:$C,$H907))</f>
        <v/>
      </c>
      <c r="F907" s="5" t="str">
        <f>IF($H907="","",INDEX('Detalle individual'!$D:$D,$H907))</f>
        <v/>
      </c>
      <c r="G907" s="5" t="str">
        <f>IF($H907="","",INDEX('Detalle individual'!$F:$F,$H907))</f>
        <v/>
      </c>
      <c r="H907" t="str">
        <f>IFERROR(MATCH(SMALL(Cálculos!$AJ$5:$AJ$1000,903),Cálculos!$AJ$5:$AJ$1000,0)+4,"")</f>
        <v/>
      </c>
    </row>
    <row r="908">
      <c r="B908" s="5" t="str">
        <f>IF($H908="","",INDEX('Detalle individual'!$B:$B,$H908))</f>
        <v/>
      </c>
      <c r="C908" s="5" t="str">
        <f>IF($H908="","",INDEX('Detalle individual'!$A:$A,$H908))</f>
        <v/>
      </c>
      <c r="D908" s="5" t="str">
        <f>IF($H908="","",INDEX('Detalle individual'!$E:$E,$H908))</f>
        <v/>
      </c>
      <c r="E908" s="5" t="str">
        <f>IF($H908="","",INDEX('Detalle individual'!$C:$C,$H908))</f>
        <v/>
      </c>
      <c r="F908" s="5" t="str">
        <f>IF($H908="","",INDEX('Detalle individual'!$D:$D,$H908))</f>
        <v/>
      </c>
      <c r="G908" s="5" t="str">
        <f>IF($H908="","",INDEX('Detalle individual'!$F:$F,$H908))</f>
        <v/>
      </c>
      <c r="H908" t="str">
        <f>IFERROR(MATCH(SMALL(Cálculos!$AJ$5:$AJ$1000,904),Cálculos!$AJ$5:$AJ$1000,0)+4,"")</f>
        <v/>
      </c>
    </row>
    <row r="909">
      <c r="B909" s="5" t="str">
        <f>IF($H909="","",INDEX('Detalle individual'!$B:$B,$H909))</f>
        <v/>
      </c>
      <c r="C909" s="5" t="str">
        <f>IF($H909="","",INDEX('Detalle individual'!$A:$A,$H909))</f>
        <v/>
      </c>
      <c r="D909" s="5" t="str">
        <f>IF($H909="","",INDEX('Detalle individual'!$E:$E,$H909))</f>
        <v/>
      </c>
      <c r="E909" s="5" t="str">
        <f>IF($H909="","",INDEX('Detalle individual'!$C:$C,$H909))</f>
        <v/>
      </c>
      <c r="F909" s="5" t="str">
        <f>IF($H909="","",INDEX('Detalle individual'!$D:$D,$H909))</f>
        <v/>
      </c>
      <c r="G909" s="5" t="str">
        <f>IF($H909="","",INDEX('Detalle individual'!$F:$F,$H909))</f>
        <v/>
      </c>
      <c r="H909" t="str">
        <f>IFERROR(MATCH(SMALL(Cálculos!$AJ$5:$AJ$1000,905),Cálculos!$AJ$5:$AJ$1000,0)+4,"")</f>
        <v/>
      </c>
    </row>
    <row r="910">
      <c r="B910" s="5" t="str">
        <f>IF($H910="","",INDEX('Detalle individual'!$B:$B,$H910))</f>
        <v/>
      </c>
      <c r="C910" s="5" t="str">
        <f>IF($H910="","",INDEX('Detalle individual'!$A:$A,$H910))</f>
        <v/>
      </c>
      <c r="D910" s="5" t="str">
        <f>IF($H910="","",INDEX('Detalle individual'!$E:$E,$H910))</f>
        <v/>
      </c>
      <c r="E910" s="5" t="str">
        <f>IF($H910="","",INDEX('Detalle individual'!$C:$C,$H910))</f>
        <v/>
      </c>
      <c r="F910" s="5" t="str">
        <f>IF($H910="","",INDEX('Detalle individual'!$D:$D,$H910))</f>
        <v/>
      </c>
      <c r="G910" s="5" t="str">
        <f>IF($H910="","",INDEX('Detalle individual'!$F:$F,$H910))</f>
        <v/>
      </c>
      <c r="H910" t="str">
        <f>IFERROR(MATCH(SMALL(Cálculos!$AJ$5:$AJ$1000,906),Cálculos!$AJ$5:$AJ$1000,0)+4,"")</f>
        <v/>
      </c>
    </row>
    <row r="911">
      <c r="B911" s="5" t="str">
        <f>IF($H911="","",INDEX('Detalle individual'!$B:$B,$H911))</f>
        <v/>
      </c>
      <c r="C911" s="5" t="str">
        <f>IF($H911="","",INDEX('Detalle individual'!$A:$A,$H911))</f>
        <v/>
      </c>
      <c r="D911" s="5" t="str">
        <f>IF($H911="","",INDEX('Detalle individual'!$E:$E,$H911))</f>
        <v/>
      </c>
      <c r="E911" s="5" t="str">
        <f>IF($H911="","",INDEX('Detalle individual'!$C:$C,$H911))</f>
        <v/>
      </c>
      <c r="F911" s="5" t="str">
        <f>IF($H911="","",INDEX('Detalle individual'!$D:$D,$H911))</f>
        <v/>
      </c>
      <c r="G911" s="5" t="str">
        <f>IF($H911="","",INDEX('Detalle individual'!$F:$F,$H911))</f>
        <v/>
      </c>
      <c r="H911" t="str">
        <f>IFERROR(MATCH(SMALL(Cálculos!$AJ$5:$AJ$1000,907),Cálculos!$AJ$5:$AJ$1000,0)+4,"")</f>
        <v/>
      </c>
    </row>
    <row r="912">
      <c r="B912" s="5" t="str">
        <f>IF($H912="","",INDEX('Detalle individual'!$B:$B,$H912))</f>
        <v/>
      </c>
      <c r="C912" s="5" t="str">
        <f>IF($H912="","",INDEX('Detalle individual'!$A:$A,$H912))</f>
        <v/>
      </c>
      <c r="D912" s="5" t="str">
        <f>IF($H912="","",INDEX('Detalle individual'!$E:$E,$H912))</f>
        <v/>
      </c>
      <c r="E912" s="5" t="str">
        <f>IF($H912="","",INDEX('Detalle individual'!$C:$C,$H912))</f>
        <v/>
      </c>
      <c r="F912" s="5" t="str">
        <f>IF($H912="","",INDEX('Detalle individual'!$D:$D,$H912))</f>
        <v/>
      </c>
      <c r="G912" s="5" t="str">
        <f>IF($H912="","",INDEX('Detalle individual'!$F:$F,$H912))</f>
        <v/>
      </c>
      <c r="H912" t="str">
        <f>IFERROR(MATCH(SMALL(Cálculos!$AJ$5:$AJ$1000,908),Cálculos!$AJ$5:$AJ$1000,0)+4,"")</f>
        <v/>
      </c>
    </row>
    <row r="913">
      <c r="B913" s="5" t="str">
        <f>IF($H913="","",INDEX('Detalle individual'!$B:$B,$H913))</f>
        <v/>
      </c>
      <c r="C913" s="5" t="str">
        <f>IF($H913="","",INDEX('Detalle individual'!$A:$A,$H913))</f>
        <v/>
      </c>
      <c r="D913" s="5" t="str">
        <f>IF($H913="","",INDEX('Detalle individual'!$E:$E,$H913))</f>
        <v/>
      </c>
      <c r="E913" s="5" t="str">
        <f>IF($H913="","",INDEX('Detalle individual'!$C:$C,$H913))</f>
        <v/>
      </c>
      <c r="F913" s="5" t="str">
        <f>IF($H913="","",INDEX('Detalle individual'!$D:$D,$H913))</f>
        <v/>
      </c>
      <c r="G913" s="5" t="str">
        <f>IF($H913="","",INDEX('Detalle individual'!$F:$F,$H913))</f>
        <v/>
      </c>
      <c r="H913" t="str">
        <f>IFERROR(MATCH(SMALL(Cálculos!$AJ$5:$AJ$1000,909),Cálculos!$AJ$5:$AJ$1000,0)+4,"")</f>
        <v/>
      </c>
    </row>
    <row r="914">
      <c r="B914" s="5" t="str">
        <f>IF($H914="","",INDEX('Detalle individual'!$B:$B,$H914))</f>
        <v/>
      </c>
      <c r="C914" s="5" t="str">
        <f>IF($H914="","",INDEX('Detalle individual'!$A:$A,$H914))</f>
        <v/>
      </c>
      <c r="D914" s="5" t="str">
        <f>IF($H914="","",INDEX('Detalle individual'!$E:$E,$H914))</f>
        <v/>
      </c>
      <c r="E914" s="5" t="str">
        <f>IF($H914="","",INDEX('Detalle individual'!$C:$C,$H914))</f>
        <v/>
      </c>
      <c r="F914" s="5" t="str">
        <f>IF($H914="","",INDEX('Detalle individual'!$D:$D,$H914))</f>
        <v/>
      </c>
      <c r="G914" s="5" t="str">
        <f>IF($H914="","",INDEX('Detalle individual'!$F:$F,$H914))</f>
        <v/>
      </c>
      <c r="H914" t="str">
        <f>IFERROR(MATCH(SMALL(Cálculos!$AJ$5:$AJ$1000,910),Cálculos!$AJ$5:$AJ$1000,0)+4,"")</f>
        <v/>
      </c>
    </row>
    <row r="915">
      <c r="B915" s="5" t="str">
        <f>IF($H915="","",INDEX('Detalle individual'!$B:$B,$H915))</f>
        <v/>
      </c>
      <c r="C915" s="5" t="str">
        <f>IF($H915="","",INDEX('Detalle individual'!$A:$A,$H915))</f>
        <v/>
      </c>
      <c r="D915" s="5" t="str">
        <f>IF($H915="","",INDEX('Detalle individual'!$E:$E,$H915))</f>
        <v/>
      </c>
      <c r="E915" s="5" t="str">
        <f>IF($H915="","",INDEX('Detalle individual'!$C:$C,$H915))</f>
        <v/>
      </c>
      <c r="F915" s="5" t="str">
        <f>IF($H915="","",INDEX('Detalle individual'!$D:$D,$H915))</f>
        <v/>
      </c>
      <c r="G915" s="5" t="str">
        <f>IF($H915="","",INDEX('Detalle individual'!$F:$F,$H915))</f>
        <v/>
      </c>
      <c r="H915" t="str">
        <f>IFERROR(MATCH(SMALL(Cálculos!$AJ$5:$AJ$1000,911),Cálculos!$AJ$5:$AJ$1000,0)+4,"")</f>
        <v/>
      </c>
    </row>
    <row r="916">
      <c r="B916" s="5" t="str">
        <f>IF($H916="","",INDEX('Detalle individual'!$B:$B,$H916))</f>
        <v/>
      </c>
      <c r="C916" s="5" t="str">
        <f>IF($H916="","",INDEX('Detalle individual'!$A:$A,$H916))</f>
        <v/>
      </c>
      <c r="D916" s="5" t="str">
        <f>IF($H916="","",INDEX('Detalle individual'!$E:$E,$H916))</f>
        <v/>
      </c>
      <c r="E916" s="5" t="str">
        <f>IF($H916="","",INDEX('Detalle individual'!$C:$C,$H916))</f>
        <v/>
      </c>
      <c r="F916" s="5" t="str">
        <f>IF($H916="","",INDEX('Detalle individual'!$D:$D,$H916))</f>
        <v/>
      </c>
      <c r="G916" s="5" t="str">
        <f>IF($H916="","",INDEX('Detalle individual'!$F:$F,$H916))</f>
        <v/>
      </c>
      <c r="H916" t="str">
        <f>IFERROR(MATCH(SMALL(Cálculos!$AJ$5:$AJ$1000,912),Cálculos!$AJ$5:$AJ$1000,0)+4,"")</f>
        <v/>
      </c>
    </row>
    <row r="917">
      <c r="B917" s="5" t="str">
        <f>IF($H917="","",INDEX('Detalle individual'!$B:$B,$H917))</f>
        <v/>
      </c>
      <c r="C917" s="5" t="str">
        <f>IF($H917="","",INDEX('Detalle individual'!$A:$A,$H917))</f>
        <v/>
      </c>
      <c r="D917" s="5" t="str">
        <f>IF($H917="","",INDEX('Detalle individual'!$E:$E,$H917))</f>
        <v/>
      </c>
      <c r="E917" s="5" t="str">
        <f>IF($H917="","",INDEX('Detalle individual'!$C:$C,$H917))</f>
        <v/>
      </c>
      <c r="F917" s="5" t="str">
        <f>IF($H917="","",INDEX('Detalle individual'!$D:$D,$H917))</f>
        <v/>
      </c>
      <c r="G917" s="5" t="str">
        <f>IF($H917="","",INDEX('Detalle individual'!$F:$F,$H917))</f>
        <v/>
      </c>
      <c r="H917" t="str">
        <f>IFERROR(MATCH(SMALL(Cálculos!$AJ$5:$AJ$1000,913),Cálculos!$AJ$5:$AJ$1000,0)+4,"")</f>
        <v/>
      </c>
    </row>
    <row r="918">
      <c r="B918" s="5" t="str">
        <f>IF($H918="","",INDEX('Detalle individual'!$B:$B,$H918))</f>
        <v/>
      </c>
      <c r="C918" s="5" t="str">
        <f>IF($H918="","",INDEX('Detalle individual'!$A:$A,$H918))</f>
        <v/>
      </c>
      <c r="D918" s="5" t="str">
        <f>IF($H918="","",INDEX('Detalle individual'!$E:$E,$H918))</f>
        <v/>
      </c>
      <c r="E918" s="5" t="str">
        <f>IF($H918="","",INDEX('Detalle individual'!$C:$C,$H918))</f>
        <v/>
      </c>
      <c r="F918" s="5" t="str">
        <f>IF($H918="","",INDEX('Detalle individual'!$D:$D,$H918))</f>
        <v/>
      </c>
      <c r="G918" s="5" t="str">
        <f>IF($H918="","",INDEX('Detalle individual'!$F:$F,$H918))</f>
        <v/>
      </c>
      <c r="H918" t="str">
        <f>IFERROR(MATCH(SMALL(Cálculos!$AJ$5:$AJ$1000,914),Cálculos!$AJ$5:$AJ$1000,0)+4,"")</f>
        <v/>
      </c>
    </row>
    <row r="919">
      <c r="B919" s="5" t="str">
        <f>IF($H919="","",INDEX('Detalle individual'!$B:$B,$H919))</f>
        <v/>
      </c>
      <c r="C919" s="5" t="str">
        <f>IF($H919="","",INDEX('Detalle individual'!$A:$A,$H919))</f>
        <v/>
      </c>
      <c r="D919" s="5" t="str">
        <f>IF($H919="","",INDEX('Detalle individual'!$E:$E,$H919))</f>
        <v/>
      </c>
      <c r="E919" s="5" t="str">
        <f>IF($H919="","",INDEX('Detalle individual'!$C:$C,$H919))</f>
        <v/>
      </c>
      <c r="F919" s="5" t="str">
        <f>IF($H919="","",INDEX('Detalle individual'!$D:$D,$H919))</f>
        <v/>
      </c>
      <c r="G919" s="5" t="str">
        <f>IF($H919="","",INDEX('Detalle individual'!$F:$F,$H919))</f>
        <v/>
      </c>
      <c r="H919" t="str">
        <f>IFERROR(MATCH(SMALL(Cálculos!$AJ$5:$AJ$1000,915),Cálculos!$AJ$5:$AJ$1000,0)+4,"")</f>
        <v/>
      </c>
    </row>
    <row r="920">
      <c r="B920" s="5" t="str">
        <f>IF($H920="","",INDEX('Detalle individual'!$B:$B,$H920))</f>
        <v/>
      </c>
      <c r="C920" s="5" t="str">
        <f>IF($H920="","",INDEX('Detalle individual'!$A:$A,$H920))</f>
        <v/>
      </c>
      <c r="D920" s="5" t="str">
        <f>IF($H920="","",INDEX('Detalle individual'!$E:$E,$H920))</f>
        <v/>
      </c>
      <c r="E920" s="5" t="str">
        <f>IF($H920="","",INDEX('Detalle individual'!$C:$C,$H920))</f>
        <v/>
      </c>
      <c r="F920" s="5" t="str">
        <f>IF($H920="","",INDEX('Detalle individual'!$D:$D,$H920))</f>
        <v/>
      </c>
      <c r="G920" s="5" t="str">
        <f>IF($H920="","",INDEX('Detalle individual'!$F:$F,$H920))</f>
        <v/>
      </c>
      <c r="H920" t="str">
        <f>IFERROR(MATCH(SMALL(Cálculos!$AJ$5:$AJ$1000,916),Cálculos!$AJ$5:$AJ$1000,0)+4,"")</f>
        <v/>
      </c>
    </row>
    <row r="921">
      <c r="B921" s="5" t="str">
        <f>IF($H921="","",INDEX('Detalle individual'!$B:$B,$H921))</f>
        <v/>
      </c>
      <c r="C921" s="5" t="str">
        <f>IF($H921="","",INDEX('Detalle individual'!$A:$A,$H921))</f>
        <v/>
      </c>
      <c r="D921" s="5" t="str">
        <f>IF($H921="","",INDEX('Detalle individual'!$E:$E,$H921))</f>
        <v/>
      </c>
      <c r="E921" s="5" t="str">
        <f>IF($H921="","",INDEX('Detalle individual'!$C:$C,$H921))</f>
        <v/>
      </c>
      <c r="F921" s="5" t="str">
        <f>IF($H921="","",INDEX('Detalle individual'!$D:$D,$H921))</f>
        <v/>
      </c>
      <c r="G921" s="5" t="str">
        <f>IF($H921="","",INDEX('Detalle individual'!$F:$F,$H921))</f>
        <v/>
      </c>
      <c r="H921" t="str">
        <f>IFERROR(MATCH(SMALL(Cálculos!$AJ$5:$AJ$1000,917),Cálculos!$AJ$5:$AJ$1000,0)+4,"")</f>
        <v/>
      </c>
    </row>
    <row r="922">
      <c r="B922" s="5" t="str">
        <f>IF($H922="","",INDEX('Detalle individual'!$B:$B,$H922))</f>
        <v/>
      </c>
      <c r="C922" s="5" t="str">
        <f>IF($H922="","",INDEX('Detalle individual'!$A:$A,$H922))</f>
        <v/>
      </c>
      <c r="D922" s="5" t="str">
        <f>IF($H922="","",INDEX('Detalle individual'!$E:$E,$H922))</f>
        <v/>
      </c>
      <c r="E922" s="5" t="str">
        <f>IF($H922="","",INDEX('Detalle individual'!$C:$C,$H922))</f>
        <v/>
      </c>
      <c r="F922" s="5" t="str">
        <f>IF($H922="","",INDEX('Detalle individual'!$D:$D,$H922))</f>
        <v/>
      </c>
      <c r="G922" s="5" t="str">
        <f>IF($H922="","",INDEX('Detalle individual'!$F:$F,$H922))</f>
        <v/>
      </c>
      <c r="H922" t="str">
        <f>IFERROR(MATCH(SMALL(Cálculos!$AJ$5:$AJ$1000,918),Cálculos!$AJ$5:$AJ$1000,0)+4,"")</f>
        <v/>
      </c>
    </row>
    <row r="923">
      <c r="B923" s="5" t="str">
        <f>IF($H923="","",INDEX('Detalle individual'!$B:$B,$H923))</f>
        <v/>
      </c>
      <c r="C923" s="5" t="str">
        <f>IF($H923="","",INDEX('Detalle individual'!$A:$A,$H923))</f>
        <v/>
      </c>
      <c r="D923" s="5" t="str">
        <f>IF($H923="","",INDEX('Detalle individual'!$E:$E,$H923))</f>
        <v/>
      </c>
      <c r="E923" s="5" t="str">
        <f>IF($H923="","",INDEX('Detalle individual'!$C:$C,$H923))</f>
        <v/>
      </c>
      <c r="F923" s="5" t="str">
        <f>IF($H923="","",INDEX('Detalle individual'!$D:$D,$H923))</f>
        <v/>
      </c>
      <c r="G923" s="5" t="str">
        <f>IF($H923="","",INDEX('Detalle individual'!$F:$F,$H923))</f>
        <v/>
      </c>
      <c r="H923" t="str">
        <f>IFERROR(MATCH(SMALL(Cálculos!$AJ$5:$AJ$1000,919),Cálculos!$AJ$5:$AJ$1000,0)+4,"")</f>
        <v/>
      </c>
    </row>
    <row r="924">
      <c r="B924" s="5" t="str">
        <f>IF($H924="","",INDEX('Detalle individual'!$B:$B,$H924))</f>
        <v/>
      </c>
      <c r="C924" s="5" t="str">
        <f>IF($H924="","",INDEX('Detalle individual'!$A:$A,$H924))</f>
        <v/>
      </c>
      <c r="D924" s="5" t="str">
        <f>IF($H924="","",INDEX('Detalle individual'!$E:$E,$H924))</f>
        <v/>
      </c>
      <c r="E924" s="5" t="str">
        <f>IF($H924="","",INDEX('Detalle individual'!$C:$C,$H924))</f>
        <v/>
      </c>
      <c r="F924" s="5" t="str">
        <f>IF($H924="","",INDEX('Detalle individual'!$D:$D,$H924))</f>
        <v/>
      </c>
      <c r="G924" s="5" t="str">
        <f>IF($H924="","",INDEX('Detalle individual'!$F:$F,$H924))</f>
        <v/>
      </c>
      <c r="H924" t="str">
        <f>IFERROR(MATCH(SMALL(Cálculos!$AJ$5:$AJ$1000,920),Cálculos!$AJ$5:$AJ$1000,0)+4,"")</f>
        <v/>
      </c>
    </row>
    <row r="925">
      <c r="B925" s="5" t="str">
        <f>IF($H925="","",INDEX('Detalle individual'!$B:$B,$H925))</f>
        <v/>
      </c>
      <c r="C925" s="5" t="str">
        <f>IF($H925="","",INDEX('Detalle individual'!$A:$A,$H925))</f>
        <v/>
      </c>
      <c r="D925" s="5" t="str">
        <f>IF($H925="","",INDEX('Detalle individual'!$E:$E,$H925))</f>
        <v/>
      </c>
      <c r="E925" s="5" t="str">
        <f>IF($H925="","",INDEX('Detalle individual'!$C:$C,$H925))</f>
        <v/>
      </c>
      <c r="F925" s="5" t="str">
        <f>IF($H925="","",INDEX('Detalle individual'!$D:$D,$H925))</f>
        <v/>
      </c>
      <c r="G925" s="5" t="str">
        <f>IF($H925="","",INDEX('Detalle individual'!$F:$F,$H925))</f>
        <v/>
      </c>
      <c r="H925" t="str">
        <f>IFERROR(MATCH(SMALL(Cálculos!$AJ$5:$AJ$1000,921),Cálculos!$AJ$5:$AJ$1000,0)+4,"")</f>
        <v/>
      </c>
    </row>
    <row r="926">
      <c r="B926" s="5" t="str">
        <f>IF($H926="","",INDEX('Detalle individual'!$B:$B,$H926))</f>
        <v/>
      </c>
      <c r="C926" s="5" t="str">
        <f>IF($H926="","",INDEX('Detalle individual'!$A:$A,$H926))</f>
        <v/>
      </c>
      <c r="D926" s="5" t="str">
        <f>IF($H926="","",INDEX('Detalle individual'!$E:$E,$H926))</f>
        <v/>
      </c>
      <c r="E926" s="5" t="str">
        <f>IF($H926="","",INDEX('Detalle individual'!$C:$C,$H926))</f>
        <v/>
      </c>
      <c r="F926" s="5" t="str">
        <f>IF($H926="","",INDEX('Detalle individual'!$D:$D,$H926))</f>
        <v/>
      </c>
      <c r="G926" s="5" t="str">
        <f>IF($H926="","",INDEX('Detalle individual'!$F:$F,$H926))</f>
        <v/>
      </c>
      <c r="H926" t="str">
        <f>IFERROR(MATCH(SMALL(Cálculos!$AJ$5:$AJ$1000,922),Cálculos!$AJ$5:$AJ$1000,0)+4,"")</f>
        <v/>
      </c>
    </row>
    <row r="927">
      <c r="B927" s="5" t="str">
        <f>IF($H927="","",INDEX('Detalle individual'!$B:$B,$H927))</f>
        <v/>
      </c>
      <c r="C927" s="5" t="str">
        <f>IF($H927="","",INDEX('Detalle individual'!$A:$A,$H927))</f>
        <v/>
      </c>
      <c r="D927" s="5" t="str">
        <f>IF($H927="","",INDEX('Detalle individual'!$E:$E,$H927))</f>
        <v/>
      </c>
      <c r="E927" s="5" t="str">
        <f>IF($H927="","",INDEX('Detalle individual'!$C:$C,$H927))</f>
        <v/>
      </c>
      <c r="F927" s="5" t="str">
        <f>IF($H927="","",INDEX('Detalle individual'!$D:$D,$H927))</f>
        <v/>
      </c>
      <c r="G927" s="5" t="str">
        <f>IF($H927="","",INDEX('Detalle individual'!$F:$F,$H927))</f>
        <v/>
      </c>
      <c r="H927" t="str">
        <f>IFERROR(MATCH(SMALL(Cálculos!$AJ$5:$AJ$1000,923),Cálculos!$AJ$5:$AJ$1000,0)+4,"")</f>
        <v/>
      </c>
    </row>
    <row r="928">
      <c r="B928" s="5" t="str">
        <f>IF($H928="","",INDEX('Detalle individual'!$B:$B,$H928))</f>
        <v/>
      </c>
      <c r="C928" s="5" t="str">
        <f>IF($H928="","",INDEX('Detalle individual'!$A:$A,$H928))</f>
        <v/>
      </c>
      <c r="D928" s="5" t="str">
        <f>IF($H928="","",INDEX('Detalle individual'!$E:$E,$H928))</f>
        <v/>
      </c>
      <c r="E928" s="5" t="str">
        <f>IF($H928="","",INDEX('Detalle individual'!$C:$C,$H928))</f>
        <v/>
      </c>
      <c r="F928" s="5" t="str">
        <f>IF($H928="","",INDEX('Detalle individual'!$D:$D,$H928))</f>
        <v/>
      </c>
      <c r="G928" s="5" t="str">
        <f>IF($H928="","",INDEX('Detalle individual'!$F:$F,$H928))</f>
        <v/>
      </c>
      <c r="H928" t="str">
        <f>IFERROR(MATCH(SMALL(Cálculos!$AJ$5:$AJ$1000,924),Cálculos!$AJ$5:$AJ$1000,0)+4,"")</f>
        <v/>
      </c>
    </row>
    <row r="929">
      <c r="B929" s="5" t="str">
        <f>IF($H929="","",INDEX('Detalle individual'!$B:$B,$H929))</f>
        <v/>
      </c>
      <c r="C929" s="5" t="str">
        <f>IF($H929="","",INDEX('Detalle individual'!$A:$A,$H929))</f>
        <v/>
      </c>
      <c r="D929" s="5" t="str">
        <f>IF($H929="","",INDEX('Detalle individual'!$E:$E,$H929))</f>
        <v/>
      </c>
      <c r="E929" s="5" t="str">
        <f>IF($H929="","",INDEX('Detalle individual'!$C:$C,$H929))</f>
        <v/>
      </c>
      <c r="F929" s="5" t="str">
        <f>IF($H929="","",INDEX('Detalle individual'!$D:$D,$H929))</f>
        <v/>
      </c>
      <c r="G929" s="5" t="str">
        <f>IF($H929="","",INDEX('Detalle individual'!$F:$F,$H929))</f>
        <v/>
      </c>
      <c r="H929" t="str">
        <f>IFERROR(MATCH(SMALL(Cálculos!$AJ$5:$AJ$1000,925),Cálculos!$AJ$5:$AJ$1000,0)+4,"")</f>
        <v/>
      </c>
    </row>
    <row r="930">
      <c r="B930" s="5" t="str">
        <f>IF($H930="","",INDEX('Detalle individual'!$B:$B,$H930))</f>
        <v/>
      </c>
      <c r="C930" s="5" t="str">
        <f>IF($H930="","",INDEX('Detalle individual'!$A:$A,$H930))</f>
        <v/>
      </c>
      <c r="D930" s="5" t="str">
        <f>IF($H930="","",INDEX('Detalle individual'!$E:$E,$H930))</f>
        <v/>
      </c>
      <c r="E930" s="5" t="str">
        <f>IF($H930="","",INDEX('Detalle individual'!$C:$C,$H930))</f>
        <v/>
      </c>
      <c r="F930" s="5" t="str">
        <f>IF($H930="","",INDEX('Detalle individual'!$D:$D,$H930))</f>
        <v/>
      </c>
      <c r="G930" s="5" t="str">
        <f>IF($H930="","",INDEX('Detalle individual'!$F:$F,$H930))</f>
        <v/>
      </c>
      <c r="H930" t="str">
        <f>IFERROR(MATCH(SMALL(Cálculos!$AJ$5:$AJ$1000,926),Cálculos!$AJ$5:$AJ$1000,0)+4,"")</f>
        <v/>
      </c>
    </row>
    <row r="931">
      <c r="B931" s="5" t="str">
        <f>IF($H931="","",INDEX('Detalle individual'!$B:$B,$H931))</f>
        <v/>
      </c>
      <c r="C931" s="5" t="str">
        <f>IF($H931="","",INDEX('Detalle individual'!$A:$A,$H931))</f>
        <v/>
      </c>
      <c r="D931" s="5" t="str">
        <f>IF($H931="","",INDEX('Detalle individual'!$E:$E,$H931))</f>
        <v/>
      </c>
      <c r="E931" s="5" t="str">
        <f>IF($H931="","",INDEX('Detalle individual'!$C:$C,$H931))</f>
        <v/>
      </c>
      <c r="F931" s="5" t="str">
        <f>IF($H931="","",INDEX('Detalle individual'!$D:$D,$H931))</f>
        <v/>
      </c>
      <c r="G931" s="5" t="str">
        <f>IF($H931="","",INDEX('Detalle individual'!$F:$F,$H931))</f>
        <v/>
      </c>
      <c r="H931" t="str">
        <f>IFERROR(MATCH(SMALL(Cálculos!$AJ$5:$AJ$1000,927),Cálculos!$AJ$5:$AJ$1000,0)+4,"")</f>
        <v/>
      </c>
    </row>
    <row r="932">
      <c r="B932" s="5" t="str">
        <f>IF($H932="","",INDEX('Detalle individual'!$B:$B,$H932))</f>
        <v/>
      </c>
      <c r="C932" s="5" t="str">
        <f>IF($H932="","",INDEX('Detalle individual'!$A:$A,$H932))</f>
        <v/>
      </c>
      <c r="D932" s="5" t="str">
        <f>IF($H932="","",INDEX('Detalle individual'!$E:$E,$H932))</f>
        <v/>
      </c>
      <c r="E932" s="5" t="str">
        <f>IF($H932="","",INDEX('Detalle individual'!$C:$C,$H932))</f>
        <v/>
      </c>
      <c r="F932" s="5" t="str">
        <f>IF($H932="","",INDEX('Detalle individual'!$D:$D,$H932))</f>
        <v/>
      </c>
      <c r="G932" s="5" t="str">
        <f>IF($H932="","",INDEX('Detalle individual'!$F:$F,$H932))</f>
        <v/>
      </c>
      <c r="H932" t="str">
        <f>IFERROR(MATCH(SMALL(Cálculos!$AJ$5:$AJ$1000,928),Cálculos!$AJ$5:$AJ$1000,0)+4,"")</f>
        <v/>
      </c>
    </row>
    <row r="933">
      <c r="B933" s="5" t="str">
        <f>IF($H933="","",INDEX('Detalle individual'!$B:$B,$H933))</f>
        <v/>
      </c>
      <c r="C933" s="5" t="str">
        <f>IF($H933="","",INDEX('Detalle individual'!$A:$A,$H933))</f>
        <v/>
      </c>
      <c r="D933" s="5" t="str">
        <f>IF($H933="","",INDEX('Detalle individual'!$E:$E,$H933))</f>
        <v/>
      </c>
      <c r="E933" s="5" t="str">
        <f>IF($H933="","",INDEX('Detalle individual'!$C:$C,$H933))</f>
        <v/>
      </c>
      <c r="F933" s="5" t="str">
        <f>IF($H933="","",INDEX('Detalle individual'!$D:$D,$H933))</f>
        <v/>
      </c>
      <c r="G933" s="5" t="str">
        <f>IF($H933="","",INDEX('Detalle individual'!$F:$F,$H933))</f>
        <v/>
      </c>
      <c r="H933" t="str">
        <f>IFERROR(MATCH(SMALL(Cálculos!$AJ$5:$AJ$1000,929),Cálculos!$AJ$5:$AJ$1000,0)+4,"")</f>
        <v/>
      </c>
    </row>
    <row r="934">
      <c r="B934" s="5" t="str">
        <f>IF($H934="","",INDEX('Detalle individual'!$B:$B,$H934))</f>
        <v/>
      </c>
      <c r="C934" s="5" t="str">
        <f>IF($H934="","",INDEX('Detalle individual'!$A:$A,$H934))</f>
        <v/>
      </c>
      <c r="D934" s="5" t="str">
        <f>IF($H934="","",INDEX('Detalle individual'!$E:$E,$H934))</f>
        <v/>
      </c>
      <c r="E934" s="5" t="str">
        <f>IF($H934="","",INDEX('Detalle individual'!$C:$C,$H934))</f>
        <v/>
      </c>
      <c r="F934" s="5" t="str">
        <f>IF($H934="","",INDEX('Detalle individual'!$D:$D,$H934))</f>
        <v/>
      </c>
      <c r="G934" s="5" t="str">
        <f>IF($H934="","",INDEX('Detalle individual'!$F:$F,$H934))</f>
        <v/>
      </c>
      <c r="H934" t="str">
        <f>IFERROR(MATCH(SMALL(Cálculos!$AJ$5:$AJ$1000,930),Cálculos!$AJ$5:$AJ$1000,0)+4,"")</f>
        <v/>
      </c>
    </row>
    <row r="935">
      <c r="B935" s="5" t="str">
        <f>IF($H935="","",INDEX('Detalle individual'!$B:$B,$H935))</f>
        <v/>
      </c>
      <c r="C935" s="5" t="str">
        <f>IF($H935="","",INDEX('Detalle individual'!$A:$A,$H935))</f>
        <v/>
      </c>
      <c r="D935" s="5" t="str">
        <f>IF($H935="","",INDEX('Detalle individual'!$E:$E,$H935))</f>
        <v/>
      </c>
      <c r="E935" s="5" t="str">
        <f>IF($H935="","",INDEX('Detalle individual'!$C:$C,$H935))</f>
        <v/>
      </c>
      <c r="F935" s="5" t="str">
        <f>IF($H935="","",INDEX('Detalle individual'!$D:$D,$H935))</f>
        <v/>
      </c>
      <c r="G935" s="5" t="str">
        <f>IF($H935="","",INDEX('Detalle individual'!$F:$F,$H935))</f>
        <v/>
      </c>
      <c r="H935" t="str">
        <f>IFERROR(MATCH(SMALL(Cálculos!$AJ$5:$AJ$1000,931),Cálculos!$AJ$5:$AJ$1000,0)+4,"")</f>
        <v/>
      </c>
    </row>
    <row r="936">
      <c r="B936" s="5" t="str">
        <f>IF($H936="","",INDEX('Detalle individual'!$B:$B,$H936))</f>
        <v/>
      </c>
      <c r="C936" s="5" t="str">
        <f>IF($H936="","",INDEX('Detalle individual'!$A:$A,$H936))</f>
        <v/>
      </c>
      <c r="D936" s="5" t="str">
        <f>IF($H936="","",INDEX('Detalle individual'!$E:$E,$H936))</f>
        <v/>
      </c>
      <c r="E936" s="5" t="str">
        <f>IF($H936="","",INDEX('Detalle individual'!$C:$C,$H936))</f>
        <v/>
      </c>
      <c r="F936" s="5" t="str">
        <f>IF($H936="","",INDEX('Detalle individual'!$D:$D,$H936))</f>
        <v/>
      </c>
      <c r="G936" s="5" t="str">
        <f>IF($H936="","",INDEX('Detalle individual'!$F:$F,$H936))</f>
        <v/>
      </c>
      <c r="H936" t="str">
        <f>IFERROR(MATCH(SMALL(Cálculos!$AJ$5:$AJ$1000,932),Cálculos!$AJ$5:$AJ$1000,0)+4,"")</f>
        <v/>
      </c>
    </row>
    <row r="937">
      <c r="B937" s="5" t="str">
        <f>IF($H937="","",INDEX('Detalle individual'!$B:$B,$H937))</f>
        <v/>
      </c>
      <c r="C937" s="5" t="str">
        <f>IF($H937="","",INDEX('Detalle individual'!$A:$A,$H937))</f>
        <v/>
      </c>
      <c r="D937" s="5" t="str">
        <f>IF($H937="","",INDEX('Detalle individual'!$E:$E,$H937))</f>
        <v/>
      </c>
      <c r="E937" s="5" t="str">
        <f>IF($H937="","",INDEX('Detalle individual'!$C:$C,$H937))</f>
        <v/>
      </c>
      <c r="F937" s="5" t="str">
        <f>IF($H937="","",INDEX('Detalle individual'!$D:$D,$H937))</f>
        <v/>
      </c>
      <c r="G937" s="5" t="str">
        <f>IF($H937="","",INDEX('Detalle individual'!$F:$F,$H937))</f>
        <v/>
      </c>
      <c r="H937" t="str">
        <f>IFERROR(MATCH(SMALL(Cálculos!$AJ$5:$AJ$1000,933),Cálculos!$AJ$5:$AJ$1000,0)+4,"")</f>
        <v/>
      </c>
    </row>
    <row r="938">
      <c r="B938" s="5" t="str">
        <f>IF($H938="","",INDEX('Detalle individual'!$B:$B,$H938))</f>
        <v/>
      </c>
      <c r="C938" s="5" t="str">
        <f>IF($H938="","",INDEX('Detalle individual'!$A:$A,$H938))</f>
        <v/>
      </c>
      <c r="D938" s="5" t="str">
        <f>IF($H938="","",INDEX('Detalle individual'!$E:$E,$H938))</f>
        <v/>
      </c>
      <c r="E938" s="5" t="str">
        <f>IF($H938="","",INDEX('Detalle individual'!$C:$C,$H938))</f>
        <v/>
      </c>
      <c r="F938" s="5" t="str">
        <f>IF($H938="","",INDEX('Detalle individual'!$D:$D,$H938))</f>
        <v/>
      </c>
      <c r="G938" s="5" t="str">
        <f>IF($H938="","",INDEX('Detalle individual'!$F:$F,$H938))</f>
        <v/>
      </c>
      <c r="H938" t="str">
        <f>IFERROR(MATCH(SMALL(Cálculos!$AJ$5:$AJ$1000,934),Cálculos!$AJ$5:$AJ$1000,0)+4,"")</f>
        <v/>
      </c>
    </row>
    <row r="939">
      <c r="B939" s="5" t="str">
        <f>IF($H939="","",INDEX('Detalle individual'!$B:$B,$H939))</f>
        <v/>
      </c>
      <c r="C939" s="5" t="str">
        <f>IF($H939="","",INDEX('Detalle individual'!$A:$A,$H939))</f>
        <v/>
      </c>
      <c r="D939" s="5" t="str">
        <f>IF($H939="","",INDEX('Detalle individual'!$E:$E,$H939))</f>
        <v/>
      </c>
      <c r="E939" s="5" t="str">
        <f>IF($H939="","",INDEX('Detalle individual'!$C:$C,$H939))</f>
        <v/>
      </c>
      <c r="F939" s="5" t="str">
        <f>IF($H939="","",INDEX('Detalle individual'!$D:$D,$H939))</f>
        <v/>
      </c>
      <c r="G939" s="5" t="str">
        <f>IF($H939="","",INDEX('Detalle individual'!$F:$F,$H939))</f>
        <v/>
      </c>
      <c r="H939" t="str">
        <f>IFERROR(MATCH(SMALL(Cálculos!$AJ$5:$AJ$1000,935),Cálculos!$AJ$5:$AJ$1000,0)+4,"")</f>
        <v/>
      </c>
    </row>
    <row r="940">
      <c r="B940" s="5" t="str">
        <f>IF($H940="","",INDEX('Detalle individual'!$B:$B,$H940))</f>
        <v/>
      </c>
      <c r="C940" s="5" t="str">
        <f>IF($H940="","",INDEX('Detalle individual'!$A:$A,$H940))</f>
        <v/>
      </c>
      <c r="D940" s="5" t="str">
        <f>IF($H940="","",INDEX('Detalle individual'!$E:$E,$H940))</f>
        <v/>
      </c>
      <c r="E940" s="5" t="str">
        <f>IF($H940="","",INDEX('Detalle individual'!$C:$C,$H940))</f>
        <v/>
      </c>
      <c r="F940" s="5" t="str">
        <f>IF($H940="","",INDEX('Detalle individual'!$D:$D,$H940))</f>
        <v/>
      </c>
      <c r="G940" s="5" t="str">
        <f>IF($H940="","",INDEX('Detalle individual'!$F:$F,$H940))</f>
        <v/>
      </c>
      <c r="H940" t="str">
        <f>IFERROR(MATCH(SMALL(Cálculos!$AJ$5:$AJ$1000,936),Cálculos!$AJ$5:$AJ$1000,0)+4,"")</f>
        <v/>
      </c>
    </row>
    <row r="941">
      <c r="B941" s="5" t="str">
        <f>IF($H941="","",INDEX('Detalle individual'!$B:$B,$H941))</f>
        <v/>
      </c>
      <c r="C941" s="5" t="str">
        <f>IF($H941="","",INDEX('Detalle individual'!$A:$A,$H941))</f>
        <v/>
      </c>
      <c r="D941" s="5" t="str">
        <f>IF($H941="","",INDEX('Detalle individual'!$E:$E,$H941))</f>
        <v/>
      </c>
      <c r="E941" s="5" t="str">
        <f>IF($H941="","",INDEX('Detalle individual'!$C:$C,$H941))</f>
        <v/>
      </c>
      <c r="F941" s="5" t="str">
        <f>IF($H941="","",INDEX('Detalle individual'!$D:$D,$H941))</f>
        <v/>
      </c>
      <c r="G941" s="5" t="str">
        <f>IF($H941="","",INDEX('Detalle individual'!$F:$F,$H941))</f>
        <v/>
      </c>
      <c r="H941" t="str">
        <f>IFERROR(MATCH(SMALL(Cálculos!$AJ$5:$AJ$1000,937),Cálculos!$AJ$5:$AJ$1000,0)+4,"")</f>
        <v/>
      </c>
    </row>
    <row r="942">
      <c r="B942" s="5" t="str">
        <f>IF($H942="","",INDEX('Detalle individual'!$B:$B,$H942))</f>
        <v/>
      </c>
      <c r="C942" s="5" t="str">
        <f>IF($H942="","",INDEX('Detalle individual'!$A:$A,$H942))</f>
        <v/>
      </c>
      <c r="D942" s="5" t="str">
        <f>IF($H942="","",INDEX('Detalle individual'!$E:$E,$H942))</f>
        <v/>
      </c>
      <c r="E942" s="5" t="str">
        <f>IF($H942="","",INDEX('Detalle individual'!$C:$C,$H942))</f>
        <v/>
      </c>
      <c r="F942" s="5" t="str">
        <f>IF($H942="","",INDEX('Detalle individual'!$D:$D,$H942))</f>
        <v/>
      </c>
      <c r="G942" s="5" t="str">
        <f>IF($H942="","",INDEX('Detalle individual'!$F:$F,$H942))</f>
        <v/>
      </c>
      <c r="H942" t="str">
        <f>IFERROR(MATCH(SMALL(Cálculos!$AJ$5:$AJ$1000,938),Cálculos!$AJ$5:$AJ$1000,0)+4,"")</f>
        <v/>
      </c>
    </row>
    <row r="943">
      <c r="B943" s="5" t="str">
        <f>IF($H943="","",INDEX('Detalle individual'!$B:$B,$H943))</f>
        <v/>
      </c>
      <c r="C943" s="5" t="str">
        <f>IF($H943="","",INDEX('Detalle individual'!$A:$A,$H943))</f>
        <v/>
      </c>
      <c r="D943" s="5" t="str">
        <f>IF($H943="","",INDEX('Detalle individual'!$E:$E,$H943))</f>
        <v/>
      </c>
      <c r="E943" s="5" t="str">
        <f>IF($H943="","",INDEX('Detalle individual'!$C:$C,$H943))</f>
        <v/>
      </c>
      <c r="F943" s="5" t="str">
        <f>IF($H943="","",INDEX('Detalle individual'!$D:$D,$H943))</f>
        <v/>
      </c>
      <c r="G943" s="5" t="str">
        <f>IF($H943="","",INDEX('Detalle individual'!$F:$F,$H943))</f>
        <v/>
      </c>
      <c r="H943" t="str">
        <f>IFERROR(MATCH(SMALL(Cálculos!$AJ$5:$AJ$1000,939),Cálculos!$AJ$5:$AJ$1000,0)+4,"")</f>
        <v/>
      </c>
    </row>
    <row r="944">
      <c r="B944" s="5" t="str">
        <f>IF($H944="","",INDEX('Detalle individual'!$B:$B,$H944))</f>
        <v/>
      </c>
      <c r="C944" s="5" t="str">
        <f>IF($H944="","",INDEX('Detalle individual'!$A:$A,$H944))</f>
        <v/>
      </c>
      <c r="D944" s="5" t="str">
        <f>IF($H944="","",INDEX('Detalle individual'!$E:$E,$H944))</f>
        <v/>
      </c>
      <c r="E944" s="5" t="str">
        <f>IF($H944="","",INDEX('Detalle individual'!$C:$C,$H944))</f>
        <v/>
      </c>
      <c r="F944" s="5" t="str">
        <f>IF($H944="","",INDEX('Detalle individual'!$D:$D,$H944))</f>
        <v/>
      </c>
      <c r="G944" s="5" t="str">
        <f>IF($H944="","",INDEX('Detalle individual'!$F:$F,$H944))</f>
        <v/>
      </c>
      <c r="H944" t="str">
        <f>IFERROR(MATCH(SMALL(Cálculos!$AJ$5:$AJ$1000,940),Cálculos!$AJ$5:$AJ$1000,0)+4,"")</f>
        <v/>
      </c>
    </row>
    <row r="945">
      <c r="B945" s="5" t="str">
        <f>IF($H945="","",INDEX('Detalle individual'!$B:$B,$H945))</f>
        <v/>
      </c>
      <c r="C945" s="5" t="str">
        <f>IF($H945="","",INDEX('Detalle individual'!$A:$A,$H945))</f>
        <v/>
      </c>
      <c r="D945" s="5" t="str">
        <f>IF($H945="","",INDEX('Detalle individual'!$E:$E,$H945))</f>
        <v/>
      </c>
      <c r="E945" s="5" t="str">
        <f>IF($H945="","",INDEX('Detalle individual'!$C:$C,$H945))</f>
        <v/>
      </c>
      <c r="F945" s="5" t="str">
        <f>IF($H945="","",INDEX('Detalle individual'!$D:$D,$H945))</f>
        <v/>
      </c>
      <c r="G945" s="5" t="str">
        <f>IF($H945="","",INDEX('Detalle individual'!$F:$F,$H945))</f>
        <v/>
      </c>
      <c r="H945" t="str">
        <f>IFERROR(MATCH(SMALL(Cálculos!$AJ$5:$AJ$1000,941),Cálculos!$AJ$5:$AJ$1000,0)+4,"")</f>
        <v/>
      </c>
    </row>
    <row r="946">
      <c r="B946" s="5" t="str">
        <f>IF($H946="","",INDEX('Detalle individual'!$B:$B,$H946))</f>
        <v/>
      </c>
      <c r="C946" s="5" t="str">
        <f>IF($H946="","",INDEX('Detalle individual'!$A:$A,$H946))</f>
        <v/>
      </c>
      <c r="D946" s="5" t="str">
        <f>IF($H946="","",INDEX('Detalle individual'!$E:$E,$H946))</f>
        <v/>
      </c>
      <c r="E946" s="5" t="str">
        <f>IF($H946="","",INDEX('Detalle individual'!$C:$C,$H946))</f>
        <v/>
      </c>
      <c r="F946" s="5" t="str">
        <f>IF($H946="","",INDEX('Detalle individual'!$D:$D,$H946))</f>
        <v/>
      </c>
      <c r="G946" s="5" t="str">
        <f>IF($H946="","",INDEX('Detalle individual'!$F:$F,$H946))</f>
        <v/>
      </c>
      <c r="H946" t="str">
        <f>IFERROR(MATCH(SMALL(Cálculos!$AJ$5:$AJ$1000,942),Cálculos!$AJ$5:$AJ$1000,0)+4,"")</f>
        <v/>
      </c>
    </row>
    <row r="947">
      <c r="B947" s="5" t="str">
        <f>IF($H947="","",INDEX('Detalle individual'!$B:$B,$H947))</f>
        <v/>
      </c>
      <c r="C947" s="5" t="str">
        <f>IF($H947="","",INDEX('Detalle individual'!$A:$A,$H947))</f>
        <v/>
      </c>
      <c r="D947" s="5" t="str">
        <f>IF($H947="","",INDEX('Detalle individual'!$E:$E,$H947))</f>
        <v/>
      </c>
      <c r="E947" s="5" t="str">
        <f>IF($H947="","",INDEX('Detalle individual'!$C:$C,$H947))</f>
        <v/>
      </c>
      <c r="F947" s="5" t="str">
        <f>IF($H947="","",INDEX('Detalle individual'!$D:$D,$H947))</f>
        <v/>
      </c>
      <c r="G947" s="5" t="str">
        <f>IF($H947="","",INDEX('Detalle individual'!$F:$F,$H947))</f>
        <v/>
      </c>
      <c r="H947" t="str">
        <f>IFERROR(MATCH(SMALL(Cálculos!$AJ$5:$AJ$1000,943),Cálculos!$AJ$5:$AJ$1000,0)+4,"")</f>
        <v/>
      </c>
    </row>
    <row r="948">
      <c r="B948" s="5" t="str">
        <f>IF($H948="","",INDEX('Detalle individual'!$B:$B,$H948))</f>
        <v/>
      </c>
      <c r="C948" s="5" t="str">
        <f>IF($H948="","",INDEX('Detalle individual'!$A:$A,$H948))</f>
        <v/>
      </c>
      <c r="D948" s="5" t="str">
        <f>IF($H948="","",INDEX('Detalle individual'!$E:$E,$H948))</f>
        <v/>
      </c>
      <c r="E948" s="5" t="str">
        <f>IF($H948="","",INDEX('Detalle individual'!$C:$C,$H948))</f>
        <v/>
      </c>
      <c r="F948" s="5" t="str">
        <f>IF($H948="","",INDEX('Detalle individual'!$D:$D,$H948))</f>
        <v/>
      </c>
      <c r="G948" s="5" t="str">
        <f>IF($H948="","",INDEX('Detalle individual'!$F:$F,$H948))</f>
        <v/>
      </c>
      <c r="H948" t="str">
        <f>IFERROR(MATCH(SMALL(Cálculos!$AJ$5:$AJ$1000,944),Cálculos!$AJ$5:$AJ$1000,0)+4,"")</f>
        <v/>
      </c>
    </row>
    <row r="949">
      <c r="B949" s="5" t="str">
        <f>IF($H949="","",INDEX('Detalle individual'!$B:$B,$H949))</f>
        <v/>
      </c>
      <c r="C949" s="5" t="str">
        <f>IF($H949="","",INDEX('Detalle individual'!$A:$A,$H949))</f>
        <v/>
      </c>
      <c r="D949" s="5" t="str">
        <f>IF($H949="","",INDEX('Detalle individual'!$E:$E,$H949))</f>
        <v/>
      </c>
      <c r="E949" s="5" t="str">
        <f>IF($H949="","",INDEX('Detalle individual'!$C:$C,$H949))</f>
        <v/>
      </c>
      <c r="F949" s="5" t="str">
        <f>IF($H949="","",INDEX('Detalle individual'!$D:$D,$H949))</f>
        <v/>
      </c>
      <c r="G949" s="5" t="str">
        <f>IF($H949="","",INDEX('Detalle individual'!$F:$F,$H949))</f>
        <v/>
      </c>
      <c r="H949" t="str">
        <f>IFERROR(MATCH(SMALL(Cálculos!$AJ$5:$AJ$1000,945),Cálculos!$AJ$5:$AJ$1000,0)+4,"")</f>
        <v/>
      </c>
    </row>
    <row r="950">
      <c r="B950" s="5" t="str">
        <f>IF($H950="","",INDEX('Detalle individual'!$B:$B,$H950))</f>
        <v/>
      </c>
      <c r="C950" s="5" t="str">
        <f>IF($H950="","",INDEX('Detalle individual'!$A:$A,$H950))</f>
        <v/>
      </c>
      <c r="D950" s="5" t="str">
        <f>IF($H950="","",INDEX('Detalle individual'!$E:$E,$H950))</f>
        <v/>
      </c>
      <c r="E950" s="5" t="str">
        <f>IF($H950="","",INDEX('Detalle individual'!$C:$C,$H950))</f>
        <v/>
      </c>
      <c r="F950" s="5" t="str">
        <f>IF($H950="","",INDEX('Detalle individual'!$D:$D,$H950))</f>
        <v/>
      </c>
      <c r="G950" s="5" t="str">
        <f>IF($H950="","",INDEX('Detalle individual'!$F:$F,$H950))</f>
        <v/>
      </c>
      <c r="H950" t="str">
        <f>IFERROR(MATCH(SMALL(Cálculos!$AJ$5:$AJ$1000,946),Cálculos!$AJ$5:$AJ$1000,0)+4,"")</f>
        <v/>
      </c>
    </row>
    <row r="951">
      <c r="B951" s="5" t="str">
        <f>IF($H951="","",INDEX('Detalle individual'!$B:$B,$H951))</f>
        <v/>
      </c>
      <c r="C951" s="5" t="str">
        <f>IF($H951="","",INDEX('Detalle individual'!$A:$A,$H951))</f>
        <v/>
      </c>
      <c r="D951" s="5" t="str">
        <f>IF($H951="","",INDEX('Detalle individual'!$E:$E,$H951))</f>
        <v/>
      </c>
      <c r="E951" s="5" t="str">
        <f>IF($H951="","",INDEX('Detalle individual'!$C:$C,$H951))</f>
        <v/>
      </c>
      <c r="F951" s="5" t="str">
        <f>IF($H951="","",INDEX('Detalle individual'!$D:$D,$H951))</f>
        <v/>
      </c>
      <c r="G951" s="5" t="str">
        <f>IF($H951="","",INDEX('Detalle individual'!$F:$F,$H951))</f>
        <v/>
      </c>
      <c r="H951" t="str">
        <f>IFERROR(MATCH(SMALL(Cálculos!$AJ$5:$AJ$1000,947),Cálculos!$AJ$5:$AJ$1000,0)+4,"")</f>
        <v/>
      </c>
    </row>
    <row r="952">
      <c r="B952" s="5" t="str">
        <f>IF($H952="","",INDEX('Detalle individual'!$B:$B,$H952))</f>
        <v/>
      </c>
      <c r="C952" s="5" t="str">
        <f>IF($H952="","",INDEX('Detalle individual'!$A:$A,$H952))</f>
        <v/>
      </c>
      <c r="D952" s="5" t="str">
        <f>IF($H952="","",INDEX('Detalle individual'!$E:$E,$H952))</f>
        <v/>
      </c>
      <c r="E952" s="5" t="str">
        <f>IF($H952="","",INDEX('Detalle individual'!$C:$C,$H952))</f>
        <v/>
      </c>
      <c r="F952" s="5" t="str">
        <f>IF($H952="","",INDEX('Detalle individual'!$D:$D,$H952))</f>
        <v/>
      </c>
      <c r="G952" s="5" t="str">
        <f>IF($H952="","",INDEX('Detalle individual'!$F:$F,$H952))</f>
        <v/>
      </c>
      <c r="H952" t="str">
        <f>IFERROR(MATCH(SMALL(Cálculos!$AJ$5:$AJ$1000,948),Cálculos!$AJ$5:$AJ$1000,0)+4,"")</f>
        <v/>
      </c>
    </row>
    <row r="953">
      <c r="B953" s="5" t="str">
        <f>IF($H953="","",INDEX('Detalle individual'!$B:$B,$H953))</f>
        <v/>
      </c>
      <c r="C953" s="5" t="str">
        <f>IF($H953="","",INDEX('Detalle individual'!$A:$A,$H953))</f>
        <v/>
      </c>
      <c r="D953" s="5" t="str">
        <f>IF($H953="","",INDEX('Detalle individual'!$E:$E,$H953))</f>
        <v/>
      </c>
      <c r="E953" s="5" t="str">
        <f>IF($H953="","",INDEX('Detalle individual'!$C:$C,$H953))</f>
        <v/>
      </c>
      <c r="F953" s="5" t="str">
        <f>IF($H953="","",INDEX('Detalle individual'!$D:$D,$H953))</f>
        <v/>
      </c>
      <c r="G953" s="5" t="str">
        <f>IF($H953="","",INDEX('Detalle individual'!$F:$F,$H953))</f>
        <v/>
      </c>
      <c r="H953" t="str">
        <f>IFERROR(MATCH(SMALL(Cálculos!$AJ$5:$AJ$1000,949),Cálculos!$AJ$5:$AJ$1000,0)+4,"")</f>
        <v/>
      </c>
    </row>
    <row r="954">
      <c r="B954" s="5" t="str">
        <f>IF($H954="","",INDEX('Detalle individual'!$B:$B,$H954))</f>
        <v/>
      </c>
      <c r="C954" s="5" t="str">
        <f>IF($H954="","",INDEX('Detalle individual'!$A:$A,$H954))</f>
        <v/>
      </c>
      <c r="D954" s="5" t="str">
        <f>IF($H954="","",INDEX('Detalle individual'!$E:$E,$H954))</f>
        <v/>
      </c>
      <c r="E954" s="5" t="str">
        <f>IF($H954="","",INDEX('Detalle individual'!$C:$C,$H954))</f>
        <v/>
      </c>
      <c r="F954" s="5" t="str">
        <f>IF($H954="","",INDEX('Detalle individual'!$D:$D,$H954))</f>
        <v/>
      </c>
      <c r="G954" s="5" t="str">
        <f>IF($H954="","",INDEX('Detalle individual'!$F:$F,$H954))</f>
        <v/>
      </c>
      <c r="H954" t="str">
        <f>IFERROR(MATCH(SMALL(Cálculos!$AJ$5:$AJ$1000,950),Cálculos!$AJ$5:$AJ$1000,0)+4,"")</f>
        <v/>
      </c>
    </row>
    <row r="955">
      <c r="B955" s="5" t="str">
        <f>IF($H955="","",INDEX('Detalle individual'!$B:$B,$H955))</f>
        <v/>
      </c>
      <c r="C955" s="5" t="str">
        <f>IF($H955="","",INDEX('Detalle individual'!$A:$A,$H955))</f>
        <v/>
      </c>
      <c r="D955" s="5" t="str">
        <f>IF($H955="","",INDEX('Detalle individual'!$E:$E,$H955))</f>
        <v/>
      </c>
      <c r="E955" s="5" t="str">
        <f>IF($H955="","",INDEX('Detalle individual'!$C:$C,$H955))</f>
        <v/>
      </c>
      <c r="F955" s="5" t="str">
        <f>IF($H955="","",INDEX('Detalle individual'!$D:$D,$H955))</f>
        <v/>
      </c>
      <c r="G955" s="5" t="str">
        <f>IF($H955="","",INDEX('Detalle individual'!$F:$F,$H955))</f>
        <v/>
      </c>
      <c r="H955" t="str">
        <f>IFERROR(MATCH(SMALL(Cálculos!$AJ$5:$AJ$1000,951),Cálculos!$AJ$5:$AJ$1000,0)+4,"")</f>
        <v/>
      </c>
    </row>
    <row r="956">
      <c r="B956" s="5" t="str">
        <f>IF($H956="","",INDEX('Detalle individual'!$B:$B,$H956))</f>
        <v/>
      </c>
      <c r="C956" s="5" t="str">
        <f>IF($H956="","",INDEX('Detalle individual'!$A:$A,$H956))</f>
        <v/>
      </c>
      <c r="D956" s="5" t="str">
        <f>IF($H956="","",INDEX('Detalle individual'!$E:$E,$H956))</f>
        <v/>
      </c>
      <c r="E956" s="5" t="str">
        <f>IF($H956="","",INDEX('Detalle individual'!$C:$C,$H956))</f>
        <v/>
      </c>
      <c r="F956" s="5" t="str">
        <f>IF($H956="","",INDEX('Detalle individual'!$D:$D,$H956))</f>
        <v/>
      </c>
      <c r="G956" s="5" t="str">
        <f>IF($H956="","",INDEX('Detalle individual'!$F:$F,$H956))</f>
        <v/>
      </c>
      <c r="H956" t="str">
        <f>IFERROR(MATCH(SMALL(Cálculos!$AJ$5:$AJ$1000,952),Cálculos!$AJ$5:$AJ$1000,0)+4,"")</f>
        <v/>
      </c>
    </row>
    <row r="957">
      <c r="B957" s="5" t="str">
        <f>IF($H957="","",INDEX('Detalle individual'!$B:$B,$H957))</f>
        <v/>
      </c>
      <c r="C957" s="5" t="str">
        <f>IF($H957="","",INDEX('Detalle individual'!$A:$A,$H957))</f>
        <v/>
      </c>
      <c r="D957" s="5" t="str">
        <f>IF($H957="","",INDEX('Detalle individual'!$E:$E,$H957))</f>
        <v/>
      </c>
      <c r="E957" s="5" t="str">
        <f>IF($H957="","",INDEX('Detalle individual'!$C:$C,$H957))</f>
        <v/>
      </c>
      <c r="F957" s="5" t="str">
        <f>IF($H957="","",INDEX('Detalle individual'!$D:$D,$H957))</f>
        <v/>
      </c>
      <c r="G957" s="5" t="str">
        <f>IF($H957="","",INDEX('Detalle individual'!$F:$F,$H957))</f>
        <v/>
      </c>
      <c r="H957" t="str">
        <f>IFERROR(MATCH(SMALL(Cálculos!$AJ$5:$AJ$1000,953),Cálculos!$AJ$5:$AJ$1000,0)+4,"")</f>
        <v/>
      </c>
    </row>
    <row r="958">
      <c r="B958" s="5" t="str">
        <f>IF($H958="","",INDEX('Detalle individual'!$B:$B,$H958))</f>
        <v/>
      </c>
      <c r="C958" s="5" t="str">
        <f>IF($H958="","",INDEX('Detalle individual'!$A:$A,$H958))</f>
        <v/>
      </c>
      <c r="D958" s="5" t="str">
        <f>IF($H958="","",INDEX('Detalle individual'!$E:$E,$H958))</f>
        <v/>
      </c>
      <c r="E958" s="5" t="str">
        <f>IF($H958="","",INDEX('Detalle individual'!$C:$C,$H958))</f>
        <v/>
      </c>
      <c r="F958" s="5" t="str">
        <f>IF($H958="","",INDEX('Detalle individual'!$D:$D,$H958))</f>
        <v/>
      </c>
      <c r="G958" s="5" t="str">
        <f>IF($H958="","",INDEX('Detalle individual'!$F:$F,$H958))</f>
        <v/>
      </c>
      <c r="H958" t="str">
        <f>IFERROR(MATCH(SMALL(Cálculos!$AJ$5:$AJ$1000,954),Cálculos!$AJ$5:$AJ$1000,0)+4,"")</f>
        <v/>
      </c>
    </row>
    <row r="959">
      <c r="B959" s="5" t="str">
        <f>IF($H959="","",INDEX('Detalle individual'!$B:$B,$H959))</f>
        <v/>
      </c>
      <c r="C959" s="5" t="str">
        <f>IF($H959="","",INDEX('Detalle individual'!$A:$A,$H959))</f>
        <v/>
      </c>
      <c r="D959" s="5" t="str">
        <f>IF($H959="","",INDEX('Detalle individual'!$E:$E,$H959))</f>
        <v/>
      </c>
      <c r="E959" s="5" t="str">
        <f>IF($H959="","",INDEX('Detalle individual'!$C:$C,$H959))</f>
        <v/>
      </c>
      <c r="F959" s="5" t="str">
        <f>IF($H959="","",INDEX('Detalle individual'!$D:$D,$H959))</f>
        <v/>
      </c>
      <c r="G959" s="5" t="str">
        <f>IF($H959="","",INDEX('Detalle individual'!$F:$F,$H959))</f>
        <v/>
      </c>
      <c r="H959" t="str">
        <f>IFERROR(MATCH(SMALL(Cálculos!$AJ$5:$AJ$1000,955),Cálculos!$AJ$5:$AJ$1000,0)+4,"")</f>
        <v/>
      </c>
    </row>
    <row r="960">
      <c r="B960" s="5" t="str">
        <f>IF($H960="","",INDEX('Detalle individual'!$B:$B,$H960))</f>
        <v/>
      </c>
      <c r="C960" s="5" t="str">
        <f>IF($H960="","",INDEX('Detalle individual'!$A:$A,$H960))</f>
        <v/>
      </c>
      <c r="D960" s="5" t="str">
        <f>IF($H960="","",INDEX('Detalle individual'!$E:$E,$H960))</f>
        <v/>
      </c>
      <c r="E960" s="5" t="str">
        <f>IF($H960="","",INDEX('Detalle individual'!$C:$C,$H960))</f>
        <v/>
      </c>
      <c r="F960" s="5" t="str">
        <f>IF($H960="","",INDEX('Detalle individual'!$D:$D,$H960))</f>
        <v/>
      </c>
      <c r="G960" s="5" t="str">
        <f>IF($H960="","",INDEX('Detalle individual'!$F:$F,$H960))</f>
        <v/>
      </c>
      <c r="H960" t="str">
        <f>IFERROR(MATCH(SMALL(Cálculos!$AJ$5:$AJ$1000,956),Cálculos!$AJ$5:$AJ$1000,0)+4,"")</f>
        <v/>
      </c>
    </row>
    <row r="961">
      <c r="B961" s="5" t="str">
        <f>IF($H961="","",INDEX('Detalle individual'!$B:$B,$H961))</f>
        <v/>
      </c>
      <c r="C961" s="5" t="str">
        <f>IF($H961="","",INDEX('Detalle individual'!$A:$A,$H961))</f>
        <v/>
      </c>
      <c r="D961" s="5" t="str">
        <f>IF($H961="","",INDEX('Detalle individual'!$E:$E,$H961))</f>
        <v/>
      </c>
      <c r="E961" s="5" t="str">
        <f>IF($H961="","",INDEX('Detalle individual'!$C:$C,$H961))</f>
        <v/>
      </c>
      <c r="F961" s="5" t="str">
        <f>IF($H961="","",INDEX('Detalle individual'!$D:$D,$H961))</f>
        <v/>
      </c>
      <c r="G961" s="5" t="str">
        <f>IF($H961="","",INDEX('Detalle individual'!$F:$F,$H961))</f>
        <v/>
      </c>
      <c r="H961" t="str">
        <f>IFERROR(MATCH(SMALL(Cálculos!$AJ$5:$AJ$1000,957),Cálculos!$AJ$5:$AJ$1000,0)+4,"")</f>
        <v/>
      </c>
    </row>
    <row r="962">
      <c r="B962" s="5" t="str">
        <f>IF($H962="","",INDEX('Detalle individual'!$B:$B,$H962))</f>
        <v/>
      </c>
      <c r="C962" s="5" t="str">
        <f>IF($H962="","",INDEX('Detalle individual'!$A:$A,$H962))</f>
        <v/>
      </c>
      <c r="D962" s="5" t="str">
        <f>IF($H962="","",INDEX('Detalle individual'!$E:$E,$H962))</f>
        <v/>
      </c>
      <c r="E962" s="5" t="str">
        <f>IF($H962="","",INDEX('Detalle individual'!$C:$C,$H962))</f>
        <v/>
      </c>
      <c r="F962" s="5" t="str">
        <f>IF($H962="","",INDEX('Detalle individual'!$D:$D,$H962))</f>
        <v/>
      </c>
      <c r="G962" s="5" t="str">
        <f>IF($H962="","",INDEX('Detalle individual'!$F:$F,$H962))</f>
        <v/>
      </c>
      <c r="H962" t="str">
        <f>IFERROR(MATCH(SMALL(Cálculos!$AJ$5:$AJ$1000,958),Cálculos!$AJ$5:$AJ$1000,0)+4,"")</f>
        <v/>
      </c>
    </row>
    <row r="963">
      <c r="B963" s="5" t="str">
        <f>IF($H963="","",INDEX('Detalle individual'!$B:$B,$H963))</f>
        <v/>
      </c>
      <c r="C963" s="5" t="str">
        <f>IF($H963="","",INDEX('Detalle individual'!$A:$A,$H963))</f>
        <v/>
      </c>
      <c r="D963" s="5" t="str">
        <f>IF($H963="","",INDEX('Detalle individual'!$E:$E,$H963))</f>
        <v/>
      </c>
      <c r="E963" s="5" t="str">
        <f>IF($H963="","",INDEX('Detalle individual'!$C:$C,$H963))</f>
        <v/>
      </c>
      <c r="F963" s="5" t="str">
        <f>IF($H963="","",INDEX('Detalle individual'!$D:$D,$H963))</f>
        <v/>
      </c>
      <c r="G963" s="5" t="str">
        <f>IF($H963="","",INDEX('Detalle individual'!$F:$F,$H963))</f>
        <v/>
      </c>
      <c r="H963" t="str">
        <f>IFERROR(MATCH(SMALL(Cálculos!$AJ$5:$AJ$1000,959),Cálculos!$AJ$5:$AJ$1000,0)+4,"")</f>
        <v/>
      </c>
    </row>
    <row r="964">
      <c r="B964" s="5" t="str">
        <f>IF($H964="","",INDEX('Detalle individual'!$B:$B,$H964))</f>
        <v/>
      </c>
      <c r="C964" s="5" t="str">
        <f>IF($H964="","",INDEX('Detalle individual'!$A:$A,$H964))</f>
        <v/>
      </c>
      <c r="D964" s="5" t="str">
        <f>IF($H964="","",INDEX('Detalle individual'!$E:$E,$H964))</f>
        <v/>
      </c>
      <c r="E964" s="5" t="str">
        <f>IF($H964="","",INDEX('Detalle individual'!$C:$C,$H964))</f>
        <v/>
      </c>
      <c r="F964" s="5" t="str">
        <f>IF($H964="","",INDEX('Detalle individual'!$D:$D,$H964))</f>
        <v/>
      </c>
      <c r="G964" s="5" t="str">
        <f>IF($H964="","",INDEX('Detalle individual'!$F:$F,$H964))</f>
        <v/>
      </c>
      <c r="H964" t="str">
        <f>IFERROR(MATCH(SMALL(Cálculos!$AJ$5:$AJ$1000,960),Cálculos!$AJ$5:$AJ$1000,0)+4,"")</f>
        <v/>
      </c>
    </row>
    <row r="965">
      <c r="B965" s="5" t="str">
        <f>IF($H965="","",INDEX('Detalle individual'!$B:$B,$H965))</f>
        <v/>
      </c>
      <c r="C965" s="5" t="str">
        <f>IF($H965="","",INDEX('Detalle individual'!$A:$A,$H965))</f>
        <v/>
      </c>
      <c r="D965" s="5" t="str">
        <f>IF($H965="","",INDEX('Detalle individual'!$E:$E,$H965))</f>
        <v/>
      </c>
      <c r="E965" s="5" t="str">
        <f>IF($H965="","",INDEX('Detalle individual'!$C:$C,$H965))</f>
        <v/>
      </c>
      <c r="F965" s="5" t="str">
        <f>IF($H965="","",INDEX('Detalle individual'!$D:$D,$H965))</f>
        <v/>
      </c>
      <c r="G965" s="5" t="str">
        <f>IF($H965="","",INDEX('Detalle individual'!$F:$F,$H965))</f>
        <v/>
      </c>
      <c r="H965" t="str">
        <f>IFERROR(MATCH(SMALL(Cálculos!$AJ$5:$AJ$1000,961),Cálculos!$AJ$5:$AJ$1000,0)+4,"")</f>
        <v/>
      </c>
    </row>
    <row r="966">
      <c r="B966" s="5" t="str">
        <f>IF($H966="","",INDEX('Detalle individual'!$B:$B,$H966))</f>
        <v/>
      </c>
      <c r="C966" s="5" t="str">
        <f>IF($H966="","",INDEX('Detalle individual'!$A:$A,$H966))</f>
        <v/>
      </c>
      <c r="D966" s="5" t="str">
        <f>IF($H966="","",INDEX('Detalle individual'!$E:$E,$H966))</f>
        <v/>
      </c>
      <c r="E966" s="5" t="str">
        <f>IF($H966="","",INDEX('Detalle individual'!$C:$C,$H966))</f>
        <v/>
      </c>
      <c r="F966" s="5" t="str">
        <f>IF($H966="","",INDEX('Detalle individual'!$D:$D,$H966))</f>
        <v/>
      </c>
      <c r="G966" s="5" t="str">
        <f>IF($H966="","",INDEX('Detalle individual'!$F:$F,$H966))</f>
        <v/>
      </c>
      <c r="H966" t="str">
        <f>IFERROR(MATCH(SMALL(Cálculos!$AJ$5:$AJ$1000,962),Cálculos!$AJ$5:$AJ$1000,0)+4,"")</f>
        <v/>
      </c>
    </row>
    <row r="967">
      <c r="B967" s="5" t="str">
        <f>IF($H967="","",INDEX('Detalle individual'!$B:$B,$H967))</f>
        <v/>
      </c>
      <c r="C967" s="5" t="str">
        <f>IF($H967="","",INDEX('Detalle individual'!$A:$A,$H967))</f>
        <v/>
      </c>
      <c r="D967" s="5" t="str">
        <f>IF($H967="","",INDEX('Detalle individual'!$E:$E,$H967))</f>
        <v/>
      </c>
      <c r="E967" s="5" t="str">
        <f>IF($H967="","",INDEX('Detalle individual'!$C:$C,$H967))</f>
        <v/>
      </c>
      <c r="F967" s="5" t="str">
        <f>IF($H967="","",INDEX('Detalle individual'!$D:$D,$H967))</f>
        <v/>
      </c>
      <c r="G967" s="5" t="str">
        <f>IF($H967="","",INDEX('Detalle individual'!$F:$F,$H967))</f>
        <v/>
      </c>
      <c r="H967" t="str">
        <f>IFERROR(MATCH(SMALL(Cálculos!$AJ$5:$AJ$1000,963),Cálculos!$AJ$5:$AJ$1000,0)+4,"")</f>
        <v/>
      </c>
    </row>
    <row r="968">
      <c r="B968" s="5" t="str">
        <f>IF($H968="","",INDEX('Detalle individual'!$B:$B,$H968))</f>
        <v/>
      </c>
      <c r="C968" s="5" t="str">
        <f>IF($H968="","",INDEX('Detalle individual'!$A:$A,$H968))</f>
        <v/>
      </c>
      <c r="D968" s="5" t="str">
        <f>IF($H968="","",INDEX('Detalle individual'!$E:$E,$H968))</f>
        <v/>
      </c>
      <c r="E968" s="5" t="str">
        <f>IF($H968="","",INDEX('Detalle individual'!$C:$C,$H968))</f>
        <v/>
      </c>
      <c r="F968" s="5" t="str">
        <f>IF($H968="","",INDEX('Detalle individual'!$D:$D,$H968))</f>
        <v/>
      </c>
      <c r="G968" s="5" t="str">
        <f>IF($H968="","",INDEX('Detalle individual'!$F:$F,$H968))</f>
        <v/>
      </c>
      <c r="H968" t="str">
        <f>IFERROR(MATCH(SMALL(Cálculos!$AJ$5:$AJ$1000,964),Cálculos!$AJ$5:$AJ$1000,0)+4,"")</f>
        <v/>
      </c>
    </row>
    <row r="969">
      <c r="B969" s="5" t="str">
        <f>IF($H969="","",INDEX('Detalle individual'!$B:$B,$H969))</f>
        <v/>
      </c>
      <c r="C969" s="5" t="str">
        <f>IF($H969="","",INDEX('Detalle individual'!$A:$A,$H969))</f>
        <v/>
      </c>
      <c r="D969" s="5" t="str">
        <f>IF($H969="","",INDEX('Detalle individual'!$E:$E,$H969))</f>
        <v/>
      </c>
      <c r="E969" s="5" t="str">
        <f>IF($H969="","",INDEX('Detalle individual'!$C:$C,$H969))</f>
        <v/>
      </c>
      <c r="F969" s="5" t="str">
        <f>IF($H969="","",INDEX('Detalle individual'!$D:$D,$H969))</f>
        <v/>
      </c>
      <c r="G969" s="5" t="str">
        <f>IF($H969="","",INDEX('Detalle individual'!$F:$F,$H969))</f>
        <v/>
      </c>
      <c r="H969" t="str">
        <f>IFERROR(MATCH(SMALL(Cálculos!$AJ$5:$AJ$1000,965),Cálculos!$AJ$5:$AJ$1000,0)+4,"")</f>
        <v/>
      </c>
    </row>
    <row r="970">
      <c r="B970" s="5" t="str">
        <f>IF($H970="","",INDEX('Detalle individual'!$B:$B,$H970))</f>
        <v/>
      </c>
      <c r="C970" s="5" t="str">
        <f>IF($H970="","",INDEX('Detalle individual'!$A:$A,$H970))</f>
        <v/>
      </c>
      <c r="D970" s="5" t="str">
        <f>IF($H970="","",INDEX('Detalle individual'!$E:$E,$H970))</f>
        <v/>
      </c>
      <c r="E970" s="5" t="str">
        <f>IF($H970="","",INDEX('Detalle individual'!$C:$C,$H970))</f>
        <v/>
      </c>
      <c r="F970" s="5" t="str">
        <f>IF($H970="","",INDEX('Detalle individual'!$D:$D,$H970))</f>
        <v/>
      </c>
      <c r="G970" s="5" t="str">
        <f>IF($H970="","",INDEX('Detalle individual'!$F:$F,$H970))</f>
        <v/>
      </c>
      <c r="H970" t="str">
        <f>IFERROR(MATCH(SMALL(Cálculos!$AJ$5:$AJ$1000,966),Cálculos!$AJ$5:$AJ$1000,0)+4,"")</f>
        <v/>
      </c>
    </row>
    <row r="971">
      <c r="B971" s="5" t="str">
        <f>IF($H971="","",INDEX('Detalle individual'!$B:$B,$H971))</f>
        <v/>
      </c>
      <c r="C971" s="5" t="str">
        <f>IF($H971="","",INDEX('Detalle individual'!$A:$A,$H971))</f>
        <v/>
      </c>
      <c r="D971" s="5" t="str">
        <f>IF($H971="","",INDEX('Detalle individual'!$E:$E,$H971))</f>
        <v/>
      </c>
      <c r="E971" s="5" t="str">
        <f>IF($H971="","",INDEX('Detalle individual'!$C:$C,$H971))</f>
        <v/>
      </c>
      <c r="F971" s="5" t="str">
        <f>IF($H971="","",INDEX('Detalle individual'!$D:$D,$H971))</f>
        <v/>
      </c>
      <c r="G971" s="5" t="str">
        <f>IF($H971="","",INDEX('Detalle individual'!$F:$F,$H971))</f>
        <v/>
      </c>
      <c r="H971" t="str">
        <f>IFERROR(MATCH(SMALL(Cálculos!$AJ$5:$AJ$1000,967),Cálculos!$AJ$5:$AJ$1000,0)+4,"")</f>
        <v/>
      </c>
    </row>
    <row r="972">
      <c r="B972" s="5" t="str">
        <f>IF($H972="","",INDEX('Detalle individual'!$B:$B,$H972))</f>
        <v/>
      </c>
      <c r="C972" s="5" t="str">
        <f>IF($H972="","",INDEX('Detalle individual'!$A:$A,$H972))</f>
        <v/>
      </c>
      <c r="D972" s="5" t="str">
        <f>IF($H972="","",INDEX('Detalle individual'!$E:$E,$H972))</f>
        <v/>
      </c>
      <c r="E972" s="5" t="str">
        <f>IF($H972="","",INDEX('Detalle individual'!$C:$C,$H972))</f>
        <v/>
      </c>
      <c r="F972" s="5" t="str">
        <f>IF($H972="","",INDEX('Detalle individual'!$D:$D,$H972))</f>
        <v/>
      </c>
      <c r="G972" s="5" t="str">
        <f>IF($H972="","",INDEX('Detalle individual'!$F:$F,$H972))</f>
        <v/>
      </c>
      <c r="H972" t="str">
        <f>IFERROR(MATCH(SMALL(Cálculos!$AJ$5:$AJ$1000,968),Cálculos!$AJ$5:$AJ$1000,0)+4,"")</f>
        <v/>
      </c>
    </row>
    <row r="973">
      <c r="B973" s="5" t="str">
        <f>IF($H973="","",INDEX('Detalle individual'!$B:$B,$H973))</f>
        <v/>
      </c>
      <c r="C973" s="5" t="str">
        <f>IF($H973="","",INDEX('Detalle individual'!$A:$A,$H973))</f>
        <v/>
      </c>
      <c r="D973" s="5" t="str">
        <f>IF($H973="","",INDEX('Detalle individual'!$E:$E,$H973))</f>
        <v/>
      </c>
      <c r="E973" s="5" t="str">
        <f>IF($H973="","",INDEX('Detalle individual'!$C:$C,$H973))</f>
        <v/>
      </c>
      <c r="F973" s="5" t="str">
        <f>IF($H973="","",INDEX('Detalle individual'!$D:$D,$H973))</f>
        <v/>
      </c>
      <c r="G973" s="5" t="str">
        <f>IF($H973="","",INDEX('Detalle individual'!$F:$F,$H973))</f>
        <v/>
      </c>
      <c r="H973" t="str">
        <f>IFERROR(MATCH(SMALL(Cálculos!$AJ$5:$AJ$1000,969),Cálculos!$AJ$5:$AJ$1000,0)+4,"")</f>
        <v/>
      </c>
    </row>
    <row r="974">
      <c r="B974" s="5" t="str">
        <f>IF($H974="","",INDEX('Detalle individual'!$B:$B,$H974))</f>
        <v/>
      </c>
      <c r="C974" s="5" t="str">
        <f>IF($H974="","",INDEX('Detalle individual'!$A:$A,$H974))</f>
        <v/>
      </c>
      <c r="D974" s="5" t="str">
        <f>IF($H974="","",INDEX('Detalle individual'!$E:$E,$H974))</f>
        <v/>
      </c>
      <c r="E974" s="5" t="str">
        <f>IF($H974="","",INDEX('Detalle individual'!$C:$C,$H974))</f>
        <v/>
      </c>
      <c r="F974" s="5" t="str">
        <f>IF($H974="","",INDEX('Detalle individual'!$D:$D,$H974))</f>
        <v/>
      </c>
      <c r="G974" s="5" t="str">
        <f>IF($H974="","",INDEX('Detalle individual'!$F:$F,$H974))</f>
        <v/>
      </c>
      <c r="H974" t="str">
        <f>IFERROR(MATCH(SMALL(Cálculos!$AJ$5:$AJ$1000,970),Cálculos!$AJ$5:$AJ$1000,0)+4,"")</f>
        <v/>
      </c>
    </row>
    <row r="975">
      <c r="B975" s="5" t="str">
        <f>IF($H975="","",INDEX('Detalle individual'!$B:$B,$H975))</f>
        <v/>
      </c>
      <c r="C975" s="5" t="str">
        <f>IF($H975="","",INDEX('Detalle individual'!$A:$A,$H975))</f>
        <v/>
      </c>
      <c r="D975" s="5" t="str">
        <f>IF($H975="","",INDEX('Detalle individual'!$E:$E,$H975))</f>
        <v/>
      </c>
      <c r="E975" s="5" t="str">
        <f>IF($H975="","",INDEX('Detalle individual'!$C:$C,$H975))</f>
        <v/>
      </c>
      <c r="F975" s="5" t="str">
        <f>IF($H975="","",INDEX('Detalle individual'!$D:$D,$H975))</f>
        <v/>
      </c>
      <c r="G975" s="5" t="str">
        <f>IF($H975="","",INDEX('Detalle individual'!$F:$F,$H975))</f>
        <v/>
      </c>
      <c r="H975" t="str">
        <f>IFERROR(MATCH(SMALL(Cálculos!$AJ$5:$AJ$1000,971),Cálculos!$AJ$5:$AJ$1000,0)+4,"")</f>
        <v/>
      </c>
    </row>
    <row r="976">
      <c r="B976" s="5" t="str">
        <f>IF($H976="","",INDEX('Detalle individual'!$B:$B,$H976))</f>
        <v/>
      </c>
      <c r="C976" s="5" t="str">
        <f>IF($H976="","",INDEX('Detalle individual'!$A:$A,$H976))</f>
        <v/>
      </c>
      <c r="D976" s="5" t="str">
        <f>IF($H976="","",INDEX('Detalle individual'!$E:$E,$H976))</f>
        <v/>
      </c>
      <c r="E976" s="5" t="str">
        <f>IF($H976="","",INDEX('Detalle individual'!$C:$C,$H976))</f>
        <v/>
      </c>
      <c r="F976" s="5" t="str">
        <f>IF($H976="","",INDEX('Detalle individual'!$D:$D,$H976))</f>
        <v/>
      </c>
      <c r="G976" s="5" t="str">
        <f>IF($H976="","",INDEX('Detalle individual'!$F:$F,$H976))</f>
        <v/>
      </c>
      <c r="H976" t="str">
        <f>IFERROR(MATCH(SMALL(Cálculos!$AJ$5:$AJ$1000,972),Cálculos!$AJ$5:$AJ$1000,0)+4,"")</f>
        <v/>
      </c>
    </row>
    <row r="977">
      <c r="B977" s="5" t="str">
        <f>IF($H977="","",INDEX('Detalle individual'!$B:$B,$H977))</f>
        <v/>
      </c>
      <c r="C977" s="5" t="str">
        <f>IF($H977="","",INDEX('Detalle individual'!$A:$A,$H977))</f>
        <v/>
      </c>
      <c r="D977" s="5" t="str">
        <f>IF($H977="","",INDEX('Detalle individual'!$E:$E,$H977))</f>
        <v/>
      </c>
      <c r="E977" s="5" t="str">
        <f>IF($H977="","",INDEX('Detalle individual'!$C:$C,$H977))</f>
        <v/>
      </c>
      <c r="F977" s="5" t="str">
        <f>IF($H977="","",INDEX('Detalle individual'!$D:$D,$H977))</f>
        <v/>
      </c>
      <c r="G977" s="5" t="str">
        <f>IF($H977="","",INDEX('Detalle individual'!$F:$F,$H977))</f>
        <v/>
      </c>
      <c r="H977" t="str">
        <f>IFERROR(MATCH(SMALL(Cálculos!$AJ$5:$AJ$1000,973),Cálculos!$AJ$5:$AJ$1000,0)+4,"")</f>
        <v/>
      </c>
    </row>
    <row r="978">
      <c r="B978" s="5" t="str">
        <f>IF($H978="","",INDEX('Detalle individual'!$B:$B,$H978))</f>
        <v/>
      </c>
      <c r="C978" s="5" t="str">
        <f>IF($H978="","",INDEX('Detalle individual'!$A:$A,$H978))</f>
        <v/>
      </c>
      <c r="D978" s="5" t="str">
        <f>IF($H978="","",INDEX('Detalle individual'!$E:$E,$H978))</f>
        <v/>
      </c>
      <c r="E978" s="5" t="str">
        <f>IF($H978="","",INDEX('Detalle individual'!$C:$C,$H978))</f>
        <v/>
      </c>
      <c r="F978" s="5" t="str">
        <f>IF($H978="","",INDEX('Detalle individual'!$D:$D,$H978))</f>
        <v/>
      </c>
      <c r="G978" s="5" t="str">
        <f>IF($H978="","",INDEX('Detalle individual'!$F:$F,$H978))</f>
        <v/>
      </c>
      <c r="H978" t="str">
        <f>IFERROR(MATCH(SMALL(Cálculos!$AJ$5:$AJ$1000,974),Cálculos!$AJ$5:$AJ$1000,0)+4,"")</f>
        <v/>
      </c>
    </row>
    <row r="979">
      <c r="B979" s="5" t="str">
        <f>IF($H979="","",INDEX('Detalle individual'!$B:$B,$H979))</f>
        <v/>
      </c>
      <c r="C979" s="5" t="str">
        <f>IF($H979="","",INDEX('Detalle individual'!$A:$A,$H979))</f>
        <v/>
      </c>
      <c r="D979" s="5" t="str">
        <f>IF($H979="","",INDEX('Detalle individual'!$E:$E,$H979))</f>
        <v/>
      </c>
      <c r="E979" s="5" t="str">
        <f>IF($H979="","",INDEX('Detalle individual'!$C:$C,$H979))</f>
        <v/>
      </c>
      <c r="F979" s="5" t="str">
        <f>IF($H979="","",INDEX('Detalle individual'!$D:$D,$H979))</f>
        <v/>
      </c>
      <c r="G979" s="5" t="str">
        <f>IF($H979="","",INDEX('Detalle individual'!$F:$F,$H979))</f>
        <v/>
      </c>
      <c r="H979" t="str">
        <f>IFERROR(MATCH(SMALL(Cálculos!$AJ$5:$AJ$1000,975),Cálculos!$AJ$5:$AJ$1000,0)+4,"")</f>
        <v/>
      </c>
    </row>
    <row r="980">
      <c r="B980" s="5" t="str">
        <f>IF($H980="","",INDEX('Detalle individual'!$B:$B,$H980))</f>
        <v/>
      </c>
      <c r="C980" s="5" t="str">
        <f>IF($H980="","",INDEX('Detalle individual'!$A:$A,$H980))</f>
        <v/>
      </c>
      <c r="D980" s="5" t="str">
        <f>IF($H980="","",INDEX('Detalle individual'!$E:$E,$H980))</f>
        <v/>
      </c>
      <c r="E980" s="5" t="str">
        <f>IF($H980="","",INDEX('Detalle individual'!$C:$C,$H980))</f>
        <v/>
      </c>
      <c r="F980" s="5" t="str">
        <f>IF($H980="","",INDEX('Detalle individual'!$D:$D,$H980))</f>
        <v/>
      </c>
      <c r="G980" s="5" t="str">
        <f>IF($H980="","",INDEX('Detalle individual'!$F:$F,$H980))</f>
        <v/>
      </c>
      <c r="H980" t="str">
        <f>IFERROR(MATCH(SMALL(Cálculos!$AJ$5:$AJ$1000,976),Cálculos!$AJ$5:$AJ$1000,0)+4,"")</f>
        <v/>
      </c>
    </row>
    <row r="981">
      <c r="B981" s="5" t="str">
        <f>IF($H981="","",INDEX('Detalle individual'!$B:$B,$H981))</f>
        <v/>
      </c>
      <c r="C981" s="5" t="str">
        <f>IF($H981="","",INDEX('Detalle individual'!$A:$A,$H981))</f>
        <v/>
      </c>
      <c r="D981" s="5" t="str">
        <f>IF($H981="","",INDEX('Detalle individual'!$E:$E,$H981))</f>
        <v/>
      </c>
      <c r="E981" s="5" t="str">
        <f>IF($H981="","",INDEX('Detalle individual'!$C:$C,$H981))</f>
        <v/>
      </c>
      <c r="F981" s="5" t="str">
        <f>IF($H981="","",INDEX('Detalle individual'!$D:$D,$H981))</f>
        <v/>
      </c>
      <c r="G981" s="5" t="str">
        <f>IF($H981="","",INDEX('Detalle individual'!$F:$F,$H981))</f>
        <v/>
      </c>
      <c r="H981" t="str">
        <f>IFERROR(MATCH(SMALL(Cálculos!$AJ$5:$AJ$1000,977),Cálculos!$AJ$5:$AJ$1000,0)+4,"")</f>
        <v/>
      </c>
    </row>
    <row r="982">
      <c r="B982" s="5" t="str">
        <f>IF($H982="","",INDEX('Detalle individual'!$B:$B,$H982))</f>
        <v/>
      </c>
      <c r="C982" s="5" t="str">
        <f>IF($H982="","",INDEX('Detalle individual'!$A:$A,$H982))</f>
        <v/>
      </c>
      <c r="D982" s="5" t="str">
        <f>IF($H982="","",INDEX('Detalle individual'!$E:$E,$H982))</f>
        <v/>
      </c>
      <c r="E982" s="5" t="str">
        <f>IF($H982="","",INDEX('Detalle individual'!$C:$C,$H982))</f>
        <v/>
      </c>
      <c r="F982" s="5" t="str">
        <f>IF($H982="","",INDEX('Detalle individual'!$D:$D,$H982))</f>
        <v/>
      </c>
      <c r="G982" s="5" t="str">
        <f>IF($H982="","",INDEX('Detalle individual'!$F:$F,$H982))</f>
        <v/>
      </c>
      <c r="H982" t="str">
        <f>IFERROR(MATCH(SMALL(Cálculos!$AJ$5:$AJ$1000,978),Cálculos!$AJ$5:$AJ$1000,0)+4,"")</f>
        <v/>
      </c>
    </row>
    <row r="983">
      <c r="B983" s="5" t="str">
        <f>IF($H983="","",INDEX('Detalle individual'!$B:$B,$H983))</f>
        <v/>
      </c>
      <c r="C983" s="5" t="str">
        <f>IF($H983="","",INDEX('Detalle individual'!$A:$A,$H983))</f>
        <v/>
      </c>
      <c r="D983" s="5" t="str">
        <f>IF($H983="","",INDEX('Detalle individual'!$E:$E,$H983))</f>
        <v/>
      </c>
      <c r="E983" s="5" t="str">
        <f>IF($H983="","",INDEX('Detalle individual'!$C:$C,$H983))</f>
        <v/>
      </c>
      <c r="F983" s="5" t="str">
        <f>IF($H983="","",INDEX('Detalle individual'!$D:$D,$H983))</f>
        <v/>
      </c>
      <c r="G983" s="5" t="str">
        <f>IF($H983="","",INDEX('Detalle individual'!$F:$F,$H983))</f>
        <v/>
      </c>
      <c r="H983" t="str">
        <f>IFERROR(MATCH(SMALL(Cálculos!$AJ$5:$AJ$1000,979),Cálculos!$AJ$5:$AJ$1000,0)+4,"")</f>
        <v/>
      </c>
    </row>
    <row r="984">
      <c r="B984" s="5" t="str">
        <f>IF($H984="","",INDEX('Detalle individual'!$B:$B,$H984))</f>
        <v/>
      </c>
      <c r="C984" s="5" t="str">
        <f>IF($H984="","",INDEX('Detalle individual'!$A:$A,$H984))</f>
        <v/>
      </c>
      <c r="D984" s="5" t="str">
        <f>IF($H984="","",INDEX('Detalle individual'!$E:$E,$H984))</f>
        <v/>
      </c>
      <c r="E984" s="5" t="str">
        <f>IF($H984="","",INDEX('Detalle individual'!$C:$C,$H984))</f>
        <v/>
      </c>
      <c r="F984" s="5" t="str">
        <f>IF($H984="","",INDEX('Detalle individual'!$D:$D,$H984))</f>
        <v/>
      </c>
      <c r="G984" s="5" t="str">
        <f>IF($H984="","",INDEX('Detalle individual'!$F:$F,$H984))</f>
        <v/>
      </c>
      <c r="H984" t="str">
        <f>IFERROR(MATCH(SMALL(Cálculos!$AJ$5:$AJ$1000,980),Cálculos!$AJ$5:$AJ$1000,0)+4,"")</f>
        <v/>
      </c>
    </row>
    <row r="985">
      <c r="B985" s="5" t="str">
        <f>IF($H985="","",INDEX('Detalle individual'!$B:$B,$H985))</f>
        <v/>
      </c>
      <c r="C985" s="5" t="str">
        <f>IF($H985="","",INDEX('Detalle individual'!$A:$A,$H985))</f>
        <v/>
      </c>
      <c r="D985" s="5" t="str">
        <f>IF($H985="","",INDEX('Detalle individual'!$E:$E,$H985))</f>
        <v/>
      </c>
      <c r="E985" s="5" t="str">
        <f>IF($H985="","",INDEX('Detalle individual'!$C:$C,$H985))</f>
        <v/>
      </c>
      <c r="F985" s="5" t="str">
        <f>IF($H985="","",INDEX('Detalle individual'!$D:$D,$H985))</f>
        <v/>
      </c>
      <c r="G985" s="5" t="str">
        <f>IF($H985="","",INDEX('Detalle individual'!$F:$F,$H985))</f>
        <v/>
      </c>
      <c r="H985" t="str">
        <f>IFERROR(MATCH(SMALL(Cálculos!$AJ$5:$AJ$1000,981),Cálculos!$AJ$5:$AJ$1000,0)+4,"")</f>
        <v/>
      </c>
    </row>
    <row r="986">
      <c r="B986" s="5" t="str">
        <f>IF($H986="","",INDEX('Detalle individual'!$B:$B,$H986))</f>
        <v/>
      </c>
      <c r="C986" s="5" t="str">
        <f>IF($H986="","",INDEX('Detalle individual'!$A:$A,$H986))</f>
        <v/>
      </c>
      <c r="D986" s="5" t="str">
        <f>IF($H986="","",INDEX('Detalle individual'!$E:$E,$H986))</f>
        <v/>
      </c>
      <c r="E986" s="5" t="str">
        <f>IF($H986="","",INDEX('Detalle individual'!$C:$C,$H986))</f>
        <v/>
      </c>
      <c r="F986" s="5" t="str">
        <f>IF($H986="","",INDEX('Detalle individual'!$D:$D,$H986))</f>
        <v/>
      </c>
      <c r="G986" s="5" t="str">
        <f>IF($H986="","",INDEX('Detalle individual'!$F:$F,$H986))</f>
        <v/>
      </c>
      <c r="H986" t="str">
        <f>IFERROR(MATCH(SMALL(Cálculos!$AJ$5:$AJ$1000,982),Cálculos!$AJ$5:$AJ$1000,0)+4,"")</f>
        <v/>
      </c>
    </row>
    <row r="987">
      <c r="B987" s="5" t="str">
        <f>IF($H987="","",INDEX('Detalle individual'!$B:$B,$H987))</f>
        <v/>
      </c>
      <c r="C987" s="5" t="str">
        <f>IF($H987="","",INDEX('Detalle individual'!$A:$A,$H987))</f>
        <v/>
      </c>
      <c r="D987" s="5" t="str">
        <f>IF($H987="","",INDEX('Detalle individual'!$E:$E,$H987))</f>
        <v/>
      </c>
      <c r="E987" s="5" t="str">
        <f>IF($H987="","",INDEX('Detalle individual'!$C:$C,$H987))</f>
        <v/>
      </c>
      <c r="F987" s="5" t="str">
        <f>IF($H987="","",INDEX('Detalle individual'!$D:$D,$H987))</f>
        <v/>
      </c>
      <c r="G987" s="5" t="str">
        <f>IF($H987="","",INDEX('Detalle individual'!$F:$F,$H987))</f>
        <v/>
      </c>
      <c r="H987" t="str">
        <f>IFERROR(MATCH(SMALL(Cálculos!$AJ$5:$AJ$1000,983),Cálculos!$AJ$5:$AJ$1000,0)+4,"")</f>
        <v/>
      </c>
    </row>
    <row r="988">
      <c r="B988" s="5" t="str">
        <f>IF($H988="","",INDEX('Detalle individual'!$B:$B,$H988))</f>
        <v/>
      </c>
      <c r="C988" s="5" t="str">
        <f>IF($H988="","",INDEX('Detalle individual'!$A:$A,$H988))</f>
        <v/>
      </c>
      <c r="D988" s="5" t="str">
        <f>IF($H988="","",INDEX('Detalle individual'!$E:$E,$H988))</f>
        <v/>
      </c>
      <c r="E988" s="5" t="str">
        <f>IF($H988="","",INDEX('Detalle individual'!$C:$C,$H988))</f>
        <v/>
      </c>
      <c r="F988" s="5" t="str">
        <f>IF($H988="","",INDEX('Detalle individual'!$D:$D,$H988))</f>
        <v/>
      </c>
      <c r="G988" s="5" t="str">
        <f>IF($H988="","",INDEX('Detalle individual'!$F:$F,$H988))</f>
        <v/>
      </c>
      <c r="H988" t="str">
        <f>IFERROR(MATCH(SMALL(Cálculos!$AJ$5:$AJ$1000,984),Cálculos!$AJ$5:$AJ$1000,0)+4,"")</f>
        <v/>
      </c>
    </row>
    <row r="989">
      <c r="B989" s="5" t="str">
        <f>IF($H989="","",INDEX('Detalle individual'!$B:$B,$H989))</f>
        <v/>
      </c>
      <c r="C989" s="5" t="str">
        <f>IF($H989="","",INDEX('Detalle individual'!$A:$A,$H989))</f>
        <v/>
      </c>
      <c r="D989" s="5" t="str">
        <f>IF($H989="","",INDEX('Detalle individual'!$E:$E,$H989))</f>
        <v/>
      </c>
      <c r="E989" s="5" t="str">
        <f>IF($H989="","",INDEX('Detalle individual'!$C:$C,$H989))</f>
        <v/>
      </c>
      <c r="F989" s="5" t="str">
        <f>IF($H989="","",INDEX('Detalle individual'!$D:$D,$H989))</f>
        <v/>
      </c>
      <c r="G989" s="5" t="str">
        <f>IF($H989="","",INDEX('Detalle individual'!$F:$F,$H989))</f>
        <v/>
      </c>
      <c r="H989" t="str">
        <f>IFERROR(MATCH(SMALL(Cálculos!$AJ$5:$AJ$1000,985),Cálculos!$AJ$5:$AJ$1000,0)+4,"")</f>
        <v/>
      </c>
    </row>
    <row r="990">
      <c r="B990" s="5" t="str">
        <f>IF($H990="","",INDEX('Detalle individual'!$B:$B,$H990))</f>
        <v/>
      </c>
      <c r="C990" s="5" t="str">
        <f>IF($H990="","",INDEX('Detalle individual'!$A:$A,$H990))</f>
        <v/>
      </c>
      <c r="D990" s="5" t="str">
        <f>IF($H990="","",INDEX('Detalle individual'!$E:$E,$H990))</f>
        <v/>
      </c>
      <c r="E990" s="5" t="str">
        <f>IF($H990="","",INDEX('Detalle individual'!$C:$C,$H990))</f>
        <v/>
      </c>
      <c r="F990" s="5" t="str">
        <f>IF($H990="","",INDEX('Detalle individual'!$D:$D,$H990))</f>
        <v/>
      </c>
      <c r="G990" s="5" t="str">
        <f>IF($H990="","",INDEX('Detalle individual'!$F:$F,$H990))</f>
        <v/>
      </c>
      <c r="H990" t="str">
        <f>IFERROR(MATCH(SMALL(Cálculos!$AJ$5:$AJ$1000,986),Cálculos!$AJ$5:$AJ$1000,0)+4,"")</f>
        <v/>
      </c>
    </row>
    <row r="991">
      <c r="B991" s="5" t="str">
        <f>IF($H991="","",INDEX('Detalle individual'!$B:$B,$H991))</f>
        <v/>
      </c>
      <c r="C991" s="5" t="str">
        <f>IF($H991="","",INDEX('Detalle individual'!$A:$A,$H991))</f>
        <v/>
      </c>
      <c r="D991" s="5" t="str">
        <f>IF($H991="","",INDEX('Detalle individual'!$E:$E,$H991))</f>
        <v/>
      </c>
      <c r="E991" s="5" t="str">
        <f>IF($H991="","",INDEX('Detalle individual'!$C:$C,$H991))</f>
        <v/>
      </c>
      <c r="F991" s="5" t="str">
        <f>IF($H991="","",INDEX('Detalle individual'!$D:$D,$H991))</f>
        <v/>
      </c>
      <c r="G991" s="5" t="str">
        <f>IF($H991="","",INDEX('Detalle individual'!$F:$F,$H991))</f>
        <v/>
      </c>
      <c r="H991" t="str">
        <f>IFERROR(MATCH(SMALL(Cálculos!$AJ$5:$AJ$1000,987),Cálculos!$AJ$5:$AJ$1000,0)+4,"")</f>
        <v/>
      </c>
    </row>
    <row r="992">
      <c r="B992" s="5" t="str">
        <f>IF($H992="","",INDEX('Detalle individual'!$B:$B,$H992))</f>
        <v/>
      </c>
      <c r="C992" s="5" t="str">
        <f>IF($H992="","",INDEX('Detalle individual'!$A:$A,$H992))</f>
        <v/>
      </c>
      <c r="D992" s="5" t="str">
        <f>IF($H992="","",INDEX('Detalle individual'!$E:$E,$H992))</f>
        <v/>
      </c>
      <c r="E992" s="5" t="str">
        <f>IF($H992="","",INDEX('Detalle individual'!$C:$C,$H992))</f>
        <v/>
      </c>
      <c r="F992" s="5" t="str">
        <f>IF($H992="","",INDEX('Detalle individual'!$D:$D,$H992))</f>
        <v/>
      </c>
      <c r="G992" s="5" t="str">
        <f>IF($H992="","",INDEX('Detalle individual'!$F:$F,$H992))</f>
        <v/>
      </c>
      <c r="H992" t="str">
        <f>IFERROR(MATCH(SMALL(Cálculos!$AJ$5:$AJ$1000,988),Cálculos!$AJ$5:$AJ$1000,0)+4,"")</f>
        <v/>
      </c>
    </row>
    <row r="993">
      <c r="B993" s="5" t="str">
        <f>IF($H993="","",INDEX('Detalle individual'!$B:$B,$H993))</f>
        <v/>
      </c>
      <c r="C993" s="5" t="str">
        <f>IF($H993="","",INDEX('Detalle individual'!$A:$A,$H993))</f>
        <v/>
      </c>
      <c r="D993" s="5" t="str">
        <f>IF($H993="","",INDEX('Detalle individual'!$E:$E,$H993))</f>
        <v/>
      </c>
      <c r="E993" s="5" t="str">
        <f>IF($H993="","",INDEX('Detalle individual'!$C:$C,$H993))</f>
        <v/>
      </c>
      <c r="F993" s="5" t="str">
        <f>IF($H993="","",INDEX('Detalle individual'!$D:$D,$H993))</f>
        <v/>
      </c>
      <c r="G993" s="5" t="str">
        <f>IF($H993="","",INDEX('Detalle individual'!$F:$F,$H993))</f>
        <v/>
      </c>
      <c r="H993" t="str">
        <f>IFERROR(MATCH(SMALL(Cálculos!$AJ$5:$AJ$1000,989),Cálculos!$AJ$5:$AJ$1000,0)+4,"")</f>
        <v/>
      </c>
    </row>
    <row r="994">
      <c r="B994" s="5" t="str">
        <f>IF($H994="","",INDEX('Detalle individual'!$B:$B,$H994))</f>
        <v/>
      </c>
      <c r="C994" s="5" t="str">
        <f>IF($H994="","",INDEX('Detalle individual'!$A:$A,$H994))</f>
        <v/>
      </c>
      <c r="D994" s="5" t="str">
        <f>IF($H994="","",INDEX('Detalle individual'!$E:$E,$H994))</f>
        <v/>
      </c>
      <c r="E994" s="5" t="str">
        <f>IF($H994="","",INDEX('Detalle individual'!$C:$C,$H994))</f>
        <v/>
      </c>
      <c r="F994" s="5" t="str">
        <f>IF($H994="","",INDEX('Detalle individual'!$D:$D,$H994))</f>
        <v/>
      </c>
      <c r="G994" s="5" t="str">
        <f>IF($H994="","",INDEX('Detalle individual'!$F:$F,$H994))</f>
        <v/>
      </c>
      <c r="H994" t="str">
        <f>IFERROR(MATCH(SMALL(Cálculos!$AJ$5:$AJ$1000,990),Cálculos!$AJ$5:$AJ$1000,0)+4,"")</f>
        <v/>
      </c>
    </row>
    <row r="995">
      <c r="B995" s="5" t="str">
        <f>IF($H995="","",INDEX('Detalle individual'!$B:$B,$H995))</f>
        <v/>
      </c>
      <c r="C995" s="5" t="str">
        <f>IF($H995="","",INDEX('Detalle individual'!$A:$A,$H995))</f>
        <v/>
      </c>
      <c r="D995" s="5" t="str">
        <f>IF($H995="","",INDEX('Detalle individual'!$E:$E,$H995))</f>
        <v/>
      </c>
      <c r="E995" s="5" t="str">
        <f>IF($H995="","",INDEX('Detalle individual'!$C:$C,$H995))</f>
        <v/>
      </c>
      <c r="F995" s="5" t="str">
        <f>IF($H995="","",INDEX('Detalle individual'!$D:$D,$H995))</f>
        <v/>
      </c>
      <c r="G995" s="5" t="str">
        <f>IF($H995="","",INDEX('Detalle individual'!$F:$F,$H995))</f>
        <v/>
      </c>
      <c r="H995" t="str">
        <f>IFERROR(MATCH(SMALL(Cálculos!$AJ$5:$AJ$1000,991),Cálculos!$AJ$5:$AJ$1000,0)+4,"")</f>
        <v/>
      </c>
    </row>
    <row r="996">
      <c r="B996" s="5" t="str">
        <f>IF($H996="","",INDEX('Detalle individual'!$B:$B,$H996))</f>
        <v/>
      </c>
      <c r="C996" s="5" t="str">
        <f>IF($H996="","",INDEX('Detalle individual'!$A:$A,$H996))</f>
        <v/>
      </c>
      <c r="D996" s="5" t="str">
        <f>IF($H996="","",INDEX('Detalle individual'!$E:$E,$H996))</f>
        <v/>
      </c>
      <c r="E996" s="5" t="str">
        <f>IF($H996="","",INDEX('Detalle individual'!$C:$C,$H996))</f>
        <v/>
      </c>
      <c r="F996" s="5" t="str">
        <f>IF($H996="","",INDEX('Detalle individual'!$D:$D,$H996))</f>
        <v/>
      </c>
      <c r="G996" s="5" t="str">
        <f>IF($H996="","",INDEX('Detalle individual'!$F:$F,$H996))</f>
        <v/>
      </c>
      <c r="H996" t="str">
        <f>IFERROR(MATCH(SMALL(Cálculos!$AJ$5:$AJ$1000,992),Cálculos!$AJ$5:$AJ$1000,0)+4,"")</f>
        <v/>
      </c>
    </row>
    <row r="997">
      <c r="B997" s="5" t="str">
        <f>IF($H997="","",INDEX('Detalle individual'!$B:$B,$H997))</f>
        <v/>
      </c>
      <c r="C997" s="5" t="str">
        <f>IF($H997="","",INDEX('Detalle individual'!$A:$A,$H997))</f>
        <v/>
      </c>
      <c r="D997" s="5" t="str">
        <f>IF($H997="","",INDEX('Detalle individual'!$E:$E,$H997))</f>
        <v/>
      </c>
      <c r="E997" s="5" t="str">
        <f>IF($H997="","",INDEX('Detalle individual'!$C:$C,$H997))</f>
        <v/>
      </c>
      <c r="F997" s="5" t="str">
        <f>IF($H997="","",INDEX('Detalle individual'!$D:$D,$H997))</f>
        <v/>
      </c>
      <c r="G997" s="5" t="str">
        <f>IF($H997="","",INDEX('Detalle individual'!$F:$F,$H997))</f>
        <v/>
      </c>
      <c r="H997" t="str">
        <f>IFERROR(MATCH(SMALL(Cálculos!$AJ$5:$AJ$1000,993),Cálculos!$AJ$5:$AJ$1000,0)+4,"")</f>
        <v/>
      </c>
    </row>
    <row r="998">
      <c r="B998" s="5" t="str">
        <f>IF($H998="","",INDEX('Detalle individual'!$B:$B,$H998))</f>
        <v/>
      </c>
      <c r="C998" s="5" t="str">
        <f>IF($H998="","",INDEX('Detalle individual'!$A:$A,$H998))</f>
        <v/>
      </c>
      <c r="D998" s="5" t="str">
        <f>IF($H998="","",INDEX('Detalle individual'!$E:$E,$H998))</f>
        <v/>
      </c>
      <c r="E998" s="5" t="str">
        <f>IF($H998="","",INDEX('Detalle individual'!$C:$C,$H998))</f>
        <v/>
      </c>
      <c r="F998" s="5" t="str">
        <f>IF($H998="","",INDEX('Detalle individual'!$D:$D,$H998))</f>
        <v/>
      </c>
      <c r="G998" s="5" t="str">
        <f>IF($H998="","",INDEX('Detalle individual'!$F:$F,$H998))</f>
        <v/>
      </c>
      <c r="H998" t="str">
        <f>IFERROR(MATCH(SMALL(Cálculos!$AJ$5:$AJ$1000,994),Cálculos!$AJ$5:$AJ$1000,0)+4,"")</f>
        <v/>
      </c>
    </row>
    <row r="999">
      <c r="B999" s="5" t="str">
        <f>IF($H999="","",INDEX('Detalle individual'!$B:$B,$H999))</f>
        <v/>
      </c>
      <c r="C999" s="5" t="str">
        <f>IF($H999="","",INDEX('Detalle individual'!$A:$A,$H999))</f>
        <v/>
      </c>
      <c r="D999" s="5" t="str">
        <f>IF($H999="","",INDEX('Detalle individual'!$E:$E,$H999))</f>
        <v/>
      </c>
      <c r="E999" s="5" t="str">
        <f>IF($H999="","",INDEX('Detalle individual'!$C:$C,$H999))</f>
        <v/>
      </c>
      <c r="F999" s="5" t="str">
        <f>IF($H999="","",INDEX('Detalle individual'!$D:$D,$H999))</f>
        <v/>
      </c>
      <c r="G999" s="5" t="str">
        <f>IF($H999="","",INDEX('Detalle individual'!$F:$F,$H999))</f>
        <v/>
      </c>
      <c r="H999" t="str">
        <f>IFERROR(MATCH(SMALL(Cálculos!$AJ$5:$AJ$1000,995),Cálculos!$AJ$5:$AJ$1000,0)+4,"")</f>
        <v/>
      </c>
    </row>
    <row r="1000">
      <c r="B1000" s="5" t="str">
        <f>IF($H1000="","",INDEX('Detalle individual'!$B:$B,$H1000))</f>
        <v/>
      </c>
      <c r="C1000" s="5" t="str">
        <f>IF($H1000="","",INDEX('Detalle individual'!$A:$A,$H1000))</f>
        <v/>
      </c>
      <c r="D1000" s="5" t="str">
        <f>IF($H1000="","",INDEX('Detalle individual'!$E:$E,$H1000))</f>
        <v/>
      </c>
      <c r="E1000" s="5" t="str">
        <f>IF($H1000="","",INDEX('Detalle individual'!$C:$C,$H1000))</f>
        <v/>
      </c>
      <c r="F1000" s="5" t="str">
        <f>IF($H1000="","",INDEX('Detalle individual'!$D:$D,$H1000))</f>
        <v/>
      </c>
      <c r="G1000" s="5" t="str">
        <f>IF($H1000="","",INDEX('Detalle individual'!$F:$F,$H1000))</f>
        <v/>
      </c>
      <c r="H1000" t="str">
        <f>IFERROR(MATCH(SMALL(Cálculos!$AJ$5:$AJ$1000,996),Cálculos!$AJ$5:$AJ$1000,0)+4,"")</f>
        <v/>
      </c>
    </row>
  </sheetData>
  <autoFilter ref="B4:G100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42" customWidth="1" style="38" min="1" max="1"/>
    <col width="12" customWidth="1" style="38" min="2" max="2"/>
    <col width="46" customWidth="1" style="38" min="3" max="3"/>
    <col width="50" customWidth="1" style="38" min="4" max="4"/>
    <col width="36" customWidth="1" style="38" min="5" max="5"/>
    <col width="18" customWidth="1" style="38" min="6" max="6"/>
    <col hidden="1" width="8" customWidth="1" style="38" min="7" max="7"/>
    <col width="11" customWidth="1" style="38" min="8" max="8"/>
    <col hidden="1" width="13" customWidth="1" style="38" min="10" max="10"/>
  </cols>
  <sheetData>
    <row r="1" ht="21" customHeight="1" s="38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27" t="str">
        <f>"Total: "&amp;COUNT(J5:J1000)&amp;" colaboradores"</f>
        <v>Total: 278 colaboradores</v>
      </c>
    </row>
    <row r="4" ht="28.8" customHeight="1" s="38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23">
        <f>IF($J5="","",INDEX('Detalle individual'!$H:$H,$J5))</f>
        <v>46296.68074074074</v>
      </c>
      <c r="G5" s="28">
        <f>IF($J5="","",INDEX('Detalle individual'!$J:$J,$J5))</f>
        <v>100</v>
      </c>
      <c r="H5" s="28">
        <f>IF($J5="","",INDEX('Detalle individual'!$L:$L,$J5))</f>
        <v>1</v>
      </c>
      <c r="J5">
        <f>IFERROR(MATCH(SMALL(Cálculos!$AI$5:$AI$1000,1),Cálculos!$AI$5:$AI$1000,0)+4,"")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23">
        <f>IF($J6="","",INDEX('Detalle individual'!$H:$H,$J6))</f>
        <v>46296.62321759259</v>
      </c>
      <c r="G6" s="28">
        <f>IF($J6="","",INDEX('Detalle individual'!$J:$J,$J6))</f>
        <v>100</v>
      </c>
      <c r="H6" s="28">
        <f>IF($J6="","",INDEX('Detalle individual'!$L:$L,$J6))</f>
        <v>1</v>
      </c>
      <c r="J6">
        <f>IFERROR(MATCH(SMALL(Cálculos!$AI$5:$AI$1000,2),Cálculos!$AI$5:$AI$1000,0)+4,"")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23">
        <f>IF($J7="","",INDEX('Detalle individual'!$H:$H,$J7))</f>
        <v>46304.404328703706</v>
      </c>
      <c r="G7" s="28">
        <f>IF($J7="","",INDEX('Detalle individual'!$J:$J,$J7))</f>
        <v>90</v>
      </c>
      <c r="H7" s="28">
        <f>IF($J7="","",INDEX('Detalle individual'!$L:$L,$J7))</f>
        <v>1</v>
      </c>
      <c r="J7">
        <f>IFERROR(MATCH(SMALL(Cálculos!$AI$5:$AI$1000,3),Cálculos!$AI$5:$AI$1000,0)+4,"")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23">
        <f>IF($J8="","",INDEX('Detalle individual'!$H:$H,$J8))</f>
        <v>46307.652766203704</v>
      </c>
      <c r="G8" s="28">
        <f>IF($J8="","",INDEX('Detalle individual'!$J:$J,$J8))</f>
        <v>100</v>
      </c>
      <c r="H8" s="28">
        <f>IF($J8="","",INDEX('Detalle individual'!$L:$L,$J8))</f>
        <v>1</v>
      </c>
      <c r="J8">
        <f>IFERROR(MATCH(SMALL(Cálculos!$AI$5:$AI$1000,4),Cálculos!$AI$5:$AI$1000,0)+4,"")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23">
        <f>IF($J9="","",INDEX('Detalle individual'!$H:$H,$J9))</f>
        <v>46307.43875</v>
      </c>
      <c r="G9" s="28">
        <f>IF($J9="","",INDEX('Detalle individual'!$J:$J,$J9))</f>
        <v>100</v>
      </c>
      <c r="H9" s="28">
        <f>IF($J9="","",INDEX('Detalle individual'!$L:$L,$J9))</f>
        <v>1</v>
      </c>
      <c r="J9">
        <f>IFERROR(MATCH(SMALL(Cálculos!$AI$5:$AI$1000,5),Cálculos!$AI$5:$AI$1000,0)+4,"")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23">
        <f>IF($J10="","",INDEX('Detalle individual'!$H:$H,$J10))</f>
        <v>46304.40319444444</v>
      </c>
      <c r="G10" s="28">
        <f>IF($J10="","",INDEX('Detalle individual'!$J:$J,$J10))</f>
        <v>90</v>
      </c>
      <c r="H10" s="28">
        <f>IF($J10="","",INDEX('Detalle individual'!$L:$L,$J10))</f>
        <v>1</v>
      </c>
      <c r="J10">
        <f>IFERROR(MATCH(SMALL(Cálculos!$AI$5:$AI$1000,6),Cálculos!$AI$5:$AI$1000,0)+4,"")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23">
        <f>IF($J11="","",INDEX('Detalle individual'!$H:$H,$J11))</f>
        <v>46296.711550925924</v>
      </c>
      <c r="G11" s="28">
        <f>IF($J11="","",INDEX('Detalle individual'!$J:$J,$J11))</f>
        <v>100</v>
      </c>
      <c r="H11" s="28">
        <f>IF($J11="","",INDEX('Detalle individual'!$L:$L,$J11))</f>
        <v>1</v>
      </c>
      <c r="J11">
        <f>IFERROR(MATCH(SMALL(Cálculos!$AI$5:$AI$1000,7),Cálculos!$AI$5:$AI$1000,0)+4,"")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23">
        <f>IF($J12="","",INDEX('Detalle individual'!$H:$H,$J12))</f>
        <v>46300.658009259256</v>
      </c>
      <c r="G12" s="28">
        <f>IF($J12="","",INDEX('Detalle individual'!$J:$J,$J12))</f>
        <v>90</v>
      </c>
      <c r="H12" s="28">
        <f>IF($J12="","",INDEX('Detalle individual'!$L:$L,$J12))</f>
        <v>1</v>
      </c>
      <c r="J12">
        <f>IFERROR(MATCH(SMALL(Cálculos!$AI$5:$AI$1000,8),Cálculos!$AI$5:$AI$1000,0)+4,"")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23">
        <f>IF($J13="","",INDEX('Detalle individual'!$H:$H,$J13))</f>
        <v>46305.41128472222</v>
      </c>
      <c r="G13" s="28">
        <f>IF($J13="","",INDEX('Detalle individual'!$J:$J,$J13))</f>
        <v>100</v>
      </c>
      <c r="H13" s="28">
        <f>IF($J13="","",INDEX('Detalle individual'!$L:$L,$J13))</f>
        <v>1</v>
      </c>
      <c r="J13">
        <f>IFERROR(MATCH(SMALL(Cálculos!$AI$5:$AI$1000,9),Cálculos!$AI$5:$AI$1000,0)+4,"")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23">
        <f>IF($J14="","",INDEX('Detalle individual'!$H:$H,$J14))</f>
        <v>46305.408738425926</v>
      </c>
      <c r="G14" s="28">
        <f>IF($J14="","",INDEX('Detalle individual'!$J:$J,$J14))</f>
        <v>100</v>
      </c>
      <c r="H14" s="28">
        <f>IF($J14="","",INDEX('Detalle individual'!$L:$L,$J14))</f>
        <v>1</v>
      </c>
      <c r="J14">
        <f>IFERROR(MATCH(SMALL(Cálculos!$AI$5:$AI$1000,10),Cálculos!$AI$5:$AI$1000,0)+4,"")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23">
        <f>IF($J15="","",INDEX('Detalle individual'!$H:$H,$J15))</f>
        <v>46304.682708333334</v>
      </c>
      <c r="G15" s="28">
        <f>IF($J15="","",INDEX('Detalle individual'!$J:$J,$J15))</f>
        <v>100</v>
      </c>
      <c r="H15" s="28">
        <f>IF($J15="","",INDEX('Detalle individual'!$L:$L,$J15))</f>
        <v>1</v>
      </c>
      <c r="J15">
        <f>IFERROR(MATCH(SMALL(Cálculos!$AI$5:$AI$1000,11),Cálculos!$AI$5:$AI$1000,0)+4,"")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23">
        <f>IF($J16="","",INDEX('Detalle individual'!$H:$H,$J16))</f>
        <v>46304.422789351855</v>
      </c>
      <c r="G16" s="28">
        <f>IF($J16="","",INDEX('Detalle individual'!$J:$J,$J16))</f>
        <v>100</v>
      </c>
      <c r="H16" s="28">
        <f>IF($J16="","",INDEX('Detalle individual'!$L:$L,$J16))</f>
        <v>1</v>
      </c>
      <c r="J16">
        <f>IFERROR(MATCH(SMALL(Cálculos!$AI$5:$AI$1000,12),Cálculos!$AI$5:$AI$1000,0)+4,"")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23">
        <f>IF($J17="","",INDEX('Detalle individual'!$H:$H,$J17))</f>
        <v>46298.51430555555</v>
      </c>
      <c r="G17" s="28">
        <f>IF($J17="","",INDEX('Detalle individual'!$J:$J,$J17))</f>
        <v>100</v>
      </c>
      <c r="H17" s="28">
        <f>IF($J17="","",INDEX('Detalle individual'!$L:$L,$J17))</f>
        <v>1</v>
      </c>
      <c r="J17">
        <f>IFERROR(MATCH(SMALL(Cálculos!$AI$5:$AI$1000,13),Cálculos!$AI$5:$AI$1000,0)+4,"")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23">
        <f>IF($J18="","",INDEX('Detalle individual'!$H:$H,$J18))</f>
        <v>46304.70379629629</v>
      </c>
      <c r="G18" s="28">
        <f>IF($J18="","",INDEX('Detalle individual'!$J:$J,$J18))</f>
        <v>100</v>
      </c>
      <c r="H18" s="28">
        <f>IF($J18="","",INDEX('Detalle individual'!$L:$L,$J18))</f>
        <v>1</v>
      </c>
      <c r="J18">
        <f>IFERROR(MATCH(SMALL(Cálculos!$AI$5:$AI$1000,14),Cálculos!$AI$5:$AI$1000,0)+4,"")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23">
        <f>IF($J19="","",INDEX('Detalle individual'!$H:$H,$J19))</f>
        <v>46304.67644675926</v>
      </c>
      <c r="G19" s="28">
        <f>IF($J19="","",INDEX('Detalle individual'!$J:$J,$J19))</f>
        <v>100</v>
      </c>
      <c r="H19" s="28">
        <f>IF($J19="","",INDEX('Detalle individual'!$L:$L,$J19))</f>
        <v>1</v>
      </c>
      <c r="J19">
        <f>IFERROR(MATCH(SMALL(Cálculos!$AI$5:$AI$1000,15),Cálculos!$AI$5:$AI$1000,0)+4,"")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23">
        <f>IF($J20="","",INDEX('Detalle individual'!$H:$H,$J20))</f>
        <v>46304.685949074075</v>
      </c>
      <c r="G20" s="28">
        <f>IF($J20="","",INDEX('Detalle individual'!$J:$J,$J20))</f>
        <v>100</v>
      </c>
      <c r="H20" s="28">
        <f>IF($J20="","",INDEX('Detalle individual'!$L:$L,$J20))</f>
        <v>1</v>
      </c>
      <c r="J20">
        <f>IFERROR(MATCH(SMALL(Cálculos!$AI$5:$AI$1000,16),Cálculos!$AI$5:$AI$1000,0)+4,"")</f>
        <v>45</v>
      </c>
    </row>
    <row r="21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23">
        <f>IF($J21="","",INDEX('Detalle individual'!$H:$H,$J21))</f>
        <v>46310.511469907404</v>
      </c>
      <c r="G21" s="28">
        <f>IF($J21="","",INDEX('Detalle individual'!$J:$J,$J21))</f>
        <v>100</v>
      </c>
      <c r="H21" s="28">
        <f>IF($J21="","",INDEX('Detalle individual'!$L:$L,$J21))</f>
        <v>1</v>
      </c>
      <c r="J21">
        <f>IFERROR(MATCH(SMALL(Cálculos!$AI$5:$AI$1000,17),Cálculos!$AI$5:$AI$1000,0)+4,"")</f>
        <v>58</v>
      </c>
    </row>
    <row r="22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23">
        <f>IF($J22="","",INDEX('Detalle individual'!$H:$H,$J22))</f>
        <v>46301.64635416667</v>
      </c>
      <c r="G22" s="28">
        <f>IF($J22="","",INDEX('Detalle individual'!$J:$J,$J22))</f>
        <v>100</v>
      </c>
      <c r="H22" s="28">
        <f>IF($J22="","",INDEX('Detalle individual'!$L:$L,$J22))</f>
        <v>1</v>
      </c>
      <c r="J22">
        <f>IFERROR(MATCH(SMALL(Cálculos!$AI$5:$AI$1000,18),Cálculos!$AI$5:$AI$1000,0)+4,"")</f>
        <v>57</v>
      </c>
    </row>
    <row r="2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23">
        <f>IF($J23="","",INDEX('Detalle individual'!$H:$H,$J23))</f>
        <v>46309.741215277776</v>
      </c>
      <c r="G23" s="28">
        <f>IF($J23="","",INDEX('Detalle individual'!$J:$J,$J23))</f>
        <v>100</v>
      </c>
      <c r="H23" s="28">
        <f>IF($J23="","",INDEX('Detalle individual'!$L:$L,$J23))</f>
        <v>1</v>
      </c>
      <c r="J23">
        <f>IFERROR(MATCH(SMALL(Cálculos!$AI$5:$AI$1000,19),Cálculos!$AI$5:$AI$1000,0)+4,"")</f>
        <v>56</v>
      </c>
    </row>
    <row r="24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23">
        <f>IF($J24="","",INDEX('Detalle individual'!$H:$H,$J24))</f>
        <v>46296.45633101852</v>
      </c>
      <c r="G24" s="28">
        <f>IF($J24="","",INDEX('Detalle individual'!$J:$J,$J24))</f>
        <v>100</v>
      </c>
      <c r="H24" s="28">
        <f>IF($J24="","",INDEX('Detalle individual'!$L:$L,$J24))</f>
        <v>1</v>
      </c>
      <c r="J24">
        <f>IFERROR(MATCH(SMALL(Cálculos!$AI$5:$AI$1000,20),Cálculos!$AI$5:$AI$1000,0)+4,"")</f>
        <v>53</v>
      </c>
    </row>
    <row r="25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23">
        <f>IF($J25="","",INDEX('Detalle individual'!$H:$H,$J25))</f>
        <v>46296.46072916667</v>
      </c>
      <c r="G25" s="28">
        <f>IF($J25="","",INDEX('Detalle individual'!$J:$J,$J25))</f>
        <v>90</v>
      </c>
      <c r="H25" s="28">
        <f>IF($J25="","",INDEX('Detalle individual'!$L:$L,$J25))</f>
        <v>1</v>
      </c>
      <c r="J25">
        <f>IFERROR(MATCH(SMALL(Cálculos!$AI$5:$AI$1000,21),Cálculos!$AI$5:$AI$1000,0)+4,"")</f>
        <v>52</v>
      </c>
    </row>
    <row r="26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23">
        <f>IF($J26="","",INDEX('Detalle individual'!$H:$H,$J26))</f>
        <v>46300.60789351852</v>
      </c>
      <c r="G26" s="28">
        <f>IF($J26="","",INDEX('Detalle individual'!$J:$J,$J26))</f>
        <v>90</v>
      </c>
      <c r="H26" s="28">
        <f>IF($J26="","",INDEX('Detalle individual'!$L:$L,$J26))</f>
        <v>1</v>
      </c>
      <c r="J26">
        <f>IFERROR(MATCH(SMALL(Cálculos!$AI$5:$AI$1000,22),Cálculos!$AI$5:$AI$1000,0)+4,"")</f>
        <v>40</v>
      </c>
    </row>
    <row r="27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23">
        <f>IF($J27="","",INDEX('Detalle individual'!$H:$H,$J27))</f>
        <v>46298.41583333333</v>
      </c>
      <c r="G27" s="28">
        <f>IF($J27="","",INDEX('Detalle individual'!$J:$J,$J27))</f>
        <v>100</v>
      </c>
      <c r="H27" s="28">
        <f>IF($J27="","",INDEX('Detalle individual'!$L:$L,$J27))</f>
        <v>1</v>
      </c>
      <c r="J27">
        <f>IFERROR(MATCH(SMALL(Cálculos!$AI$5:$AI$1000,23),Cálculos!$AI$5:$AI$1000,0)+4,"")</f>
        <v>39</v>
      </c>
    </row>
    <row r="28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23">
        <f>IF($J28="","",INDEX('Detalle individual'!$H:$H,$J28))</f>
        <v>46298.4184375</v>
      </c>
      <c r="G28" s="28">
        <f>IF($J28="","",INDEX('Detalle individual'!$J:$J,$J28))</f>
        <v>90</v>
      </c>
      <c r="H28" s="28">
        <f>IF($J28="","",INDEX('Detalle individual'!$L:$L,$J28))</f>
        <v>1</v>
      </c>
      <c r="J28">
        <f>IFERROR(MATCH(SMALL(Cálculos!$AI$5:$AI$1000,24),Cálculos!$AI$5:$AI$1000,0)+4,"")</f>
        <v>29</v>
      </c>
    </row>
    <row r="29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23">
        <f>IF($J29="","",INDEX('Detalle individual'!$H:$H,$J29))</f>
        <v>46300.70883101852</v>
      </c>
      <c r="G29" s="28">
        <f>IF($J29="","",INDEX('Detalle individual'!$J:$J,$J29))</f>
        <v>60</v>
      </c>
      <c r="H29" s="28">
        <f>IF($J29="","",INDEX('Detalle individual'!$L:$L,$J29))</f>
        <v>1</v>
      </c>
      <c r="J29">
        <f>IFERROR(MATCH(SMALL(Cálculos!$AI$5:$AI$1000,25),Cálculos!$AI$5:$AI$1000,0)+4,"")</f>
        <v>36</v>
      </c>
    </row>
    <row r="30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23">
        <f>IF($J30="","",INDEX('Detalle individual'!$H:$H,$J30))</f>
        <v>46304.520787037036</v>
      </c>
      <c r="G30" s="28">
        <f>IF($J30="","",INDEX('Detalle individual'!$J:$J,$J30))</f>
        <v>90</v>
      </c>
      <c r="H30" s="28">
        <f>IF($J30="","",INDEX('Detalle individual'!$L:$L,$J30))</f>
        <v>1</v>
      </c>
      <c r="J30">
        <f>IFERROR(MATCH(SMALL(Cálculos!$AI$5:$AI$1000,26),Cálculos!$AI$5:$AI$1000,0)+4,"")</f>
        <v>42</v>
      </c>
    </row>
    <row r="31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23">
        <f>IF($J31="","",INDEX('Detalle individual'!$H:$H,$J31))</f>
        <v>46307.402291666665</v>
      </c>
      <c r="G31" s="28">
        <f>IF($J31="","",INDEX('Detalle individual'!$J:$J,$J31))</f>
        <v>100</v>
      </c>
      <c r="H31" s="28">
        <f>IF($J31="","",INDEX('Detalle individual'!$L:$L,$J31))</f>
        <v>2</v>
      </c>
      <c r="J31">
        <f>IFERROR(MATCH(SMALL(Cálculos!$AI$5:$AI$1000,27),Cálculos!$AI$5:$AI$1000,0)+4,"")</f>
        <v>37</v>
      </c>
    </row>
    <row r="32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23">
        <f>IF($J32="","",INDEX('Detalle individual'!$H:$H,$J32))</f>
        <v>46298.300208333334</v>
      </c>
      <c r="G32" s="28">
        <f>IF($J32="","",INDEX('Detalle individual'!$J:$J,$J32))</f>
        <v>80</v>
      </c>
      <c r="H32" s="28">
        <f>IF($J32="","",INDEX('Detalle individual'!$L:$L,$J32))</f>
        <v>1</v>
      </c>
      <c r="J32">
        <f>IFERROR(MATCH(SMALL(Cálculos!$AI$5:$AI$1000,28),Cálculos!$AI$5:$AI$1000,0)+4,"")</f>
        <v>35</v>
      </c>
    </row>
    <row r="3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23">
        <f>IF($J33="","",INDEX('Detalle individual'!$H:$H,$J33))</f>
        <v>46297.84905092593</v>
      </c>
      <c r="G33" s="28">
        <f>IF($J33="","",INDEX('Detalle individual'!$J:$J,$J33))</f>
        <v>80</v>
      </c>
      <c r="H33" s="28">
        <f>IF($J33="","",INDEX('Detalle individual'!$L:$L,$J33))</f>
        <v>1</v>
      </c>
      <c r="J33">
        <f>IFERROR(MATCH(SMALL(Cálculos!$AI$5:$AI$1000,29),Cálculos!$AI$5:$AI$1000,0)+4,"")</f>
        <v>28</v>
      </c>
    </row>
    <row r="34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23">
        <f>IF($J34="","",INDEX('Detalle individual'!$H:$H,$J34))</f>
        <v>46300.53921296296</v>
      </c>
      <c r="G34" s="28">
        <f>IF($J34="","",INDEX('Detalle individual'!$J:$J,$J34))</f>
        <v>90</v>
      </c>
      <c r="H34" s="28">
        <f>IF($J34="","",INDEX('Detalle individual'!$L:$L,$J34))</f>
        <v>1</v>
      </c>
      <c r="J34">
        <f>IFERROR(MATCH(SMALL(Cálculos!$AI$5:$AI$1000,30),Cálculos!$AI$5:$AI$1000,0)+4,"")</f>
        <v>38</v>
      </c>
    </row>
    <row r="35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23">
        <f>IF($J35="","",INDEX('Detalle individual'!$H:$H,$J35))</f>
        <v>46298.41559027778</v>
      </c>
      <c r="G35" s="28">
        <f>IF($J35="","",INDEX('Detalle individual'!$J:$J,$J35))</f>
        <v>90</v>
      </c>
      <c r="H35" s="28">
        <f>IF($J35="","",INDEX('Detalle individual'!$L:$L,$J35))</f>
        <v>1</v>
      </c>
      <c r="J35">
        <f>IFERROR(MATCH(SMALL(Cálculos!$AI$5:$AI$1000,31),Cálculos!$AI$5:$AI$1000,0)+4,"")</f>
        <v>33</v>
      </c>
    </row>
    <row r="36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23">
        <f>IF($J36="","",INDEX('Detalle individual'!$H:$H,$J36))</f>
        <v>46300.81421296296</v>
      </c>
      <c r="G36" s="28">
        <f>IF($J36="","",INDEX('Detalle individual'!$J:$J,$J36))</f>
        <v>90</v>
      </c>
      <c r="H36" s="28">
        <f>IF($J36="","",INDEX('Detalle individual'!$L:$L,$J36))</f>
        <v>1</v>
      </c>
      <c r="J36">
        <f>IFERROR(MATCH(SMALL(Cálculos!$AI$5:$AI$1000,32),Cálculos!$AI$5:$AI$1000,0)+4,"")</f>
        <v>26</v>
      </c>
    </row>
    <row r="37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23">
        <f>IF($J37="","",INDEX('Detalle individual'!$H:$H,$J37))</f>
        <v>46300.748703703706</v>
      </c>
      <c r="G37" s="28">
        <f>IF($J37="","",INDEX('Detalle individual'!$J:$J,$J37))</f>
        <v>100</v>
      </c>
      <c r="H37" s="28">
        <f>IF($J37="","",INDEX('Detalle individual'!$L:$L,$J37))</f>
        <v>1</v>
      </c>
      <c r="J37">
        <f>IFERROR(MATCH(SMALL(Cálculos!$AI$5:$AI$1000,33),Cálculos!$AI$5:$AI$1000,0)+4,"")</f>
        <v>34</v>
      </c>
    </row>
    <row r="38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23">
        <f>IF($J38="","",INDEX('Detalle individual'!$H:$H,$J38))</f>
        <v>46297.85355324074</v>
      </c>
      <c r="G38" s="28">
        <f>IF($J38="","",INDEX('Detalle individual'!$J:$J,$J38))</f>
        <v>85</v>
      </c>
      <c r="H38" s="28">
        <f>IF($J38="","",INDEX('Detalle individual'!$L:$L,$J38))</f>
        <v>1</v>
      </c>
      <c r="J38">
        <f>IFERROR(MATCH(SMALL(Cálculos!$AI$5:$AI$1000,34),Cálculos!$AI$5:$AI$1000,0)+4,"")</f>
        <v>32</v>
      </c>
    </row>
    <row r="39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23">
        <f>IF($J39="","",INDEX('Detalle individual'!$H:$H,$J39))</f>
        <v>46300.665671296294</v>
      </c>
      <c r="G39" s="28">
        <f>IF($J39="","",INDEX('Detalle individual'!$J:$J,$J39))</f>
        <v>100</v>
      </c>
      <c r="H39" s="28">
        <f>IF($J39="","",INDEX('Detalle individual'!$L:$L,$J39))</f>
        <v>1</v>
      </c>
      <c r="J39">
        <f>IFERROR(MATCH(SMALL(Cálculos!$AI$5:$AI$1000,35),Cálculos!$AI$5:$AI$1000,0)+4,"")</f>
        <v>27</v>
      </c>
    </row>
    <row r="40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23">
        <f>IF($J40="","",INDEX('Detalle individual'!$H:$H,$J40))</f>
        <v>46300.40560185185</v>
      </c>
      <c r="G40" s="28">
        <f>IF($J40="","",INDEX('Detalle individual'!$J:$J,$J40))</f>
        <v>100</v>
      </c>
      <c r="H40" s="28">
        <f>IF($J40="","",INDEX('Detalle individual'!$L:$L,$J40))</f>
        <v>2</v>
      </c>
      <c r="J40">
        <f>IFERROR(MATCH(SMALL(Cálculos!$AI$5:$AI$1000,36),Cálculos!$AI$5:$AI$1000,0)+4,"")</f>
        <v>30</v>
      </c>
    </row>
    <row r="41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23">
        <f>IF($J41="","",INDEX('Detalle individual'!$H:$H,$J41))</f>
        <v>46306.43788194445</v>
      </c>
      <c r="G41" s="28">
        <f>IF($J41="","",INDEX('Detalle individual'!$J:$J,$J41))</f>
        <v>90</v>
      </c>
      <c r="H41" s="28">
        <f>IF($J41="","",INDEX('Detalle individual'!$L:$L,$J41))</f>
        <v>1</v>
      </c>
      <c r="J41">
        <f>IFERROR(MATCH(SMALL(Cálculos!$AI$5:$AI$1000,37),Cálculos!$AI$5:$AI$1000,0)+4,"")</f>
        <v>31</v>
      </c>
    </row>
    <row r="42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23">
        <f>IF($J42="","",INDEX('Detalle individual'!$H:$H,$J42))</f>
        <v>46297.78946759259</v>
      </c>
      <c r="G42" s="28">
        <f>IF($J42="","",INDEX('Detalle individual'!$J:$J,$J42))</f>
        <v>90</v>
      </c>
      <c r="H42" s="28">
        <f>IF($J42="","",INDEX('Detalle individual'!$L:$L,$J42))</f>
        <v>1</v>
      </c>
      <c r="J42">
        <f>IFERROR(MATCH(SMALL(Cálculos!$AI$5:$AI$1000,38),Cálculos!$AI$5:$AI$1000,0)+4,"")</f>
        <v>41</v>
      </c>
    </row>
    <row r="4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23">
        <f>IF($J43="","",INDEX('Detalle individual'!$H:$H,$J43))</f>
        <v>46304.52142361111</v>
      </c>
      <c r="G43" s="28">
        <f>IF($J43="","",INDEX('Detalle individual'!$J:$J,$J43))</f>
        <v>90</v>
      </c>
      <c r="H43" s="28">
        <f>IF($J43="","",INDEX('Detalle individual'!$L:$L,$J43))</f>
        <v>1</v>
      </c>
      <c r="J43">
        <f>IFERROR(MATCH(SMALL(Cálculos!$AI$5:$AI$1000,39),Cálculos!$AI$5:$AI$1000,0)+4,"")</f>
        <v>51</v>
      </c>
    </row>
    <row r="44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23">
        <f>IF($J44="","",INDEX('Detalle individual'!$H:$H,$J44))</f>
        <v>46304.406006944446</v>
      </c>
      <c r="G44" s="28">
        <f>IF($J44="","",INDEX('Detalle individual'!$J:$J,$J44))</f>
        <v>100</v>
      </c>
      <c r="H44" s="28">
        <f>IF($J44="","",INDEX('Detalle individual'!$L:$L,$J44))</f>
        <v>1</v>
      </c>
      <c r="J44">
        <f>IFERROR(MATCH(SMALL(Cálculos!$AI$5:$AI$1000,40),Cálculos!$AI$5:$AI$1000,0)+4,"")</f>
        <v>50</v>
      </c>
    </row>
    <row r="45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23">
        <f>IF($J45="","",INDEX('Detalle individual'!$H:$H,$J45))</f>
        <v>46297.63836805556</v>
      </c>
      <c r="G45" s="28">
        <f>IF($J45="","",INDEX('Detalle individual'!$J:$J,$J45))</f>
        <v>100</v>
      </c>
      <c r="H45" s="28">
        <f>IF($J45="","",INDEX('Detalle individual'!$L:$L,$J45))</f>
        <v>1</v>
      </c>
      <c r="J45">
        <f>IFERROR(MATCH(SMALL(Cálculos!$AI$5:$AI$1000,41),Cálculos!$AI$5:$AI$1000,0)+4,"")</f>
        <v>6</v>
      </c>
    </row>
    <row r="46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23">
        <f>IF($J46="","",INDEX('Detalle individual'!$H:$H,$J46))</f>
        <v>46307.43666666667</v>
      </c>
      <c r="G46" s="28">
        <f>IF($J46="","",INDEX('Detalle individual'!$J:$J,$J46))</f>
        <v>100</v>
      </c>
      <c r="H46" s="28">
        <f>IF($J46="","",INDEX('Detalle individual'!$L:$L,$J46))</f>
        <v>1</v>
      </c>
      <c r="J46">
        <f>IFERROR(MATCH(SMALL(Cálculos!$AI$5:$AI$1000,42),Cálculos!$AI$5:$AI$1000,0)+4,"")</f>
        <v>25</v>
      </c>
    </row>
    <row r="47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23">
        <f>IF($J47="","",INDEX('Detalle individual'!$H:$H,$J47))</f>
        <v>46304.4002662037</v>
      </c>
      <c r="G47" s="28">
        <f>IF($J47="","",INDEX('Detalle individual'!$J:$J,$J47))</f>
        <v>90</v>
      </c>
      <c r="H47" s="28">
        <f>IF($J47="","",INDEX('Detalle individual'!$L:$L,$J47))</f>
        <v>1</v>
      </c>
      <c r="J47">
        <f>IFERROR(MATCH(SMALL(Cálculos!$AI$5:$AI$1000,43),Cálculos!$AI$5:$AI$1000,0)+4,"")</f>
        <v>95</v>
      </c>
    </row>
    <row r="48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23">
        <f>IF($J48="","",INDEX('Detalle individual'!$H:$H,$J48))</f>
        <v>46296.62540509259</v>
      </c>
      <c r="G48" s="28">
        <f>IF($J48="","",INDEX('Detalle individual'!$J:$J,$J48))</f>
        <v>100</v>
      </c>
      <c r="H48" s="28">
        <f>IF($J48="","",INDEX('Detalle individual'!$L:$L,$J48))</f>
        <v>1</v>
      </c>
      <c r="J48">
        <f>IFERROR(MATCH(SMALL(Cálculos!$AI$5:$AI$1000,44),Cálculos!$AI$5:$AI$1000,0)+4,"")</f>
        <v>94</v>
      </c>
    </row>
    <row r="49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23">
        <f>IF($J49="","",INDEX('Detalle individual'!$H:$H,$J49))</f>
        <v>46310.569606481484</v>
      </c>
      <c r="G49" s="28">
        <f>IF($J49="","",INDEX('Detalle individual'!$J:$J,$J49))</f>
        <v>100</v>
      </c>
      <c r="H49" s="28">
        <f>IF($J49="","",INDEX('Detalle individual'!$L:$L,$J49))</f>
        <v>1</v>
      </c>
      <c r="J49">
        <f>IFERROR(MATCH(SMALL(Cálculos!$AI$5:$AI$1000,45),Cálculos!$AI$5:$AI$1000,0)+4,"")</f>
        <v>86</v>
      </c>
    </row>
    <row r="50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23">
        <f>IF($J50="","",INDEX('Detalle individual'!$H:$H,$J50))</f>
        <v>46304.36083333333</v>
      </c>
      <c r="G50" s="28">
        <f>IF($J50="","",INDEX('Detalle individual'!$J:$J,$J50))</f>
        <v>100</v>
      </c>
      <c r="H50" s="28">
        <f>IF($J50="","",INDEX('Detalle individual'!$L:$L,$J50))</f>
        <v>1</v>
      </c>
      <c r="J50">
        <f>IFERROR(MATCH(SMALL(Cálculos!$AI$5:$AI$1000,46),Cálculos!$AI$5:$AI$1000,0)+4,"")</f>
        <v>90</v>
      </c>
    </row>
    <row r="51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23">
        <f>IF($J51="","",INDEX('Detalle individual'!$H:$H,$J51))</f>
        <v>46304.33385416667</v>
      </c>
      <c r="G51" s="28">
        <f>IF($J51="","",INDEX('Detalle individual'!$J:$J,$J51))</f>
        <v>100</v>
      </c>
      <c r="H51" s="28">
        <f>IF($J51="","",INDEX('Detalle individual'!$L:$L,$J51))</f>
        <v>1</v>
      </c>
      <c r="J51">
        <f>IFERROR(MATCH(SMALL(Cálculos!$AI$5:$AI$1000,47),Cálculos!$AI$5:$AI$1000,0)+4,"")</f>
        <v>93</v>
      </c>
    </row>
    <row r="52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23">
        <f>IF($J52="","",INDEX('Detalle individual'!$H:$H,$J52))</f>
        <v>46307.39042824074</v>
      </c>
      <c r="G52" s="28">
        <f>IF($J52="","",INDEX('Detalle individual'!$J:$J,$J52))</f>
        <v>100</v>
      </c>
      <c r="H52" s="28">
        <f>IF($J52="","",INDEX('Detalle individual'!$L:$L,$J52))</f>
        <v>1</v>
      </c>
      <c r="J52">
        <f>IFERROR(MATCH(SMALL(Cálculos!$AI$5:$AI$1000,48),Cálculos!$AI$5:$AI$1000,0)+4,"")</f>
        <v>92</v>
      </c>
    </row>
    <row r="5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23">
        <f>IF($J53="","",INDEX('Detalle individual'!$H:$H,$J53))</f>
        <v>46309.38695601852</v>
      </c>
      <c r="G53" s="28">
        <f>IF($J53="","",INDEX('Detalle individual'!$J:$J,$J53))</f>
        <v>100</v>
      </c>
      <c r="H53" s="28">
        <f>IF($J53="","",INDEX('Detalle individual'!$L:$L,$J53))</f>
        <v>1</v>
      </c>
      <c r="J53">
        <f>IFERROR(MATCH(SMALL(Cálculos!$AI$5:$AI$1000,49),Cálculos!$AI$5:$AI$1000,0)+4,"")</f>
        <v>97</v>
      </c>
    </row>
    <row r="54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23">
        <f>IF($J54="","",INDEX('Detalle individual'!$H:$H,$J54))</f>
        <v>46301.438738425924</v>
      </c>
      <c r="G54" s="28">
        <f>IF($J54="","",INDEX('Detalle individual'!$J:$J,$J54))</f>
        <v>100</v>
      </c>
      <c r="H54" s="28">
        <f>IF($J54="","",INDEX('Detalle individual'!$L:$L,$J54))</f>
        <v>1</v>
      </c>
      <c r="J54">
        <f>IFERROR(MATCH(SMALL(Cálculos!$AI$5:$AI$1000,50),Cálculos!$AI$5:$AI$1000,0)+4,"")</f>
        <v>96</v>
      </c>
    </row>
    <row r="55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23">
        <f>IF($J55="","",INDEX('Detalle individual'!$H:$H,$J55))</f>
        <v>46296.82847222222</v>
      </c>
      <c r="G55" s="28">
        <f>IF($J55="","",INDEX('Detalle individual'!$J:$J,$J55))</f>
        <v>100</v>
      </c>
      <c r="H55" s="28">
        <f>IF($J55="","",INDEX('Detalle individual'!$L:$L,$J55))</f>
        <v>1</v>
      </c>
      <c r="J55">
        <f>IFERROR(MATCH(SMALL(Cálculos!$AI$5:$AI$1000,51),Cálculos!$AI$5:$AI$1000,0)+4,"")</f>
        <v>87</v>
      </c>
    </row>
    <row r="56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23">
        <f>IF($J56="","",INDEX('Detalle individual'!$H:$H,$J56))</f>
        <v>46310.56497685185</v>
      </c>
      <c r="G56" s="28">
        <f>IF($J56="","",INDEX('Detalle individual'!$J:$J,$J56))</f>
        <v>100</v>
      </c>
      <c r="H56" s="28">
        <f>IF($J56="","",INDEX('Detalle individual'!$L:$L,$J56))</f>
        <v>1</v>
      </c>
      <c r="J56">
        <f>IFERROR(MATCH(SMALL(Cálculos!$AI$5:$AI$1000,52),Cálculos!$AI$5:$AI$1000,0)+4,"")</f>
        <v>89</v>
      </c>
    </row>
    <row r="57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23">
        <f>IF($J57="","",INDEX('Detalle individual'!$H:$H,$J57))</f>
        <v>46300.31707175926</v>
      </c>
      <c r="G57" s="28">
        <f>IF($J57="","",INDEX('Detalle individual'!$J:$J,$J57))</f>
        <v>100</v>
      </c>
      <c r="H57" s="28">
        <f>IF($J57="","",INDEX('Detalle individual'!$L:$L,$J57))</f>
        <v>1</v>
      </c>
      <c r="J57">
        <f>IFERROR(MATCH(SMALL(Cálculos!$AI$5:$AI$1000,53),Cálculos!$AI$5:$AI$1000,0)+4,"")</f>
        <v>91</v>
      </c>
    </row>
    <row r="58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23">
        <f>IF($J58="","",INDEX('Detalle individual'!$H:$H,$J58))</f>
        <v>46309.709386574075</v>
      </c>
      <c r="G58" s="28">
        <f>IF($J58="","",INDEX('Detalle individual'!$J:$J,$J58))</f>
        <v>100</v>
      </c>
      <c r="H58" s="28">
        <f>IF($J58="","",INDEX('Detalle individual'!$L:$L,$J58))</f>
        <v>1</v>
      </c>
      <c r="J58">
        <f>IFERROR(MATCH(SMALL(Cálculos!$AI$5:$AI$1000,54),Cálculos!$AI$5:$AI$1000,0)+4,"")</f>
        <v>85</v>
      </c>
    </row>
    <row r="59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23">
        <f>IF($J59="","",INDEX('Detalle individual'!$H:$H,$J59))</f>
        <v>46309.386967592596</v>
      </c>
      <c r="G59" s="28">
        <f>IF($J59="","",INDEX('Detalle individual'!$J:$J,$J59))</f>
        <v>85</v>
      </c>
      <c r="H59" s="28">
        <f>IF($J59="","",INDEX('Detalle individual'!$L:$L,$J59))</f>
        <v>1</v>
      </c>
      <c r="J59">
        <f>IFERROR(MATCH(SMALL(Cálculos!$AI$5:$AI$1000,55),Cálculos!$AI$5:$AI$1000,0)+4,"")</f>
        <v>88</v>
      </c>
    </row>
    <row r="60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23">
        <f>IF($J60="","",INDEX('Detalle individual'!$H:$H,$J60))</f>
        <v>46305.53491898148</v>
      </c>
      <c r="G60" s="28">
        <f>IF($J60="","",INDEX('Detalle individual'!$J:$J,$J60))</f>
        <v>100</v>
      </c>
      <c r="H60" s="28">
        <f>IF($J60="","",INDEX('Detalle individual'!$L:$L,$J60))</f>
        <v>1</v>
      </c>
      <c r="J60">
        <f>IFERROR(MATCH(SMALL(Cálculos!$AI$5:$AI$1000,56),Cálculos!$AI$5:$AI$1000,0)+4,"")</f>
        <v>100</v>
      </c>
    </row>
    <row r="61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23">
        <f>IF($J61="","",INDEX('Detalle individual'!$H:$H,$J61))</f>
        <v>46307.665983796294</v>
      </c>
      <c r="G61" s="28">
        <f>IF($J61="","",INDEX('Detalle individual'!$J:$J,$J61))</f>
        <v>100</v>
      </c>
      <c r="H61" s="28">
        <f>IF($J61="","",INDEX('Detalle individual'!$L:$L,$J61))</f>
        <v>1</v>
      </c>
      <c r="J61">
        <f>IFERROR(MATCH(SMALL(Cálculos!$AI$5:$AI$1000,57),Cálculos!$AI$5:$AI$1000,0)+4,"")</f>
        <v>98</v>
      </c>
    </row>
    <row r="62">
      <c r="A62" s="5" t="str">
        <f>IF($J62="","",INDEX('Detalle individual'!$B:$B,$J62))</f>
        <v>RAFAEL ANDRES MARAVILLA GUERRA</v>
      </c>
      <c r="B62" s="5" t="str">
        <f>IF($J62="","",INDEX('Detalle individual'!$A:$A,$J62))</f>
        <v>839</v>
      </c>
      <c r="C62" s="5" t="str">
        <f>IF($J62="","",INDEX('Detalle individual'!$E:$E,$J62))</f>
        <v>ASISTENTE DE ANALISIS Y NORMATIVAS</v>
      </c>
      <c r="D62" s="5" t="str">
        <f>IF($J62="","",INDEX('Detalle individual'!$C:$C,$J62))</f>
        <v>DEPARTAMENTO DE PLANIFICACIÓN Y ANALISIS</v>
      </c>
      <c r="E62" s="5" t="str">
        <f>IF($J62="","",INDEX('Detalle individual'!$D:$D,$J62))</f>
        <v>Gerencia de Finanzas y Planificación</v>
      </c>
      <c r="F62" s="23">
        <f>IF($J62="","",INDEX('Detalle individual'!$H:$H,$J62))</f>
        <v>46311.627291666664</v>
      </c>
      <c r="G62" s="28">
        <f>IF($J62="","",INDEX('Detalle individual'!$J:$J,$J62))</f>
        <v>100</v>
      </c>
      <c r="H62" s="28">
        <f>IF($J62="","",INDEX('Detalle individual'!$L:$L,$J62))</f>
        <v>1</v>
      </c>
      <c r="J62">
        <f>IFERROR(MATCH(SMALL(Cálculos!$AI$5:$AI$1000,58),Cálculos!$AI$5:$AI$1000,0)+4,"")</f>
        <v>99</v>
      </c>
    </row>
    <row r="63">
      <c r="A63" s="5" t="str">
        <f>IF($J63="","",INDEX('Detalle individual'!$B:$B,$J63))</f>
        <v>JOSE AUGUSTO DE LA O GALLEGOS</v>
      </c>
      <c r="B63" s="5" t="str">
        <f>IF($J63="","",INDEX('Detalle individual'!$A:$A,$J63))</f>
        <v>524</v>
      </c>
      <c r="C63" s="5" t="str">
        <f>IF($J63="","",INDEX('Detalle individual'!$E:$E,$J63))</f>
        <v>GERENTE DE FINANZAS Y PLANIFICACION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23">
        <f>IF($J63="","",INDEX('Detalle individual'!$H:$H,$J63))</f>
        <v>46296.429560185185</v>
      </c>
      <c r="G63" s="28">
        <f>IF($J63="","",INDEX('Detalle individual'!$J:$J,$J63))</f>
        <v>100</v>
      </c>
      <c r="H63" s="28">
        <f>IF($J63="","",INDEX('Detalle individual'!$L:$L,$J63))</f>
        <v>1</v>
      </c>
      <c r="J63">
        <f>IFERROR(MATCH(SMALL(Cálculos!$AI$5:$AI$1000,59),Cálculos!$AI$5:$AI$1000,0)+4,"")</f>
        <v>8</v>
      </c>
    </row>
    <row r="64">
      <c r="A64" s="5" t="str">
        <f>IF($J64="","",INDEX('Detalle individual'!$B:$B,$J64))</f>
        <v>PAULA MARIA CALDERON PEREZ</v>
      </c>
      <c r="B64" s="5" t="str">
        <f>IF($J64="","",INDEX('Detalle individual'!$A:$A,$J64))</f>
        <v>942</v>
      </c>
      <c r="C64" s="5" t="str">
        <f>IF($J64="","",INDEX('Detalle individual'!$E:$E,$J64))</f>
        <v>ASISTENTE DE GERENCIA DE FINANZAS</v>
      </c>
      <c r="D64" s="5" t="str">
        <f>IF($J64="","",INDEX('Detalle individual'!$C:$C,$J64))</f>
        <v>GERENCIA DE FINANZAS Y PLANIFICACIÓN</v>
      </c>
      <c r="E64" s="5" t="str">
        <f>IF($J64="","",INDEX('Detalle individual'!$D:$D,$J64))</f>
        <v>Gerencia de Finanzas y Planificación</v>
      </c>
      <c r="F64" s="23">
        <f>IF($J64="","",INDEX('Detalle individual'!$H:$H,$J64))</f>
        <v>46305.470555555556</v>
      </c>
      <c r="G64" s="28">
        <f>IF($J64="","",INDEX('Detalle individual'!$J:$J,$J64))</f>
        <v>100</v>
      </c>
      <c r="H64" s="28">
        <f>IF($J64="","",INDEX('Detalle individual'!$L:$L,$J64))</f>
        <v>1</v>
      </c>
      <c r="J64">
        <f>IFERROR(MATCH(SMALL(Cálculos!$AI$5:$AI$1000,60),Cálculos!$AI$5:$AI$1000,0)+4,"")</f>
        <v>84</v>
      </c>
    </row>
    <row r="65">
      <c r="A65" s="5" t="str">
        <f>IF($J65="","",INDEX('Detalle individual'!$B:$B,$J65))</f>
        <v>ALEXANDRA DANIELA PINEDA JIMENEZ</v>
      </c>
      <c r="B65" s="5" t="str">
        <f>IF($J65="","",INDEX('Detalle individual'!$A:$A,$J65))</f>
        <v>958</v>
      </c>
      <c r="C65" s="5" t="str">
        <f>IF($J65="","",INDEX('Detalle individual'!$E:$E,$J65))</f>
        <v>AUXILIAR DE ATENCION A ASOCIADOS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23">
        <f>IF($J65="","",INDEX('Detalle individual'!$H:$H,$J65))</f>
        <v>46305.39554398148</v>
      </c>
      <c r="G65" s="28">
        <f>IF($J65="","",INDEX('Detalle individual'!$J:$J,$J65))</f>
        <v>75</v>
      </c>
      <c r="H65" s="28">
        <f>IF($J65="","",INDEX('Detalle individual'!$L:$L,$J65))</f>
        <v>1</v>
      </c>
      <c r="J65">
        <f>IFERROR(MATCH(SMALL(Cálculos!$AI$5:$AI$1000,61),Cálculos!$AI$5:$AI$1000,0)+4,"")</f>
        <v>205</v>
      </c>
    </row>
    <row r="66">
      <c r="A66" s="5" t="str">
        <f>IF($J66="","",INDEX('Detalle individual'!$B:$B,$J66))</f>
        <v>ANA SILVIA ROQUE SANCHEZ</v>
      </c>
      <c r="B66" s="5" t="str">
        <f>IF($J66="","",INDEX('Detalle individual'!$A:$A,$J66))</f>
        <v>542</v>
      </c>
      <c r="C66" s="5" t="str">
        <f>IF($J66="","",INDEX('Detalle individual'!$E:$E,$J66))</f>
        <v>EJECUTIVA DE SEGUROS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23">
        <f>IF($J66="","",INDEX('Detalle individual'!$H:$H,$J66))</f>
        <v>46302.67400462963</v>
      </c>
      <c r="G66" s="28">
        <f>IF($J66="","",INDEX('Detalle individual'!$J:$J,$J66))</f>
        <v>95</v>
      </c>
      <c r="H66" s="28">
        <f>IF($J66="","",INDEX('Detalle individual'!$L:$L,$J66))</f>
        <v>1</v>
      </c>
      <c r="J66">
        <f>IFERROR(MATCH(SMALL(Cálculos!$AI$5:$AI$1000,62),Cálculos!$AI$5:$AI$1000,0)+4,"")</f>
        <v>197</v>
      </c>
    </row>
    <row r="67">
      <c r="A67" s="5" t="str">
        <f>IF($J67="","",INDEX('Detalle individual'!$B:$B,$J67))</f>
        <v>ANGELA GABRIELA REYES MOLINA</v>
      </c>
      <c r="B67" s="5" t="str">
        <f>IF($J67="","",INDEX('Detalle individual'!$A:$A,$J67))</f>
        <v>956</v>
      </c>
      <c r="C67" s="5" t="str">
        <f>IF($J67="","",INDEX('Detalle individual'!$E:$E,$J67))</f>
        <v>CAJERO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23">
        <f>IF($J67="","",INDEX('Detalle individual'!$H:$H,$J67))</f>
        <v>46309.366736111115</v>
      </c>
      <c r="G67" s="28">
        <f>IF($J67="","",INDEX('Detalle individual'!$J:$J,$J67))</f>
        <v>100</v>
      </c>
      <c r="H67" s="28">
        <f>IF($J67="","",INDEX('Detalle individual'!$L:$L,$J67))</f>
        <v>1</v>
      </c>
      <c r="J67">
        <f>IFERROR(MATCH(SMALL(Cálculos!$AI$5:$AI$1000,63),Cálculos!$AI$5:$AI$1000,0)+4,"")</f>
        <v>204</v>
      </c>
    </row>
    <row r="68">
      <c r="A68" s="5" t="str">
        <f>IF($J68="","",INDEX('Detalle individual'!$B:$B,$J68))</f>
        <v>BLANCA ARACELY MORENO HERNANDEZ</v>
      </c>
      <c r="B68" s="5" t="str">
        <f>IF($J68="","",INDEX('Detalle individual'!$A:$A,$J68))</f>
        <v>385</v>
      </c>
      <c r="C68" s="5" t="str">
        <f>IF($J68="","",INDEX('Detalle individual'!$E:$E,$J68))</f>
        <v>AUXILIAR DE OPERACIONES Y ATENCION EN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23">
        <f>IF($J68="","",INDEX('Detalle individual'!$H:$H,$J68))</f>
        <v>46311.50697916667</v>
      </c>
      <c r="G68" s="28">
        <f>IF($J68="","",INDEX('Detalle individual'!$J:$J,$J68))</f>
        <v>100</v>
      </c>
      <c r="H68" s="28">
        <f>IF($J68="","",INDEX('Detalle individual'!$L:$L,$J68))</f>
        <v>1</v>
      </c>
      <c r="J68">
        <f>IFERROR(MATCH(SMALL(Cálculos!$AI$5:$AI$1000,64),Cálculos!$AI$5:$AI$1000,0)+4,"")</f>
        <v>195</v>
      </c>
    </row>
    <row r="69">
      <c r="A69" s="5" t="str">
        <f>IF($J69="","",INDEX('Detalle individual'!$B:$B,$J69))</f>
        <v>CAROLINA ELIZABETH RAMIREZ PONCE</v>
      </c>
      <c r="B69" s="5" t="str">
        <f>IF($J69="","",INDEX('Detalle individual'!$A:$A,$J69))</f>
        <v>33</v>
      </c>
      <c r="C69" s="5" t="str">
        <f>IF($J69="","",INDEX('Detalle individual'!$E:$E,$J69))</f>
        <v>SUBJEFE DE AGENCIA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23">
        <f>IF($J69="","",INDEX('Detalle individual'!$H:$H,$J69))</f>
        <v>46308.61247685185</v>
      </c>
      <c r="G69" s="28">
        <f>IF($J69="","",INDEX('Detalle individual'!$J:$J,$J69))</f>
        <v>100</v>
      </c>
      <c r="H69" s="28">
        <f>IF($J69="","",INDEX('Detalle individual'!$L:$L,$J69))</f>
        <v>1</v>
      </c>
      <c r="J69">
        <f>IFERROR(MATCH(SMALL(Cálculos!$AI$5:$AI$1000,65),Cálculos!$AI$5:$AI$1000,0)+4,"")</f>
        <v>191</v>
      </c>
    </row>
    <row r="70">
      <c r="A70" s="5" t="str">
        <f>IF($J70="","",INDEX('Detalle individual'!$B:$B,$J70))</f>
        <v>ESTHER ABIGAIL FLORES GRANDE</v>
      </c>
      <c r="B70" s="5" t="str">
        <f>IF($J70="","",INDEX('Detalle individual'!$A:$A,$J70))</f>
        <v>857</v>
      </c>
      <c r="C70" s="5" t="str">
        <f>IF($J70="","",INDEX('Detalle individual'!$E:$E,$J70))</f>
        <v>AUXILIAR DE OPERACIONES Y ATENCION EN AGENCIA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23">
        <f>IF($J70="","",INDEX('Detalle individual'!$H:$H,$J70))</f>
        <v>46310.55657407407</v>
      </c>
      <c r="G70" s="28">
        <f>IF($J70="","",INDEX('Detalle individual'!$J:$J,$J70))</f>
        <v>100</v>
      </c>
      <c r="H70" s="28">
        <f>IF($J70="","",INDEX('Detalle individual'!$L:$L,$J70))</f>
        <v>1</v>
      </c>
      <c r="J70">
        <f>IFERROR(MATCH(SMALL(Cálculos!$AI$5:$AI$1000,66),Cálculos!$AI$5:$AI$1000,0)+4,"")</f>
        <v>202</v>
      </c>
    </row>
    <row r="71">
      <c r="A71" s="5" t="str">
        <f>IF($J71="","",INDEX('Detalle individual'!$B:$B,$J71))</f>
        <v>GRISELDA DEL CARMEN DOMINGUEZ MERINO</v>
      </c>
      <c r="B71" s="5" t="str">
        <f>IF($J71="","",INDEX('Detalle individual'!$A:$A,$J71))</f>
        <v>49</v>
      </c>
      <c r="C71" s="5" t="str">
        <f>IF($J71="","",INDEX('Detalle individual'!$E:$E,$J71))</f>
        <v>EJECUTIVO DE NEGOCIOS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23">
        <f>IF($J71="","",INDEX('Detalle individual'!$H:$H,$J71))</f>
        <v>46310.66540509259</v>
      </c>
      <c r="G71" s="28">
        <f>IF($J71="","",INDEX('Detalle individual'!$J:$J,$J71))</f>
        <v>100</v>
      </c>
      <c r="H71" s="28">
        <f>IF($J71="","",INDEX('Detalle individual'!$L:$L,$J71))</f>
        <v>1</v>
      </c>
      <c r="J71">
        <f>IFERROR(MATCH(SMALL(Cálculos!$AI$5:$AI$1000,67),Cálculos!$AI$5:$AI$1000,0)+4,"")</f>
        <v>192</v>
      </c>
    </row>
    <row r="72">
      <c r="A72" s="5" t="str">
        <f>IF($J72="","",INDEX('Detalle individual'!$B:$B,$J72))</f>
        <v>JAZMIN ABIGAIL VASQUEZ AVELAR</v>
      </c>
      <c r="B72" s="5" t="str">
        <f>IF($J72="","",INDEX('Detalle individual'!$A:$A,$J72))</f>
        <v>848</v>
      </c>
      <c r="C72" s="5" t="str">
        <f>IF($J72="","",INDEX('Detalle individual'!$E:$E,$J72))</f>
        <v>CAJERO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23">
        <f>IF($J72="","",INDEX('Detalle individual'!$H:$H,$J72))</f>
        <v>46311.484826388885</v>
      </c>
      <c r="G72" s="28">
        <f>IF($J72="","",INDEX('Detalle individual'!$J:$J,$J72))</f>
        <v>100</v>
      </c>
      <c r="H72" s="28">
        <f>IF($J72="","",INDEX('Detalle individual'!$L:$L,$J72))</f>
        <v>1</v>
      </c>
      <c r="J72">
        <f>IFERROR(MATCH(SMALL(Cálculos!$AI$5:$AI$1000,68),Cálculos!$AI$5:$AI$1000,0)+4,"")</f>
        <v>201</v>
      </c>
    </row>
    <row r="73">
      <c r="A73" s="5" t="str">
        <f>IF($J73="","",INDEX('Detalle individual'!$B:$B,$J73))</f>
        <v>JESUS ADRIAN MENA AVALOS</v>
      </c>
      <c r="B73" s="5" t="str">
        <f>IF($J73="","",INDEX('Detalle individual'!$A:$A,$J73))</f>
        <v>953</v>
      </c>
      <c r="C73" s="5" t="str">
        <f>IF($J73="","",INDEX('Detalle individual'!$E:$E,$J73))</f>
        <v>CAJERO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23">
        <f>IF($J73="","",INDEX('Detalle individual'!$H:$H,$J73))</f>
        <v>46302.62670138889</v>
      </c>
      <c r="G73" s="28">
        <f>IF($J73="","",INDEX('Detalle individual'!$J:$J,$J73))</f>
        <v>100</v>
      </c>
      <c r="H73" s="28">
        <f>IF($J73="","",INDEX('Detalle individual'!$L:$L,$J73))</f>
        <v>1</v>
      </c>
      <c r="J73">
        <f>IFERROR(MATCH(SMALL(Cálculos!$AI$5:$AI$1000,69),Cálculos!$AI$5:$AI$1000,0)+4,"")</f>
        <v>203</v>
      </c>
    </row>
    <row r="74">
      <c r="A74" s="5" t="str">
        <f>IF($J74="","",INDEX('Detalle individual'!$B:$B,$J74))</f>
        <v>KATHERINE MICHELLE LOPEZ LOPEZ</v>
      </c>
      <c r="B74" s="5" t="str">
        <f>IF($J74="","",INDEX('Detalle individual'!$A:$A,$J74))</f>
        <v>768</v>
      </c>
      <c r="C74" s="5" t="str">
        <f>IF($J74="","",INDEX('Detalle individual'!$E:$E,$J74))</f>
        <v>AUXILIAR DE OPERACIONES Y ATENCION EN AGENCIA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23">
        <f>IF($J74="","",INDEX('Detalle individual'!$H:$H,$J74))</f>
        <v>46310.65997685185</v>
      </c>
      <c r="G74" s="28">
        <f>IF($J74="","",INDEX('Detalle individual'!$J:$J,$J74))</f>
        <v>100</v>
      </c>
      <c r="H74" s="28">
        <f>IF($J74="","",INDEX('Detalle individual'!$L:$L,$J74))</f>
        <v>1</v>
      </c>
      <c r="J74">
        <f>IFERROR(MATCH(SMALL(Cálculos!$AI$5:$AI$1000,70),Cálculos!$AI$5:$AI$1000,0)+4,"")</f>
        <v>200</v>
      </c>
    </row>
    <row r="75">
      <c r="A75" s="5" t="str">
        <f>IF($J75="","",INDEX('Detalle individual'!$B:$B,$J75))</f>
        <v>KEVIN ARTURO ANDRADE PALACIOS</v>
      </c>
      <c r="B75" s="5" t="str">
        <f>IF($J75="","",INDEX('Detalle individual'!$A:$A,$J75))</f>
        <v>976</v>
      </c>
      <c r="C75" s="5" t="str">
        <f>IF($J75="","",INDEX('Detalle individual'!$E:$E,$J75))</f>
        <v>CAJERO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23">
        <f>IF($J75="","",INDEX('Detalle individual'!$H:$H,$J75))</f>
        <v>46302.59866898148</v>
      </c>
      <c r="G75" s="28">
        <f>IF($J75="","",INDEX('Detalle individual'!$J:$J,$J75))</f>
        <v>100</v>
      </c>
      <c r="H75" s="28">
        <f>IF($J75="","",INDEX('Detalle individual'!$L:$L,$J75))</f>
        <v>1</v>
      </c>
      <c r="J75">
        <f>IFERROR(MATCH(SMALL(Cálculos!$AI$5:$AI$1000,71),Cálculos!$AI$5:$AI$1000,0)+4,"")</f>
        <v>208</v>
      </c>
    </row>
    <row r="76">
      <c r="A76" s="5" t="str">
        <f>IF($J76="","",INDEX('Detalle individual'!$B:$B,$J76))</f>
        <v>LEIDY VANESSA GUZMAN SERVELLON</v>
      </c>
      <c r="B76" s="5" t="str">
        <f>IF($J76="","",INDEX('Detalle individual'!$A:$A,$J76))</f>
        <v>974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23">
        <f>IF($J76="","",INDEX('Detalle individual'!$H:$H,$J76))</f>
        <v>46311.477488425924</v>
      </c>
      <c r="G76" s="28">
        <f>IF($J76="","",INDEX('Detalle individual'!$J:$J,$J76))</f>
        <v>80</v>
      </c>
      <c r="H76" s="28">
        <f>IF($J76="","",INDEX('Detalle individual'!$L:$L,$J76))</f>
        <v>1</v>
      </c>
      <c r="J76">
        <f>IFERROR(MATCH(SMALL(Cálculos!$AI$5:$AI$1000,72),Cálculos!$AI$5:$AI$1000,0)+4,"")</f>
        <v>207</v>
      </c>
    </row>
    <row r="77">
      <c r="A77" s="5" t="str">
        <f>IF($J77="","",INDEX('Detalle individual'!$B:$B,$J77))</f>
        <v>LORENA DEL CARMEN MEJIA HERRERA</v>
      </c>
      <c r="B77" s="5" t="str">
        <f>IF($J77="","",INDEX('Detalle individual'!$A:$A,$J77))</f>
        <v>960</v>
      </c>
      <c r="C77" s="5" t="str">
        <f>IF($J77="","",INDEX('Detalle individual'!$E:$E,$J77))</f>
        <v>CAJERO</v>
      </c>
      <c r="D77" s="5" t="str">
        <f>IF($J77="","",INDEX('Detalle individual'!$C:$C,$J77))</f>
        <v>AGENCIA CENTRAL</v>
      </c>
      <c r="E77" s="5" t="str">
        <f>IF($J77="","",INDEX('Detalle individual'!$D:$D,$J77))</f>
        <v>Gerencia de Negocios</v>
      </c>
      <c r="F77" s="23">
        <f>IF($J77="","",INDEX('Detalle individual'!$H:$H,$J77))</f>
        <v>46302.48327546296</v>
      </c>
      <c r="G77" s="28">
        <f>IF($J77="","",INDEX('Detalle individual'!$J:$J,$J77))</f>
        <v>100</v>
      </c>
      <c r="H77" s="28">
        <f>IF($J77="","",INDEX('Detalle individual'!$L:$L,$J77))</f>
        <v>1</v>
      </c>
      <c r="J77">
        <f>IFERROR(MATCH(SMALL(Cálculos!$AI$5:$AI$1000,73),Cálculos!$AI$5:$AI$1000,0)+4,"")</f>
        <v>206</v>
      </c>
    </row>
    <row r="78">
      <c r="A78" s="5" t="str">
        <f>IF($J78="","",INDEX('Detalle individual'!$B:$B,$J78))</f>
        <v>MARIA DE LOS ANGELES OSORIO GIL</v>
      </c>
      <c r="B78" s="5" t="str">
        <f>IF($J78="","",INDEX('Detalle individual'!$A:$A,$J78))</f>
        <v>757</v>
      </c>
      <c r="C78" s="5" t="str">
        <f>IF($J78="","",INDEX('Detalle individual'!$E:$E,$J78))</f>
        <v>CAJERO</v>
      </c>
      <c r="D78" s="5" t="str">
        <f>IF($J78="","",INDEX('Detalle individual'!$C:$C,$J78))</f>
        <v>AGENCIA CENTRAL</v>
      </c>
      <c r="E78" s="5" t="str">
        <f>IF($J78="","",INDEX('Detalle individual'!$D:$D,$J78))</f>
        <v>Gerencia de Negocios</v>
      </c>
      <c r="F78" s="23">
        <f>IF($J78="","",INDEX('Detalle individual'!$H:$H,$J78))</f>
        <v>46303.443460648145</v>
      </c>
      <c r="G78" s="28">
        <f>IF($J78="","",INDEX('Detalle individual'!$J:$J,$J78))</f>
        <v>100</v>
      </c>
      <c r="H78" s="28">
        <f>IF($J78="","",INDEX('Detalle individual'!$L:$L,$J78))</f>
        <v>1</v>
      </c>
      <c r="J78">
        <f>IFERROR(MATCH(SMALL(Cálculos!$AI$5:$AI$1000,74),Cálculos!$AI$5:$AI$1000,0)+4,"")</f>
        <v>199</v>
      </c>
    </row>
    <row r="79">
      <c r="A79" s="5" t="str">
        <f>IF($J79="","",INDEX('Detalle individual'!$B:$B,$J79))</f>
        <v>CLAUDIA ELENA GUARDADO VARELA</v>
      </c>
      <c r="B79" s="5" t="str">
        <f>IF($J79="","",INDEX('Detalle individual'!$A:$A,$J79))</f>
        <v>543</v>
      </c>
      <c r="C79" s="5" t="str">
        <f>IF($J79="","",INDEX('Detalle individual'!$E:$E,$J79))</f>
        <v>EJECUTIVA DE SEGUROS</v>
      </c>
      <c r="D79" s="5" t="str">
        <f>IF($J79="","",INDEX('Detalle individual'!$C:$C,$J79))</f>
        <v>AGENCIA COLEGIO MEDICO</v>
      </c>
      <c r="E79" s="5" t="str">
        <f>IF($J79="","",INDEX('Detalle individual'!$D:$D,$J79))</f>
        <v>Gerencia de Negocios</v>
      </c>
      <c r="F79" s="23">
        <f>IF($J79="","",INDEX('Detalle individual'!$H:$H,$J79))</f>
        <v>46305.407002314816</v>
      </c>
      <c r="G79" s="28">
        <f>IF($J79="","",INDEX('Detalle individual'!$J:$J,$J79))</f>
        <v>100</v>
      </c>
      <c r="H79" s="28">
        <f>IF($J79="","",INDEX('Detalle individual'!$L:$L,$J79))</f>
        <v>1</v>
      </c>
      <c r="J79">
        <f>IFERROR(MATCH(SMALL(Cálculos!$AI$5:$AI$1000,75),Cálculos!$AI$5:$AI$1000,0)+4,"")</f>
        <v>215</v>
      </c>
    </row>
    <row r="80">
      <c r="A80" s="5" t="str">
        <f>IF($J80="","",INDEX('Detalle individual'!$B:$B,$J80))</f>
        <v>FLOR IMELDA VILLALOBOS ARDON</v>
      </c>
      <c r="B80" s="5" t="str">
        <f>IF($J80="","",INDEX('Detalle individual'!$A:$A,$J80))</f>
        <v>26</v>
      </c>
      <c r="C80" s="5" t="str">
        <f>IF($J80="","",INDEX('Detalle individual'!$E:$E,$J80))</f>
        <v>EJECUTIVO DE NEGOCIOS</v>
      </c>
      <c r="D80" s="5" t="str">
        <f>IF($J80="","",INDEX('Detalle individual'!$C:$C,$J80))</f>
        <v>AGENCIA COLEGIO MEDICO</v>
      </c>
      <c r="E80" s="5" t="str">
        <f>IF($J80="","",INDEX('Detalle individual'!$D:$D,$J80))</f>
        <v>Gerencia de Negocios</v>
      </c>
      <c r="F80" s="23">
        <f>IF($J80="","",INDEX('Detalle individual'!$H:$H,$J80))</f>
        <v>46310.516377314816</v>
      </c>
      <c r="G80" s="28">
        <f>IF($J80="","",INDEX('Detalle individual'!$J:$J,$J80))</f>
        <v>100</v>
      </c>
      <c r="H80" s="28">
        <f>IF($J80="","",INDEX('Detalle individual'!$L:$L,$J80))</f>
        <v>1</v>
      </c>
      <c r="J80">
        <f>IFERROR(MATCH(SMALL(Cálculos!$AI$5:$AI$1000,76),Cálculos!$AI$5:$AI$1000,0)+4,"")</f>
        <v>209</v>
      </c>
    </row>
    <row r="81">
      <c r="A81" s="5" t="str">
        <f>IF($J81="","",INDEX('Detalle individual'!$B:$B,$J81))</f>
        <v>GABRIELA CONCEPCION GARCIA GUTIERREZ</v>
      </c>
      <c r="B81" s="5" t="str">
        <f>IF($J81="","",INDEX('Detalle individual'!$A:$A,$J81))</f>
        <v>975</v>
      </c>
      <c r="C81" s="5" t="str">
        <f>IF($J81="","",INDEX('Detalle individual'!$E:$E,$J81))</f>
        <v>AUXILIAR DE ATENCION AL ASOCIADO EN AGENCIA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23">
        <f>IF($J81="","",INDEX('Detalle individual'!$H:$H,$J81))</f>
        <v>46305.4796412037</v>
      </c>
      <c r="G81" s="28">
        <f>IF($J81="","",INDEX('Detalle individual'!$J:$J,$J81))</f>
        <v>90</v>
      </c>
      <c r="H81" s="28">
        <f>IF($J81="","",INDEX('Detalle individual'!$L:$L,$J81))</f>
        <v>1</v>
      </c>
      <c r="J81">
        <f>IFERROR(MATCH(SMALL(Cálculos!$AI$5:$AI$1000,77),Cálculos!$AI$5:$AI$1000,0)+4,"")</f>
        <v>220</v>
      </c>
    </row>
    <row r="82">
      <c r="A82" s="5" t="str">
        <f>IF($J82="","",INDEX('Detalle individual'!$B:$B,$J82))</f>
        <v>JACQUELINE ADRIANA CHAVEZ SARAVIA</v>
      </c>
      <c r="B82" s="5" t="str">
        <f>IF($J82="","",INDEX('Detalle individual'!$A:$A,$J82))</f>
        <v>811</v>
      </c>
      <c r="C82" s="5" t="str">
        <f>IF($J82="","",INDEX('Detalle individual'!$E:$E,$J82))</f>
        <v>CAJERO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23">
        <f>IF($J82="","",INDEX('Detalle individual'!$H:$H,$J82))</f>
        <v>46305.465902777774</v>
      </c>
      <c r="G82" s="28">
        <f>IF($J82="","",INDEX('Detalle individual'!$J:$J,$J82))</f>
        <v>90</v>
      </c>
      <c r="H82" s="28">
        <f>IF($J82="","",INDEX('Detalle individual'!$L:$L,$J82))</f>
        <v>1</v>
      </c>
      <c r="J82">
        <f>IFERROR(MATCH(SMALL(Cálculos!$AI$5:$AI$1000,78),Cálculos!$AI$5:$AI$1000,0)+4,"")</f>
        <v>216</v>
      </c>
    </row>
    <row r="83">
      <c r="A83" s="5" t="str">
        <f>IF($J83="","",INDEX('Detalle individual'!$B:$B,$J83))</f>
        <v>JAQUELIN JAZMIN ROMERO FLORES</v>
      </c>
      <c r="B83" s="5" t="str">
        <f>IF($J83="","",INDEX('Detalle individual'!$A:$A,$J83))</f>
        <v>971</v>
      </c>
      <c r="C83" s="5" t="str">
        <f>IF($J83="","",INDEX('Detalle individual'!$E:$E,$J83))</f>
        <v>CAJERO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23">
        <f>IF($J83="","",INDEX('Detalle individual'!$H:$H,$J83))</f>
        <v>46305.44142361111</v>
      </c>
      <c r="G83" s="28">
        <f>IF($J83="","",INDEX('Detalle individual'!$J:$J,$J83))</f>
        <v>100</v>
      </c>
      <c r="H83" s="28">
        <f>IF($J83="","",INDEX('Detalle individual'!$L:$L,$J83))</f>
        <v>1</v>
      </c>
      <c r="J83">
        <f>IFERROR(MATCH(SMALL(Cálculos!$AI$5:$AI$1000,79),Cálculos!$AI$5:$AI$1000,0)+4,"")</f>
        <v>219</v>
      </c>
    </row>
    <row r="84">
      <c r="A84" s="5" t="str">
        <f>IF($J84="","",INDEX('Detalle individual'!$B:$B,$J84))</f>
        <v>KRISSIA ANDREA DOMINGUEZ OSORIO</v>
      </c>
      <c r="B84" s="5" t="str">
        <f>IF($J84="","",INDEX('Detalle individual'!$A:$A,$J84))</f>
        <v>841</v>
      </c>
      <c r="C84" s="5" t="str">
        <f>IF($J84="","",INDEX('Detalle individual'!$E:$E,$J84))</f>
        <v>CAJERO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23">
        <f>IF($J84="","",INDEX('Detalle individual'!$H:$H,$J84))</f>
        <v>46305.39891203704</v>
      </c>
      <c r="G84" s="28">
        <f>IF($J84="","",INDEX('Detalle individual'!$J:$J,$J84))</f>
        <v>100</v>
      </c>
      <c r="H84" s="28">
        <f>IF($J84="","",INDEX('Detalle individual'!$L:$L,$J84))</f>
        <v>1</v>
      </c>
      <c r="J84">
        <f>IFERROR(MATCH(SMALL(Cálculos!$AI$5:$AI$1000,80),Cálculos!$AI$5:$AI$1000,0)+4,"")</f>
        <v>217</v>
      </c>
    </row>
    <row r="85">
      <c r="A85" s="5" t="str">
        <f>IF($J85="","",INDEX('Detalle individual'!$B:$B,$J85))</f>
        <v>MARTHA ESPERANZA VALTEZ GARCIA</v>
      </c>
      <c r="B85" s="5" t="str">
        <f>IF($J85="","",INDEX('Detalle individual'!$A:$A,$J85))</f>
        <v>536</v>
      </c>
      <c r="C85" s="5" t="str">
        <f>IF($J85="","",INDEX('Detalle individual'!$E:$E,$J85))</f>
        <v>CAJERO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23">
        <f>IF($J85="","",INDEX('Detalle individual'!$H:$H,$J85))</f>
        <v>46305.51391203704</v>
      </c>
      <c r="G85" s="28">
        <f>IF($J85="","",INDEX('Detalle individual'!$J:$J,$J85))</f>
        <v>100</v>
      </c>
      <c r="H85" s="28">
        <f>IF($J85="","",INDEX('Detalle individual'!$L:$L,$J85))</f>
        <v>1</v>
      </c>
      <c r="J85">
        <f>IFERROR(MATCH(SMALL(Cálculos!$AI$5:$AI$1000,81),Cálculos!$AI$5:$AI$1000,0)+4,"")</f>
        <v>214</v>
      </c>
    </row>
    <row r="86">
      <c r="A86" s="5" t="str">
        <f>IF($J86="","",INDEX('Detalle individual'!$B:$B,$J86))</f>
        <v>MERCI ANTONIA CERON MEJIA</v>
      </c>
      <c r="B86" s="5" t="str">
        <f>IF($J86="","",INDEX('Detalle individual'!$A:$A,$J86))</f>
        <v>190</v>
      </c>
      <c r="C86" s="5" t="str">
        <f>IF($J86="","",INDEX('Detalle individual'!$E:$E,$J86))</f>
        <v>EJECUTIVO DE NEGOCIOS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23">
        <f>IF($J86="","",INDEX('Detalle individual'!$H:$H,$J86))</f>
        <v>46305.513344907406</v>
      </c>
      <c r="G86" s="28">
        <f>IF($J86="","",INDEX('Detalle individual'!$J:$J,$J86))</f>
        <v>100</v>
      </c>
      <c r="H86" s="28">
        <f>IF($J86="","",INDEX('Detalle individual'!$L:$L,$J86))</f>
        <v>1</v>
      </c>
      <c r="J86">
        <f>IFERROR(MATCH(SMALL(Cálculos!$AI$5:$AI$1000,82),Cálculos!$AI$5:$AI$1000,0)+4,"")</f>
        <v>211</v>
      </c>
    </row>
    <row r="87">
      <c r="A87" s="5" t="str">
        <f>IF($J87="","",INDEX('Detalle individual'!$B:$B,$J87))</f>
        <v>PATRICIA ESMERALDA PORTILLO CESPEDES</v>
      </c>
      <c r="B87" s="5" t="str">
        <f>IF($J87="","",INDEX('Detalle individual'!$A:$A,$J87))</f>
        <v>360</v>
      </c>
      <c r="C87" s="5" t="str">
        <f>IF($J87="","",INDEX('Detalle individual'!$E:$E,$J87))</f>
        <v>JEFE DE AGENCIA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23">
        <f>IF($J87="","",INDEX('Detalle individual'!$H:$H,$J87))</f>
        <v>46296.47634259259</v>
      </c>
      <c r="G87" s="28">
        <f>IF($J87="","",INDEX('Detalle individual'!$J:$J,$J87))</f>
        <v>100</v>
      </c>
      <c r="H87" s="28">
        <f>IF($J87="","",INDEX('Detalle individual'!$L:$L,$J87))</f>
        <v>1</v>
      </c>
      <c r="J87">
        <f>IFERROR(MATCH(SMALL(Cálculos!$AI$5:$AI$1000,83),Cálculos!$AI$5:$AI$1000,0)+4,"")</f>
        <v>212</v>
      </c>
    </row>
    <row r="88">
      <c r="A88" s="5" t="str">
        <f>IF($J88="","",INDEX('Detalle individual'!$B:$B,$J88))</f>
        <v>WILBER ERNESTO DIAZ GONZALEZ</v>
      </c>
      <c r="B88" s="5" t="str">
        <f>IF($J88="","",INDEX('Detalle individual'!$A:$A,$J88))</f>
        <v>890</v>
      </c>
      <c r="C88" s="5" t="str">
        <f>IF($J88="","",INDEX('Detalle individual'!$E:$E,$J88))</f>
        <v>CAJERO</v>
      </c>
      <c r="D88" s="5" t="str">
        <f>IF($J88="","",INDEX('Detalle individual'!$C:$C,$J88))</f>
        <v>AGENCIA COLEGIO MEDICO</v>
      </c>
      <c r="E88" s="5" t="str">
        <f>IF($J88="","",INDEX('Detalle individual'!$D:$D,$J88))</f>
        <v>Gerencia de Negocios</v>
      </c>
      <c r="F88" s="23">
        <f>IF($J88="","",INDEX('Detalle individual'!$H:$H,$J88))</f>
        <v>46307.43005787037</v>
      </c>
      <c r="G88" s="28">
        <f>IF($J88="","",INDEX('Detalle individual'!$J:$J,$J88))</f>
        <v>90</v>
      </c>
      <c r="H88" s="28">
        <f>IF($J88="","",INDEX('Detalle individual'!$L:$L,$J88))</f>
        <v>1</v>
      </c>
      <c r="J88">
        <f>IFERROR(MATCH(SMALL(Cálculos!$AI$5:$AI$1000,84),Cálculos!$AI$5:$AI$1000,0)+4,"")</f>
        <v>218</v>
      </c>
    </row>
    <row r="89">
      <c r="A89" s="5" t="str">
        <f>IF($J89="","",INDEX('Detalle individual'!$B:$B,$J89))</f>
        <v>YANIRA ELIZABETH ORTEGA MIRANDA</v>
      </c>
      <c r="B89" s="5" t="str">
        <f>IF($J89="","",INDEX('Detalle individual'!$A:$A,$J89))</f>
        <v>29</v>
      </c>
      <c r="C89" s="5" t="str">
        <f>IF($J89="","",INDEX('Detalle individual'!$E:$E,$J89))</f>
        <v>SUBJEFE DE AGENCIA</v>
      </c>
      <c r="D89" s="5" t="str">
        <f>IF($J89="","",INDEX('Detalle individual'!$C:$C,$J89))</f>
        <v>AGENCIA COLEGIO MEDICO</v>
      </c>
      <c r="E89" s="5" t="str">
        <f>IF($J89="","",INDEX('Detalle individual'!$D:$D,$J89))</f>
        <v>Gerencia de Negocios</v>
      </c>
      <c r="F89" s="23">
        <f>IF($J89="","",INDEX('Detalle individual'!$H:$H,$J89))</f>
        <v>46305.43096064815</v>
      </c>
      <c r="G89" s="28">
        <f>IF($J89="","",INDEX('Detalle individual'!$J:$J,$J89))</f>
        <v>100</v>
      </c>
      <c r="H89" s="28">
        <f>IF($J89="","",INDEX('Detalle individual'!$L:$L,$J89))</f>
        <v>1</v>
      </c>
      <c r="J89">
        <f>IFERROR(MATCH(SMALL(Cálculos!$AI$5:$AI$1000,85),Cálculos!$AI$5:$AI$1000,0)+4,"")</f>
        <v>210</v>
      </c>
    </row>
    <row r="90">
      <c r="A90" s="5" t="str">
        <f>IF($J90="","",INDEX('Detalle individual'!$B:$B,$J90))</f>
        <v>ALFREDO ARMANDO RAMOS ESCOBAR</v>
      </c>
      <c r="B90" s="5" t="str">
        <f>IF($J90="","",INDEX('Detalle individual'!$A:$A,$J90))</f>
        <v>674</v>
      </c>
      <c r="C90" s="5" t="str">
        <f>IF($J90="","",INDEX('Detalle individual'!$E:$E,$J90))</f>
        <v>CAJERO</v>
      </c>
      <c r="D90" s="5" t="str">
        <f>IF($J90="","",INDEX('Detalle individual'!$C:$C,$J90))</f>
        <v>AGENCIA COLONIA MEDICA</v>
      </c>
      <c r="E90" s="5" t="str">
        <f>IF($J90="","",INDEX('Detalle individual'!$D:$D,$J90))</f>
        <v>Gerencia de Negocios</v>
      </c>
      <c r="F90" s="23">
        <f>IF($J90="","",INDEX('Detalle individual'!$H:$H,$J90))</f>
        <v>46310.535219907404</v>
      </c>
      <c r="G90" s="28">
        <f>IF($J90="","",INDEX('Detalle individual'!$J:$J,$J90))</f>
        <v>100</v>
      </c>
      <c r="H90" s="28">
        <f>IF($J90="","",INDEX('Detalle individual'!$L:$L,$J90))</f>
        <v>1</v>
      </c>
      <c r="J90">
        <f>IFERROR(MATCH(SMALL(Cálculos!$AI$5:$AI$1000,86),Cálculos!$AI$5:$AI$1000,0)+4,"")</f>
        <v>263</v>
      </c>
    </row>
    <row r="91">
      <c r="A91" s="5" t="str">
        <f>IF($J91="","",INDEX('Detalle individual'!$B:$B,$J91))</f>
        <v>ANA MARGARITA SERRANO RUBIO</v>
      </c>
      <c r="B91" s="5" t="str">
        <f>IF($J91="","",INDEX('Detalle individual'!$A:$A,$J91))</f>
        <v>19</v>
      </c>
      <c r="C91" s="5" t="str">
        <f>IF($J91="","",INDEX('Detalle individual'!$E:$E,$J91))</f>
        <v>CAJERO</v>
      </c>
      <c r="D91" s="5" t="str">
        <f>IF($J91="","",INDEX('Detalle individual'!$C:$C,$J91))</f>
        <v>AGENCIA COLONIA MEDICA</v>
      </c>
      <c r="E91" s="5" t="str">
        <f>IF($J91="","",INDEX('Detalle individual'!$D:$D,$J91))</f>
        <v>Gerencia de Negocios</v>
      </c>
      <c r="F91" s="23">
        <f>IF($J91="","",INDEX('Detalle individual'!$H:$H,$J91))</f>
        <v>46310.54141203704</v>
      </c>
      <c r="G91" s="28">
        <f>IF($J91="","",INDEX('Detalle individual'!$J:$J,$J91))</f>
        <v>100</v>
      </c>
      <c r="H91" s="28">
        <f>IF($J91="","",INDEX('Detalle individual'!$L:$L,$J91))</f>
        <v>1</v>
      </c>
      <c r="J91">
        <f>IFERROR(MATCH(SMALL(Cálculos!$AI$5:$AI$1000,87),Cálculos!$AI$5:$AI$1000,0)+4,"")</f>
        <v>257</v>
      </c>
    </row>
    <row r="92">
      <c r="A92" s="5" t="str">
        <f>IF($J92="","",INDEX('Detalle individual'!$B:$B,$J92))</f>
        <v>CARMEN DE JESÚS GONZÁLEZ BLANCO</v>
      </c>
      <c r="B92" s="5" t="str">
        <f>IF($J92="","",INDEX('Detalle individual'!$A:$A,$J92))</f>
        <v>412</v>
      </c>
      <c r="C92" s="5" t="str">
        <f>IF($J92="","",INDEX('Detalle individual'!$E:$E,$J92))</f>
        <v>EJECUTIVA DE SEGUROS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23">
        <f>IF($J92="","",INDEX('Detalle individual'!$H:$H,$J92))</f>
        <v>46302.63581018519</v>
      </c>
      <c r="G92" s="28">
        <f>IF($J92="","",INDEX('Detalle individual'!$J:$J,$J92))</f>
        <v>100</v>
      </c>
      <c r="H92" s="28">
        <f>IF($J92="","",INDEX('Detalle individual'!$L:$L,$J92))</f>
        <v>1</v>
      </c>
      <c r="J92">
        <f>IFERROR(MATCH(SMALL(Cálculos!$AI$5:$AI$1000,88),Cálculos!$AI$5:$AI$1000,0)+4,"")</f>
        <v>261</v>
      </c>
    </row>
    <row r="93">
      <c r="A93" s="5" t="str">
        <f>IF($J93="","",INDEX('Detalle individual'!$B:$B,$J93))</f>
        <v>DIANA MARISOL BATRES BARAHONA</v>
      </c>
      <c r="B93" s="5" t="str">
        <f>IF($J93="","",INDEX('Detalle individual'!$A:$A,$J93))</f>
        <v>728</v>
      </c>
      <c r="C93" s="5" t="str">
        <f>IF($J93="","",INDEX('Detalle individual'!$E:$E,$J93))</f>
        <v>SUBJEFE DE AGENCIA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23">
        <f>IF($J93="","",INDEX('Detalle individual'!$H:$H,$J93))</f>
        <v>46300.68400462963</v>
      </c>
      <c r="G93" s="28">
        <f>IF($J93="","",INDEX('Detalle individual'!$J:$J,$J93))</f>
        <v>100</v>
      </c>
      <c r="H93" s="28">
        <f>IF($J93="","",INDEX('Detalle individual'!$L:$L,$J93))</f>
        <v>1</v>
      </c>
      <c r="J93">
        <f>IFERROR(MATCH(SMALL(Cálculos!$AI$5:$AI$1000,89),Cálculos!$AI$5:$AI$1000,0)+4,"")</f>
        <v>265</v>
      </c>
    </row>
    <row r="94">
      <c r="A94" s="5" t="str">
        <f>IF($J94="","",INDEX('Detalle individual'!$B:$B,$J94))</f>
        <v>FLOR DE MARIA ROSALES SORTO</v>
      </c>
      <c r="B94" s="5" t="str">
        <f>IF($J94="","",INDEX('Detalle individual'!$A:$A,$J94))</f>
        <v>873</v>
      </c>
      <c r="C94" s="5" t="str">
        <f>IF($J94="","",INDEX('Detalle individual'!$E:$E,$J94))</f>
        <v>CAJERO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23">
        <f>IF($J94="","",INDEX('Detalle individual'!$H:$H,$J94))</f>
        <v>46310.52071759259</v>
      </c>
      <c r="G94" s="28">
        <f>IF($J94="","",INDEX('Detalle individual'!$J:$J,$J94))</f>
        <v>100</v>
      </c>
      <c r="H94" s="28">
        <f>IF($J94="","",INDEX('Detalle individual'!$L:$L,$J94))</f>
        <v>1</v>
      </c>
      <c r="J94">
        <f>IFERROR(MATCH(SMALL(Cálculos!$AI$5:$AI$1000,90),Cálculos!$AI$5:$AI$1000,0)+4,"")</f>
        <v>269</v>
      </c>
    </row>
    <row r="95">
      <c r="A95" s="5" t="str">
        <f>IF($J95="","",INDEX('Detalle individual'!$B:$B,$J95))</f>
        <v>FLOR DEL CARMEN GONZALEZ HERNANDEZ</v>
      </c>
      <c r="B95" s="5" t="str">
        <f>IF($J95="","",INDEX('Detalle individual'!$A:$A,$J95))</f>
        <v>913</v>
      </c>
      <c r="C95" s="5" t="str">
        <f>IF($J95="","",INDEX('Detalle individual'!$E:$E,$J95))</f>
        <v>SERVICIOS VARIOS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23">
        <f>IF($J95="","",INDEX('Detalle individual'!$H:$H,$J95))</f>
        <v>46310.53796296296</v>
      </c>
      <c r="G95" s="28">
        <f>IF($J95="","",INDEX('Detalle individual'!$J:$J,$J95))</f>
        <v>100</v>
      </c>
      <c r="H95" s="28">
        <f>IF($J95="","",INDEX('Detalle individual'!$L:$L,$J95))</f>
        <v>1</v>
      </c>
      <c r="J95">
        <f>IFERROR(MATCH(SMALL(Cálculos!$AI$5:$AI$1000,91),Cálculos!$AI$5:$AI$1000,0)+4,"")</f>
        <v>271</v>
      </c>
    </row>
    <row r="96">
      <c r="A96" s="5" t="str">
        <f>IF($J96="","",INDEX('Detalle individual'!$B:$B,$J96))</f>
        <v>INGRID PAOLA CORADO HERNANDEZ</v>
      </c>
      <c r="B96" s="5" t="str">
        <f>IF($J96="","",INDEX('Detalle individual'!$A:$A,$J96))</f>
        <v>722</v>
      </c>
      <c r="C96" s="5" t="str">
        <f>IF($J96="","",INDEX('Detalle individual'!$E:$E,$J96))</f>
        <v>CAJERO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23">
        <f>IF($J96="","",INDEX('Detalle individual'!$H:$H,$J96))</f>
        <v>46308.57957175926</v>
      </c>
      <c r="G96" s="28">
        <f>IF($J96="","",INDEX('Detalle individual'!$J:$J,$J96))</f>
        <v>90</v>
      </c>
      <c r="H96" s="28">
        <f>IF($J96="","",INDEX('Detalle individual'!$L:$L,$J96))</f>
        <v>1</v>
      </c>
      <c r="J96">
        <f>IFERROR(MATCH(SMALL(Cálculos!$AI$5:$AI$1000,92),Cálculos!$AI$5:$AI$1000,0)+4,"")</f>
        <v>264</v>
      </c>
    </row>
    <row r="97">
      <c r="A97" s="5" t="str">
        <f>IF($J97="","",INDEX('Detalle individual'!$B:$B,$J97))</f>
        <v>JENNIFFER IVETTE MORALES PEREZ</v>
      </c>
      <c r="B97" s="5" t="str">
        <f>IF($J97="","",INDEX('Detalle individual'!$A:$A,$J97))</f>
        <v>308</v>
      </c>
      <c r="C97" s="5" t="str">
        <f>IF($J97="","",INDEX('Detalle individual'!$E:$E,$J97))</f>
        <v>EJECUTIVO DE NEGOCIOS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23">
        <f>IF($J97="","",INDEX('Detalle individual'!$H:$H,$J97))</f>
        <v>46297.714895833335</v>
      </c>
      <c r="G97" s="28">
        <f>IF($J97="","",INDEX('Detalle individual'!$J:$J,$J97))</f>
        <v>95</v>
      </c>
      <c r="H97" s="28">
        <f>IF($J97="","",INDEX('Detalle individual'!$L:$L,$J97))</f>
        <v>1</v>
      </c>
      <c r="J97">
        <f>IFERROR(MATCH(SMALL(Cálculos!$AI$5:$AI$1000,93),Cálculos!$AI$5:$AI$1000,0)+4,"")</f>
        <v>260</v>
      </c>
    </row>
    <row r="98">
      <c r="A98" s="5" t="str">
        <f>IF($J98="","",INDEX('Detalle individual'!$B:$B,$J98))</f>
        <v>JULIO ENRIQUE CAMPOS ANDRADE</v>
      </c>
      <c r="B98" s="5" t="str">
        <f>IF($J98="","",INDEX('Detalle individual'!$A:$A,$J98))</f>
        <v>624</v>
      </c>
      <c r="C98" s="5" t="str">
        <f>IF($J98="","",INDEX('Detalle individual'!$E:$E,$J98))</f>
        <v>EJECUTIVO DE NEGOCIOS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23">
        <f>IF($J98="","",INDEX('Detalle individual'!$H:$H,$J98))</f>
        <v>46310.516701388886</v>
      </c>
      <c r="G98" s="28">
        <f>IF($J98="","",INDEX('Detalle individual'!$J:$J,$J98))</f>
        <v>90</v>
      </c>
      <c r="H98" s="28">
        <f>IF($J98="","",INDEX('Detalle individual'!$L:$L,$J98))</f>
        <v>1</v>
      </c>
      <c r="J98">
        <f>IFERROR(MATCH(SMALL(Cálculos!$AI$5:$AI$1000,94),Cálculos!$AI$5:$AI$1000,0)+4,"")</f>
        <v>262</v>
      </c>
    </row>
    <row r="99">
      <c r="A99" s="5" t="str">
        <f>IF($J99="","",INDEX('Detalle individual'!$B:$B,$J99))</f>
        <v>JULIO RAFAEL FLORES HENRIQUEZ</v>
      </c>
      <c r="B99" s="5" t="str">
        <f>IF($J99="","",INDEX('Detalle individual'!$A:$A,$J99))</f>
        <v>179</v>
      </c>
      <c r="C99" s="5" t="str">
        <f>IF($J99="","",INDEX('Detalle individual'!$E:$E,$J99))</f>
        <v>JEFE DE AGENCIA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23">
        <f>IF($J99="","",INDEX('Detalle individual'!$H:$H,$J99))</f>
        <v>46309.36565972222</v>
      </c>
      <c r="G99" s="28">
        <f>IF($J99="","",INDEX('Detalle individual'!$J:$J,$J99))</f>
        <v>100</v>
      </c>
      <c r="H99" s="28">
        <f>IF($J99="","",INDEX('Detalle individual'!$L:$L,$J99))</f>
        <v>1</v>
      </c>
      <c r="J99">
        <f>IFERROR(MATCH(SMALL(Cálculos!$AI$5:$AI$1000,95),Cálculos!$AI$5:$AI$1000,0)+4,"")</f>
        <v>259</v>
      </c>
    </row>
    <row r="100">
      <c r="A100" s="5" t="str">
        <f>IF($J100="","",INDEX('Detalle individual'!$B:$B,$J100))</f>
        <v>PATRICIA JEANNETTE FLORES MARTINEZ</v>
      </c>
      <c r="B100" s="5" t="str">
        <f>IF($J100="","",INDEX('Detalle individual'!$A:$A,$J100))</f>
        <v>89</v>
      </c>
      <c r="C100" s="5" t="str">
        <f>IF($J100="","",INDEX('Detalle individual'!$E:$E,$J100))</f>
        <v>AUXILIAR DE OPERACIONES Y ATENCION EN AGENCIA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23">
        <f>IF($J100="","",INDEX('Detalle individual'!$H:$H,$J100))</f>
        <v>46302.64712962963</v>
      </c>
      <c r="G100" s="28">
        <f>IF($J100="","",INDEX('Detalle individual'!$J:$J,$J100))</f>
        <v>100</v>
      </c>
      <c r="H100" s="28">
        <f>IF($J100="","",INDEX('Detalle individual'!$L:$L,$J100))</f>
        <v>1</v>
      </c>
      <c r="J100">
        <f>IFERROR(MATCH(SMALL(Cálculos!$AI$5:$AI$1000,96),Cálculos!$AI$5:$AI$1000,0)+4,"")</f>
        <v>258</v>
      </c>
    </row>
    <row r="101">
      <c r="A101" s="5" t="str">
        <f>IF($J101="","",INDEX('Detalle individual'!$B:$B,$J101))</f>
        <v>STEFFANY MARIELOS MIRO HERNANDEZ</v>
      </c>
      <c r="B101" s="5" t="str">
        <f>IF($J101="","",INDEX('Detalle individual'!$A:$A,$J101))</f>
        <v>855</v>
      </c>
      <c r="C101" s="5" t="str">
        <f>IF($J101="","",INDEX('Detalle individual'!$E:$E,$J101))</f>
        <v>CAJERO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23">
        <f>IF($J101="","",INDEX('Detalle individual'!$H:$H,$J101))</f>
        <v>46310.52695601852</v>
      </c>
      <c r="G101" s="28">
        <f>IF($J101="","",INDEX('Detalle individual'!$J:$J,$J101))</f>
        <v>100</v>
      </c>
      <c r="H101" s="28">
        <f>IF($J101="","",INDEX('Detalle individual'!$L:$L,$J101))</f>
        <v>1</v>
      </c>
      <c r="J101">
        <f>IFERROR(MATCH(SMALL(Cálculos!$AI$5:$AI$1000,97),Cálculos!$AI$5:$AI$1000,0)+4,"")</f>
        <v>268</v>
      </c>
    </row>
    <row r="102">
      <c r="A102" s="5" t="str">
        <f>IF($J102="","",INDEX('Detalle individual'!$B:$B,$J102))</f>
        <v>YESENIA LISSETH BARAHONA VALLE</v>
      </c>
      <c r="B102" s="5" t="str">
        <f>IF($J102="","",INDEX('Detalle individual'!$A:$A,$J102))</f>
        <v>891</v>
      </c>
      <c r="C102" s="5" t="str">
        <f>IF($J102="","",INDEX('Detalle individual'!$E:$E,$J102))</f>
        <v>AUXILIAR DE ATENCION AL ASOCIADO EN AGENCIA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23">
        <f>IF($J102="","",INDEX('Detalle individual'!$H:$H,$J102))</f>
        <v>46310.54554398148</v>
      </c>
      <c r="G102" s="28">
        <f>IF($J102="","",INDEX('Detalle individual'!$J:$J,$J102))</f>
        <v>100</v>
      </c>
      <c r="H102" s="28">
        <f>IF($J102="","",INDEX('Detalle individual'!$L:$L,$J102))</f>
        <v>2</v>
      </c>
      <c r="J102">
        <f>IFERROR(MATCH(SMALL(Cálculos!$AI$5:$AI$1000,98),Cálculos!$AI$5:$AI$1000,0)+4,"")</f>
        <v>270</v>
      </c>
    </row>
    <row r="103">
      <c r="A103" s="5" t="str">
        <f>IF($J103="","",INDEX('Detalle individual'!$B:$B,$J103))</f>
        <v>YHANA MILET VALLE HERNANDEZ</v>
      </c>
      <c r="B103" s="5" t="str">
        <f>IF($J103="","",INDEX('Detalle individual'!$A:$A,$J103))</f>
        <v>735</v>
      </c>
      <c r="C103" s="5" t="str">
        <f>IF($J103="","",INDEX('Detalle individual'!$E:$E,$J103))</f>
        <v>CAJERO</v>
      </c>
      <c r="D103" s="5" t="str">
        <f>IF($J103="","",INDEX('Detalle individual'!$C:$C,$J103))</f>
        <v>AGENCIA COLONIA MEDICA</v>
      </c>
      <c r="E103" s="5" t="str">
        <f>IF($J103="","",INDEX('Detalle individual'!$D:$D,$J103))</f>
        <v>Gerencia de Negocios</v>
      </c>
      <c r="F103" s="23">
        <f>IF($J103="","",INDEX('Detalle individual'!$H:$H,$J103))</f>
        <v>46310.531226851854</v>
      </c>
      <c r="G103" s="28">
        <f>IF($J103="","",INDEX('Detalle individual'!$J:$J,$J103))</f>
        <v>100</v>
      </c>
      <c r="H103" s="28">
        <f>IF($J103="","",INDEX('Detalle individual'!$L:$L,$J103))</f>
        <v>1</v>
      </c>
      <c r="J103">
        <f>IFERROR(MATCH(SMALL(Cálculos!$AI$5:$AI$1000,99),Cálculos!$AI$5:$AI$1000,0)+4,"")</f>
        <v>266</v>
      </c>
    </row>
    <row r="104">
      <c r="A104" s="5" t="str">
        <f>IF($J104="","",INDEX('Detalle individual'!$B:$B,$J104))</f>
        <v>ZULMA BEATRIZ RIVAS RIVERA</v>
      </c>
      <c r="B104" s="5" t="str">
        <f>IF($J104="","",INDEX('Detalle individual'!$A:$A,$J104))</f>
        <v>801</v>
      </c>
      <c r="C104" s="5" t="str">
        <f>IF($J104="","",INDEX('Detalle individual'!$E:$E,$J104))</f>
        <v>CAJERO</v>
      </c>
      <c r="D104" s="5" t="str">
        <f>IF($J104="","",INDEX('Detalle individual'!$C:$C,$J104))</f>
        <v>AGENCIA COLONIA MEDICA</v>
      </c>
      <c r="E104" s="5" t="str">
        <f>IF($J104="","",INDEX('Detalle individual'!$D:$D,$J104))</f>
        <v>Gerencia de Negocios</v>
      </c>
      <c r="F104" s="23">
        <f>IF($J104="","",INDEX('Detalle individual'!$H:$H,$J104))</f>
        <v>46300.688368055555</v>
      </c>
      <c r="G104" s="28">
        <f>IF($J104="","",INDEX('Detalle individual'!$J:$J,$J104))</f>
        <v>100</v>
      </c>
      <c r="H104" s="28">
        <f>IF($J104="","",INDEX('Detalle individual'!$L:$L,$J104))</f>
        <v>1</v>
      </c>
      <c r="J104">
        <f>IFERROR(MATCH(SMALL(Cálculos!$AI$5:$AI$1000,100),Cálculos!$AI$5:$AI$1000,0)+4,"")</f>
        <v>267</v>
      </c>
    </row>
    <row r="105">
      <c r="A105" s="5" t="str">
        <f>IF($J105="","",INDEX('Detalle individual'!$B:$B,$J105))</f>
        <v>CLELIA DESIREE CAMPOS COSS</v>
      </c>
      <c r="B105" s="5" t="str">
        <f>IF($J105="","",INDEX('Detalle individual'!$A:$A,$J105))</f>
        <v>657</v>
      </c>
      <c r="C105" s="5" t="str">
        <f>IF($J105="","",INDEX('Detalle individual'!$E:$E,$J105))</f>
        <v>SERVICIOS VARIOS</v>
      </c>
      <c r="D105" s="5" t="str">
        <f>IF($J105="","",INDEX('Detalle individual'!$C:$C,$J105))</f>
        <v>AGENCIA MERLIOT</v>
      </c>
      <c r="E105" s="5" t="str">
        <f>IF($J105="","",INDEX('Detalle individual'!$D:$D,$J105))</f>
        <v>Gerencia de Negocios</v>
      </c>
      <c r="F105" s="23">
        <f>IF($J105="","",INDEX('Detalle individual'!$H:$H,$J105))</f>
        <v>46310.52479166666</v>
      </c>
      <c r="G105" s="28">
        <f>IF($J105="","",INDEX('Detalle individual'!$J:$J,$J105))</f>
        <v>100</v>
      </c>
      <c r="H105" s="28">
        <f>IF($J105="","",INDEX('Detalle individual'!$L:$L,$J105))</f>
        <v>1</v>
      </c>
      <c r="J105">
        <f>IFERROR(MATCH(SMALL(Cálculos!$AI$5:$AI$1000,101),Cálculos!$AI$5:$AI$1000,0)+4,"")</f>
        <v>247</v>
      </c>
    </row>
    <row r="106">
      <c r="A106" s="5" t="str">
        <f>IF($J106="","",INDEX('Detalle individual'!$B:$B,$J106))</f>
        <v>DIANA VANESSA RODRIGUEZ SORIANO</v>
      </c>
      <c r="B106" s="5" t="str">
        <f>IF($J106="","",INDEX('Detalle individual'!$A:$A,$J106))</f>
        <v>892</v>
      </c>
      <c r="C106" s="5" t="str">
        <f>IF($J106="","",INDEX('Detalle individual'!$E:$E,$J106))</f>
        <v>EJECUTIVA DE SEGUROS</v>
      </c>
      <c r="D106" s="5" t="str">
        <f>IF($J106="","",INDEX('Detalle individual'!$C:$C,$J106))</f>
        <v>AGENCIA MERLIOT</v>
      </c>
      <c r="E106" s="5" t="str">
        <f>IF($J106="","",INDEX('Detalle individual'!$D:$D,$J106))</f>
        <v>Gerencia de Negocios</v>
      </c>
      <c r="F106" s="23">
        <f>IF($J106="","",INDEX('Detalle individual'!$H:$H,$J106))</f>
        <v>46303.39013888889</v>
      </c>
      <c r="G106" s="28">
        <f>IF($J106="","",INDEX('Detalle individual'!$J:$J,$J106))</f>
        <v>100</v>
      </c>
      <c r="H106" s="28">
        <f>IF($J106="","",INDEX('Detalle individual'!$L:$L,$J106))</f>
        <v>1</v>
      </c>
      <c r="J106">
        <f>IFERROR(MATCH(SMALL(Cálculos!$AI$5:$AI$1000,102),Cálculos!$AI$5:$AI$1000,0)+4,"")</f>
        <v>251</v>
      </c>
    </row>
    <row r="107">
      <c r="A107" s="5" t="str">
        <f>IF($J107="","",INDEX('Detalle individual'!$B:$B,$J107))</f>
        <v>FATIMA BERENICE MEDINA ESCALANTE</v>
      </c>
      <c r="B107" s="5" t="str">
        <f>IF($J107="","",INDEX('Detalle individual'!$A:$A,$J107))</f>
        <v>343</v>
      </c>
      <c r="C107" s="5" t="str">
        <f>IF($J107="","",INDEX('Detalle individual'!$E:$E,$J107))</f>
        <v>JEFE DE AGENCIA</v>
      </c>
      <c r="D107" s="5" t="str">
        <f>IF($J107="","",INDEX('Detalle individual'!$C:$C,$J107))</f>
        <v>AGENCIA MERLIOT</v>
      </c>
      <c r="E107" s="5" t="str">
        <f>IF($J107="","",INDEX('Detalle individual'!$D:$D,$J107))</f>
        <v>Gerencia de Negocios</v>
      </c>
      <c r="F107" s="23">
        <f>IF($J107="","",INDEX('Detalle individual'!$H:$H,$J107))</f>
        <v>46302.70259259259</v>
      </c>
      <c r="G107" s="28">
        <f>IF($J107="","",INDEX('Detalle individual'!$J:$J,$J107))</f>
        <v>100</v>
      </c>
      <c r="H107" s="28">
        <f>IF($J107="","",INDEX('Detalle individual'!$L:$L,$J107))</f>
        <v>1</v>
      </c>
      <c r="J107">
        <f>IFERROR(MATCH(SMALL(Cálculos!$AI$5:$AI$1000,103),Cálculos!$AI$5:$AI$1000,0)+4,"")</f>
        <v>246</v>
      </c>
    </row>
    <row r="108">
      <c r="A108" s="5" t="str">
        <f>IF($J108="","",INDEX('Detalle individual'!$B:$B,$J108))</f>
        <v>GLADYS LISETH HERNANDEZ CRUZ</v>
      </c>
      <c r="B108" s="5" t="str">
        <f>IF($J108="","",INDEX('Detalle individual'!$A:$A,$J108))</f>
        <v>909</v>
      </c>
      <c r="C108" s="5" t="str">
        <f>IF($J108="","",INDEX('Detalle individual'!$E:$E,$J108))</f>
        <v>CAJERO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23">
        <f>IF($J108="","",INDEX('Detalle individual'!$H:$H,$J108))</f>
        <v>46302.70457175926</v>
      </c>
      <c r="G108" s="28">
        <f>IF($J108="","",INDEX('Detalle individual'!$J:$J,$J108))</f>
        <v>100</v>
      </c>
      <c r="H108" s="28">
        <f>IF($J108="","",INDEX('Detalle individual'!$L:$L,$J108))</f>
        <v>1</v>
      </c>
      <c r="J108">
        <f>IFERROR(MATCH(SMALL(Cálculos!$AI$5:$AI$1000,104),Cálculos!$AI$5:$AI$1000,0)+4,"")</f>
        <v>252</v>
      </c>
    </row>
    <row r="109">
      <c r="A109" s="5" t="str">
        <f>IF($J109="","",INDEX('Detalle individual'!$B:$B,$J109))</f>
        <v>JENNIFFER MIREYA AYALA ZEPEDA</v>
      </c>
      <c r="B109" s="5" t="str">
        <f>IF($J109="","",INDEX('Detalle individual'!$A:$A,$J109))</f>
        <v>700</v>
      </c>
      <c r="C109" s="5" t="str">
        <f>IF($J109="","",INDEX('Detalle individual'!$E:$E,$J109))</f>
        <v>SUBJEFE DE AGENCIA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23">
        <f>IF($J109="","",INDEX('Detalle individual'!$H:$H,$J109))</f>
        <v>46302.561886574076</v>
      </c>
      <c r="G109" s="28">
        <f>IF($J109="","",INDEX('Detalle individual'!$J:$J,$J109))</f>
        <v>100</v>
      </c>
      <c r="H109" s="28">
        <f>IF($J109="","",INDEX('Detalle individual'!$L:$L,$J109))</f>
        <v>1</v>
      </c>
      <c r="J109">
        <f>IFERROR(MATCH(SMALL(Cálculos!$AI$5:$AI$1000,105),Cálculos!$AI$5:$AI$1000,0)+4,"")</f>
        <v>249</v>
      </c>
    </row>
    <row r="110">
      <c r="A110" s="5" t="str">
        <f>IF($J110="","",INDEX('Detalle individual'!$B:$B,$J110))</f>
        <v>JOSSELYN IVONNE GARCIA HERNANDEZ</v>
      </c>
      <c r="B110" s="5" t="str">
        <f>IF($J110="","",INDEX('Detalle individual'!$A:$A,$J110))</f>
        <v>944</v>
      </c>
      <c r="C110" s="5" t="str">
        <f>IF($J110="","",INDEX('Detalle individual'!$E:$E,$J110))</f>
        <v>AUXILIAR DE ATENCION A ASOCIADOS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23">
        <f>IF($J110="","",INDEX('Detalle individual'!$H:$H,$J110))</f>
        <v>46296.67511574074</v>
      </c>
      <c r="G110" s="28">
        <f>IF($J110="","",INDEX('Detalle individual'!$J:$J,$J110))</f>
        <v>75</v>
      </c>
      <c r="H110" s="28">
        <f>IF($J110="","",INDEX('Detalle individual'!$L:$L,$J110))</f>
        <v>1</v>
      </c>
      <c r="J110">
        <f>IFERROR(MATCH(SMALL(Cálculos!$AI$5:$AI$1000,106),Cálculos!$AI$5:$AI$1000,0)+4,"")</f>
        <v>255</v>
      </c>
    </row>
    <row r="111">
      <c r="A111" s="5" t="str">
        <f>IF($J111="","",INDEX('Detalle individual'!$B:$B,$J111))</f>
        <v>KELLY IDALIA CHAVEZ ABREGO</v>
      </c>
      <c r="B111" s="5" t="str">
        <f>IF($J111="","",INDEX('Detalle individual'!$A:$A,$J111))</f>
        <v>827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23">
        <f>IF($J111="","",INDEX('Detalle individual'!$H:$H,$J111))</f>
        <v>46302.58609953704</v>
      </c>
      <c r="G111" s="28">
        <f>IF($J111="","",INDEX('Detalle individual'!$J:$J,$J111))</f>
        <v>100</v>
      </c>
      <c r="H111" s="28">
        <f>IF($J111="","",INDEX('Detalle individual'!$L:$L,$J111))</f>
        <v>1</v>
      </c>
      <c r="J111">
        <f>IFERROR(MATCH(SMALL(Cálculos!$AI$5:$AI$1000,107),Cálculos!$AI$5:$AI$1000,0)+4,"")</f>
        <v>250</v>
      </c>
    </row>
    <row r="112">
      <c r="A112" s="5" t="str">
        <f>IF($J112="","",INDEX('Detalle individual'!$B:$B,$J112))</f>
        <v>MADELINE ADRIANA GOMEZ GARCIA</v>
      </c>
      <c r="B112" s="5" t="str">
        <f>IF($J112="","",INDEX('Detalle individual'!$A:$A,$J112))</f>
        <v>922</v>
      </c>
      <c r="C112" s="5" t="str">
        <f>IF($J112="","",INDEX('Detalle individual'!$E:$E,$J112))</f>
        <v>CAJERO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23">
        <f>IF($J112="","",INDEX('Detalle individual'!$H:$H,$J112))</f>
        <v>46302.57753472222</v>
      </c>
      <c r="G112" s="28">
        <f>IF($J112="","",INDEX('Detalle individual'!$J:$J,$J112))</f>
        <v>100</v>
      </c>
      <c r="H112" s="28">
        <f>IF($J112="","",INDEX('Detalle individual'!$L:$L,$J112))</f>
        <v>1</v>
      </c>
      <c r="J112">
        <f>IFERROR(MATCH(SMALL(Cálculos!$AI$5:$AI$1000,108),Cálculos!$AI$5:$AI$1000,0)+4,"")</f>
        <v>253</v>
      </c>
    </row>
    <row r="113">
      <c r="A113" s="5" t="str">
        <f>IF($J113="","",INDEX('Detalle individual'!$B:$B,$J113))</f>
        <v>MARISELA GUADALUPE MEJIA CRUZ</v>
      </c>
      <c r="B113" s="5" t="str">
        <f>IF($J113="","",INDEX('Detalle individual'!$A:$A,$J113))</f>
        <v>936</v>
      </c>
      <c r="C113" s="5" t="str">
        <f>IF($J113="","",INDEX('Detalle individual'!$E:$E,$J113))</f>
        <v>CAJERO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23">
        <f>IF($J113="","",INDEX('Detalle individual'!$H:$H,$J113))</f>
        <v>46302.637037037035</v>
      </c>
      <c r="G113" s="28">
        <f>IF($J113="","",INDEX('Detalle individual'!$J:$J,$J113))</f>
        <v>100</v>
      </c>
      <c r="H113" s="28">
        <f>IF($J113="","",INDEX('Detalle individual'!$L:$L,$J113))</f>
        <v>1</v>
      </c>
      <c r="J113">
        <f>IFERROR(MATCH(SMALL(Cálculos!$AI$5:$AI$1000,109),Cálculos!$AI$5:$AI$1000,0)+4,"")</f>
        <v>254</v>
      </c>
    </row>
    <row r="114">
      <c r="A114" s="5" t="str">
        <f>IF($J114="","",INDEX('Detalle individual'!$B:$B,$J114))</f>
        <v>MAVERICK JOSSIMAR GONZALEZ MUÑOZ</v>
      </c>
      <c r="B114" s="5" t="str">
        <f>IF($J114="","",INDEX('Detalle individual'!$A:$A,$J114))</f>
        <v>967</v>
      </c>
      <c r="C114" s="5" t="str">
        <f>IF($J114="","",INDEX('Detalle individual'!$E:$E,$J114))</f>
        <v>CAJERO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23">
        <f>IF($J114="","",INDEX('Detalle individual'!$H:$H,$J114))</f>
        <v>46302.58998842593</v>
      </c>
      <c r="G114" s="28">
        <f>IF($J114="","",INDEX('Detalle individual'!$J:$J,$J114))</f>
        <v>100</v>
      </c>
      <c r="H114" s="28">
        <f>IF($J114="","",INDEX('Detalle individual'!$L:$L,$J114))</f>
        <v>1</v>
      </c>
      <c r="J114">
        <f>IFERROR(MATCH(SMALL(Cálculos!$AI$5:$AI$1000,110),Cálculos!$AI$5:$AI$1000,0)+4,"")</f>
        <v>256</v>
      </c>
    </row>
    <row r="115">
      <c r="A115" s="5" t="str">
        <f>IF($J115="","",INDEX('Detalle individual'!$B:$B,$J115))</f>
        <v>MILTON ALEXANDER CUELLAR GARCIA</v>
      </c>
      <c r="B115" s="5" t="str">
        <f>IF($J115="","",INDEX('Detalle individual'!$A:$A,$J115))</f>
        <v>671</v>
      </c>
      <c r="C115" s="5" t="str">
        <f>IF($J115="","",INDEX('Detalle individual'!$E:$E,$J115))</f>
        <v>CAJERO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23">
        <f>IF($J115="","",INDEX('Detalle individual'!$H:$H,$J115))</f>
        <v>46296.55247685185</v>
      </c>
      <c r="G115" s="28">
        <f>IF($J115="","",INDEX('Detalle individual'!$J:$J,$J115))</f>
        <v>70</v>
      </c>
      <c r="H115" s="28">
        <f>IF($J115="","",INDEX('Detalle individual'!$L:$L,$J115))</f>
        <v>1</v>
      </c>
      <c r="J115">
        <f>IFERROR(MATCH(SMALL(Cálculos!$AI$5:$AI$1000,111),Cálculos!$AI$5:$AI$1000,0)+4,"")</f>
        <v>248</v>
      </c>
    </row>
    <row r="116">
      <c r="A116" s="5" t="str">
        <f>IF($J116="","",INDEX('Detalle individual'!$B:$B,$J116))</f>
        <v>NURIA LISSETH AGUILAR AGUILAR</v>
      </c>
      <c r="B116" s="5" t="str">
        <f>IF($J116="","",INDEX('Detalle individual'!$A:$A,$J116))</f>
        <v>251</v>
      </c>
      <c r="C116" s="5" t="str">
        <f>IF($J116="","",INDEX('Detalle individual'!$E:$E,$J116))</f>
        <v>EJECUTIVO DE NEGOCIOS</v>
      </c>
      <c r="D116" s="5" t="str">
        <f>IF($J116="","",INDEX('Detalle individual'!$C:$C,$J116))</f>
        <v>AGENCIA MERLIOT</v>
      </c>
      <c r="E116" s="5" t="str">
        <f>IF($J116="","",INDEX('Detalle individual'!$D:$D,$J116))</f>
        <v>Gerencia de Negocios</v>
      </c>
      <c r="F116" s="23">
        <f>IF($J116="","",INDEX('Detalle individual'!$H:$H,$J116))</f>
        <v>46303.46199074074</v>
      </c>
      <c r="G116" s="28">
        <f>IF($J116="","",INDEX('Detalle individual'!$J:$J,$J116))</f>
        <v>100</v>
      </c>
      <c r="H116" s="28">
        <f>IF($J116="","",INDEX('Detalle individual'!$L:$L,$J116))</f>
        <v>1</v>
      </c>
      <c r="J116">
        <f>IFERROR(MATCH(SMALL(Cálculos!$AI$5:$AI$1000,112),Cálculos!$AI$5:$AI$1000,0)+4,"")</f>
        <v>245</v>
      </c>
    </row>
    <row r="117">
      <c r="A117" s="5" t="str">
        <f>IF($J117="","",INDEX('Detalle individual'!$B:$B,$J117))</f>
        <v>PATRICIA GUADALUPE GUARDADO OSEGUEDA</v>
      </c>
      <c r="B117" s="5" t="str">
        <f>IF($J117="","",INDEX('Detalle individual'!$A:$A,$J117))</f>
        <v>159</v>
      </c>
      <c r="C117" s="5" t="str">
        <f>IF($J117="","",INDEX('Detalle individual'!$E:$E,$J117))</f>
        <v>EJECUTIVO DE NEGOCIOS</v>
      </c>
      <c r="D117" s="5" t="str">
        <f>IF($J117="","",INDEX('Detalle individual'!$C:$C,$J117))</f>
        <v>AGENCIA MERLIOT</v>
      </c>
      <c r="E117" s="5" t="str">
        <f>IF($J117="","",INDEX('Detalle individual'!$D:$D,$J117))</f>
        <v>Gerencia de Negocios</v>
      </c>
      <c r="F117" s="23">
        <f>IF($J117="","",INDEX('Detalle individual'!$H:$H,$J117))</f>
        <v>46303.39640046296</v>
      </c>
      <c r="G117" s="28">
        <f>IF($J117="","",INDEX('Detalle individual'!$J:$J,$J117))</f>
        <v>100</v>
      </c>
      <c r="H117" s="28">
        <f>IF($J117="","",INDEX('Detalle individual'!$L:$L,$J117))</f>
        <v>1</v>
      </c>
      <c r="J117">
        <f>IFERROR(MATCH(SMALL(Cálculos!$AI$5:$AI$1000,113),Cálculos!$AI$5:$AI$1000,0)+4,"")</f>
        <v>244</v>
      </c>
    </row>
    <row r="118">
      <c r="A118" s="5" t="str">
        <f>IF($J118="","",INDEX('Detalle individual'!$B:$B,$J118))</f>
        <v>ERIKA IVETH MANCIA HERNANDEZ</v>
      </c>
      <c r="B118" s="5" t="str">
        <f>IF($J118="","",INDEX('Detalle individual'!$A:$A,$J118))</f>
        <v>955</v>
      </c>
      <c r="C118" s="5" t="str">
        <f>IF($J118="","",INDEX('Detalle individual'!$E:$E,$J118))</f>
        <v>CAJERO</v>
      </c>
      <c r="D118" s="5" t="str">
        <f>IF($J118="","",INDEX('Detalle individual'!$C:$C,$J118))</f>
        <v>AGENCIA PLAZA MUNDO</v>
      </c>
      <c r="E118" s="5" t="str">
        <f>IF($J118="","",INDEX('Detalle individual'!$D:$D,$J118))</f>
        <v>Gerencia de Negocios</v>
      </c>
      <c r="F118" s="23">
        <f>IF($J118="","",INDEX('Detalle individual'!$H:$H,$J118))</f>
        <v>46309.404699074075</v>
      </c>
      <c r="G118" s="28">
        <f>IF($J118="","",INDEX('Detalle individual'!$J:$J,$J118))</f>
        <v>100</v>
      </c>
      <c r="H118" s="28">
        <f>IF($J118="","",INDEX('Detalle individual'!$L:$L,$J118))</f>
        <v>1</v>
      </c>
      <c r="J118">
        <f>IFERROR(MATCH(SMALL(Cálculos!$AI$5:$AI$1000,114),Cálculos!$AI$5:$AI$1000,0)+4,"")</f>
        <v>280</v>
      </c>
    </row>
    <row r="119">
      <c r="A119" s="5" t="str">
        <f>IF($J119="","",INDEX('Detalle individual'!$B:$B,$J119))</f>
        <v>GABRIELA JEANNETTE BOLAÑOS HERRERA</v>
      </c>
      <c r="B119" s="5" t="str">
        <f>IF($J119="","",INDEX('Detalle individual'!$A:$A,$J119))</f>
        <v>616</v>
      </c>
      <c r="C119" s="5" t="str">
        <f>IF($J119="","",INDEX('Detalle individual'!$E:$E,$J119))</f>
        <v>EJECUTIVA DE SEGUROS</v>
      </c>
      <c r="D119" s="5" t="str">
        <f>IF($J119="","",INDEX('Detalle individual'!$C:$C,$J119))</f>
        <v>AGENCIA PLAZA MUNDO</v>
      </c>
      <c r="E119" s="5" t="str">
        <f>IF($J119="","",INDEX('Detalle individual'!$D:$D,$J119))</f>
        <v>Gerencia de Negocios</v>
      </c>
      <c r="F119" s="23">
        <f>IF($J119="","",INDEX('Detalle individual'!$H:$H,$J119))</f>
        <v>46308.41873842593</v>
      </c>
      <c r="G119" s="28">
        <f>IF($J119="","",INDEX('Detalle individual'!$J:$J,$J119))</f>
        <v>100</v>
      </c>
      <c r="H119" s="28">
        <f>IF($J119="","",INDEX('Detalle individual'!$L:$L,$J119))</f>
        <v>1</v>
      </c>
      <c r="J119">
        <f>IFERROR(MATCH(SMALL(Cálculos!$AI$5:$AI$1000,115),Cálculos!$AI$5:$AI$1000,0)+4,"")</f>
        <v>276</v>
      </c>
    </row>
    <row r="120">
      <c r="A120" s="5" t="str">
        <f>IF($J120="","",INDEX('Detalle individual'!$B:$B,$J120))</f>
        <v>NANCY CAROLINA FUENTES SORTO</v>
      </c>
      <c r="B120" s="5" t="str">
        <f>IF($J120="","",INDEX('Detalle individual'!$A:$A,$J120))</f>
        <v>675</v>
      </c>
      <c r="C120" s="5" t="str">
        <f>IF($J120="","",INDEX('Detalle individual'!$E:$E,$J120))</f>
        <v>CAJERO</v>
      </c>
      <c r="D120" s="5" t="str">
        <f>IF($J120="","",INDEX('Detalle individual'!$C:$C,$J120))</f>
        <v>AGENCIA PLAZA MUNDO</v>
      </c>
      <c r="E120" s="5" t="str">
        <f>IF($J120="","",INDEX('Detalle individual'!$D:$D,$J120))</f>
        <v>Gerencia de Negocios</v>
      </c>
      <c r="F120" s="23">
        <f>IF($J120="","",INDEX('Detalle individual'!$H:$H,$J120))</f>
        <v>46309.394328703704</v>
      </c>
      <c r="G120" s="28">
        <f>IF($J120="","",INDEX('Detalle individual'!$J:$J,$J120))</f>
        <v>90</v>
      </c>
      <c r="H120" s="28">
        <f>IF($J120="","",INDEX('Detalle individual'!$L:$L,$J120))</f>
        <v>1</v>
      </c>
      <c r="J120">
        <f>IFERROR(MATCH(SMALL(Cálculos!$AI$5:$AI$1000,116),Cálculos!$AI$5:$AI$1000,0)+4,"")</f>
        <v>277</v>
      </c>
    </row>
    <row r="121">
      <c r="A121" s="5" t="str">
        <f>IF($J121="","",INDEX('Detalle individual'!$B:$B,$J121))</f>
        <v>NORMA ARACELY GUILLEN</v>
      </c>
      <c r="B121" s="5" t="str">
        <f>IF($J121="","",INDEX('Detalle individual'!$A:$A,$J121))</f>
        <v>331</v>
      </c>
      <c r="C121" s="5" t="str">
        <f>IF($J121="","",INDEX('Detalle individual'!$E:$E,$J121))</f>
        <v>SUBJEFE DE AGENCIA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23">
        <f>IF($J121="","",INDEX('Detalle individual'!$H:$H,$J121))</f>
        <v>46307.440046296295</v>
      </c>
      <c r="G121" s="28">
        <f>IF($J121="","",INDEX('Detalle individual'!$J:$J,$J121))</f>
        <v>100</v>
      </c>
      <c r="H121" s="28">
        <f>IF($J121="","",INDEX('Detalle individual'!$L:$L,$J121))</f>
        <v>1</v>
      </c>
      <c r="J121">
        <f>IFERROR(MATCH(SMALL(Cálculos!$AI$5:$AI$1000,117),Cálculos!$AI$5:$AI$1000,0)+4,"")</f>
        <v>274</v>
      </c>
    </row>
    <row r="122">
      <c r="A122" s="5" t="str">
        <f>IF($J122="","",INDEX('Detalle individual'!$B:$B,$J122))</f>
        <v>PAOLA JEANNETTE ROMERO HERNANDEZ</v>
      </c>
      <c r="B122" s="5" t="str">
        <f>IF($J122="","",INDEX('Detalle individual'!$A:$A,$J122))</f>
        <v>876</v>
      </c>
      <c r="C122" s="5" t="str">
        <f>IF($J122="","",INDEX('Detalle individual'!$E:$E,$J122))</f>
        <v>CAJERO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23">
        <f>IF($J122="","",INDEX('Detalle individual'!$H:$H,$J122))</f>
        <v>46309.408229166664</v>
      </c>
      <c r="G122" s="28">
        <f>IF($J122="","",INDEX('Detalle individual'!$J:$J,$J122))</f>
        <v>100</v>
      </c>
      <c r="H122" s="28">
        <f>IF($J122="","",INDEX('Detalle individual'!$L:$L,$J122))</f>
        <v>1</v>
      </c>
      <c r="J122">
        <f>IFERROR(MATCH(SMALL(Cálculos!$AI$5:$AI$1000,118),Cálculos!$AI$5:$AI$1000,0)+4,"")</f>
        <v>279</v>
      </c>
    </row>
    <row r="123">
      <c r="A123" s="5" t="str">
        <f>IF($J123="","",INDEX('Detalle individual'!$B:$B,$J123))</f>
        <v>ROSARIO DEL CARMEN PEREZ LOPEZ</v>
      </c>
      <c r="B123" s="5" t="str">
        <f>IF($J123="","",INDEX('Detalle individual'!$A:$A,$J123))</f>
        <v>535</v>
      </c>
      <c r="C123" s="5" t="str">
        <f>IF($J123="","",INDEX('Detalle individual'!$E:$E,$J123))</f>
        <v>JEFE DE AGENCIA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23">
        <f>IF($J123="","",INDEX('Detalle individual'!$H:$H,$J123))</f>
        <v>46307.40383101852</v>
      </c>
      <c r="G123" s="28">
        <f>IF($J123="","",INDEX('Detalle individual'!$J:$J,$J123))</f>
        <v>100</v>
      </c>
      <c r="H123" s="28">
        <f>IF($J123="","",INDEX('Detalle individual'!$L:$L,$J123))</f>
        <v>1</v>
      </c>
      <c r="J123">
        <f>IFERROR(MATCH(SMALL(Cálculos!$AI$5:$AI$1000,119),Cálculos!$AI$5:$AI$1000,0)+4,"")</f>
        <v>275</v>
      </c>
    </row>
    <row r="124">
      <c r="A124" s="5" t="str">
        <f>IF($J124="","",INDEX('Detalle individual'!$B:$B,$J124))</f>
        <v>WALTER ALBERTO BARAHONA DIAZ</v>
      </c>
      <c r="B124" s="5" t="str">
        <f>IF($J124="","",INDEX('Detalle individual'!$A:$A,$J124))</f>
        <v>748</v>
      </c>
      <c r="C124" s="5" t="str">
        <f>IF($J124="","",INDEX('Detalle individual'!$E:$E,$J124))</f>
        <v>CAJERO</v>
      </c>
      <c r="D124" s="5" t="str">
        <f>IF($J124="","",INDEX('Detalle individual'!$C:$C,$J124))</f>
        <v>AGENCIA PLAZA MUNDO</v>
      </c>
      <c r="E124" s="5" t="str">
        <f>IF($J124="","",INDEX('Detalle individual'!$D:$D,$J124))</f>
        <v>Gerencia de Negocios</v>
      </c>
      <c r="F124" s="23">
        <f>IF($J124="","",INDEX('Detalle individual'!$H:$H,$J124))</f>
        <v>46309.40075231482</v>
      </c>
      <c r="G124" s="28">
        <f>IF($J124="","",INDEX('Detalle individual'!$J:$J,$J124))</f>
        <v>100</v>
      </c>
      <c r="H124" s="28">
        <f>IF($J124="","",INDEX('Detalle individual'!$L:$L,$J124))</f>
        <v>1</v>
      </c>
      <c r="J124">
        <f>IFERROR(MATCH(SMALL(Cálculos!$AI$5:$AI$1000,120),Cálculos!$AI$5:$AI$1000,0)+4,"")</f>
        <v>278</v>
      </c>
    </row>
    <row r="125">
      <c r="A125" s="5" t="str">
        <f>IF($J125="","",INDEX('Detalle individual'!$B:$B,$J125))</f>
        <v>ZOILA AYDEE LARIOS</v>
      </c>
      <c r="B125" s="5" t="str">
        <f>IF($J125="","",INDEX('Detalle individual'!$A:$A,$J125))</f>
        <v>59</v>
      </c>
      <c r="C125" s="5" t="str">
        <f>IF($J125="","",INDEX('Detalle individual'!$E:$E,$J125))</f>
        <v>SERVICIOS VARIOS</v>
      </c>
      <c r="D125" s="5" t="str">
        <f>IF($J125="","",INDEX('Detalle individual'!$C:$C,$J125))</f>
        <v>AGENCIA PLAZA MUNDO</v>
      </c>
      <c r="E125" s="5" t="str">
        <f>IF($J125="","",INDEX('Detalle individual'!$D:$D,$J125))</f>
        <v>Gerencia de Negocios</v>
      </c>
      <c r="F125" s="23">
        <f>IF($J125="","",INDEX('Detalle individual'!$H:$H,$J125))</f>
        <v>46310.64591435185</v>
      </c>
      <c r="G125" s="28">
        <f>IF($J125="","",INDEX('Detalle individual'!$J:$J,$J125))</f>
        <v>100</v>
      </c>
      <c r="H125" s="28">
        <f>IF($J125="","",INDEX('Detalle individual'!$L:$L,$J125))</f>
        <v>1</v>
      </c>
      <c r="J125">
        <f>IFERROR(MATCH(SMALL(Cálculos!$AI$5:$AI$1000,121),Cálculos!$AI$5:$AI$1000,0)+4,"")</f>
        <v>273</v>
      </c>
    </row>
    <row r="126">
      <c r="A126" s="5" t="str">
        <f>IF($J126="","",INDEX('Detalle individual'!$B:$B,$J126))</f>
        <v>DIEGO GERARDO GUANDIQUE TORRES</v>
      </c>
      <c r="B126" s="5" t="str">
        <f>IF($J126="","",INDEX('Detalle individual'!$A:$A,$J126))</f>
        <v>776</v>
      </c>
      <c r="C126" s="5" t="str">
        <f>IF($J126="","",INDEX('Detalle individual'!$E:$E,$J126))</f>
        <v>CAJERO</v>
      </c>
      <c r="D126" s="5" t="str">
        <f>IF($J126="","",INDEX('Detalle individual'!$C:$C,$J126))</f>
        <v>AGENCIA SAN MIGUEL</v>
      </c>
      <c r="E126" s="5" t="str">
        <f>IF($J126="","",INDEX('Detalle individual'!$D:$D,$J126))</f>
        <v>Gerencia de Negocios</v>
      </c>
      <c r="F126" s="23">
        <f>IF($J126="","",INDEX('Detalle individual'!$H:$H,$J126))</f>
        <v>46296.44540509259</v>
      </c>
      <c r="G126" s="28">
        <f>IF($J126="","",INDEX('Detalle individual'!$J:$J,$J126))</f>
        <v>100</v>
      </c>
      <c r="H126" s="28">
        <f>IF($J126="","",INDEX('Detalle individual'!$L:$L,$J126))</f>
        <v>2</v>
      </c>
      <c r="J126">
        <f>IFERROR(MATCH(SMALL(Cálculos!$AI$5:$AI$1000,122),Cálculos!$AI$5:$AI$1000,0)+4,"")</f>
        <v>225</v>
      </c>
    </row>
    <row r="127">
      <c r="A127" s="5" t="str">
        <f>IF($J127="","",INDEX('Detalle individual'!$B:$B,$J127))</f>
        <v>JOSE MANUEL SERRANO ROVIRA</v>
      </c>
      <c r="B127" s="5" t="str">
        <f>IF($J127="","",INDEX('Detalle individual'!$A:$A,$J127))</f>
        <v>200</v>
      </c>
      <c r="C127" s="5" t="str">
        <f>IF($J127="","",INDEX('Detalle individual'!$E:$E,$J127))</f>
        <v>JEFE DE AGENCIA</v>
      </c>
      <c r="D127" s="5" t="str">
        <f>IF($J127="","",INDEX('Detalle individual'!$C:$C,$J127))</f>
        <v>AGENCIA SAN MIGUEL</v>
      </c>
      <c r="E127" s="5" t="str">
        <f>IF($J127="","",INDEX('Detalle individual'!$D:$D,$J127))</f>
        <v>Gerencia de Negocios</v>
      </c>
      <c r="F127" s="23">
        <f>IF($J127="","",INDEX('Detalle individual'!$H:$H,$J127))</f>
        <v>46296.49199074074</v>
      </c>
      <c r="G127" s="28">
        <f>IF($J127="","",INDEX('Detalle individual'!$J:$J,$J127))</f>
        <v>90</v>
      </c>
      <c r="H127" s="28">
        <f>IF($J127="","",INDEX('Detalle individual'!$L:$L,$J127))</f>
        <v>1</v>
      </c>
      <c r="J127">
        <f>IFERROR(MATCH(SMALL(Cálculos!$AI$5:$AI$1000,123),Cálculos!$AI$5:$AI$1000,0)+4,"")</f>
        <v>222</v>
      </c>
    </row>
    <row r="128">
      <c r="A128" s="5" t="str">
        <f>IF($J128="","",INDEX('Detalle individual'!$B:$B,$J128))</f>
        <v>LEIBY NATHALY ROMERO VANEGAS</v>
      </c>
      <c r="B128" s="5" t="str">
        <f>IF($J128="","",INDEX('Detalle individual'!$A:$A,$J128))</f>
        <v>545</v>
      </c>
      <c r="C128" s="5" t="str">
        <f>IF($J128="","",INDEX('Detalle individual'!$E:$E,$J128))</f>
        <v>SUBJEFE DE AGENCIA</v>
      </c>
      <c r="D128" s="5" t="str">
        <f>IF($J128="","",INDEX('Detalle individual'!$C:$C,$J128))</f>
        <v>AGENCIA SAN MIGUEL</v>
      </c>
      <c r="E128" s="5" t="str">
        <f>IF($J128="","",INDEX('Detalle individual'!$D:$D,$J128))</f>
        <v>Gerencia de Negocios</v>
      </c>
      <c r="F128" s="23">
        <f>IF($J128="","",INDEX('Detalle individual'!$H:$H,$J128))</f>
        <v>46296.45449074074</v>
      </c>
      <c r="G128" s="28">
        <f>IF($J128="","",INDEX('Detalle individual'!$J:$J,$J128))</f>
        <v>100</v>
      </c>
      <c r="H128" s="28">
        <f>IF($J128="","",INDEX('Detalle individual'!$L:$L,$J128))</f>
        <v>1</v>
      </c>
      <c r="J128">
        <f>IFERROR(MATCH(SMALL(Cálculos!$AI$5:$AI$1000,124),Cálculos!$AI$5:$AI$1000,0)+4,"")</f>
        <v>224</v>
      </c>
    </row>
    <row r="129">
      <c r="A129" s="5" t="str">
        <f>IF($J129="","",INDEX('Detalle individual'!$B:$B,$J129))</f>
        <v>MARCELA GUADALUPE CRESPO BENAVIDEZ</v>
      </c>
      <c r="B129" s="5" t="str">
        <f>IF($J129="","",INDEX('Detalle individual'!$A:$A,$J129))</f>
        <v>807</v>
      </c>
      <c r="C129" s="5" t="str">
        <f>IF($J129="","",INDEX('Detalle individual'!$E:$E,$J129))</f>
        <v>EJECUTIVA DE SEGUROS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23">
        <f>IF($J129="","",INDEX('Detalle individual'!$H:$H,$J129))</f>
        <v>46296.45224537037</v>
      </c>
      <c r="G129" s="28">
        <f>IF($J129="","",INDEX('Detalle individual'!$J:$J,$J129))</f>
        <v>100</v>
      </c>
      <c r="H129" s="28">
        <f>IF($J129="","",INDEX('Detalle individual'!$L:$L,$J129))</f>
        <v>1</v>
      </c>
      <c r="J129">
        <f>IFERROR(MATCH(SMALL(Cálculos!$AI$5:$AI$1000,125),Cálculos!$AI$5:$AI$1000,0)+4,"")</f>
        <v>227</v>
      </c>
    </row>
    <row r="130">
      <c r="A130" s="5" t="str">
        <f>IF($J130="","",INDEX('Detalle individual'!$B:$B,$J130))</f>
        <v>MARCELINA YAMILETH LOPEZ VASQUEZ</v>
      </c>
      <c r="B130" s="5" t="str">
        <f>IF($J130="","",INDEX('Detalle individual'!$A:$A,$J130))</f>
        <v>777</v>
      </c>
      <c r="C130" s="5" t="str">
        <f>IF($J130="","",INDEX('Detalle individual'!$E:$E,$J130))</f>
        <v>CAJERO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23">
        <f>IF($J130="","",INDEX('Detalle individual'!$H:$H,$J130))</f>
        <v>46296.45806712963</v>
      </c>
      <c r="G130" s="28">
        <f>IF($J130="","",INDEX('Detalle individual'!$J:$J,$J130))</f>
        <v>100</v>
      </c>
      <c r="H130" s="28">
        <f>IF($J130="","",INDEX('Detalle individual'!$L:$L,$J130))</f>
        <v>1</v>
      </c>
      <c r="J130">
        <f>IFERROR(MATCH(SMALL(Cálculos!$AI$5:$AI$1000,126),Cálculos!$AI$5:$AI$1000,0)+4,"")</f>
        <v>226</v>
      </c>
    </row>
    <row r="131">
      <c r="A131" s="5" t="str">
        <f>IF($J131="","",INDEX('Detalle individual'!$B:$B,$J131))</f>
        <v>MARTHA LORENA GONZALEZ GONZALEZ</v>
      </c>
      <c r="B131" s="5" t="str">
        <f>IF($J131="","",INDEX('Detalle individual'!$A:$A,$J131))</f>
        <v>390</v>
      </c>
      <c r="C131" s="5" t="str">
        <f>IF($J131="","",INDEX('Detalle individual'!$E:$E,$J131))</f>
        <v>AUXILIAR DE OPERACIONES Y ATENCION EN AGENCIA</v>
      </c>
      <c r="D131" s="5" t="str">
        <f>IF($J131="","",INDEX('Detalle individual'!$C:$C,$J131))</f>
        <v>AGENCIA SAN MIGUEL</v>
      </c>
      <c r="E131" s="5" t="str">
        <f>IF($J131="","",INDEX('Detalle individual'!$D:$D,$J131))</f>
        <v>Gerencia de Negocios</v>
      </c>
      <c r="F131" s="23">
        <f>IF($J131="","",INDEX('Detalle individual'!$H:$H,$J131))</f>
        <v>46296.44844907407</v>
      </c>
      <c r="G131" s="28">
        <f>IF($J131="","",INDEX('Detalle individual'!$J:$J,$J131))</f>
        <v>100</v>
      </c>
      <c r="H131" s="28">
        <f>IF($J131="","",INDEX('Detalle individual'!$L:$L,$J131))</f>
        <v>1</v>
      </c>
      <c r="J131">
        <f>IFERROR(MATCH(SMALL(Cálculos!$AI$5:$AI$1000,127),Cálculos!$AI$5:$AI$1000,0)+4,"")</f>
        <v>223</v>
      </c>
    </row>
    <row r="132">
      <c r="A132" s="5" t="str">
        <f>IF($J132="","",INDEX('Detalle individual'!$B:$B,$J132))</f>
        <v>THELMA ESPERANZA FIGUEROA SORTO</v>
      </c>
      <c r="B132" s="5" t="str">
        <f>IF($J132="","",INDEX('Detalle individual'!$A:$A,$J132))</f>
        <v>197</v>
      </c>
      <c r="C132" s="5" t="str">
        <f>IF($J132="","",INDEX('Detalle individual'!$E:$E,$J132))</f>
        <v>EJECUTIVO DE NEGOCIOS</v>
      </c>
      <c r="D132" s="5" t="str">
        <f>IF($J132="","",INDEX('Detalle individual'!$C:$C,$J132))</f>
        <v>AGENCIA SAN MIGUEL</v>
      </c>
      <c r="E132" s="5" t="str">
        <f>IF($J132="","",INDEX('Detalle individual'!$D:$D,$J132))</f>
        <v>Gerencia de Negocios</v>
      </c>
      <c r="F132" s="23">
        <f>IF($J132="","",INDEX('Detalle individual'!$H:$H,$J132))</f>
        <v>46296.44064814815</v>
      </c>
      <c r="G132" s="28">
        <f>IF($J132="","",INDEX('Detalle individual'!$J:$J,$J132))</f>
        <v>100</v>
      </c>
      <c r="H132" s="28">
        <f>IF($J132="","",INDEX('Detalle individual'!$L:$L,$J132))</f>
        <v>1</v>
      </c>
      <c r="J132">
        <f>IFERROR(MATCH(SMALL(Cálculos!$AI$5:$AI$1000,128),Cálculos!$AI$5:$AI$1000,0)+4,"")</f>
        <v>221</v>
      </c>
    </row>
    <row r="133">
      <c r="A133" s="5" t="str">
        <f>IF($J133="","",INDEX('Detalle individual'!$B:$B,$J133))</f>
        <v>ANA MARIA GIRON</v>
      </c>
      <c r="B133" s="5" t="str">
        <f>IF($J133="","",INDEX('Detalle individual'!$A:$A,$J133))</f>
        <v>168</v>
      </c>
      <c r="C133" s="5" t="str">
        <f>IF($J133="","",INDEX('Detalle individual'!$E:$E,$J133))</f>
        <v>EJECUTIVO DE NEGOCIOS</v>
      </c>
      <c r="D133" s="5" t="str">
        <f>IF($J133="","",INDEX('Detalle individual'!$C:$C,$J133))</f>
        <v>AGENCIA SANTA ANA</v>
      </c>
      <c r="E133" s="5" t="str">
        <f>IF($J133="","",INDEX('Detalle individual'!$D:$D,$J133))</f>
        <v>Gerencia de Negocios</v>
      </c>
      <c r="F133" s="23">
        <f>IF($J133="","",INDEX('Detalle individual'!$H:$H,$J133))</f>
        <v>46311.49398148148</v>
      </c>
      <c r="G133" s="28">
        <f>IF($J133="","",INDEX('Detalle individual'!$J:$J,$J133))</f>
        <v>100</v>
      </c>
      <c r="H133" s="28">
        <f>IF($J133="","",INDEX('Detalle individual'!$L:$L,$J133))</f>
        <v>1</v>
      </c>
      <c r="J133">
        <f>IFERROR(MATCH(SMALL(Cálculos!$AI$5:$AI$1000,129),Cálculos!$AI$5:$AI$1000,0)+4,"")</f>
        <v>229</v>
      </c>
    </row>
    <row r="134">
      <c r="A134" s="5" t="str">
        <f>IF($J134="","",INDEX('Detalle individual'!$B:$B,$J134))</f>
        <v>ANDREA YAMILETH ESCOBAR CHICA</v>
      </c>
      <c r="B134" s="5" t="str">
        <f>IF($J134="","",INDEX('Detalle individual'!$A:$A,$J134))</f>
        <v>818</v>
      </c>
      <c r="C134" s="5" t="str">
        <f>IF($J134="","",INDEX('Detalle individual'!$E:$E,$J134))</f>
        <v>CAJERO</v>
      </c>
      <c r="D134" s="5" t="str">
        <f>IF($J134="","",INDEX('Detalle individual'!$C:$C,$J134))</f>
        <v>AGENCIA SANTA ANA</v>
      </c>
      <c r="E134" s="5" t="str">
        <f>IF($J134="","",INDEX('Detalle individual'!$D:$D,$J134))</f>
        <v>Gerencia de Negocios</v>
      </c>
      <c r="F134" s="23">
        <f>IF($J134="","",INDEX('Detalle individual'!$H:$H,$J134))</f>
        <v>46309.62991898148</v>
      </c>
      <c r="G134" s="28">
        <f>IF($J134="","",INDEX('Detalle individual'!$J:$J,$J134))</f>
        <v>90</v>
      </c>
      <c r="H134" s="28">
        <f>IF($J134="","",INDEX('Detalle individual'!$L:$L,$J134))</f>
        <v>1</v>
      </c>
      <c r="J134">
        <f>IFERROR(MATCH(SMALL(Cálculos!$AI$5:$AI$1000,130),Cálculos!$AI$5:$AI$1000,0)+4,"")</f>
        <v>233</v>
      </c>
    </row>
    <row r="135">
      <c r="A135" s="5" t="str">
        <f>IF($J135="","",INDEX('Detalle individual'!$B:$B,$J135))</f>
        <v>GLENDA MARAYA SALAZAR GONZALEZ</v>
      </c>
      <c r="B135" s="5" t="str">
        <f>IF($J135="","",INDEX('Detalle individual'!$A:$A,$J135))</f>
        <v>295</v>
      </c>
      <c r="C135" s="5" t="str">
        <f>IF($J135="","",INDEX('Detalle individual'!$E:$E,$J135))</f>
        <v>JEFE DE AGENCIA</v>
      </c>
      <c r="D135" s="5" t="str">
        <f>IF($J135="","",INDEX('Detalle individual'!$C:$C,$J135))</f>
        <v>AGENCIA SANTA ANA</v>
      </c>
      <c r="E135" s="5" t="str">
        <f>IF($J135="","",INDEX('Detalle individual'!$D:$D,$J135))</f>
        <v>Gerencia de Negocios</v>
      </c>
      <c r="F135" s="23">
        <f>IF($J135="","",INDEX('Detalle individual'!$H:$H,$J135))</f>
        <v>46309.339270833334</v>
      </c>
      <c r="G135" s="28">
        <f>IF($J135="","",INDEX('Detalle individual'!$J:$J,$J135))</f>
        <v>100</v>
      </c>
      <c r="H135" s="28">
        <f>IF($J135="","",INDEX('Detalle individual'!$L:$L,$J135))</f>
        <v>1</v>
      </c>
      <c r="J135">
        <f>IFERROR(MATCH(SMALL(Cálculos!$AI$5:$AI$1000,131),Cálculos!$AI$5:$AI$1000,0)+4,"")</f>
        <v>230</v>
      </c>
    </row>
    <row r="136">
      <c r="A136" s="5" t="str">
        <f>IF($J136="","",INDEX('Detalle individual'!$B:$B,$J136))</f>
        <v>IRVIN ADEMIR PERAZA MOLINA</v>
      </c>
      <c r="B136" s="5" t="str">
        <f>IF($J136="","",INDEX('Detalle individual'!$A:$A,$J136))</f>
        <v>747</v>
      </c>
      <c r="C136" s="5" t="str">
        <f>IF($J136="","",INDEX('Detalle individual'!$E:$E,$J136))</f>
        <v>EJECUTIVO DE SEGUROS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23">
        <f>IF($J136="","",INDEX('Detalle individual'!$H:$H,$J136))</f>
        <v>46311.456400462965</v>
      </c>
      <c r="G136" s="28">
        <f>IF($J136="","",INDEX('Detalle individual'!$J:$J,$J136))</f>
        <v>100</v>
      </c>
      <c r="H136" s="28">
        <f>IF($J136="","",INDEX('Detalle individual'!$L:$L,$J136))</f>
        <v>1</v>
      </c>
      <c r="J136">
        <f>IFERROR(MATCH(SMALL(Cálculos!$AI$5:$AI$1000,132),Cálculos!$AI$5:$AI$1000,0)+4,"")</f>
        <v>232</v>
      </c>
    </row>
    <row r="137">
      <c r="A137" s="5" t="str">
        <f>IF($J137="","",INDEX('Detalle individual'!$B:$B,$J137))</f>
        <v>JEANNETTE ANGELINNE HERNANDEZ MEJIA</v>
      </c>
      <c r="B137" s="5" t="str">
        <f>IF($J137="","",INDEX('Detalle individual'!$A:$A,$J137))</f>
        <v>312</v>
      </c>
      <c r="C137" s="5" t="str">
        <f>IF($J137="","",INDEX('Detalle individual'!$E:$E,$J137))</f>
        <v>SUBJEFE DE AGENCIA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23">
        <f>IF($J137="","",INDEX('Detalle individual'!$H:$H,$J137))</f>
        <v>46309.46179398148</v>
      </c>
      <c r="G137" s="28">
        <f>IF($J137="","",INDEX('Detalle individual'!$J:$J,$J137))</f>
        <v>100</v>
      </c>
      <c r="H137" s="28">
        <f>IF($J137="","",INDEX('Detalle individual'!$L:$L,$J137))</f>
        <v>1</v>
      </c>
      <c r="J137">
        <f>IFERROR(MATCH(SMALL(Cálculos!$AI$5:$AI$1000,133),Cálculos!$AI$5:$AI$1000,0)+4,"")</f>
        <v>231</v>
      </c>
    </row>
    <row r="138">
      <c r="A138" s="5" t="str">
        <f>IF($J138="","",INDEX('Detalle individual'!$B:$B,$J138))</f>
        <v>JOSE CRISTOBAL LOPEZ ESQUIVEL</v>
      </c>
      <c r="B138" s="5" t="str">
        <f>IF($J138="","",INDEX('Detalle individual'!$A:$A,$J138))</f>
        <v>910</v>
      </c>
      <c r="C138" s="5" t="str">
        <f>IF($J138="","",INDEX('Detalle individual'!$E:$E,$J138))</f>
        <v>MENSAJERO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23">
        <f>IF($J138="","",INDEX('Detalle individual'!$H:$H,$J138))</f>
        <v>46311.47555555555</v>
      </c>
      <c r="G138" s="28">
        <f>IF($J138="","",INDEX('Detalle individual'!$J:$J,$J138))</f>
        <v>100</v>
      </c>
      <c r="H138" s="28">
        <f>IF($J138="","",INDEX('Detalle individual'!$L:$L,$J138))</f>
        <v>1</v>
      </c>
      <c r="J138">
        <f>IFERROR(MATCH(SMALL(Cálculos!$AI$5:$AI$1000,134),Cálculos!$AI$5:$AI$1000,0)+4,"")</f>
        <v>235</v>
      </c>
    </row>
    <row r="139">
      <c r="A139" s="5" t="str">
        <f>IF($J139="","",INDEX('Detalle individual'!$B:$B,$J139))</f>
        <v>LUIS GERARDO DUEÑAS VALLE</v>
      </c>
      <c r="B139" s="5" t="str">
        <f>IF($J139="","",INDEX('Detalle individual'!$A:$A,$J139))</f>
        <v>954</v>
      </c>
      <c r="C139" s="5" t="str">
        <f>IF($J139="","",INDEX('Detalle individual'!$E:$E,$J139))</f>
        <v>CAJERO</v>
      </c>
      <c r="D139" s="5" t="str">
        <f>IF($J139="","",INDEX('Detalle individual'!$C:$C,$J139))</f>
        <v>AGENCIA SANTA ANA</v>
      </c>
      <c r="E139" s="5" t="str">
        <f>IF($J139="","",INDEX('Detalle individual'!$D:$D,$J139))</f>
        <v>Gerencia de Negocios</v>
      </c>
      <c r="F139" s="23">
        <f>IF($J139="","",INDEX('Detalle individual'!$H:$H,$J139))</f>
        <v>46309.63957175926</v>
      </c>
      <c r="G139" s="28">
        <f>IF($J139="","",INDEX('Detalle individual'!$J:$J,$J139))</f>
        <v>90</v>
      </c>
      <c r="H139" s="28">
        <f>IF($J139="","",INDEX('Detalle individual'!$L:$L,$J139))</f>
        <v>1</v>
      </c>
      <c r="J139">
        <f>IFERROR(MATCH(SMALL(Cálculos!$AI$5:$AI$1000,135),Cálculos!$AI$5:$AI$1000,0)+4,"")</f>
        <v>236</v>
      </c>
    </row>
    <row r="140">
      <c r="A140" s="5" t="str">
        <f>IF($J140="","",INDEX('Detalle individual'!$B:$B,$J140))</f>
        <v>SOFIA AZMINIA MENA ARGUETA</v>
      </c>
      <c r="B140" s="5" t="str">
        <f>IF($J140="","",INDEX('Detalle individual'!$A:$A,$J140))</f>
        <v>840</v>
      </c>
      <c r="C140" s="5" t="str">
        <f>IF($J140="","",INDEX('Detalle individual'!$E:$E,$J140))</f>
        <v>CAJERO</v>
      </c>
      <c r="D140" s="5" t="str">
        <f>IF($J140="","",INDEX('Detalle individual'!$C:$C,$J140))</f>
        <v>AGENCIA SANTA ANA</v>
      </c>
      <c r="E140" s="5" t="str">
        <f>IF($J140="","",INDEX('Detalle individual'!$D:$D,$J140))</f>
        <v>Gerencia de Negocios</v>
      </c>
      <c r="F140" s="23">
        <f>IF($J140="","",INDEX('Detalle individual'!$H:$H,$J140))</f>
        <v>46311.4675</v>
      </c>
      <c r="G140" s="28">
        <f>IF($J140="","",INDEX('Detalle individual'!$J:$J,$J140))</f>
        <v>100</v>
      </c>
      <c r="H140" s="28">
        <f>IF($J140="","",INDEX('Detalle individual'!$L:$L,$J140))</f>
        <v>1</v>
      </c>
      <c r="J140">
        <f>IFERROR(MATCH(SMALL(Cálculos!$AI$5:$AI$1000,136),Cálculos!$AI$5:$AI$1000,0)+4,"")</f>
        <v>234</v>
      </c>
    </row>
    <row r="141">
      <c r="A141" s="5" t="str">
        <f>IF($J141="","",INDEX('Detalle individual'!$B:$B,$J141))</f>
        <v>JESSICA YAMILETH LEIVA VASQUEZ</v>
      </c>
      <c r="B141" s="5" t="str">
        <f>IF($J141="","",INDEX('Detalle individual'!$A:$A,$J141))</f>
        <v>575</v>
      </c>
      <c r="C141" s="5" t="str">
        <f>IF($J141="","",INDEX('Detalle individual'!$E:$E,$J141))</f>
        <v>EJECUTIVA DE SEGUROS</v>
      </c>
      <c r="D141" s="5" t="str">
        <f>IF($J141="","",INDEX('Detalle individual'!$C:$C,$J141))</f>
        <v>AGENCIA SONSONATE</v>
      </c>
      <c r="E141" s="5" t="str">
        <f>IF($J141="","",INDEX('Detalle individual'!$D:$D,$J141))</f>
        <v>Gerencia de Negocios</v>
      </c>
      <c r="F141" s="23">
        <f>IF($J141="","",INDEX('Detalle individual'!$H:$H,$J141))</f>
        <v>46310.63890046296</v>
      </c>
      <c r="G141" s="28">
        <f>IF($J141="","",INDEX('Detalle individual'!$J:$J,$J141))</f>
        <v>100</v>
      </c>
      <c r="H141" s="28">
        <f>IF($J141="","",INDEX('Detalle individual'!$L:$L,$J141))</f>
        <v>1</v>
      </c>
      <c r="J141">
        <f>IFERROR(MATCH(SMALL(Cálculos!$AI$5:$AI$1000,137),Cálculos!$AI$5:$AI$1000,0)+4,"")</f>
        <v>241</v>
      </c>
    </row>
    <row r="142">
      <c r="A142" s="5" t="str">
        <f>IF($J142="","",INDEX('Detalle individual'!$B:$B,$J142))</f>
        <v>JOSE ALEXANDER TORRES PEREZ</v>
      </c>
      <c r="B142" s="5" t="str">
        <f>IF($J142="","",INDEX('Detalle individual'!$A:$A,$J142))</f>
        <v>448</v>
      </c>
      <c r="C142" s="5" t="str">
        <f>IF($J142="","",INDEX('Detalle individual'!$E:$E,$J142))</f>
        <v>MENSAJERO</v>
      </c>
      <c r="D142" s="5" t="str">
        <f>IF($J142="","",INDEX('Detalle individual'!$C:$C,$J142))</f>
        <v>AGENCIA SONSONATE</v>
      </c>
      <c r="E142" s="5" t="str">
        <f>IF($J142="","",INDEX('Detalle individual'!$D:$D,$J142))</f>
        <v>Gerencia de Negocios</v>
      </c>
      <c r="F142" s="23">
        <f>IF($J142="","",INDEX('Detalle individual'!$H:$H,$J142))</f>
        <v>46311.41554398148</v>
      </c>
      <c r="G142" s="28">
        <f>IF($J142="","",INDEX('Detalle individual'!$J:$J,$J142))</f>
        <v>100</v>
      </c>
      <c r="H142" s="28">
        <f>IF($J142="","",INDEX('Detalle individual'!$L:$L,$J142))</f>
        <v>1</v>
      </c>
      <c r="J142">
        <f>IFERROR(MATCH(SMALL(Cálculos!$AI$5:$AI$1000,138),Cálculos!$AI$5:$AI$1000,0)+4,"")</f>
        <v>238</v>
      </c>
    </row>
    <row r="143">
      <c r="A143" s="5" t="str">
        <f>IF($J143="","",INDEX('Detalle individual'!$B:$B,$J143))</f>
        <v>JOSUE ALEXANDER PEREZ HENRIQUEZ</v>
      </c>
      <c r="B143" s="5" t="str">
        <f>IF($J143="","",INDEX('Detalle individual'!$A:$A,$J143))</f>
        <v>559</v>
      </c>
      <c r="C143" s="5" t="str">
        <f>IF($J143="","",INDEX('Detalle individual'!$E:$E,$J143))</f>
        <v>EJECUTIVO DE NEGOCIOS</v>
      </c>
      <c r="D143" s="5" t="str">
        <f>IF($J143="","",INDEX('Detalle individual'!$C:$C,$J143))</f>
        <v>AGENCIA SONSONATE</v>
      </c>
      <c r="E143" s="5" t="str">
        <f>IF($J143="","",INDEX('Detalle individual'!$D:$D,$J143))</f>
        <v>Gerencia de Negocios</v>
      </c>
      <c r="F143" s="23">
        <f>IF($J143="","",INDEX('Detalle individual'!$H:$H,$J143))</f>
        <v>46310.63688657407</v>
      </c>
      <c r="G143" s="28">
        <f>IF($J143="","",INDEX('Detalle individual'!$J:$J,$J143))</f>
        <v>100</v>
      </c>
      <c r="H143" s="28">
        <f>IF($J143="","",INDEX('Detalle individual'!$L:$L,$J143))</f>
        <v>1</v>
      </c>
      <c r="J143">
        <f>IFERROR(MATCH(SMALL(Cálculos!$AI$5:$AI$1000,139),Cálculos!$AI$5:$AI$1000,0)+4,"")</f>
        <v>240</v>
      </c>
    </row>
    <row r="144">
      <c r="A144" s="5" t="str">
        <f>IF($J144="","",INDEX('Detalle individual'!$B:$B,$J144))</f>
        <v>KARLA MARCELA ESCOBAR TRIGUEROS</v>
      </c>
      <c r="B144" s="5" t="str">
        <f>IF($J144="","",INDEX('Detalle individual'!$A:$A,$J144))</f>
        <v>849</v>
      </c>
      <c r="C144" s="5" t="str">
        <f>IF($J144="","",INDEX('Detalle individual'!$E:$E,$J144))</f>
        <v>CAJERO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23">
        <f>IF($J144="","",INDEX('Detalle individual'!$H:$H,$J144))</f>
        <v>46311.571493055555</v>
      </c>
      <c r="G144" s="28">
        <f>IF($J144="","",INDEX('Detalle individual'!$J:$J,$J144))</f>
        <v>100</v>
      </c>
      <c r="H144" s="28">
        <f>IF($J144="","",INDEX('Detalle individual'!$L:$L,$J144))</f>
        <v>1</v>
      </c>
      <c r="J144">
        <f>IFERROR(MATCH(SMALL(Cálculos!$AI$5:$AI$1000,140),Cálculos!$AI$5:$AI$1000,0)+4,"")</f>
        <v>243</v>
      </c>
    </row>
    <row r="145">
      <c r="A145" s="5" t="str">
        <f>IF($J145="","",INDEX('Detalle individual'!$B:$B,$J145))</f>
        <v>MARIA ANGELICA ESCOBAR RENDEROS</v>
      </c>
      <c r="B145" s="5" t="str">
        <f>IF($J145="","",INDEX('Detalle individual'!$A:$A,$J145))</f>
        <v>287</v>
      </c>
      <c r="C145" s="5" t="str">
        <f>IF($J145="","",INDEX('Detalle individual'!$E:$E,$J145))</f>
        <v>JEFE DE AGENCIA</v>
      </c>
      <c r="D145" s="5" t="str">
        <f>IF($J145="","",INDEX('Detalle individual'!$C:$C,$J145))</f>
        <v>AGENCIA SONSONATE</v>
      </c>
      <c r="E145" s="5" t="str">
        <f>IF($J145="","",INDEX('Detalle individual'!$D:$D,$J145))</f>
        <v>Gerencia de Negocios</v>
      </c>
      <c r="F145" s="23">
        <f>IF($J145="","",INDEX('Detalle individual'!$H:$H,$J145))</f>
        <v>46310.63381944445</v>
      </c>
      <c r="G145" s="28">
        <f>IF($J145="","",INDEX('Detalle individual'!$J:$J,$J145))</f>
        <v>100</v>
      </c>
      <c r="H145" s="28">
        <f>IF($J145="","",INDEX('Detalle individual'!$L:$L,$J145))</f>
        <v>1</v>
      </c>
      <c r="J145">
        <f>IFERROR(MATCH(SMALL(Cálculos!$AI$5:$AI$1000,141),Cálculos!$AI$5:$AI$1000,0)+4,"")</f>
        <v>237</v>
      </c>
    </row>
    <row r="146">
      <c r="A146" s="5" t="str">
        <f>IF($J146="","",INDEX('Detalle individual'!$B:$B,$J146))</f>
        <v>MIGUEL ANGEL LEON MENA</v>
      </c>
      <c r="B146" s="5" t="str">
        <f>IF($J146="","",INDEX('Detalle individual'!$A:$A,$J146))</f>
        <v>755</v>
      </c>
      <c r="C146" s="5" t="str">
        <f>IF($J146="","",INDEX('Detalle individual'!$E:$E,$J146))</f>
        <v>CAJERO</v>
      </c>
      <c r="D146" s="5" t="str">
        <f>IF($J146="","",INDEX('Detalle individual'!$C:$C,$J146))</f>
        <v>AGENCIA SONSONATE</v>
      </c>
      <c r="E146" s="5" t="str">
        <f>IF($J146="","",INDEX('Detalle individual'!$D:$D,$J146))</f>
        <v>Gerencia de Negocios</v>
      </c>
      <c r="F146" s="23">
        <f>IF($J146="","",INDEX('Detalle individual'!$H:$H,$J146))</f>
        <v>46308.456412037034</v>
      </c>
      <c r="G146" s="28">
        <f>IF($J146="","",INDEX('Detalle individual'!$J:$J,$J146))</f>
        <v>80</v>
      </c>
      <c r="H146" s="28">
        <f>IF($J146="","",INDEX('Detalle individual'!$L:$L,$J146))</f>
        <v>1</v>
      </c>
      <c r="J146">
        <f>IFERROR(MATCH(SMALL(Cálculos!$AI$5:$AI$1000,142),Cálculos!$AI$5:$AI$1000,0)+4,"")</f>
        <v>242</v>
      </c>
    </row>
    <row r="147">
      <c r="A147" s="5" t="str">
        <f>IF($J147="","",INDEX('Detalle individual'!$B:$B,$J147))</f>
        <v>XIOMARA BEATRIZ MARTINEZ SERMEÑO</v>
      </c>
      <c r="B147" s="5" t="str">
        <f>IF($J147="","",INDEX('Detalle individual'!$A:$A,$J147))</f>
        <v>526</v>
      </c>
      <c r="C147" s="5" t="str">
        <f>IF($J147="","",INDEX('Detalle individual'!$E:$E,$J147))</f>
        <v>SUBJEFE DE AGENCIA</v>
      </c>
      <c r="D147" s="5" t="str">
        <f>IF($J147="","",INDEX('Detalle individual'!$C:$C,$J147))</f>
        <v>AGENCIA SONSONATE</v>
      </c>
      <c r="E147" s="5" t="str">
        <f>IF($J147="","",INDEX('Detalle individual'!$D:$D,$J147))</f>
        <v>Gerencia de Negocios</v>
      </c>
      <c r="F147" s="23">
        <f>IF($J147="","",INDEX('Detalle individual'!$H:$H,$J147))</f>
        <v>46310.63746527778</v>
      </c>
      <c r="G147" s="28">
        <f>IF($J147="","",INDEX('Detalle individual'!$J:$J,$J147))</f>
        <v>100</v>
      </c>
      <c r="H147" s="28">
        <f>IF($J147="","",INDEX('Detalle individual'!$L:$L,$J147))</f>
        <v>1</v>
      </c>
      <c r="J147">
        <f>IFERROR(MATCH(SMALL(Cálculos!$AI$5:$AI$1000,143),Cálculos!$AI$5:$AI$1000,0)+4,"")</f>
        <v>239</v>
      </c>
    </row>
    <row r="148">
      <c r="A148" s="5" t="str">
        <f>IF($J148="","",INDEX('Detalle individual'!$B:$B,$J148))</f>
        <v>EDUARDO JOSE GAMEZ VILLATORO</v>
      </c>
      <c r="B148" s="5" t="str">
        <f>IF($J148="","",INDEX('Detalle individual'!$A:$A,$J148))</f>
        <v>970</v>
      </c>
      <c r="C148" s="5" t="str">
        <f>IF($J148="","",INDEX('Detalle individual'!$E:$E,$J148))</f>
        <v>CAJERO</v>
      </c>
      <c r="D148" s="5" t="str">
        <f>IF($J148="","",INDEX('Detalle individual'!$C:$C,$J148))</f>
        <v>AGENCIA USULUTAN</v>
      </c>
      <c r="E148" s="5" t="str">
        <f>IF($J148="","",INDEX('Detalle individual'!$D:$D,$J148))</f>
        <v>Gerencia de Negocios</v>
      </c>
      <c r="F148" s="23">
        <f>IF($J148="","",INDEX('Detalle individual'!$H:$H,$J148))</f>
        <v>46309.37625</v>
      </c>
      <c r="G148" s="28">
        <f>IF($J148="","",INDEX('Detalle individual'!$J:$J,$J148))</f>
        <v>100</v>
      </c>
      <c r="H148" s="28">
        <f>IF($J148="","",INDEX('Detalle individual'!$L:$L,$J148))</f>
        <v>1</v>
      </c>
      <c r="J148">
        <f>IFERROR(MATCH(SMALL(Cálculos!$AI$5:$AI$1000,144),Cálculos!$AI$5:$AI$1000,0)+4,"")</f>
        <v>287</v>
      </c>
    </row>
    <row r="149">
      <c r="A149" s="5" t="str">
        <f>IF($J149="","",INDEX('Detalle individual'!$B:$B,$J149))</f>
        <v>FATIMA LISSETTE HERNANDEZ MEJIA</v>
      </c>
      <c r="B149" s="5" t="str">
        <f>IF($J149="","",INDEX('Detalle individual'!$A:$A,$J149))</f>
        <v>961</v>
      </c>
      <c r="C149" s="5" t="str">
        <f>IF($J149="","",INDEX('Detalle individual'!$E:$E,$J149))</f>
        <v>CAJERO</v>
      </c>
      <c r="D149" s="5" t="str">
        <f>IF($J149="","",INDEX('Detalle individual'!$C:$C,$J149))</f>
        <v>AGENCIA USULUTAN</v>
      </c>
      <c r="E149" s="5" t="str">
        <f>IF($J149="","",INDEX('Detalle individual'!$D:$D,$J149))</f>
        <v>Gerencia de Negocios</v>
      </c>
      <c r="F149" s="23">
        <f>IF($J149="","",INDEX('Detalle individual'!$H:$H,$J149))</f>
        <v>46303.544328703705</v>
      </c>
      <c r="G149" s="28">
        <f>IF($J149="","",INDEX('Detalle individual'!$J:$J,$J149))</f>
        <v>100</v>
      </c>
      <c r="H149" s="28">
        <f>IF($J149="","",INDEX('Detalle individual'!$L:$L,$J149))</f>
        <v>1</v>
      </c>
      <c r="J149">
        <f>IFERROR(MATCH(SMALL(Cálculos!$AI$5:$AI$1000,145),Cálculos!$AI$5:$AI$1000,0)+4,"")</f>
        <v>286</v>
      </c>
    </row>
    <row r="150">
      <c r="A150" s="5" t="str">
        <f>IF($J150="","",INDEX('Detalle individual'!$B:$B,$J150))</f>
        <v>HECTOR MAURICIO GONZÁLEZ VÁSQUEZ</v>
      </c>
      <c r="B150" s="5" t="str">
        <f>IF($J150="","",INDEX('Detalle individual'!$A:$A,$J150))</f>
        <v>912</v>
      </c>
      <c r="C150" s="5" t="str">
        <f>IF($J150="","",INDEX('Detalle individual'!$E:$E,$J150))</f>
        <v>EJECUTIVO DE SEGUROS</v>
      </c>
      <c r="D150" s="5" t="str">
        <f>IF($J150="","",INDEX('Detalle individual'!$C:$C,$J150))</f>
        <v>AGENCIA USULUTAN</v>
      </c>
      <c r="E150" s="5" t="str">
        <f>IF($J150="","",INDEX('Detalle individual'!$D:$D,$J150))</f>
        <v>Gerencia de Negocios</v>
      </c>
      <c r="F150" s="23">
        <f>IF($J150="","",INDEX('Detalle individual'!$H:$H,$J150))</f>
        <v>46303.45730324074</v>
      </c>
      <c r="G150" s="28">
        <f>IF($J150="","",INDEX('Detalle individual'!$J:$J,$J150))</f>
        <v>100</v>
      </c>
      <c r="H150" s="28">
        <f>IF($J150="","",INDEX('Detalle individual'!$L:$L,$J150))</f>
        <v>1</v>
      </c>
      <c r="J150">
        <f>IFERROR(MATCH(SMALL(Cálculos!$AI$5:$AI$1000,146),Cálculos!$AI$5:$AI$1000,0)+4,"")</f>
        <v>283</v>
      </c>
    </row>
    <row r="151">
      <c r="A151" s="5" t="str">
        <f>IF($J151="","",INDEX('Detalle individual'!$B:$B,$J151))</f>
        <v>LUCIANO DE JESUS SARAVIA BELTRAN</v>
      </c>
      <c r="B151" s="5" t="str">
        <f>IF($J151="","",INDEX('Detalle individual'!$A:$A,$J151))</f>
        <v>456</v>
      </c>
      <c r="C151" s="5" t="str">
        <f>IF($J151="","",INDEX('Detalle individual'!$E:$E,$J151))</f>
        <v>MENSAJERO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23">
        <f>IF($J151="","",INDEX('Detalle individual'!$H:$H,$J151))</f>
        <v>46301.51369212963</v>
      </c>
      <c r="G151" s="28">
        <f>IF($J151="","",INDEX('Detalle individual'!$J:$J,$J151))</f>
        <v>100</v>
      </c>
      <c r="H151" s="28">
        <f>IF($J151="","",INDEX('Detalle individual'!$L:$L,$J151))</f>
        <v>2</v>
      </c>
      <c r="J151">
        <f>IFERROR(MATCH(SMALL(Cálculos!$AI$5:$AI$1000,147),Cálculos!$AI$5:$AI$1000,0)+4,"")</f>
        <v>281</v>
      </c>
    </row>
    <row r="152">
      <c r="A152" s="5" t="str">
        <f>IF($J152="","",INDEX('Detalle individual'!$B:$B,$J152))</f>
        <v>LUIS MANUEL VALENCIA GUERRERO</v>
      </c>
      <c r="B152" s="5" t="str">
        <f>IF($J152="","",INDEX('Detalle individual'!$A:$A,$J152))</f>
        <v>917</v>
      </c>
      <c r="C152" s="5" t="str">
        <f>IF($J152="","",INDEX('Detalle individual'!$E:$E,$J152))</f>
        <v>SUBJEFE DE AGENCIA</v>
      </c>
      <c r="D152" s="5" t="str">
        <f>IF($J152="","",INDEX('Detalle individual'!$C:$C,$J152))</f>
        <v>AGENCIA USULUTAN</v>
      </c>
      <c r="E152" s="5" t="str">
        <f>IF($J152="","",INDEX('Detalle individual'!$D:$D,$J152))</f>
        <v>Gerencia de Negocios</v>
      </c>
      <c r="F152" s="23">
        <f>IF($J152="","",INDEX('Detalle individual'!$H:$H,$J152))</f>
        <v>46309.4197337963</v>
      </c>
      <c r="G152" s="28">
        <f>IF($J152="","",INDEX('Detalle individual'!$J:$J,$J152))</f>
        <v>100</v>
      </c>
      <c r="H152" s="28">
        <f>IF($J152="","",INDEX('Detalle individual'!$L:$L,$J152))</f>
        <v>1</v>
      </c>
      <c r="J152">
        <f>IFERROR(MATCH(SMALL(Cálculos!$AI$5:$AI$1000,148),Cálculos!$AI$5:$AI$1000,0)+4,"")</f>
        <v>284</v>
      </c>
    </row>
    <row r="153">
      <c r="A153" s="5" t="str">
        <f>IF($J153="","",INDEX('Detalle individual'!$B:$B,$J153))</f>
        <v>MELVIN ELISEO HERNANDEZ MACHADO</v>
      </c>
      <c r="B153" s="5" t="str">
        <f>IF($J153="","",INDEX('Detalle individual'!$A:$A,$J153))</f>
        <v>951</v>
      </c>
      <c r="C153" s="5" t="str">
        <f>IF($J153="","",INDEX('Detalle individual'!$E:$E,$J153))</f>
        <v>EJECUTIVO DE NEGOCIOS</v>
      </c>
      <c r="D153" s="5" t="str">
        <f>IF($J153="","",INDEX('Detalle individual'!$C:$C,$J153))</f>
        <v>AGENCIA USULUTAN</v>
      </c>
      <c r="E153" s="5" t="str">
        <f>IF($J153="","",INDEX('Detalle individual'!$D:$D,$J153))</f>
        <v>Gerencia de Negocios</v>
      </c>
      <c r="F153" s="23">
        <f>IF($J153="","",INDEX('Detalle individual'!$H:$H,$J153))</f>
        <v>46309.3825462963</v>
      </c>
      <c r="G153" s="28">
        <f>IF($J153="","",INDEX('Detalle individual'!$J:$J,$J153))</f>
        <v>100</v>
      </c>
      <c r="H153" s="28">
        <f>IF($J153="","",INDEX('Detalle individual'!$L:$L,$J153))</f>
        <v>1</v>
      </c>
      <c r="J153">
        <f>IFERROR(MATCH(SMALL(Cálculos!$AI$5:$AI$1000,149),Cálculos!$AI$5:$AI$1000,0)+4,"")</f>
        <v>285</v>
      </c>
    </row>
    <row r="154">
      <c r="A154" s="5" t="str">
        <f>IF($J154="","",INDEX('Detalle individual'!$B:$B,$J154))</f>
        <v>WENDY YAMILETH MARQUEZ VASQUEZ</v>
      </c>
      <c r="B154" s="5" t="str">
        <f>IF($J154="","",INDEX('Detalle individual'!$A:$A,$J154))</f>
        <v>903</v>
      </c>
      <c r="C154" s="5" t="str">
        <f>IF($J154="","",INDEX('Detalle individual'!$E:$E,$J154))</f>
        <v>JEFE DE AGENCIA</v>
      </c>
      <c r="D154" s="5" t="str">
        <f>IF($J154="","",INDEX('Detalle individual'!$C:$C,$J154))</f>
        <v>AGENCIA USULUTAN</v>
      </c>
      <c r="E154" s="5" t="str">
        <f>IF($J154="","",INDEX('Detalle individual'!$D:$D,$J154))</f>
        <v>Gerencia de Negocios</v>
      </c>
      <c r="F154" s="23">
        <f>IF($J154="","",INDEX('Detalle individual'!$H:$H,$J154))</f>
        <v>46301.432337962964</v>
      </c>
      <c r="G154" s="28">
        <f>IF($J154="","",INDEX('Detalle individual'!$J:$J,$J154))</f>
        <v>100</v>
      </c>
      <c r="H154" s="28">
        <f>IF($J154="","",INDEX('Detalle individual'!$L:$L,$J154))</f>
        <v>1</v>
      </c>
      <c r="J154">
        <f>IFERROR(MATCH(SMALL(Cálculos!$AI$5:$AI$1000,150),Cálculos!$AI$5:$AI$1000,0)+4,"")</f>
        <v>282</v>
      </c>
    </row>
    <row r="155">
      <c r="A155" s="5" t="str">
        <f>IF($J155="","",INDEX('Detalle individual'!$B:$B,$J155))</f>
        <v>ANTONIO ALEXANDER ALFARO ARGUETA</v>
      </c>
      <c r="B155" s="5" t="str">
        <f>IF($J155="","",INDEX('Detalle individual'!$A:$A,$J155))</f>
        <v>669</v>
      </c>
      <c r="C155" s="5" t="str">
        <f>IF($J155="","",INDEX('Detalle individual'!$E:$E,$J155))</f>
        <v>EJECUTIVO DE NEGOCIOS</v>
      </c>
      <c r="D155" s="5" t="str">
        <f>IF($J155="","",INDEX('Detalle individual'!$C:$C,$J155))</f>
        <v>DEPARTAMENTO COMERCIAL DE TARJETA DE CREDITO Y DEBITO</v>
      </c>
      <c r="E155" s="5" t="str">
        <f>IF($J155="","",INDEX('Detalle individual'!$D:$D,$J155))</f>
        <v>Gerencia de Negocios</v>
      </c>
      <c r="F155" s="23">
        <f>IF($J155="","",INDEX('Detalle individual'!$H:$H,$J155))</f>
        <v>46305.48725694444</v>
      </c>
      <c r="G155" s="28">
        <f>IF($J155="","",INDEX('Detalle individual'!$J:$J,$J155))</f>
        <v>90</v>
      </c>
      <c r="H155" s="28">
        <f>IF($J155="","",INDEX('Detalle individual'!$L:$L,$J155))</f>
        <v>1</v>
      </c>
      <c r="J155">
        <f>IFERROR(MATCH(SMALL(Cálculos!$AI$5:$AI$1000,151),Cálculos!$AI$5:$AI$1000,0)+4,"")</f>
        <v>180</v>
      </c>
    </row>
    <row r="156">
      <c r="A156" s="5" t="str">
        <f>IF($J156="","",INDEX('Detalle individual'!$B:$B,$J156))</f>
        <v>CLAUDIA VERONICA LARA RODAS</v>
      </c>
      <c r="B156" s="5" t="str">
        <f>IF($J156="","",INDEX('Detalle individual'!$A:$A,$J156))</f>
        <v>422</v>
      </c>
      <c r="C156" s="5" t="str">
        <f>IF($J156="","",INDEX('Detalle individual'!$E:$E,$J156))</f>
        <v>ASISTENTE COMERCIAL DE TARJETA DE CREDITO</v>
      </c>
      <c r="D156" s="5" t="str">
        <f>IF($J156="","",INDEX('Detalle individual'!$C:$C,$J156))</f>
        <v>DEPARTAMENTO COMERCIAL DE TARJETA DE CREDITO Y DEBITO</v>
      </c>
      <c r="E156" s="5" t="str">
        <f>IF($J156="","",INDEX('Detalle individual'!$D:$D,$J156))</f>
        <v>Gerencia de Negocios</v>
      </c>
      <c r="F156" s="23">
        <f>IF($J156="","",INDEX('Detalle individual'!$H:$H,$J156))</f>
        <v>46304.41396990741</v>
      </c>
      <c r="G156" s="28">
        <f>IF($J156="","",INDEX('Detalle individual'!$J:$J,$J156))</f>
        <v>100</v>
      </c>
      <c r="H156" s="28">
        <f>IF($J156="","",INDEX('Detalle individual'!$L:$L,$J156))</f>
        <v>1</v>
      </c>
      <c r="J156">
        <f>IFERROR(MATCH(SMALL(Cálculos!$AI$5:$AI$1000,152),Cálculos!$AI$5:$AI$1000,0)+4,"")</f>
        <v>176</v>
      </c>
    </row>
    <row r="157">
      <c r="A157" s="5" t="str">
        <f>IF($J157="","",INDEX('Detalle individual'!$B:$B,$J157))</f>
        <v>GABRIEL FRANCISCO MOLINA DIAZ</v>
      </c>
      <c r="B157" s="5" t="str">
        <f>IF($J157="","",INDEX('Detalle individual'!$A:$A,$J157))</f>
        <v>858</v>
      </c>
      <c r="C157" s="5" t="str">
        <f>IF($J157="","",INDEX('Detalle individual'!$E:$E,$J157))</f>
        <v>EJECUTIVO DE NEGOCIOS</v>
      </c>
      <c r="D157" s="5" t="str">
        <f>IF($J157="","",INDEX('Detalle individual'!$C:$C,$J157))</f>
        <v>DEPARTAMENTO COMERCIAL DE TARJETA DE CREDITO Y DEBITO</v>
      </c>
      <c r="E157" s="5" t="str">
        <f>IF($J157="","",INDEX('Detalle individual'!$D:$D,$J157))</f>
        <v>Gerencia de Negocios</v>
      </c>
      <c r="F157" s="23">
        <f>IF($J157="","",INDEX('Detalle individual'!$H:$H,$J157))</f>
        <v>46305.49159722222</v>
      </c>
      <c r="G157" s="28">
        <f>IF($J157="","",INDEX('Detalle individual'!$J:$J,$J157))</f>
        <v>95</v>
      </c>
      <c r="H157" s="28">
        <f>IF($J157="","",INDEX('Detalle individual'!$L:$L,$J157))</f>
        <v>1</v>
      </c>
      <c r="J157">
        <f>IFERROR(MATCH(SMALL(Cálculos!$AI$5:$AI$1000,153),Cálculos!$AI$5:$AI$1000,0)+4,"")</f>
        <v>183</v>
      </c>
    </row>
    <row r="158">
      <c r="A158" s="5" t="str">
        <f>IF($J158="","",INDEX('Detalle individual'!$B:$B,$J158))</f>
        <v>GABRIELA ALEJANDRA RODRIGUEZ ARIAS</v>
      </c>
      <c r="B158" s="5" t="str">
        <f>IF($J158="","",INDEX('Detalle individual'!$A:$A,$J158))</f>
        <v>654</v>
      </c>
      <c r="C158" s="5" t="str">
        <f>IF($J158="","",INDEX('Detalle individual'!$E:$E,$J158))</f>
        <v>AUXILIAR DE ATENCION AL CLIENTE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23">
        <f>IF($J158="","",INDEX('Detalle individual'!$H:$H,$J158))</f>
        <v>46304.678506944445</v>
      </c>
      <c r="G158" s="28">
        <f>IF($J158="","",INDEX('Detalle individual'!$J:$J,$J158))</f>
        <v>80</v>
      </c>
      <c r="H158" s="28">
        <f>IF($J158="","",INDEX('Detalle individual'!$L:$L,$J158))</f>
        <v>1</v>
      </c>
      <c r="J158">
        <f>IFERROR(MATCH(SMALL(Cálculos!$AI$5:$AI$1000,154),Cálculos!$AI$5:$AI$1000,0)+4,"")</f>
        <v>178</v>
      </c>
    </row>
    <row r="159">
      <c r="A159" s="5" t="str">
        <f>IF($J159="","",INDEX('Detalle individual'!$B:$B,$J159))</f>
        <v>JOSE ALEXANDER ABREGO</v>
      </c>
      <c r="B159" s="5" t="str">
        <f>IF($J159="","",INDEX('Detalle individual'!$A:$A,$J159))</f>
        <v>655</v>
      </c>
      <c r="C159" s="5" t="str">
        <f>IF($J159="","",INDEX('Detalle individual'!$E:$E,$J159))</f>
        <v>EJECUTIVO DE NEGOCIOS</v>
      </c>
      <c r="D159" s="5" t="str">
        <f>IF($J159="","",INDEX('Detalle individual'!$C:$C,$J159))</f>
        <v>DEPARTAMENTO COMERCIAL DE TARJETA DE CREDITO Y DEBITO</v>
      </c>
      <c r="E159" s="5" t="str">
        <f>IF($J159="","",INDEX('Detalle individual'!$D:$D,$J159))</f>
        <v>Gerencia de Negocios</v>
      </c>
      <c r="F159" s="23">
        <f>IF($J159="","",INDEX('Detalle individual'!$H:$H,$J159))</f>
        <v>46305.51431712963</v>
      </c>
      <c r="G159" s="28">
        <f>IF($J159="","",INDEX('Detalle individual'!$J:$J,$J159))</f>
        <v>65</v>
      </c>
      <c r="H159" s="28">
        <f>IF($J159="","",INDEX('Detalle individual'!$L:$L,$J159))</f>
        <v>1</v>
      </c>
      <c r="J159">
        <f>IFERROR(MATCH(SMALL(Cálculos!$AI$5:$AI$1000,155),Cálculos!$AI$5:$AI$1000,0)+4,"")</f>
        <v>179</v>
      </c>
    </row>
    <row r="160">
      <c r="A160" s="5" t="str">
        <f>IF($J160="","",INDEX('Detalle individual'!$B:$B,$J160))</f>
        <v>KAREN MARCELA BARILLAS MOLINA</v>
      </c>
      <c r="B160" s="5" t="str">
        <f>IF($J160="","",INDEX('Detalle individual'!$A:$A,$J160))</f>
        <v>715</v>
      </c>
      <c r="C160" s="5" t="str">
        <f>IF($J160="","",INDEX('Detalle individual'!$E:$E,$J160))</f>
        <v>AUXILIAR DE ATENCION AL TARJETAHABIENTE</v>
      </c>
      <c r="D160" s="5" t="str">
        <f>IF($J160="","",INDEX('Detalle individual'!$C:$C,$J160))</f>
        <v>DEPARTAMENTO COMERCIAL DE TARJETA DE CREDITO Y DEBITO</v>
      </c>
      <c r="E160" s="5" t="str">
        <f>IF($J160="","",INDEX('Detalle individual'!$D:$D,$J160))</f>
        <v>Gerencia de Negocios</v>
      </c>
      <c r="F160" s="23">
        <f>IF($J160="","",INDEX('Detalle individual'!$H:$H,$J160))</f>
        <v>46297.71334490741</v>
      </c>
      <c r="G160" s="28">
        <f>IF($J160="","",INDEX('Detalle individual'!$J:$J,$J160))</f>
        <v>85</v>
      </c>
      <c r="H160" s="28">
        <f>IF($J160="","",INDEX('Detalle individual'!$L:$L,$J160))</f>
        <v>1</v>
      </c>
      <c r="J160">
        <f>IFERROR(MATCH(SMALL(Cálculos!$AI$5:$AI$1000,156),Cálculos!$AI$5:$AI$1000,0)+4,"")</f>
        <v>181</v>
      </c>
    </row>
    <row r="161">
      <c r="A161" s="5" t="str">
        <f>IF($J161="","",INDEX('Detalle individual'!$B:$B,$J161))</f>
        <v>LIDIA PATRICIA MORALES AVALOS</v>
      </c>
      <c r="B161" s="5" t="str">
        <f>IF($J161="","",INDEX('Detalle individual'!$A:$A,$J161))</f>
        <v>533</v>
      </c>
      <c r="C161" s="5" t="str">
        <f>IF($J161="","",INDEX('Detalle individual'!$E:$E,$J161))</f>
        <v>JEFE COMERCIAL DE TARJETA DE CREDITO</v>
      </c>
      <c r="D161" s="5" t="str">
        <f>IF($J161="","",INDEX('Detalle individual'!$C:$C,$J161))</f>
        <v>DEPARTAMENTO COMERCIAL DE TARJETA DE CREDITO Y DEBITO</v>
      </c>
      <c r="E161" s="5" t="str">
        <f>IF($J161="","",INDEX('Detalle individual'!$D:$D,$J161))</f>
        <v>Gerencia de Negocios</v>
      </c>
      <c r="F161" s="23">
        <f>IF($J161="","",INDEX('Detalle individual'!$H:$H,$J161))</f>
        <v>46304.7809837963</v>
      </c>
      <c r="G161" s="28">
        <f>IF($J161="","",INDEX('Detalle individual'!$J:$J,$J161))</f>
        <v>90</v>
      </c>
      <c r="H161" s="28">
        <f>IF($J161="","",INDEX('Detalle individual'!$L:$L,$J161))</f>
        <v>1</v>
      </c>
      <c r="J161">
        <f>IFERROR(MATCH(SMALL(Cálculos!$AI$5:$AI$1000,157),Cálculos!$AI$5:$AI$1000,0)+4,"")</f>
        <v>177</v>
      </c>
    </row>
    <row r="162">
      <c r="A162" s="5" t="str">
        <f>IF($J162="","",INDEX('Detalle individual'!$B:$B,$J162))</f>
        <v>ALAN RODRIGO BENITEZ RODRIGUEZ</v>
      </c>
      <c r="B162" s="5" t="str">
        <f>IF($J162="","",INDEX('Detalle individual'!$A:$A,$J162))</f>
        <v>981</v>
      </c>
      <c r="C162" s="5" t="str">
        <f>IF($J162="","",INDEX('Detalle individual'!$E:$E,$J162))</f>
        <v>PASANTE</v>
      </c>
      <c r="D162" s="5" t="str">
        <f>IF($J162="","",INDEX('Detalle individual'!$C:$C,$J162))</f>
        <v>DEPARTAMENTO DE ATENCION A ASOCIADO Y CLIENTE</v>
      </c>
      <c r="E162" s="5" t="str">
        <f>IF($J162="","",INDEX('Detalle individual'!$D:$D,$J162))</f>
        <v>Gerencia de Negocios</v>
      </c>
      <c r="F162" s="23">
        <f>IF($J162="","",INDEX('Detalle individual'!$H:$H,$J162))</f>
        <v>46310.70625</v>
      </c>
      <c r="G162" s="28">
        <f>IF($J162="","",INDEX('Detalle individual'!$J:$J,$J162))</f>
        <v>100</v>
      </c>
      <c r="H162" s="28">
        <f>IF($J162="","",INDEX('Detalle individual'!$L:$L,$J162))</f>
        <v>1</v>
      </c>
      <c r="J162">
        <f>IFERROR(MATCH(SMALL(Cálculos!$AI$5:$AI$1000,158),Cálculos!$AI$5:$AI$1000,0)+4,"")</f>
        <v>144</v>
      </c>
    </row>
    <row r="163">
      <c r="A163" s="5" t="str">
        <f>IF($J163="","",INDEX('Detalle individual'!$B:$B,$J163))</f>
        <v>EDGARDO ISAIAS PEÑATE RIVAS</v>
      </c>
      <c r="B163" s="5" t="str">
        <f>IF($J163="","",INDEX('Detalle individual'!$A:$A,$J163))</f>
        <v>712</v>
      </c>
      <c r="C163" s="5" t="str">
        <f>IF($J163="","",INDEX('Detalle individual'!$E:$E,$J163))</f>
        <v>ASISTENTE TECNICO DEL FONDO DE SOLIDARIDAD</v>
      </c>
      <c r="D163" s="5" t="str">
        <f>IF($J163="","",INDEX('Detalle individual'!$C:$C,$J163))</f>
        <v>DEPARTAMENTO DE ATENCION A ASOCIADO Y CLIENTE</v>
      </c>
      <c r="E163" s="5" t="str">
        <f>IF($J163="","",INDEX('Detalle individual'!$D:$D,$J163))</f>
        <v>Gerencia de Negocios</v>
      </c>
      <c r="F163" s="23">
        <f>IF($J163="","",INDEX('Detalle individual'!$H:$H,$J163))</f>
        <v>46304.37650462963</v>
      </c>
      <c r="G163" s="28">
        <f>IF($J163="","",INDEX('Detalle individual'!$J:$J,$J163))</f>
        <v>100</v>
      </c>
      <c r="H163" s="28">
        <f>IF($J163="","",INDEX('Detalle individual'!$L:$L,$J163))</f>
        <v>1</v>
      </c>
      <c r="J163">
        <f>IFERROR(MATCH(SMALL(Cálculos!$AI$5:$AI$1000,159),Cálculos!$AI$5:$AI$1000,0)+4,"")</f>
        <v>140</v>
      </c>
    </row>
    <row r="164">
      <c r="A164" s="5" t="str">
        <f>IF($J164="","",INDEX('Detalle individual'!$B:$B,$J164))</f>
        <v>EMERSON ULISES BELTRAN CORTEZ</v>
      </c>
      <c r="B164" s="5" t="str">
        <f>IF($J164="","",INDEX('Detalle individual'!$A:$A,$J164))</f>
        <v>887</v>
      </c>
      <c r="C164" s="5" t="str">
        <f>IF($J164="","",INDEX('Detalle individual'!$E:$E,$J164))</f>
        <v>AUXILIAR DE ATENCION A ASOCIADOS</v>
      </c>
      <c r="D164" s="5" t="str">
        <f>IF($J164="","",INDEX('Detalle individual'!$C:$C,$J164))</f>
        <v>DEPARTAMENTO DE ATENCION A ASOCIADO Y CLIENTE</v>
      </c>
      <c r="E164" s="5" t="str">
        <f>IF($J164="","",INDEX('Detalle individual'!$D:$D,$J164))</f>
        <v>Gerencia de Negocios</v>
      </c>
      <c r="F164" s="23">
        <f>IF($J164="","",INDEX('Detalle individual'!$H:$H,$J164))</f>
        <v>46308.64163194445</v>
      </c>
      <c r="G164" s="28">
        <f>IF($J164="","",INDEX('Detalle individual'!$J:$J,$J164))</f>
        <v>100</v>
      </c>
      <c r="H164" s="28">
        <f>IF($J164="","",INDEX('Detalle individual'!$L:$L,$J164))</f>
        <v>1</v>
      </c>
      <c r="J164">
        <f>IFERROR(MATCH(SMALL(Cálculos!$AI$5:$AI$1000,160),Cálculos!$AI$5:$AI$1000,0)+4,"")</f>
        <v>142</v>
      </c>
    </row>
    <row r="165">
      <c r="A165" s="5" t="str">
        <f>IF($J165="","",INDEX('Detalle individual'!$B:$B,$J165))</f>
        <v>FABIOLA ELIZABETH TICAS GOMEZ</v>
      </c>
      <c r="B165" s="5" t="str">
        <f>IF($J165="","",INDEX('Detalle individual'!$A:$A,$J165))</f>
        <v>945</v>
      </c>
      <c r="C165" s="5" t="str">
        <f>IF($J165="","",INDEX('Detalle individual'!$E:$E,$J165))</f>
        <v>RECEPCIONISTA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23">
        <f>IF($J165="","",INDEX('Detalle individual'!$H:$H,$J165))</f>
        <v>46309.409166666665</v>
      </c>
      <c r="G165" s="28">
        <f>IF($J165="","",INDEX('Detalle individual'!$J:$J,$J165))</f>
        <v>100</v>
      </c>
      <c r="H165" s="28">
        <f>IF($J165="","",INDEX('Detalle individual'!$L:$L,$J165))</f>
        <v>1</v>
      </c>
      <c r="J165">
        <f>IFERROR(MATCH(SMALL(Cálculos!$AI$5:$AI$1000,161),Cálculos!$AI$5:$AI$1000,0)+4,"")</f>
        <v>143</v>
      </c>
    </row>
    <row r="166">
      <c r="A166" s="5" t="str">
        <f>IF($J166="","",INDEX('Detalle individual'!$B:$B,$J166))</f>
        <v>JENNIFER ROXANA AYALA AYALA</v>
      </c>
      <c r="B166" s="5" t="str">
        <f>IF($J166="","",INDEX('Detalle individual'!$A:$A,$J166))</f>
        <v>986</v>
      </c>
      <c r="C166" s="5" t="str">
        <f>IF($J166="","",INDEX('Detalle individual'!$E:$E,$J166))</f>
        <v>ASISTENTE TECNICO DEL FONDO DE SOLIDARIDAD</v>
      </c>
      <c r="D166" s="5" t="str">
        <f>IF($J166="","",INDEX('Detalle individual'!$C:$C,$J166))</f>
        <v>DEPARTAMENTO DE ATENCION A ASOCIADO Y CLIENTE</v>
      </c>
      <c r="E166" s="5" t="str">
        <f>IF($J166="","",INDEX('Detalle individual'!$D:$D,$J166))</f>
        <v>Gerencia de Negocios</v>
      </c>
      <c r="F166" s="23">
        <f>IF($J166="","",INDEX('Detalle individual'!$H:$H,$J166))</f>
        <v>46308.713692129626</v>
      </c>
      <c r="G166" s="28">
        <f>IF($J166="","",INDEX('Detalle individual'!$J:$J,$J166))</f>
        <v>80</v>
      </c>
      <c r="H166" s="28">
        <f>IF($J166="","",INDEX('Detalle individual'!$L:$L,$J166))</f>
        <v>1</v>
      </c>
      <c r="J166">
        <f>IFERROR(MATCH(SMALL(Cálculos!$AI$5:$AI$1000,162),Cálculos!$AI$5:$AI$1000,0)+4,"")</f>
        <v>297</v>
      </c>
    </row>
    <row r="167">
      <c r="A167" s="5" t="str">
        <f>IF($J167="","",INDEX('Detalle individual'!$B:$B,$J167))</f>
        <v>KARLA PATRICIA ROBLES CORTEZ</v>
      </c>
      <c r="B167" s="5" t="str">
        <f>IF($J167="","",INDEX('Detalle individual'!$A:$A,$J167))</f>
        <v>744</v>
      </c>
      <c r="C167" s="5" t="str">
        <f>IF($J167="","",INDEX('Detalle individual'!$E:$E,$J167))</f>
        <v>ASISTENTE TECNICO DE AFILIACION</v>
      </c>
      <c r="D167" s="5" t="str">
        <f>IF($J167="","",INDEX('Detalle individual'!$C:$C,$J167))</f>
        <v>DEPARTAMENTO DE ATENCION A ASOCIADO Y CLIENTE</v>
      </c>
      <c r="E167" s="5" t="str">
        <f>IF($J167="","",INDEX('Detalle individual'!$D:$D,$J167))</f>
        <v>Gerencia de Negocios</v>
      </c>
      <c r="F167" s="23">
        <f>IF($J167="","",INDEX('Detalle individual'!$H:$H,$J167))</f>
        <v>46308.622615740744</v>
      </c>
      <c r="G167" s="28">
        <f>IF($J167="","",INDEX('Detalle individual'!$J:$J,$J167))</f>
        <v>90</v>
      </c>
      <c r="H167" s="28">
        <f>IF($J167="","",INDEX('Detalle individual'!$L:$L,$J167))</f>
        <v>1</v>
      </c>
      <c r="J167">
        <f>IFERROR(MATCH(SMALL(Cálculos!$AI$5:$AI$1000,163),Cálculos!$AI$5:$AI$1000,0)+4,"")</f>
        <v>141</v>
      </c>
    </row>
    <row r="168">
      <c r="A168" s="5" t="str">
        <f>IF($J168="","",INDEX('Detalle individual'!$B:$B,$J168))</f>
        <v>MARIA FRANCISCA DE LA LUZ HERNANDEZ HERNANDEZ</v>
      </c>
      <c r="B168" s="5" t="str">
        <f>IF($J168="","",INDEX('Detalle individual'!$A:$A,$J168))</f>
        <v>166</v>
      </c>
      <c r="C168" s="5" t="str">
        <f>IF($J168="","",INDEX('Detalle individual'!$E:$E,$J168))</f>
        <v>JEFE DE ATENCION A ASOCIADOS Y CLIENTES</v>
      </c>
      <c r="D168" s="5" t="str">
        <f>IF($J168="","",INDEX('Detalle individual'!$C:$C,$J168))</f>
        <v>DEPARTAMENTO DE ATENCION A ASOCIADO Y CLIENTE</v>
      </c>
      <c r="E168" s="5" t="str">
        <f>IF($J168="","",INDEX('Detalle individual'!$D:$D,$J168))</f>
        <v>Gerencia de Negocios</v>
      </c>
      <c r="F168" s="23">
        <f>IF($J168="","",INDEX('Detalle individual'!$H:$H,$J168))</f>
        <v>46301.489282407405</v>
      </c>
      <c r="G168" s="28">
        <f>IF($J168="","",INDEX('Detalle individual'!$J:$J,$J168))</f>
        <v>100</v>
      </c>
      <c r="H168" s="28">
        <f>IF($J168="","",INDEX('Detalle individual'!$L:$L,$J168))</f>
        <v>1</v>
      </c>
      <c r="J168">
        <f>IFERROR(MATCH(SMALL(Cálculos!$AI$5:$AI$1000,164),Cálculos!$AI$5:$AI$1000,0)+4,"")</f>
        <v>139</v>
      </c>
    </row>
    <row r="169">
      <c r="A169" s="5" t="str">
        <f>IF($J169="","",INDEX('Detalle individual'!$B:$B,$J169))</f>
        <v>ANA ESTER ERAZO ORTIZ</v>
      </c>
      <c r="B169" s="5" t="str">
        <f>IF($J169="","",INDEX('Detalle individual'!$A:$A,$J169))</f>
        <v>207</v>
      </c>
      <c r="C169" s="5" t="str">
        <f>IF($J169="","",INDEX('Detalle individual'!$E:$E,$J169))</f>
        <v>ANALISTA DE CREDITOS</v>
      </c>
      <c r="D169" s="5" t="str">
        <f>IF($J169="","",INDEX('Detalle individual'!$C:$C,$J169))</f>
        <v>DEPARTAMENTO DE CREDITOS</v>
      </c>
      <c r="E169" s="5" t="str">
        <f>IF($J169="","",INDEX('Detalle individual'!$D:$D,$J169))</f>
        <v>Gerencia de Negocios</v>
      </c>
      <c r="F169" s="23">
        <f>IF($J169="","",INDEX('Detalle individual'!$H:$H,$J169))</f>
        <v>46309.40052083333</v>
      </c>
      <c r="G169" s="28">
        <f>IF($J169="","",INDEX('Detalle individual'!$J:$J,$J169))</f>
        <v>100</v>
      </c>
      <c r="H169" s="28">
        <f>IF($J169="","",INDEX('Detalle individual'!$L:$L,$J169))</f>
        <v>1</v>
      </c>
      <c r="J169">
        <f>IFERROR(MATCH(SMALL(Cálculos!$AI$5:$AI$1000,165),Cálculos!$AI$5:$AI$1000,0)+4,"")</f>
        <v>152</v>
      </c>
    </row>
    <row r="170">
      <c r="A170" s="5" t="str">
        <f>IF($J170="","",INDEX('Detalle individual'!$B:$B,$J170))</f>
        <v>ANA EVELYN ROQUE GALEANO</v>
      </c>
      <c r="B170" s="5" t="str">
        <f>IF($J170="","",INDEX('Detalle individual'!$A:$A,$J170))</f>
        <v>345</v>
      </c>
      <c r="C170" s="5" t="str">
        <f>IF($J170="","",INDEX('Detalle individual'!$E:$E,$J170))</f>
        <v>AUXILIAR DE CREDITOS</v>
      </c>
      <c r="D170" s="5" t="str">
        <f>IF($J170="","",INDEX('Detalle individual'!$C:$C,$J170))</f>
        <v>DEPARTAMENTO DE CREDITOS</v>
      </c>
      <c r="E170" s="5" t="str">
        <f>IF($J170="","",INDEX('Detalle individual'!$D:$D,$J170))</f>
        <v>Gerencia de Negocios</v>
      </c>
      <c r="F170" s="23">
        <f>IF($J170="","",INDEX('Detalle individual'!$H:$H,$J170))</f>
        <v>46297.65186342593</v>
      </c>
      <c r="G170" s="28">
        <f>IF($J170="","",INDEX('Detalle individual'!$J:$J,$J170))</f>
        <v>90</v>
      </c>
      <c r="H170" s="28">
        <f>IF($J170="","",INDEX('Detalle individual'!$L:$L,$J170))</f>
        <v>1</v>
      </c>
      <c r="J170">
        <f>IFERROR(MATCH(SMALL(Cálculos!$AI$5:$AI$1000,166),Cálculos!$AI$5:$AI$1000,0)+4,"")</f>
        <v>153</v>
      </c>
    </row>
    <row r="171">
      <c r="A171" s="5" t="str">
        <f>IF($J171="","",INDEX('Detalle individual'!$B:$B,$J171))</f>
        <v>CINDIA IVETTE ZEPEDA VASQUEZ</v>
      </c>
      <c r="B171" s="5" t="str">
        <f>IF($J171="","",INDEX('Detalle individual'!$A:$A,$J171))</f>
        <v>492</v>
      </c>
      <c r="C171" s="5" t="str">
        <f>IF($J171="","",INDEX('Detalle individual'!$E:$E,$J171))</f>
        <v>AUXILIAR DE CREDITOS</v>
      </c>
      <c r="D171" s="5" t="str">
        <f>IF($J171="","",INDEX('Detalle individual'!$C:$C,$J171))</f>
        <v>DEPARTAMENTO DE CREDITOS</v>
      </c>
      <c r="E171" s="5" t="str">
        <f>IF($J171="","",INDEX('Detalle individual'!$D:$D,$J171))</f>
        <v>Gerencia de Negocios</v>
      </c>
      <c r="F171" s="23">
        <f>IF($J171="","",INDEX('Detalle individual'!$H:$H,$J171))</f>
        <v>46297.66012731481</v>
      </c>
      <c r="G171" s="28">
        <f>IF($J171="","",INDEX('Detalle individual'!$J:$J,$J171))</f>
        <v>100</v>
      </c>
      <c r="H171" s="28">
        <f>IF($J171="","",INDEX('Detalle individual'!$L:$L,$J171))</f>
        <v>1</v>
      </c>
      <c r="J171">
        <f>IFERROR(MATCH(SMALL(Cálculos!$AI$5:$AI$1000,167),Cálculos!$AI$5:$AI$1000,0)+4,"")</f>
        <v>156</v>
      </c>
    </row>
    <row r="172">
      <c r="A172" s="5" t="str">
        <f>IF($J172="","",INDEX('Detalle individual'!$B:$B,$J172))</f>
        <v>DAYANA ABIGAIL CHAVEZ CORDOVA</v>
      </c>
      <c r="B172" s="5" t="str">
        <f>IF($J172="","",INDEX('Detalle individual'!$A:$A,$J172))</f>
        <v>837</v>
      </c>
      <c r="C172" s="5" t="str">
        <f>IF($J172="","",INDEX('Detalle individual'!$E:$E,$J172))</f>
        <v>GESTOR DE EXPEDIENTES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23">
        <f>IF($J172="","",INDEX('Detalle individual'!$H:$H,$J172))</f>
        <v>46302.48523148148</v>
      </c>
      <c r="G172" s="28">
        <f>IF($J172="","",INDEX('Detalle individual'!$J:$J,$J172))</f>
        <v>100</v>
      </c>
      <c r="H172" s="28">
        <f>IF($J172="","",INDEX('Detalle individual'!$L:$L,$J172))</f>
        <v>1</v>
      </c>
      <c r="J172">
        <f>IFERROR(MATCH(SMALL(Cálculos!$AI$5:$AI$1000,168),Cálculos!$AI$5:$AI$1000,0)+4,"")</f>
        <v>162</v>
      </c>
    </row>
    <row r="173">
      <c r="A173" s="5" t="str">
        <f>IF($J173="","",INDEX('Detalle individual'!$B:$B,$J173))</f>
        <v>INGRID ALEJANDRINA LISSETH GUZMAN SANCHEZ</v>
      </c>
      <c r="B173" s="5" t="str">
        <f>IF($J173="","",INDEX('Detalle individual'!$A:$A,$J173))</f>
        <v>719</v>
      </c>
      <c r="C173" s="5" t="str">
        <f>IF($J173="","",INDEX('Detalle individual'!$E:$E,$J173))</f>
        <v>AUXILIAR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23">
        <f>IF($J173="","",INDEX('Detalle individual'!$H:$H,$J173))</f>
        <v>46298.41878472222</v>
      </c>
      <c r="G173" s="28">
        <f>IF($J173="","",INDEX('Detalle individual'!$J:$J,$J173))</f>
        <v>100</v>
      </c>
      <c r="H173" s="28">
        <f>IF($J173="","",INDEX('Detalle individual'!$L:$L,$J173))</f>
        <v>1</v>
      </c>
      <c r="J173">
        <f>IFERROR(MATCH(SMALL(Cálculos!$AI$5:$AI$1000,169),Cálculos!$AI$5:$AI$1000,0)+4,"")</f>
        <v>157</v>
      </c>
    </row>
    <row r="174">
      <c r="A174" s="5" t="str">
        <f>IF($J174="","",INDEX('Detalle individual'!$B:$B,$J174))</f>
        <v>JUAN ANTONIO DE JESUS NUNFIO</v>
      </c>
      <c r="B174" s="5" t="str">
        <f>IF($J174="","",INDEX('Detalle individual'!$A:$A,$J174))</f>
        <v>780</v>
      </c>
      <c r="C174" s="5" t="str">
        <f>IF($J174="","",INDEX('Detalle individual'!$E:$E,$J174))</f>
        <v>ANALISTA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23">
        <f>IF($J174="","",INDEX('Detalle individual'!$H:$H,$J174))</f>
        <v>46301.65928240741</v>
      </c>
      <c r="G174" s="28">
        <f>IF($J174="","",INDEX('Detalle individual'!$J:$J,$J174))</f>
        <v>100</v>
      </c>
      <c r="H174" s="28">
        <f>IF($J174="","",INDEX('Detalle individual'!$L:$L,$J174))</f>
        <v>1</v>
      </c>
      <c r="J174">
        <f>IFERROR(MATCH(SMALL(Cálculos!$AI$5:$AI$1000,170),Cálculos!$AI$5:$AI$1000,0)+4,"")</f>
        <v>159</v>
      </c>
    </row>
    <row r="175">
      <c r="A175" s="5" t="str">
        <f>IF($J175="","",INDEX('Detalle individual'!$B:$B,$J175))</f>
        <v>KARLA VANESSA GARCIA OLIVA</v>
      </c>
      <c r="B175" s="5" t="str">
        <f>IF($J175="","",INDEX('Detalle individual'!$A:$A,$J175))</f>
        <v>809</v>
      </c>
      <c r="C175" s="5" t="str">
        <f>IF($J175="","",INDEX('Detalle individual'!$E:$E,$J175))</f>
        <v>ANALISTA DE CREDITOS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23">
        <f>IF($J175="","",INDEX('Detalle individual'!$H:$H,$J175))</f>
        <v>46307.384097222224</v>
      </c>
      <c r="G175" s="28">
        <f>IF($J175="","",INDEX('Detalle individual'!$J:$J,$J175))</f>
        <v>100</v>
      </c>
      <c r="H175" s="28">
        <f>IF($J175="","",INDEX('Detalle individual'!$L:$L,$J175))</f>
        <v>1</v>
      </c>
      <c r="J175">
        <f>IFERROR(MATCH(SMALL(Cálculos!$AI$5:$AI$1000,171),Cálculos!$AI$5:$AI$1000,0)+4,"")</f>
        <v>161</v>
      </c>
    </row>
    <row r="176">
      <c r="A176" s="5" t="str">
        <f>IF($J176="","",INDEX('Detalle individual'!$B:$B,$J176))</f>
        <v>MABEL GERALDINE RAMIREZ PORTILLO</v>
      </c>
      <c r="B176" s="5" t="str">
        <f>IF($J176="","",INDEX('Detalle individual'!$A:$A,$J176))</f>
        <v>377</v>
      </c>
      <c r="C176" s="5" t="str">
        <f>IF($J176="","",INDEX('Detalle individual'!$E:$E,$J176))</f>
        <v>SUPERVISOR DE ANALISTAS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23">
        <f>IF($J176="","",INDEX('Detalle individual'!$H:$H,$J176))</f>
        <v>46308.57119212963</v>
      </c>
      <c r="G176" s="28">
        <f>IF($J176="","",INDEX('Detalle individual'!$J:$J,$J176))</f>
        <v>100</v>
      </c>
      <c r="H176" s="28">
        <f>IF($J176="","",INDEX('Detalle individual'!$L:$L,$J176))</f>
        <v>1</v>
      </c>
      <c r="J176">
        <f>IFERROR(MATCH(SMALL(Cálculos!$AI$5:$AI$1000,172),Cálculos!$AI$5:$AI$1000,0)+4,"")</f>
        <v>154</v>
      </c>
    </row>
    <row r="177">
      <c r="A177" s="5" t="str">
        <f>IF($J177="","",INDEX('Detalle individual'!$B:$B,$J177))</f>
        <v>MARIA LILIAN MENJIVAR GUARDADO</v>
      </c>
      <c r="B177" s="5" t="str">
        <f>IF($J177="","",INDEX('Detalle individual'!$A:$A,$J177))</f>
        <v>979</v>
      </c>
      <c r="C177" s="5" t="str">
        <f>IF($J177="","",INDEX('Detalle individual'!$E:$E,$J177))</f>
        <v>ANALISTA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23">
        <f>IF($J177="","",INDEX('Detalle individual'!$H:$H,$J177))</f>
        <v>46307.37511574074</v>
      </c>
      <c r="G177" s="28">
        <f>IF($J177="","",INDEX('Detalle individual'!$J:$J,$J177))</f>
        <v>100</v>
      </c>
      <c r="H177" s="28">
        <f>IF($J177="","",INDEX('Detalle individual'!$L:$L,$J177))</f>
        <v>1</v>
      </c>
      <c r="J177">
        <f>IFERROR(MATCH(SMALL(Cálculos!$AI$5:$AI$1000,173),Cálculos!$AI$5:$AI$1000,0)+4,"")</f>
        <v>164</v>
      </c>
    </row>
    <row r="178">
      <c r="A178" s="5" t="str">
        <f>IF($J178="","",INDEX('Detalle individual'!$B:$B,$J178))</f>
        <v>MARIO LEONEL CANDRAY FLORES</v>
      </c>
      <c r="B178" s="5" t="str">
        <f>IF($J178="","",INDEX('Detalle individual'!$A:$A,$J178))</f>
        <v>939</v>
      </c>
      <c r="C178" s="5" t="str">
        <f>IF($J178="","",INDEX('Detalle individual'!$E:$E,$J178))</f>
        <v>ANALISTA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23">
        <f>IF($J178="","",INDEX('Detalle individual'!$H:$H,$J178))</f>
        <v>46307.37395833333</v>
      </c>
      <c r="G178" s="28">
        <f>IF($J178="","",INDEX('Detalle individual'!$J:$J,$J178))</f>
        <v>100</v>
      </c>
      <c r="H178" s="28">
        <f>IF($J178="","",INDEX('Detalle individual'!$L:$L,$J178))</f>
        <v>1</v>
      </c>
      <c r="J178">
        <f>IFERROR(MATCH(SMALL(Cálculos!$AI$5:$AI$1000,174),Cálculos!$AI$5:$AI$1000,0)+4,"")</f>
        <v>163</v>
      </c>
    </row>
    <row r="179">
      <c r="A179" s="5" t="str">
        <f>IF($J179="","",INDEX('Detalle individual'!$B:$B,$J179))</f>
        <v>ROSALBA RODRIGUEZ JIMENEZ</v>
      </c>
      <c r="B179" s="5" t="str">
        <f>IF($J179="","",INDEX('Detalle individual'!$A:$A,$J179))</f>
        <v>470</v>
      </c>
      <c r="C179" s="5" t="str">
        <f>IF($J179="","",INDEX('Detalle individual'!$E:$E,$J179))</f>
        <v>ANALISTA DE CREDITOS</v>
      </c>
      <c r="D179" s="5" t="str">
        <f>IF($J179="","",INDEX('Detalle individual'!$C:$C,$J179))</f>
        <v>DEPARTAMENTO DE CREDITOS</v>
      </c>
      <c r="E179" s="5" t="str">
        <f>IF($J179="","",INDEX('Detalle individual'!$D:$D,$J179))</f>
        <v>Gerencia de Negocios</v>
      </c>
      <c r="F179" s="23">
        <f>IF($J179="","",INDEX('Detalle individual'!$H:$H,$J179))</f>
        <v>46304.409317129626</v>
      </c>
      <c r="G179" s="28">
        <f>IF($J179="","",INDEX('Detalle individual'!$J:$J,$J179))</f>
        <v>100</v>
      </c>
      <c r="H179" s="28">
        <f>IF($J179="","",INDEX('Detalle individual'!$L:$L,$J179))</f>
        <v>1</v>
      </c>
      <c r="J179">
        <f>IFERROR(MATCH(SMALL(Cálculos!$AI$5:$AI$1000,175),Cálculos!$AI$5:$AI$1000,0)+4,"")</f>
        <v>155</v>
      </c>
    </row>
    <row r="180">
      <c r="A180" s="5" t="str">
        <f>IF($J180="","",INDEX('Detalle individual'!$B:$B,$J180))</f>
        <v>SOFIA SOLEDAD CASTRO VALLE</v>
      </c>
      <c r="B180" s="5" t="str">
        <f>IF($J180="","",INDEX('Detalle individual'!$A:$A,$J180))</f>
        <v>781</v>
      </c>
      <c r="C180" s="5" t="str">
        <f>IF($J180="","",INDEX('Detalle individual'!$E:$E,$J180))</f>
        <v>AUXILIAR DE CREDITOS</v>
      </c>
      <c r="D180" s="5" t="str">
        <f>IF($J180="","",INDEX('Detalle individual'!$C:$C,$J180))</f>
        <v>DEPARTAMENTO DE CREDITOS</v>
      </c>
      <c r="E180" s="5" t="str">
        <f>IF($J180="","",INDEX('Detalle individual'!$D:$D,$J180))</f>
        <v>Gerencia de Negocios</v>
      </c>
      <c r="F180" s="23">
        <f>IF($J180="","",INDEX('Detalle individual'!$H:$H,$J180))</f>
        <v>46304.444606481484</v>
      </c>
      <c r="G180" s="28">
        <f>IF($J180="","",INDEX('Detalle individual'!$J:$J,$J180))</f>
        <v>90</v>
      </c>
      <c r="H180" s="28">
        <f>IF($J180="","",INDEX('Detalle individual'!$L:$L,$J180))</f>
        <v>1</v>
      </c>
      <c r="J180">
        <f>IFERROR(MATCH(SMALL(Cálculos!$AI$5:$AI$1000,176),Cálculos!$AI$5:$AI$1000,0)+4,"")</f>
        <v>160</v>
      </c>
    </row>
    <row r="181">
      <c r="A181" s="5" t="str">
        <f>IF($J181="","",INDEX('Detalle individual'!$B:$B,$J181))</f>
        <v>YANETH HERNANDEZ YANES</v>
      </c>
      <c r="B181" s="5" t="str">
        <f>IF($J181="","",INDEX('Detalle individual'!$A:$A,$J181))</f>
        <v>730</v>
      </c>
      <c r="C181" s="5" t="str">
        <f>IF($J181="","",INDEX('Detalle individual'!$E:$E,$J181))</f>
        <v>JEFE DE CREDITOS</v>
      </c>
      <c r="D181" s="5" t="str">
        <f>IF($J181="","",INDEX('Detalle individual'!$C:$C,$J181))</f>
        <v>DEPARTAMENTO DE CREDITOS</v>
      </c>
      <c r="E181" s="5" t="str">
        <f>IF($J181="","",INDEX('Detalle individual'!$D:$D,$J181))</f>
        <v>Gerencia de Negocios</v>
      </c>
      <c r="F181" s="23">
        <f>IF($J181="","",INDEX('Detalle individual'!$H:$H,$J181))</f>
        <v>46305.56736111111</v>
      </c>
      <c r="G181" s="28">
        <f>IF($J181="","",INDEX('Detalle individual'!$J:$J,$J181))</f>
        <v>100</v>
      </c>
      <c r="H181" s="28">
        <f>IF($J181="","",INDEX('Detalle individual'!$L:$L,$J181))</f>
        <v>1</v>
      </c>
      <c r="J181">
        <f>IFERROR(MATCH(SMALL(Cálculos!$AI$5:$AI$1000,177),Cálculos!$AI$5:$AI$1000,0)+4,"")</f>
        <v>158</v>
      </c>
    </row>
    <row r="182">
      <c r="A182" s="5" t="str">
        <f>IF($J182="","",INDEX('Detalle individual'!$B:$B,$J182))</f>
        <v>ALEJANDRA ABIGAIL RAMIREZ ROMERO</v>
      </c>
      <c r="B182" s="5" t="str">
        <f>IF($J182="","",INDEX('Detalle individual'!$A:$A,$J182))</f>
        <v>982</v>
      </c>
      <c r="C182" s="5" t="str">
        <f>IF($J182="","",INDEX('Detalle individual'!$E:$E,$J182))</f>
        <v>DISEÑADOR GRAFICO</v>
      </c>
      <c r="D182" s="5" t="str">
        <f>IF($J182="","",INDEX('Detalle individual'!$C:$C,$J182))</f>
        <v>DEPARTAMENTO DE MERCADEO</v>
      </c>
      <c r="E182" s="5" t="str">
        <f>IF($J182="","",INDEX('Detalle individual'!$D:$D,$J182))</f>
        <v>Gerencia de Negocios</v>
      </c>
      <c r="F182" s="23">
        <f>IF($J182="","",INDEX('Detalle individual'!$H:$H,$J182))</f>
        <v>46301.64126157408</v>
      </c>
      <c r="G182" s="28">
        <f>IF($J182="","",INDEX('Detalle individual'!$J:$J,$J182))</f>
        <v>100</v>
      </c>
      <c r="H182" s="28">
        <f>IF($J182="","",INDEX('Detalle individual'!$L:$L,$J182))</f>
        <v>1</v>
      </c>
      <c r="J182">
        <f>IFERROR(MATCH(SMALL(Cálculos!$AI$5:$AI$1000,178),Cálculos!$AI$5:$AI$1000,0)+4,"")</f>
        <v>151</v>
      </c>
    </row>
    <row r="183">
      <c r="A183" s="5" t="str">
        <f>IF($J183="","",INDEX('Detalle individual'!$B:$B,$J183))</f>
        <v>CARMEN MARIA GUTIERREZ ESTRADA</v>
      </c>
      <c r="B183" s="5" t="str">
        <f>IF($J183="","",INDEX('Detalle individual'!$A:$A,$J183))</f>
        <v>591</v>
      </c>
      <c r="C183" s="5" t="str">
        <f>IF($J183="","",INDEX('Detalle individual'!$E:$E,$J183))</f>
        <v>JEFE DE MERCADEO</v>
      </c>
      <c r="D183" s="5" t="str">
        <f>IF($J183="","",INDEX('Detalle individual'!$C:$C,$J183))</f>
        <v>DEPARTAMENTO DE MERCADEO</v>
      </c>
      <c r="E183" s="5" t="str">
        <f>IF($J183="","",INDEX('Detalle individual'!$D:$D,$J183))</f>
        <v>Gerencia de Negocios</v>
      </c>
      <c r="F183" s="23">
        <f>IF($J183="","",INDEX('Detalle individual'!$H:$H,$J183))</f>
        <v>46310.66862268518</v>
      </c>
      <c r="G183" s="28">
        <f>IF($J183="","",INDEX('Detalle individual'!$J:$J,$J183))</f>
        <v>80</v>
      </c>
      <c r="H183" s="28">
        <f>IF($J183="","",INDEX('Detalle individual'!$L:$L,$J183))</f>
        <v>1</v>
      </c>
      <c r="J183">
        <f>IFERROR(MATCH(SMALL(Cálculos!$AI$5:$AI$1000,179),Cálculos!$AI$5:$AI$1000,0)+4,"")</f>
        <v>147</v>
      </c>
    </row>
    <row r="184">
      <c r="A184" s="5" t="str">
        <f>IF($J184="","",INDEX('Detalle individual'!$B:$B,$J184))</f>
        <v>GERARDO ALEXANDER MARTINEZ RIVERA</v>
      </c>
      <c r="B184" s="5" t="str">
        <f>IF($J184="","",INDEX('Detalle individual'!$A:$A,$J184))</f>
        <v>897</v>
      </c>
      <c r="C184" s="5" t="str">
        <f>IF($J184="","",INDEX('Detalle individual'!$E:$E,$J184))</f>
        <v>ANALISTA DE COMUNICACIONES</v>
      </c>
      <c r="D184" s="5" t="str">
        <f>IF($J184="","",INDEX('Detalle individual'!$C:$C,$J184))</f>
        <v>DEPARTAMENTO DE MERCADEO</v>
      </c>
      <c r="E184" s="5" t="str">
        <f>IF($J184="","",INDEX('Detalle individual'!$D:$D,$J184))</f>
        <v>Gerencia de Negocios</v>
      </c>
      <c r="F184" s="23">
        <f>IF($J184="","",INDEX('Detalle individual'!$H:$H,$J184))</f>
        <v>46311.45481481482</v>
      </c>
      <c r="G184" s="28">
        <f>IF($J184="","",INDEX('Detalle individual'!$J:$J,$J184))</f>
        <v>100</v>
      </c>
      <c r="H184" s="28">
        <f>IF($J184="","",INDEX('Detalle individual'!$L:$L,$J184))</f>
        <v>1</v>
      </c>
      <c r="J184">
        <f>IFERROR(MATCH(SMALL(Cálculos!$AI$5:$AI$1000,180),Cálculos!$AI$5:$AI$1000,0)+4,"")</f>
        <v>150</v>
      </c>
    </row>
    <row r="185">
      <c r="A185" s="5" t="str">
        <f>IF($J185="","",INDEX('Detalle individual'!$B:$B,$J185))</f>
        <v>IVONNE LISSETH DE JESUS RODRIGUEZ FLORES</v>
      </c>
      <c r="B185" s="5" t="str">
        <f>IF($J185="","",INDEX('Detalle individual'!$A:$A,$J185))</f>
        <v>219</v>
      </c>
      <c r="C185" s="5" t="str">
        <f>IF($J185="","",INDEX('Detalle individual'!$E:$E,$J185))</f>
        <v>ASISTENTE TELEMARKETING</v>
      </c>
      <c r="D185" s="5" t="str">
        <f>IF($J185="","",INDEX('Detalle individual'!$C:$C,$J185))</f>
        <v>DEPARTAMENTO DE MERCADEO</v>
      </c>
      <c r="E185" s="5" t="str">
        <f>IF($J185="","",INDEX('Detalle individual'!$D:$D,$J185))</f>
        <v>Gerencia de Negocios</v>
      </c>
      <c r="F185" s="23">
        <f>IF($J185="","",INDEX('Detalle individual'!$H:$H,$J185))</f>
        <v>46308.39677083334</v>
      </c>
      <c r="G185" s="28">
        <f>IF($J185="","",INDEX('Detalle individual'!$J:$J,$J185))</f>
        <v>95</v>
      </c>
      <c r="H185" s="28">
        <f>IF($J185="","",INDEX('Detalle individual'!$L:$L,$J185))</f>
        <v>1</v>
      </c>
      <c r="J185">
        <f>IFERROR(MATCH(SMALL(Cálculos!$AI$5:$AI$1000,181),Cálculos!$AI$5:$AI$1000,0)+4,"")</f>
        <v>145</v>
      </c>
    </row>
    <row r="186">
      <c r="A186" s="5" t="str">
        <f>IF($J186="","",INDEX('Detalle individual'!$B:$B,$J186))</f>
        <v>JOSE CARLOS IRENEO HERNANDEZ RODRIGUEZ</v>
      </c>
      <c r="B186" s="5" t="str">
        <f>IF($J186="","",INDEX('Detalle individual'!$A:$A,$J186))</f>
        <v>361</v>
      </c>
      <c r="C186" s="5" t="str">
        <f>IF($J186="","",INDEX('Detalle individual'!$E:$E,$J186))</f>
        <v>ASISTENTE TECNICO DE MERCADEO</v>
      </c>
      <c r="D186" s="5" t="str">
        <f>IF($J186="","",INDEX('Detalle individual'!$C:$C,$J186))</f>
        <v>DEPARTAMENTO DE MERCADEO</v>
      </c>
      <c r="E186" s="5" t="str">
        <f>IF($J186="","",INDEX('Detalle individual'!$D:$D,$J186))</f>
        <v>Gerencia de Negocios</v>
      </c>
      <c r="F186" s="23">
        <f>IF($J186="","",INDEX('Detalle individual'!$H:$H,$J186))</f>
        <v>46311.418587962966</v>
      </c>
      <c r="G186" s="28">
        <f>IF($J186="","",INDEX('Detalle individual'!$J:$J,$J186))</f>
        <v>95</v>
      </c>
      <c r="H186" s="28">
        <f>IF($J186="","",INDEX('Detalle individual'!$L:$L,$J186))</f>
        <v>1</v>
      </c>
      <c r="J186">
        <f>IFERROR(MATCH(SMALL(Cálculos!$AI$5:$AI$1000,182),Cálculos!$AI$5:$AI$1000,0)+4,"")</f>
        <v>146</v>
      </c>
    </row>
    <row r="187">
      <c r="A187" s="5" t="str">
        <f>IF($J187="","",INDEX('Detalle individual'!$B:$B,$J187))</f>
        <v>MARIA ALEJANDRA BATRES ALVARADO</v>
      </c>
      <c r="B187" s="5" t="str">
        <f>IF($J187="","",INDEX('Detalle individual'!$A:$A,$J187))</f>
        <v>895</v>
      </c>
      <c r="C187" s="5" t="str">
        <f>IF($J187="","",INDEX('Detalle individual'!$E:$E,$J187))</f>
        <v>DISEÑADOR GRAFICO</v>
      </c>
      <c r="D187" s="5" t="str">
        <f>IF($J187="","",INDEX('Detalle individual'!$C:$C,$J187))</f>
        <v>DEPARTAMENTO DE MERCADEO</v>
      </c>
      <c r="E187" s="5" t="str">
        <f>IF($J187="","",INDEX('Detalle individual'!$D:$D,$J187))</f>
        <v>Gerencia de Negocios</v>
      </c>
      <c r="F187" s="23">
        <f>IF($J187="","",INDEX('Detalle individual'!$H:$H,$J187))</f>
        <v>46311.42974537037</v>
      </c>
      <c r="G187" s="28">
        <f>IF($J187="","",INDEX('Detalle individual'!$J:$J,$J187))</f>
        <v>100</v>
      </c>
      <c r="H187" s="28">
        <f>IF($J187="","",INDEX('Detalle individual'!$L:$L,$J187))</f>
        <v>1</v>
      </c>
      <c r="J187">
        <f>IFERROR(MATCH(SMALL(Cálculos!$AI$5:$AI$1000,183),Cálculos!$AI$5:$AI$1000,0)+4,"")</f>
        <v>149</v>
      </c>
    </row>
    <row r="188">
      <c r="A188" s="5" t="str">
        <f>IF($J188="","",INDEX('Detalle individual'!$B:$B,$J188))</f>
        <v>CARLOS ALEXANDER ROMERO ROMERO</v>
      </c>
      <c r="B188" s="5" t="str">
        <f>IF($J188="","",INDEX('Detalle individual'!$A:$A,$J188))</f>
        <v>639</v>
      </c>
      <c r="C188" s="5" t="str">
        <f>IF($J188="","",INDEX('Detalle individual'!$E:$E,$J188))</f>
        <v>GESTOR DE CARTERA DE SEGUROS</v>
      </c>
      <c r="D188" s="5" t="str">
        <f>IF($J188="","",INDEX('Detalle individual'!$C:$C,$J188))</f>
        <v>DEPARTAMENTO DE SEGUROS</v>
      </c>
      <c r="E188" s="5" t="str">
        <f>IF($J188="","",INDEX('Detalle individual'!$D:$D,$J188))</f>
        <v>Gerencia de Negocios</v>
      </c>
      <c r="F188" s="23">
        <f>IF($J188="","",INDEX('Detalle individual'!$H:$H,$J188))</f>
        <v>46305.51787037037</v>
      </c>
      <c r="G188" s="28">
        <f>IF($J188="","",INDEX('Detalle individual'!$J:$J,$J188))</f>
        <v>100</v>
      </c>
      <c r="H188" s="28">
        <f>IF($J188="","",INDEX('Detalle individual'!$L:$L,$J188))</f>
        <v>1</v>
      </c>
      <c r="J188">
        <f>IFERROR(MATCH(SMALL(Cálculos!$AI$5:$AI$1000,184),Cálculos!$AI$5:$AI$1000,0)+4,"")</f>
        <v>167</v>
      </c>
    </row>
    <row r="189">
      <c r="A189" s="5" t="str">
        <f>IF($J189="","",INDEX('Detalle individual'!$B:$B,$J189))</f>
        <v>CLAUDIA MARISOL MADRID BARRIENTOS</v>
      </c>
      <c r="B189" s="5" t="str">
        <f>IF($J189="","",INDEX('Detalle individual'!$A:$A,$J189))</f>
        <v>544</v>
      </c>
      <c r="C189" s="5" t="str">
        <f>IF($J189="","",INDEX('Detalle individual'!$E:$E,$J189))</f>
        <v>GESTOR DE RECLAMOS Y SUSCRIPCIONES</v>
      </c>
      <c r="D189" s="5" t="str">
        <f>IF($J189="","",INDEX('Detalle individual'!$C:$C,$J189))</f>
        <v>DEPARTAMENTO DE SEGUROS</v>
      </c>
      <c r="E189" s="5" t="str">
        <f>IF($J189="","",INDEX('Detalle individual'!$D:$D,$J189))</f>
        <v>Gerencia de Negocios</v>
      </c>
      <c r="F189" s="23">
        <f>IF($J189="","",INDEX('Detalle individual'!$H:$H,$J189))</f>
        <v>46309.43305555556</v>
      </c>
      <c r="G189" s="28">
        <f>IF($J189="","",INDEX('Detalle individual'!$J:$J,$J189))</f>
        <v>90</v>
      </c>
      <c r="H189" s="28">
        <f>IF($J189="","",INDEX('Detalle individual'!$L:$L,$J189))</f>
        <v>1</v>
      </c>
      <c r="J189">
        <f>IFERROR(MATCH(SMALL(Cálculos!$AI$5:$AI$1000,185),Cálculos!$AI$5:$AI$1000,0)+4,"")</f>
        <v>165</v>
      </c>
    </row>
    <row r="190">
      <c r="A190" s="5" t="str">
        <f>IF($J190="","",INDEX('Detalle individual'!$B:$B,$J190))</f>
        <v>CLELIA LIZETH ORTIZ GALDAMEZ</v>
      </c>
      <c r="B190" s="5" t="str">
        <f>IF($J190="","",INDEX('Detalle individual'!$A:$A,$J190))</f>
        <v>589</v>
      </c>
      <c r="C190" s="5" t="str">
        <f>IF($J190="","",INDEX('Detalle individual'!$E:$E,$J190))</f>
        <v>AUXILIAR DE ADMINISTRACION DE SEGUROS</v>
      </c>
      <c r="D190" s="5" t="str">
        <f>IF($J190="","",INDEX('Detalle individual'!$C:$C,$J190))</f>
        <v>DEPARTAMENTO DE SEGUROS</v>
      </c>
      <c r="E190" s="5" t="str">
        <f>IF($J190="","",INDEX('Detalle individual'!$D:$D,$J190))</f>
        <v>Gerencia de Negocios</v>
      </c>
      <c r="F190" s="23">
        <f>IF($J190="","",INDEX('Detalle individual'!$H:$H,$J190))</f>
        <v>46301.68011574074</v>
      </c>
      <c r="G190" s="28">
        <f>IF($J190="","",INDEX('Detalle individual'!$J:$J,$J190))</f>
        <v>90</v>
      </c>
      <c r="H190" s="28">
        <f>IF($J190="","",INDEX('Detalle individual'!$L:$L,$J190))</f>
        <v>1</v>
      </c>
      <c r="J190">
        <f>IFERROR(MATCH(SMALL(Cálculos!$AI$5:$AI$1000,186),Cálculos!$AI$5:$AI$1000,0)+4,"")</f>
        <v>166</v>
      </c>
    </row>
    <row r="191">
      <c r="A191" s="5" t="str">
        <f>IF($J191="","",INDEX('Detalle individual'!$B:$B,$J191))</f>
        <v>HENRY OSWALDO PINEDA GARCIA</v>
      </c>
      <c r="B191" s="5" t="str">
        <f>IF($J191="","",INDEX('Detalle individual'!$A:$A,$J191))</f>
        <v>894</v>
      </c>
      <c r="C191" s="5" t="str">
        <f>IF($J191="","",INDEX('Detalle individual'!$E:$E,$J191))</f>
        <v>EJECUTIVO MOVIL DE SEGUROS</v>
      </c>
      <c r="D191" s="5" t="str">
        <f>IF($J191="","",INDEX('Detalle individual'!$C:$C,$J191))</f>
        <v>DEPARTAMENTO DE SEGUROS</v>
      </c>
      <c r="E191" s="5" t="str">
        <f>IF($J191="","",INDEX('Detalle individual'!$D:$D,$J191))</f>
        <v>Gerencia de Negocios</v>
      </c>
      <c r="F191" s="23">
        <f>IF($J191="","",INDEX('Detalle individual'!$H:$H,$J191))</f>
        <v>46296.431875</v>
      </c>
      <c r="G191" s="28">
        <f>IF($J191="","",INDEX('Detalle individual'!$J:$J,$J191))</f>
        <v>100</v>
      </c>
      <c r="H191" s="28">
        <f>IF($J191="","",INDEX('Detalle individual'!$L:$L,$J191))</f>
        <v>2</v>
      </c>
      <c r="J191">
        <f>IFERROR(MATCH(SMALL(Cálculos!$AI$5:$AI$1000,187),Cálculos!$AI$5:$AI$1000,0)+4,"")</f>
        <v>175</v>
      </c>
    </row>
    <row r="192">
      <c r="A192" s="5" t="str">
        <f>IF($J192="","",INDEX('Detalle individual'!$B:$B,$J192))</f>
        <v>JENNIFER BETSABE MARAVILLA MORENO</v>
      </c>
      <c r="B192" s="5" t="str">
        <f>IF($J192="","",INDEX('Detalle individual'!$A:$A,$J192))</f>
        <v>869</v>
      </c>
      <c r="C192" s="5" t="str">
        <f>IF($J192="","",INDEX('Detalle individual'!$E:$E,$J192))</f>
        <v>EJECUTIVO DE VENTA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23">
        <f>IF($J192="","",INDEX('Detalle individual'!$H:$H,$J192))</f>
        <v>46296.68630787037</v>
      </c>
      <c r="G192" s="28">
        <f>IF($J192="","",INDEX('Detalle individual'!$J:$J,$J192))</f>
        <v>100</v>
      </c>
      <c r="H192" s="28">
        <f>IF($J192="","",INDEX('Detalle individual'!$L:$L,$J192))</f>
        <v>1</v>
      </c>
      <c r="J192">
        <f>IFERROR(MATCH(SMALL(Cálculos!$AI$5:$AI$1000,188),Cálculos!$AI$5:$AI$1000,0)+4,"")</f>
        <v>174</v>
      </c>
    </row>
    <row r="193">
      <c r="A193" s="5" t="str">
        <f>IF($J193="","",INDEX('Detalle individual'!$B:$B,$J193))</f>
        <v>JENNYFER AYLIN ESCOBAR ZAMORA</v>
      </c>
      <c r="B193" s="5" t="str">
        <f>IF($J193="","",INDEX('Detalle individual'!$A:$A,$J193))</f>
        <v>792</v>
      </c>
      <c r="C193" s="5" t="str">
        <f>IF($J193="","",INDEX('Detalle individual'!$E:$E,$J193))</f>
        <v>COORDINADOR COMERCIAL DE SEGUROS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23">
        <f>IF($J193="","",INDEX('Detalle individual'!$H:$H,$J193))</f>
        <v>46309.485625</v>
      </c>
      <c r="G193" s="28">
        <f>IF($J193="","",INDEX('Detalle individual'!$J:$J,$J193))</f>
        <v>100</v>
      </c>
      <c r="H193" s="28">
        <f>IF($J193="","",INDEX('Detalle individual'!$L:$L,$J193))</f>
        <v>1</v>
      </c>
      <c r="J193">
        <f>IFERROR(MATCH(SMALL(Cálculos!$AI$5:$AI$1000,189),Cálculos!$AI$5:$AI$1000,0)+4,"")</f>
        <v>170</v>
      </c>
    </row>
    <row r="194">
      <c r="A194" s="5" t="str">
        <f>IF($J194="","",INDEX('Detalle individual'!$B:$B,$J194))</f>
        <v>JUANA HAZEL GARCIA COREAS</v>
      </c>
      <c r="B194" s="5" t="str">
        <f>IF($J194="","",INDEX('Detalle individual'!$A:$A,$J194))</f>
        <v>805</v>
      </c>
      <c r="C194" s="5" t="str">
        <f>IF($J194="","",INDEX('Detalle individual'!$E:$E,$J194))</f>
        <v>EJECUTIVO DE VENTA DE SEGUROS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23">
        <f>IF($J194="","",INDEX('Detalle individual'!$H:$H,$J194))</f>
        <v>46309.48584490741</v>
      </c>
      <c r="G194" s="28">
        <f>IF($J194="","",INDEX('Detalle individual'!$J:$J,$J194))</f>
        <v>100</v>
      </c>
      <c r="H194" s="28">
        <f>IF($J194="","",INDEX('Detalle individual'!$L:$L,$J194))</f>
        <v>1</v>
      </c>
      <c r="J194">
        <f>IFERROR(MATCH(SMALL(Cálculos!$AI$5:$AI$1000,190),Cálculos!$AI$5:$AI$1000,0)+4,"")</f>
        <v>173</v>
      </c>
    </row>
    <row r="195">
      <c r="A195" s="5" t="str">
        <f>IF($J195="","",INDEX('Detalle individual'!$B:$B,$J195))</f>
        <v>KRIZIA BETSABE FLORES MARTINEZ</v>
      </c>
      <c r="B195" s="5" t="str">
        <f>IF($J195="","",INDEX('Detalle individual'!$A:$A,$J195))</f>
        <v>793</v>
      </c>
      <c r="C195" s="5" t="str">
        <f>IF($J195="","",INDEX('Detalle individual'!$E:$E,$J195))</f>
        <v>JEFE DE SEGUROS</v>
      </c>
      <c r="D195" s="5" t="str">
        <f>IF($J195="","",INDEX('Detalle individual'!$C:$C,$J195))</f>
        <v>DEPARTAMENTO DE SEGUROS</v>
      </c>
      <c r="E195" s="5" t="str">
        <f>IF($J195="","",INDEX('Detalle individual'!$D:$D,$J195))</f>
        <v>Gerencia de Negocios</v>
      </c>
      <c r="F195" s="23">
        <f>IF($J195="","",INDEX('Detalle individual'!$H:$H,$J195))</f>
        <v>46297.49109953704</v>
      </c>
      <c r="G195" s="28">
        <f>IF($J195="","",INDEX('Detalle individual'!$J:$J,$J195))</f>
        <v>90</v>
      </c>
      <c r="H195" s="28">
        <f>IF($J195="","",INDEX('Detalle individual'!$L:$L,$J195))</f>
        <v>1</v>
      </c>
      <c r="J195">
        <f>IFERROR(MATCH(SMALL(Cálculos!$AI$5:$AI$1000,191),Cálculos!$AI$5:$AI$1000,0)+4,"")</f>
        <v>171</v>
      </c>
    </row>
    <row r="196">
      <c r="A196" s="5" t="str">
        <f>IF($J196="","",INDEX('Detalle individual'!$B:$B,$J196))</f>
        <v>LISSETTE MARICELA SANCHEZ MOLINA</v>
      </c>
      <c r="B196" s="5" t="str">
        <f>IF($J196="","",INDEX('Detalle individual'!$A:$A,$J196))</f>
        <v>643</v>
      </c>
      <c r="C196" s="5" t="str">
        <f>IF($J196="","",INDEX('Detalle individual'!$E:$E,$J196))</f>
        <v>ASISTENTE DE SEGUROS</v>
      </c>
      <c r="D196" s="5" t="str">
        <f>IF($J196="","",INDEX('Detalle individual'!$C:$C,$J196))</f>
        <v>DEPARTAMENTO DE SEGUROS</v>
      </c>
      <c r="E196" s="5" t="str">
        <f>IF($J196="","",INDEX('Detalle individual'!$D:$D,$J196))</f>
        <v>Gerencia de Negocios</v>
      </c>
      <c r="F196" s="23">
        <f>IF($J196="","",INDEX('Detalle individual'!$H:$H,$J196))</f>
        <v>46309.639328703706</v>
      </c>
      <c r="G196" s="28">
        <f>IF($J196="","",INDEX('Detalle individual'!$J:$J,$J196))</f>
        <v>100</v>
      </c>
      <c r="H196" s="28">
        <f>IF($J196="","",INDEX('Detalle individual'!$L:$L,$J196))</f>
        <v>1</v>
      </c>
      <c r="J196">
        <f>IFERROR(MATCH(SMALL(Cálculos!$AI$5:$AI$1000,192),Cálculos!$AI$5:$AI$1000,0)+4,"")</f>
        <v>168</v>
      </c>
    </row>
    <row r="197">
      <c r="A197" s="5" t="str">
        <f>IF($J197="","",INDEX('Detalle individual'!$B:$B,$J197))</f>
        <v>RAUL ERNESTO PALACIOS LANDAVERDE</v>
      </c>
      <c r="B197" s="5" t="str">
        <f>IF($J197="","",INDEX('Detalle individual'!$A:$A,$J197))</f>
        <v>689</v>
      </c>
      <c r="C197" s="5" t="str">
        <f>IF($J197="","",INDEX('Detalle individual'!$E:$E,$J197))</f>
        <v>TECNICO DEL SEGURO DE SALUD</v>
      </c>
      <c r="D197" s="5" t="str">
        <f>IF($J197="","",INDEX('Detalle individual'!$C:$C,$J197))</f>
        <v>DEPARTAMENTO DE SEGUROS</v>
      </c>
      <c r="E197" s="5" t="str">
        <f>IF($J197="","",INDEX('Detalle individual'!$D:$D,$J197))</f>
        <v>Gerencia de Negocios</v>
      </c>
      <c r="F197" s="23">
        <f>IF($J197="","",INDEX('Detalle individual'!$H:$H,$J197))</f>
        <v>46296.46570601852</v>
      </c>
      <c r="G197" s="28">
        <f>IF($J197="","",INDEX('Detalle individual'!$J:$J,$J197))</f>
        <v>100</v>
      </c>
      <c r="H197" s="28">
        <f>IF($J197="","",INDEX('Detalle individual'!$L:$L,$J197))</f>
        <v>1</v>
      </c>
      <c r="J197">
        <f>IFERROR(MATCH(SMALL(Cálculos!$AI$5:$AI$1000,193),Cálculos!$AI$5:$AI$1000,0)+4,"")</f>
        <v>169</v>
      </c>
    </row>
    <row r="198">
      <c r="A198" s="5" t="str">
        <f>IF($J198="","",INDEX('Detalle individual'!$B:$B,$J198))</f>
        <v>HECTOR JOSE MENJIVAR SOMOZA</v>
      </c>
      <c r="B198" s="5" t="str">
        <f>IF($J198="","",INDEX('Detalle individual'!$A:$A,$J198))</f>
        <v>583</v>
      </c>
      <c r="C198" s="5" t="str">
        <f>IF($J198="","",INDEX('Detalle individual'!$E:$E,$J198))</f>
        <v>ANALISTA DE INTELIGENCIA DE NEGOCIOS</v>
      </c>
      <c r="D198" s="5" t="str">
        <f>IF($J198="","",INDEX('Detalle individual'!$C:$C,$J198))</f>
        <v>GERENCIA DE NEGOCIOS</v>
      </c>
      <c r="E198" s="5" t="str">
        <f>IF($J198="","",INDEX('Detalle individual'!$D:$D,$J198))</f>
        <v>Gerencia de Negocios</v>
      </c>
      <c r="F198" s="23">
        <f>IF($J198="","",INDEX('Detalle individual'!$H:$H,$J198))</f>
        <v>46296.48710648148</v>
      </c>
      <c r="G198" s="28">
        <f>IF($J198="","",INDEX('Detalle individual'!$J:$J,$J198))</f>
        <v>100</v>
      </c>
      <c r="H198" s="28">
        <f>IF($J198="","",INDEX('Detalle individual'!$L:$L,$J198))</f>
        <v>1</v>
      </c>
      <c r="J198">
        <f>IFERROR(MATCH(SMALL(Cálculos!$AI$5:$AI$1000,194),Cálculos!$AI$5:$AI$1000,0)+4,"")</f>
        <v>136</v>
      </c>
    </row>
    <row r="199">
      <c r="A199" s="5" t="str">
        <f>IF($J199="","",INDEX('Detalle individual'!$B:$B,$J199))</f>
        <v>JOSE HUMBERTO BARILLAS BURGOS</v>
      </c>
      <c r="B199" s="5" t="str">
        <f>IF($J199="","",INDEX('Detalle individual'!$A:$A,$J199))</f>
        <v>741</v>
      </c>
      <c r="C199" s="5" t="str">
        <f>IF($J199="","",INDEX('Detalle individual'!$E:$E,$J199))</f>
        <v>GERENTE DE NEGOCIOS</v>
      </c>
      <c r="D199" s="5" t="str">
        <f>IF($J199="","",INDEX('Detalle individual'!$C:$C,$J199))</f>
        <v>GERENCIA DE NEGOCIOS</v>
      </c>
      <c r="E199" s="5" t="str">
        <f>IF($J199="","",INDEX('Detalle individual'!$D:$D,$J199))</f>
        <v>Gerencia de Negocios</v>
      </c>
      <c r="F199" s="23">
        <f>IF($J199="","",INDEX('Detalle individual'!$H:$H,$J199))</f>
        <v>46310.61981481482</v>
      </c>
      <c r="G199" s="28">
        <f>IF($J199="","",INDEX('Detalle individual'!$J:$J,$J199))</f>
        <v>100</v>
      </c>
      <c r="H199" s="28">
        <f>IF($J199="","",INDEX('Detalle individual'!$L:$L,$J199))</f>
        <v>1</v>
      </c>
      <c r="J199">
        <f>IFERROR(MATCH(SMALL(Cálculos!$AI$5:$AI$1000,195),Cálculos!$AI$5:$AI$1000,0)+4,"")</f>
        <v>11</v>
      </c>
    </row>
    <row r="200">
      <c r="A200" s="5" t="str">
        <f>IF($J200="","",INDEX('Detalle individual'!$B:$B,$J200))</f>
        <v>VICTOR ADONAY PEREZ CASTILLO</v>
      </c>
      <c r="B200" s="5" t="str">
        <f>IF($J200="","",INDEX('Detalle individual'!$A:$A,$J200))</f>
        <v>633</v>
      </c>
      <c r="C200" s="5" t="str">
        <f>IF($J200="","",INDEX('Detalle individual'!$E:$E,$J200))</f>
        <v>ASISTENTE PARA CANALES ELECTRONICOS Y OPERACIONES EN AGENCIA</v>
      </c>
      <c r="D200" s="5" t="str">
        <f>IF($J200="","",INDEX('Detalle individual'!$C:$C,$J200))</f>
        <v>GERENCIA DE NEGOCIOS</v>
      </c>
      <c r="E200" s="5" t="str">
        <f>IF($J200="","",INDEX('Detalle individual'!$D:$D,$J200))</f>
        <v>Gerencia de Negocios</v>
      </c>
      <c r="F200" s="23">
        <f>IF($J200="","",INDEX('Detalle individual'!$H:$H,$J200))</f>
        <v>46296.453680555554</v>
      </c>
      <c r="G200" s="28">
        <f>IF($J200="","",INDEX('Detalle individual'!$J:$J,$J200))</f>
        <v>100</v>
      </c>
      <c r="H200" s="28">
        <f>IF($J200="","",INDEX('Detalle individual'!$L:$L,$J200))</f>
        <v>2</v>
      </c>
      <c r="J200">
        <f>IFERROR(MATCH(SMALL(Cálculos!$AI$5:$AI$1000,196),Cálculos!$AI$5:$AI$1000,0)+4,"")</f>
        <v>137</v>
      </c>
    </row>
    <row r="201">
      <c r="A201" s="5" t="str">
        <f>IF($J201="","",INDEX('Detalle individual'!$B:$B,$J201))</f>
        <v>WANDA ILIANA MORENO QUINTEROS</v>
      </c>
      <c r="B201" s="5" t="str">
        <f>IF($J201="","",INDEX('Detalle individual'!$A:$A,$J201))</f>
        <v>782</v>
      </c>
      <c r="C201" s="5" t="str">
        <f>IF($J201="","",INDEX('Detalle individual'!$E:$E,$J201))</f>
        <v>ADMINISTRADOR DE PLATAFORMAS Y TRANSFORMACION DIGITAL DE CRE</v>
      </c>
      <c r="D201" s="5" t="str">
        <f>IF($J201="","",INDEX('Detalle individual'!$C:$C,$J201))</f>
        <v>GERENCIA DE NEGOCIOS</v>
      </c>
      <c r="E201" s="5" t="str">
        <f>IF($J201="","",INDEX('Detalle individual'!$D:$D,$J201))</f>
        <v>Gerencia de Negocios</v>
      </c>
      <c r="F201" s="23">
        <f>IF($J201="","",INDEX('Detalle individual'!$H:$H,$J201))</f>
        <v>46301.440300925926</v>
      </c>
      <c r="G201" s="28">
        <f>IF($J201="","",INDEX('Detalle individual'!$J:$J,$J201))</f>
        <v>100</v>
      </c>
      <c r="H201" s="28">
        <f>IF($J201="","",INDEX('Detalle individual'!$L:$L,$J201))</f>
        <v>1</v>
      </c>
      <c r="J201">
        <f>IFERROR(MATCH(SMALL(Cálculos!$AI$5:$AI$1000,197),Cálculos!$AI$5:$AI$1000,0)+4,"")</f>
        <v>138</v>
      </c>
    </row>
    <row r="202">
      <c r="A202" s="5" t="str">
        <f>IF($J202="","",INDEX('Detalle individual'!$B:$B,$J202))</f>
        <v>JUAN CARLOS AGUILAR ASCENCIO</v>
      </c>
      <c r="B202" s="5" t="str">
        <f>IF($J202="","",INDEX('Detalle individual'!$A:$A,$J202))</f>
        <v>581</v>
      </c>
      <c r="C202" s="5" t="str">
        <f>IF($J202="","",INDEX('Detalle individual'!$E:$E,$J202))</f>
        <v>CAJERO MOVIL</v>
      </c>
      <c r="D202" s="5" t="str">
        <f>IF($J202="","",INDEX('Detalle individual'!$C:$C,$J202))</f>
        <v>SUB GERENCIA DE CANALES</v>
      </c>
      <c r="E202" s="5" t="str">
        <f>IF($J202="","",INDEX('Detalle individual'!$D:$D,$J202))</f>
        <v>Gerencia de Negocios</v>
      </c>
      <c r="F202" s="23">
        <f>IF($J202="","",INDEX('Detalle individual'!$H:$H,$J202))</f>
        <v>46309.67239583333</v>
      </c>
      <c r="G202" s="28">
        <f>IF($J202="","",INDEX('Detalle individual'!$J:$J,$J202))</f>
        <v>100</v>
      </c>
      <c r="H202" s="28">
        <f>IF($J202="","",INDEX('Detalle individual'!$L:$L,$J202))</f>
        <v>1</v>
      </c>
      <c r="J202">
        <f>IFERROR(MATCH(SMALL(Cálculos!$AI$5:$AI$1000,198),Cálculos!$AI$5:$AI$1000,0)+4,"")</f>
        <v>185</v>
      </c>
    </row>
    <row r="203">
      <c r="A203" s="5" t="str">
        <f>IF($J203="","",INDEX('Detalle individual'!$B:$B,$J203))</f>
        <v>LUIS FERNANDO MORAN GARCIA</v>
      </c>
      <c r="B203" s="5" t="str">
        <f>IF($J203="","",INDEX('Detalle individual'!$A:$A,$J203))</f>
        <v>651</v>
      </c>
      <c r="C203" s="5" t="str">
        <f>IF($J203="","",INDEX('Detalle individual'!$E:$E,$J203))</f>
        <v>JEFE MOVIL DE AGENCIAS</v>
      </c>
      <c r="D203" s="5" t="str">
        <f>IF($J203="","",INDEX('Detalle individual'!$C:$C,$J203))</f>
        <v>SUB GERENCIA DE CANALES</v>
      </c>
      <c r="E203" s="5" t="str">
        <f>IF($J203="","",INDEX('Detalle individual'!$D:$D,$J203))</f>
        <v>Gerencia de Negocios</v>
      </c>
      <c r="F203" s="23">
        <f>IF($J203="","",INDEX('Detalle individual'!$H:$H,$J203))</f>
        <v>46309.67240740741</v>
      </c>
      <c r="G203" s="28">
        <f>IF($J203="","",INDEX('Detalle individual'!$J:$J,$J203))</f>
        <v>100</v>
      </c>
      <c r="H203" s="28">
        <f>IF($J203="","",INDEX('Detalle individual'!$L:$L,$J203))</f>
        <v>1</v>
      </c>
      <c r="J203">
        <f>IFERROR(MATCH(SMALL(Cálculos!$AI$5:$AI$1000,199),Cálculos!$AI$5:$AI$1000,0)+4,"")</f>
        <v>187</v>
      </c>
    </row>
    <row r="204">
      <c r="A204" s="5" t="str">
        <f>IF($J204="","",INDEX('Detalle individual'!$B:$B,$J204))</f>
        <v>LUIS MARCELO CRUZ VIGIL</v>
      </c>
      <c r="B204" s="5" t="str">
        <f>IF($J204="","",INDEX('Detalle individual'!$A:$A,$J204))</f>
        <v>215</v>
      </c>
      <c r="C204" s="5" t="str">
        <f>IF($J204="","",INDEX('Detalle individual'!$E:$E,$J204))</f>
        <v>SUB GERENTE DE CANALES</v>
      </c>
      <c r="D204" s="5" t="str">
        <f>IF($J204="","",INDEX('Detalle individual'!$C:$C,$J204))</f>
        <v>SUB GERENCIA DE CANALES</v>
      </c>
      <c r="E204" s="5" t="str">
        <f>IF($J204="","",INDEX('Detalle individual'!$D:$D,$J204))</f>
        <v>Gerencia de Negocios</v>
      </c>
      <c r="F204" s="23">
        <f>IF($J204="","",INDEX('Detalle individual'!$H:$H,$J204))</f>
        <v>46300.41096064815</v>
      </c>
      <c r="G204" s="28">
        <f>IF($J204="","",INDEX('Detalle individual'!$J:$J,$J204))</f>
        <v>100</v>
      </c>
      <c r="H204" s="28">
        <f>IF($J204="","",INDEX('Detalle individual'!$L:$L,$J204))</f>
        <v>1</v>
      </c>
      <c r="J204">
        <f>IFERROR(MATCH(SMALL(Cálculos!$AI$5:$AI$1000,200),Cálculos!$AI$5:$AI$1000,0)+4,"")</f>
        <v>184</v>
      </c>
    </row>
    <row r="205">
      <c r="A205" s="5" t="str">
        <f>IF($J205="","",INDEX('Detalle individual'!$B:$B,$J205))</f>
        <v>NANCY ROCIO MENJIVAR RIVAS</v>
      </c>
      <c r="B205" s="5" t="str">
        <f>IF($J205="","",INDEX('Detalle individual'!$A:$A,$J205))</f>
        <v>585</v>
      </c>
      <c r="C205" s="5" t="str">
        <f>IF($J205="","",INDEX('Detalle individual'!$E:$E,$J205))</f>
        <v>EJECUTIVO MOVIL DE SEGUROS</v>
      </c>
      <c r="D205" s="5" t="str">
        <f>IF($J205="","",INDEX('Detalle individual'!$C:$C,$J205))</f>
        <v>SUB GERENCIA DE CANALES</v>
      </c>
      <c r="E205" s="5" t="str">
        <f>IF($J205="","",INDEX('Detalle individual'!$D:$D,$J205))</f>
        <v>Gerencia de Negocios</v>
      </c>
      <c r="F205" s="23">
        <f>IF($J205="","",INDEX('Detalle individual'!$H:$H,$J205))</f>
        <v>46302.479097222225</v>
      </c>
      <c r="G205" s="28">
        <f>IF($J205="","",INDEX('Detalle individual'!$J:$J,$J205))</f>
        <v>100</v>
      </c>
      <c r="H205" s="28">
        <f>IF($J205="","",INDEX('Detalle individual'!$L:$L,$J205))</f>
        <v>1</v>
      </c>
      <c r="J205">
        <f>IFERROR(MATCH(SMALL(Cálculos!$AI$5:$AI$1000,201),Cálculos!$AI$5:$AI$1000,0)+4,"")</f>
        <v>186</v>
      </c>
    </row>
    <row r="206">
      <c r="A206" s="5" t="str">
        <f>IF($J206="","",INDEX('Detalle individual'!$B:$B,$J206))</f>
        <v>REBECA ABIGAIL VEGA FLORES</v>
      </c>
      <c r="B206" s="5" t="str">
        <f>IF($J206="","",INDEX('Detalle individual'!$A:$A,$J206))</f>
        <v>854</v>
      </c>
      <c r="C206" s="5" t="str">
        <f>IF($J206="","",INDEX('Detalle individual'!$E:$E,$J206))</f>
        <v>CAJERO MOVIL</v>
      </c>
      <c r="D206" s="5" t="str">
        <f>IF($J206="","",INDEX('Detalle individual'!$C:$C,$J206))</f>
        <v>SUB GERENCIA DE CANALES</v>
      </c>
      <c r="E206" s="5" t="str">
        <f>IF($J206="","",INDEX('Detalle individual'!$D:$D,$J206))</f>
        <v>Gerencia de Negocios</v>
      </c>
      <c r="F206" s="23">
        <f>IF($J206="","",INDEX('Detalle individual'!$H:$H,$J206))</f>
        <v>46309.67223379629</v>
      </c>
      <c r="G206" s="28">
        <f>IF($J206="","",INDEX('Detalle individual'!$J:$J,$J206))</f>
        <v>100</v>
      </c>
      <c r="H206" s="28">
        <f>IF($J206="","",INDEX('Detalle individual'!$L:$L,$J206))</f>
        <v>1</v>
      </c>
      <c r="J206">
        <f>IFERROR(MATCH(SMALL(Cálculos!$AI$5:$AI$1000,202),Cálculos!$AI$5:$AI$1000,0)+4,"")</f>
        <v>189</v>
      </c>
    </row>
    <row r="207">
      <c r="A207" s="5" t="str">
        <f>IF($J207="","",INDEX('Detalle individual'!$B:$B,$J207))</f>
        <v>SAMUEL ALBERTO SALGUERO RODRIGUEZ</v>
      </c>
      <c r="B207" s="5" t="str">
        <f>IF($J207="","",INDEX('Detalle individual'!$A:$A,$J207))</f>
        <v>968</v>
      </c>
      <c r="C207" s="5" t="str">
        <f>IF($J207="","",INDEX('Detalle individual'!$E:$E,$J207))</f>
        <v>CAJERO MOVIL</v>
      </c>
      <c r="D207" s="5" t="str">
        <f>IF($J207="","",INDEX('Detalle individual'!$C:$C,$J207))</f>
        <v>SUB GERENCIA DE CANALES</v>
      </c>
      <c r="E207" s="5" t="str">
        <f>IF($J207="","",INDEX('Detalle individual'!$D:$D,$J207))</f>
        <v>Gerencia de Negocios</v>
      </c>
      <c r="F207" s="23">
        <f>IF($J207="","",INDEX('Detalle individual'!$H:$H,$J207))</f>
        <v>46309.38234953704</v>
      </c>
      <c r="G207" s="28">
        <f>IF($J207="","",INDEX('Detalle individual'!$J:$J,$J207))</f>
        <v>90</v>
      </c>
      <c r="H207" s="28">
        <f>IF($J207="","",INDEX('Detalle individual'!$L:$L,$J207))</f>
        <v>1</v>
      </c>
      <c r="J207">
        <f>IFERROR(MATCH(SMALL(Cálculos!$AI$5:$AI$1000,203),Cálculos!$AI$5:$AI$1000,0)+4,"")</f>
        <v>190</v>
      </c>
    </row>
    <row r="208">
      <c r="A208" s="5" t="str">
        <f>IF($J208="","",INDEX('Detalle individual'!$B:$B,$J208))</f>
        <v>SANDRA VERONICA ACEVEDO BELTRAN</v>
      </c>
      <c r="B208" s="5" t="str">
        <f>IF($J208="","",INDEX('Detalle individual'!$A:$A,$J208))</f>
        <v>713</v>
      </c>
      <c r="C208" s="5" t="str">
        <f>IF($J208="","",INDEX('Detalle individual'!$E:$E,$J208))</f>
        <v>ASISTENTE PARA CORRESPONSALES FINANCIEROS</v>
      </c>
      <c r="D208" s="5" t="str">
        <f>IF($J208="","",INDEX('Detalle individual'!$C:$C,$J208))</f>
        <v>SUB GERENCIA DE CANALES</v>
      </c>
      <c r="E208" s="5" t="str">
        <f>IF($J208="","",INDEX('Detalle individual'!$D:$D,$J208))</f>
        <v>Gerencia de Negocios</v>
      </c>
      <c r="F208" s="23">
        <f>IF($J208="","",INDEX('Detalle individual'!$H:$H,$J208))</f>
        <v>46309.68292824074</v>
      </c>
      <c r="G208" s="28">
        <f>IF($J208="","",INDEX('Detalle individual'!$J:$J,$J208))</f>
        <v>100</v>
      </c>
      <c r="H208" s="28">
        <f>IF($J208="","",INDEX('Detalle individual'!$L:$L,$J208))</f>
        <v>1</v>
      </c>
      <c r="J208">
        <f>IFERROR(MATCH(SMALL(Cálculos!$AI$5:$AI$1000,204),Cálculos!$AI$5:$AI$1000,0)+4,"")</f>
        <v>188</v>
      </c>
    </row>
    <row r="209">
      <c r="A209" s="5" t="str">
        <f>IF($J209="","",INDEX('Detalle individual'!$B:$B,$J209))</f>
        <v>FIDEL ISAIAS CASTELLON CALVIO</v>
      </c>
      <c r="B209" s="5" t="str">
        <f>IF($J209="","",INDEX('Detalle individual'!$A:$A,$J209))</f>
        <v>914</v>
      </c>
      <c r="C209" s="5" t="str">
        <f>IF($J209="","",INDEX('Detalle individual'!$E:$E,$J209))</f>
        <v>ADMINISTRADOR DE MONITOR PLUS Y ANALISTA DE CUMPLIMIENTO</v>
      </c>
      <c r="D209" s="5" t="str">
        <f>IF($J209="","",INDEX('Detalle individual'!$C:$C,$J209))</f>
        <v>OFICIALIA DE CUMPLIMIENTO</v>
      </c>
      <c r="E209" s="5" t="str">
        <f>IF($J209="","",INDEX('Detalle individual'!$D:$D,$J209))</f>
        <v>Gerencia de Oficialía de Cumplimiento</v>
      </c>
      <c r="F209" s="23">
        <f>IF($J209="","",INDEX('Detalle individual'!$H:$H,$J209))</f>
        <v>46296.47803240741</v>
      </c>
      <c r="G209" s="28">
        <f>IF($J209="","",INDEX('Detalle individual'!$J:$J,$J209))</f>
        <v>100</v>
      </c>
      <c r="H209" s="28">
        <f>IF($J209="","",INDEX('Detalle individual'!$L:$L,$J209))</f>
        <v>1</v>
      </c>
      <c r="J209">
        <f>IFERROR(MATCH(SMALL(Cálculos!$AI$5:$AI$1000,205),Cálculos!$AI$5:$AI$1000,0)+4,"")</f>
        <v>132</v>
      </c>
    </row>
    <row r="210">
      <c r="A210" s="5" t="str">
        <f>IF($J210="","",INDEX('Detalle individual'!$B:$B,$J210))</f>
        <v>GEORGI ROBERTO CASTILLO CHACON</v>
      </c>
      <c r="B210" s="5" t="str">
        <f>IF($J210="","",INDEX('Detalle individual'!$A:$A,$J210))</f>
        <v>862</v>
      </c>
      <c r="C210" s="5" t="str">
        <f>IF($J210="","",INDEX('Detalle individual'!$E:$E,$J210))</f>
        <v>GERENTE DE OFICIALIA DE CUMPLIMIENTO</v>
      </c>
      <c r="D210" s="5" t="str">
        <f>IF($J210="","",INDEX('Detalle individual'!$C:$C,$J210))</f>
        <v>OFICIALIA DE CUMPLIMIENTO</v>
      </c>
      <c r="E210" s="5" t="str">
        <f>IF($J210="","",INDEX('Detalle individual'!$D:$D,$J210))</f>
        <v>Gerencia de Oficialía de Cumplimiento</v>
      </c>
      <c r="F210" s="23">
        <f>IF($J210="","",INDEX('Detalle individual'!$H:$H,$J210))</f>
        <v>46296.47738425926</v>
      </c>
      <c r="G210" s="28">
        <f>IF($J210="","",INDEX('Detalle individual'!$J:$J,$J210))</f>
        <v>100</v>
      </c>
      <c r="H210" s="28">
        <f>IF($J210="","",INDEX('Detalle individual'!$L:$L,$J210))</f>
        <v>1</v>
      </c>
      <c r="J210">
        <f>IFERROR(MATCH(SMALL(Cálculos!$AI$5:$AI$1000,206),Cálculos!$AI$5:$AI$1000,0)+4,"")</f>
        <v>10</v>
      </c>
    </row>
    <row r="211">
      <c r="A211" s="5" t="str">
        <f>IF($J211="","",INDEX('Detalle individual'!$B:$B,$J211))</f>
        <v>JOHANNA LISSETH ROMERO RIVAS</v>
      </c>
      <c r="B211" s="5" t="str">
        <f>IF($J211="","",INDEX('Detalle individual'!$A:$A,$J211))</f>
        <v>860</v>
      </c>
      <c r="C211" s="5" t="str">
        <f>IF($J211="","",INDEX('Detalle individual'!$E:$E,$J211))</f>
        <v>ANALISTA DE OFICIALIA DE CUMPLIMIENTO Y OFICIAL DE CUMPLIMIE</v>
      </c>
      <c r="D211" s="5" t="str">
        <f>IF($J211="","",INDEX('Detalle individual'!$C:$C,$J211))</f>
        <v>OFICIALIA DE CUMPLIMIENTO</v>
      </c>
      <c r="E211" s="5" t="str">
        <f>IF($J211="","",INDEX('Detalle individual'!$D:$D,$J211))</f>
        <v>Gerencia de Oficialía de Cumplimiento</v>
      </c>
      <c r="F211" s="23">
        <f>IF($J211="","",INDEX('Detalle individual'!$H:$H,$J211))</f>
        <v>46296.48637731482</v>
      </c>
      <c r="G211" s="28">
        <f>IF($J211="","",INDEX('Detalle individual'!$J:$J,$J211))</f>
        <v>100</v>
      </c>
      <c r="H211" s="28">
        <f>IF($J211="","",INDEX('Detalle individual'!$L:$L,$J211))</f>
        <v>1</v>
      </c>
      <c r="J211">
        <f>IFERROR(MATCH(SMALL(Cálculos!$AI$5:$AI$1000,207),Cálculos!$AI$5:$AI$1000,0)+4,"")</f>
        <v>131</v>
      </c>
    </row>
    <row r="212">
      <c r="A212" s="5" t="str">
        <f>IF($J212="","",INDEX('Detalle individual'!$B:$B,$J212))</f>
        <v>JORGE MATEO GUTIERREZ FLORES</v>
      </c>
      <c r="B212" s="5" t="str">
        <f>IF($J212="","",INDEX('Detalle individual'!$A:$A,$J212))</f>
        <v>985</v>
      </c>
      <c r="C212" s="5" t="str">
        <f>IF($J212="","",INDEX('Detalle individual'!$E:$E,$J212))</f>
        <v>PASANTE</v>
      </c>
      <c r="D212" s="5" t="str">
        <f>IF($J212="","",INDEX('Detalle individual'!$C:$C,$J212))</f>
        <v>OFICIALIA DE CUMPLIMIENTO</v>
      </c>
      <c r="E212" s="5" t="str">
        <f>IF($J212="","",INDEX('Detalle individual'!$D:$D,$J212))</f>
        <v>Gerencia de Oficialía de Cumplimiento</v>
      </c>
      <c r="F212" s="23">
        <f>IF($J212="","",INDEX('Detalle individual'!$H:$H,$J212))</f>
        <v>46296.4949537037</v>
      </c>
      <c r="G212" s="28">
        <f>IF($J212="","",INDEX('Detalle individual'!$J:$J,$J212))</f>
        <v>100</v>
      </c>
      <c r="H212" s="28">
        <f>IF($J212="","",INDEX('Detalle individual'!$L:$L,$J212))</f>
        <v>1</v>
      </c>
      <c r="J212">
        <f>IFERROR(MATCH(SMALL(Cálculos!$AI$5:$AI$1000,208),Cálculos!$AI$5:$AI$1000,0)+4,"")</f>
        <v>135</v>
      </c>
    </row>
    <row r="213">
      <c r="A213" s="5" t="str">
        <f>IF($J213="","",INDEX('Detalle individual'!$B:$B,$J213))</f>
        <v>JOSSELINE LIZBETH VENTURA RIVAS</v>
      </c>
      <c r="B213" s="5" t="str">
        <f>IF($J213="","",INDEX('Detalle individual'!$A:$A,$J213))</f>
        <v>443</v>
      </c>
      <c r="C213" s="5" t="str">
        <f>IF($J213="","",INDEX('Detalle individual'!$E:$E,$J213))</f>
        <v>ANALISTA DE CUMPLIMIENTO</v>
      </c>
      <c r="D213" s="5" t="str">
        <f>IF($J213="","",INDEX('Detalle individual'!$C:$C,$J213))</f>
        <v>OFICIALIA DE CUMPLIMIENTO</v>
      </c>
      <c r="E213" s="5" t="str">
        <f>IF($J213="","",INDEX('Detalle individual'!$D:$D,$J213))</f>
        <v>Gerencia de Oficialía de Cumplimiento</v>
      </c>
      <c r="F213" s="23">
        <f>IF($J213="","",INDEX('Detalle individual'!$H:$H,$J213))</f>
        <v>46296.491481481484</v>
      </c>
      <c r="G213" s="28">
        <f>IF($J213="","",INDEX('Detalle individual'!$J:$J,$J213))</f>
        <v>100</v>
      </c>
      <c r="H213" s="28">
        <f>IF($J213="","",INDEX('Detalle individual'!$L:$L,$J213))</f>
        <v>1</v>
      </c>
      <c r="J213">
        <f>IFERROR(MATCH(SMALL(Cálculos!$AI$5:$AI$1000,209),Cálculos!$AI$5:$AI$1000,0)+4,"")</f>
        <v>130</v>
      </c>
    </row>
    <row r="214">
      <c r="A214" s="5" t="str">
        <f>IF($J214="","",INDEX('Detalle individual'!$B:$B,$J214))</f>
        <v>LILIAN LISET MAGAÑA SANTOS</v>
      </c>
      <c r="B214" s="5" t="str">
        <f>IF($J214="","",INDEX('Detalle individual'!$A:$A,$J214))</f>
        <v>983</v>
      </c>
      <c r="C214" s="5" t="str">
        <f>IF($J214="","",INDEX('Detalle individual'!$E:$E,$J214))</f>
        <v>PASANTE</v>
      </c>
      <c r="D214" s="5" t="str">
        <f>IF($J214="","",INDEX('Detalle individual'!$C:$C,$J214))</f>
        <v>OFICIALIA DE CUMPLIMIENTO</v>
      </c>
      <c r="E214" s="5" t="str">
        <f>IF($J214="","",INDEX('Detalle individual'!$D:$D,$J214))</f>
        <v>Gerencia de Oficialía de Cumplimiento</v>
      </c>
      <c r="F214" s="23">
        <f>IF($J214="","",INDEX('Detalle individual'!$H:$H,$J214))</f>
        <v>46296.49747685185</v>
      </c>
      <c r="G214" s="28">
        <f>IF($J214="","",INDEX('Detalle individual'!$J:$J,$J214))</f>
        <v>100</v>
      </c>
      <c r="H214" s="28">
        <f>IF($J214="","",INDEX('Detalle individual'!$L:$L,$J214))</f>
        <v>1</v>
      </c>
      <c r="J214">
        <f>IFERROR(MATCH(SMALL(Cálculos!$AI$5:$AI$1000,210),Cálculos!$AI$5:$AI$1000,0)+4,"")</f>
        <v>133</v>
      </c>
    </row>
    <row r="215">
      <c r="A215" s="5" t="str">
        <f>IF($J215="","",INDEX('Detalle individual'!$B:$B,$J215))</f>
        <v>NICO EDUARDO CIUDAD REAL MOOIJ</v>
      </c>
      <c r="B215" s="5" t="str">
        <f>IF($J215="","",INDEX('Detalle individual'!$A:$A,$J215))</f>
        <v>984</v>
      </c>
      <c r="C215" s="5" t="str">
        <f>IF($J215="","",INDEX('Detalle individual'!$E:$E,$J215))</f>
        <v>PASANTE</v>
      </c>
      <c r="D215" s="5" t="str">
        <f>IF($J215="","",INDEX('Detalle individual'!$C:$C,$J215))</f>
        <v>OFICIALIA DE CUMPLIMIENTO</v>
      </c>
      <c r="E215" s="5" t="str">
        <f>IF($J215="","",INDEX('Detalle individual'!$D:$D,$J215))</f>
        <v>Gerencia de Oficialía de Cumplimiento</v>
      </c>
      <c r="F215" s="23">
        <f>IF($J215="","",INDEX('Detalle individual'!$H:$H,$J215))</f>
        <v>46296.48002314815</v>
      </c>
      <c r="G215" s="28">
        <f>IF($J215="","",INDEX('Detalle individual'!$J:$J,$J215))</f>
        <v>100</v>
      </c>
      <c r="H215" s="28">
        <f>IF($J215="","",INDEX('Detalle individual'!$L:$L,$J215))</f>
        <v>1</v>
      </c>
      <c r="J215">
        <f>IFERROR(MATCH(SMALL(Cálculos!$AI$5:$AI$1000,211),Cálculos!$AI$5:$AI$1000,0)+4,"")</f>
        <v>134</v>
      </c>
    </row>
    <row r="216">
      <c r="A216" s="5" t="str">
        <f>IF($J216="","",INDEX('Detalle individual'!$B:$B,$J216))</f>
        <v>GEMA YESENIA VILLALOBOS HERNANDEZ</v>
      </c>
      <c r="B216" s="5" t="str">
        <f>IF($J216="","",INDEX('Detalle individual'!$A:$A,$J216))</f>
        <v>477</v>
      </c>
      <c r="C216" s="5" t="str">
        <f>IF($J216="","",INDEX('Detalle individual'!$E:$E,$J216))</f>
        <v>ANALISTA DE CARTERAS</v>
      </c>
      <c r="D216" s="5" t="str">
        <f>IF($J216="","",INDEX('Detalle individual'!$C:$C,$J216))</f>
        <v>ADMINISTRACIÓN DE CARTERAS</v>
      </c>
      <c r="E216" s="5" t="str">
        <f>IF($J216="","",INDEX('Detalle individual'!$D:$D,$J216))</f>
        <v>Gerencia de Operaciones</v>
      </c>
      <c r="F216" s="23">
        <f>IF($J216="","",INDEX('Detalle individual'!$H:$H,$J216))</f>
        <v>46307.65584490741</v>
      </c>
      <c r="G216" s="28">
        <f>IF($J216="","",INDEX('Detalle individual'!$J:$J,$J216))</f>
        <v>100</v>
      </c>
      <c r="H216" s="28">
        <f>IF($J216="","",INDEX('Detalle individual'!$L:$L,$J216))</f>
        <v>1</v>
      </c>
      <c r="J216">
        <f>IFERROR(MATCH(SMALL(Cálculos!$AI$5:$AI$1000,212),Cálculos!$AI$5:$AI$1000,0)+4,"")</f>
        <v>80</v>
      </c>
    </row>
    <row r="217">
      <c r="A217" s="5" t="str">
        <f>IF($J217="","",INDEX('Detalle individual'!$B:$B,$J217))</f>
        <v>LOYDA ARACELY RAMOS CAÑENGUEZ</v>
      </c>
      <c r="B217" s="5" t="str">
        <f>IF($J217="","",INDEX('Detalle individual'!$A:$A,$J217))</f>
        <v>931</v>
      </c>
      <c r="C217" s="5" t="str">
        <f>IF($J217="","",INDEX('Detalle individual'!$E:$E,$J217))</f>
        <v>ANALISTA DE PRESTAMOS</v>
      </c>
      <c r="D217" s="5" t="str">
        <f>IF($J217="","",INDEX('Detalle individual'!$C:$C,$J217))</f>
        <v>ADMINISTRACIÓN DE CARTERAS</v>
      </c>
      <c r="E217" s="5" t="str">
        <f>IF($J217="","",INDEX('Detalle individual'!$D:$D,$J217))</f>
        <v>Gerencia de Operaciones</v>
      </c>
      <c r="F217" s="23">
        <f>IF($J217="","",INDEX('Detalle individual'!$H:$H,$J217))</f>
        <v>46304.56716435185</v>
      </c>
      <c r="G217" s="28">
        <f>IF($J217="","",INDEX('Detalle individual'!$J:$J,$J217))</f>
        <v>100</v>
      </c>
      <c r="H217" s="28">
        <f>IF($J217="","",INDEX('Detalle individual'!$L:$L,$J217))</f>
        <v>1</v>
      </c>
      <c r="J217">
        <f>IFERROR(MATCH(SMALL(Cálculos!$AI$5:$AI$1000,213),Cálculos!$AI$5:$AI$1000,0)+4,"")</f>
        <v>83</v>
      </c>
    </row>
    <row r="218">
      <c r="A218" s="5" t="str">
        <f>IF($J218="","",INDEX('Detalle individual'!$B:$B,$J218))</f>
        <v>PAMELA GIOVANNA AGUILAR SERBELLON</v>
      </c>
      <c r="B218" s="5" t="str">
        <f>IF($J218="","",INDEX('Detalle individual'!$A:$A,$J218))</f>
        <v>572</v>
      </c>
      <c r="C218" s="5" t="str">
        <f>IF($J218="","",INDEX('Detalle individual'!$E:$E,$J218))</f>
        <v>GESTOR DE COBROS Y PAGOS DE SEGUROS</v>
      </c>
      <c r="D218" s="5" t="str">
        <f>IF($J218="","",INDEX('Detalle individual'!$C:$C,$J218))</f>
        <v>ADMINISTRACIÓN DE CARTERAS</v>
      </c>
      <c r="E218" s="5" t="str">
        <f>IF($J218="","",INDEX('Detalle individual'!$D:$D,$J218))</f>
        <v>Gerencia de Operaciones</v>
      </c>
      <c r="F218" s="23">
        <f>IF($J218="","",INDEX('Detalle individual'!$H:$H,$J218))</f>
        <v>46304.51201388889</v>
      </c>
      <c r="G218" s="28">
        <f>IF($J218="","",INDEX('Detalle individual'!$J:$J,$J218))</f>
        <v>100</v>
      </c>
      <c r="H218" s="28">
        <f>IF($J218="","",INDEX('Detalle individual'!$L:$L,$J218))</f>
        <v>1</v>
      </c>
      <c r="J218">
        <f>IFERROR(MATCH(SMALL(Cálculos!$AI$5:$AI$1000,214),Cálculos!$AI$5:$AI$1000,0)+4,"")</f>
        <v>81</v>
      </c>
    </row>
    <row r="219">
      <c r="A219" s="5" t="str">
        <f>IF($J219="","",INDEX('Detalle individual'!$B:$B,$J219))</f>
        <v>RICARDO JOSUE CACAO ROVELO</v>
      </c>
      <c r="B219" s="5" t="str">
        <f>IF($J219="","",INDEX('Detalle individual'!$A:$A,$J219))</f>
        <v>732</v>
      </c>
      <c r="C219" s="5" t="str">
        <f>IF($J219="","",INDEX('Detalle individual'!$E:$E,$J219))</f>
        <v>ANALISTA DE CARTERAS</v>
      </c>
      <c r="D219" s="5" t="str">
        <f>IF($J219="","",INDEX('Detalle individual'!$C:$C,$J219))</f>
        <v>ADMINISTRACIÓN DE CARTERAS</v>
      </c>
      <c r="E219" s="5" t="str">
        <f>IF($J219="","",INDEX('Detalle individual'!$D:$D,$J219))</f>
        <v>Gerencia de Operaciones</v>
      </c>
      <c r="F219" s="23">
        <f>IF($J219="","",INDEX('Detalle individual'!$H:$H,$J219))</f>
        <v>46311.675671296296</v>
      </c>
      <c r="G219" s="28">
        <f>IF($J219="","",INDEX('Detalle individual'!$J:$J,$J219))</f>
        <v>100</v>
      </c>
      <c r="H219" s="28">
        <f>IF($J219="","",INDEX('Detalle individual'!$L:$L,$J219))</f>
        <v>1</v>
      </c>
      <c r="J219">
        <f>IFERROR(MATCH(SMALL(Cálculos!$AI$5:$AI$1000,215),Cálculos!$AI$5:$AI$1000,0)+4,"")</f>
        <v>82</v>
      </c>
    </row>
    <row r="220">
      <c r="A220" s="5" t="str">
        <f>IF($J220="","",INDEX('Detalle individual'!$B:$B,$J220))</f>
        <v>YANETH MARLENY LANDAVERDE MORALES</v>
      </c>
      <c r="B220" s="5" t="str">
        <f>IF($J220="","",INDEX('Detalle individual'!$A:$A,$J220))</f>
        <v>16</v>
      </c>
      <c r="C220" s="5" t="str">
        <f>IF($J220="","",INDEX('Detalle individual'!$E:$E,$J220))</f>
        <v>JEFE DE ADMINISTRACION DE CARTERA</v>
      </c>
      <c r="D220" s="5" t="str">
        <f>IF($J220="","",INDEX('Detalle individual'!$C:$C,$J220))</f>
        <v>ADMINISTRACIÓN DE CARTERAS</v>
      </c>
      <c r="E220" s="5" t="str">
        <f>IF($J220="","",INDEX('Detalle individual'!$D:$D,$J220))</f>
        <v>Gerencia de Operaciones</v>
      </c>
      <c r="F220" s="23">
        <f>IF($J220="","",INDEX('Detalle individual'!$H:$H,$J220))</f>
        <v>46307.675532407404</v>
      </c>
      <c r="G220" s="28">
        <f>IF($J220="","",INDEX('Detalle individual'!$J:$J,$J220))</f>
        <v>100</v>
      </c>
      <c r="H220" s="28">
        <f>IF($J220="","",INDEX('Detalle individual'!$L:$L,$J220))</f>
        <v>1</v>
      </c>
      <c r="J220">
        <f>IFERROR(MATCH(SMALL(Cálculos!$AI$5:$AI$1000,216),Cálculos!$AI$5:$AI$1000,0)+4,"")</f>
        <v>79</v>
      </c>
    </row>
    <row r="221">
      <c r="A221" s="5" t="str">
        <f>IF($J221="","",INDEX('Detalle individual'!$B:$B,$J221))</f>
        <v>HELLEN ESTEFANI RODRIGUEZ GARCIA</v>
      </c>
      <c r="B221" s="5" t="str">
        <f>IF($J221="","",INDEX('Detalle individual'!$A:$A,$J221))</f>
        <v>773</v>
      </c>
      <c r="C221" s="5" t="str">
        <f>IF($J221="","",INDEX('Detalle individual'!$E:$E,$J221))</f>
        <v>ASISTENTE COMPENSADOR DE CHEQUES</v>
      </c>
      <c r="D221" s="5" t="str">
        <f>IF($J221="","",INDEX('Detalle individual'!$C:$C,$J221))</f>
        <v>DEPARTAMENTO DE DEPOSITOS</v>
      </c>
      <c r="E221" s="5" t="str">
        <f>IF($J221="","",INDEX('Detalle individual'!$D:$D,$J221))</f>
        <v>Gerencia de Operaciones</v>
      </c>
      <c r="F221" s="23">
        <f>IF($J221="","",INDEX('Detalle individual'!$H:$H,$J221))</f>
        <v>46297.47550925926</v>
      </c>
      <c r="G221" s="28">
        <f>IF($J221="","",INDEX('Detalle individual'!$J:$J,$J221))</f>
        <v>95</v>
      </c>
      <c r="H221" s="28">
        <f>IF($J221="","",INDEX('Detalle individual'!$L:$L,$J221))</f>
        <v>1</v>
      </c>
      <c r="J221">
        <f>IFERROR(MATCH(SMALL(Cálculos!$AI$5:$AI$1000,217),Cálculos!$AI$5:$AI$1000,0)+4,"")</f>
        <v>77</v>
      </c>
    </row>
    <row r="222">
      <c r="A222" s="5" t="str">
        <f>IF($J222="","",INDEX('Detalle individual'!$B:$B,$J222))</f>
        <v>LUCILA MARGARITA CORCIO QUINTANILLA</v>
      </c>
      <c r="B222" s="5" t="str">
        <f>IF($J222="","",INDEX('Detalle individual'!$A:$A,$J222))</f>
        <v>632</v>
      </c>
      <c r="C222" s="5" t="str">
        <f>IF($J222="","",INDEX('Detalle individual'!$E:$E,$J222))</f>
        <v>ASISTENTE COMPENSADOR DE CHEQUES</v>
      </c>
      <c r="D222" s="5" t="str">
        <f>IF($J222="","",INDEX('Detalle individual'!$C:$C,$J222))</f>
        <v>DEPARTAMENTO DE DEPOSITOS</v>
      </c>
      <c r="E222" s="5" t="str">
        <f>IF($J222="","",INDEX('Detalle individual'!$D:$D,$J222))</f>
        <v>Gerencia de Operaciones</v>
      </c>
      <c r="F222" s="23">
        <f>IF($J222="","",INDEX('Detalle individual'!$H:$H,$J222))</f>
        <v>46296.57800925926</v>
      </c>
      <c r="G222" s="28">
        <f>IF($J222="","",INDEX('Detalle individual'!$J:$J,$J222))</f>
        <v>100</v>
      </c>
      <c r="H222" s="28">
        <f>IF($J222="","",INDEX('Detalle individual'!$L:$L,$J222))</f>
        <v>1</v>
      </c>
      <c r="J222">
        <f>IFERROR(MATCH(SMALL(Cálculos!$AI$5:$AI$1000,218),Cálculos!$AI$5:$AI$1000,0)+4,"")</f>
        <v>76</v>
      </c>
    </row>
    <row r="223">
      <c r="A223" s="5" t="str">
        <f>IF($J223="","",INDEX('Detalle individual'!$B:$B,$J223))</f>
        <v>MARIO ANTONIO NAVARRO PINEDA</v>
      </c>
      <c r="B223" s="5" t="str">
        <f>IF($J223="","",INDEX('Detalle individual'!$A:$A,$J223))</f>
        <v>284</v>
      </c>
      <c r="C223" s="5" t="str">
        <f>IF($J223="","",INDEX('Detalle individual'!$E:$E,$J223))</f>
        <v>JEFE DE DEPOSITOS</v>
      </c>
      <c r="D223" s="5" t="str">
        <f>IF($J223="","",INDEX('Detalle individual'!$C:$C,$J223))</f>
        <v>DEPARTAMENTO DE DEPOSITOS</v>
      </c>
      <c r="E223" s="5" t="str">
        <f>IF($J223="","",INDEX('Detalle individual'!$D:$D,$J223))</f>
        <v>Gerencia de Operaciones</v>
      </c>
      <c r="F223" s="23">
        <f>IF($J223="","",INDEX('Detalle individual'!$H:$H,$J223))</f>
        <v>46305.513344907406</v>
      </c>
      <c r="G223" s="28">
        <f>IF($J223="","",INDEX('Detalle individual'!$J:$J,$J223))</f>
        <v>100</v>
      </c>
      <c r="H223" s="28">
        <f>IF($J223="","",INDEX('Detalle individual'!$L:$L,$J223))</f>
        <v>1</v>
      </c>
      <c r="J223">
        <f>IFERROR(MATCH(SMALL(Cálculos!$AI$5:$AI$1000,219),Cálculos!$AI$5:$AI$1000,0)+4,"")</f>
        <v>75</v>
      </c>
    </row>
    <row r="224">
      <c r="A224" s="5" t="str">
        <f>IF($J224="","",INDEX('Detalle individual'!$B:$B,$J224))</f>
        <v>WALTER OSWALDO SANCHEZ RIVAS</v>
      </c>
      <c r="B224" s="5" t="str">
        <f>IF($J224="","",INDEX('Detalle individual'!$A:$A,$J224))</f>
        <v>787</v>
      </c>
      <c r="C224" s="5" t="str">
        <f>IF($J224="","",INDEX('Detalle individual'!$E:$E,$J224))</f>
        <v>ASISTENTE COMPENSADOR DE CHEQUES</v>
      </c>
      <c r="D224" s="5" t="str">
        <f>IF($J224="","",INDEX('Detalle individual'!$C:$C,$J224))</f>
        <v>DEPARTAMENTO DE DEPOSITOS</v>
      </c>
      <c r="E224" s="5" t="str">
        <f>IF($J224="","",INDEX('Detalle individual'!$D:$D,$J224))</f>
        <v>Gerencia de Operaciones</v>
      </c>
      <c r="F224" s="23">
        <f>IF($J224="","",INDEX('Detalle individual'!$H:$H,$J224))</f>
        <v>46304.692928240744</v>
      </c>
      <c r="G224" s="28">
        <f>IF($J224="","",INDEX('Detalle individual'!$J:$J,$J224))</f>
        <v>100</v>
      </c>
      <c r="H224" s="28">
        <f>IF($J224="","",INDEX('Detalle individual'!$L:$L,$J224))</f>
        <v>1</v>
      </c>
      <c r="J224">
        <f>IFERROR(MATCH(SMALL(Cálculos!$AI$5:$AI$1000,220),Cálculos!$AI$5:$AI$1000,0)+4,"")</f>
        <v>78</v>
      </c>
    </row>
    <row r="225">
      <c r="A225" s="5" t="str">
        <f>IF($J225="","",INDEX('Detalle individual'!$B:$B,$J225))</f>
        <v>ANA GRISELDA SIGÜENZA MARTINEZ</v>
      </c>
      <c r="B225" s="5" t="str">
        <f>IF($J225="","",INDEX('Detalle individual'!$A:$A,$J225))</f>
        <v>528</v>
      </c>
      <c r="C225" s="5" t="str">
        <f>IF($J225="","",INDEX('Detalle individual'!$E:$E,$J225))</f>
        <v>AUXILIAR DE DEPARTAMENTO DE SOLUCIONES FINANCIERAS</v>
      </c>
      <c r="D225" s="5" t="str">
        <f>IF($J225="","",INDEX('Detalle individual'!$C:$C,$J225))</f>
        <v>DEPARTAMENTO DE SOLUCIONES FINANCIERAS</v>
      </c>
      <c r="E225" s="5" t="str">
        <f>IF($J225="","",INDEX('Detalle individual'!$D:$D,$J225))</f>
        <v>Gerencia de Operaciones</v>
      </c>
      <c r="F225" s="23">
        <f>IF($J225="","",INDEX('Detalle individual'!$H:$H,$J225))</f>
        <v>46305.54105324074</v>
      </c>
      <c r="G225" s="28">
        <f>IF($J225="","",INDEX('Detalle individual'!$J:$J,$J225))</f>
        <v>100</v>
      </c>
      <c r="H225" s="28">
        <f>IF($J225="","",INDEX('Detalle individual'!$L:$L,$J225))</f>
        <v>1</v>
      </c>
      <c r="J225">
        <f>IFERROR(MATCH(SMALL(Cálculos!$AI$5:$AI$1000,221),Cálculos!$AI$5:$AI$1000,0)+4,"")</f>
        <v>66</v>
      </c>
    </row>
    <row r="226">
      <c r="A226" s="5" t="str">
        <f>IF($J226="","",INDEX('Detalle individual'!$B:$B,$J226))</f>
        <v>ANA SILVIA MARTINEZ RODRIGUEZ</v>
      </c>
      <c r="B226" s="5" t="str">
        <f>IF($J226="","",INDEX('Detalle individual'!$A:$A,$J226))</f>
        <v>289</v>
      </c>
      <c r="C226" s="5" t="str">
        <f>IF($J226="","",INDEX('Detalle individual'!$E:$E,$J226))</f>
        <v>EJECUTIVO DE SOLUCIONES FINANCIERAS</v>
      </c>
      <c r="D226" s="5" t="str">
        <f>IF($J226="","",INDEX('Detalle individual'!$C:$C,$J226))</f>
        <v>DEPARTAMENTO DE SOLUCIONES FINANCIERAS</v>
      </c>
      <c r="E226" s="5" t="str">
        <f>IF($J226="","",INDEX('Detalle individual'!$D:$D,$J226))</f>
        <v>Gerencia de Operaciones</v>
      </c>
      <c r="F226" s="23">
        <f>IF($J226="","",INDEX('Detalle individual'!$H:$H,$J226))</f>
        <v>46305.41322916667</v>
      </c>
      <c r="G226" s="28">
        <f>IF($J226="","",INDEX('Detalle individual'!$J:$J,$J226))</f>
        <v>100</v>
      </c>
      <c r="H226" s="28">
        <f>IF($J226="","",INDEX('Detalle individual'!$L:$L,$J226))</f>
        <v>1</v>
      </c>
      <c r="J226">
        <f>IFERROR(MATCH(SMALL(Cálculos!$AI$5:$AI$1000,222),Cálculos!$AI$5:$AI$1000,0)+4,"")</f>
        <v>62</v>
      </c>
    </row>
    <row r="227">
      <c r="A227" s="5" t="str">
        <f>IF($J227="","",INDEX('Detalle individual'!$B:$B,$J227))</f>
        <v>CARLOS ROBERTO AGUILAR SANTOS</v>
      </c>
      <c r="B227" s="5" t="str">
        <f>IF($J227="","",INDEX('Detalle individual'!$A:$A,$J227))</f>
        <v>472</v>
      </c>
      <c r="C227" s="5" t="str">
        <f>IF($J227="","",INDEX('Detalle individual'!$E:$E,$J227))</f>
        <v>JEFE DE SOLUCIONES FINANCIERAS</v>
      </c>
      <c r="D227" s="5" t="str">
        <f>IF($J227="","",INDEX('Detalle individual'!$C:$C,$J227))</f>
        <v>DEPARTAMENTO DE SOLUCIONES FINANCIERAS</v>
      </c>
      <c r="E227" s="5" t="str">
        <f>IF($J227="","",INDEX('Detalle individual'!$D:$D,$J227))</f>
        <v>Gerencia de Operaciones</v>
      </c>
      <c r="F227" s="23">
        <f>IF($J227="","",INDEX('Detalle individual'!$H:$H,$J227))</f>
        <v>46304.37534722222</v>
      </c>
      <c r="G227" s="28">
        <f>IF($J227="","",INDEX('Detalle individual'!$J:$J,$J227))</f>
        <v>100</v>
      </c>
      <c r="H227" s="28">
        <f>IF($J227="","",INDEX('Detalle individual'!$L:$L,$J227))</f>
        <v>1</v>
      </c>
      <c r="J227">
        <f>IFERROR(MATCH(SMALL(Cálculos!$AI$5:$AI$1000,223),Cálculos!$AI$5:$AI$1000,0)+4,"")</f>
        <v>65</v>
      </c>
    </row>
    <row r="228">
      <c r="A228" s="5" t="str">
        <f>IF($J228="","",INDEX('Detalle individual'!$B:$B,$J228))</f>
        <v>ILIANA DESIREE ALFARO</v>
      </c>
      <c r="B228" s="5" t="str">
        <f>IF($J228="","",INDEX('Detalle individual'!$A:$A,$J228))</f>
        <v>439</v>
      </c>
      <c r="C228" s="5" t="str">
        <f>IF($J228="","",INDEX('Detalle individual'!$E:$E,$J228))</f>
        <v>EJECUTIVO DE SOLUCIONES FINANCIERAS</v>
      </c>
      <c r="D228" s="5" t="str">
        <f>IF($J228="","",INDEX('Detalle individual'!$C:$C,$J228))</f>
        <v>DEPARTAMENTO DE SOLUCIONES FINANCIERAS</v>
      </c>
      <c r="E228" s="5" t="str">
        <f>IF($J228="","",INDEX('Detalle individual'!$D:$D,$J228))</f>
        <v>Gerencia de Operaciones</v>
      </c>
      <c r="F228" s="23">
        <f>IF($J228="","",INDEX('Detalle individual'!$H:$H,$J228))</f>
        <v>46304.38547453703</v>
      </c>
      <c r="G228" s="28">
        <f>IF($J228="","",INDEX('Detalle individual'!$J:$J,$J228))</f>
        <v>80</v>
      </c>
      <c r="H228" s="28">
        <f>IF($J228="","",INDEX('Detalle individual'!$L:$L,$J228))</f>
        <v>1</v>
      </c>
      <c r="J228">
        <f>IFERROR(MATCH(SMALL(Cálculos!$AI$5:$AI$1000,224),Cálculos!$AI$5:$AI$1000,0)+4,"")</f>
        <v>64</v>
      </c>
    </row>
    <row r="229">
      <c r="A229" s="5" t="str">
        <f>IF($J229="","",INDEX('Detalle individual'!$B:$B,$J229))</f>
        <v>JUAN PABLO HENRIQUEZ RAMIREZ</v>
      </c>
      <c r="B229" s="5" t="str">
        <f>IF($J229="","",INDEX('Detalle individual'!$A:$A,$J229))</f>
        <v>573</v>
      </c>
      <c r="C229" s="5" t="str">
        <f>IF($J229="","",INDEX('Detalle individual'!$E:$E,$J229))</f>
        <v>EJECUTIVO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23">
        <f>IF($J229="","",INDEX('Detalle individual'!$H:$H,$J229))</f>
        <v>46309.38841435185</v>
      </c>
      <c r="G229" s="28">
        <f>IF($J229="","",INDEX('Detalle individual'!$J:$J,$J229))</f>
        <v>90</v>
      </c>
      <c r="H229" s="28">
        <f>IF($J229="","",INDEX('Detalle individual'!$L:$L,$J229))</f>
        <v>1</v>
      </c>
      <c r="J229">
        <f>IFERROR(MATCH(SMALL(Cálculos!$AI$5:$AI$1000,225),Cálculos!$AI$5:$AI$1000,0)+4,"")</f>
        <v>67</v>
      </c>
    </row>
    <row r="230">
      <c r="A230" s="5" t="str">
        <f>IF($J230="","",INDEX('Detalle individual'!$B:$B,$J230))</f>
        <v>ROSA ELIZABETH RIVAS AGUILUZ</v>
      </c>
      <c r="B230" s="5" t="str">
        <f>IF($J230="","",INDEX('Detalle individual'!$A:$A,$J230))</f>
        <v>182</v>
      </c>
      <c r="C230" s="5" t="str">
        <f>IF($J230="","",INDEX('Detalle individual'!$E:$E,$J230))</f>
        <v>EJECUTIVO DE SOLUCIONES FINANCIERAS</v>
      </c>
      <c r="D230" s="5" t="str">
        <f>IF($J230="","",INDEX('Detalle individual'!$C:$C,$J230))</f>
        <v>DEPARTAMENTO DE SOLUCIONES FINANCIERAS</v>
      </c>
      <c r="E230" s="5" t="str">
        <f>IF($J230="","",INDEX('Detalle individual'!$D:$D,$J230))</f>
        <v>Gerencia de Operaciones</v>
      </c>
      <c r="F230" s="23">
        <f>IF($J230="","",INDEX('Detalle individual'!$H:$H,$J230))</f>
        <v>46307.56962962963</v>
      </c>
      <c r="G230" s="28">
        <f>IF($J230="","",INDEX('Detalle individual'!$J:$J,$J230))</f>
        <v>70</v>
      </c>
      <c r="H230" s="28">
        <f>IF($J230="","",INDEX('Detalle individual'!$L:$L,$J230))</f>
        <v>1</v>
      </c>
      <c r="J230">
        <f>IFERROR(MATCH(SMALL(Cálculos!$AI$5:$AI$1000,226),Cálculos!$AI$5:$AI$1000,0)+4,"")</f>
        <v>60</v>
      </c>
    </row>
    <row r="231">
      <c r="A231" s="5" t="str">
        <f>IF($J231="","",INDEX('Detalle individual'!$B:$B,$J231))</f>
        <v>SANDRA GUADALUPE ROQUE SANCHEZ</v>
      </c>
      <c r="B231" s="5" t="str">
        <f>IF($J231="","",INDEX('Detalle individual'!$A:$A,$J231))</f>
        <v>298</v>
      </c>
      <c r="C231" s="5" t="str">
        <f>IF($J231="","",INDEX('Detalle individual'!$E:$E,$J231))</f>
        <v>EJECUTIVO DE SOLUCIONES FINANCIERAS</v>
      </c>
      <c r="D231" s="5" t="str">
        <f>IF($J231="","",INDEX('Detalle individual'!$C:$C,$J231))</f>
        <v>DEPARTAMENTO DE SOLUCIONES FINANCIERAS</v>
      </c>
      <c r="E231" s="5" t="str">
        <f>IF($J231="","",INDEX('Detalle individual'!$D:$D,$J231))</f>
        <v>Gerencia de Operaciones</v>
      </c>
      <c r="F231" s="23">
        <f>IF($J231="","",INDEX('Detalle individual'!$H:$H,$J231))</f>
        <v>46307.58479166667</v>
      </c>
      <c r="G231" s="28">
        <f>IF($J231="","",INDEX('Detalle individual'!$J:$J,$J231))</f>
        <v>80</v>
      </c>
      <c r="H231" s="28">
        <f>IF($J231="","",INDEX('Detalle individual'!$L:$L,$J231))</f>
        <v>1</v>
      </c>
      <c r="J231">
        <f>IFERROR(MATCH(SMALL(Cálculos!$AI$5:$AI$1000,227),Cálculos!$AI$5:$AI$1000,0)+4,"")</f>
        <v>63</v>
      </c>
    </row>
    <row r="232">
      <c r="A232" s="5" t="str">
        <f>IF($J232="","",INDEX('Detalle individual'!$B:$B,$J232))</f>
        <v>XOCHILT VERONICA NOUBLEAU</v>
      </c>
      <c r="B232" s="5" t="str">
        <f>IF($J232="","",INDEX('Detalle individual'!$A:$A,$J232))</f>
        <v>263</v>
      </c>
      <c r="C232" s="5" t="str">
        <f>IF($J232="","",INDEX('Detalle individual'!$E:$E,$J232))</f>
        <v>EJECUTIVO DE SOLUCIONES FINANCIERAS</v>
      </c>
      <c r="D232" s="5" t="str">
        <f>IF($J232="","",INDEX('Detalle individual'!$C:$C,$J232))</f>
        <v>DEPARTAMENTO DE SOLUCIONES FINANCIERAS</v>
      </c>
      <c r="E232" s="5" t="str">
        <f>IF($J232="","",INDEX('Detalle individual'!$D:$D,$J232))</f>
        <v>Gerencia de Operaciones</v>
      </c>
      <c r="F232" s="23">
        <f>IF($J232="","",INDEX('Detalle individual'!$H:$H,$J232))</f>
        <v>46307.60011574074</v>
      </c>
      <c r="G232" s="28">
        <f>IF($J232="","",INDEX('Detalle individual'!$J:$J,$J232))</f>
        <v>100</v>
      </c>
      <c r="H232" s="28">
        <f>IF($J232="","",INDEX('Detalle individual'!$L:$L,$J232))</f>
        <v>1</v>
      </c>
      <c r="J232">
        <f>IFERROR(MATCH(SMALL(Cálculos!$AI$5:$AI$1000,228),Cálculos!$AI$5:$AI$1000,0)+4,"")</f>
        <v>61</v>
      </c>
    </row>
    <row r="233">
      <c r="A233" s="5" t="str">
        <f>IF($J233="","",INDEX('Detalle individual'!$B:$B,$J233))</f>
        <v>YENIS MARILU ESCOBAR SORTO</v>
      </c>
      <c r="B233" s="5" t="str">
        <f>IF($J233="","",INDEX('Detalle individual'!$A:$A,$J233))</f>
        <v>34</v>
      </c>
      <c r="C233" s="5" t="str">
        <f>IF($J233="","",INDEX('Detalle individual'!$E:$E,$J233))</f>
        <v>EJECUTIVO DE SOLUCIONES FINANCIERAS</v>
      </c>
      <c r="D233" s="5" t="str">
        <f>IF($J233="","",INDEX('Detalle individual'!$C:$C,$J233))</f>
        <v>DEPARTAMENTO DE SOLUCIONES FINANCIERAS</v>
      </c>
      <c r="E233" s="5" t="str">
        <f>IF($J233="","",INDEX('Detalle individual'!$D:$D,$J233))</f>
        <v>Gerencia de Operaciones</v>
      </c>
      <c r="F233" s="23">
        <f>IF($J233="","",INDEX('Detalle individual'!$H:$H,$J233))</f>
        <v>46309.354155092595</v>
      </c>
      <c r="G233" s="28">
        <f>IF($J233="","",INDEX('Detalle individual'!$J:$J,$J233))</f>
        <v>70</v>
      </c>
      <c r="H233" s="28">
        <f>IF($J233="","",INDEX('Detalle individual'!$L:$L,$J233))</f>
        <v>1</v>
      </c>
      <c r="J233">
        <f>IFERROR(MATCH(SMALL(Cálculos!$AI$5:$AI$1000,229),Cálculos!$AI$5:$AI$1000,0)+4,"")</f>
        <v>59</v>
      </c>
    </row>
    <row r="234">
      <c r="A234" s="5" t="str">
        <f>IF($J234="","",INDEX('Detalle individual'!$B:$B,$J234))</f>
        <v>ANA BEATRIZ QUINTEROS AVELAR</v>
      </c>
      <c r="B234" s="5" t="str">
        <f>IF($J234="","",INDEX('Detalle individual'!$A:$A,$J234))</f>
        <v>725</v>
      </c>
      <c r="C234" s="5" t="str">
        <f>IF($J234="","",INDEX('Detalle individual'!$E:$E,$J234))</f>
        <v>ASISTENTE TECNICO DE OPERACIONES DE TARJETAS</v>
      </c>
      <c r="D234" s="5" t="str">
        <f>IF($J234="","",INDEX('Detalle individual'!$C:$C,$J234))</f>
        <v>DEPARTAMENTO DE TARJETA DE CREDITO Y DEBITO</v>
      </c>
      <c r="E234" s="5" t="str">
        <f>IF($J234="","",INDEX('Detalle individual'!$D:$D,$J234))</f>
        <v>Gerencia de Operaciones</v>
      </c>
      <c r="F234" s="23">
        <f>IF($J234="","",INDEX('Detalle individual'!$H:$H,$J234))</f>
        <v>46309.65164351852</v>
      </c>
      <c r="G234" s="28">
        <f>IF($J234="","",INDEX('Detalle individual'!$J:$J,$J234))</f>
        <v>100</v>
      </c>
      <c r="H234" s="28">
        <f>IF($J234="","",INDEX('Detalle individual'!$L:$L,$J234))</f>
        <v>1</v>
      </c>
      <c r="J234">
        <f>IFERROR(MATCH(SMALL(Cálculos!$AI$5:$AI$1000,230),Cálculos!$AI$5:$AI$1000,0)+4,"")</f>
        <v>72</v>
      </c>
    </row>
    <row r="235">
      <c r="A235" s="5" t="str">
        <f>IF($J235="","",INDEX('Detalle individual'!$B:$B,$J235))</f>
        <v>ANDREA CAROLINA RUMUALDO MARTINEZ</v>
      </c>
      <c r="B235" s="5" t="str">
        <f>IF($J235="","",INDEX('Detalle individual'!$A:$A,$J235))</f>
        <v>952</v>
      </c>
      <c r="C235" s="5" t="str">
        <f>IF($J235="","",INDEX('Detalle individual'!$E:$E,$J235))</f>
        <v>AUXILIAR DE CONTROL DE CALIDAD</v>
      </c>
      <c r="D235" s="5" t="str">
        <f>IF($J235="","",INDEX('Detalle individual'!$C:$C,$J235))</f>
        <v>DEPARTAMENTO DE TARJETA DE CREDITO Y DEBITO</v>
      </c>
      <c r="E235" s="5" t="str">
        <f>IF($J235="","",INDEX('Detalle individual'!$D:$D,$J235))</f>
        <v>Gerencia de Operaciones</v>
      </c>
      <c r="F235" s="23">
        <f>IF($J235="","",INDEX('Detalle individual'!$H:$H,$J235))</f>
        <v>46296.65724537037</v>
      </c>
      <c r="G235" s="28">
        <f>IF($J235="","",INDEX('Detalle individual'!$J:$J,$J235))</f>
        <v>100</v>
      </c>
      <c r="H235" s="28">
        <f>IF($J235="","",INDEX('Detalle individual'!$L:$L,$J235))</f>
        <v>1</v>
      </c>
      <c r="J235">
        <f>IFERROR(MATCH(SMALL(Cálculos!$AI$5:$AI$1000,231),Cálculos!$AI$5:$AI$1000,0)+4,"")</f>
        <v>73</v>
      </c>
    </row>
    <row r="236">
      <c r="A236" s="5" t="str">
        <f>IF($J236="","",INDEX('Detalle individual'!$B:$B,$J236))</f>
        <v>CLAUDIA CAROLINA HERNANDEZ DE PAZ</v>
      </c>
      <c r="B236" s="5" t="str">
        <f>IF($J236="","",INDEX('Detalle individual'!$A:$A,$J236))</f>
        <v>389</v>
      </c>
      <c r="C236" s="5" t="str">
        <f>IF($J236="","",INDEX('Detalle individual'!$E:$E,$J236))</f>
        <v>ASISTENTE TECNICO DE INTERCAMBIO DE TARJETAS</v>
      </c>
      <c r="D236" s="5" t="str">
        <f>IF($J236="","",INDEX('Detalle individual'!$C:$C,$J236))</f>
        <v>DEPARTAMENTO DE TARJETA DE CREDITO Y DEBITO</v>
      </c>
      <c r="E236" s="5" t="str">
        <f>IF($J236="","",INDEX('Detalle individual'!$D:$D,$J236))</f>
        <v>Gerencia de Operaciones</v>
      </c>
      <c r="F236" s="23">
        <f>IF($J236="","",INDEX('Detalle individual'!$H:$H,$J236))</f>
        <v>46311.516226851854</v>
      </c>
      <c r="G236" s="28">
        <f>IF($J236="","",INDEX('Detalle individual'!$J:$J,$J236))</f>
        <v>100</v>
      </c>
      <c r="H236" s="28">
        <f>IF($J236="","",INDEX('Detalle individual'!$L:$L,$J236))</f>
        <v>1</v>
      </c>
      <c r="J236">
        <f>IFERROR(MATCH(SMALL(Cálculos!$AI$5:$AI$1000,232),Cálculos!$AI$5:$AI$1000,0)+4,"")</f>
        <v>69</v>
      </c>
    </row>
    <row r="237">
      <c r="A237" s="5" t="str">
        <f>IF($J237="","",INDEX('Detalle individual'!$B:$B,$J237))</f>
        <v>FATIMA ELIZABETH LEMUS RODRIGUEZ</v>
      </c>
      <c r="B237" s="5" t="str">
        <f>IF($J237="","",INDEX('Detalle individual'!$A:$A,$J237))</f>
        <v>980</v>
      </c>
      <c r="C237" s="5" t="str">
        <f>IF($J237="","",INDEX('Detalle individual'!$E:$E,$J237))</f>
        <v>AUXILIAR DE EMISION DE TARJETA</v>
      </c>
      <c r="D237" s="5" t="str">
        <f>IF($J237="","",INDEX('Detalle individual'!$C:$C,$J237))</f>
        <v>DEPARTAMENTO DE TARJETA DE CREDITO Y DEBITO</v>
      </c>
      <c r="E237" s="5" t="str">
        <f>IF($J237="","",INDEX('Detalle individual'!$D:$D,$J237))</f>
        <v>Gerencia de Operaciones</v>
      </c>
      <c r="F237" s="23">
        <f>IF($J237="","",INDEX('Detalle individual'!$H:$H,$J237))</f>
        <v>46296.71346064815</v>
      </c>
      <c r="G237" s="28">
        <f>IF($J237="","",INDEX('Detalle individual'!$J:$J,$J237))</f>
        <v>100</v>
      </c>
      <c r="H237" s="28">
        <f>IF($J237="","",INDEX('Detalle individual'!$L:$L,$J237))</f>
        <v>1</v>
      </c>
      <c r="J237">
        <f>IFERROR(MATCH(SMALL(Cálculos!$AI$5:$AI$1000,233),Cálculos!$AI$5:$AI$1000,0)+4,"")</f>
        <v>74</v>
      </c>
    </row>
    <row r="238">
      <c r="A238" s="5" t="str">
        <f>IF($J238="","",INDEX('Detalle individual'!$B:$B,$J238))</f>
        <v>LUIS ALEXANDER RAMIREZ MONTALVO</v>
      </c>
      <c r="B238" s="5" t="str">
        <f>IF($J238="","",INDEX('Detalle individual'!$A:$A,$J238))</f>
        <v>459</v>
      </c>
      <c r="C238" s="5" t="str">
        <f>IF($J238="","",INDEX('Detalle individual'!$E:$E,$J238))</f>
        <v>ASISTENTE TECNICO DE EMISION DE TARJETA</v>
      </c>
      <c r="D238" s="5" t="str">
        <f>IF($J238="","",INDEX('Detalle individual'!$C:$C,$J238))</f>
        <v>DEPARTAMENTO DE TARJETA DE CREDITO Y DEBITO</v>
      </c>
      <c r="E238" s="5" t="str">
        <f>IF($J238="","",INDEX('Detalle individual'!$D:$D,$J238))</f>
        <v>Gerencia de Operaciones</v>
      </c>
      <c r="F238" s="23">
        <f>IF($J238="","",INDEX('Detalle individual'!$H:$H,$J238))</f>
        <v>46304.57939814815</v>
      </c>
      <c r="G238" s="28">
        <f>IF($J238="","",INDEX('Detalle individual'!$J:$J,$J238))</f>
        <v>95</v>
      </c>
      <c r="H238" s="28">
        <f>IF($J238="","",INDEX('Detalle individual'!$L:$L,$J238))</f>
        <v>1</v>
      </c>
      <c r="J238">
        <f>IFERROR(MATCH(SMALL(Cálculos!$AI$5:$AI$1000,234),Cálculos!$AI$5:$AI$1000,0)+4,"")</f>
        <v>71</v>
      </c>
    </row>
    <row r="239">
      <c r="A239" s="5" t="str">
        <f>IF($J239="","",INDEX('Detalle individual'!$B:$B,$J239))</f>
        <v>PEDRO ERNESTO MORÁN RAMÍREZ</v>
      </c>
      <c r="B239" s="5" t="str">
        <f>IF($J239="","",INDEX('Detalle individual'!$A:$A,$J239))</f>
        <v>409</v>
      </c>
      <c r="C239" s="5" t="str">
        <f>IF($J239="","",INDEX('Detalle individual'!$E:$E,$J239))</f>
        <v>ADMINISTRADOR DE BASE DE DATOS</v>
      </c>
      <c r="D239" s="5" t="str">
        <f>IF($J239="","",INDEX('Detalle individual'!$C:$C,$J239))</f>
        <v>ADMINISTRACION DE BASE DE DATOS</v>
      </c>
      <c r="E239" s="5" t="str">
        <f>IF($J239="","",INDEX('Detalle individual'!$D:$D,$J239))</f>
        <v>Gerencia de Sistemas</v>
      </c>
      <c r="F239" s="23">
        <f>IF($J239="","",INDEX('Detalle individual'!$H:$H,$J239))</f>
        <v>46300.696018518516</v>
      </c>
      <c r="G239" s="28">
        <f>IF($J239="","",INDEX('Detalle individual'!$J:$J,$J239))</f>
        <v>95</v>
      </c>
      <c r="H239" s="28">
        <f>IF($J239="","",INDEX('Detalle individual'!$L:$L,$J239))</f>
        <v>1</v>
      </c>
      <c r="J239">
        <f>IFERROR(MATCH(SMALL(Cálculos!$AI$5:$AI$1000,235),Cálculos!$AI$5:$AI$1000,0)+4,"")</f>
        <v>122</v>
      </c>
    </row>
    <row r="240">
      <c r="A240" s="5" t="str">
        <f>IF($J240="","",INDEX('Detalle individual'!$B:$B,$J240))</f>
        <v>ALEJANDRA VERONICA CENTENO LOPEZ</v>
      </c>
      <c r="B240" s="5" t="str">
        <f>IF($J240="","",INDEX('Detalle individual'!$A:$A,$J240))</f>
        <v>899</v>
      </c>
      <c r="C240" s="5" t="str">
        <f>IF($J240="","",INDEX('Detalle individual'!$E:$E,$J240))</f>
        <v>ANALISTA PROGRAMADOR</v>
      </c>
      <c r="D240" s="5" t="str">
        <f>IF($J240="","",INDEX('Detalle individual'!$C:$C,$J240))</f>
        <v>DEPARTAMENTO DE ANALISIS Y PROGRAMACIÓN</v>
      </c>
      <c r="E240" s="5" t="str">
        <f>IF($J240="","",INDEX('Detalle individual'!$D:$D,$J240))</f>
        <v>Gerencia de Sistemas</v>
      </c>
      <c r="F240" s="23">
        <f>IF($J240="","",INDEX('Detalle individual'!$H:$H,$J240))</f>
        <v>46310.69614583333</v>
      </c>
      <c r="G240" s="28">
        <f>IF($J240="","",INDEX('Detalle individual'!$J:$J,$J240))</f>
        <v>100</v>
      </c>
      <c r="H240" s="28">
        <f>IF($J240="","",INDEX('Detalle individual'!$L:$L,$J240))</f>
        <v>1</v>
      </c>
      <c r="J240">
        <f>IFERROR(MATCH(SMALL(Cálculos!$AI$5:$AI$1000,236),Cálculos!$AI$5:$AI$1000,0)+4,"")</f>
        <v>121</v>
      </c>
    </row>
    <row r="241">
      <c r="A241" s="5" t="str">
        <f>IF($J241="","",INDEX('Detalle individual'!$B:$B,$J241))</f>
        <v>BYRON WILFREDO MENJIVAR MELENDEZ</v>
      </c>
      <c r="B241" s="5" t="str">
        <f>IF($J241="","",INDEX('Detalle individual'!$A:$A,$J241))</f>
        <v>806</v>
      </c>
      <c r="C241" s="5" t="str">
        <f>IF($J241="","",INDEX('Detalle individual'!$E:$E,$J241))</f>
        <v>ANALISTA PROGRAMADOR</v>
      </c>
      <c r="D241" s="5" t="str">
        <f>IF($J241="","",INDEX('Detalle individual'!$C:$C,$J241))</f>
        <v>DEPARTAMENTO DE ANALISIS Y PROGRAMACIÓN</v>
      </c>
      <c r="E241" s="5" t="str">
        <f>IF($J241="","",INDEX('Detalle individual'!$D:$D,$J241))</f>
        <v>Gerencia de Sistemas</v>
      </c>
      <c r="F241" s="23">
        <f>IF($J241="","",INDEX('Detalle individual'!$H:$H,$J241))</f>
        <v>46304.384618055556</v>
      </c>
      <c r="G241" s="28">
        <f>IF($J241="","",INDEX('Detalle individual'!$J:$J,$J241))</f>
        <v>100</v>
      </c>
      <c r="H241" s="28">
        <f>IF($J241="","",INDEX('Detalle individual'!$L:$L,$J241))</f>
        <v>1</v>
      </c>
      <c r="J241">
        <f>IFERROR(MATCH(SMALL(Cálculos!$AI$5:$AI$1000,237),Cálculos!$AI$5:$AI$1000,0)+4,"")</f>
        <v>118</v>
      </c>
    </row>
    <row r="242">
      <c r="A242" s="5" t="str">
        <f>IF($J242="","",INDEX('Detalle individual'!$B:$B,$J242))</f>
        <v>CARLOS FRANCISCO HERNANDEZ MUÑOZ</v>
      </c>
      <c r="B242" s="5" t="str">
        <f>IF($J242="","",INDEX('Detalle individual'!$A:$A,$J242))</f>
        <v>680</v>
      </c>
      <c r="C242" s="5" t="str">
        <f>IF($J242="","",INDEX('Detalle individual'!$E:$E,$J242))</f>
        <v>ANALISTA QA</v>
      </c>
      <c r="D242" s="5" t="str">
        <f>IF($J242="","",INDEX('Detalle individual'!$C:$C,$J242))</f>
        <v>DEPARTAMENTO DE ANALISIS Y PROGRAMACIÓN</v>
      </c>
      <c r="E242" s="5" t="str">
        <f>IF($J242="","",INDEX('Detalle individual'!$D:$D,$J242))</f>
        <v>Gerencia de Sistemas</v>
      </c>
      <c r="F242" s="23">
        <f>IF($J242="","",INDEX('Detalle individual'!$H:$H,$J242))</f>
        <v>46300.39171296296</v>
      </c>
      <c r="G242" s="28">
        <f>IF($J242="","",INDEX('Detalle individual'!$J:$J,$J242))</f>
        <v>100</v>
      </c>
      <c r="H242" s="28">
        <f>IF($J242="","",INDEX('Detalle individual'!$L:$L,$J242))</f>
        <v>1</v>
      </c>
      <c r="J242">
        <f>IFERROR(MATCH(SMALL(Cálculos!$AI$5:$AI$1000,238),Cálculos!$AI$5:$AI$1000,0)+4,"")</f>
        <v>115</v>
      </c>
    </row>
    <row r="243">
      <c r="A243" s="5" t="str">
        <f>IF($J243="","",INDEX('Detalle individual'!$B:$B,$J243))</f>
        <v>CELINA MARGARITA GUTIERREZ RODRIGUEZ</v>
      </c>
      <c r="B243" s="5" t="str">
        <f>IF($J243="","",INDEX('Detalle individual'!$A:$A,$J243))</f>
        <v>239</v>
      </c>
      <c r="C243" s="5" t="str">
        <f>IF($J243="","",INDEX('Detalle individual'!$E:$E,$J243))</f>
        <v>ANALISTA PROGRAMADOR SENIOR</v>
      </c>
      <c r="D243" s="5" t="str">
        <f>IF($J243="","",INDEX('Detalle individual'!$C:$C,$J243))</f>
        <v>DEPARTAMENTO DE ANALISIS Y PROGRAMACIÓN</v>
      </c>
      <c r="E243" s="5" t="str">
        <f>IF($J243="","",INDEX('Detalle individual'!$D:$D,$J243))</f>
        <v>Gerencia de Sistemas</v>
      </c>
      <c r="F243" s="23">
        <f>IF($J243="","",INDEX('Detalle individual'!$H:$H,$J243))</f>
        <v>46296.65938657407</v>
      </c>
      <c r="G243" s="28">
        <f>IF($J243="","",INDEX('Detalle individual'!$J:$J,$J243))</f>
        <v>100</v>
      </c>
      <c r="H243" s="28">
        <f>IF($J243="","",INDEX('Detalle individual'!$L:$L,$J243))</f>
        <v>1</v>
      </c>
      <c r="J243">
        <f>IFERROR(MATCH(SMALL(Cálculos!$AI$5:$AI$1000,239),Cálculos!$AI$5:$AI$1000,0)+4,"")</f>
        <v>111</v>
      </c>
    </row>
    <row r="244">
      <c r="A244" s="5" t="str">
        <f>IF($J244="","",INDEX('Detalle individual'!$B:$B,$J244))</f>
        <v>CLAUDIA MARGARITA CAMPOS GONZÁLEZ</v>
      </c>
      <c r="B244" s="5" t="str">
        <f>IF($J244="","",INDEX('Detalle individual'!$A:$A,$J244))</f>
        <v>410</v>
      </c>
      <c r="C244" s="5" t="str">
        <f>IF($J244="","",INDEX('Detalle individual'!$E:$E,$J244))</f>
        <v>JEFE DE ANALISIS Y PROGRAMACION</v>
      </c>
      <c r="D244" s="5" t="str">
        <f>IF($J244="","",INDEX('Detalle individual'!$C:$C,$J244))</f>
        <v>DEPARTAMENTO DE ANALISIS Y PROGRAMACIÓN</v>
      </c>
      <c r="E244" s="5" t="str">
        <f>IF($J244="","",INDEX('Detalle individual'!$D:$D,$J244))</f>
        <v>Gerencia de Sistemas</v>
      </c>
      <c r="F244" s="23">
        <f>IF($J244="","",INDEX('Detalle individual'!$H:$H,$J244))</f>
        <v>46307.69321759259</v>
      </c>
      <c r="G244" s="28">
        <f>IF($J244="","",INDEX('Detalle individual'!$J:$J,$J244))</f>
        <v>100</v>
      </c>
      <c r="H244" s="28">
        <f>IF($J244="","",INDEX('Detalle individual'!$L:$L,$J244))</f>
        <v>1</v>
      </c>
      <c r="J244">
        <f>IFERROR(MATCH(SMALL(Cálculos!$AI$5:$AI$1000,240),Cálculos!$AI$5:$AI$1000,0)+4,"")</f>
        <v>113</v>
      </c>
    </row>
    <row r="245">
      <c r="A245" s="5" t="str">
        <f>IF($J245="","",INDEX('Detalle individual'!$B:$B,$J245))</f>
        <v>GLADIS EVELIN CASTILLO TORRES</v>
      </c>
      <c r="B245" s="5" t="str">
        <f>IF($J245="","",INDEX('Detalle individual'!$A:$A,$J245))</f>
        <v>474</v>
      </c>
      <c r="C245" s="5" t="str">
        <f>IF($J245="","",INDEX('Detalle individual'!$E:$E,$J245))</f>
        <v>ANALISTA PROGRAMADOR SENIOR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23">
        <f>IF($J245="","",INDEX('Detalle individual'!$H:$H,$J245))</f>
        <v>46297.48825231481</v>
      </c>
      <c r="G245" s="28">
        <f>IF($J245="","",INDEX('Detalle individual'!$J:$J,$J245))</f>
        <v>100</v>
      </c>
      <c r="H245" s="28">
        <f>IF($J245="","",INDEX('Detalle individual'!$L:$L,$J245))</f>
        <v>1</v>
      </c>
      <c r="J245">
        <f>IFERROR(MATCH(SMALL(Cálculos!$AI$5:$AI$1000,241),Cálculos!$AI$5:$AI$1000,0)+4,"")</f>
        <v>114</v>
      </c>
    </row>
    <row r="246">
      <c r="A246" s="5" t="str">
        <f>IF($J246="","",INDEX('Detalle individual'!$B:$B,$J246))</f>
        <v>HILDA MARGARITA ABREGO BRAN</v>
      </c>
      <c r="B246" s="5" t="str">
        <f>IF($J246="","",INDEX('Detalle individual'!$A:$A,$J246))</f>
        <v>320</v>
      </c>
      <c r="C246" s="5" t="str">
        <f>IF($J246="","",INDEX('Detalle individual'!$E:$E,$J246))</f>
        <v>ANALISTA QA</v>
      </c>
      <c r="D246" s="5" t="str">
        <f>IF($J246="","",INDEX('Detalle individual'!$C:$C,$J246))</f>
        <v>DEPARTAMENTO DE ANALISIS Y PROGRAMACIÓN</v>
      </c>
      <c r="E246" s="5" t="str">
        <f>IF($J246="","",INDEX('Detalle individual'!$D:$D,$J246))</f>
        <v>Gerencia de Sistemas</v>
      </c>
      <c r="F246" s="23">
        <f>IF($J246="","",INDEX('Detalle individual'!$H:$H,$J246))</f>
        <v>46296.59023148148</v>
      </c>
      <c r="G246" s="28">
        <f>IF($J246="","",INDEX('Detalle individual'!$J:$J,$J246))</f>
        <v>100</v>
      </c>
      <c r="H246" s="28">
        <f>IF($J246="","",INDEX('Detalle individual'!$L:$L,$J246))</f>
        <v>1</v>
      </c>
      <c r="J246">
        <f>IFERROR(MATCH(SMALL(Cálculos!$AI$5:$AI$1000,242),Cálculos!$AI$5:$AI$1000,0)+4,"")</f>
        <v>112</v>
      </c>
    </row>
    <row r="247">
      <c r="A247" s="5" t="str">
        <f>IF($J247="","",INDEX('Detalle individual'!$B:$B,$J247))</f>
        <v>JEAN HARRY MIRANDA ARAUJO</v>
      </c>
      <c r="B247" s="5" t="str">
        <f>IF($J247="","",INDEX('Detalle individual'!$A:$A,$J247))</f>
        <v>752</v>
      </c>
      <c r="C247" s="5" t="str">
        <f>IF($J247="","",INDEX('Detalle individual'!$E:$E,$J247))</f>
        <v>ANALISTA PROGRAMADOR</v>
      </c>
      <c r="D247" s="5" t="str">
        <f>IF($J247="","",INDEX('Detalle individual'!$C:$C,$J247))</f>
        <v>DEPARTAMENTO DE ANALISIS Y PROGRAMACIÓN</v>
      </c>
      <c r="E247" s="5" t="str">
        <f>IF($J247="","",INDEX('Detalle individual'!$D:$D,$J247))</f>
        <v>Gerencia de Sistemas</v>
      </c>
      <c r="F247" s="23">
        <f>IF($J247="","",INDEX('Detalle individual'!$H:$H,$J247))</f>
        <v>46307.43311342593</v>
      </c>
      <c r="G247" s="28">
        <f>IF($J247="","",INDEX('Detalle individual'!$J:$J,$J247))</f>
        <v>100</v>
      </c>
      <c r="H247" s="28">
        <f>IF($J247="","",INDEX('Detalle individual'!$L:$L,$J247))</f>
        <v>1</v>
      </c>
      <c r="J247">
        <f>IFERROR(MATCH(SMALL(Cálculos!$AI$5:$AI$1000,243),Cálculos!$AI$5:$AI$1000,0)+4,"")</f>
        <v>116</v>
      </c>
    </row>
    <row r="248">
      <c r="A248" s="5" t="str">
        <f>IF($J248="","",INDEX('Detalle individual'!$B:$B,$J248))</f>
        <v>JONATHAN ALEXIS BERRIOS MENJIVAR</v>
      </c>
      <c r="B248" s="5" t="str">
        <f>IF($J248="","",INDEX('Detalle individual'!$A:$A,$J248))</f>
        <v>783</v>
      </c>
      <c r="C248" s="5" t="str">
        <f>IF($J248="","",INDEX('Detalle individual'!$E:$E,$J248))</f>
        <v>ANALISTA PROGRAMADOR</v>
      </c>
      <c r="D248" s="5" t="str">
        <f>IF($J248="","",INDEX('Detalle individual'!$C:$C,$J248))</f>
        <v>DEPARTAMENTO DE ANALISIS Y PROGRAMACIÓN</v>
      </c>
      <c r="E248" s="5" t="str">
        <f>IF($J248="","",INDEX('Detalle individual'!$D:$D,$J248))</f>
        <v>Gerencia de Sistemas</v>
      </c>
      <c r="F248" s="23">
        <f>IF($J248="","",INDEX('Detalle individual'!$H:$H,$J248))</f>
        <v>46304.40027777778</v>
      </c>
      <c r="G248" s="28">
        <f>IF($J248="","",INDEX('Detalle individual'!$J:$J,$J248))</f>
        <v>100</v>
      </c>
      <c r="H248" s="28">
        <f>IF($J248="","",INDEX('Detalle individual'!$L:$L,$J248))</f>
        <v>1</v>
      </c>
      <c r="J248">
        <f>IFERROR(MATCH(SMALL(Cálculos!$AI$5:$AI$1000,244),Cálculos!$AI$5:$AI$1000,0)+4,"")</f>
        <v>117</v>
      </c>
    </row>
    <row r="249">
      <c r="A249" s="5" t="str">
        <f>IF($J249="","",INDEX('Detalle individual'!$B:$B,$J249))</f>
        <v>MILAGRO NATIVIDAD ESCOBAR MELENDEZ</v>
      </c>
      <c r="B249" s="5" t="str">
        <f>IF($J249="","",INDEX('Detalle individual'!$A:$A,$J249))</f>
        <v>879</v>
      </c>
      <c r="C249" s="5" t="str">
        <f>IF($J249="","",INDEX('Detalle individual'!$E:$E,$J249))</f>
        <v>ANALISTA PROGRAMADOR</v>
      </c>
      <c r="D249" s="5" t="str">
        <f>IF($J249="","",INDEX('Detalle individual'!$C:$C,$J249))</f>
        <v>DEPARTAMENTO DE ANALISIS Y PROGRAMACIÓN</v>
      </c>
      <c r="E249" s="5" t="str">
        <f>IF($J249="","",INDEX('Detalle individual'!$D:$D,$J249))</f>
        <v>Gerencia de Sistemas</v>
      </c>
      <c r="F249" s="23">
        <f>IF($J249="","",INDEX('Detalle individual'!$H:$H,$J249))</f>
        <v>46304.394837962966</v>
      </c>
      <c r="G249" s="28">
        <f>IF($J249="","",INDEX('Detalle individual'!$J:$J,$J249))</f>
        <v>100</v>
      </c>
      <c r="H249" s="28">
        <f>IF($J249="","",INDEX('Detalle individual'!$L:$L,$J249))</f>
        <v>1</v>
      </c>
      <c r="J249">
        <f>IFERROR(MATCH(SMALL(Cálculos!$AI$5:$AI$1000,245),Cálculos!$AI$5:$AI$1000,0)+4,"")</f>
        <v>120</v>
      </c>
    </row>
    <row r="250">
      <c r="A250" s="5" t="str">
        <f>IF($J250="","",INDEX('Detalle individual'!$B:$B,$J250))</f>
        <v>RODRIGO FERNANDO FIGUEROA RIVAS</v>
      </c>
      <c r="B250" s="5" t="str">
        <f>IF($J250="","",INDEX('Detalle individual'!$A:$A,$J250))</f>
        <v>824</v>
      </c>
      <c r="C250" s="5" t="str">
        <f>IF($J250="","",INDEX('Detalle individual'!$E:$E,$J250))</f>
        <v>ANALISTA PROGRAMADOR JUNIOR</v>
      </c>
      <c r="D250" s="5" t="str">
        <f>IF($J250="","",INDEX('Detalle individual'!$C:$C,$J250))</f>
        <v>DEPARTAMENTO DE ANALISIS Y PROGRAMACIÓN</v>
      </c>
      <c r="E250" s="5" t="str">
        <f>IF($J250="","",INDEX('Detalle individual'!$D:$D,$J250))</f>
        <v>Gerencia de Sistemas</v>
      </c>
      <c r="F250" s="23">
        <f>IF($J250="","",INDEX('Detalle individual'!$H:$H,$J250))</f>
        <v>46304.38784722222</v>
      </c>
      <c r="G250" s="28">
        <f>IF($J250="","",INDEX('Detalle individual'!$J:$J,$J250))</f>
        <v>100</v>
      </c>
      <c r="H250" s="28">
        <f>IF($J250="","",INDEX('Detalle individual'!$L:$L,$J250))</f>
        <v>1</v>
      </c>
      <c r="J250">
        <f>IFERROR(MATCH(SMALL(Cálculos!$AI$5:$AI$1000,246),Cálculos!$AI$5:$AI$1000,0)+4,"")</f>
        <v>119</v>
      </c>
    </row>
    <row r="251">
      <c r="A251" s="5" t="str">
        <f>IF($J251="","",INDEX('Detalle individual'!$B:$B,$J251))</f>
        <v>CARLOS ALFONSO MOLINA CARDONA</v>
      </c>
      <c r="B251" s="5" t="str">
        <f>IF($J251="","",INDEX('Detalle individual'!$A:$A,$J251))</f>
        <v>281</v>
      </c>
      <c r="C251" s="5" t="str">
        <f>IF($J251="","",INDEX('Detalle individual'!$E:$E,$J251))</f>
        <v>OPERADOR DE SISTEMAS</v>
      </c>
      <c r="D251" s="5" t="str">
        <f>IF($J251="","",INDEX('Detalle individual'!$C:$C,$J251))</f>
        <v>DEPARTAMENTO DE OPERACIONES Y SOPORTE TECNICO</v>
      </c>
      <c r="E251" s="5" t="str">
        <f>IF($J251="","",INDEX('Detalle individual'!$D:$D,$J251))</f>
        <v>Gerencia de Sistemas</v>
      </c>
      <c r="F251" s="23">
        <f>IF($J251="","",INDEX('Detalle individual'!$H:$H,$J251))</f>
        <v>46300.48065972222</v>
      </c>
      <c r="G251" s="28">
        <f>IF($J251="","",INDEX('Detalle individual'!$J:$J,$J251))</f>
        <v>100</v>
      </c>
      <c r="H251" s="28">
        <f>IF($J251="","",INDEX('Detalle individual'!$L:$L,$J251))</f>
        <v>1</v>
      </c>
      <c r="J251">
        <f>IFERROR(MATCH(SMALL(Cálculos!$AI$5:$AI$1000,247),Cálculos!$AI$5:$AI$1000,0)+4,"")</f>
        <v>108</v>
      </c>
    </row>
    <row r="252">
      <c r="A252" s="5" t="str">
        <f>IF($J252="","",INDEX('Detalle individual'!$B:$B,$J252))</f>
        <v>CARLOS ORLANDO GARCIA VELASQUEZ</v>
      </c>
      <c r="B252" s="5" t="str">
        <f>IF($J252="","",INDEX('Detalle individual'!$A:$A,$J252))</f>
        <v>221</v>
      </c>
      <c r="C252" s="5" t="str">
        <f>IF($J252="","",INDEX('Detalle individual'!$E:$E,$J252))</f>
        <v>TECNICO EN SOPORTE</v>
      </c>
      <c r="D252" s="5" t="str">
        <f>IF($J252="","",INDEX('Detalle individual'!$C:$C,$J252))</f>
        <v>DEPARTAMENTO DE OPERACIONES Y SOPORTE TECNICO</v>
      </c>
      <c r="E252" s="5" t="str">
        <f>IF($J252="","",INDEX('Detalle individual'!$D:$D,$J252))</f>
        <v>Gerencia de Sistemas</v>
      </c>
      <c r="F252" s="23">
        <f>IF($J252="","",INDEX('Detalle individual'!$H:$H,$J252))</f>
        <v>46300.58950231481</v>
      </c>
      <c r="G252" s="28">
        <f>IF($J252="","",INDEX('Detalle individual'!$J:$J,$J252))</f>
        <v>100</v>
      </c>
      <c r="H252" s="28">
        <f>IF($J252="","",INDEX('Detalle individual'!$L:$L,$J252))</f>
        <v>1</v>
      </c>
      <c r="J252">
        <f>IFERROR(MATCH(SMALL(Cálculos!$AI$5:$AI$1000,248),Cálculos!$AI$5:$AI$1000,0)+4,"")</f>
        <v>106</v>
      </c>
    </row>
    <row r="253">
      <c r="A253" s="5" t="str">
        <f>IF($J253="","",INDEX('Detalle individual'!$B:$B,$J253))</f>
        <v>EDGAR MARGARITO POZO SHUPAN</v>
      </c>
      <c r="B253" s="5" t="str">
        <f>IF($J253="","",INDEX('Detalle individual'!$A:$A,$J253))</f>
        <v>259</v>
      </c>
      <c r="C253" s="5" t="str">
        <f>IF($J253="","",INDEX('Detalle individual'!$E:$E,$J253))</f>
        <v>TECNICO EN SOPORTE</v>
      </c>
      <c r="D253" s="5" t="str">
        <f>IF($J253="","",INDEX('Detalle individual'!$C:$C,$J253))</f>
        <v>DEPARTAMENTO DE OPERACIONES Y SOPORTE TECNICO</v>
      </c>
      <c r="E253" s="5" t="str">
        <f>IF($J253="","",INDEX('Detalle individual'!$D:$D,$J253))</f>
        <v>Gerencia de Sistemas</v>
      </c>
      <c r="F253" s="23">
        <f>IF($J253="","",INDEX('Detalle individual'!$H:$H,$J253))</f>
        <v>46300.63810185185</v>
      </c>
      <c r="G253" s="28">
        <f>IF($J253="","",INDEX('Detalle individual'!$J:$J,$J253))</f>
        <v>100</v>
      </c>
      <c r="H253" s="28">
        <f>IF($J253="","",INDEX('Detalle individual'!$L:$L,$J253))</f>
        <v>1</v>
      </c>
      <c r="J253">
        <f>IFERROR(MATCH(SMALL(Cálculos!$AI$5:$AI$1000,249),Cálculos!$AI$5:$AI$1000,0)+4,"")</f>
        <v>107</v>
      </c>
    </row>
    <row r="254">
      <c r="A254" s="5" t="str">
        <f>IF($J254="","",INDEX('Detalle individual'!$B:$B,$J254))</f>
        <v>JORGE ALBERTO BARRERA</v>
      </c>
      <c r="B254" s="5" t="str">
        <f>IF($J254="","",INDEX('Detalle individual'!$A:$A,$J254))</f>
        <v>880</v>
      </c>
      <c r="C254" s="5" t="str">
        <f>IF($J254="","",INDEX('Detalle individual'!$E:$E,$J254))</f>
        <v>JEFE DE OPERACIONES Y SOPORTE TECNICO</v>
      </c>
      <c r="D254" s="5" t="str">
        <f>IF($J254="","",INDEX('Detalle individual'!$C:$C,$J254))</f>
        <v>DEPARTAMENTO DE OPERACIONES Y SOPORTE TECNICO</v>
      </c>
      <c r="E254" s="5" t="str">
        <f>IF($J254="","",INDEX('Detalle individual'!$D:$D,$J254))</f>
        <v>Gerencia de Sistemas</v>
      </c>
      <c r="F254" s="23">
        <f>IF($J254="","",INDEX('Detalle individual'!$H:$H,$J254))</f>
        <v>46300.5841087963</v>
      </c>
      <c r="G254" s="28">
        <f>IF($J254="","",INDEX('Detalle individual'!$J:$J,$J254))</f>
        <v>100</v>
      </c>
      <c r="H254" s="28">
        <f>IF($J254="","",INDEX('Detalle individual'!$L:$L,$J254))</f>
        <v>1</v>
      </c>
      <c r="J254">
        <f>IFERROR(MATCH(SMALL(Cálculos!$AI$5:$AI$1000,250),Cálculos!$AI$5:$AI$1000,0)+4,"")</f>
        <v>110</v>
      </c>
    </row>
    <row r="255">
      <c r="A255" s="5" t="str">
        <f>IF($J255="","",INDEX('Detalle individual'!$B:$B,$J255))</f>
        <v>JUAN JOSE LOPEZ ALFARO</v>
      </c>
      <c r="B255" s="5" t="str">
        <f>IF($J255="","",INDEX('Detalle individual'!$A:$A,$J255))</f>
        <v>119</v>
      </c>
      <c r="C255" s="5" t="str">
        <f>IF($J255="","",INDEX('Detalle individual'!$E:$E,$J255))</f>
        <v>OPERADOR DE SISTEMAS</v>
      </c>
      <c r="D255" s="5" t="str">
        <f>IF($J255="","",INDEX('Detalle individual'!$C:$C,$J255))</f>
        <v>DEPARTAMENTO DE OPERACIONES Y SOPORTE TECNICO</v>
      </c>
      <c r="E255" s="5" t="str">
        <f>IF($J255="","",INDEX('Detalle individual'!$D:$D,$J255))</f>
        <v>Gerencia de Sistemas</v>
      </c>
      <c r="F255" s="23">
        <f>IF($J255="","",INDEX('Detalle individual'!$H:$H,$J255))</f>
        <v>46302.441828703704</v>
      </c>
      <c r="G255" s="28">
        <f>IF($J255="","",INDEX('Detalle individual'!$J:$J,$J255))</f>
        <v>100</v>
      </c>
      <c r="H255" s="28">
        <f>IF($J255="","",INDEX('Detalle individual'!$L:$L,$J255))</f>
        <v>1</v>
      </c>
      <c r="J255">
        <f>IFERROR(MATCH(SMALL(Cálculos!$AI$5:$AI$1000,251),Cálculos!$AI$5:$AI$1000,0)+4,"")</f>
        <v>105</v>
      </c>
    </row>
    <row r="256">
      <c r="A256" s="5" t="str">
        <f>IF($J256="","",INDEX('Detalle individual'!$B:$B,$J256))</f>
        <v>JULIO ADOLFO MOLINA ARRIOLA</v>
      </c>
      <c r="B256" s="5" t="str">
        <f>IF($J256="","",INDEX('Detalle individual'!$A:$A,$J256))</f>
        <v>490</v>
      </c>
      <c r="C256" s="5" t="str">
        <f>IF($J256="","",INDEX('Detalle individual'!$E:$E,$J256))</f>
        <v>OPERADOR DE SISTEMAS</v>
      </c>
      <c r="D256" s="5" t="str">
        <f>IF($J256="","",INDEX('Detalle individual'!$C:$C,$J256))</f>
        <v>DEPARTAMENTO DE OPERACIONES Y SOPORTE TECNICO</v>
      </c>
      <c r="E256" s="5" t="str">
        <f>IF($J256="","",INDEX('Detalle individual'!$D:$D,$J256))</f>
        <v>Gerencia de Sistemas</v>
      </c>
      <c r="F256" s="23">
        <f>IF($J256="","",INDEX('Detalle individual'!$H:$H,$J256))</f>
        <v>46301.436527777776</v>
      </c>
      <c r="G256" s="28">
        <f>IF($J256="","",INDEX('Detalle individual'!$J:$J,$J256))</f>
        <v>100</v>
      </c>
      <c r="H256" s="28">
        <f>IF($J256="","",INDEX('Detalle individual'!$L:$L,$J256))</f>
        <v>1</v>
      </c>
      <c r="J256">
        <f>IFERROR(MATCH(SMALL(Cálculos!$AI$5:$AI$1000,252),Cálculos!$AI$5:$AI$1000,0)+4,"")</f>
        <v>109</v>
      </c>
    </row>
    <row r="257">
      <c r="A257" s="5" t="str">
        <f>IF($J257="","",INDEX('Detalle individual'!$B:$B,$J257))</f>
        <v>ALEX VIRGILIO AGUILAR ARIAS</v>
      </c>
      <c r="B257" s="5" t="str">
        <f>IF($J257="","",INDEX('Detalle individual'!$A:$A,$J257))</f>
        <v>878</v>
      </c>
      <c r="C257" s="5" t="str">
        <f>IF($J257="","",INDEX('Detalle individual'!$E:$E,$J257))</f>
        <v>GERENTE DE SISTEMAS</v>
      </c>
      <c r="D257" s="5" t="str">
        <f>IF($J257="","",INDEX('Detalle individual'!$C:$C,$J257))</f>
        <v>GERENCIA DE SISTEMAS</v>
      </c>
      <c r="E257" s="5" t="str">
        <f>IF($J257="","",INDEX('Detalle individual'!$D:$D,$J257))</f>
        <v>Gerencia de Sistemas</v>
      </c>
      <c r="F257" s="23">
        <f>IF($J257="","",INDEX('Detalle individual'!$H:$H,$J257))</f>
        <v>46310.696747685186</v>
      </c>
      <c r="G257" s="28">
        <f>IF($J257="","",INDEX('Detalle individual'!$J:$J,$J257))</f>
        <v>100</v>
      </c>
      <c r="H257" s="28">
        <f>IF($J257="","",INDEX('Detalle individual'!$L:$L,$J257))</f>
        <v>1</v>
      </c>
      <c r="J257">
        <f>IFERROR(MATCH(SMALL(Cálculos!$AI$5:$AI$1000,253),Cálculos!$AI$5:$AI$1000,0)+4,"")</f>
        <v>9</v>
      </c>
    </row>
    <row r="258">
      <c r="A258" s="5" t="str">
        <f>IF($J258="","",INDEX('Detalle individual'!$B:$B,$J258))</f>
        <v>FERMIN ABIEL VIERA LINARES</v>
      </c>
      <c r="B258" s="5" t="str">
        <f>IF($J258="","",INDEX('Detalle individual'!$A:$A,$J258))</f>
        <v>804</v>
      </c>
      <c r="C258" s="5" t="str">
        <f>IF($J258="","",INDEX('Detalle individual'!$E:$E,$J258))</f>
        <v>ANALISTA DE CAMBIOS Y SEGURIDAD</v>
      </c>
      <c r="D258" s="5" t="str">
        <f>IF($J258="","",INDEX('Detalle individual'!$C:$C,$J258))</f>
        <v>GERENCIA DE SISTEMAS</v>
      </c>
      <c r="E258" s="5" t="str">
        <f>IF($J258="","",INDEX('Detalle individual'!$D:$D,$J258))</f>
        <v>Gerencia de Sistemas</v>
      </c>
      <c r="F258" s="23">
        <f>IF($J258="","",INDEX('Detalle individual'!$H:$H,$J258))</f>
        <v>46304.407905092594</v>
      </c>
      <c r="G258" s="28">
        <f>IF($J258="","",INDEX('Detalle individual'!$J:$J,$J258))</f>
        <v>100</v>
      </c>
      <c r="H258" s="28">
        <f>IF($J258="","",INDEX('Detalle individual'!$L:$L,$J258))</f>
        <v>1</v>
      </c>
      <c r="J258">
        <f>IFERROR(MATCH(SMALL(Cálculos!$AI$5:$AI$1000,254),Cálculos!$AI$5:$AI$1000,0)+4,"")</f>
        <v>102</v>
      </c>
    </row>
    <row r="259">
      <c r="A259" s="5" t="str">
        <f>IF($J259="","",INDEX('Detalle individual'!$B:$B,$J259))</f>
        <v>FLOR MARISELA TORRES VELASQUEZ</v>
      </c>
      <c r="B259" s="5" t="str">
        <f>IF($J259="","",INDEX('Detalle individual'!$A:$A,$J259))</f>
        <v>393</v>
      </c>
      <c r="C259" s="5" t="str">
        <f>IF($J259="","",INDEX('Detalle individual'!$E:$E,$J259))</f>
        <v>LIDER DE PROYECTOS TECNOLOGICOS</v>
      </c>
      <c r="D259" s="5" t="str">
        <f>IF($J259="","",INDEX('Detalle individual'!$C:$C,$J259))</f>
        <v>GERENCIA DE SISTEMAS</v>
      </c>
      <c r="E259" s="5" t="str">
        <f>IF($J259="","",INDEX('Detalle individual'!$D:$D,$J259))</f>
        <v>Gerencia de Sistemas</v>
      </c>
      <c r="F259" s="23">
        <f>IF($J259="","",INDEX('Detalle individual'!$H:$H,$J259))</f>
        <v>46307.48341435185</v>
      </c>
      <c r="G259" s="28">
        <f>IF($J259="","",INDEX('Detalle individual'!$J:$J,$J259))</f>
        <v>100</v>
      </c>
      <c r="H259" s="28">
        <f>IF($J259="","",INDEX('Detalle individual'!$L:$L,$J259))</f>
        <v>1</v>
      </c>
      <c r="J259">
        <f>IFERROR(MATCH(SMALL(Cálculos!$AI$5:$AI$1000,255),Cálculos!$AI$5:$AI$1000,0)+4,"")</f>
        <v>101</v>
      </c>
    </row>
    <row r="260">
      <c r="A260" s="5" t="str">
        <f>IF($J260="","",INDEX('Detalle individual'!$B:$B,$J260))</f>
        <v>ISMAEL HUMBERTO GUERRERO FLORES</v>
      </c>
      <c r="B260" s="5" t="str">
        <f>IF($J260="","",INDEX('Detalle individual'!$A:$A,$J260))</f>
        <v>883</v>
      </c>
      <c r="C260" s="5" t="str">
        <f>IF($J260="","",INDEX('Detalle individual'!$E:$E,$J260))</f>
        <v>ADMINISTRADOR DE SEGURIDAD INFORMATICA</v>
      </c>
      <c r="D260" s="5" t="str">
        <f>IF($J260="","",INDEX('Detalle individual'!$C:$C,$J260))</f>
        <v>GERENCIA DE SISTEMAS</v>
      </c>
      <c r="E260" s="5" t="str">
        <f>IF($J260="","",INDEX('Detalle individual'!$D:$D,$J260))</f>
        <v>Gerencia de Sistemas</v>
      </c>
      <c r="F260" s="23">
        <f>IF($J260="","",INDEX('Detalle individual'!$H:$H,$J260))</f>
        <v>46300.58474537037</v>
      </c>
      <c r="G260" s="28">
        <f>IF($J260="","",INDEX('Detalle individual'!$J:$J,$J260))</f>
        <v>95</v>
      </c>
      <c r="H260" s="28">
        <f>IF($J260="","",INDEX('Detalle individual'!$L:$L,$J260))</f>
        <v>1</v>
      </c>
      <c r="J260">
        <f>IFERROR(MATCH(SMALL(Cálculos!$AI$5:$AI$1000,256),Cálculos!$AI$5:$AI$1000,0)+4,"")</f>
        <v>103</v>
      </c>
    </row>
    <row r="261">
      <c r="A261" s="5" t="str">
        <f>IF($J261="","",INDEX('Detalle individual'!$B:$B,$J261))</f>
        <v>HENRRY DANIEL ESCAMILLA ZALDAÑA</v>
      </c>
      <c r="B261" s="5" t="str">
        <f>IF($J261="","",INDEX('Detalle individual'!$A:$A,$J261))</f>
        <v>928</v>
      </c>
      <c r="C261" s="5" t="str">
        <f>IF($J261="","",INDEX('Detalle individual'!$E:$E,$J261))</f>
        <v>JEFE DE ADMINISTRACION DE RIESGOS</v>
      </c>
      <c r="D261" s="5" t="str">
        <f>IF($J261="","",INDEX('Detalle individual'!$C:$C,$J261))</f>
        <v>ADMINISTRACION DE RIESGOS</v>
      </c>
      <c r="E261" s="5" t="str">
        <f>IF($J261="","",INDEX('Detalle individual'!$D:$D,$J261))</f>
        <v>Gerencia General</v>
      </c>
      <c r="F261" s="23">
        <f>IF($J261="","",INDEX('Detalle individual'!$H:$H,$J261))</f>
        <v>46305.39865740741</v>
      </c>
      <c r="G261" s="28">
        <f>IF($J261="","",INDEX('Detalle individual'!$J:$J,$J261))</f>
        <v>100</v>
      </c>
      <c r="H261" s="28">
        <f>IF($J261="","",INDEX('Detalle individual'!$L:$L,$J261))</f>
        <v>1</v>
      </c>
      <c r="J261">
        <f>IFERROR(MATCH(SMALL(Cálculos!$AI$5:$AI$1000,257),Cálculos!$AI$5:$AI$1000,0)+4,"")</f>
        <v>17</v>
      </c>
    </row>
    <row r="262">
      <c r="A262" s="5" t="str">
        <f>IF($J262="","",INDEX('Detalle individual'!$B:$B,$J262))</f>
        <v>MELVIN ENRIQUE PORTILLO VALLE</v>
      </c>
      <c r="B262" s="5" t="str">
        <f>IF($J262="","",INDEX('Detalle individual'!$A:$A,$J262))</f>
        <v>290</v>
      </c>
      <c r="C262" s="5" t="str">
        <f>IF($J262="","",INDEX('Detalle individual'!$E:$E,$J262))</f>
        <v>ANALISTA DE RIESGOS FINANCIEROS</v>
      </c>
      <c r="D262" s="5" t="str">
        <f>IF($J262="","",INDEX('Detalle individual'!$C:$C,$J262))</f>
        <v>ADMINISTRACION DE RIESGOS</v>
      </c>
      <c r="E262" s="5" t="str">
        <f>IF($J262="","",INDEX('Detalle individual'!$D:$D,$J262))</f>
        <v>Gerencia General</v>
      </c>
      <c r="F262" s="23">
        <f>IF($J262="","",INDEX('Detalle individual'!$H:$H,$J262))</f>
        <v>46304.40962962963</v>
      </c>
      <c r="G262" s="28">
        <f>IF($J262="","",INDEX('Detalle individual'!$J:$J,$J262))</f>
        <v>100</v>
      </c>
      <c r="H262" s="28">
        <f>IF($J262="","",INDEX('Detalle individual'!$L:$L,$J262))</f>
        <v>1</v>
      </c>
      <c r="J262">
        <f>IFERROR(MATCH(SMALL(Cálculos!$AI$5:$AI$1000,258),Cálculos!$AI$5:$AI$1000,0)+4,"")</f>
        <v>14</v>
      </c>
    </row>
    <row r="263">
      <c r="A263" s="5" t="str">
        <f>IF($J263="","",INDEX('Detalle individual'!$B:$B,$J263))</f>
        <v>SARA PATRICIA GONZALEZ JIMENEZ</v>
      </c>
      <c r="B263" s="5" t="str">
        <f>IF($J263="","",INDEX('Detalle individual'!$A:$A,$J263))</f>
        <v>408</v>
      </c>
      <c r="C263" s="5" t="str">
        <f>IF($J263="","",INDEX('Detalle individual'!$E:$E,$J263))</f>
        <v>ASISTENTE TECNICO DE RIESGOS</v>
      </c>
      <c r="D263" s="5" t="str">
        <f>IF($J263="","",INDEX('Detalle individual'!$C:$C,$J263))</f>
        <v>ADMINISTRACION DE RIESGOS</v>
      </c>
      <c r="E263" s="5" t="str">
        <f>IF($J263="","",INDEX('Detalle individual'!$D:$D,$J263))</f>
        <v>Gerencia General</v>
      </c>
      <c r="F263" s="23">
        <f>IF($J263="","",INDEX('Detalle individual'!$H:$H,$J263))</f>
        <v>46296.438796296294</v>
      </c>
      <c r="G263" s="28">
        <f>IF($J263="","",INDEX('Detalle individual'!$J:$J,$J263))</f>
        <v>100</v>
      </c>
      <c r="H263" s="28">
        <f>IF($J263="","",INDEX('Detalle individual'!$L:$L,$J263))</f>
        <v>1</v>
      </c>
      <c r="J263">
        <f>IFERROR(MATCH(SMALL(Cálculos!$AI$5:$AI$1000,259),Cálculos!$AI$5:$AI$1000,0)+4,"")</f>
        <v>15</v>
      </c>
    </row>
    <row r="264">
      <c r="A264" s="5" t="str">
        <f>IF($J264="","",INDEX('Detalle individual'!$B:$B,$J264))</f>
        <v>SILVIA IVETH MARTINEZ RAMIREZ</v>
      </c>
      <c r="B264" s="5" t="str">
        <f>IF($J264="","",INDEX('Detalle individual'!$A:$A,$J264))</f>
        <v>433</v>
      </c>
      <c r="C264" s="5" t="str">
        <f>IF($J264="","",INDEX('Detalle individual'!$E:$E,$J264))</f>
        <v>ANALISTA DE RIESGO OPERACIONAL</v>
      </c>
      <c r="D264" s="5" t="str">
        <f>IF($J264="","",INDEX('Detalle individual'!$C:$C,$J264))</f>
        <v>ADMINISTRACION DE RIESGOS</v>
      </c>
      <c r="E264" s="5" t="str">
        <f>IF($J264="","",INDEX('Detalle individual'!$D:$D,$J264))</f>
        <v>Gerencia General</v>
      </c>
      <c r="F264" s="23">
        <f>IF($J264="","",INDEX('Detalle individual'!$H:$H,$J264))</f>
        <v>46300.6309837963</v>
      </c>
      <c r="G264" s="28">
        <f>IF($J264="","",INDEX('Detalle individual'!$J:$J,$J264))</f>
        <v>100</v>
      </c>
      <c r="H264" s="28">
        <f>IF($J264="","",INDEX('Detalle individual'!$L:$L,$J264))</f>
        <v>1</v>
      </c>
      <c r="J264">
        <f>IFERROR(MATCH(SMALL(Cálculos!$AI$5:$AI$1000,260),Cálculos!$AI$5:$AI$1000,0)+4,"")</f>
        <v>16</v>
      </c>
    </row>
    <row r="265">
      <c r="A265" s="5" t="str">
        <f>IF($J265="","",INDEX('Detalle individual'!$B:$B,$J265))</f>
        <v>CLAUDIA CAROLINA HENRIQUEZ VELASCO</v>
      </c>
      <c r="B265" s="5" t="str">
        <f>IF($J265="","",INDEX('Detalle individual'!$A:$A,$J265))</f>
        <v>318</v>
      </c>
      <c r="C265" s="5" t="str">
        <f>IF($J265="","",INDEX('Detalle individual'!$E:$E,$J265))</f>
        <v>JEFE DE PROCESOS</v>
      </c>
      <c r="D265" s="5" t="str">
        <f>IF($J265="","",INDEX('Detalle individual'!$C:$C,$J265))</f>
        <v>DEPARTAMENTO DE PROCESOS</v>
      </c>
      <c r="E265" s="5" t="str">
        <f>IF($J265="","",INDEX('Detalle individual'!$D:$D,$J265))</f>
        <v>Gerencia General</v>
      </c>
      <c r="F265" s="23">
        <f>IF($J265="","",INDEX('Detalle individual'!$H:$H,$J265))</f>
        <v>46296.44149305556</v>
      </c>
      <c r="G265" s="28">
        <f>IF($J265="","",INDEX('Detalle individual'!$J:$J,$J265))</f>
        <v>100</v>
      </c>
      <c r="H265" s="28">
        <f>IF($J265="","",INDEX('Detalle individual'!$L:$L,$J265))</f>
        <v>1</v>
      </c>
      <c r="J265">
        <f>IFERROR(MATCH(SMALL(Cálculos!$AI$5:$AI$1000,261),Cálculos!$AI$5:$AI$1000,0)+4,"")</f>
        <v>18</v>
      </c>
    </row>
    <row r="266">
      <c r="A266" s="5" t="str">
        <f>IF($J266="","",INDEX('Detalle individual'!$B:$B,$J266))</f>
        <v>HECTOR SEBASTIAN LOPEZ GRANADOS</v>
      </c>
      <c r="B266" s="5" t="str">
        <f>IF($J266="","",INDEX('Detalle individual'!$A:$A,$J266))</f>
        <v>932</v>
      </c>
      <c r="C266" s="5" t="str">
        <f>IF($J266="","",INDEX('Detalle individual'!$E:$E,$J266))</f>
        <v>ASISTENTE TECNICO DE PROCESOS</v>
      </c>
      <c r="D266" s="5" t="str">
        <f>IF($J266="","",INDEX('Detalle individual'!$C:$C,$J266))</f>
        <v>DEPARTAMENTO DE PROCESOS</v>
      </c>
      <c r="E266" s="5" t="str">
        <f>IF($J266="","",INDEX('Detalle individual'!$D:$D,$J266))</f>
        <v>Gerencia General</v>
      </c>
      <c r="F266" s="23">
        <f>IF($J266="","",INDEX('Detalle individual'!$H:$H,$J266))</f>
        <v>46296.44143518519</v>
      </c>
      <c r="G266" s="28">
        <f>IF($J266="","",INDEX('Detalle individual'!$J:$J,$J266))</f>
        <v>100</v>
      </c>
      <c r="H266" s="28">
        <f>IF($J266="","",INDEX('Detalle individual'!$L:$L,$J266))</f>
        <v>1</v>
      </c>
      <c r="J266">
        <f>IFERROR(MATCH(SMALL(Cálculos!$AI$5:$AI$1000,262),Cálculos!$AI$5:$AI$1000,0)+4,"")</f>
        <v>20</v>
      </c>
    </row>
    <row r="267">
      <c r="A267" s="5" t="str">
        <f>IF($J267="","",INDEX('Detalle individual'!$B:$B,$J267))</f>
        <v>MAURICIO EDGARDO MIRANDA CAMPOS</v>
      </c>
      <c r="B267" s="5" t="str">
        <f>IF($J267="","",INDEX('Detalle individual'!$A:$A,$J267))</f>
        <v>817</v>
      </c>
      <c r="C267" s="5" t="str">
        <f>IF($J267="","",INDEX('Detalle individual'!$E:$E,$J267))</f>
        <v>ANALISTA DE PROCESOS</v>
      </c>
      <c r="D267" s="5" t="str">
        <f>IF($J267="","",INDEX('Detalle individual'!$C:$C,$J267))</f>
        <v>DEPARTAMENTO DE PROCESOS</v>
      </c>
      <c r="E267" s="5" t="str">
        <f>IF($J267="","",INDEX('Detalle individual'!$D:$D,$J267))</f>
        <v>Gerencia General</v>
      </c>
      <c r="F267" s="23">
        <f>IF($J267="","",INDEX('Detalle individual'!$H:$H,$J267))</f>
        <v>46296.44137731481</v>
      </c>
      <c r="G267" s="28">
        <f>IF($J267="","",INDEX('Detalle individual'!$J:$J,$J267))</f>
        <v>100</v>
      </c>
      <c r="H267" s="28">
        <f>IF($J267="","",INDEX('Detalle individual'!$L:$L,$J267))</f>
        <v>1</v>
      </c>
      <c r="J267">
        <f>IFERROR(MATCH(SMALL(Cálculos!$AI$5:$AI$1000,263),Cálculos!$AI$5:$AI$1000,0)+4,"")</f>
        <v>19</v>
      </c>
    </row>
    <row r="268">
      <c r="A268" s="5" t="str">
        <f>IF($J268="","",INDEX('Detalle individual'!$B:$B,$J268))</f>
        <v>ANTONIA SARAI BELTRAN CARBALLO</v>
      </c>
      <c r="B268" s="5" t="str">
        <f>IF($J268="","",INDEX('Detalle individual'!$A:$A,$J268))</f>
        <v>17</v>
      </c>
      <c r="C268" s="5" t="str">
        <f>IF($J268="","",INDEX('Detalle individual'!$E:$E,$J268))</f>
        <v>ASISTENTE ADMINISTRATIVO DE GERENCIA GENERAL</v>
      </c>
      <c r="D268" s="5" t="str">
        <f>IF($J268="","",INDEX('Detalle individual'!$C:$C,$J268))</f>
        <v>GERENCIA GENERAL</v>
      </c>
      <c r="E268" s="5" t="str">
        <f>IF($J268="","",INDEX('Detalle individual'!$D:$D,$J268))</f>
        <v>Gerencia General</v>
      </c>
      <c r="F268" s="23">
        <f>IF($J268="","",INDEX('Detalle individual'!$H:$H,$J268))</f>
        <v>46305.40980324074</v>
      </c>
      <c r="G268" s="28">
        <f>IF($J268="","",INDEX('Detalle individual'!$J:$J,$J268))</f>
        <v>100</v>
      </c>
      <c r="H268" s="28">
        <f>IF($J268="","",INDEX('Detalle individual'!$L:$L,$J268))</f>
        <v>1</v>
      </c>
      <c r="J268">
        <f>IFERROR(MATCH(SMALL(Cálculos!$AI$5:$AI$1000,264),Cálculos!$AI$5:$AI$1000,0)+4,"")</f>
        <v>13</v>
      </c>
    </row>
    <row r="269">
      <c r="A269" s="5" t="str">
        <f>IF($J269="","",INDEX('Detalle individual'!$B:$B,$J269))</f>
        <v>NELSON ULISES CAMPOS FLORES</v>
      </c>
      <c r="B269" s="5" t="str">
        <f>IF($J269="","",INDEX('Detalle individual'!$A:$A,$J269))</f>
        <v>977</v>
      </c>
      <c r="C269" s="5" t="str">
        <f>IF($J269="","",INDEX('Detalle individual'!$E:$E,$J269))</f>
        <v>GERENTE GENERAL</v>
      </c>
      <c r="D269" s="5" t="str">
        <f>IF($J269="","",INDEX('Detalle individual'!$C:$C,$J269))</f>
        <v>GERENCIA GENERAL</v>
      </c>
      <c r="E269" s="5" t="str">
        <f>IF($J269="","",INDEX('Detalle individual'!$D:$D,$J269))</f>
        <v>Gerencia General</v>
      </c>
      <c r="F269" s="23" t="str">
        <f>IF($J269="","",INDEX('Detalle individual'!$H:$H,$J269))</f>
        <v/>
      </c>
      <c r="G269" s="28" t="str">
        <f>IF($J269="","",INDEX('Detalle individual'!$J:$J,$J269))</f>
        <v/>
      </c>
      <c r="H269" s="28">
        <f>IF($J269="","",INDEX('Detalle individual'!$L:$L,$J269))</f>
        <v>1</v>
      </c>
      <c r="J269">
        <f>IFERROR(MATCH(SMALL(Cálculos!$AI$5:$AI$1000,265),Cálculos!$AI$5:$AI$1000,0)+4,"")</f>
        <v>5</v>
      </c>
    </row>
    <row r="270">
      <c r="A270" s="5" t="str">
        <f>IF($J270="","",INDEX('Detalle individual'!$B:$B,$J270))</f>
        <v>JENNIFER GEORGINA ALVARADO HERNANDEZ</v>
      </c>
      <c r="B270" s="5" t="str">
        <f>IF($J270="","",INDEX('Detalle individual'!$A:$A,$J270))</f>
        <v>907</v>
      </c>
      <c r="C270" s="5" t="str">
        <f>IF($J270="","",INDEX('Detalle individual'!$E:$E,$J270))</f>
        <v>ANALISTA DE MONITOREO DEL FRAUDE DIGITAL</v>
      </c>
      <c r="D270" s="5" t="str">
        <f>IF($J270="","",INDEX('Detalle individual'!$C:$C,$J270))</f>
        <v>OFICIALIA DE SEGURIDAD DE LA INFORMACION</v>
      </c>
      <c r="E270" s="5" t="str">
        <f>IF($J270="","",INDEX('Detalle individual'!$D:$D,$J270))</f>
        <v>Gerencia General</v>
      </c>
      <c r="F270" s="23">
        <f>IF($J270="","",INDEX('Detalle individual'!$H:$H,$J270))</f>
        <v>46296.44850694444</v>
      </c>
      <c r="G270" s="28">
        <f>IF($J270="","",INDEX('Detalle individual'!$J:$J,$J270))</f>
        <v>85</v>
      </c>
      <c r="H270" s="28">
        <f>IF($J270="","",INDEX('Detalle individual'!$L:$L,$J270))</f>
        <v>1</v>
      </c>
      <c r="J270">
        <f>IFERROR(MATCH(SMALL(Cálculos!$AI$5:$AI$1000,266),Cálculos!$AI$5:$AI$1000,0)+4,"")</f>
        <v>22</v>
      </c>
    </row>
    <row r="271">
      <c r="A271" s="5" t="str">
        <f>IF($J271="","",INDEX('Detalle individual'!$B:$B,$J271))</f>
        <v>MARIA AZUCENA BONILLA RIVERA</v>
      </c>
      <c r="B271" s="5" t="str">
        <f>IF($J271="","",INDEX('Detalle individual'!$A:$A,$J271))</f>
        <v>710</v>
      </c>
      <c r="C271" s="5" t="str">
        <f>IF($J271="","",INDEX('Detalle individual'!$E:$E,$J271))</f>
        <v>OFICIAL DE SEGURIDAD DE LA INFORMACION</v>
      </c>
      <c r="D271" s="5" t="str">
        <f>IF($J271="","",INDEX('Detalle individual'!$C:$C,$J271))</f>
        <v>OFICIALIA DE SEGURIDAD DE LA INFORMACION</v>
      </c>
      <c r="E271" s="5" t="str">
        <f>IF($J271="","",INDEX('Detalle individual'!$D:$D,$J271))</f>
        <v>Gerencia General</v>
      </c>
      <c r="F271" s="23">
        <f>IF($J271="","",INDEX('Detalle individual'!$H:$H,$J271))</f>
        <v>46296.448969907404</v>
      </c>
      <c r="G271" s="28">
        <f>IF($J271="","",INDEX('Detalle individual'!$J:$J,$J271))</f>
        <v>100</v>
      </c>
      <c r="H271" s="28">
        <f>IF($J271="","",INDEX('Detalle individual'!$L:$L,$J271))</f>
        <v>1</v>
      </c>
      <c r="J271">
        <f>IFERROR(MATCH(SMALL(Cálculos!$AI$5:$AI$1000,267),Cálculos!$AI$5:$AI$1000,0)+4,"")</f>
        <v>21</v>
      </c>
    </row>
    <row r="272">
      <c r="A272" s="5" t="str">
        <f>IF($J272="","",INDEX('Detalle individual'!$B:$B,$J272))</f>
        <v>MARVIN ALONSO FRANCO RAMIREZ</v>
      </c>
      <c r="B272" s="5" t="str">
        <f>IF($J272="","",INDEX('Detalle individual'!$A:$A,$J272))</f>
        <v>918</v>
      </c>
      <c r="C272" s="5" t="str">
        <f>IF($J272="","",INDEX('Detalle individual'!$E:$E,$J272))</f>
        <v>ANALISTA DE SEGURIDAD DE LA INFORMACION</v>
      </c>
      <c r="D272" s="5" t="str">
        <f>IF($J272="","",INDEX('Detalle individual'!$C:$C,$J272))</f>
        <v>OFICIALIA DE SEGURIDAD DE LA INFORMACION</v>
      </c>
      <c r="E272" s="5" t="str">
        <f>IF($J272="","",INDEX('Detalle individual'!$D:$D,$J272))</f>
        <v>Gerencia General</v>
      </c>
      <c r="F272" s="23">
        <f>IF($J272="","",INDEX('Detalle individual'!$H:$H,$J272))</f>
        <v>46296.44851851852</v>
      </c>
      <c r="G272" s="28">
        <f>IF($J272="","",INDEX('Detalle individual'!$J:$J,$J272))</f>
        <v>100</v>
      </c>
      <c r="H272" s="28">
        <f>IF($J272="","",INDEX('Detalle individual'!$L:$L,$J272))</f>
        <v>1</v>
      </c>
      <c r="J272">
        <f>IFERROR(MATCH(SMALL(Cálculos!$AI$5:$AI$1000,268),Cálculos!$AI$5:$AI$1000,0)+4,"")</f>
        <v>23</v>
      </c>
    </row>
    <row r="273">
      <c r="A273" s="5" t="str">
        <f>IF($J273="","",INDEX('Detalle individual'!$B:$B,$J273))</f>
        <v>VALERIA MICHELLE QUINTANILLA FLORES</v>
      </c>
      <c r="B273" s="5" t="str">
        <f>IF($J273="","",INDEX('Detalle individual'!$A:$A,$J273))</f>
        <v>950</v>
      </c>
      <c r="C273" s="5" t="str">
        <f>IF($J273="","",INDEX('Detalle individual'!$E:$E,$J273))</f>
        <v>ANALISTA TECNICO DE PROTECCION DE DATOS</v>
      </c>
      <c r="D273" s="5" t="str">
        <f>IF($J273="","",INDEX('Detalle individual'!$C:$C,$J273))</f>
        <v>OFICIALIA DE SEGURIDAD DE LA INFORMACION</v>
      </c>
      <c r="E273" s="5" t="str">
        <f>IF($J273="","",INDEX('Detalle individual'!$D:$D,$J273))</f>
        <v>Gerencia General</v>
      </c>
      <c r="F273" s="23">
        <f>IF($J273="","",INDEX('Detalle individual'!$H:$H,$J273))</f>
        <v>46296.44909722222</v>
      </c>
      <c r="G273" s="28">
        <f>IF($J273="","",INDEX('Detalle individual'!$J:$J,$J273))</f>
        <v>100</v>
      </c>
      <c r="H273" s="28">
        <f>IF($J273="","",INDEX('Detalle individual'!$L:$L,$J273))</f>
        <v>1</v>
      </c>
      <c r="J273">
        <f>IFERROR(MATCH(SMALL(Cálculos!$AI$5:$AI$1000,269),Cálculos!$AI$5:$AI$1000,0)+4,"")</f>
        <v>24</v>
      </c>
    </row>
    <row r="274">
      <c r="A274" s="5" t="str">
        <f>IF($J274="","",INDEX('Detalle individual'!$B:$B,$J274))</f>
        <v>ALEJANDRA MARIA GONZALEZ BENAVIDES</v>
      </c>
      <c r="B274" s="5" t="str">
        <f>IF($J274="","",INDEX('Detalle individual'!$A:$A,$J274))</f>
        <v>893</v>
      </c>
      <c r="C274" s="5" t="str">
        <f>IF($J274="","",INDEX('Detalle individual'!$E:$E,$J274))</f>
        <v>AUXILIAR JURIDICO JUDICIAL</v>
      </c>
      <c r="D274" s="5" t="str">
        <f>IF($J274="","",INDEX('Detalle individual'!$C:$C,$J274))</f>
        <v>DEPARTAMENTO LEGAL</v>
      </c>
      <c r="E274" s="5" t="str">
        <f>IF($J274="","",INDEX('Detalle individual'!$D:$D,$J274))</f>
        <v>Gerencia Legal y Cumplimiento Normativo</v>
      </c>
      <c r="F274" s="23">
        <f>IF($J274="","",INDEX('Detalle individual'!$H:$H,$J274))</f>
        <v>46304.703680555554</v>
      </c>
      <c r="G274" s="28">
        <f>IF($J274="","",INDEX('Detalle individual'!$J:$J,$J274))</f>
        <v>100</v>
      </c>
      <c r="H274" s="28">
        <f>IF($J274="","",INDEX('Detalle individual'!$L:$L,$J274))</f>
        <v>1</v>
      </c>
      <c r="J274">
        <f>IFERROR(MATCH(SMALL(Cálculos!$AI$5:$AI$1000,270),Cálculos!$AI$5:$AI$1000,0)+4,"")</f>
        <v>293</v>
      </c>
    </row>
    <row r="275">
      <c r="A275" s="5" t="str">
        <f>IF($J275="","",INDEX('Detalle individual'!$B:$B,$J275))</f>
        <v>ANDREA RAQUEL MONTOYA ALARCON</v>
      </c>
      <c r="B275" s="5" t="str">
        <f>IF($J275="","",INDEX('Detalle individual'!$A:$A,$J275))</f>
        <v>814</v>
      </c>
      <c r="C275" s="5" t="str">
        <f>IF($J275="","",INDEX('Detalle individual'!$E:$E,$J275))</f>
        <v>AUXILIAR JURIDICO DE ESCRITURACION</v>
      </c>
      <c r="D275" s="5" t="str">
        <f>IF($J275="","",INDEX('Detalle individual'!$C:$C,$J275))</f>
        <v>DEPARTAMENTO LEGAL</v>
      </c>
      <c r="E275" s="5" t="str">
        <f>IF($J275="","",INDEX('Detalle individual'!$D:$D,$J275))</f>
        <v>Gerencia Legal y Cumplimiento Normativo</v>
      </c>
      <c r="F275" s="23">
        <f>IF($J275="","",INDEX('Detalle individual'!$H:$H,$J275))</f>
        <v>46307.421319444446</v>
      </c>
      <c r="G275" s="28">
        <f>IF($J275="","",INDEX('Detalle individual'!$J:$J,$J275))</f>
        <v>100</v>
      </c>
      <c r="H275" s="28">
        <f>IF($J275="","",INDEX('Detalle individual'!$L:$L,$J275))</f>
        <v>1</v>
      </c>
      <c r="J275">
        <f>IFERROR(MATCH(SMALL(Cálculos!$AI$5:$AI$1000,271),Cálculos!$AI$5:$AI$1000,0)+4,"")</f>
        <v>290</v>
      </c>
    </row>
    <row r="276">
      <c r="A276" s="5" t="str">
        <f>IF($J276="","",INDEX('Detalle individual'!$B:$B,$J276))</f>
        <v>CARLOS RENE CASTILLO GAMEZ</v>
      </c>
      <c r="B276" s="5" t="str">
        <f>IF($J276="","",INDEX('Detalle individual'!$A:$A,$J276))</f>
        <v>592</v>
      </c>
      <c r="C276" s="5" t="str">
        <f>IF($J276="","",INDEX('Detalle individual'!$E:$E,$J276))</f>
        <v>ASISTENTE TECNICO LEGAL</v>
      </c>
      <c r="D276" s="5" t="str">
        <f>IF($J276="","",INDEX('Detalle individual'!$C:$C,$J276))</f>
        <v>DEPARTAMENTO LEGAL</v>
      </c>
      <c r="E276" s="5" t="str">
        <f>IF($J276="","",INDEX('Detalle individual'!$D:$D,$J276))</f>
        <v>Gerencia Legal y Cumplimiento Normativo</v>
      </c>
      <c r="F276" s="23">
        <f>IF($J276="","",INDEX('Detalle individual'!$H:$H,$J276))</f>
        <v>46308.62107638889</v>
      </c>
      <c r="G276" s="28">
        <f>IF($J276="","",INDEX('Detalle individual'!$J:$J,$J276))</f>
        <v>100</v>
      </c>
      <c r="H276" s="28">
        <f>IF($J276="","",INDEX('Detalle individual'!$L:$L,$J276))</f>
        <v>1</v>
      </c>
      <c r="J276">
        <f>IFERROR(MATCH(SMALL(Cálculos!$AI$5:$AI$1000,272),Cálculos!$AI$5:$AI$1000,0)+4,"")</f>
        <v>289</v>
      </c>
    </row>
    <row r="277">
      <c r="A277" s="5" t="str">
        <f>IF($J277="","",INDEX('Detalle individual'!$B:$B,$J277))</f>
        <v>CHRISTIAN ENRIQUE CAMPOS PRIVADO</v>
      </c>
      <c r="B277" s="5" t="str">
        <f>IF($J277="","",INDEX('Detalle individual'!$A:$A,$J277))</f>
        <v>905</v>
      </c>
      <c r="C277" s="5" t="str">
        <f>IF($J277="","",INDEX('Detalle individual'!$E:$E,$J277))</f>
        <v>ASISTENTE TECNICO LEGAL</v>
      </c>
      <c r="D277" s="5" t="str">
        <f>IF($J277="","",INDEX('Detalle individual'!$C:$C,$J277))</f>
        <v>DEPARTAMENTO LEGAL</v>
      </c>
      <c r="E277" s="5" t="str">
        <f>IF($J277="","",INDEX('Detalle individual'!$D:$D,$J277))</f>
        <v>Gerencia Legal y Cumplimiento Normativo</v>
      </c>
      <c r="F277" s="23">
        <f>IF($J277="","",INDEX('Detalle individual'!$H:$H,$J277))</f>
        <v>46307.645</v>
      </c>
      <c r="G277" s="28">
        <f>IF($J277="","",INDEX('Detalle individual'!$J:$J,$J277))</f>
        <v>100</v>
      </c>
      <c r="H277" s="28">
        <f>IF($J277="","",INDEX('Detalle individual'!$L:$L,$J277))</f>
        <v>1</v>
      </c>
      <c r="J277">
        <f>IFERROR(MATCH(SMALL(Cálculos!$AI$5:$AI$1000,273),Cálculos!$AI$5:$AI$1000,0)+4,"")</f>
        <v>294</v>
      </c>
    </row>
    <row r="278">
      <c r="A278" s="5" t="str">
        <f>IF($J278="","",INDEX('Detalle individual'!$B:$B,$J278))</f>
        <v>DANIELA MARIA FUENTES MEDINA</v>
      </c>
      <c r="B278" s="5" t="str">
        <f>IF($J278="","",INDEX('Detalle individual'!$A:$A,$J278))</f>
        <v>843</v>
      </c>
      <c r="C278" s="5" t="str">
        <f>IF($J278="","",INDEX('Detalle individual'!$E:$E,$J278))</f>
        <v>AUXILIAR JURIDICO DE CONTRATACION</v>
      </c>
      <c r="D278" s="5" t="str">
        <f>IF($J278="","",INDEX('Detalle individual'!$C:$C,$J278))</f>
        <v>DEPARTAMENTO LEGAL</v>
      </c>
      <c r="E278" s="5" t="str">
        <f>IF($J278="","",INDEX('Detalle individual'!$D:$D,$J278))</f>
        <v>Gerencia Legal y Cumplimiento Normativo</v>
      </c>
      <c r="F278" s="23">
        <f>IF($J278="","",INDEX('Detalle individual'!$H:$H,$J278))</f>
        <v>46307.39480324074</v>
      </c>
      <c r="G278" s="28">
        <f>IF($J278="","",INDEX('Detalle individual'!$J:$J,$J278))</f>
        <v>100</v>
      </c>
      <c r="H278" s="28">
        <f>IF($J278="","",INDEX('Detalle individual'!$L:$L,$J278))</f>
        <v>1</v>
      </c>
      <c r="J278">
        <f>IFERROR(MATCH(SMALL(Cálculos!$AI$5:$AI$1000,274),Cálculos!$AI$5:$AI$1000,0)+4,"")</f>
        <v>292</v>
      </c>
    </row>
    <row r="279">
      <c r="A279" s="5" t="str">
        <f>IF($J279="","",INDEX('Detalle individual'!$B:$B,$J279))</f>
        <v>GABRIELA LOURDES AREVALO SANCHEZ</v>
      </c>
      <c r="B279" s="5" t="str">
        <f>IF($J279="","",INDEX('Detalle individual'!$A:$A,$J279))</f>
        <v>929</v>
      </c>
      <c r="C279" s="5" t="str">
        <f>IF($J279="","",INDEX('Detalle individual'!$E:$E,$J279))</f>
        <v>AUXILIAR JURIDICO DE CONTRATACION</v>
      </c>
      <c r="D279" s="5" t="str">
        <f>IF($J279="","",INDEX('Detalle individual'!$C:$C,$J279))</f>
        <v>DEPARTAMENTO LEGAL</v>
      </c>
      <c r="E279" s="5" t="str">
        <f>IF($J279="","",INDEX('Detalle individual'!$D:$D,$J279))</f>
        <v>Gerencia Legal y Cumplimiento Normativo</v>
      </c>
      <c r="F279" s="23">
        <f>IF($J279="","",INDEX('Detalle individual'!$H:$H,$J279))</f>
        <v>46300.628483796296</v>
      </c>
      <c r="G279" s="28">
        <f>IF($J279="","",INDEX('Detalle individual'!$J:$J,$J279))</f>
        <v>90</v>
      </c>
      <c r="H279" s="28">
        <f>IF($J279="","",INDEX('Detalle individual'!$L:$L,$J279))</f>
        <v>1</v>
      </c>
      <c r="J279">
        <f>IFERROR(MATCH(SMALL(Cálculos!$AI$5:$AI$1000,275),Cálculos!$AI$5:$AI$1000,0)+4,"")</f>
        <v>295</v>
      </c>
    </row>
    <row r="280">
      <c r="A280" s="5" t="str">
        <f>IF($J280="","",INDEX('Detalle individual'!$B:$B,$J280))</f>
        <v>JUAN JOSE CAÑAS COMAYAGUA</v>
      </c>
      <c r="B280" s="5" t="str">
        <f>IF($J280="","",INDEX('Detalle individual'!$A:$A,$J280))</f>
        <v>442</v>
      </c>
      <c r="C280" s="5" t="str">
        <f>IF($J280="","",INDEX('Detalle individual'!$E:$E,$J280))</f>
        <v>JEFE DE DEPARTAMENTO LEGAL</v>
      </c>
      <c r="D280" s="5" t="str">
        <f>IF($J280="","",INDEX('Detalle individual'!$C:$C,$J280))</f>
        <v>DEPARTAMENTO LEGAL</v>
      </c>
      <c r="E280" s="5" t="str">
        <f>IF($J280="","",INDEX('Detalle individual'!$D:$D,$J280))</f>
        <v>Gerencia Legal y Cumplimiento Normativo</v>
      </c>
      <c r="F280" s="23">
        <f>IF($J280="","",INDEX('Detalle individual'!$H:$H,$J280))</f>
        <v>46306.60649305556</v>
      </c>
      <c r="G280" s="28">
        <f>IF($J280="","",INDEX('Detalle individual'!$J:$J,$J280))</f>
        <v>100</v>
      </c>
      <c r="H280" s="28">
        <f>IF($J280="","",INDEX('Detalle individual'!$L:$L,$J280))</f>
        <v>1</v>
      </c>
      <c r="J280">
        <f>IFERROR(MATCH(SMALL(Cálculos!$AI$5:$AI$1000,276),Cálculos!$AI$5:$AI$1000,0)+4,"")</f>
        <v>288</v>
      </c>
    </row>
    <row r="281">
      <c r="A281" s="5" t="str">
        <f>IF($J281="","",INDEX('Detalle individual'!$B:$B,$J281))</f>
        <v>NICOLLE ALEXANDRA MARINERO GALLARDO</v>
      </c>
      <c r="B281" s="5" t="str">
        <f>IF($J281="","",INDEX('Detalle individual'!$A:$A,$J281))</f>
        <v>831</v>
      </c>
      <c r="C281" s="5" t="str">
        <f>IF($J281="","",INDEX('Detalle individual'!$E:$E,$J281))</f>
        <v>AUXILIAR JURIDICO NOTARIAL</v>
      </c>
      <c r="D281" s="5" t="str">
        <f>IF($J281="","",INDEX('Detalle individual'!$C:$C,$J281))</f>
        <v>DEPARTAMENTO LEGAL</v>
      </c>
      <c r="E281" s="5" t="str">
        <f>IF($J281="","",INDEX('Detalle individual'!$D:$D,$J281))</f>
        <v>Gerencia Legal y Cumplimiento Normativo</v>
      </c>
      <c r="F281" s="23">
        <f>IF($J281="","",INDEX('Detalle individual'!$H:$H,$J281))</f>
        <v>46307.4125462963</v>
      </c>
      <c r="G281" s="28">
        <f>IF($J281="","",INDEX('Detalle individual'!$J:$J,$J281))</f>
        <v>90</v>
      </c>
      <c r="H281" s="28">
        <f>IF($J281="","",INDEX('Detalle individual'!$L:$L,$J281))</f>
        <v>1</v>
      </c>
      <c r="J281">
        <f>IFERROR(MATCH(SMALL(Cálculos!$AI$5:$AI$1000,277),Cálculos!$AI$5:$AI$1000,0)+4,"")</f>
        <v>291</v>
      </c>
    </row>
    <row r="282">
      <c r="A282" s="5" t="str">
        <f>IF($J282="","",INDEX('Detalle individual'!$B:$B,$J282))</f>
        <v>ANDREA VICTORIA MAYORGA RODRIGUEZ</v>
      </c>
      <c r="B282" s="5" t="str">
        <f>IF($J282="","",INDEX('Detalle individual'!$A:$A,$J282))</f>
        <v>570</v>
      </c>
      <c r="C282" s="5" t="str">
        <f>IF($J282="","",INDEX('Detalle individual'!$E:$E,$J282))</f>
        <v>GERENTE LEGAL Y DE CUMPLIMIENTO NORMATIVO</v>
      </c>
      <c r="D282" s="5" t="str">
        <f>IF($J282="","",INDEX('Detalle individual'!$C:$C,$J282))</f>
        <v>GERENCIA LEGAL Y DE CUMPLIMIENTO NORMATIVO</v>
      </c>
      <c r="E282" s="5" t="str">
        <f>IF($J282="","",INDEX('Detalle individual'!$D:$D,$J282))</f>
        <v>Gerencia Legal y Cumplimiento Normativo</v>
      </c>
      <c r="F282" s="23">
        <f>IF($J282="","",INDEX('Detalle individual'!$H:$H,$J282))</f>
        <v>46304.69452546296</v>
      </c>
      <c r="G282" s="28">
        <f>IF($J282="","",INDEX('Detalle individual'!$J:$J,$J282))</f>
        <v>100</v>
      </c>
      <c r="H282" s="28">
        <f>IF($J282="","",INDEX('Detalle individual'!$L:$L,$J282))</f>
        <v>1</v>
      </c>
      <c r="J282">
        <f>IFERROR(MATCH(SMALL(Cálculos!$AI$5:$AI$1000,278),Cálculos!$AI$5:$AI$1000,0)+4,"")</f>
        <v>12</v>
      </c>
    </row>
    <row r="283">
      <c r="A283" s="5" t="str">
        <f>IF($J283="","",INDEX('Detalle individual'!$B:$B,$J283))</f>
        <v/>
      </c>
      <c r="B283" s="5" t="str">
        <f>IF($J283="","",INDEX('Detalle individual'!$A:$A,$J283))</f>
        <v/>
      </c>
      <c r="C283" s="5" t="str">
        <f>IF($J283="","",INDEX('Detalle individual'!$E:$E,$J283))</f>
        <v/>
      </c>
      <c r="D283" s="5" t="str">
        <f>IF($J283="","",INDEX('Detalle individual'!$C:$C,$J283))</f>
        <v/>
      </c>
      <c r="E283" s="5" t="str">
        <f>IF($J283="","",INDEX('Detalle individual'!$D:$D,$J283))</f>
        <v/>
      </c>
      <c r="F283" s="23" t="str">
        <f>IF($J283="","",INDEX('Detalle individual'!$H:$H,$J283))</f>
        <v/>
      </c>
      <c r="G283" s="28" t="str">
        <f>IF($J283="","",INDEX('Detalle individual'!$J:$J,$J283))</f>
        <v/>
      </c>
      <c r="H283" s="28" t="str">
        <f>IF($J283="","",INDEX('Detalle individual'!$L:$L,$J283))</f>
        <v/>
      </c>
      <c r="J283" t="str">
        <f>IFERROR(MATCH(SMALL(Cálculos!$AI$5:$AI$1000,279),Cálculos!$AI$5:$AI$1000,0)+4,"")</f>
        <v/>
      </c>
    </row>
    <row r="284">
      <c r="A284" s="5" t="str">
        <f>IF($J284="","",INDEX('Detalle individual'!$B:$B,$J284))</f>
        <v/>
      </c>
      <c r="B284" s="5" t="str">
        <f>IF($J284="","",INDEX('Detalle individual'!$A:$A,$J284))</f>
        <v/>
      </c>
      <c r="C284" s="5" t="str">
        <f>IF($J284="","",INDEX('Detalle individual'!$E:$E,$J284))</f>
        <v/>
      </c>
      <c r="D284" s="5" t="str">
        <f>IF($J284="","",INDEX('Detalle individual'!$C:$C,$J284))</f>
        <v/>
      </c>
      <c r="E284" s="5" t="str">
        <f>IF($J284="","",INDEX('Detalle individual'!$D:$D,$J284))</f>
        <v/>
      </c>
      <c r="F284" s="23" t="str">
        <f>IF($J284="","",INDEX('Detalle individual'!$H:$H,$J284))</f>
        <v/>
      </c>
      <c r="G284" s="28" t="str">
        <f>IF($J284="","",INDEX('Detalle individual'!$J:$J,$J284))</f>
        <v/>
      </c>
      <c r="H284" s="28" t="str">
        <f>IF($J284="","",INDEX('Detalle individual'!$L:$L,$J284))</f>
        <v/>
      </c>
      <c r="J284" t="str">
        <f>IFERROR(MATCH(SMALL(Cálculos!$AI$5:$AI$1000,280),Cálculos!$AI$5:$AI$1000,0)+4,"")</f>
        <v/>
      </c>
    </row>
    <row r="285">
      <c r="A285" s="5" t="str">
        <f>IF($J285="","",INDEX('Detalle individual'!$B:$B,$J285))</f>
        <v/>
      </c>
      <c r="B285" s="5" t="str">
        <f>IF($J285="","",INDEX('Detalle individual'!$A:$A,$J285))</f>
        <v/>
      </c>
      <c r="C285" s="5" t="str">
        <f>IF($J285="","",INDEX('Detalle individual'!$E:$E,$J285))</f>
        <v/>
      </c>
      <c r="D285" s="5" t="str">
        <f>IF($J285="","",INDEX('Detalle individual'!$C:$C,$J285))</f>
        <v/>
      </c>
      <c r="E285" s="5" t="str">
        <f>IF($J285="","",INDEX('Detalle individual'!$D:$D,$J285))</f>
        <v/>
      </c>
      <c r="F285" s="23" t="str">
        <f>IF($J285="","",INDEX('Detalle individual'!$H:$H,$J285))</f>
        <v/>
      </c>
      <c r="G285" s="28" t="str">
        <f>IF($J285="","",INDEX('Detalle individual'!$J:$J,$J285))</f>
        <v/>
      </c>
      <c r="H285" s="28" t="str">
        <f>IF($J285="","",INDEX('Detalle individual'!$L:$L,$J285))</f>
        <v/>
      </c>
      <c r="J285" t="str">
        <f>IFERROR(MATCH(SMALL(Cálculos!$AI$5:$AI$1000,281),Cálculos!$AI$5:$AI$1000,0)+4,"")</f>
        <v/>
      </c>
    </row>
    <row r="286">
      <c r="A286" s="5" t="str">
        <f>IF($J286="","",INDEX('Detalle individual'!$B:$B,$J286))</f>
        <v/>
      </c>
      <c r="B286" s="5" t="str">
        <f>IF($J286="","",INDEX('Detalle individual'!$A:$A,$J286))</f>
        <v/>
      </c>
      <c r="C286" s="5" t="str">
        <f>IF($J286="","",INDEX('Detalle individual'!$E:$E,$J286))</f>
        <v/>
      </c>
      <c r="D286" s="5" t="str">
        <f>IF($J286="","",INDEX('Detalle individual'!$C:$C,$J286))</f>
        <v/>
      </c>
      <c r="E286" s="5" t="str">
        <f>IF($J286="","",INDEX('Detalle individual'!$D:$D,$J286))</f>
        <v/>
      </c>
      <c r="F286" s="23" t="str">
        <f>IF($J286="","",INDEX('Detalle individual'!$H:$H,$J286))</f>
        <v/>
      </c>
      <c r="G286" s="28" t="str">
        <f>IF($J286="","",INDEX('Detalle individual'!$J:$J,$J286))</f>
        <v/>
      </c>
      <c r="H286" s="28" t="str">
        <f>IF($J286="","",INDEX('Detalle individual'!$L:$L,$J286))</f>
        <v/>
      </c>
      <c r="J286" t="str">
        <f>IFERROR(MATCH(SMALL(Cálculos!$AI$5:$AI$1000,282),Cálculos!$AI$5:$AI$1000,0)+4,"")</f>
        <v/>
      </c>
    </row>
    <row r="287">
      <c r="A287" s="5" t="str">
        <f>IF($J287="","",INDEX('Detalle individual'!$B:$B,$J287))</f>
        <v/>
      </c>
      <c r="B287" s="5" t="str">
        <f>IF($J287="","",INDEX('Detalle individual'!$A:$A,$J287))</f>
        <v/>
      </c>
      <c r="C287" s="5" t="str">
        <f>IF($J287="","",INDEX('Detalle individual'!$E:$E,$J287))</f>
        <v/>
      </c>
      <c r="D287" s="5" t="str">
        <f>IF($J287="","",INDEX('Detalle individual'!$C:$C,$J287))</f>
        <v/>
      </c>
      <c r="E287" s="5" t="str">
        <f>IF($J287="","",INDEX('Detalle individual'!$D:$D,$J287))</f>
        <v/>
      </c>
      <c r="F287" s="23" t="str">
        <f>IF($J287="","",INDEX('Detalle individual'!$H:$H,$J287))</f>
        <v/>
      </c>
      <c r="G287" s="28" t="str">
        <f>IF($J287="","",INDEX('Detalle individual'!$J:$J,$J287))</f>
        <v/>
      </c>
      <c r="H287" s="28" t="str">
        <f>IF($J287="","",INDEX('Detalle individual'!$L:$L,$J287))</f>
        <v/>
      </c>
      <c r="J287" t="str">
        <f>IFERROR(MATCH(SMALL(Cálculos!$AI$5:$AI$1000,283),Cálculos!$AI$5:$AI$1000,0)+4,"")</f>
        <v/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23" t="str">
        <f>IF($J288="","",INDEX('Detalle individual'!$H:$H,$J288))</f>
        <v/>
      </c>
      <c r="G288" s="28" t="str">
        <f>IF($J288="","",INDEX('Detalle individual'!$J:$J,$J288))</f>
        <v/>
      </c>
      <c r="H288" s="28" t="str">
        <f>IF($J288="","",INDEX('Detalle individual'!$L:$L,$J288))</f>
        <v/>
      </c>
      <c r="J288" t="str">
        <f>IFERROR(MATCH(SMALL(Cálculos!$AI$5:$AI$1000,284),Cálculos!$AI$5:$AI$1000,0)+4,"")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23" t="str">
        <f>IF($J289="","",INDEX('Detalle individual'!$H:$H,$J289))</f>
        <v/>
      </c>
      <c r="G289" s="28" t="str">
        <f>IF($J289="","",INDEX('Detalle individual'!$J:$J,$J289))</f>
        <v/>
      </c>
      <c r="H289" s="28" t="str">
        <f>IF($J289="","",INDEX('Detalle individual'!$L:$L,$J289))</f>
        <v/>
      </c>
      <c r="J289" t="str">
        <f>IFERROR(MATCH(SMALL(Cálculos!$AI$5:$AI$1000,285),Cálculos!$AI$5:$AI$1000,0)+4,"")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23" t="str">
        <f>IF($J290="","",INDEX('Detalle individual'!$H:$H,$J290))</f>
        <v/>
      </c>
      <c r="G290" s="28" t="str">
        <f>IF($J290="","",INDEX('Detalle individual'!$J:$J,$J290))</f>
        <v/>
      </c>
      <c r="H290" s="28" t="str">
        <f>IF($J290="","",INDEX('Detalle individual'!$L:$L,$J290))</f>
        <v/>
      </c>
      <c r="J290" t="str">
        <f>IFERROR(MATCH(SMALL(Cálculos!$AI$5:$AI$1000,286),Cálculos!$AI$5:$AI$1000,0)+4,"")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23" t="str">
        <f>IF($J291="","",INDEX('Detalle individual'!$H:$H,$J291))</f>
        <v/>
      </c>
      <c r="G291" s="28" t="str">
        <f>IF($J291="","",INDEX('Detalle individual'!$J:$J,$J291))</f>
        <v/>
      </c>
      <c r="H291" s="28" t="str">
        <f>IF($J291="","",INDEX('Detalle individual'!$L:$L,$J291))</f>
        <v/>
      </c>
      <c r="J291" t="str">
        <f>IFERROR(MATCH(SMALL(Cálculos!$AI$5:$AI$1000,287),Cálculos!$AI$5:$AI$1000,0)+4,"")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23" t="str">
        <f>IF($J292="","",INDEX('Detalle individual'!$H:$H,$J292))</f>
        <v/>
      </c>
      <c r="G292" s="28" t="str">
        <f>IF($J292="","",INDEX('Detalle individual'!$J:$J,$J292))</f>
        <v/>
      </c>
      <c r="H292" s="28" t="str">
        <f>IF($J292="","",INDEX('Detalle individual'!$L:$L,$J292))</f>
        <v/>
      </c>
      <c r="J292" t="str">
        <f>IFERROR(MATCH(SMALL(Cálculos!$AI$5:$AI$1000,288),Cálculos!$AI$5:$AI$1000,0)+4,"")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23" t="str">
        <f>IF($J293="","",INDEX('Detalle individual'!$H:$H,$J293))</f>
        <v/>
      </c>
      <c r="G293" s="28" t="str">
        <f>IF($J293="","",INDEX('Detalle individual'!$J:$J,$J293))</f>
        <v/>
      </c>
      <c r="H293" s="28" t="str">
        <f>IF($J293="","",INDEX('Detalle individual'!$L:$L,$J293))</f>
        <v/>
      </c>
      <c r="J293" t="str">
        <f>IFERROR(MATCH(SMALL(Cálculos!$AI$5:$AI$1000,289),Cálculos!$AI$5:$AI$1000,0)+4,"")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23" t="str">
        <f>IF($J294="","",INDEX('Detalle individual'!$H:$H,$J294))</f>
        <v/>
      </c>
      <c r="G294" s="28" t="str">
        <f>IF($J294="","",INDEX('Detalle individual'!$J:$J,$J294))</f>
        <v/>
      </c>
      <c r="H294" s="28" t="str">
        <f>IF($J294="","",INDEX('Detalle individual'!$L:$L,$J294))</f>
        <v/>
      </c>
      <c r="J294" t="str">
        <f>IFERROR(MATCH(SMALL(Cálculos!$AI$5:$AI$1000,290),Cálculos!$AI$5:$AI$1000,0)+4,"")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23" t="str">
        <f>IF($J295="","",INDEX('Detalle individual'!$H:$H,$J295))</f>
        <v/>
      </c>
      <c r="G295" s="28" t="str">
        <f>IF($J295="","",INDEX('Detalle individual'!$J:$J,$J295))</f>
        <v/>
      </c>
      <c r="H295" s="28" t="str">
        <f>IF($J295="","",INDEX('Detalle individual'!$L:$L,$J295))</f>
        <v/>
      </c>
      <c r="J295" t="str">
        <f>IFERROR(MATCH(SMALL(Cálculos!$AI$5:$AI$1000,291),Cálculos!$AI$5:$AI$1000,0)+4,"")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23" t="str">
        <f>IF($J296="","",INDEX('Detalle individual'!$H:$H,$J296))</f>
        <v/>
      </c>
      <c r="G296" s="28" t="str">
        <f>IF($J296="","",INDEX('Detalle individual'!$J:$J,$J296))</f>
        <v/>
      </c>
      <c r="H296" s="28" t="str">
        <f>IF($J296="","",INDEX('Detalle individual'!$L:$L,$J296))</f>
        <v/>
      </c>
      <c r="J296" t="str">
        <f>IFERROR(MATCH(SMALL(Cálculos!$AI$5:$AI$1000,292),Cálculos!$AI$5:$AI$1000,0)+4,"")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23" t="str">
        <f>IF($J297="","",INDEX('Detalle individual'!$H:$H,$J297))</f>
        <v/>
      </c>
      <c r="G297" s="28" t="str">
        <f>IF($J297="","",INDEX('Detalle individual'!$J:$J,$J297))</f>
        <v/>
      </c>
      <c r="H297" s="28" t="str">
        <f>IF($J297="","",INDEX('Detalle individual'!$L:$L,$J297))</f>
        <v/>
      </c>
      <c r="J297" t="str">
        <f>IFERROR(MATCH(SMALL(Cálculos!$AI$5:$AI$1000,293),Cálculos!$AI$5:$AI$1000,0)+4,"")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23" t="str">
        <f>IF($J298="","",INDEX('Detalle individual'!$H:$H,$J298))</f>
        <v/>
      </c>
      <c r="G298" s="28" t="str">
        <f>IF($J298="","",INDEX('Detalle individual'!$J:$J,$J298))</f>
        <v/>
      </c>
      <c r="H298" s="28" t="str">
        <f>IF($J298="","",INDEX('Detalle individual'!$L:$L,$J298))</f>
        <v/>
      </c>
      <c r="J298" t="str">
        <f>IFERROR(MATCH(SMALL(Cálculos!$AI$5:$AI$1000,294),Cálculos!$AI$5:$AI$1000,0)+4,"")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23" t="str">
        <f>IF($J299="","",INDEX('Detalle individual'!$H:$H,$J299))</f>
        <v/>
      </c>
      <c r="G299" s="28" t="str">
        <f>IF($J299="","",INDEX('Detalle individual'!$J:$J,$J299))</f>
        <v/>
      </c>
      <c r="H299" s="28" t="str">
        <f>IF($J299="","",INDEX('Detalle individual'!$L:$L,$J299))</f>
        <v/>
      </c>
      <c r="J299" t="str">
        <f>IFERROR(MATCH(SMALL(Cálculos!$AI$5:$AI$1000,295),Cálculos!$AI$5:$AI$1000,0)+4,"")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23" t="str">
        <f>IF($J300="","",INDEX('Detalle individual'!$H:$H,$J300))</f>
        <v/>
      </c>
      <c r="G300" s="28" t="str">
        <f>IF($J300="","",INDEX('Detalle individual'!$J:$J,$J300))</f>
        <v/>
      </c>
      <c r="H300" s="28" t="str">
        <f>IF($J300="","",INDEX('Detalle individual'!$L:$L,$J300))</f>
        <v/>
      </c>
      <c r="J300" t="str">
        <f>IFERROR(MATCH(SMALL(Cálculos!$AI$5:$AI$1000,296),Cálculos!$AI$5:$AI$1000,0)+4,"")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23" t="str">
        <f>IF($J301="","",INDEX('Detalle individual'!$H:$H,$J301))</f>
        <v/>
      </c>
      <c r="G301" s="28" t="str">
        <f>IF($J301="","",INDEX('Detalle individual'!$J:$J,$J301))</f>
        <v/>
      </c>
      <c r="H301" s="28" t="str">
        <f>IF($J301="","",INDEX('Detalle individual'!$L:$L,$J301))</f>
        <v/>
      </c>
      <c r="J301" t="str">
        <f>IFERROR(MATCH(SMALL(Cálculos!$AI$5:$AI$1000,297),Cálculos!$AI$5:$AI$1000,0)+4,"")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23" t="str">
        <f>IF($J302="","",INDEX('Detalle individual'!$H:$H,$J302))</f>
        <v/>
      </c>
      <c r="G302" s="28" t="str">
        <f>IF($J302="","",INDEX('Detalle individual'!$J:$J,$J302))</f>
        <v/>
      </c>
      <c r="H302" s="28" t="str">
        <f>IF($J302="","",INDEX('Detalle individual'!$L:$L,$J302))</f>
        <v/>
      </c>
      <c r="J302" t="str">
        <f>IFERROR(MATCH(SMALL(Cálculos!$AI$5:$AI$1000,298),Cálculos!$AI$5:$AI$1000,0)+4,"")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23" t="str">
        <f>IF($J303="","",INDEX('Detalle individual'!$H:$H,$J303))</f>
        <v/>
      </c>
      <c r="G303" s="28" t="str">
        <f>IF($J303="","",INDEX('Detalle individual'!$J:$J,$J303))</f>
        <v/>
      </c>
      <c r="H303" s="28" t="str">
        <f>IF($J303="","",INDEX('Detalle individual'!$L:$L,$J303))</f>
        <v/>
      </c>
      <c r="J303" t="str">
        <f>IFERROR(MATCH(SMALL(Cálculos!$AI$5:$AI$1000,299),Cálculos!$AI$5:$AI$1000,0)+4,"")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23" t="str">
        <f>IF($J304="","",INDEX('Detalle individual'!$H:$H,$J304))</f>
        <v/>
      </c>
      <c r="G304" s="28" t="str">
        <f>IF($J304="","",INDEX('Detalle individual'!$J:$J,$J304))</f>
        <v/>
      </c>
      <c r="H304" s="28" t="str">
        <f>IF($J304="","",INDEX('Detalle individual'!$L:$L,$J304))</f>
        <v/>
      </c>
      <c r="J304" t="str">
        <f>IFERROR(MATCH(SMALL(Cálculos!$AI$5:$AI$1000,300),Cálculos!$AI$5:$AI$1000,0)+4,"")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23" t="str">
        <f>IF($J305="","",INDEX('Detalle individual'!$H:$H,$J305))</f>
        <v/>
      </c>
      <c r="G305" s="28" t="str">
        <f>IF($J305="","",INDEX('Detalle individual'!$J:$J,$J305))</f>
        <v/>
      </c>
      <c r="H305" s="28" t="str">
        <f>IF($J305="","",INDEX('Detalle individual'!$L:$L,$J305))</f>
        <v/>
      </c>
      <c r="J305" t="str">
        <f>IFERROR(MATCH(SMALL(Cálculos!$AI$5:$AI$1000,301),Cálculos!$AI$5:$AI$1000,0)+4,"")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23" t="str">
        <f>IF($J306="","",INDEX('Detalle individual'!$H:$H,$J306))</f>
        <v/>
      </c>
      <c r="G306" s="28" t="str">
        <f>IF($J306="","",INDEX('Detalle individual'!$J:$J,$J306))</f>
        <v/>
      </c>
      <c r="H306" s="28" t="str">
        <f>IF($J306="","",INDEX('Detalle individual'!$L:$L,$J306))</f>
        <v/>
      </c>
      <c r="J306" t="str">
        <f>IFERROR(MATCH(SMALL(Cálculos!$AI$5:$AI$1000,302),Cálculos!$AI$5:$AI$1000,0)+4,"")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23" t="str">
        <f>IF($J307="","",INDEX('Detalle individual'!$H:$H,$J307))</f>
        <v/>
      </c>
      <c r="G307" s="28" t="str">
        <f>IF($J307="","",INDEX('Detalle individual'!$J:$J,$J307))</f>
        <v/>
      </c>
      <c r="H307" s="28" t="str">
        <f>IF($J307="","",INDEX('Detalle individual'!$L:$L,$J307))</f>
        <v/>
      </c>
      <c r="J307" t="str">
        <f>IFERROR(MATCH(SMALL(Cálculos!$AI$5:$AI$1000,303),Cálculos!$AI$5:$AI$1000,0)+4,"")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23" t="str">
        <f>IF($J308="","",INDEX('Detalle individual'!$H:$H,$J308))</f>
        <v/>
      </c>
      <c r="G308" s="28" t="str">
        <f>IF($J308="","",INDEX('Detalle individual'!$J:$J,$J308))</f>
        <v/>
      </c>
      <c r="H308" s="28" t="str">
        <f>IF($J308="","",INDEX('Detalle individual'!$L:$L,$J308))</f>
        <v/>
      </c>
      <c r="J308" t="str">
        <f>IFERROR(MATCH(SMALL(Cálculos!$AI$5:$AI$1000,304),Cálculos!$AI$5:$AI$1000,0)+4,"")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23" t="str">
        <f>IF($J309="","",INDEX('Detalle individual'!$H:$H,$J309))</f>
        <v/>
      </c>
      <c r="G309" s="28" t="str">
        <f>IF($J309="","",INDEX('Detalle individual'!$J:$J,$J309))</f>
        <v/>
      </c>
      <c r="H309" s="28" t="str">
        <f>IF($J309="","",INDEX('Detalle individual'!$L:$L,$J309))</f>
        <v/>
      </c>
      <c r="J309" t="str">
        <f>IFERROR(MATCH(SMALL(Cálculos!$AI$5:$AI$1000,305),Cálculos!$AI$5:$AI$1000,0)+4,"")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23" t="str">
        <f>IF($J310="","",INDEX('Detalle individual'!$H:$H,$J310))</f>
        <v/>
      </c>
      <c r="G310" s="28" t="str">
        <f>IF($J310="","",INDEX('Detalle individual'!$J:$J,$J310))</f>
        <v/>
      </c>
      <c r="H310" s="28" t="str">
        <f>IF($J310="","",INDEX('Detalle individual'!$L:$L,$J310))</f>
        <v/>
      </c>
      <c r="J310" t="str">
        <f>IFERROR(MATCH(SMALL(Cálculos!$AI$5:$AI$1000,306),Cálculos!$AI$5:$AI$1000,0)+4,"")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23" t="str">
        <f>IF($J311="","",INDEX('Detalle individual'!$H:$H,$J311))</f>
        <v/>
      </c>
      <c r="G311" s="28" t="str">
        <f>IF($J311="","",INDEX('Detalle individual'!$J:$J,$J311))</f>
        <v/>
      </c>
      <c r="H311" s="28" t="str">
        <f>IF($J311="","",INDEX('Detalle individual'!$L:$L,$J311))</f>
        <v/>
      </c>
      <c r="J311" t="str">
        <f>IFERROR(MATCH(SMALL(Cálculos!$AI$5:$AI$1000,307),Cálculos!$AI$5:$AI$1000,0)+4,"")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23" t="str">
        <f>IF($J312="","",INDEX('Detalle individual'!$H:$H,$J312))</f>
        <v/>
      </c>
      <c r="G312" s="28" t="str">
        <f>IF($J312="","",INDEX('Detalle individual'!$J:$J,$J312))</f>
        <v/>
      </c>
      <c r="H312" s="28" t="str">
        <f>IF($J312="","",INDEX('Detalle individual'!$L:$L,$J312))</f>
        <v/>
      </c>
      <c r="J312" t="str">
        <f>IFERROR(MATCH(SMALL(Cálculos!$AI$5:$AI$1000,308),Cálculos!$AI$5:$AI$1000,0)+4,"")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23" t="str">
        <f>IF($J313="","",INDEX('Detalle individual'!$H:$H,$J313))</f>
        <v/>
      </c>
      <c r="G313" s="28" t="str">
        <f>IF($J313="","",INDEX('Detalle individual'!$J:$J,$J313))</f>
        <v/>
      </c>
      <c r="H313" s="28" t="str">
        <f>IF($J313="","",INDEX('Detalle individual'!$L:$L,$J313))</f>
        <v/>
      </c>
      <c r="J313" t="str">
        <f>IFERROR(MATCH(SMALL(Cálculos!$AI$5:$AI$1000,309),Cálculos!$AI$5:$AI$1000,0)+4,"")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23" t="str">
        <f>IF($J314="","",INDEX('Detalle individual'!$H:$H,$J314))</f>
        <v/>
      </c>
      <c r="G314" s="28" t="str">
        <f>IF($J314="","",INDEX('Detalle individual'!$J:$J,$J314))</f>
        <v/>
      </c>
      <c r="H314" s="28" t="str">
        <f>IF($J314="","",INDEX('Detalle individual'!$L:$L,$J314))</f>
        <v/>
      </c>
      <c r="J314" t="str">
        <f>IFERROR(MATCH(SMALL(Cálculos!$AI$5:$AI$1000,310),Cálculos!$AI$5:$AI$1000,0)+4,"")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23" t="str">
        <f>IF($J315="","",INDEX('Detalle individual'!$H:$H,$J315))</f>
        <v/>
      </c>
      <c r="G315" s="28" t="str">
        <f>IF($J315="","",INDEX('Detalle individual'!$J:$J,$J315))</f>
        <v/>
      </c>
      <c r="H315" s="28" t="str">
        <f>IF($J315="","",INDEX('Detalle individual'!$L:$L,$J315))</f>
        <v/>
      </c>
      <c r="J315" t="str">
        <f>IFERROR(MATCH(SMALL(Cálculos!$AI$5:$AI$1000,311),Cálculos!$AI$5:$AI$1000,0)+4,"")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23" t="str">
        <f>IF($J316="","",INDEX('Detalle individual'!$H:$H,$J316))</f>
        <v/>
      </c>
      <c r="G316" s="28" t="str">
        <f>IF($J316="","",INDEX('Detalle individual'!$J:$J,$J316))</f>
        <v/>
      </c>
      <c r="H316" s="28" t="str">
        <f>IF($J316="","",INDEX('Detalle individual'!$L:$L,$J316))</f>
        <v/>
      </c>
      <c r="J316" t="str">
        <f>IFERROR(MATCH(SMALL(Cálculos!$AI$5:$AI$1000,312),Cálculos!$AI$5:$AI$1000,0)+4,"")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23" t="str">
        <f>IF($J317="","",INDEX('Detalle individual'!$H:$H,$J317))</f>
        <v/>
      </c>
      <c r="G317" s="28" t="str">
        <f>IF($J317="","",INDEX('Detalle individual'!$J:$J,$J317))</f>
        <v/>
      </c>
      <c r="H317" s="28" t="str">
        <f>IF($J317="","",INDEX('Detalle individual'!$L:$L,$J317))</f>
        <v/>
      </c>
      <c r="J317" t="str">
        <f>IFERROR(MATCH(SMALL(Cálculos!$AI$5:$AI$1000,313),Cálculos!$AI$5:$AI$1000,0)+4,"")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23" t="str">
        <f>IF($J318="","",INDEX('Detalle individual'!$H:$H,$J318))</f>
        <v/>
      </c>
      <c r="G318" s="28" t="str">
        <f>IF($J318="","",INDEX('Detalle individual'!$J:$J,$J318))</f>
        <v/>
      </c>
      <c r="H318" s="28" t="str">
        <f>IF($J318="","",INDEX('Detalle individual'!$L:$L,$J318))</f>
        <v/>
      </c>
      <c r="J318" t="str">
        <f>IFERROR(MATCH(SMALL(Cálculos!$AI$5:$AI$1000,314),Cálculos!$AI$5:$AI$1000,0)+4,"")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23" t="str">
        <f>IF($J319="","",INDEX('Detalle individual'!$H:$H,$J319))</f>
        <v/>
      </c>
      <c r="G319" s="28" t="str">
        <f>IF($J319="","",INDEX('Detalle individual'!$J:$J,$J319))</f>
        <v/>
      </c>
      <c r="H319" s="28" t="str">
        <f>IF($J319="","",INDEX('Detalle individual'!$L:$L,$J319))</f>
        <v/>
      </c>
      <c r="J319" t="str">
        <f>IFERROR(MATCH(SMALL(Cálculos!$AI$5:$AI$1000,315),Cálculos!$AI$5:$AI$1000,0)+4,"")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23" t="str">
        <f>IF($J320="","",INDEX('Detalle individual'!$H:$H,$J320))</f>
        <v/>
      </c>
      <c r="G320" s="28" t="str">
        <f>IF($J320="","",INDEX('Detalle individual'!$J:$J,$J320))</f>
        <v/>
      </c>
      <c r="H320" s="28" t="str">
        <f>IF($J320="","",INDEX('Detalle individual'!$L:$L,$J320))</f>
        <v/>
      </c>
      <c r="J320" t="str">
        <f>IFERROR(MATCH(SMALL(Cálculos!$AI$5:$AI$1000,316),Cálculos!$AI$5:$AI$1000,0)+4,"")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23" t="str">
        <f>IF($J321="","",INDEX('Detalle individual'!$H:$H,$J321))</f>
        <v/>
      </c>
      <c r="G321" s="28" t="str">
        <f>IF($J321="","",INDEX('Detalle individual'!$J:$J,$J321))</f>
        <v/>
      </c>
      <c r="H321" s="28" t="str">
        <f>IF($J321="","",INDEX('Detalle individual'!$L:$L,$J321))</f>
        <v/>
      </c>
      <c r="J321" t="str">
        <f>IFERROR(MATCH(SMALL(Cálculos!$AI$5:$AI$1000,317),Cálculos!$AI$5:$AI$1000,0)+4,"")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23" t="str">
        <f>IF($J322="","",INDEX('Detalle individual'!$H:$H,$J322))</f>
        <v/>
      </c>
      <c r="G322" s="28" t="str">
        <f>IF($J322="","",INDEX('Detalle individual'!$J:$J,$J322))</f>
        <v/>
      </c>
      <c r="H322" s="28" t="str">
        <f>IF($J322="","",INDEX('Detalle individual'!$L:$L,$J322))</f>
        <v/>
      </c>
      <c r="J322" t="str">
        <f>IFERROR(MATCH(SMALL(Cálculos!$AI$5:$AI$1000,318),Cálculos!$AI$5:$AI$1000,0)+4,"")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23" t="str">
        <f>IF($J323="","",INDEX('Detalle individual'!$H:$H,$J323))</f>
        <v/>
      </c>
      <c r="G323" s="28" t="str">
        <f>IF($J323="","",INDEX('Detalle individual'!$J:$J,$J323))</f>
        <v/>
      </c>
      <c r="H323" s="28" t="str">
        <f>IF($J323="","",INDEX('Detalle individual'!$L:$L,$J323))</f>
        <v/>
      </c>
      <c r="J323" t="str">
        <f>IFERROR(MATCH(SMALL(Cálculos!$AI$5:$AI$1000,319),Cálculos!$AI$5:$AI$1000,0)+4,"")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23" t="str">
        <f>IF($J324="","",INDEX('Detalle individual'!$H:$H,$J324))</f>
        <v/>
      </c>
      <c r="G324" s="28" t="str">
        <f>IF($J324="","",INDEX('Detalle individual'!$J:$J,$J324))</f>
        <v/>
      </c>
      <c r="H324" s="28" t="str">
        <f>IF($J324="","",INDEX('Detalle individual'!$L:$L,$J324))</f>
        <v/>
      </c>
      <c r="J324" t="str">
        <f>IFERROR(MATCH(SMALL(Cálculos!$AI$5:$AI$1000,320),Cálculos!$AI$5:$AI$1000,0)+4,"")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23" t="str">
        <f>IF($J325="","",INDEX('Detalle individual'!$H:$H,$J325))</f>
        <v/>
      </c>
      <c r="G325" s="28" t="str">
        <f>IF($J325="","",INDEX('Detalle individual'!$J:$J,$J325))</f>
        <v/>
      </c>
      <c r="H325" s="28" t="str">
        <f>IF($J325="","",INDEX('Detalle individual'!$L:$L,$J325))</f>
        <v/>
      </c>
      <c r="J325" t="str">
        <f>IFERROR(MATCH(SMALL(Cálculos!$AI$5:$AI$1000,321),Cálculos!$AI$5:$AI$1000,0)+4,"")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23" t="str">
        <f>IF($J326="","",INDEX('Detalle individual'!$H:$H,$J326))</f>
        <v/>
      </c>
      <c r="G326" s="28" t="str">
        <f>IF($J326="","",INDEX('Detalle individual'!$J:$J,$J326))</f>
        <v/>
      </c>
      <c r="H326" s="28" t="str">
        <f>IF($J326="","",INDEX('Detalle individual'!$L:$L,$J326))</f>
        <v/>
      </c>
      <c r="J326" t="str">
        <f>IFERROR(MATCH(SMALL(Cálculos!$AI$5:$AI$1000,322),Cálculos!$AI$5:$AI$1000,0)+4,"")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23" t="str">
        <f>IF($J327="","",INDEX('Detalle individual'!$H:$H,$J327))</f>
        <v/>
      </c>
      <c r="G327" s="28" t="str">
        <f>IF($J327="","",INDEX('Detalle individual'!$J:$J,$J327))</f>
        <v/>
      </c>
      <c r="H327" s="28" t="str">
        <f>IF($J327="","",INDEX('Detalle individual'!$L:$L,$J327))</f>
        <v/>
      </c>
      <c r="J327" t="str">
        <f>IFERROR(MATCH(SMALL(Cálculos!$AI$5:$AI$1000,323),Cálculos!$AI$5:$AI$1000,0)+4,"")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23" t="str">
        <f>IF($J328="","",INDEX('Detalle individual'!$H:$H,$J328))</f>
        <v/>
      </c>
      <c r="G328" s="28" t="str">
        <f>IF($J328="","",INDEX('Detalle individual'!$J:$J,$J328))</f>
        <v/>
      </c>
      <c r="H328" s="28" t="str">
        <f>IF($J328="","",INDEX('Detalle individual'!$L:$L,$J328))</f>
        <v/>
      </c>
      <c r="J328" t="str">
        <f>IFERROR(MATCH(SMALL(Cálculos!$AI$5:$AI$1000,324),Cálculos!$AI$5:$AI$1000,0)+4,"")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23" t="str">
        <f>IF($J329="","",INDEX('Detalle individual'!$H:$H,$J329))</f>
        <v/>
      </c>
      <c r="G329" s="28" t="str">
        <f>IF($J329="","",INDEX('Detalle individual'!$J:$J,$J329))</f>
        <v/>
      </c>
      <c r="H329" s="28" t="str">
        <f>IF($J329="","",INDEX('Detalle individual'!$L:$L,$J329))</f>
        <v/>
      </c>
      <c r="J329" t="str">
        <f>IFERROR(MATCH(SMALL(Cálculos!$AI$5:$AI$1000,325),Cálculos!$AI$5:$AI$1000,0)+4,"")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23" t="str">
        <f>IF($J330="","",INDEX('Detalle individual'!$H:$H,$J330))</f>
        <v/>
      </c>
      <c r="G330" s="28" t="str">
        <f>IF($J330="","",INDEX('Detalle individual'!$J:$J,$J330))</f>
        <v/>
      </c>
      <c r="H330" s="28" t="str">
        <f>IF($J330="","",INDEX('Detalle individual'!$L:$L,$J330))</f>
        <v/>
      </c>
      <c r="J330" t="str">
        <f>IFERROR(MATCH(SMALL(Cálculos!$AI$5:$AI$1000,326),Cálculos!$AI$5:$AI$1000,0)+4,"")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23" t="str">
        <f>IF($J331="","",INDEX('Detalle individual'!$H:$H,$J331))</f>
        <v/>
      </c>
      <c r="G331" s="28" t="str">
        <f>IF($J331="","",INDEX('Detalle individual'!$J:$J,$J331))</f>
        <v/>
      </c>
      <c r="H331" s="28" t="str">
        <f>IF($J331="","",INDEX('Detalle individual'!$L:$L,$J331))</f>
        <v/>
      </c>
      <c r="J331" t="str">
        <f>IFERROR(MATCH(SMALL(Cálculos!$AI$5:$AI$1000,327),Cálculos!$AI$5:$AI$1000,0)+4,"")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23" t="str">
        <f>IF($J332="","",INDEX('Detalle individual'!$H:$H,$J332))</f>
        <v/>
      </c>
      <c r="G332" s="28" t="str">
        <f>IF($J332="","",INDEX('Detalle individual'!$J:$J,$J332))</f>
        <v/>
      </c>
      <c r="H332" s="28" t="str">
        <f>IF($J332="","",INDEX('Detalle individual'!$L:$L,$J332))</f>
        <v/>
      </c>
      <c r="J332" t="str">
        <f>IFERROR(MATCH(SMALL(Cálculos!$AI$5:$AI$1000,328),Cálculos!$AI$5:$AI$1000,0)+4,"")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23" t="str">
        <f>IF($J333="","",INDEX('Detalle individual'!$H:$H,$J333))</f>
        <v/>
      </c>
      <c r="G333" s="28" t="str">
        <f>IF($J333="","",INDEX('Detalle individual'!$J:$J,$J333))</f>
        <v/>
      </c>
      <c r="H333" s="28" t="str">
        <f>IF($J333="","",INDEX('Detalle individual'!$L:$L,$J333))</f>
        <v/>
      </c>
      <c r="J333" t="str">
        <f>IFERROR(MATCH(SMALL(Cálculos!$AI$5:$AI$1000,329),Cálculos!$AI$5:$AI$1000,0)+4,"")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23" t="str">
        <f>IF($J334="","",INDEX('Detalle individual'!$H:$H,$J334))</f>
        <v/>
      </c>
      <c r="G334" s="28" t="str">
        <f>IF($J334="","",INDEX('Detalle individual'!$J:$J,$J334))</f>
        <v/>
      </c>
      <c r="H334" s="28" t="str">
        <f>IF($J334="","",INDEX('Detalle individual'!$L:$L,$J334))</f>
        <v/>
      </c>
      <c r="J334" t="str">
        <f>IFERROR(MATCH(SMALL(Cálculos!$AI$5:$AI$1000,330),Cálculos!$AI$5:$AI$1000,0)+4,"")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23" t="str">
        <f>IF($J335="","",INDEX('Detalle individual'!$H:$H,$J335))</f>
        <v/>
      </c>
      <c r="G335" s="28" t="str">
        <f>IF($J335="","",INDEX('Detalle individual'!$J:$J,$J335))</f>
        <v/>
      </c>
      <c r="H335" s="28" t="str">
        <f>IF($J335="","",INDEX('Detalle individual'!$L:$L,$J335))</f>
        <v/>
      </c>
      <c r="J335" t="str">
        <f>IFERROR(MATCH(SMALL(Cálculos!$AI$5:$AI$1000,331),Cálculos!$AI$5:$AI$1000,0)+4,"")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23" t="str">
        <f>IF($J336="","",INDEX('Detalle individual'!$H:$H,$J336))</f>
        <v/>
      </c>
      <c r="G336" s="28" t="str">
        <f>IF($J336="","",INDEX('Detalle individual'!$J:$J,$J336))</f>
        <v/>
      </c>
      <c r="H336" s="28" t="str">
        <f>IF($J336="","",INDEX('Detalle individual'!$L:$L,$J336))</f>
        <v/>
      </c>
      <c r="J336" t="str">
        <f>IFERROR(MATCH(SMALL(Cálculos!$AI$5:$AI$1000,332),Cálculos!$AI$5:$AI$1000,0)+4,"")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23" t="str">
        <f>IF($J337="","",INDEX('Detalle individual'!$H:$H,$J337))</f>
        <v/>
      </c>
      <c r="G337" s="28" t="str">
        <f>IF($J337="","",INDEX('Detalle individual'!$J:$J,$J337))</f>
        <v/>
      </c>
      <c r="H337" s="28" t="str">
        <f>IF($J337="","",INDEX('Detalle individual'!$L:$L,$J337))</f>
        <v/>
      </c>
      <c r="J337" t="str">
        <f>IFERROR(MATCH(SMALL(Cálculos!$AI$5:$AI$1000,333),Cálculos!$AI$5:$AI$1000,0)+4,"")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23" t="str">
        <f>IF($J338="","",INDEX('Detalle individual'!$H:$H,$J338))</f>
        <v/>
      </c>
      <c r="G338" s="28" t="str">
        <f>IF($J338="","",INDEX('Detalle individual'!$J:$J,$J338))</f>
        <v/>
      </c>
      <c r="H338" s="28" t="str">
        <f>IF($J338="","",INDEX('Detalle individual'!$L:$L,$J338))</f>
        <v/>
      </c>
      <c r="J338" t="str">
        <f>IFERROR(MATCH(SMALL(Cálculos!$AI$5:$AI$1000,334),Cálculos!$AI$5:$AI$1000,0)+4,"")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23" t="str">
        <f>IF($J339="","",INDEX('Detalle individual'!$H:$H,$J339))</f>
        <v/>
      </c>
      <c r="G339" s="28" t="str">
        <f>IF($J339="","",INDEX('Detalle individual'!$J:$J,$J339))</f>
        <v/>
      </c>
      <c r="H339" s="28" t="str">
        <f>IF($J339="","",INDEX('Detalle individual'!$L:$L,$J339))</f>
        <v/>
      </c>
      <c r="J339" t="str">
        <f>IFERROR(MATCH(SMALL(Cálculos!$AI$5:$AI$1000,335),Cálculos!$AI$5:$AI$1000,0)+4,"")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23" t="str">
        <f>IF($J340="","",INDEX('Detalle individual'!$H:$H,$J340))</f>
        <v/>
      </c>
      <c r="G340" s="28" t="str">
        <f>IF($J340="","",INDEX('Detalle individual'!$J:$J,$J340))</f>
        <v/>
      </c>
      <c r="H340" s="28" t="str">
        <f>IF($J340="","",INDEX('Detalle individual'!$L:$L,$J340))</f>
        <v/>
      </c>
      <c r="J340" t="str">
        <f>IFERROR(MATCH(SMALL(Cálculos!$AI$5:$AI$1000,336),Cálculos!$AI$5:$AI$1000,0)+4,"")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23" t="str">
        <f>IF($J341="","",INDEX('Detalle individual'!$H:$H,$J341))</f>
        <v/>
      </c>
      <c r="G341" s="28" t="str">
        <f>IF($J341="","",INDEX('Detalle individual'!$J:$J,$J341))</f>
        <v/>
      </c>
      <c r="H341" s="28" t="str">
        <f>IF($J341="","",INDEX('Detalle individual'!$L:$L,$J341))</f>
        <v/>
      </c>
      <c r="J341" t="str">
        <f>IFERROR(MATCH(SMALL(Cálculos!$AI$5:$AI$1000,337),Cálculos!$AI$5:$AI$1000,0)+4,"")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23" t="str">
        <f>IF($J342="","",INDEX('Detalle individual'!$H:$H,$J342))</f>
        <v/>
      </c>
      <c r="G342" s="28" t="str">
        <f>IF($J342="","",INDEX('Detalle individual'!$J:$J,$J342))</f>
        <v/>
      </c>
      <c r="H342" s="28" t="str">
        <f>IF($J342="","",INDEX('Detalle individual'!$L:$L,$J342))</f>
        <v/>
      </c>
      <c r="J342" t="str">
        <f>IFERROR(MATCH(SMALL(Cálculos!$AI$5:$AI$1000,338),Cálculos!$AI$5:$AI$1000,0)+4,"")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23" t="str">
        <f>IF($J343="","",INDEX('Detalle individual'!$H:$H,$J343))</f>
        <v/>
      </c>
      <c r="G343" s="28" t="str">
        <f>IF($J343="","",INDEX('Detalle individual'!$J:$J,$J343))</f>
        <v/>
      </c>
      <c r="H343" s="28" t="str">
        <f>IF($J343="","",INDEX('Detalle individual'!$L:$L,$J343))</f>
        <v/>
      </c>
      <c r="J343" t="str">
        <f>IFERROR(MATCH(SMALL(Cálculos!$AI$5:$AI$1000,339),Cálculos!$AI$5:$AI$1000,0)+4,"")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23" t="str">
        <f>IF($J344="","",INDEX('Detalle individual'!$H:$H,$J344))</f>
        <v/>
      </c>
      <c r="G344" s="28" t="str">
        <f>IF($J344="","",INDEX('Detalle individual'!$J:$J,$J344))</f>
        <v/>
      </c>
      <c r="H344" s="28" t="str">
        <f>IF($J344="","",INDEX('Detalle individual'!$L:$L,$J344))</f>
        <v/>
      </c>
      <c r="J344" t="str">
        <f>IFERROR(MATCH(SMALL(Cálculos!$AI$5:$AI$1000,340),Cálculos!$AI$5:$AI$1000,0)+4,"")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23" t="str">
        <f>IF($J345="","",INDEX('Detalle individual'!$H:$H,$J345))</f>
        <v/>
      </c>
      <c r="G345" s="28" t="str">
        <f>IF($J345="","",INDEX('Detalle individual'!$J:$J,$J345))</f>
        <v/>
      </c>
      <c r="H345" s="28" t="str">
        <f>IF($J345="","",INDEX('Detalle individual'!$L:$L,$J345))</f>
        <v/>
      </c>
      <c r="J345" t="str">
        <f>IFERROR(MATCH(SMALL(Cálculos!$AI$5:$AI$1000,341),Cálculos!$AI$5:$AI$1000,0)+4,"")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23" t="str">
        <f>IF($J346="","",INDEX('Detalle individual'!$H:$H,$J346))</f>
        <v/>
      </c>
      <c r="G346" s="28" t="str">
        <f>IF($J346="","",INDEX('Detalle individual'!$J:$J,$J346))</f>
        <v/>
      </c>
      <c r="H346" s="28" t="str">
        <f>IF($J346="","",INDEX('Detalle individual'!$L:$L,$J346))</f>
        <v/>
      </c>
      <c r="J346" t="str">
        <f>IFERROR(MATCH(SMALL(Cálculos!$AI$5:$AI$1000,342),Cálculos!$AI$5:$AI$1000,0)+4,"")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23" t="str">
        <f>IF($J347="","",INDEX('Detalle individual'!$H:$H,$J347))</f>
        <v/>
      </c>
      <c r="G347" s="28" t="str">
        <f>IF($J347="","",INDEX('Detalle individual'!$J:$J,$J347))</f>
        <v/>
      </c>
      <c r="H347" s="28" t="str">
        <f>IF($J347="","",INDEX('Detalle individual'!$L:$L,$J347))</f>
        <v/>
      </c>
      <c r="J347" t="str">
        <f>IFERROR(MATCH(SMALL(Cálculos!$AI$5:$AI$1000,343),Cálculos!$AI$5:$AI$1000,0)+4,"")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23" t="str">
        <f>IF($J348="","",INDEX('Detalle individual'!$H:$H,$J348))</f>
        <v/>
      </c>
      <c r="G348" s="28" t="str">
        <f>IF($J348="","",INDEX('Detalle individual'!$J:$J,$J348))</f>
        <v/>
      </c>
      <c r="H348" s="28" t="str">
        <f>IF($J348="","",INDEX('Detalle individual'!$L:$L,$J348))</f>
        <v/>
      </c>
      <c r="J348" t="str">
        <f>IFERROR(MATCH(SMALL(Cálculos!$AI$5:$AI$1000,344),Cálculos!$AI$5:$AI$1000,0)+4,"")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23" t="str">
        <f>IF($J349="","",INDEX('Detalle individual'!$H:$H,$J349))</f>
        <v/>
      </c>
      <c r="G349" s="28" t="str">
        <f>IF($J349="","",INDEX('Detalle individual'!$J:$J,$J349))</f>
        <v/>
      </c>
      <c r="H349" s="28" t="str">
        <f>IF($J349="","",INDEX('Detalle individual'!$L:$L,$J349))</f>
        <v/>
      </c>
      <c r="J349" t="str">
        <f>IFERROR(MATCH(SMALL(Cálculos!$AI$5:$AI$1000,345),Cálculos!$AI$5:$AI$1000,0)+4,"")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23" t="str">
        <f>IF($J350="","",INDEX('Detalle individual'!$H:$H,$J350))</f>
        <v/>
      </c>
      <c r="G350" s="28" t="str">
        <f>IF($J350="","",INDEX('Detalle individual'!$J:$J,$J350))</f>
        <v/>
      </c>
      <c r="H350" s="28" t="str">
        <f>IF($J350="","",INDEX('Detalle individual'!$L:$L,$J350))</f>
        <v/>
      </c>
      <c r="J350" t="str">
        <f>IFERROR(MATCH(SMALL(Cálculos!$AI$5:$AI$1000,346),Cálculos!$AI$5:$AI$1000,0)+4,"")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23" t="str">
        <f>IF($J351="","",INDEX('Detalle individual'!$H:$H,$J351))</f>
        <v/>
      </c>
      <c r="G351" s="28" t="str">
        <f>IF($J351="","",INDEX('Detalle individual'!$J:$J,$J351))</f>
        <v/>
      </c>
      <c r="H351" s="28" t="str">
        <f>IF($J351="","",INDEX('Detalle individual'!$L:$L,$J351))</f>
        <v/>
      </c>
      <c r="J351" t="str">
        <f>IFERROR(MATCH(SMALL(Cálculos!$AI$5:$AI$1000,347),Cálculos!$AI$5:$AI$1000,0)+4,"")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23" t="str">
        <f>IF($J352="","",INDEX('Detalle individual'!$H:$H,$J352))</f>
        <v/>
      </c>
      <c r="G352" s="28" t="str">
        <f>IF($J352="","",INDEX('Detalle individual'!$J:$J,$J352))</f>
        <v/>
      </c>
      <c r="H352" s="28" t="str">
        <f>IF($J352="","",INDEX('Detalle individual'!$L:$L,$J352))</f>
        <v/>
      </c>
      <c r="J352" t="str">
        <f>IFERROR(MATCH(SMALL(Cálculos!$AI$5:$AI$1000,348),Cálculos!$AI$5:$AI$1000,0)+4,"")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23" t="str">
        <f>IF($J353="","",INDEX('Detalle individual'!$H:$H,$J353))</f>
        <v/>
      </c>
      <c r="G353" s="28" t="str">
        <f>IF($J353="","",INDEX('Detalle individual'!$J:$J,$J353))</f>
        <v/>
      </c>
      <c r="H353" s="28" t="str">
        <f>IF($J353="","",INDEX('Detalle individual'!$L:$L,$J353))</f>
        <v/>
      </c>
      <c r="J353" t="str">
        <f>IFERROR(MATCH(SMALL(Cálculos!$AI$5:$AI$1000,349),Cálculos!$AI$5:$AI$1000,0)+4,"")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23" t="str">
        <f>IF($J354="","",INDEX('Detalle individual'!$H:$H,$J354))</f>
        <v/>
      </c>
      <c r="G354" s="28" t="str">
        <f>IF($J354="","",INDEX('Detalle individual'!$J:$J,$J354))</f>
        <v/>
      </c>
      <c r="H354" s="28" t="str">
        <f>IF($J354="","",INDEX('Detalle individual'!$L:$L,$J354))</f>
        <v/>
      </c>
      <c r="J354" t="str">
        <f>IFERROR(MATCH(SMALL(Cálculos!$AI$5:$AI$1000,350),Cálculos!$AI$5:$AI$1000,0)+4,"")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23" t="str">
        <f>IF($J355="","",INDEX('Detalle individual'!$H:$H,$J355))</f>
        <v/>
      </c>
      <c r="G355" s="28" t="str">
        <f>IF($J355="","",INDEX('Detalle individual'!$J:$J,$J355))</f>
        <v/>
      </c>
      <c r="H355" s="28" t="str">
        <f>IF($J355="","",INDEX('Detalle individual'!$L:$L,$J355))</f>
        <v/>
      </c>
      <c r="J355" t="str">
        <f>IFERROR(MATCH(SMALL(Cálculos!$AI$5:$AI$1000,351),Cálculos!$AI$5:$AI$1000,0)+4,"")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23" t="str">
        <f>IF($J356="","",INDEX('Detalle individual'!$H:$H,$J356))</f>
        <v/>
      </c>
      <c r="G356" s="28" t="str">
        <f>IF($J356="","",INDEX('Detalle individual'!$J:$J,$J356))</f>
        <v/>
      </c>
      <c r="H356" s="28" t="str">
        <f>IF($J356="","",INDEX('Detalle individual'!$L:$L,$J356))</f>
        <v/>
      </c>
      <c r="J356" t="str">
        <f>IFERROR(MATCH(SMALL(Cálculos!$AI$5:$AI$1000,352),Cálculos!$AI$5:$AI$1000,0)+4,"")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23" t="str">
        <f>IF($J357="","",INDEX('Detalle individual'!$H:$H,$J357))</f>
        <v/>
      </c>
      <c r="G357" s="28" t="str">
        <f>IF($J357="","",INDEX('Detalle individual'!$J:$J,$J357))</f>
        <v/>
      </c>
      <c r="H357" s="28" t="str">
        <f>IF($J357="","",INDEX('Detalle individual'!$L:$L,$J357))</f>
        <v/>
      </c>
      <c r="J357" t="str">
        <f>IFERROR(MATCH(SMALL(Cálculos!$AI$5:$AI$1000,353),Cálculos!$AI$5:$AI$1000,0)+4,"")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23" t="str">
        <f>IF($J358="","",INDEX('Detalle individual'!$H:$H,$J358))</f>
        <v/>
      </c>
      <c r="G358" s="28" t="str">
        <f>IF($J358="","",INDEX('Detalle individual'!$J:$J,$J358))</f>
        <v/>
      </c>
      <c r="H358" s="28" t="str">
        <f>IF($J358="","",INDEX('Detalle individual'!$L:$L,$J358))</f>
        <v/>
      </c>
      <c r="J358" t="str">
        <f>IFERROR(MATCH(SMALL(Cálculos!$AI$5:$AI$1000,354),Cálculos!$AI$5:$AI$1000,0)+4,"")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23" t="str">
        <f>IF($J359="","",INDEX('Detalle individual'!$H:$H,$J359))</f>
        <v/>
      </c>
      <c r="G359" s="28" t="str">
        <f>IF($J359="","",INDEX('Detalle individual'!$J:$J,$J359))</f>
        <v/>
      </c>
      <c r="H359" s="28" t="str">
        <f>IF($J359="","",INDEX('Detalle individual'!$L:$L,$J359))</f>
        <v/>
      </c>
      <c r="J359" t="str">
        <f>IFERROR(MATCH(SMALL(Cálculos!$AI$5:$AI$1000,355),Cálculos!$AI$5:$AI$1000,0)+4,"")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23" t="str">
        <f>IF($J360="","",INDEX('Detalle individual'!$H:$H,$J360))</f>
        <v/>
      </c>
      <c r="G360" s="28" t="str">
        <f>IF($J360="","",INDEX('Detalle individual'!$J:$J,$J360))</f>
        <v/>
      </c>
      <c r="H360" s="28" t="str">
        <f>IF($J360="","",INDEX('Detalle individual'!$L:$L,$J360))</f>
        <v/>
      </c>
      <c r="J360" t="str">
        <f>IFERROR(MATCH(SMALL(Cálculos!$AI$5:$AI$1000,356),Cálculos!$AI$5:$AI$1000,0)+4,"")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23" t="str">
        <f>IF($J361="","",INDEX('Detalle individual'!$H:$H,$J361))</f>
        <v/>
      </c>
      <c r="G361" s="28" t="str">
        <f>IF($J361="","",INDEX('Detalle individual'!$J:$J,$J361))</f>
        <v/>
      </c>
      <c r="H361" s="28" t="str">
        <f>IF($J361="","",INDEX('Detalle individual'!$L:$L,$J361))</f>
        <v/>
      </c>
      <c r="J361" t="str">
        <f>IFERROR(MATCH(SMALL(Cálculos!$AI$5:$AI$1000,357),Cálculos!$AI$5:$AI$1000,0)+4,"")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23" t="str">
        <f>IF($J362="","",INDEX('Detalle individual'!$H:$H,$J362))</f>
        <v/>
      </c>
      <c r="G362" s="28" t="str">
        <f>IF($J362="","",INDEX('Detalle individual'!$J:$J,$J362))</f>
        <v/>
      </c>
      <c r="H362" s="28" t="str">
        <f>IF($J362="","",INDEX('Detalle individual'!$L:$L,$J362))</f>
        <v/>
      </c>
      <c r="J362" t="str">
        <f>IFERROR(MATCH(SMALL(Cálculos!$AI$5:$AI$1000,358),Cálculos!$AI$5:$AI$1000,0)+4,"")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23" t="str">
        <f>IF($J363="","",INDEX('Detalle individual'!$H:$H,$J363))</f>
        <v/>
      </c>
      <c r="G363" s="28" t="str">
        <f>IF($J363="","",INDEX('Detalle individual'!$J:$J,$J363))</f>
        <v/>
      </c>
      <c r="H363" s="28" t="str">
        <f>IF($J363="","",INDEX('Detalle individual'!$L:$L,$J363))</f>
        <v/>
      </c>
      <c r="J363" t="str">
        <f>IFERROR(MATCH(SMALL(Cálculos!$AI$5:$AI$1000,359),Cálculos!$AI$5:$AI$1000,0)+4,"")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23" t="str">
        <f>IF($J364="","",INDEX('Detalle individual'!$H:$H,$J364))</f>
        <v/>
      </c>
      <c r="G364" s="28" t="str">
        <f>IF($J364="","",INDEX('Detalle individual'!$J:$J,$J364))</f>
        <v/>
      </c>
      <c r="H364" s="28" t="str">
        <f>IF($J364="","",INDEX('Detalle individual'!$L:$L,$J364))</f>
        <v/>
      </c>
      <c r="J364" t="str">
        <f>IFERROR(MATCH(SMALL(Cálculos!$AI$5:$AI$1000,360),Cálculos!$AI$5:$AI$1000,0)+4,"")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23" t="str">
        <f>IF($J365="","",INDEX('Detalle individual'!$H:$H,$J365))</f>
        <v/>
      </c>
      <c r="G365" s="28" t="str">
        <f>IF($J365="","",INDEX('Detalle individual'!$J:$J,$J365))</f>
        <v/>
      </c>
      <c r="H365" s="28" t="str">
        <f>IF($J365="","",INDEX('Detalle individual'!$L:$L,$J365))</f>
        <v/>
      </c>
      <c r="J365" t="str">
        <f>IFERROR(MATCH(SMALL(Cálculos!$AI$5:$AI$1000,361),Cálculos!$AI$5:$AI$1000,0)+4,"")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23" t="str">
        <f>IF($J366="","",INDEX('Detalle individual'!$H:$H,$J366))</f>
        <v/>
      </c>
      <c r="G366" s="28" t="str">
        <f>IF($J366="","",INDEX('Detalle individual'!$J:$J,$J366))</f>
        <v/>
      </c>
      <c r="H366" s="28" t="str">
        <f>IF($J366="","",INDEX('Detalle individual'!$L:$L,$J366))</f>
        <v/>
      </c>
      <c r="J366" t="str">
        <f>IFERROR(MATCH(SMALL(Cálculos!$AI$5:$AI$1000,362),Cálculos!$AI$5:$AI$1000,0)+4,"")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23" t="str">
        <f>IF($J367="","",INDEX('Detalle individual'!$H:$H,$J367))</f>
        <v/>
      </c>
      <c r="G367" s="28" t="str">
        <f>IF($J367="","",INDEX('Detalle individual'!$J:$J,$J367))</f>
        <v/>
      </c>
      <c r="H367" s="28" t="str">
        <f>IF($J367="","",INDEX('Detalle individual'!$L:$L,$J367))</f>
        <v/>
      </c>
      <c r="J367" t="str">
        <f>IFERROR(MATCH(SMALL(Cálculos!$AI$5:$AI$1000,363),Cálculos!$AI$5:$AI$1000,0)+4,"")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23" t="str">
        <f>IF($J368="","",INDEX('Detalle individual'!$H:$H,$J368))</f>
        <v/>
      </c>
      <c r="G368" s="28" t="str">
        <f>IF($J368="","",INDEX('Detalle individual'!$J:$J,$J368))</f>
        <v/>
      </c>
      <c r="H368" s="28" t="str">
        <f>IF($J368="","",INDEX('Detalle individual'!$L:$L,$J368))</f>
        <v/>
      </c>
      <c r="J368" t="str">
        <f>IFERROR(MATCH(SMALL(Cálculos!$AI$5:$AI$1000,364),Cálculos!$AI$5:$AI$1000,0)+4,"")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23" t="str">
        <f>IF($J369="","",INDEX('Detalle individual'!$H:$H,$J369))</f>
        <v/>
      </c>
      <c r="G369" s="28" t="str">
        <f>IF($J369="","",INDEX('Detalle individual'!$J:$J,$J369))</f>
        <v/>
      </c>
      <c r="H369" s="28" t="str">
        <f>IF($J369="","",INDEX('Detalle individual'!$L:$L,$J369))</f>
        <v/>
      </c>
      <c r="J369" t="str">
        <f>IFERROR(MATCH(SMALL(Cálculos!$AI$5:$AI$1000,365),Cálculos!$AI$5:$AI$1000,0)+4,"")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23" t="str">
        <f>IF($J370="","",INDEX('Detalle individual'!$H:$H,$J370))</f>
        <v/>
      </c>
      <c r="G370" s="28" t="str">
        <f>IF($J370="","",INDEX('Detalle individual'!$J:$J,$J370))</f>
        <v/>
      </c>
      <c r="H370" s="28" t="str">
        <f>IF($J370="","",INDEX('Detalle individual'!$L:$L,$J370))</f>
        <v/>
      </c>
      <c r="J370" t="str">
        <f>IFERROR(MATCH(SMALL(Cálculos!$AI$5:$AI$1000,366),Cálculos!$AI$5:$AI$1000,0)+4,"")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23" t="str">
        <f>IF($J371="","",INDEX('Detalle individual'!$H:$H,$J371))</f>
        <v/>
      </c>
      <c r="G371" s="28" t="str">
        <f>IF($J371="","",INDEX('Detalle individual'!$J:$J,$J371))</f>
        <v/>
      </c>
      <c r="H371" s="28" t="str">
        <f>IF($J371="","",INDEX('Detalle individual'!$L:$L,$J371))</f>
        <v/>
      </c>
      <c r="J371" t="str">
        <f>IFERROR(MATCH(SMALL(Cálculos!$AI$5:$AI$1000,367),Cálculos!$AI$5:$AI$1000,0)+4,"")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23" t="str">
        <f>IF($J372="","",INDEX('Detalle individual'!$H:$H,$J372))</f>
        <v/>
      </c>
      <c r="G372" s="28" t="str">
        <f>IF($J372="","",INDEX('Detalle individual'!$J:$J,$J372))</f>
        <v/>
      </c>
      <c r="H372" s="28" t="str">
        <f>IF($J372="","",INDEX('Detalle individual'!$L:$L,$J372))</f>
        <v/>
      </c>
      <c r="J372" t="str">
        <f>IFERROR(MATCH(SMALL(Cálculos!$AI$5:$AI$1000,368),Cálculos!$AI$5:$AI$1000,0)+4,"")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23" t="str">
        <f>IF($J373="","",INDEX('Detalle individual'!$H:$H,$J373))</f>
        <v/>
      </c>
      <c r="G373" s="28" t="str">
        <f>IF($J373="","",INDEX('Detalle individual'!$J:$J,$J373))</f>
        <v/>
      </c>
      <c r="H373" s="28" t="str">
        <f>IF($J373="","",INDEX('Detalle individual'!$L:$L,$J373))</f>
        <v/>
      </c>
      <c r="J373" t="str">
        <f>IFERROR(MATCH(SMALL(Cálculos!$AI$5:$AI$1000,369),Cálculos!$AI$5:$AI$1000,0)+4,"")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23" t="str">
        <f>IF($J374="","",INDEX('Detalle individual'!$H:$H,$J374))</f>
        <v/>
      </c>
      <c r="G374" s="28" t="str">
        <f>IF($J374="","",INDEX('Detalle individual'!$J:$J,$J374))</f>
        <v/>
      </c>
      <c r="H374" s="28" t="str">
        <f>IF($J374="","",INDEX('Detalle individual'!$L:$L,$J374))</f>
        <v/>
      </c>
      <c r="J374" t="str">
        <f>IFERROR(MATCH(SMALL(Cálculos!$AI$5:$AI$1000,370),Cálculos!$AI$5:$AI$1000,0)+4,"")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23" t="str">
        <f>IF($J375="","",INDEX('Detalle individual'!$H:$H,$J375))</f>
        <v/>
      </c>
      <c r="G375" s="28" t="str">
        <f>IF($J375="","",INDEX('Detalle individual'!$J:$J,$J375))</f>
        <v/>
      </c>
      <c r="H375" s="28" t="str">
        <f>IF($J375="","",INDEX('Detalle individual'!$L:$L,$J375))</f>
        <v/>
      </c>
      <c r="J375" t="str">
        <f>IFERROR(MATCH(SMALL(Cálculos!$AI$5:$AI$1000,371),Cálculos!$AI$5:$AI$1000,0)+4,"")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23" t="str">
        <f>IF($J376="","",INDEX('Detalle individual'!$H:$H,$J376))</f>
        <v/>
      </c>
      <c r="G376" s="28" t="str">
        <f>IF($J376="","",INDEX('Detalle individual'!$J:$J,$J376))</f>
        <v/>
      </c>
      <c r="H376" s="28" t="str">
        <f>IF($J376="","",INDEX('Detalle individual'!$L:$L,$J376))</f>
        <v/>
      </c>
      <c r="J376" t="str">
        <f>IFERROR(MATCH(SMALL(Cálculos!$AI$5:$AI$1000,372),Cálculos!$AI$5:$AI$1000,0)+4,"")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23" t="str">
        <f>IF($J377="","",INDEX('Detalle individual'!$H:$H,$J377))</f>
        <v/>
      </c>
      <c r="G377" s="28" t="str">
        <f>IF($J377="","",INDEX('Detalle individual'!$J:$J,$J377))</f>
        <v/>
      </c>
      <c r="H377" s="28" t="str">
        <f>IF($J377="","",INDEX('Detalle individual'!$L:$L,$J377))</f>
        <v/>
      </c>
      <c r="J377" t="str">
        <f>IFERROR(MATCH(SMALL(Cálculos!$AI$5:$AI$1000,373),Cálculos!$AI$5:$AI$1000,0)+4,"")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23" t="str">
        <f>IF($J378="","",INDEX('Detalle individual'!$H:$H,$J378))</f>
        <v/>
      </c>
      <c r="G378" s="28" t="str">
        <f>IF($J378="","",INDEX('Detalle individual'!$J:$J,$J378))</f>
        <v/>
      </c>
      <c r="H378" s="28" t="str">
        <f>IF($J378="","",INDEX('Detalle individual'!$L:$L,$J378))</f>
        <v/>
      </c>
      <c r="J378" t="str">
        <f>IFERROR(MATCH(SMALL(Cálculos!$AI$5:$AI$1000,374),Cálculos!$AI$5:$AI$1000,0)+4,"")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23" t="str">
        <f>IF($J379="","",INDEX('Detalle individual'!$H:$H,$J379))</f>
        <v/>
      </c>
      <c r="G379" s="28" t="str">
        <f>IF($J379="","",INDEX('Detalle individual'!$J:$J,$J379))</f>
        <v/>
      </c>
      <c r="H379" s="28" t="str">
        <f>IF($J379="","",INDEX('Detalle individual'!$L:$L,$J379))</f>
        <v/>
      </c>
      <c r="J379" t="str">
        <f>IFERROR(MATCH(SMALL(Cálculos!$AI$5:$AI$1000,375),Cálculos!$AI$5:$AI$1000,0)+4,"")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23" t="str">
        <f>IF($J380="","",INDEX('Detalle individual'!$H:$H,$J380))</f>
        <v/>
      </c>
      <c r="G380" s="28" t="str">
        <f>IF($J380="","",INDEX('Detalle individual'!$J:$J,$J380))</f>
        <v/>
      </c>
      <c r="H380" s="28" t="str">
        <f>IF($J380="","",INDEX('Detalle individual'!$L:$L,$J380))</f>
        <v/>
      </c>
      <c r="J380" t="str">
        <f>IFERROR(MATCH(SMALL(Cálculos!$AI$5:$AI$1000,376),Cálculos!$AI$5:$AI$1000,0)+4,"")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23" t="str">
        <f>IF($J381="","",INDEX('Detalle individual'!$H:$H,$J381))</f>
        <v/>
      </c>
      <c r="G381" s="28" t="str">
        <f>IF($J381="","",INDEX('Detalle individual'!$J:$J,$J381))</f>
        <v/>
      </c>
      <c r="H381" s="28" t="str">
        <f>IF($J381="","",INDEX('Detalle individual'!$L:$L,$J381))</f>
        <v/>
      </c>
      <c r="J381" t="str">
        <f>IFERROR(MATCH(SMALL(Cálculos!$AI$5:$AI$1000,377),Cálculos!$AI$5:$AI$1000,0)+4,"")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23" t="str">
        <f>IF($J382="","",INDEX('Detalle individual'!$H:$H,$J382))</f>
        <v/>
      </c>
      <c r="G382" s="28" t="str">
        <f>IF($J382="","",INDEX('Detalle individual'!$J:$J,$J382))</f>
        <v/>
      </c>
      <c r="H382" s="28" t="str">
        <f>IF($J382="","",INDEX('Detalle individual'!$L:$L,$J382))</f>
        <v/>
      </c>
      <c r="J382" t="str">
        <f>IFERROR(MATCH(SMALL(Cálculos!$AI$5:$AI$1000,378),Cálculos!$AI$5:$AI$1000,0)+4,"")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23" t="str">
        <f>IF($J383="","",INDEX('Detalle individual'!$H:$H,$J383))</f>
        <v/>
      </c>
      <c r="G383" s="28" t="str">
        <f>IF($J383="","",INDEX('Detalle individual'!$J:$J,$J383))</f>
        <v/>
      </c>
      <c r="H383" s="28" t="str">
        <f>IF($J383="","",INDEX('Detalle individual'!$L:$L,$J383))</f>
        <v/>
      </c>
      <c r="J383" t="str">
        <f>IFERROR(MATCH(SMALL(Cálculos!$AI$5:$AI$1000,379),Cálculos!$AI$5:$AI$1000,0)+4,"")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23" t="str">
        <f>IF($J384="","",INDEX('Detalle individual'!$H:$H,$J384))</f>
        <v/>
      </c>
      <c r="G384" s="28" t="str">
        <f>IF($J384="","",INDEX('Detalle individual'!$J:$J,$J384))</f>
        <v/>
      </c>
      <c r="H384" s="28" t="str">
        <f>IF($J384="","",INDEX('Detalle individual'!$L:$L,$J384))</f>
        <v/>
      </c>
      <c r="J384" t="str">
        <f>IFERROR(MATCH(SMALL(Cálculos!$AI$5:$AI$1000,380),Cálculos!$AI$5:$AI$1000,0)+4,"")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23" t="str">
        <f>IF($J385="","",INDEX('Detalle individual'!$H:$H,$J385))</f>
        <v/>
      </c>
      <c r="G385" s="28" t="str">
        <f>IF($J385="","",INDEX('Detalle individual'!$J:$J,$J385))</f>
        <v/>
      </c>
      <c r="H385" s="28" t="str">
        <f>IF($J385="","",INDEX('Detalle individual'!$L:$L,$J385))</f>
        <v/>
      </c>
      <c r="J385" t="str">
        <f>IFERROR(MATCH(SMALL(Cálculos!$AI$5:$AI$1000,381),Cálculos!$AI$5:$AI$1000,0)+4,"")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23" t="str">
        <f>IF($J386="","",INDEX('Detalle individual'!$H:$H,$J386))</f>
        <v/>
      </c>
      <c r="G386" s="28" t="str">
        <f>IF($J386="","",INDEX('Detalle individual'!$J:$J,$J386))</f>
        <v/>
      </c>
      <c r="H386" s="28" t="str">
        <f>IF($J386="","",INDEX('Detalle individual'!$L:$L,$J386))</f>
        <v/>
      </c>
      <c r="J386" t="str">
        <f>IFERROR(MATCH(SMALL(Cálculos!$AI$5:$AI$1000,382),Cálculos!$AI$5:$AI$1000,0)+4,"")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23" t="str">
        <f>IF($J387="","",INDEX('Detalle individual'!$H:$H,$J387))</f>
        <v/>
      </c>
      <c r="G387" s="28" t="str">
        <f>IF($J387="","",INDEX('Detalle individual'!$J:$J,$J387))</f>
        <v/>
      </c>
      <c r="H387" s="28" t="str">
        <f>IF($J387="","",INDEX('Detalle individual'!$L:$L,$J387))</f>
        <v/>
      </c>
      <c r="J387" t="str">
        <f>IFERROR(MATCH(SMALL(Cálculos!$AI$5:$AI$1000,383),Cálculos!$AI$5:$AI$1000,0)+4,"")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23" t="str">
        <f>IF($J388="","",INDEX('Detalle individual'!$H:$H,$J388))</f>
        <v/>
      </c>
      <c r="G388" s="28" t="str">
        <f>IF($J388="","",INDEX('Detalle individual'!$J:$J,$J388))</f>
        <v/>
      </c>
      <c r="H388" s="28" t="str">
        <f>IF($J388="","",INDEX('Detalle individual'!$L:$L,$J388))</f>
        <v/>
      </c>
      <c r="J388" t="str">
        <f>IFERROR(MATCH(SMALL(Cálculos!$AI$5:$AI$1000,384),Cálculos!$AI$5:$AI$1000,0)+4,"")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23" t="str">
        <f>IF($J389="","",INDEX('Detalle individual'!$H:$H,$J389))</f>
        <v/>
      </c>
      <c r="G389" s="28" t="str">
        <f>IF($J389="","",INDEX('Detalle individual'!$J:$J,$J389))</f>
        <v/>
      </c>
      <c r="H389" s="28" t="str">
        <f>IF($J389="","",INDEX('Detalle individual'!$L:$L,$J389))</f>
        <v/>
      </c>
      <c r="J389" t="str">
        <f>IFERROR(MATCH(SMALL(Cálculos!$AI$5:$AI$1000,385),Cálculos!$AI$5:$AI$1000,0)+4,"")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23" t="str">
        <f>IF($J390="","",INDEX('Detalle individual'!$H:$H,$J390))</f>
        <v/>
      </c>
      <c r="G390" s="28" t="str">
        <f>IF($J390="","",INDEX('Detalle individual'!$J:$J,$J390))</f>
        <v/>
      </c>
      <c r="H390" s="28" t="str">
        <f>IF($J390="","",INDEX('Detalle individual'!$L:$L,$J390))</f>
        <v/>
      </c>
      <c r="J390" t="str">
        <f>IFERROR(MATCH(SMALL(Cálculos!$AI$5:$AI$1000,386),Cálculos!$AI$5:$AI$1000,0)+4,"")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23" t="str">
        <f>IF($J391="","",INDEX('Detalle individual'!$H:$H,$J391))</f>
        <v/>
      </c>
      <c r="G391" s="28" t="str">
        <f>IF($J391="","",INDEX('Detalle individual'!$J:$J,$J391))</f>
        <v/>
      </c>
      <c r="H391" s="28" t="str">
        <f>IF($J391="","",INDEX('Detalle individual'!$L:$L,$J391))</f>
        <v/>
      </c>
      <c r="J391" t="str">
        <f>IFERROR(MATCH(SMALL(Cálculos!$AI$5:$AI$1000,387),Cálculos!$AI$5:$AI$1000,0)+4,"")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23" t="str">
        <f>IF($J392="","",INDEX('Detalle individual'!$H:$H,$J392))</f>
        <v/>
      </c>
      <c r="G392" s="28" t="str">
        <f>IF($J392="","",INDEX('Detalle individual'!$J:$J,$J392))</f>
        <v/>
      </c>
      <c r="H392" s="28" t="str">
        <f>IF($J392="","",INDEX('Detalle individual'!$L:$L,$J392))</f>
        <v/>
      </c>
      <c r="J392" t="str">
        <f>IFERROR(MATCH(SMALL(Cálculos!$AI$5:$AI$1000,388),Cálculos!$AI$5:$AI$1000,0)+4,"")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23" t="str">
        <f>IF($J393="","",INDEX('Detalle individual'!$H:$H,$J393))</f>
        <v/>
      </c>
      <c r="G393" s="28" t="str">
        <f>IF($J393="","",INDEX('Detalle individual'!$J:$J,$J393))</f>
        <v/>
      </c>
      <c r="H393" s="28" t="str">
        <f>IF($J393="","",INDEX('Detalle individual'!$L:$L,$J393))</f>
        <v/>
      </c>
      <c r="J393" t="str">
        <f>IFERROR(MATCH(SMALL(Cálculos!$AI$5:$AI$1000,389),Cálculos!$AI$5:$AI$1000,0)+4,"")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23" t="str">
        <f>IF($J394="","",INDEX('Detalle individual'!$H:$H,$J394))</f>
        <v/>
      </c>
      <c r="G394" s="28" t="str">
        <f>IF($J394="","",INDEX('Detalle individual'!$J:$J,$J394))</f>
        <v/>
      </c>
      <c r="H394" s="28" t="str">
        <f>IF($J394="","",INDEX('Detalle individual'!$L:$L,$J394))</f>
        <v/>
      </c>
      <c r="J394" t="str">
        <f>IFERROR(MATCH(SMALL(Cálculos!$AI$5:$AI$1000,390),Cálculos!$AI$5:$AI$1000,0)+4,"")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23" t="str">
        <f>IF($J395="","",INDEX('Detalle individual'!$H:$H,$J395))</f>
        <v/>
      </c>
      <c r="G395" s="28" t="str">
        <f>IF($J395="","",INDEX('Detalle individual'!$J:$J,$J395))</f>
        <v/>
      </c>
      <c r="H395" s="28" t="str">
        <f>IF($J395="","",INDEX('Detalle individual'!$L:$L,$J395))</f>
        <v/>
      </c>
      <c r="J395" t="str">
        <f>IFERROR(MATCH(SMALL(Cálculos!$AI$5:$AI$1000,391),Cálculos!$AI$5:$AI$1000,0)+4,"")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23" t="str">
        <f>IF($J396="","",INDEX('Detalle individual'!$H:$H,$J396))</f>
        <v/>
      </c>
      <c r="G396" s="28" t="str">
        <f>IF($J396="","",INDEX('Detalle individual'!$J:$J,$J396))</f>
        <v/>
      </c>
      <c r="H396" s="28" t="str">
        <f>IF($J396="","",INDEX('Detalle individual'!$L:$L,$J396))</f>
        <v/>
      </c>
      <c r="J396" t="str">
        <f>IFERROR(MATCH(SMALL(Cálculos!$AI$5:$AI$1000,392),Cálculos!$AI$5:$AI$1000,0)+4,"")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23" t="str">
        <f>IF($J397="","",INDEX('Detalle individual'!$H:$H,$J397))</f>
        <v/>
      </c>
      <c r="G397" s="28" t="str">
        <f>IF($J397="","",INDEX('Detalle individual'!$J:$J,$J397))</f>
        <v/>
      </c>
      <c r="H397" s="28" t="str">
        <f>IF($J397="","",INDEX('Detalle individual'!$L:$L,$J397))</f>
        <v/>
      </c>
      <c r="J397" t="str">
        <f>IFERROR(MATCH(SMALL(Cálculos!$AI$5:$AI$1000,393),Cálculos!$AI$5:$AI$1000,0)+4,"")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23" t="str">
        <f>IF($J398="","",INDEX('Detalle individual'!$H:$H,$J398))</f>
        <v/>
      </c>
      <c r="G398" s="28" t="str">
        <f>IF($J398="","",INDEX('Detalle individual'!$J:$J,$J398))</f>
        <v/>
      </c>
      <c r="H398" s="28" t="str">
        <f>IF($J398="","",INDEX('Detalle individual'!$L:$L,$J398))</f>
        <v/>
      </c>
      <c r="J398" t="str">
        <f>IFERROR(MATCH(SMALL(Cálculos!$AI$5:$AI$1000,394),Cálculos!$AI$5:$AI$1000,0)+4,"")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23" t="str">
        <f>IF($J399="","",INDEX('Detalle individual'!$H:$H,$J399))</f>
        <v/>
      </c>
      <c r="G399" s="28" t="str">
        <f>IF($J399="","",INDEX('Detalle individual'!$J:$J,$J399))</f>
        <v/>
      </c>
      <c r="H399" s="28" t="str">
        <f>IF($J399="","",INDEX('Detalle individual'!$L:$L,$J399))</f>
        <v/>
      </c>
      <c r="J399" t="str">
        <f>IFERROR(MATCH(SMALL(Cálculos!$AI$5:$AI$1000,395),Cálculos!$AI$5:$AI$1000,0)+4,"")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23" t="str">
        <f>IF($J400="","",INDEX('Detalle individual'!$H:$H,$J400))</f>
        <v/>
      </c>
      <c r="G400" s="28" t="str">
        <f>IF($J400="","",INDEX('Detalle individual'!$J:$J,$J400))</f>
        <v/>
      </c>
      <c r="H400" s="28" t="str">
        <f>IF($J400="","",INDEX('Detalle individual'!$L:$L,$J400))</f>
        <v/>
      </c>
      <c r="J400" t="str">
        <f>IFERROR(MATCH(SMALL(Cálculos!$AI$5:$AI$1000,396),Cálculos!$AI$5:$AI$1000,0)+4,"")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23" t="str">
        <f>IF($J401="","",INDEX('Detalle individual'!$H:$H,$J401))</f>
        <v/>
      </c>
      <c r="G401" s="28" t="str">
        <f>IF($J401="","",INDEX('Detalle individual'!$J:$J,$J401))</f>
        <v/>
      </c>
      <c r="H401" s="28" t="str">
        <f>IF($J401="","",INDEX('Detalle individual'!$L:$L,$J401))</f>
        <v/>
      </c>
      <c r="J401" t="str">
        <f>IFERROR(MATCH(SMALL(Cálculos!$AI$5:$AI$1000,397),Cálculos!$AI$5:$AI$1000,0)+4,"")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23" t="str">
        <f>IF($J402="","",INDEX('Detalle individual'!$H:$H,$J402))</f>
        <v/>
      </c>
      <c r="G402" s="28" t="str">
        <f>IF($J402="","",INDEX('Detalle individual'!$J:$J,$J402))</f>
        <v/>
      </c>
      <c r="H402" s="28" t="str">
        <f>IF($J402="","",INDEX('Detalle individual'!$L:$L,$J402))</f>
        <v/>
      </c>
      <c r="J402" t="str">
        <f>IFERROR(MATCH(SMALL(Cálculos!$AI$5:$AI$1000,398),Cálculos!$AI$5:$AI$1000,0)+4,"")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23" t="str">
        <f>IF($J403="","",INDEX('Detalle individual'!$H:$H,$J403))</f>
        <v/>
      </c>
      <c r="G403" s="28" t="str">
        <f>IF($J403="","",INDEX('Detalle individual'!$J:$J,$J403))</f>
        <v/>
      </c>
      <c r="H403" s="28" t="str">
        <f>IF($J403="","",INDEX('Detalle individual'!$L:$L,$J403))</f>
        <v/>
      </c>
      <c r="J403" t="str">
        <f>IFERROR(MATCH(SMALL(Cálculos!$AI$5:$AI$1000,399),Cálculos!$AI$5:$AI$1000,0)+4,"")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23" t="str">
        <f>IF($J404="","",INDEX('Detalle individual'!$H:$H,$J404))</f>
        <v/>
      </c>
      <c r="G404" s="28" t="str">
        <f>IF($J404="","",INDEX('Detalle individual'!$J:$J,$J404))</f>
        <v/>
      </c>
      <c r="H404" s="28" t="str">
        <f>IF($J404="","",INDEX('Detalle individual'!$L:$L,$J404))</f>
        <v/>
      </c>
      <c r="J404" t="str">
        <f>IFERROR(MATCH(SMALL(Cálculos!$AI$5:$AI$1000,400),Cálculos!$AI$5:$AI$1000,0)+4,"")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23" t="str">
        <f>IF($J405="","",INDEX('Detalle individual'!$H:$H,$J405))</f>
        <v/>
      </c>
      <c r="G405" s="28" t="str">
        <f>IF($J405="","",INDEX('Detalle individual'!$J:$J,$J405))</f>
        <v/>
      </c>
      <c r="H405" s="28" t="str">
        <f>IF($J405="","",INDEX('Detalle individual'!$L:$L,$J405))</f>
        <v/>
      </c>
      <c r="J405" t="str">
        <f>IFERROR(MATCH(SMALL(Cálculos!$AI$5:$AI$1000,401),Cálculos!$AI$5:$AI$1000,0)+4,"")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23" t="str">
        <f>IF($J406="","",INDEX('Detalle individual'!$H:$H,$J406))</f>
        <v/>
      </c>
      <c r="G406" s="28" t="str">
        <f>IF($J406="","",INDEX('Detalle individual'!$J:$J,$J406))</f>
        <v/>
      </c>
      <c r="H406" s="28" t="str">
        <f>IF($J406="","",INDEX('Detalle individual'!$L:$L,$J406))</f>
        <v/>
      </c>
      <c r="J406" t="str">
        <f>IFERROR(MATCH(SMALL(Cálculos!$AI$5:$AI$1000,402),Cálculos!$AI$5:$AI$1000,0)+4,"")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23" t="str">
        <f>IF($J407="","",INDEX('Detalle individual'!$H:$H,$J407))</f>
        <v/>
      </c>
      <c r="G407" s="28" t="str">
        <f>IF($J407="","",INDEX('Detalle individual'!$J:$J,$J407))</f>
        <v/>
      </c>
      <c r="H407" s="28" t="str">
        <f>IF($J407="","",INDEX('Detalle individual'!$L:$L,$J407))</f>
        <v/>
      </c>
      <c r="J407" t="str">
        <f>IFERROR(MATCH(SMALL(Cálculos!$AI$5:$AI$1000,403),Cálculos!$AI$5:$AI$1000,0)+4,"")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23" t="str">
        <f>IF($J408="","",INDEX('Detalle individual'!$H:$H,$J408))</f>
        <v/>
      </c>
      <c r="G408" s="28" t="str">
        <f>IF($J408="","",INDEX('Detalle individual'!$J:$J,$J408))</f>
        <v/>
      </c>
      <c r="H408" s="28" t="str">
        <f>IF($J408="","",INDEX('Detalle individual'!$L:$L,$J408))</f>
        <v/>
      </c>
      <c r="J408" t="str">
        <f>IFERROR(MATCH(SMALL(Cálculos!$AI$5:$AI$1000,404),Cálculos!$AI$5:$AI$1000,0)+4,"")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23" t="str">
        <f>IF($J409="","",INDEX('Detalle individual'!$H:$H,$J409))</f>
        <v/>
      </c>
      <c r="G409" s="28" t="str">
        <f>IF($J409="","",INDEX('Detalle individual'!$J:$J,$J409))</f>
        <v/>
      </c>
      <c r="H409" s="28" t="str">
        <f>IF($J409="","",INDEX('Detalle individual'!$L:$L,$J409))</f>
        <v/>
      </c>
      <c r="J409" t="str">
        <f>IFERROR(MATCH(SMALL(Cálculos!$AI$5:$AI$1000,405),Cálculos!$AI$5:$AI$1000,0)+4,"")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23" t="str">
        <f>IF($J410="","",INDEX('Detalle individual'!$H:$H,$J410))</f>
        <v/>
      </c>
      <c r="G410" s="28" t="str">
        <f>IF($J410="","",INDEX('Detalle individual'!$J:$J,$J410))</f>
        <v/>
      </c>
      <c r="H410" s="28" t="str">
        <f>IF($J410="","",INDEX('Detalle individual'!$L:$L,$J410))</f>
        <v/>
      </c>
      <c r="J410" t="str">
        <f>IFERROR(MATCH(SMALL(Cálculos!$AI$5:$AI$1000,406),Cálculos!$AI$5:$AI$1000,0)+4,"")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23" t="str">
        <f>IF($J411="","",INDEX('Detalle individual'!$H:$H,$J411))</f>
        <v/>
      </c>
      <c r="G411" s="28" t="str">
        <f>IF($J411="","",INDEX('Detalle individual'!$J:$J,$J411))</f>
        <v/>
      </c>
      <c r="H411" s="28" t="str">
        <f>IF($J411="","",INDEX('Detalle individual'!$L:$L,$J411))</f>
        <v/>
      </c>
      <c r="J411" t="str">
        <f>IFERROR(MATCH(SMALL(Cálculos!$AI$5:$AI$1000,407),Cálculos!$AI$5:$AI$1000,0)+4,"")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23" t="str">
        <f>IF($J412="","",INDEX('Detalle individual'!$H:$H,$J412))</f>
        <v/>
      </c>
      <c r="G412" s="28" t="str">
        <f>IF($J412="","",INDEX('Detalle individual'!$J:$J,$J412))</f>
        <v/>
      </c>
      <c r="H412" s="28" t="str">
        <f>IF($J412="","",INDEX('Detalle individual'!$L:$L,$J412))</f>
        <v/>
      </c>
      <c r="J412" t="str">
        <f>IFERROR(MATCH(SMALL(Cálculos!$AI$5:$AI$1000,408),Cálculos!$AI$5:$AI$1000,0)+4,"")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23" t="str">
        <f>IF($J413="","",INDEX('Detalle individual'!$H:$H,$J413))</f>
        <v/>
      </c>
      <c r="G413" s="28" t="str">
        <f>IF($J413="","",INDEX('Detalle individual'!$J:$J,$J413))</f>
        <v/>
      </c>
      <c r="H413" s="28" t="str">
        <f>IF($J413="","",INDEX('Detalle individual'!$L:$L,$J413))</f>
        <v/>
      </c>
      <c r="J413" t="str">
        <f>IFERROR(MATCH(SMALL(Cálculos!$AI$5:$AI$1000,409),Cálculos!$AI$5:$AI$1000,0)+4,"")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23" t="str">
        <f>IF($J414="","",INDEX('Detalle individual'!$H:$H,$J414))</f>
        <v/>
      </c>
      <c r="G414" s="28" t="str">
        <f>IF($J414="","",INDEX('Detalle individual'!$J:$J,$J414))</f>
        <v/>
      </c>
      <c r="H414" s="28" t="str">
        <f>IF($J414="","",INDEX('Detalle individual'!$L:$L,$J414))</f>
        <v/>
      </c>
      <c r="J414" t="str">
        <f>IFERROR(MATCH(SMALL(Cálculos!$AI$5:$AI$1000,410),Cálculos!$AI$5:$AI$1000,0)+4,"")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23" t="str">
        <f>IF($J415="","",INDEX('Detalle individual'!$H:$H,$J415))</f>
        <v/>
      </c>
      <c r="G415" s="28" t="str">
        <f>IF($J415="","",INDEX('Detalle individual'!$J:$J,$J415))</f>
        <v/>
      </c>
      <c r="H415" s="28" t="str">
        <f>IF($J415="","",INDEX('Detalle individual'!$L:$L,$J415))</f>
        <v/>
      </c>
      <c r="J415" t="str">
        <f>IFERROR(MATCH(SMALL(Cálculos!$AI$5:$AI$1000,411),Cálculos!$AI$5:$AI$1000,0)+4,"")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23" t="str">
        <f>IF($J416="","",INDEX('Detalle individual'!$H:$H,$J416))</f>
        <v/>
      </c>
      <c r="G416" s="28" t="str">
        <f>IF($J416="","",INDEX('Detalle individual'!$J:$J,$J416))</f>
        <v/>
      </c>
      <c r="H416" s="28" t="str">
        <f>IF($J416="","",INDEX('Detalle individual'!$L:$L,$J416))</f>
        <v/>
      </c>
      <c r="J416" t="str">
        <f>IFERROR(MATCH(SMALL(Cálculos!$AI$5:$AI$1000,412),Cálculos!$AI$5:$AI$1000,0)+4,"")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23" t="str">
        <f>IF($J417="","",INDEX('Detalle individual'!$H:$H,$J417))</f>
        <v/>
      </c>
      <c r="G417" s="28" t="str">
        <f>IF($J417="","",INDEX('Detalle individual'!$J:$J,$J417))</f>
        <v/>
      </c>
      <c r="H417" s="28" t="str">
        <f>IF($J417="","",INDEX('Detalle individual'!$L:$L,$J417))</f>
        <v/>
      </c>
      <c r="J417" t="str">
        <f>IFERROR(MATCH(SMALL(Cálculos!$AI$5:$AI$1000,413),Cálculos!$AI$5:$AI$1000,0)+4,"")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23" t="str">
        <f>IF($J418="","",INDEX('Detalle individual'!$H:$H,$J418))</f>
        <v/>
      </c>
      <c r="G418" s="28" t="str">
        <f>IF($J418="","",INDEX('Detalle individual'!$J:$J,$J418))</f>
        <v/>
      </c>
      <c r="H418" s="28" t="str">
        <f>IF($J418="","",INDEX('Detalle individual'!$L:$L,$J418))</f>
        <v/>
      </c>
      <c r="J418" t="str">
        <f>IFERROR(MATCH(SMALL(Cálculos!$AI$5:$AI$1000,414),Cálculos!$AI$5:$AI$1000,0)+4,"")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23" t="str">
        <f>IF($J419="","",INDEX('Detalle individual'!$H:$H,$J419))</f>
        <v/>
      </c>
      <c r="G419" s="28" t="str">
        <f>IF($J419="","",INDEX('Detalle individual'!$J:$J,$J419))</f>
        <v/>
      </c>
      <c r="H419" s="28" t="str">
        <f>IF($J419="","",INDEX('Detalle individual'!$L:$L,$J419))</f>
        <v/>
      </c>
      <c r="J419" t="str">
        <f>IFERROR(MATCH(SMALL(Cálculos!$AI$5:$AI$1000,415),Cálculos!$AI$5:$AI$1000,0)+4,"")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23" t="str">
        <f>IF($J420="","",INDEX('Detalle individual'!$H:$H,$J420))</f>
        <v/>
      </c>
      <c r="G420" s="28" t="str">
        <f>IF($J420="","",INDEX('Detalle individual'!$J:$J,$J420))</f>
        <v/>
      </c>
      <c r="H420" s="28" t="str">
        <f>IF($J420="","",INDEX('Detalle individual'!$L:$L,$J420))</f>
        <v/>
      </c>
      <c r="J420" t="str">
        <f>IFERROR(MATCH(SMALL(Cálculos!$AI$5:$AI$1000,416),Cálculos!$AI$5:$AI$1000,0)+4,"")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23" t="str">
        <f>IF($J421="","",INDEX('Detalle individual'!$H:$H,$J421))</f>
        <v/>
      </c>
      <c r="G421" s="28" t="str">
        <f>IF($J421="","",INDEX('Detalle individual'!$J:$J,$J421))</f>
        <v/>
      </c>
      <c r="H421" s="28" t="str">
        <f>IF($J421="","",INDEX('Detalle individual'!$L:$L,$J421))</f>
        <v/>
      </c>
      <c r="J421" t="str">
        <f>IFERROR(MATCH(SMALL(Cálculos!$AI$5:$AI$1000,417),Cálculos!$AI$5:$AI$1000,0)+4,"")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23" t="str">
        <f>IF($J422="","",INDEX('Detalle individual'!$H:$H,$J422))</f>
        <v/>
      </c>
      <c r="G422" s="28" t="str">
        <f>IF($J422="","",INDEX('Detalle individual'!$J:$J,$J422))</f>
        <v/>
      </c>
      <c r="H422" s="28" t="str">
        <f>IF($J422="","",INDEX('Detalle individual'!$L:$L,$J422))</f>
        <v/>
      </c>
      <c r="J422" t="str">
        <f>IFERROR(MATCH(SMALL(Cálculos!$AI$5:$AI$1000,418),Cálculos!$AI$5:$AI$1000,0)+4,"")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23" t="str">
        <f>IF($J423="","",INDEX('Detalle individual'!$H:$H,$J423))</f>
        <v/>
      </c>
      <c r="G423" s="28" t="str">
        <f>IF($J423="","",INDEX('Detalle individual'!$J:$J,$J423))</f>
        <v/>
      </c>
      <c r="H423" s="28" t="str">
        <f>IF($J423="","",INDEX('Detalle individual'!$L:$L,$J423))</f>
        <v/>
      </c>
      <c r="J423" t="str">
        <f>IFERROR(MATCH(SMALL(Cálculos!$AI$5:$AI$1000,419),Cálculos!$AI$5:$AI$1000,0)+4,"")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23" t="str">
        <f>IF($J424="","",INDEX('Detalle individual'!$H:$H,$J424))</f>
        <v/>
      </c>
      <c r="G424" s="28" t="str">
        <f>IF($J424="","",INDEX('Detalle individual'!$J:$J,$J424))</f>
        <v/>
      </c>
      <c r="H424" s="28" t="str">
        <f>IF($J424="","",INDEX('Detalle individual'!$L:$L,$J424))</f>
        <v/>
      </c>
      <c r="J424" t="str">
        <f>IFERROR(MATCH(SMALL(Cálculos!$AI$5:$AI$1000,420),Cálculos!$AI$5:$AI$1000,0)+4,"")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23" t="str">
        <f>IF($J425="","",INDEX('Detalle individual'!$H:$H,$J425))</f>
        <v/>
      </c>
      <c r="G425" s="28" t="str">
        <f>IF($J425="","",INDEX('Detalle individual'!$J:$J,$J425))</f>
        <v/>
      </c>
      <c r="H425" s="28" t="str">
        <f>IF($J425="","",INDEX('Detalle individual'!$L:$L,$J425))</f>
        <v/>
      </c>
      <c r="J425" t="str">
        <f>IFERROR(MATCH(SMALL(Cálculos!$AI$5:$AI$1000,421),Cálculos!$AI$5:$AI$1000,0)+4,"")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23" t="str">
        <f>IF($J426="","",INDEX('Detalle individual'!$H:$H,$J426))</f>
        <v/>
      </c>
      <c r="G426" s="28" t="str">
        <f>IF($J426="","",INDEX('Detalle individual'!$J:$J,$J426))</f>
        <v/>
      </c>
      <c r="H426" s="28" t="str">
        <f>IF($J426="","",INDEX('Detalle individual'!$L:$L,$J426))</f>
        <v/>
      </c>
      <c r="J426" t="str">
        <f>IFERROR(MATCH(SMALL(Cálculos!$AI$5:$AI$1000,422),Cálculos!$AI$5:$AI$1000,0)+4,"")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23" t="str">
        <f>IF($J427="","",INDEX('Detalle individual'!$H:$H,$J427))</f>
        <v/>
      </c>
      <c r="G427" s="28" t="str">
        <f>IF($J427="","",INDEX('Detalle individual'!$J:$J,$J427))</f>
        <v/>
      </c>
      <c r="H427" s="28" t="str">
        <f>IF($J427="","",INDEX('Detalle individual'!$L:$L,$J427))</f>
        <v/>
      </c>
      <c r="J427" t="str">
        <f>IFERROR(MATCH(SMALL(Cálculos!$AI$5:$AI$1000,423),Cálculos!$AI$5:$AI$1000,0)+4,"")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23" t="str">
        <f>IF($J428="","",INDEX('Detalle individual'!$H:$H,$J428))</f>
        <v/>
      </c>
      <c r="G428" s="28" t="str">
        <f>IF($J428="","",INDEX('Detalle individual'!$J:$J,$J428))</f>
        <v/>
      </c>
      <c r="H428" s="28" t="str">
        <f>IF($J428="","",INDEX('Detalle individual'!$L:$L,$J428))</f>
        <v/>
      </c>
      <c r="J428" t="str">
        <f>IFERROR(MATCH(SMALL(Cálculos!$AI$5:$AI$1000,424),Cálculos!$AI$5:$AI$1000,0)+4,"")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23" t="str">
        <f>IF($J429="","",INDEX('Detalle individual'!$H:$H,$J429))</f>
        <v/>
      </c>
      <c r="G429" s="28" t="str">
        <f>IF($J429="","",INDEX('Detalle individual'!$J:$J,$J429))</f>
        <v/>
      </c>
      <c r="H429" s="28" t="str">
        <f>IF($J429="","",INDEX('Detalle individual'!$L:$L,$J429))</f>
        <v/>
      </c>
      <c r="J429" t="str">
        <f>IFERROR(MATCH(SMALL(Cálculos!$AI$5:$AI$1000,425),Cálculos!$AI$5:$AI$1000,0)+4,"")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23" t="str">
        <f>IF($J430="","",INDEX('Detalle individual'!$H:$H,$J430))</f>
        <v/>
      </c>
      <c r="G430" s="28" t="str">
        <f>IF($J430="","",INDEX('Detalle individual'!$J:$J,$J430))</f>
        <v/>
      </c>
      <c r="H430" s="28" t="str">
        <f>IF($J430="","",INDEX('Detalle individual'!$L:$L,$J430))</f>
        <v/>
      </c>
      <c r="J430" t="str">
        <f>IFERROR(MATCH(SMALL(Cálculos!$AI$5:$AI$1000,426),Cálculos!$AI$5:$AI$1000,0)+4,"")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23" t="str">
        <f>IF($J431="","",INDEX('Detalle individual'!$H:$H,$J431))</f>
        <v/>
      </c>
      <c r="G431" s="28" t="str">
        <f>IF($J431="","",INDEX('Detalle individual'!$J:$J,$J431))</f>
        <v/>
      </c>
      <c r="H431" s="28" t="str">
        <f>IF($J431="","",INDEX('Detalle individual'!$L:$L,$J431))</f>
        <v/>
      </c>
      <c r="J431" t="str">
        <f>IFERROR(MATCH(SMALL(Cálculos!$AI$5:$AI$1000,427),Cálculos!$AI$5:$AI$1000,0)+4,"")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23" t="str">
        <f>IF($J432="","",INDEX('Detalle individual'!$H:$H,$J432))</f>
        <v/>
      </c>
      <c r="G432" s="28" t="str">
        <f>IF($J432="","",INDEX('Detalle individual'!$J:$J,$J432))</f>
        <v/>
      </c>
      <c r="H432" s="28" t="str">
        <f>IF($J432="","",INDEX('Detalle individual'!$L:$L,$J432))</f>
        <v/>
      </c>
      <c r="J432" t="str">
        <f>IFERROR(MATCH(SMALL(Cálculos!$AI$5:$AI$1000,428),Cálculos!$AI$5:$AI$1000,0)+4,"")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23" t="str">
        <f>IF($J433="","",INDEX('Detalle individual'!$H:$H,$J433))</f>
        <v/>
      </c>
      <c r="G433" s="28" t="str">
        <f>IF($J433="","",INDEX('Detalle individual'!$J:$J,$J433))</f>
        <v/>
      </c>
      <c r="H433" s="28" t="str">
        <f>IF($J433="","",INDEX('Detalle individual'!$L:$L,$J433))</f>
        <v/>
      </c>
      <c r="J433" t="str">
        <f>IFERROR(MATCH(SMALL(Cálculos!$AI$5:$AI$1000,429),Cálculos!$AI$5:$AI$1000,0)+4,"")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23" t="str">
        <f>IF($J434="","",INDEX('Detalle individual'!$H:$H,$J434))</f>
        <v/>
      </c>
      <c r="G434" s="28" t="str">
        <f>IF($J434="","",INDEX('Detalle individual'!$J:$J,$J434))</f>
        <v/>
      </c>
      <c r="H434" s="28" t="str">
        <f>IF($J434="","",INDEX('Detalle individual'!$L:$L,$J434))</f>
        <v/>
      </c>
      <c r="J434" t="str">
        <f>IFERROR(MATCH(SMALL(Cálculos!$AI$5:$AI$1000,430),Cálculos!$AI$5:$AI$1000,0)+4,"")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23" t="str">
        <f>IF($J435="","",INDEX('Detalle individual'!$H:$H,$J435))</f>
        <v/>
      </c>
      <c r="G435" s="28" t="str">
        <f>IF($J435="","",INDEX('Detalle individual'!$J:$J,$J435))</f>
        <v/>
      </c>
      <c r="H435" s="28" t="str">
        <f>IF($J435="","",INDEX('Detalle individual'!$L:$L,$J435))</f>
        <v/>
      </c>
      <c r="J435" t="str">
        <f>IFERROR(MATCH(SMALL(Cálculos!$AI$5:$AI$1000,431),Cálculos!$AI$5:$AI$1000,0)+4,"")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23" t="str">
        <f>IF($J436="","",INDEX('Detalle individual'!$H:$H,$J436))</f>
        <v/>
      </c>
      <c r="G436" s="28" t="str">
        <f>IF($J436="","",INDEX('Detalle individual'!$J:$J,$J436))</f>
        <v/>
      </c>
      <c r="H436" s="28" t="str">
        <f>IF($J436="","",INDEX('Detalle individual'!$L:$L,$J436))</f>
        <v/>
      </c>
      <c r="J436" t="str">
        <f>IFERROR(MATCH(SMALL(Cálculos!$AI$5:$AI$1000,432),Cálculos!$AI$5:$AI$1000,0)+4,"")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23" t="str">
        <f>IF($J437="","",INDEX('Detalle individual'!$H:$H,$J437))</f>
        <v/>
      </c>
      <c r="G437" s="28" t="str">
        <f>IF($J437="","",INDEX('Detalle individual'!$J:$J,$J437))</f>
        <v/>
      </c>
      <c r="H437" s="28" t="str">
        <f>IF($J437="","",INDEX('Detalle individual'!$L:$L,$J437))</f>
        <v/>
      </c>
      <c r="J437" t="str">
        <f>IFERROR(MATCH(SMALL(Cálculos!$AI$5:$AI$1000,433),Cálculos!$AI$5:$AI$1000,0)+4,"")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23" t="str">
        <f>IF($J438="","",INDEX('Detalle individual'!$H:$H,$J438))</f>
        <v/>
      </c>
      <c r="G438" s="28" t="str">
        <f>IF($J438="","",INDEX('Detalle individual'!$J:$J,$J438))</f>
        <v/>
      </c>
      <c r="H438" s="28" t="str">
        <f>IF($J438="","",INDEX('Detalle individual'!$L:$L,$J438))</f>
        <v/>
      </c>
      <c r="J438" t="str">
        <f>IFERROR(MATCH(SMALL(Cálculos!$AI$5:$AI$1000,434),Cálculos!$AI$5:$AI$1000,0)+4,"")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23" t="str">
        <f>IF($J439="","",INDEX('Detalle individual'!$H:$H,$J439))</f>
        <v/>
      </c>
      <c r="G439" s="28" t="str">
        <f>IF($J439="","",INDEX('Detalle individual'!$J:$J,$J439))</f>
        <v/>
      </c>
      <c r="H439" s="28" t="str">
        <f>IF($J439="","",INDEX('Detalle individual'!$L:$L,$J439))</f>
        <v/>
      </c>
      <c r="J439" t="str">
        <f>IFERROR(MATCH(SMALL(Cálculos!$AI$5:$AI$1000,435),Cálculos!$AI$5:$AI$1000,0)+4,"")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23" t="str">
        <f>IF($J440="","",INDEX('Detalle individual'!$H:$H,$J440))</f>
        <v/>
      </c>
      <c r="G440" s="28" t="str">
        <f>IF($J440="","",INDEX('Detalle individual'!$J:$J,$J440))</f>
        <v/>
      </c>
      <c r="H440" s="28" t="str">
        <f>IF($J440="","",INDEX('Detalle individual'!$L:$L,$J440))</f>
        <v/>
      </c>
      <c r="J440" t="str">
        <f>IFERROR(MATCH(SMALL(Cálculos!$AI$5:$AI$1000,436),Cálculos!$AI$5:$AI$1000,0)+4,"")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23" t="str">
        <f>IF($J441="","",INDEX('Detalle individual'!$H:$H,$J441))</f>
        <v/>
      </c>
      <c r="G441" s="28" t="str">
        <f>IF($J441="","",INDEX('Detalle individual'!$J:$J,$J441))</f>
        <v/>
      </c>
      <c r="H441" s="28" t="str">
        <f>IF($J441="","",INDEX('Detalle individual'!$L:$L,$J441))</f>
        <v/>
      </c>
      <c r="J441" t="str">
        <f>IFERROR(MATCH(SMALL(Cálculos!$AI$5:$AI$1000,437),Cálculos!$AI$5:$AI$1000,0)+4,"")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23" t="str">
        <f>IF($J442="","",INDEX('Detalle individual'!$H:$H,$J442))</f>
        <v/>
      </c>
      <c r="G442" s="28" t="str">
        <f>IF($J442="","",INDEX('Detalle individual'!$J:$J,$J442))</f>
        <v/>
      </c>
      <c r="H442" s="28" t="str">
        <f>IF($J442="","",INDEX('Detalle individual'!$L:$L,$J442))</f>
        <v/>
      </c>
      <c r="J442" t="str">
        <f>IFERROR(MATCH(SMALL(Cálculos!$AI$5:$AI$1000,438),Cálculos!$AI$5:$AI$1000,0)+4,"")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23" t="str">
        <f>IF($J443="","",INDEX('Detalle individual'!$H:$H,$J443))</f>
        <v/>
      </c>
      <c r="G443" s="28" t="str">
        <f>IF($J443="","",INDEX('Detalle individual'!$J:$J,$J443))</f>
        <v/>
      </c>
      <c r="H443" s="28" t="str">
        <f>IF($J443="","",INDEX('Detalle individual'!$L:$L,$J443))</f>
        <v/>
      </c>
      <c r="J443" t="str">
        <f>IFERROR(MATCH(SMALL(Cálculos!$AI$5:$AI$1000,439),Cálculos!$AI$5:$AI$1000,0)+4,"")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23" t="str">
        <f>IF($J444="","",INDEX('Detalle individual'!$H:$H,$J444))</f>
        <v/>
      </c>
      <c r="G444" s="28" t="str">
        <f>IF($J444="","",INDEX('Detalle individual'!$J:$J,$J444))</f>
        <v/>
      </c>
      <c r="H444" s="28" t="str">
        <f>IF($J444="","",INDEX('Detalle individual'!$L:$L,$J444))</f>
        <v/>
      </c>
      <c r="J444" t="str">
        <f>IFERROR(MATCH(SMALL(Cálculos!$AI$5:$AI$1000,440),Cálculos!$AI$5:$AI$1000,0)+4,"")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23" t="str">
        <f>IF($J445="","",INDEX('Detalle individual'!$H:$H,$J445))</f>
        <v/>
      </c>
      <c r="G445" s="28" t="str">
        <f>IF($J445="","",INDEX('Detalle individual'!$J:$J,$J445))</f>
        <v/>
      </c>
      <c r="H445" s="28" t="str">
        <f>IF($J445="","",INDEX('Detalle individual'!$L:$L,$J445))</f>
        <v/>
      </c>
      <c r="J445" t="str">
        <f>IFERROR(MATCH(SMALL(Cálculos!$AI$5:$AI$1000,441),Cálculos!$AI$5:$AI$1000,0)+4,"")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23" t="str">
        <f>IF($J446="","",INDEX('Detalle individual'!$H:$H,$J446))</f>
        <v/>
      </c>
      <c r="G446" s="28" t="str">
        <f>IF($J446="","",INDEX('Detalle individual'!$J:$J,$J446))</f>
        <v/>
      </c>
      <c r="H446" s="28" t="str">
        <f>IF($J446="","",INDEX('Detalle individual'!$L:$L,$J446))</f>
        <v/>
      </c>
      <c r="J446" t="str">
        <f>IFERROR(MATCH(SMALL(Cálculos!$AI$5:$AI$1000,442),Cálculos!$AI$5:$AI$1000,0)+4,"")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23" t="str">
        <f>IF($J447="","",INDEX('Detalle individual'!$H:$H,$J447))</f>
        <v/>
      </c>
      <c r="G447" s="28" t="str">
        <f>IF($J447="","",INDEX('Detalle individual'!$J:$J,$J447))</f>
        <v/>
      </c>
      <c r="H447" s="28" t="str">
        <f>IF($J447="","",INDEX('Detalle individual'!$L:$L,$J447))</f>
        <v/>
      </c>
      <c r="J447" t="str">
        <f>IFERROR(MATCH(SMALL(Cálculos!$AI$5:$AI$1000,443),Cálculos!$AI$5:$AI$1000,0)+4,"")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23" t="str">
        <f>IF($J448="","",INDEX('Detalle individual'!$H:$H,$J448))</f>
        <v/>
      </c>
      <c r="G448" s="28" t="str">
        <f>IF($J448="","",INDEX('Detalle individual'!$J:$J,$J448))</f>
        <v/>
      </c>
      <c r="H448" s="28" t="str">
        <f>IF($J448="","",INDEX('Detalle individual'!$L:$L,$J448))</f>
        <v/>
      </c>
      <c r="J448" t="str">
        <f>IFERROR(MATCH(SMALL(Cálculos!$AI$5:$AI$1000,444),Cálculos!$AI$5:$AI$1000,0)+4,"")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23" t="str">
        <f>IF($J449="","",INDEX('Detalle individual'!$H:$H,$J449))</f>
        <v/>
      </c>
      <c r="G449" s="28" t="str">
        <f>IF($J449="","",INDEX('Detalle individual'!$J:$J,$J449))</f>
        <v/>
      </c>
      <c r="H449" s="28" t="str">
        <f>IF($J449="","",INDEX('Detalle individual'!$L:$L,$J449))</f>
        <v/>
      </c>
      <c r="J449" t="str">
        <f>IFERROR(MATCH(SMALL(Cálculos!$AI$5:$AI$1000,445),Cálculos!$AI$5:$AI$1000,0)+4,"")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23" t="str">
        <f>IF($J450="","",INDEX('Detalle individual'!$H:$H,$J450))</f>
        <v/>
      </c>
      <c r="G450" s="28" t="str">
        <f>IF($J450="","",INDEX('Detalle individual'!$J:$J,$J450))</f>
        <v/>
      </c>
      <c r="H450" s="28" t="str">
        <f>IF($J450="","",INDEX('Detalle individual'!$L:$L,$J450))</f>
        <v/>
      </c>
      <c r="J450" t="str">
        <f>IFERROR(MATCH(SMALL(Cálculos!$AI$5:$AI$1000,446),Cálculos!$AI$5:$AI$1000,0)+4,"")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23" t="str">
        <f>IF($J451="","",INDEX('Detalle individual'!$H:$H,$J451))</f>
        <v/>
      </c>
      <c r="G451" s="28" t="str">
        <f>IF($J451="","",INDEX('Detalle individual'!$J:$J,$J451))</f>
        <v/>
      </c>
      <c r="H451" s="28" t="str">
        <f>IF($J451="","",INDEX('Detalle individual'!$L:$L,$J451))</f>
        <v/>
      </c>
      <c r="J451" t="str">
        <f>IFERROR(MATCH(SMALL(Cálculos!$AI$5:$AI$1000,447),Cálculos!$AI$5:$AI$1000,0)+4,"")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23" t="str">
        <f>IF($J452="","",INDEX('Detalle individual'!$H:$H,$J452))</f>
        <v/>
      </c>
      <c r="G452" s="28" t="str">
        <f>IF($J452="","",INDEX('Detalle individual'!$J:$J,$J452))</f>
        <v/>
      </c>
      <c r="H452" s="28" t="str">
        <f>IF($J452="","",INDEX('Detalle individual'!$L:$L,$J452))</f>
        <v/>
      </c>
      <c r="J452" t="str">
        <f>IFERROR(MATCH(SMALL(Cálculos!$AI$5:$AI$1000,448),Cálculos!$AI$5:$AI$1000,0)+4,"")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23" t="str">
        <f>IF($J453="","",INDEX('Detalle individual'!$H:$H,$J453))</f>
        <v/>
      </c>
      <c r="G453" s="28" t="str">
        <f>IF($J453="","",INDEX('Detalle individual'!$J:$J,$J453))</f>
        <v/>
      </c>
      <c r="H453" s="28" t="str">
        <f>IF($J453="","",INDEX('Detalle individual'!$L:$L,$J453))</f>
        <v/>
      </c>
      <c r="J453" t="str">
        <f>IFERROR(MATCH(SMALL(Cálculos!$AI$5:$AI$1000,449),Cálculos!$AI$5:$AI$1000,0)+4,"")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23" t="str">
        <f>IF($J454="","",INDEX('Detalle individual'!$H:$H,$J454))</f>
        <v/>
      </c>
      <c r="G454" s="28" t="str">
        <f>IF($J454="","",INDEX('Detalle individual'!$J:$J,$J454))</f>
        <v/>
      </c>
      <c r="H454" s="28" t="str">
        <f>IF($J454="","",INDEX('Detalle individual'!$L:$L,$J454))</f>
        <v/>
      </c>
      <c r="J454" t="str">
        <f>IFERROR(MATCH(SMALL(Cálculos!$AI$5:$AI$1000,450),Cálculos!$AI$5:$AI$1000,0)+4,"")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23" t="str">
        <f>IF($J455="","",INDEX('Detalle individual'!$H:$H,$J455))</f>
        <v/>
      </c>
      <c r="G455" s="28" t="str">
        <f>IF($J455="","",INDEX('Detalle individual'!$J:$J,$J455))</f>
        <v/>
      </c>
      <c r="H455" s="28" t="str">
        <f>IF($J455="","",INDEX('Detalle individual'!$L:$L,$J455))</f>
        <v/>
      </c>
      <c r="J455" t="str">
        <f>IFERROR(MATCH(SMALL(Cálculos!$AI$5:$AI$1000,451),Cálculos!$AI$5:$AI$1000,0)+4,"")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23" t="str">
        <f>IF($J456="","",INDEX('Detalle individual'!$H:$H,$J456))</f>
        <v/>
      </c>
      <c r="G456" s="28" t="str">
        <f>IF($J456="","",INDEX('Detalle individual'!$J:$J,$J456))</f>
        <v/>
      </c>
      <c r="H456" s="28" t="str">
        <f>IF($J456="","",INDEX('Detalle individual'!$L:$L,$J456))</f>
        <v/>
      </c>
      <c r="J456" t="str">
        <f>IFERROR(MATCH(SMALL(Cálculos!$AI$5:$AI$1000,452),Cálculos!$AI$5:$AI$1000,0)+4,"")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23" t="str">
        <f>IF($J457="","",INDEX('Detalle individual'!$H:$H,$J457))</f>
        <v/>
      </c>
      <c r="G457" s="28" t="str">
        <f>IF($J457="","",INDEX('Detalle individual'!$J:$J,$J457))</f>
        <v/>
      </c>
      <c r="H457" s="28" t="str">
        <f>IF($J457="","",INDEX('Detalle individual'!$L:$L,$J457))</f>
        <v/>
      </c>
      <c r="J457" t="str">
        <f>IFERROR(MATCH(SMALL(Cálculos!$AI$5:$AI$1000,453),Cálculos!$AI$5:$AI$1000,0)+4,"")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23" t="str">
        <f>IF($J458="","",INDEX('Detalle individual'!$H:$H,$J458))</f>
        <v/>
      </c>
      <c r="G458" s="28" t="str">
        <f>IF($J458="","",INDEX('Detalle individual'!$J:$J,$J458))</f>
        <v/>
      </c>
      <c r="H458" s="28" t="str">
        <f>IF($J458="","",INDEX('Detalle individual'!$L:$L,$J458))</f>
        <v/>
      </c>
      <c r="J458" t="str">
        <f>IFERROR(MATCH(SMALL(Cálculos!$AI$5:$AI$1000,454),Cálculos!$AI$5:$AI$1000,0)+4,"")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23" t="str">
        <f>IF($J459="","",INDEX('Detalle individual'!$H:$H,$J459))</f>
        <v/>
      </c>
      <c r="G459" s="28" t="str">
        <f>IF($J459="","",INDEX('Detalle individual'!$J:$J,$J459))</f>
        <v/>
      </c>
      <c r="H459" s="28" t="str">
        <f>IF($J459="","",INDEX('Detalle individual'!$L:$L,$J459))</f>
        <v/>
      </c>
      <c r="J459" t="str">
        <f>IFERROR(MATCH(SMALL(Cálculos!$AI$5:$AI$1000,455),Cálculos!$AI$5:$AI$1000,0)+4,"")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23" t="str">
        <f>IF($J460="","",INDEX('Detalle individual'!$H:$H,$J460))</f>
        <v/>
      </c>
      <c r="G460" s="28" t="str">
        <f>IF($J460="","",INDEX('Detalle individual'!$J:$J,$J460))</f>
        <v/>
      </c>
      <c r="H460" s="28" t="str">
        <f>IF($J460="","",INDEX('Detalle individual'!$L:$L,$J460))</f>
        <v/>
      </c>
      <c r="J460" t="str">
        <f>IFERROR(MATCH(SMALL(Cálculos!$AI$5:$AI$1000,456),Cálculos!$AI$5:$AI$1000,0)+4,"")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23" t="str">
        <f>IF($J461="","",INDEX('Detalle individual'!$H:$H,$J461))</f>
        <v/>
      </c>
      <c r="G461" s="28" t="str">
        <f>IF($J461="","",INDEX('Detalle individual'!$J:$J,$J461))</f>
        <v/>
      </c>
      <c r="H461" s="28" t="str">
        <f>IF($J461="","",INDEX('Detalle individual'!$L:$L,$J461))</f>
        <v/>
      </c>
      <c r="J461" t="str">
        <f>IFERROR(MATCH(SMALL(Cálculos!$AI$5:$AI$1000,457),Cálculos!$AI$5:$AI$1000,0)+4,"")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23" t="str">
        <f>IF($J462="","",INDEX('Detalle individual'!$H:$H,$J462))</f>
        <v/>
      </c>
      <c r="G462" s="28" t="str">
        <f>IF($J462="","",INDEX('Detalle individual'!$J:$J,$J462))</f>
        <v/>
      </c>
      <c r="H462" s="28" t="str">
        <f>IF($J462="","",INDEX('Detalle individual'!$L:$L,$J462))</f>
        <v/>
      </c>
      <c r="J462" t="str">
        <f>IFERROR(MATCH(SMALL(Cálculos!$AI$5:$AI$1000,458),Cálculos!$AI$5:$AI$1000,0)+4,"")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23" t="str">
        <f>IF($J463="","",INDEX('Detalle individual'!$H:$H,$J463))</f>
        <v/>
      </c>
      <c r="G463" s="28" t="str">
        <f>IF($J463="","",INDEX('Detalle individual'!$J:$J,$J463))</f>
        <v/>
      </c>
      <c r="H463" s="28" t="str">
        <f>IF($J463="","",INDEX('Detalle individual'!$L:$L,$J463))</f>
        <v/>
      </c>
      <c r="J463" t="str">
        <f>IFERROR(MATCH(SMALL(Cálculos!$AI$5:$AI$1000,459),Cálculos!$AI$5:$AI$1000,0)+4,"")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23" t="str">
        <f>IF($J464="","",INDEX('Detalle individual'!$H:$H,$J464))</f>
        <v/>
      </c>
      <c r="G464" s="28" t="str">
        <f>IF($J464="","",INDEX('Detalle individual'!$J:$J,$J464))</f>
        <v/>
      </c>
      <c r="H464" s="28" t="str">
        <f>IF($J464="","",INDEX('Detalle individual'!$L:$L,$J464))</f>
        <v/>
      </c>
      <c r="J464" t="str">
        <f>IFERROR(MATCH(SMALL(Cálculos!$AI$5:$AI$1000,460),Cálculos!$AI$5:$AI$1000,0)+4,"")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23" t="str">
        <f>IF($J465="","",INDEX('Detalle individual'!$H:$H,$J465))</f>
        <v/>
      </c>
      <c r="G465" s="28" t="str">
        <f>IF($J465="","",INDEX('Detalle individual'!$J:$J,$J465))</f>
        <v/>
      </c>
      <c r="H465" s="28" t="str">
        <f>IF($J465="","",INDEX('Detalle individual'!$L:$L,$J465))</f>
        <v/>
      </c>
      <c r="J465" t="str">
        <f>IFERROR(MATCH(SMALL(Cálculos!$AI$5:$AI$1000,461),Cálculos!$AI$5:$AI$1000,0)+4,"")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23" t="str">
        <f>IF($J466="","",INDEX('Detalle individual'!$H:$H,$J466))</f>
        <v/>
      </c>
      <c r="G466" s="28" t="str">
        <f>IF($J466="","",INDEX('Detalle individual'!$J:$J,$J466))</f>
        <v/>
      </c>
      <c r="H466" s="28" t="str">
        <f>IF($J466="","",INDEX('Detalle individual'!$L:$L,$J466))</f>
        <v/>
      </c>
      <c r="J466" t="str">
        <f>IFERROR(MATCH(SMALL(Cálculos!$AI$5:$AI$1000,462),Cálculos!$AI$5:$AI$1000,0)+4,"")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23" t="str">
        <f>IF($J467="","",INDEX('Detalle individual'!$H:$H,$J467))</f>
        <v/>
      </c>
      <c r="G467" s="28" t="str">
        <f>IF($J467="","",INDEX('Detalle individual'!$J:$J,$J467))</f>
        <v/>
      </c>
      <c r="H467" s="28" t="str">
        <f>IF($J467="","",INDEX('Detalle individual'!$L:$L,$J467))</f>
        <v/>
      </c>
      <c r="J467" t="str">
        <f>IFERROR(MATCH(SMALL(Cálculos!$AI$5:$AI$1000,463),Cálculos!$AI$5:$AI$1000,0)+4,"")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23" t="str">
        <f>IF($J468="","",INDEX('Detalle individual'!$H:$H,$J468))</f>
        <v/>
      </c>
      <c r="G468" s="28" t="str">
        <f>IF($J468="","",INDEX('Detalle individual'!$J:$J,$J468))</f>
        <v/>
      </c>
      <c r="H468" s="28" t="str">
        <f>IF($J468="","",INDEX('Detalle individual'!$L:$L,$J468))</f>
        <v/>
      </c>
      <c r="J468" t="str">
        <f>IFERROR(MATCH(SMALL(Cálculos!$AI$5:$AI$1000,464),Cálculos!$AI$5:$AI$1000,0)+4,"")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23" t="str">
        <f>IF($J469="","",INDEX('Detalle individual'!$H:$H,$J469))</f>
        <v/>
      </c>
      <c r="G469" s="28" t="str">
        <f>IF($J469="","",INDEX('Detalle individual'!$J:$J,$J469))</f>
        <v/>
      </c>
      <c r="H469" s="28" t="str">
        <f>IF($J469="","",INDEX('Detalle individual'!$L:$L,$J469))</f>
        <v/>
      </c>
      <c r="J469" t="str">
        <f>IFERROR(MATCH(SMALL(Cálculos!$AI$5:$AI$1000,465),Cálculos!$AI$5:$AI$1000,0)+4,"")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23" t="str">
        <f>IF($J470="","",INDEX('Detalle individual'!$H:$H,$J470))</f>
        <v/>
      </c>
      <c r="G470" s="28" t="str">
        <f>IF($J470="","",INDEX('Detalle individual'!$J:$J,$J470))</f>
        <v/>
      </c>
      <c r="H470" s="28" t="str">
        <f>IF($J470="","",INDEX('Detalle individual'!$L:$L,$J470))</f>
        <v/>
      </c>
      <c r="J470" t="str">
        <f>IFERROR(MATCH(SMALL(Cálculos!$AI$5:$AI$1000,466),Cálculos!$AI$5:$AI$1000,0)+4,"")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23" t="str">
        <f>IF($J471="","",INDEX('Detalle individual'!$H:$H,$J471))</f>
        <v/>
      </c>
      <c r="G471" s="28" t="str">
        <f>IF($J471="","",INDEX('Detalle individual'!$J:$J,$J471))</f>
        <v/>
      </c>
      <c r="H471" s="28" t="str">
        <f>IF($J471="","",INDEX('Detalle individual'!$L:$L,$J471))</f>
        <v/>
      </c>
      <c r="J471" t="str">
        <f>IFERROR(MATCH(SMALL(Cálculos!$AI$5:$AI$1000,467),Cálculos!$AI$5:$AI$1000,0)+4,"")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23" t="str">
        <f>IF($J472="","",INDEX('Detalle individual'!$H:$H,$J472))</f>
        <v/>
      </c>
      <c r="G472" s="28" t="str">
        <f>IF($J472="","",INDEX('Detalle individual'!$J:$J,$J472))</f>
        <v/>
      </c>
      <c r="H472" s="28" t="str">
        <f>IF($J472="","",INDEX('Detalle individual'!$L:$L,$J472))</f>
        <v/>
      </c>
      <c r="J472" t="str">
        <f>IFERROR(MATCH(SMALL(Cálculos!$AI$5:$AI$1000,468),Cálculos!$AI$5:$AI$1000,0)+4,"")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23" t="str">
        <f>IF($J473="","",INDEX('Detalle individual'!$H:$H,$J473))</f>
        <v/>
      </c>
      <c r="G473" s="28" t="str">
        <f>IF($J473="","",INDEX('Detalle individual'!$J:$J,$J473))</f>
        <v/>
      </c>
      <c r="H473" s="28" t="str">
        <f>IF($J473="","",INDEX('Detalle individual'!$L:$L,$J473))</f>
        <v/>
      </c>
      <c r="J473" t="str">
        <f>IFERROR(MATCH(SMALL(Cálculos!$AI$5:$AI$1000,469),Cálculos!$AI$5:$AI$1000,0)+4,"")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23" t="str">
        <f>IF($J474="","",INDEX('Detalle individual'!$H:$H,$J474))</f>
        <v/>
      </c>
      <c r="G474" s="28" t="str">
        <f>IF($J474="","",INDEX('Detalle individual'!$J:$J,$J474))</f>
        <v/>
      </c>
      <c r="H474" s="28" t="str">
        <f>IF($J474="","",INDEX('Detalle individual'!$L:$L,$J474))</f>
        <v/>
      </c>
      <c r="J474" t="str">
        <f>IFERROR(MATCH(SMALL(Cálculos!$AI$5:$AI$1000,470),Cálculos!$AI$5:$AI$1000,0)+4,"")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23" t="str">
        <f>IF($J475="","",INDEX('Detalle individual'!$H:$H,$J475))</f>
        <v/>
      </c>
      <c r="G475" s="28" t="str">
        <f>IF($J475="","",INDEX('Detalle individual'!$J:$J,$J475))</f>
        <v/>
      </c>
      <c r="H475" s="28" t="str">
        <f>IF($J475="","",INDEX('Detalle individual'!$L:$L,$J475))</f>
        <v/>
      </c>
      <c r="J475" t="str">
        <f>IFERROR(MATCH(SMALL(Cálculos!$AI$5:$AI$1000,471),Cálculos!$AI$5:$AI$1000,0)+4,"")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23" t="str">
        <f>IF($J476="","",INDEX('Detalle individual'!$H:$H,$J476))</f>
        <v/>
      </c>
      <c r="G476" s="28" t="str">
        <f>IF($J476="","",INDEX('Detalle individual'!$J:$J,$J476))</f>
        <v/>
      </c>
      <c r="H476" s="28" t="str">
        <f>IF($J476="","",INDEX('Detalle individual'!$L:$L,$J476))</f>
        <v/>
      </c>
      <c r="J476" t="str">
        <f>IFERROR(MATCH(SMALL(Cálculos!$AI$5:$AI$1000,472),Cálculos!$AI$5:$AI$1000,0)+4,"")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23" t="str">
        <f>IF($J477="","",INDEX('Detalle individual'!$H:$H,$J477))</f>
        <v/>
      </c>
      <c r="G477" s="28" t="str">
        <f>IF($J477="","",INDEX('Detalle individual'!$J:$J,$J477))</f>
        <v/>
      </c>
      <c r="H477" s="28" t="str">
        <f>IF($J477="","",INDEX('Detalle individual'!$L:$L,$J477))</f>
        <v/>
      </c>
      <c r="J477" t="str">
        <f>IFERROR(MATCH(SMALL(Cálculos!$AI$5:$AI$1000,473),Cálculos!$AI$5:$AI$1000,0)+4,"")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23" t="str">
        <f>IF($J478="","",INDEX('Detalle individual'!$H:$H,$J478))</f>
        <v/>
      </c>
      <c r="G478" s="28" t="str">
        <f>IF($J478="","",INDEX('Detalle individual'!$J:$J,$J478))</f>
        <v/>
      </c>
      <c r="H478" s="28" t="str">
        <f>IF($J478="","",INDEX('Detalle individual'!$L:$L,$J478))</f>
        <v/>
      </c>
      <c r="J478" t="str">
        <f>IFERROR(MATCH(SMALL(Cálculos!$AI$5:$AI$1000,474),Cálculos!$AI$5:$AI$1000,0)+4,"")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23" t="str">
        <f>IF($J479="","",INDEX('Detalle individual'!$H:$H,$J479))</f>
        <v/>
      </c>
      <c r="G479" s="28" t="str">
        <f>IF($J479="","",INDEX('Detalle individual'!$J:$J,$J479))</f>
        <v/>
      </c>
      <c r="H479" s="28" t="str">
        <f>IF($J479="","",INDEX('Detalle individual'!$L:$L,$J479))</f>
        <v/>
      </c>
      <c r="J479" t="str">
        <f>IFERROR(MATCH(SMALL(Cálculos!$AI$5:$AI$1000,475),Cálculos!$AI$5:$AI$1000,0)+4,"")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23" t="str">
        <f>IF($J480="","",INDEX('Detalle individual'!$H:$H,$J480))</f>
        <v/>
      </c>
      <c r="G480" s="28" t="str">
        <f>IF($J480="","",INDEX('Detalle individual'!$J:$J,$J480))</f>
        <v/>
      </c>
      <c r="H480" s="28" t="str">
        <f>IF($J480="","",INDEX('Detalle individual'!$L:$L,$J480))</f>
        <v/>
      </c>
      <c r="J480" t="str">
        <f>IFERROR(MATCH(SMALL(Cálculos!$AI$5:$AI$1000,476),Cálculos!$AI$5:$AI$1000,0)+4,"")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23" t="str">
        <f>IF($J481="","",INDEX('Detalle individual'!$H:$H,$J481))</f>
        <v/>
      </c>
      <c r="G481" s="28" t="str">
        <f>IF($J481="","",INDEX('Detalle individual'!$J:$J,$J481))</f>
        <v/>
      </c>
      <c r="H481" s="28" t="str">
        <f>IF($J481="","",INDEX('Detalle individual'!$L:$L,$J481))</f>
        <v/>
      </c>
      <c r="J481" t="str">
        <f>IFERROR(MATCH(SMALL(Cálculos!$AI$5:$AI$1000,477),Cálculos!$AI$5:$AI$1000,0)+4,"")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23" t="str">
        <f>IF($J482="","",INDEX('Detalle individual'!$H:$H,$J482))</f>
        <v/>
      </c>
      <c r="G482" s="28" t="str">
        <f>IF($J482="","",INDEX('Detalle individual'!$J:$J,$J482))</f>
        <v/>
      </c>
      <c r="H482" s="28" t="str">
        <f>IF($J482="","",INDEX('Detalle individual'!$L:$L,$J482))</f>
        <v/>
      </c>
      <c r="J482" t="str">
        <f>IFERROR(MATCH(SMALL(Cálculos!$AI$5:$AI$1000,478),Cálculos!$AI$5:$AI$1000,0)+4,"")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23" t="str">
        <f>IF($J483="","",INDEX('Detalle individual'!$H:$H,$J483))</f>
        <v/>
      </c>
      <c r="G483" s="28" t="str">
        <f>IF($J483="","",INDEX('Detalle individual'!$J:$J,$J483))</f>
        <v/>
      </c>
      <c r="H483" s="28" t="str">
        <f>IF($J483="","",INDEX('Detalle individual'!$L:$L,$J483))</f>
        <v/>
      </c>
      <c r="J483" t="str">
        <f>IFERROR(MATCH(SMALL(Cálculos!$AI$5:$AI$1000,479),Cálculos!$AI$5:$AI$1000,0)+4,"")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23" t="str">
        <f>IF($J484="","",INDEX('Detalle individual'!$H:$H,$J484))</f>
        <v/>
      </c>
      <c r="G484" s="28" t="str">
        <f>IF($J484="","",INDEX('Detalle individual'!$J:$J,$J484))</f>
        <v/>
      </c>
      <c r="H484" s="28" t="str">
        <f>IF($J484="","",INDEX('Detalle individual'!$L:$L,$J484))</f>
        <v/>
      </c>
      <c r="J484" t="str">
        <f>IFERROR(MATCH(SMALL(Cálculos!$AI$5:$AI$1000,480),Cálculos!$AI$5:$AI$1000,0)+4,"")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23" t="str">
        <f>IF($J485="","",INDEX('Detalle individual'!$H:$H,$J485))</f>
        <v/>
      </c>
      <c r="G485" s="28" t="str">
        <f>IF($J485="","",INDEX('Detalle individual'!$J:$J,$J485))</f>
        <v/>
      </c>
      <c r="H485" s="28" t="str">
        <f>IF($J485="","",INDEX('Detalle individual'!$L:$L,$J485))</f>
        <v/>
      </c>
      <c r="J485" t="str">
        <f>IFERROR(MATCH(SMALL(Cálculos!$AI$5:$AI$1000,481),Cálculos!$AI$5:$AI$1000,0)+4,"")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23" t="str">
        <f>IF($J486="","",INDEX('Detalle individual'!$H:$H,$J486))</f>
        <v/>
      </c>
      <c r="G486" s="28" t="str">
        <f>IF($J486="","",INDEX('Detalle individual'!$J:$J,$J486))</f>
        <v/>
      </c>
      <c r="H486" s="28" t="str">
        <f>IF($J486="","",INDEX('Detalle individual'!$L:$L,$J486))</f>
        <v/>
      </c>
      <c r="J486" t="str">
        <f>IFERROR(MATCH(SMALL(Cálculos!$AI$5:$AI$1000,482),Cálculos!$AI$5:$AI$1000,0)+4,"")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23" t="str">
        <f>IF($J487="","",INDEX('Detalle individual'!$H:$H,$J487))</f>
        <v/>
      </c>
      <c r="G487" s="28" t="str">
        <f>IF($J487="","",INDEX('Detalle individual'!$J:$J,$J487))</f>
        <v/>
      </c>
      <c r="H487" s="28" t="str">
        <f>IF($J487="","",INDEX('Detalle individual'!$L:$L,$J487))</f>
        <v/>
      </c>
      <c r="J487" t="str">
        <f>IFERROR(MATCH(SMALL(Cálculos!$AI$5:$AI$1000,483),Cálculos!$AI$5:$AI$1000,0)+4,"")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23" t="str">
        <f>IF($J488="","",INDEX('Detalle individual'!$H:$H,$J488))</f>
        <v/>
      </c>
      <c r="G488" s="28" t="str">
        <f>IF($J488="","",INDEX('Detalle individual'!$J:$J,$J488))</f>
        <v/>
      </c>
      <c r="H488" s="28" t="str">
        <f>IF($J488="","",INDEX('Detalle individual'!$L:$L,$J488))</f>
        <v/>
      </c>
      <c r="J488" t="str">
        <f>IFERROR(MATCH(SMALL(Cálculos!$AI$5:$AI$1000,484),Cálculos!$AI$5:$AI$1000,0)+4,"")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23" t="str">
        <f>IF($J489="","",INDEX('Detalle individual'!$H:$H,$J489))</f>
        <v/>
      </c>
      <c r="G489" s="28" t="str">
        <f>IF($J489="","",INDEX('Detalle individual'!$J:$J,$J489))</f>
        <v/>
      </c>
      <c r="H489" s="28" t="str">
        <f>IF($J489="","",INDEX('Detalle individual'!$L:$L,$J489))</f>
        <v/>
      </c>
      <c r="J489" t="str">
        <f>IFERROR(MATCH(SMALL(Cálculos!$AI$5:$AI$1000,485),Cálculos!$AI$5:$AI$1000,0)+4,"")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23" t="str">
        <f>IF($J490="","",INDEX('Detalle individual'!$H:$H,$J490))</f>
        <v/>
      </c>
      <c r="G490" s="28" t="str">
        <f>IF($J490="","",INDEX('Detalle individual'!$J:$J,$J490))</f>
        <v/>
      </c>
      <c r="H490" s="28" t="str">
        <f>IF($J490="","",INDEX('Detalle individual'!$L:$L,$J490))</f>
        <v/>
      </c>
      <c r="J490" t="str">
        <f>IFERROR(MATCH(SMALL(Cálculos!$AI$5:$AI$1000,486),Cálculos!$AI$5:$AI$1000,0)+4,"")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23" t="str">
        <f>IF($J491="","",INDEX('Detalle individual'!$H:$H,$J491))</f>
        <v/>
      </c>
      <c r="G491" s="28" t="str">
        <f>IF($J491="","",INDEX('Detalle individual'!$J:$J,$J491))</f>
        <v/>
      </c>
      <c r="H491" s="28" t="str">
        <f>IF($J491="","",INDEX('Detalle individual'!$L:$L,$J491))</f>
        <v/>
      </c>
      <c r="J491" t="str">
        <f>IFERROR(MATCH(SMALL(Cálculos!$AI$5:$AI$1000,487),Cálculos!$AI$5:$AI$1000,0)+4,"")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23" t="str">
        <f>IF($J492="","",INDEX('Detalle individual'!$H:$H,$J492))</f>
        <v/>
      </c>
      <c r="G492" s="28" t="str">
        <f>IF($J492="","",INDEX('Detalle individual'!$J:$J,$J492))</f>
        <v/>
      </c>
      <c r="H492" s="28" t="str">
        <f>IF($J492="","",INDEX('Detalle individual'!$L:$L,$J492))</f>
        <v/>
      </c>
      <c r="J492" t="str">
        <f>IFERROR(MATCH(SMALL(Cálculos!$AI$5:$AI$1000,488),Cálculos!$AI$5:$AI$1000,0)+4,"")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23" t="str">
        <f>IF($J493="","",INDEX('Detalle individual'!$H:$H,$J493))</f>
        <v/>
      </c>
      <c r="G493" s="28" t="str">
        <f>IF($J493="","",INDEX('Detalle individual'!$J:$J,$J493))</f>
        <v/>
      </c>
      <c r="H493" s="28" t="str">
        <f>IF($J493="","",INDEX('Detalle individual'!$L:$L,$J493))</f>
        <v/>
      </c>
      <c r="J493" t="str">
        <f>IFERROR(MATCH(SMALL(Cálculos!$AI$5:$AI$1000,489),Cálculos!$AI$5:$AI$1000,0)+4,"")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23" t="str">
        <f>IF($J494="","",INDEX('Detalle individual'!$H:$H,$J494))</f>
        <v/>
      </c>
      <c r="G494" s="28" t="str">
        <f>IF($J494="","",INDEX('Detalle individual'!$J:$J,$J494))</f>
        <v/>
      </c>
      <c r="H494" s="28" t="str">
        <f>IF($J494="","",INDEX('Detalle individual'!$L:$L,$J494))</f>
        <v/>
      </c>
      <c r="J494" t="str">
        <f>IFERROR(MATCH(SMALL(Cálculos!$AI$5:$AI$1000,490),Cálculos!$AI$5:$AI$1000,0)+4,"")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23" t="str">
        <f>IF($J495="","",INDEX('Detalle individual'!$H:$H,$J495))</f>
        <v/>
      </c>
      <c r="G495" s="28" t="str">
        <f>IF($J495="","",INDEX('Detalle individual'!$J:$J,$J495))</f>
        <v/>
      </c>
      <c r="H495" s="28" t="str">
        <f>IF($J495="","",INDEX('Detalle individual'!$L:$L,$J495))</f>
        <v/>
      </c>
      <c r="J495" t="str">
        <f>IFERROR(MATCH(SMALL(Cálculos!$AI$5:$AI$1000,491),Cálculos!$AI$5:$AI$1000,0)+4,"")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23" t="str">
        <f>IF($J496="","",INDEX('Detalle individual'!$H:$H,$J496))</f>
        <v/>
      </c>
      <c r="G496" s="28" t="str">
        <f>IF($J496="","",INDEX('Detalle individual'!$J:$J,$J496))</f>
        <v/>
      </c>
      <c r="H496" s="28" t="str">
        <f>IF($J496="","",INDEX('Detalle individual'!$L:$L,$J496))</f>
        <v/>
      </c>
      <c r="J496" t="str">
        <f>IFERROR(MATCH(SMALL(Cálculos!$AI$5:$AI$1000,492),Cálculos!$AI$5:$AI$1000,0)+4,"")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23" t="str">
        <f>IF($J497="","",INDEX('Detalle individual'!$H:$H,$J497))</f>
        <v/>
      </c>
      <c r="G497" s="28" t="str">
        <f>IF($J497="","",INDEX('Detalle individual'!$J:$J,$J497))</f>
        <v/>
      </c>
      <c r="H497" s="28" t="str">
        <f>IF($J497="","",INDEX('Detalle individual'!$L:$L,$J497))</f>
        <v/>
      </c>
      <c r="J497" t="str">
        <f>IFERROR(MATCH(SMALL(Cálculos!$AI$5:$AI$1000,493),Cálculos!$AI$5:$AI$1000,0)+4,"")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23" t="str">
        <f>IF($J498="","",INDEX('Detalle individual'!$H:$H,$J498))</f>
        <v/>
      </c>
      <c r="G498" s="28" t="str">
        <f>IF($J498="","",INDEX('Detalle individual'!$J:$J,$J498))</f>
        <v/>
      </c>
      <c r="H498" s="28" t="str">
        <f>IF($J498="","",INDEX('Detalle individual'!$L:$L,$J498))</f>
        <v/>
      </c>
      <c r="J498" t="str">
        <f>IFERROR(MATCH(SMALL(Cálculos!$AI$5:$AI$1000,494),Cálculos!$AI$5:$AI$1000,0)+4,"")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23" t="str">
        <f>IF($J499="","",INDEX('Detalle individual'!$H:$H,$J499))</f>
        <v/>
      </c>
      <c r="G499" s="28" t="str">
        <f>IF($J499="","",INDEX('Detalle individual'!$J:$J,$J499))</f>
        <v/>
      </c>
      <c r="H499" s="28" t="str">
        <f>IF($J499="","",INDEX('Detalle individual'!$L:$L,$J499))</f>
        <v/>
      </c>
      <c r="J499" t="str">
        <f>IFERROR(MATCH(SMALL(Cálculos!$AI$5:$AI$1000,495),Cálculos!$AI$5:$AI$1000,0)+4,"")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23" t="str">
        <f>IF($J500="","",INDEX('Detalle individual'!$H:$H,$J500))</f>
        <v/>
      </c>
      <c r="G500" s="28" t="str">
        <f>IF($J500="","",INDEX('Detalle individual'!$J:$J,$J500))</f>
        <v/>
      </c>
      <c r="H500" s="28" t="str">
        <f>IF($J500="","",INDEX('Detalle individual'!$L:$L,$J500))</f>
        <v/>
      </c>
      <c r="J500" t="str">
        <f>IFERROR(MATCH(SMALL(Cálculos!$AI$5:$AI$1000,496),Cálculos!$AI$5:$AI$1000,0)+4,"")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23" t="str">
        <f>IF($J501="","",INDEX('Detalle individual'!$H:$H,$J501))</f>
        <v/>
      </c>
      <c r="G501" s="28" t="str">
        <f>IF($J501="","",INDEX('Detalle individual'!$J:$J,$J501))</f>
        <v/>
      </c>
      <c r="H501" s="28" t="str">
        <f>IF($J501="","",INDEX('Detalle individual'!$L:$L,$J501))</f>
        <v/>
      </c>
      <c r="J501" t="str">
        <f>IFERROR(MATCH(SMALL(Cálculos!$AI$5:$AI$1000,497),Cálculos!$AI$5:$AI$1000,0)+4,"")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23" t="str">
        <f>IF($J502="","",INDEX('Detalle individual'!$H:$H,$J502))</f>
        <v/>
      </c>
      <c r="G502" s="28" t="str">
        <f>IF($J502="","",INDEX('Detalle individual'!$J:$J,$J502))</f>
        <v/>
      </c>
      <c r="H502" s="28" t="str">
        <f>IF($J502="","",INDEX('Detalle individual'!$L:$L,$J502))</f>
        <v/>
      </c>
      <c r="J502" t="str">
        <f>IFERROR(MATCH(SMALL(Cálculos!$AI$5:$AI$1000,498),Cálculos!$AI$5:$AI$1000,0)+4,"")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23" t="str">
        <f>IF($J503="","",INDEX('Detalle individual'!$H:$H,$J503))</f>
        <v/>
      </c>
      <c r="G503" s="28" t="str">
        <f>IF($J503="","",INDEX('Detalle individual'!$J:$J,$J503))</f>
        <v/>
      </c>
      <c r="H503" s="28" t="str">
        <f>IF($J503="","",INDEX('Detalle individual'!$L:$L,$J503))</f>
        <v/>
      </c>
      <c r="J503" t="str">
        <f>IFERROR(MATCH(SMALL(Cálculos!$AI$5:$AI$1000,499),Cálculos!$AI$5:$AI$1000,0)+4,"")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23" t="str">
        <f>IF($J504="","",INDEX('Detalle individual'!$H:$H,$J504))</f>
        <v/>
      </c>
      <c r="G504" s="28" t="str">
        <f>IF($J504="","",INDEX('Detalle individual'!$J:$J,$J504))</f>
        <v/>
      </c>
      <c r="H504" s="28" t="str">
        <f>IF($J504="","",INDEX('Detalle individual'!$L:$L,$J504))</f>
        <v/>
      </c>
      <c r="J504" t="str">
        <f>IFERROR(MATCH(SMALL(Cálculos!$AI$5:$AI$1000,500),Cálculos!$AI$5:$AI$1000,0)+4,"")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23" t="str">
        <f>IF($J505="","",INDEX('Detalle individual'!$H:$H,$J505))</f>
        <v/>
      </c>
      <c r="G505" s="28" t="str">
        <f>IF($J505="","",INDEX('Detalle individual'!$J:$J,$J505))</f>
        <v/>
      </c>
      <c r="H505" s="28" t="str">
        <f>IF($J505="","",INDEX('Detalle individual'!$L:$L,$J505))</f>
        <v/>
      </c>
      <c r="J505" t="str">
        <f>IFERROR(MATCH(SMALL(Cálculos!$AI$5:$AI$1000,501),Cálculos!$AI$5:$AI$1000,0)+4,"")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23" t="str">
        <f>IF($J506="","",INDEX('Detalle individual'!$H:$H,$J506))</f>
        <v/>
      </c>
      <c r="G506" s="28" t="str">
        <f>IF($J506="","",INDEX('Detalle individual'!$J:$J,$J506))</f>
        <v/>
      </c>
      <c r="H506" s="28" t="str">
        <f>IF($J506="","",INDEX('Detalle individual'!$L:$L,$J506))</f>
        <v/>
      </c>
      <c r="J506" t="str">
        <f>IFERROR(MATCH(SMALL(Cálculos!$AI$5:$AI$1000,502),Cálculos!$AI$5:$AI$1000,0)+4,"")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23" t="str">
        <f>IF($J507="","",INDEX('Detalle individual'!$H:$H,$J507))</f>
        <v/>
      </c>
      <c r="G507" s="28" t="str">
        <f>IF($J507="","",INDEX('Detalle individual'!$J:$J,$J507))</f>
        <v/>
      </c>
      <c r="H507" s="28" t="str">
        <f>IF($J507="","",INDEX('Detalle individual'!$L:$L,$J507))</f>
        <v/>
      </c>
      <c r="J507" t="str">
        <f>IFERROR(MATCH(SMALL(Cálculos!$AI$5:$AI$1000,503),Cálculos!$AI$5:$AI$1000,0)+4,"")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23" t="str">
        <f>IF($J508="","",INDEX('Detalle individual'!$H:$H,$J508))</f>
        <v/>
      </c>
      <c r="G508" s="28" t="str">
        <f>IF($J508="","",INDEX('Detalle individual'!$J:$J,$J508))</f>
        <v/>
      </c>
      <c r="H508" s="28" t="str">
        <f>IF($J508="","",INDEX('Detalle individual'!$L:$L,$J508))</f>
        <v/>
      </c>
      <c r="J508" t="str">
        <f>IFERROR(MATCH(SMALL(Cálculos!$AI$5:$AI$1000,504),Cálculos!$AI$5:$AI$1000,0)+4,"")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23" t="str">
        <f>IF($J509="","",INDEX('Detalle individual'!$H:$H,$J509))</f>
        <v/>
      </c>
      <c r="G509" s="28" t="str">
        <f>IF($J509="","",INDEX('Detalle individual'!$J:$J,$J509))</f>
        <v/>
      </c>
      <c r="H509" s="28" t="str">
        <f>IF($J509="","",INDEX('Detalle individual'!$L:$L,$J509))</f>
        <v/>
      </c>
      <c r="J509" t="str">
        <f>IFERROR(MATCH(SMALL(Cálculos!$AI$5:$AI$1000,505),Cálculos!$AI$5:$AI$1000,0)+4,"")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23" t="str">
        <f>IF($J510="","",INDEX('Detalle individual'!$H:$H,$J510))</f>
        <v/>
      </c>
      <c r="G510" s="28" t="str">
        <f>IF($J510="","",INDEX('Detalle individual'!$J:$J,$J510))</f>
        <v/>
      </c>
      <c r="H510" s="28" t="str">
        <f>IF($J510="","",INDEX('Detalle individual'!$L:$L,$J510))</f>
        <v/>
      </c>
      <c r="J510" t="str">
        <f>IFERROR(MATCH(SMALL(Cálculos!$AI$5:$AI$1000,506),Cálculos!$AI$5:$AI$1000,0)+4,"")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23" t="str">
        <f>IF($J511="","",INDEX('Detalle individual'!$H:$H,$J511))</f>
        <v/>
      </c>
      <c r="G511" s="28" t="str">
        <f>IF($J511="","",INDEX('Detalle individual'!$J:$J,$J511))</f>
        <v/>
      </c>
      <c r="H511" s="28" t="str">
        <f>IF($J511="","",INDEX('Detalle individual'!$L:$L,$J511))</f>
        <v/>
      </c>
      <c r="J511" t="str">
        <f>IFERROR(MATCH(SMALL(Cálculos!$AI$5:$AI$1000,507),Cálculos!$AI$5:$AI$1000,0)+4,"")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23" t="str">
        <f>IF($J512="","",INDEX('Detalle individual'!$H:$H,$J512))</f>
        <v/>
      </c>
      <c r="G512" s="28" t="str">
        <f>IF($J512="","",INDEX('Detalle individual'!$J:$J,$J512))</f>
        <v/>
      </c>
      <c r="H512" s="28" t="str">
        <f>IF($J512="","",INDEX('Detalle individual'!$L:$L,$J512))</f>
        <v/>
      </c>
      <c r="J512" t="str">
        <f>IFERROR(MATCH(SMALL(Cálculos!$AI$5:$AI$1000,508),Cálculos!$AI$5:$AI$1000,0)+4,"")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23" t="str">
        <f>IF($J513="","",INDEX('Detalle individual'!$H:$H,$J513))</f>
        <v/>
      </c>
      <c r="G513" s="28" t="str">
        <f>IF($J513="","",INDEX('Detalle individual'!$J:$J,$J513))</f>
        <v/>
      </c>
      <c r="H513" s="28" t="str">
        <f>IF($J513="","",INDEX('Detalle individual'!$L:$L,$J513))</f>
        <v/>
      </c>
      <c r="J513" t="str">
        <f>IFERROR(MATCH(SMALL(Cálculos!$AI$5:$AI$1000,509),Cálculos!$AI$5:$AI$1000,0)+4,"")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23" t="str">
        <f>IF($J514="","",INDEX('Detalle individual'!$H:$H,$J514))</f>
        <v/>
      </c>
      <c r="G514" s="28" t="str">
        <f>IF($J514="","",INDEX('Detalle individual'!$J:$J,$J514))</f>
        <v/>
      </c>
      <c r="H514" s="28" t="str">
        <f>IF($J514="","",INDEX('Detalle individual'!$L:$L,$J514))</f>
        <v/>
      </c>
      <c r="J514" t="str">
        <f>IFERROR(MATCH(SMALL(Cálculos!$AI$5:$AI$1000,510),Cálculos!$AI$5:$AI$1000,0)+4,"")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23" t="str">
        <f>IF($J515="","",INDEX('Detalle individual'!$H:$H,$J515))</f>
        <v/>
      </c>
      <c r="G515" s="28" t="str">
        <f>IF($J515="","",INDEX('Detalle individual'!$J:$J,$J515))</f>
        <v/>
      </c>
      <c r="H515" s="28" t="str">
        <f>IF($J515="","",INDEX('Detalle individual'!$L:$L,$J515))</f>
        <v/>
      </c>
      <c r="J515" t="str">
        <f>IFERROR(MATCH(SMALL(Cálculos!$AI$5:$AI$1000,511),Cálculos!$AI$5:$AI$1000,0)+4,"")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23" t="str">
        <f>IF($J516="","",INDEX('Detalle individual'!$H:$H,$J516))</f>
        <v/>
      </c>
      <c r="G516" s="28" t="str">
        <f>IF($J516="","",INDEX('Detalle individual'!$J:$J,$J516))</f>
        <v/>
      </c>
      <c r="H516" s="28" t="str">
        <f>IF($J516="","",INDEX('Detalle individual'!$L:$L,$J516))</f>
        <v/>
      </c>
      <c r="J516" t="str">
        <f>IFERROR(MATCH(SMALL(Cálculos!$AI$5:$AI$1000,512),Cálculos!$AI$5:$AI$1000,0)+4,"")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23" t="str">
        <f>IF($J517="","",INDEX('Detalle individual'!$H:$H,$J517))</f>
        <v/>
      </c>
      <c r="G517" s="28" t="str">
        <f>IF($J517="","",INDEX('Detalle individual'!$J:$J,$J517))</f>
        <v/>
      </c>
      <c r="H517" s="28" t="str">
        <f>IF($J517="","",INDEX('Detalle individual'!$L:$L,$J517))</f>
        <v/>
      </c>
      <c r="J517" t="str">
        <f>IFERROR(MATCH(SMALL(Cálculos!$AI$5:$AI$1000,513),Cálculos!$AI$5:$AI$1000,0)+4,"")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23" t="str">
        <f>IF($J518="","",INDEX('Detalle individual'!$H:$H,$J518))</f>
        <v/>
      </c>
      <c r="G518" s="28" t="str">
        <f>IF($J518="","",INDEX('Detalle individual'!$J:$J,$J518))</f>
        <v/>
      </c>
      <c r="H518" s="28" t="str">
        <f>IF($J518="","",INDEX('Detalle individual'!$L:$L,$J518))</f>
        <v/>
      </c>
      <c r="J518" t="str">
        <f>IFERROR(MATCH(SMALL(Cálculos!$AI$5:$AI$1000,514),Cálculos!$AI$5:$AI$1000,0)+4,"")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23" t="str">
        <f>IF($J519="","",INDEX('Detalle individual'!$H:$H,$J519))</f>
        <v/>
      </c>
      <c r="G519" s="28" t="str">
        <f>IF($J519="","",INDEX('Detalle individual'!$J:$J,$J519))</f>
        <v/>
      </c>
      <c r="H519" s="28" t="str">
        <f>IF($J519="","",INDEX('Detalle individual'!$L:$L,$J519))</f>
        <v/>
      </c>
      <c r="J519" t="str">
        <f>IFERROR(MATCH(SMALL(Cálculos!$AI$5:$AI$1000,515),Cálculos!$AI$5:$AI$1000,0)+4,"")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23" t="str">
        <f>IF($J520="","",INDEX('Detalle individual'!$H:$H,$J520))</f>
        <v/>
      </c>
      <c r="G520" s="28" t="str">
        <f>IF($J520="","",INDEX('Detalle individual'!$J:$J,$J520))</f>
        <v/>
      </c>
      <c r="H520" s="28" t="str">
        <f>IF($J520="","",INDEX('Detalle individual'!$L:$L,$J520))</f>
        <v/>
      </c>
      <c r="J520" t="str">
        <f>IFERROR(MATCH(SMALL(Cálculos!$AI$5:$AI$1000,516),Cálculos!$AI$5:$AI$1000,0)+4,"")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23" t="str">
        <f>IF($J521="","",INDEX('Detalle individual'!$H:$H,$J521))</f>
        <v/>
      </c>
      <c r="G521" s="28" t="str">
        <f>IF($J521="","",INDEX('Detalle individual'!$J:$J,$J521))</f>
        <v/>
      </c>
      <c r="H521" s="28" t="str">
        <f>IF($J521="","",INDEX('Detalle individual'!$L:$L,$J521))</f>
        <v/>
      </c>
      <c r="J521" t="str">
        <f>IFERROR(MATCH(SMALL(Cálculos!$AI$5:$AI$1000,517),Cálculos!$AI$5:$AI$1000,0)+4,"")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23" t="str">
        <f>IF($J522="","",INDEX('Detalle individual'!$H:$H,$J522))</f>
        <v/>
      </c>
      <c r="G522" s="28" t="str">
        <f>IF($J522="","",INDEX('Detalle individual'!$J:$J,$J522))</f>
        <v/>
      </c>
      <c r="H522" s="28" t="str">
        <f>IF($J522="","",INDEX('Detalle individual'!$L:$L,$J522))</f>
        <v/>
      </c>
      <c r="J522" t="str">
        <f>IFERROR(MATCH(SMALL(Cálculos!$AI$5:$AI$1000,518),Cálculos!$AI$5:$AI$1000,0)+4,"")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23" t="str">
        <f>IF($J523="","",INDEX('Detalle individual'!$H:$H,$J523))</f>
        <v/>
      </c>
      <c r="G523" s="28" t="str">
        <f>IF($J523="","",INDEX('Detalle individual'!$J:$J,$J523))</f>
        <v/>
      </c>
      <c r="H523" s="28" t="str">
        <f>IF($J523="","",INDEX('Detalle individual'!$L:$L,$J523))</f>
        <v/>
      </c>
      <c r="J523" t="str">
        <f>IFERROR(MATCH(SMALL(Cálculos!$AI$5:$AI$1000,519),Cálculos!$AI$5:$AI$1000,0)+4,"")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23" t="str">
        <f>IF($J524="","",INDEX('Detalle individual'!$H:$H,$J524))</f>
        <v/>
      </c>
      <c r="G524" s="28" t="str">
        <f>IF($J524="","",INDEX('Detalle individual'!$J:$J,$J524))</f>
        <v/>
      </c>
      <c r="H524" s="28" t="str">
        <f>IF($J524="","",INDEX('Detalle individual'!$L:$L,$J524))</f>
        <v/>
      </c>
      <c r="J524" t="str">
        <f>IFERROR(MATCH(SMALL(Cálculos!$AI$5:$AI$1000,520),Cálculos!$AI$5:$AI$1000,0)+4,"")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23" t="str">
        <f>IF($J525="","",INDEX('Detalle individual'!$H:$H,$J525))</f>
        <v/>
      </c>
      <c r="G525" s="28" t="str">
        <f>IF($J525="","",INDEX('Detalle individual'!$J:$J,$J525))</f>
        <v/>
      </c>
      <c r="H525" s="28" t="str">
        <f>IF($J525="","",INDEX('Detalle individual'!$L:$L,$J525))</f>
        <v/>
      </c>
      <c r="J525" t="str">
        <f>IFERROR(MATCH(SMALL(Cálculos!$AI$5:$AI$1000,521),Cálculos!$AI$5:$AI$1000,0)+4,"")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23" t="str">
        <f>IF($J526="","",INDEX('Detalle individual'!$H:$H,$J526))</f>
        <v/>
      </c>
      <c r="G526" s="28" t="str">
        <f>IF($J526="","",INDEX('Detalle individual'!$J:$J,$J526))</f>
        <v/>
      </c>
      <c r="H526" s="28" t="str">
        <f>IF($J526="","",INDEX('Detalle individual'!$L:$L,$J526))</f>
        <v/>
      </c>
      <c r="J526" t="str">
        <f>IFERROR(MATCH(SMALL(Cálculos!$AI$5:$AI$1000,522),Cálculos!$AI$5:$AI$1000,0)+4,"")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23" t="str">
        <f>IF($J527="","",INDEX('Detalle individual'!$H:$H,$J527))</f>
        <v/>
      </c>
      <c r="G527" s="28" t="str">
        <f>IF($J527="","",INDEX('Detalle individual'!$J:$J,$J527))</f>
        <v/>
      </c>
      <c r="H527" s="28" t="str">
        <f>IF($J527="","",INDEX('Detalle individual'!$L:$L,$J527))</f>
        <v/>
      </c>
      <c r="J527" t="str">
        <f>IFERROR(MATCH(SMALL(Cálculos!$AI$5:$AI$1000,523),Cálculos!$AI$5:$AI$1000,0)+4,"")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23" t="str">
        <f>IF($J528="","",INDEX('Detalle individual'!$H:$H,$J528))</f>
        <v/>
      </c>
      <c r="G528" s="28" t="str">
        <f>IF($J528="","",INDEX('Detalle individual'!$J:$J,$J528))</f>
        <v/>
      </c>
      <c r="H528" s="28" t="str">
        <f>IF($J528="","",INDEX('Detalle individual'!$L:$L,$J528))</f>
        <v/>
      </c>
      <c r="J528" t="str">
        <f>IFERROR(MATCH(SMALL(Cálculos!$AI$5:$AI$1000,524),Cálculos!$AI$5:$AI$1000,0)+4,"")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23" t="str">
        <f>IF($J529="","",INDEX('Detalle individual'!$H:$H,$J529))</f>
        <v/>
      </c>
      <c r="G529" s="28" t="str">
        <f>IF($J529="","",INDEX('Detalle individual'!$J:$J,$J529))</f>
        <v/>
      </c>
      <c r="H529" s="28" t="str">
        <f>IF($J529="","",INDEX('Detalle individual'!$L:$L,$J529))</f>
        <v/>
      </c>
      <c r="J529" t="str">
        <f>IFERROR(MATCH(SMALL(Cálculos!$AI$5:$AI$1000,525),Cálculos!$AI$5:$AI$1000,0)+4,"")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23" t="str">
        <f>IF($J530="","",INDEX('Detalle individual'!$H:$H,$J530))</f>
        <v/>
      </c>
      <c r="G530" s="28" t="str">
        <f>IF($J530="","",INDEX('Detalle individual'!$J:$J,$J530))</f>
        <v/>
      </c>
      <c r="H530" s="28" t="str">
        <f>IF($J530="","",INDEX('Detalle individual'!$L:$L,$J530))</f>
        <v/>
      </c>
      <c r="J530" t="str">
        <f>IFERROR(MATCH(SMALL(Cálculos!$AI$5:$AI$1000,526),Cálculos!$AI$5:$AI$1000,0)+4,"")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23" t="str">
        <f>IF($J531="","",INDEX('Detalle individual'!$H:$H,$J531))</f>
        <v/>
      </c>
      <c r="G531" s="28" t="str">
        <f>IF($J531="","",INDEX('Detalle individual'!$J:$J,$J531))</f>
        <v/>
      </c>
      <c r="H531" s="28" t="str">
        <f>IF($J531="","",INDEX('Detalle individual'!$L:$L,$J531))</f>
        <v/>
      </c>
      <c r="J531" t="str">
        <f>IFERROR(MATCH(SMALL(Cálculos!$AI$5:$AI$1000,527),Cálculos!$AI$5:$AI$1000,0)+4,"")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23" t="str">
        <f>IF($J532="","",INDEX('Detalle individual'!$H:$H,$J532))</f>
        <v/>
      </c>
      <c r="G532" s="28" t="str">
        <f>IF($J532="","",INDEX('Detalle individual'!$J:$J,$J532))</f>
        <v/>
      </c>
      <c r="H532" s="28" t="str">
        <f>IF($J532="","",INDEX('Detalle individual'!$L:$L,$J532))</f>
        <v/>
      </c>
      <c r="J532" t="str">
        <f>IFERROR(MATCH(SMALL(Cálculos!$AI$5:$AI$1000,528),Cálculos!$AI$5:$AI$1000,0)+4,"")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23" t="str">
        <f>IF($J533="","",INDEX('Detalle individual'!$H:$H,$J533))</f>
        <v/>
      </c>
      <c r="G533" s="28" t="str">
        <f>IF($J533="","",INDEX('Detalle individual'!$J:$J,$J533))</f>
        <v/>
      </c>
      <c r="H533" s="28" t="str">
        <f>IF($J533="","",INDEX('Detalle individual'!$L:$L,$J533))</f>
        <v/>
      </c>
      <c r="J533" t="str">
        <f>IFERROR(MATCH(SMALL(Cálculos!$AI$5:$AI$1000,529),Cálculos!$AI$5:$AI$1000,0)+4,"")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23" t="str">
        <f>IF($J534="","",INDEX('Detalle individual'!$H:$H,$J534))</f>
        <v/>
      </c>
      <c r="G534" s="28" t="str">
        <f>IF($J534="","",INDEX('Detalle individual'!$J:$J,$J534))</f>
        <v/>
      </c>
      <c r="H534" s="28" t="str">
        <f>IF($J534="","",INDEX('Detalle individual'!$L:$L,$J534))</f>
        <v/>
      </c>
      <c r="J534" t="str">
        <f>IFERROR(MATCH(SMALL(Cálculos!$AI$5:$AI$1000,530),Cálculos!$AI$5:$AI$1000,0)+4,"")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23" t="str">
        <f>IF($J535="","",INDEX('Detalle individual'!$H:$H,$J535))</f>
        <v/>
      </c>
      <c r="G535" s="28" t="str">
        <f>IF($J535="","",INDEX('Detalle individual'!$J:$J,$J535))</f>
        <v/>
      </c>
      <c r="H535" s="28" t="str">
        <f>IF($J535="","",INDEX('Detalle individual'!$L:$L,$J535))</f>
        <v/>
      </c>
      <c r="J535" t="str">
        <f>IFERROR(MATCH(SMALL(Cálculos!$AI$5:$AI$1000,531),Cálculos!$AI$5:$AI$1000,0)+4,"")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23" t="str">
        <f>IF($J536="","",INDEX('Detalle individual'!$H:$H,$J536))</f>
        <v/>
      </c>
      <c r="G536" s="28" t="str">
        <f>IF($J536="","",INDEX('Detalle individual'!$J:$J,$J536))</f>
        <v/>
      </c>
      <c r="H536" s="28" t="str">
        <f>IF($J536="","",INDEX('Detalle individual'!$L:$L,$J536))</f>
        <v/>
      </c>
      <c r="J536" t="str">
        <f>IFERROR(MATCH(SMALL(Cálculos!$AI$5:$AI$1000,532),Cálculos!$AI$5:$AI$1000,0)+4,"")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23" t="str">
        <f>IF($J537="","",INDEX('Detalle individual'!$H:$H,$J537))</f>
        <v/>
      </c>
      <c r="G537" s="28" t="str">
        <f>IF($J537="","",INDEX('Detalle individual'!$J:$J,$J537))</f>
        <v/>
      </c>
      <c r="H537" s="28" t="str">
        <f>IF($J537="","",INDEX('Detalle individual'!$L:$L,$J537))</f>
        <v/>
      </c>
      <c r="J537" t="str">
        <f>IFERROR(MATCH(SMALL(Cálculos!$AI$5:$AI$1000,533),Cálculos!$AI$5:$AI$1000,0)+4,"")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23" t="str">
        <f>IF($J538="","",INDEX('Detalle individual'!$H:$H,$J538))</f>
        <v/>
      </c>
      <c r="G538" s="28" t="str">
        <f>IF($J538="","",INDEX('Detalle individual'!$J:$J,$J538))</f>
        <v/>
      </c>
      <c r="H538" s="28" t="str">
        <f>IF($J538="","",INDEX('Detalle individual'!$L:$L,$J538))</f>
        <v/>
      </c>
      <c r="J538" t="str">
        <f>IFERROR(MATCH(SMALL(Cálculos!$AI$5:$AI$1000,534),Cálculos!$AI$5:$AI$1000,0)+4,"")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23" t="str">
        <f>IF($J539="","",INDEX('Detalle individual'!$H:$H,$J539))</f>
        <v/>
      </c>
      <c r="G539" s="28" t="str">
        <f>IF($J539="","",INDEX('Detalle individual'!$J:$J,$J539))</f>
        <v/>
      </c>
      <c r="H539" s="28" t="str">
        <f>IF($J539="","",INDEX('Detalle individual'!$L:$L,$J539))</f>
        <v/>
      </c>
      <c r="J539" t="str">
        <f>IFERROR(MATCH(SMALL(Cálculos!$AI$5:$AI$1000,535),Cálculos!$AI$5:$AI$1000,0)+4,"")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23" t="str">
        <f>IF($J540="","",INDEX('Detalle individual'!$H:$H,$J540))</f>
        <v/>
      </c>
      <c r="G540" s="28" t="str">
        <f>IF($J540="","",INDEX('Detalle individual'!$J:$J,$J540))</f>
        <v/>
      </c>
      <c r="H540" s="28" t="str">
        <f>IF($J540="","",INDEX('Detalle individual'!$L:$L,$J540))</f>
        <v/>
      </c>
      <c r="J540" t="str">
        <f>IFERROR(MATCH(SMALL(Cálculos!$AI$5:$AI$1000,536),Cálculos!$AI$5:$AI$1000,0)+4,"")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23" t="str">
        <f>IF($J541="","",INDEX('Detalle individual'!$H:$H,$J541))</f>
        <v/>
      </c>
      <c r="G541" s="28" t="str">
        <f>IF($J541="","",INDEX('Detalle individual'!$J:$J,$J541))</f>
        <v/>
      </c>
      <c r="H541" s="28" t="str">
        <f>IF($J541="","",INDEX('Detalle individual'!$L:$L,$J541))</f>
        <v/>
      </c>
      <c r="J541" t="str">
        <f>IFERROR(MATCH(SMALL(Cálculos!$AI$5:$AI$1000,537),Cálculos!$AI$5:$AI$1000,0)+4,"")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23" t="str">
        <f>IF($J542="","",INDEX('Detalle individual'!$H:$H,$J542))</f>
        <v/>
      </c>
      <c r="G542" s="28" t="str">
        <f>IF($J542="","",INDEX('Detalle individual'!$J:$J,$J542))</f>
        <v/>
      </c>
      <c r="H542" s="28" t="str">
        <f>IF($J542="","",INDEX('Detalle individual'!$L:$L,$J542))</f>
        <v/>
      </c>
      <c r="J542" t="str">
        <f>IFERROR(MATCH(SMALL(Cálculos!$AI$5:$AI$1000,538),Cálculos!$AI$5:$AI$1000,0)+4,"")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23" t="str">
        <f>IF($J543="","",INDEX('Detalle individual'!$H:$H,$J543))</f>
        <v/>
      </c>
      <c r="G543" s="28" t="str">
        <f>IF($J543="","",INDEX('Detalle individual'!$J:$J,$J543))</f>
        <v/>
      </c>
      <c r="H543" s="28" t="str">
        <f>IF($J543="","",INDEX('Detalle individual'!$L:$L,$J543))</f>
        <v/>
      </c>
      <c r="J543" t="str">
        <f>IFERROR(MATCH(SMALL(Cálculos!$AI$5:$AI$1000,539),Cálculos!$AI$5:$AI$1000,0)+4,"")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23" t="str">
        <f>IF($J544="","",INDEX('Detalle individual'!$H:$H,$J544))</f>
        <v/>
      </c>
      <c r="G544" s="28" t="str">
        <f>IF($J544="","",INDEX('Detalle individual'!$J:$J,$J544))</f>
        <v/>
      </c>
      <c r="H544" s="28" t="str">
        <f>IF($J544="","",INDEX('Detalle individual'!$L:$L,$J544))</f>
        <v/>
      </c>
      <c r="J544" t="str">
        <f>IFERROR(MATCH(SMALL(Cálculos!$AI$5:$AI$1000,540),Cálculos!$AI$5:$AI$1000,0)+4,"")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23" t="str">
        <f>IF($J545="","",INDEX('Detalle individual'!$H:$H,$J545))</f>
        <v/>
      </c>
      <c r="G545" s="28" t="str">
        <f>IF($J545="","",INDEX('Detalle individual'!$J:$J,$J545))</f>
        <v/>
      </c>
      <c r="H545" s="28" t="str">
        <f>IF($J545="","",INDEX('Detalle individual'!$L:$L,$J545))</f>
        <v/>
      </c>
      <c r="J545" t="str">
        <f>IFERROR(MATCH(SMALL(Cálculos!$AI$5:$AI$1000,541),Cálculos!$AI$5:$AI$1000,0)+4,"")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23" t="str">
        <f>IF($J546="","",INDEX('Detalle individual'!$H:$H,$J546))</f>
        <v/>
      </c>
      <c r="G546" s="28" t="str">
        <f>IF($J546="","",INDEX('Detalle individual'!$J:$J,$J546))</f>
        <v/>
      </c>
      <c r="H546" s="28" t="str">
        <f>IF($J546="","",INDEX('Detalle individual'!$L:$L,$J546))</f>
        <v/>
      </c>
      <c r="J546" t="str">
        <f>IFERROR(MATCH(SMALL(Cálculos!$AI$5:$AI$1000,542),Cálculos!$AI$5:$AI$1000,0)+4,"")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23" t="str">
        <f>IF($J547="","",INDEX('Detalle individual'!$H:$H,$J547))</f>
        <v/>
      </c>
      <c r="G547" s="28" t="str">
        <f>IF($J547="","",INDEX('Detalle individual'!$J:$J,$J547))</f>
        <v/>
      </c>
      <c r="H547" s="28" t="str">
        <f>IF($J547="","",INDEX('Detalle individual'!$L:$L,$J547))</f>
        <v/>
      </c>
      <c r="J547" t="str">
        <f>IFERROR(MATCH(SMALL(Cálculos!$AI$5:$AI$1000,543),Cálculos!$AI$5:$AI$1000,0)+4,"")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23" t="str">
        <f>IF($J548="","",INDEX('Detalle individual'!$H:$H,$J548))</f>
        <v/>
      </c>
      <c r="G548" s="28" t="str">
        <f>IF($J548="","",INDEX('Detalle individual'!$J:$J,$J548))</f>
        <v/>
      </c>
      <c r="H548" s="28" t="str">
        <f>IF($J548="","",INDEX('Detalle individual'!$L:$L,$J548))</f>
        <v/>
      </c>
      <c r="J548" t="str">
        <f>IFERROR(MATCH(SMALL(Cálculos!$AI$5:$AI$1000,544),Cálculos!$AI$5:$AI$1000,0)+4,"")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23" t="str">
        <f>IF($J549="","",INDEX('Detalle individual'!$H:$H,$J549))</f>
        <v/>
      </c>
      <c r="G549" s="28" t="str">
        <f>IF($J549="","",INDEX('Detalle individual'!$J:$J,$J549))</f>
        <v/>
      </c>
      <c r="H549" s="28" t="str">
        <f>IF($J549="","",INDEX('Detalle individual'!$L:$L,$J549))</f>
        <v/>
      </c>
      <c r="J549" t="str">
        <f>IFERROR(MATCH(SMALL(Cálculos!$AI$5:$AI$1000,545),Cálculos!$AI$5:$AI$1000,0)+4,"")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23" t="str">
        <f>IF($J550="","",INDEX('Detalle individual'!$H:$H,$J550))</f>
        <v/>
      </c>
      <c r="G550" s="28" t="str">
        <f>IF($J550="","",INDEX('Detalle individual'!$J:$J,$J550))</f>
        <v/>
      </c>
      <c r="H550" s="28" t="str">
        <f>IF($J550="","",INDEX('Detalle individual'!$L:$L,$J550))</f>
        <v/>
      </c>
      <c r="J550" t="str">
        <f>IFERROR(MATCH(SMALL(Cálculos!$AI$5:$AI$1000,546),Cálculos!$AI$5:$AI$1000,0)+4,"")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23" t="str">
        <f>IF($J551="","",INDEX('Detalle individual'!$H:$H,$J551))</f>
        <v/>
      </c>
      <c r="G551" s="28" t="str">
        <f>IF($J551="","",INDEX('Detalle individual'!$J:$J,$J551))</f>
        <v/>
      </c>
      <c r="H551" s="28" t="str">
        <f>IF($J551="","",INDEX('Detalle individual'!$L:$L,$J551))</f>
        <v/>
      </c>
      <c r="J551" t="str">
        <f>IFERROR(MATCH(SMALL(Cálculos!$AI$5:$AI$1000,547),Cálculos!$AI$5:$AI$1000,0)+4,"")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23" t="str">
        <f>IF($J552="","",INDEX('Detalle individual'!$H:$H,$J552))</f>
        <v/>
      </c>
      <c r="G552" s="28" t="str">
        <f>IF($J552="","",INDEX('Detalle individual'!$J:$J,$J552))</f>
        <v/>
      </c>
      <c r="H552" s="28" t="str">
        <f>IF($J552="","",INDEX('Detalle individual'!$L:$L,$J552))</f>
        <v/>
      </c>
      <c r="J552" t="str">
        <f>IFERROR(MATCH(SMALL(Cálculos!$AI$5:$AI$1000,548),Cálculos!$AI$5:$AI$1000,0)+4,"")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23" t="str">
        <f>IF($J553="","",INDEX('Detalle individual'!$H:$H,$J553))</f>
        <v/>
      </c>
      <c r="G553" s="28" t="str">
        <f>IF($J553="","",INDEX('Detalle individual'!$J:$J,$J553))</f>
        <v/>
      </c>
      <c r="H553" s="28" t="str">
        <f>IF($J553="","",INDEX('Detalle individual'!$L:$L,$J553))</f>
        <v/>
      </c>
      <c r="J553" t="str">
        <f>IFERROR(MATCH(SMALL(Cálculos!$AI$5:$AI$1000,549),Cálculos!$AI$5:$AI$1000,0)+4,"")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23" t="str">
        <f>IF($J554="","",INDEX('Detalle individual'!$H:$H,$J554))</f>
        <v/>
      </c>
      <c r="G554" s="28" t="str">
        <f>IF($J554="","",INDEX('Detalle individual'!$J:$J,$J554))</f>
        <v/>
      </c>
      <c r="H554" s="28" t="str">
        <f>IF($J554="","",INDEX('Detalle individual'!$L:$L,$J554))</f>
        <v/>
      </c>
      <c r="J554" t="str">
        <f>IFERROR(MATCH(SMALL(Cálculos!$AI$5:$AI$1000,550),Cálculos!$AI$5:$AI$1000,0)+4,"")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23" t="str">
        <f>IF($J555="","",INDEX('Detalle individual'!$H:$H,$J555))</f>
        <v/>
      </c>
      <c r="G555" s="28" t="str">
        <f>IF($J555="","",INDEX('Detalle individual'!$J:$J,$J555))</f>
        <v/>
      </c>
      <c r="H555" s="28" t="str">
        <f>IF($J555="","",INDEX('Detalle individual'!$L:$L,$J555))</f>
        <v/>
      </c>
      <c r="J555" t="str">
        <f>IFERROR(MATCH(SMALL(Cálculos!$AI$5:$AI$1000,551),Cálculos!$AI$5:$AI$1000,0)+4,"")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23" t="str">
        <f>IF($J556="","",INDEX('Detalle individual'!$H:$H,$J556))</f>
        <v/>
      </c>
      <c r="G556" s="28" t="str">
        <f>IF($J556="","",INDEX('Detalle individual'!$J:$J,$J556))</f>
        <v/>
      </c>
      <c r="H556" s="28" t="str">
        <f>IF($J556="","",INDEX('Detalle individual'!$L:$L,$J556))</f>
        <v/>
      </c>
      <c r="J556" t="str">
        <f>IFERROR(MATCH(SMALL(Cálculos!$AI$5:$AI$1000,552),Cálculos!$AI$5:$AI$1000,0)+4,"")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23" t="str">
        <f>IF($J557="","",INDEX('Detalle individual'!$H:$H,$J557))</f>
        <v/>
      </c>
      <c r="G557" s="28" t="str">
        <f>IF($J557="","",INDEX('Detalle individual'!$J:$J,$J557))</f>
        <v/>
      </c>
      <c r="H557" s="28" t="str">
        <f>IF($J557="","",INDEX('Detalle individual'!$L:$L,$J557))</f>
        <v/>
      </c>
      <c r="J557" t="str">
        <f>IFERROR(MATCH(SMALL(Cálculos!$AI$5:$AI$1000,553),Cálculos!$AI$5:$AI$1000,0)+4,"")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23" t="str">
        <f>IF($J558="","",INDEX('Detalle individual'!$H:$H,$J558))</f>
        <v/>
      </c>
      <c r="G558" s="28" t="str">
        <f>IF($J558="","",INDEX('Detalle individual'!$J:$J,$J558))</f>
        <v/>
      </c>
      <c r="H558" s="28" t="str">
        <f>IF($J558="","",INDEX('Detalle individual'!$L:$L,$J558))</f>
        <v/>
      </c>
      <c r="J558" t="str">
        <f>IFERROR(MATCH(SMALL(Cálculos!$AI$5:$AI$1000,554),Cálculos!$AI$5:$AI$1000,0)+4,"")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23" t="str">
        <f>IF($J559="","",INDEX('Detalle individual'!$H:$H,$J559))</f>
        <v/>
      </c>
      <c r="G559" s="28" t="str">
        <f>IF($J559="","",INDEX('Detalle individual'!$J:$J,$J559))</f>
        <v/>
      </c>
      <c r="H559" s="28" t="str">
        <f>IF($J559="","",INDEX('Detalle individual'!$L:$L,$J559))</f>
        <v/>
      </c>
      <c r="J559" t="str">
        <f>IFERROR(MATCH(SMALL(Cálculos!$AI$5:$AI$1000,555),Cálculos!$AI$5:$AI$1000,0)+4,"")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23" t="str">
        <f>IF($J560="","",INDEX('Detalle individual'!$H:$H,$J560))</f>
        <v/>
      </c>
      <c r="G560" s="28" t="str">
        <f>IF($J560="","",INDEX('Detalle individual'!$J:$J,$J560))</f>
        <v/>
      </c>
      <c r="H560" s="28" t="str">
        <f>IF($J560="","",INDEX('Detalle individual'!$L:$L,$J560))</f>
        <v/>
      </c>
      <c r="J560" t="str">
        <f>IFERROR(MATCH(SMALL(Cálculos!$AI$5:$AI$1000,556),Cálculos!$AI$5:$AI$1000,0)+4,"")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23" t="str">
        <f>IF($J561="","",INDEX('Detalle individual'!$H:$H,$J561))</f>
        <v/>
      </c>
      <c r="G561" s="28" t="str">
        <f>IF($J561="","",INDEX('Detalle individual'!$J:$J,$J561))</f>
        <v/>
      </c>
      <c r="H561" s="28" t="str">
        <f>IF($J561="","",INDEX('Detalle individual'!$L:$L,$J561))</f>
        <v/>
      </c>
      <c r="J561" t="str">
        <f>IFERROR(MATCH(SMALL(Cálculos!$AI$5:$AI$1000,557),Cálculos!$AI$5:$AI$1000,0)+4,"")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23" t="str">
        <f>IF($J562="","",INDEX('Detalle individual'!$H:$H,$J562))</f>
        <v/>
      </c>
      <c r="G562" s="28" t="str">
        <f>IF($J562="","",INDEX('Detalle individual'!$J:$J,$J562))</f>
        <v/>
      </c>
      <c r="H562" s="28" t="str">
        <f>IF($J562="","",INDEX('Detalle individual'!$L:$L,$J562))</f>
        <v/>
      </c>
      <c r="J562" t="str">
        <f>IFERROR(MATCH(SMALL(Cálculos!$AI$5:$AI$1000,558),Cálculos!$AI$5:$AI$1000,0)+4,"")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23" t="str">
        <f>IF($J563="","",INDEX('Detalle individual'!$H:$H,$J563))</f>
        <v/>
      </c>
      <c r="G563" s="28" t="str">
        <f>IF($J563="","",INDEX('Detalle individual'!$J:$J,$J563))</f>
        <v/>
      </c>
      <c r="H563" s="28" t="str">
        <f>IF($J563="","",INDEX('Detalle individual'!$L:$L,$J563))</f>
        <v/>
      </c>
      <c r="J563" t="str">
        <f>IFERROR(MATCH(SMALL(Cálculos!$AI$5:$AI$1000,559),Cálculos!$AI$5:$AI$1000,0)+4,"")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23" t="str">
        <f>IF($J564="","",INDEX('Detalle individual'!$H:$H,$J564))</f>
        <v/>
      </c>
      <c r="G564" s="28" t="str">
        <f>IF($J564="","",INDEX('Detalle individual'!$J:$J,$J564))</f>
        <v/>
      </c>
      <c r="H564" s="28" t="str">
        <f>IF($J564="","",INDEX('Detalle individual'!$L:$L,$J564))</f>
        <v/>
      </c>
      <c r="J564" t="str">
        <f>IFERROR(MATCH(SMALL(Cálculos!$AI$5:$AI$1000,560),Cálculos!$AI$5:$AI$1000,0)+4,"")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23" t="str">
        <f>IF($J565="","",INDEX('Detalle individual'!$H:$H,$J565))</f>
        <v/>
      </c>
      <c r="G565" s="28" t="str">
        <f>IF($J565="","",INDEX('Detalle individual'!$J:$J,$J565))</f>
        <v/>
      </c>
      <c r="H565" s="28" t="str">
        <f>IF($J565="","",INDEX('Detalle individual'!$L:$L,$J565))</f>
        <v/>
      </c>
      <c r="J565" t="str">
        <f>IFERROR(MATCH(SMALL(Cálculos!$AI$5:$AI$1000,561),Cálculos!$AI$5:$AI$1000,0)+4,"")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23" t="str">
        <f>IF($J566="","",INDEX('Detalle individual'!$H:$H,$J566))</f>
        <v/>
      </c>
      <c r="G566" s="28" t="str">
        <f>IF($J566="","",INDEX('Detalle individual'!$J:$J,$J566))</f>
        <v/>
      </c>
      <c r="H566" s="28" t="str">
        <f>IF($J566="","",INDEX('Detalle individual'!$L:$L,$J566))</f>
        <v/>
      </c>
      <c r="J566" t="str">
        <f>IFERROR(MATCH(SMALL(Cálculos!$AI$5:$AI$1000,562),Cálculos!$AI$5:$AI$1000,0)+4,"")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23" t="str">
        <f>IF($J567="","",INDEX('Detalle individual'!$H:$H,$J567))</f>
        <v/>
      </c>
      <c r="G567" s="28" t="str">
        <f>IF($J567="","",INDEX('Detalle individual'!$J:$J,$J567))</f>
        <v/>
      </c>
      <c r="H567" s="28" t="str">
        <f>IF($J567="","",INDEX('Detalle individual'!$L:$L,$J567))</f>
        <v/>
      </c>
      <c r="J567" t="str">
        <f>IFERROR(MATCH(SMALL(Cálculos!$AI$5:$AI$1000,563),Cálculos!$AI$5:$AI$1000,0)+4,"")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23" t="str">
        <f>IF($J568="","",INDEX('Detalle individual'!$H:$H,$J568))</f>
        <v/>
      </c>
      <c r="G568" s="28" t="str">
        <f>IF($J568="","",INDEX('Detalle individual'!$J:$J,$J568))</f>
        <v/>
      </c>
      <c r="H568" s="28" t="str">
        <f>IF($J568="","",INDEX('Detalle individual'!$L:$L,$J568))</f>
        <v/>
      </c>
      <c r="J568" t="str">
        <f>IFERROR(MATCH(SMALL(Cálculos!$AI$5:$AI$1000,564),Cálculos!$AI$5:$AI$1000,0)+4,"")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23" t="str">
        <f>IF($J569="","",INDEX('Detalle individual'!$H:$H,$J569))</f>
        <v/>
      </c>
      <c r="G569" s="28" t="str">
        <f>IF($J569="","",INDEX('Detalle individual'!$J:$J,$J569))</f>
        <v/>
      </c>
      <c r="H569" s="28" t="str">
        <f>IF($J569="","",INDEX('Detalle individual'!$L:$L,$J569))</f>
        <v/>
      </c>
      <c r="J569" t="str">
        <f>IFERROR(MATCH(SMALL(Cálculos!$AI$5:$AI$1000,565),Cálculos!$AI$5:$AI$1000,0)+4,"")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23" t="str">
        <f>IF($J570="","",INDEX('Detalle individual'!$H:$H,$J570))</f>
        <v/>
      </c>
      <c r="G570" s="28" t="str">
        <f>IF($J570="","",INDEX('Detalle individual'!$J:$J,$J570))</f>
        <v/>
      </c>
      <c r="H570" s="28" t="str">
        <f>IF($J570="","",INDEX('Detalle individual'!$L:$L,$J570))</f>
        <v/>
      </c>
      <c r="J570" t="str">
        <f>IFERROR(MATCH(SMALL(Cálculos!$AI$5:$AI$1000,566),Cálculos!$AI$5:$AI$1000,0)+4,"")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23" t="str">
        <f>IF($J571="","",INDEX('Detalle individual'!$H:$H,$J571))</f>
        <v/>
      </c>
      <c r="G571" s="28" t="str">
        <f>IF($J571="","",INDEX('Detalle individual'!$J:$J,$J571))</f>
        <v/>
      </c>
      <c r="H571" s="28" t="str">
        <f>IF($J571="","",INDEX('Detalle individual'!$L:$L,$J571))</f>
        <v/>
      </c>
      <c r="J571" t="str">
        <f>IFERROR(MATCH(SMALL(Cálculos!$AI$5:$AI$1000,567),Cálculos!$AI$5:$AI$1000,0)+4,"")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23" t="str">
        <f>IF($J572="","",INDEX('Detalle individual'!$H:$H,$J572))</f>
        <v/>
      </c>
      <c r="G572" s="28" t="str">
        <f>IF($J572="","",INDEX('Detalle individual'!$J:$J,$J572))</f>
        <v/>
      </c>
      <c r="H572" s="28" t="str">
        <f>IF($J572="","",INDEX('Detalle individual'!$L:$L,$J572))</f>
        <v/>
      </c>
      <c r="J572" t="str">
        <f>IFERROR(MATCH(SMALL(Cálculos!$AI$5:$AI$1000,568),Cálculos!$AI$5:$AI$1000,0)+4,"")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23" t="str">
        <f>IF($J573="","",INDEX('Detalle individual'!$H:$H,$J573))</f>
        <v/>
      </c>
      <c r="G573" s="28" t="str">
        <f>IF($J573="","",INDEX('Detalle individual'!$J:$J,$J573))</f>
        <v/>
      </c>
      <c r="H573" s="28" t="str">
        <f>IF($J573="","",INDEX('Detalle individual'!$L:$L,$J573))</f>
        <v/>
      </c>
      <c r="J573" t="str">
        <f>IFERROR(MATCH(SMALL(Cálculos!$AI$5:$AI$1000,569),Cálculos!$AI$5:$AI$1000,0)+4,"")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23" t="str">
        <f>IF($J574="","",INDEX('Detalle individual'!$H:$H,$J574))</f>
        <v/>
      </c>
      <c r="G574" s="28" t="str">
        <f>IF($J574="","",INDEX('Detalle individual'!$J:$J,$J574))</f>
        <v/>
      </c>
      <c r="H574" s="28" t="str">
        <f>IF($J574="","",INDEX('Detalle individual'!$L:$L,$J574))</f>
        <v/>
      </c>
      <c r="J574" t="str">
        <f>IFERROR(MATCH(SMALL(Cálculos!$AI$5:$AI$1000,570),Cálculos!$AI$5:$AI$1000,0)+4,"")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23" t="str">
        <f>IF($J575="","",INDEX('Detalle individual'!$H:$H,$J575))</f>
        <v/>
      </c>
      <c r="G575" s="28" t="str">
        <f>IF($J575="","",INDEX('Detalle individual'!$J:$J,$J575))</f>
        <v/>
      </c>
      <c r="H575" s="28" t="str">
        <f>IF($J575="","",INDEX('Detalle individual'!$L:$L,$J575))</f>
        <v/>
      </c>
      <c r="J575" t="str">
        <f>IFERROR(MATCH(SMALL(Cálculos!$AI$5:$AI$1000,571),Cálculos!$AI$5:$AI$1000,0)+4,"")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23" t="str">
        <f>IF($J576="","",INDEX('Detalle individual'!$H:$H,$J576))</f>
        <v/>
      </c>
      <c r="G576" s="28" t="str">
        <f>IF($J576="","",INDEX('Detalle individual'!$J:$J,$J576))</f>
        <v/>
      </c>
      <c r="H576" s="28" t="str">
        <f>IF($J576="","",INDEX('Detalle individual'!$L:$L,$J576))</f>
        <v/>
      </c>
      <c r="J576" t="str">
        <f>IFERROR(MATCH(SMALL(Cálculos!$AI$5:$AI$1000,572),Cálculos!$AI$5:$AI$1000,0)+4,"")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23" t="str">
        <f>IF($J577="","",INDEX('Detalle individual'!$H:$H,$J577))</f>
        <v/>
      </c>
      <c r="G577" s="28" t="str">
        <f>IF($J577="","",INDEX('Detalle individual'!$J:$J,$J577))</f>
        <v/>
      </c>
      <c r="H577" s="28" t="str">
        <f>IF($J577="","",INDEX('Detalle individual'!$L:$L,$J577))</f>
        <v/>
      </c>
      <c r="J577" t="str">
        <f>IFERROR(MATCH(SMALL(Cálculos!$AI$5:$AI$1000,573),Cálculos!$AI$5:$AI$1000,0)+4,"")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23" t="str">
        <f>IF($J578="","",INDEX('Detalle individual'!$H:$H,$J578))</f>
        <v/>
      </c>
      <c r="G578" s="28" t="str">
        <f>IF($J578="","",INDEX('Detalle individual'!$J:$J,$J578))</f>
        <v/>
      </c>
      <c r="H578" s="28" t="str">
        <f>IF($J578="","",INDEX('Detalle individual'!$L:$L,$J578))</f>
        <v/>
      </c>
      <c r="J578" t="str">
        <f>IFERROR(MATCH(SMALL(Cálculos!$AI$5:$AI$1000,574),Cálculos!$AI$5:$AI$1000,0)+4,"")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23" t="str">
        <f>IF($J579="","",INDEX('Detalle individual'!$H:$H,$J579))</f>
        <v/>
      </c>
      <c r="G579" s="28" t="str">
        <f>IF($J579="","",INDEX('Detalle individual'!$J:$J,$J579))</f>
        <v/>
      </c>
      <c r="H579" s="28" t="str">
        <f>IF($J579="","",INDEX('Detalle individual'!$L:$L,$J579))</f>
        <v/>
      </c>
      <c r="J579" t="str">
        <f>IFERROR(MATCH(SMALL(Cálculos!$AI$5:$AI$1000,575),Cálculos!$AI$5:$AI$1000,0)+4,"")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23" t="str">
        <f>IF($J580="","",INDEX('Detalle individual'!$H:$H,$J580))</f>
        <v/>
      </c>
      <c r="G580" s="28" t="str">
        <f>IF($J580="","",INDEX('Detalle individual'!$J:$J,$J580))</f>
        <v/>
      </c>
      <c r="H580" s="28" t="str">
        <f>IF($J580="","",INDEX('Detalle individual'!$L:$L,$J580))</f>
        <v/>
      </c>
      <c r="J580" t="str">
        <f>IFERROR(MATCH(SMALL(Cálculos!$AI$5:$AI$1000,576),Cálculos!$AI$5:$AI$1000,0)+4,"")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23" t="str">
        <f>IF($J581="","",INDEX('Detalle individual'!$H:$H,$J581))</f>
        <v/>
      </c>
      <c r="G581" s="28" t="str">
        <f>IF($J581="","",INDEX('Detalle individual'!$J:$J,$J581))</f>
        <v/>
      </c>
      <c r="H581" s="28" t="str">
        <f>IF($J581="","",INDEX('Detalle individual'!$L:$L,$J581))</f>
        <v/>
      </c>
      <c r="J581" t="str">
        <f>IFERROR(MATCH(SMALL(Cálculos!$AI$5:$AI$1000,577),Cálculos!$AI$5:$AI$1000,0)+4,"")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23" t="str">
        <f>IF($J582="","",INDEX('Detalle individual'!$H:$H,$J582))</f>
        <v/>
      </c>
      <c r="G582" s="28" t="str">
        <f>IF($J582="","",INDEX('Detalle individual'!$J:$J,$J582))</f>
        <v/>
      </c>
      <c r="H582" s="28" t="str">
        <f>IF($J582="","",INDEX('Detalle individual'!$L:$L,$J582))</f>
        <v/>
      </c>
      <c r="J582" t="str">
        <f>IFERROR(MATCH(SMALL(Cálculos!$AI$5:$AI$1000,578),Cálculos!$AI$5:$AI$1000,0)+4,"")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23" t="str">
        <f>IF($J583="","",INDEX('Detalle individual'!$H:$H,$J583))</f>
        <v/>
      </c>
      <c r="G583" s="28" t="str">
        <f>IF($J583="","",INDEX('Detalle individual'!$J:$J,$J583))</f>
        <v/>
      </c>
      <c r="H583" s="28" t="str">
        <f>IF($J583="","",INDEX('Detalle individual'!$L:$L,$J583))</f>
        <v/>
      </c>
      <c r="J583" t="str">
        <f>IFERROR(MATCH(SMALL(Cálculos!$AI$5:$AI$1000,579),Cálculos!$AI$5:$AI$1000,0)+4,"")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23" t="str">
        <f>IF($J584="","",INDEX('Detalle individual'!$H:$H,$J584))</f>
        <v/>
      </c>
      <c r="G584" s="28" t="str">
        <f>IF($J584="","",INDEX('Detalle individual'!$J:$J,$J584))</f>
        <v/>
      </c>
      <c r="H584" s="28" t="str">
        <f>IF($J584="","",INDEX('Detalle individual'!$L:$L,$J584))</f>
        <v/>
      </c>
      <c r="J584" t="str">
        <f>IFERROR(MATCH(SMALL(Cálculos!$AI$5:$AI$1000,580),Cálculos!$AI$5:$AI$1000,0)+4,"")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23" t="str">
        <f>IF($J585="","",INDEX('Detalle individual'!$H:$H,$J585))</f>
        <v/>
      </c>
      <c r="G585" s="28" t="str">
        <f>IF($J585="","",INDEX('Detalle individual'!$J:$J,$J585))</f>
        <v/>
      </c>
      <c r="H585" s="28" t="str">
        <f>IF($J585="","",INDEX('Detalle individual'!$L:$L,$J585))</f>
        <v/>
      </c>
      <c r="J585" t="str">
        <f>IFERROR(MATCH(SMALL(Cálculos!$AI$5:$AI$1000,581),Cálculos!$AI$5:$AI$1000,0)+4,"")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23" t="str">
        <f>IF($J586="","",INDEX('Detalle individual'!$H:$H,$J586))</f>
        <v/>
      </c>
      <c r="G586" s="28" t="str">
        <f>IF($J586="","",INDEX('Detalle individual'!$J:$J,$J586))</f>
        <v/>
      </c>
      <c r="H586" s="28" t="str">
        <f>IF($J586="","",INDEX('Detalle individual'!$L:$L,$J586))</f>
        <v/>
      </c>
      <c r="J586" t="str">
        <f>IFERROR(MATCH(SMALL(Cálculos!$AI$5:$AI$1000,582),Cálculos!$AI$5:$AI$1000,0)+4,"")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23" t="str">
        <f>IF($J587="","",INDEX('Detalle individual'!$H:$H,$J587))</f>
        <v/>
      </c>
      <c r="G587" s="28" t="str">
        <f>IF($J587="","",INDEX('Detalle individual'!$J:$J,$J587))</f>
        <v/>
      </c>
      <c r="H587" s="28" t="str">
        <f>IF($J587="","",INDEX('Detalle individual'!$L:$L,$J587))</f>
        <v/>
      </c>
      <c r="J587" t="str">
        <f>IFERROR(MATCH(SMALL(Cálculos!$AI$5:$AI$1000,583),Cálculos!$AI$5:$AI$1000,0)+4,"")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23" t="str">
        <f>IF($J588="","",INDEX('Detalle individual'!$H:$H,$J588))</f>
        <v/>
      </c>
      <c r="G588" s="28" t="str">
        <f>IF($J588="","",INDEX('Detalle individual'!$J:$J,$J588))</f>
        <v/>
      </c>
      <c r="H588" s="28" t="str">
        <f>IF($J588="","",INDEX('Detalle individual'!$L:$L,$J588))</f>
        <v/>
      </c>
      <c r="J588" t="str">
        <f>IFERROR(MATCH(SMALL(Cálculos!$AI$5:$AI$1000,584),Cálculos!$AI$5:$AI$1000,0)+4,"")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23" t="str">
        <f>IF($J589="","",INDEX('Detalle individual'!$H:$H,$J589))</f>
        <v/>
      </c>
      <c r="G589" s="28" t="str">
        <f>IF($J589="","",INDEX('Detalle individual'!$J:$J,$J589))</f>
        <v/>
      </c>
      <c r="H589" s="28" t="str">
        <f>IF($J589="","",INDEX('Detalle individual'!$L:$L,$J589))</f>
        <v/>
      </c>
      <c r="J589" t="str">
        <f>IFERROR(MATCH(SMALL(Cálculos!$AI$5:$AI$1000,585),Cálculos!$AI$5:$AI$1000,0)+4,"")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23" t="str">
        <f>IF($J590="","",INDEX('Detalle individual'!$H:$H,$J590))</f>
        <v/>
      </c>
      <c r="G590" s="28" t="str">
        <f>IF($J590="","",INDEX('Detalle individual'!$J:$J,$J590))</f>
        <v/>
      </c>
      <c r="H590" s="28" t="str">
        <f>IF($J590="","",INDEX('Detalle individual'!$L:$L,$J590))</f>
        <v/>
      </c>
      <c r="J590" t="str">
        <f>IFERROR(MATCH(SMALL(Cálculos!$AI$5:$AI$1000,586),Cálculos!$AI$5:$AI$1000,0)+4,"")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23" t="str">
        <f>IF($J591="","",INDEX('Detalle individual'!$H:$H,$J591))</f>
        <v/>
      </c>
      <c r="G591" s="28" t="str">
        <f>IF($J591="","",INDEX('Detalle individual'!$J:$J,$J591))</f>
        <v/>
      </c>
      <c r="H591" s="28" t="str">
        <f>IF($J591="","",INDEX('Detalle individual'!$L:$L,$J591))</f>
        <v/>
      </c>
      <c r="J591" t="str">
        <f>IFERROR(MATCH(SMALL(Cálculos!$AI$5:$AI$1000,587),Cálculos!$AI$5:$AI$1000,0)+4,"")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23" t="str">
        <f>IF($J592="","",INDEX('Detalle individual'!$H:$H,$J592))</f>
        <v/>
      </c>
      <c r="G592" s="28" t="str">
        <f>IF($J592="","",INDEX('Detalle individual'!$J:$J,$J592))</f>
        <v/>
      </c>
      <c r="H592" s="28" t="str">
        <f>IF($J592="","",INDEX('Detalle individual'!$L:$L,$J592))</f>
        <v/>
      </c>
      <c r="J592" t="str">
        <f>IFERROR(MATCH(SMALL(Cálculos!$AI$5:$AI$1000,588),Cálculos!$AI$5:$AI$1000,0)+4,"")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23" t="str">
        <f>IF($J593="","",INDEX('Detalle individual'!$H:$H,$J593))</f>
        <v/>
      </c>
      <c r="G593" s="28" t="str">
        <f>IF($J593="","",INDEX('Detalle individual'!$J:$J,$J593))</f>
        <v/>
      </c>
      <c r="H593" s="28" t="str">
        <f>IF($J593="","",INDEX('Detalle individual'!$L:$L,$J593))</f>
        <v/>
      </c>
      <c r="J593" t="str">
        <f>IFERROR(MATCH(SMALL(Cálculos!$AI$5:$AI$1000,589),Cálculos!$AI$5:$AI$1000,0)+4,"")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23" t="str">
        <f>IF($J594="","",INDEX('Detalle individual'!$H:$H,$J594))</f>
        <v/>
      </c>
      <c r="G594" s="28" t="str">
        <f>IF($J594="","",INDEX('Detalle individual'!$J:$J,$J594))</f>
        <v/>
      </c>
      <c r="H594" s="28" t="str">
        <f>IF($J594="","",INDEX('Detalle individual'!$L:$L,$J594))</f>
        <v/>
      </c>
      <c r="J594" t="str">
        <f>IFERROR(MATCH(SMALL(Cálculos!$AI$5:$AI$1000,590),Cálculos!$AI$5:$AI$1000,0)+4,"")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23" t="str">
        <f>IF($J595="","",INDEX('Detalle individual'!$H:$H,$J595))</f>
        <v/>
      </c>
      <c r="G595" s="28" t="str">
        <f>IF($J595="","",INDEX('Detalle individual'!$J:$J,$J595))</f>
        <v/>
      </c>
      <c r="H595" s="28" t="str">
        <f>IF($J595="","",INDEX('Detalle individual'!$L:$L,$J595))</f>
        <v/>
      </c>
      <c r="J595" t="str">
        <f>IFERROR(MATCH(SMALL(Cálculos!$AI$5:$AI$1000,591),Cálculos!$AI$5:$AI$1000,0)+4,"")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23" t="str">
        <f>IF($J596="","",INDEX('Detalle individual'!$H:$H,$J596))</f>
        <v/>
      </c>
      <c r="G596" s="28" t="str">
        <f>IF($J596="","",INDEX('Detalle individual'!$J:$J,$J596))</f>
        <v/>
      </c>
      <c r="H596" s="28" t="str">
        <f>IF($J596="","",INDEX('Detalle individual'!$L:$L,$J596))</f>
        <v/>
      </c>
      <c r="J596" t="str">
        <f>IFERROR(MATCH(SMALL(Cálculos!$AI$5:$AI$1000,592),Cálculos!$AI$5:$AI$1000,0)+4,"")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23" t="str">
        <f>IF($J597="","",INDEX('Detalle individual'!$H:$H,$J597))</f>
        <v/>
      </c>
      <c r="G597" s="28" t="str">
        <f>IF($J597="","",INDEX('Detalle individual'!$J:$J,$J597))</f>
        <v/>
      </c>
      <c r="H597" s="28" t="str">
        <f>IF($J597="","",INDEX('Detalle individual'!$L:$L,$J597))</f>
        <v/>
      </c>
      <c r="J597" t="str">
        <f>IFERROR(MATCH(SMALL(Cálculos!$AI$5:$AI$1000,593),Cálculos!$AI$5:$AI$1000,0)+4,"")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23" t="str">
        <f>IF($J598="","",INDEX('Detalle individual'!$H:$H,$J598))</f>
        <v/>
      </c>
      <c r="G598" s="28" t="str">
        <f>IF($J598="","",INDEX('Detalle individual'!$J:$J,$J598))</f>
        <v/>
      </c>
      <c r="H598" s="28" t="str">
        <f>IF($J598="","",INDEX('Detalle individual'!$L:$L,$J598))</f>
        <v/>
      </c>
      <c r="J598" t="str">
        <f>IFERROR(MATCH(SMALL(Cálculos!$AI$5:$AI$1000,594),Cálculos!$AI$5:$AI$1000,0)+4,"")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23" t="str">
        <f>IF($J599="","",INDEX('Detalle individual'!$H:$H,$J599))</f>
        <v/>
      </c>
      <c r="G599" s="28" t="str">
        <f>IF($J599="","",INDEX('Detalle individual'!$J:$J,$J599))</f>
        <v/>
      </c>
      <c r="H599" s="28" t="str">
        <f>IF($J599="","",INDEX('Detalle individual'!$L:$L,$J599))</f>
        <v/>
      </c>
      <c r="J599" t="str">
        <f>IFERROR(MATCH(SMALL(Cálculos!$AI$5:$AI$1000,595),Cálculos!$AI$5:$AI$1000,0)+4,"")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23" t="str">
        <f>IF($J600="","",INDEX('Detalle individual'!$H:$H,$J600))</f>
        <v/>
      </c>
      <c r="G600" s="28" t="str">
        <f>IF($J600="","",INDEX('Detalle individual'!$J:$J,$J600))</f>
        <v/>
      </c>
      <c r="H600" s="28" t="str">
        <f>IF($J600="","",INDEX('Detalle individual'!$L:$L,$J600))</f>
        <v/>
      </c>
      <c r="J600" t="str">
        <f>IFERROR(MATCH(SMALL(Cálculos!$AI$5:$AI$1000,596),Cálculos!$AI$5:$AI$1000,0)+4,"")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23" t="str">
        <f>IF($J601="","",INDEX('Detalle individual'!$H:$H,$J601))</f>
        <v/>
      </c>
      <c r="G601" s="28" t="str">
        <f>IF($J601="","",INDEX('Detalle individual'!$J:$J,$J601))</f>
        <v/>
      </c>
      <c r="H601" s="28" t="str">
        <f>IF($J601="","",INDEX('Detalle individual'!$L:$L,$J601))</f>
        <v/>
      </c>
      <c r="J601" t="str">
        <f>IFERROR(MATCH(SMALL(Cálculos!$AI$5:$AI$1000,597),Cálculos!$AI$5:$AI$1000,0)+4,"")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23" t="str">
        <f>IF($J602="","",INDEX('Detalle individual'!$H:$H,$J602))</f>
        <v/>
      </c>
      <c r="G602" s="28" t="str">
        <f>IF($J602="","",INDEX('Detalle individual'!$J:$J,$J602))</f>
        <v/>
      </c>
      <c r="H602" s="28" t="str">
        <f>IF($J602="","",INDEX('Detalle individual'!$L:$L,$J602))</f>
        <v/>
      </c>
      <c r="J602" t="str">
        <f>IFERROR(MATCH(SMALL(Cálculos!$AI$5:$AI$1000,598),Cálculos!$AI$5:$AI$1000,0)+4,"")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23" t="str">
        <f>IF($J603="","",INDEX('Detalle individual'!$H:$H,$J603))</f>
        <v/>
      </c>
      <c r="G603" s="28" t="str">
        <f>IF($J603="","",INDEX('Detalle individual'!$J:$J,$J603))</f>
        <v/>
      </c>
      <c r="H603" s="28" t="str">
        <f>IF($J603="","",INDEX('Detalle individual'!$L:$L,$J603))</f>
        <v/>
      </c>
      <c r="J603" t="str">
        <f>IFERROR(MATCH(SMALL(Cálculos!$AI$5:$AI$1000,599),Cálculos!$AI$5:$AI$1000,0)+4,"")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23" t="str">
        <f>IF($J604="","",INDEX('Detalle individual'!$H:$H,$J604))</f>
        <v/>
      </c>
      <c r="G604" s="28" t="str">
        <f>IF($J604="","",INDEX('Detalle individual'!$J:$J,$J604))</f>
        <v/>
      </c>
      <c r="H604" s="28" t="str">
        <f>IF($J604="","",INDEX('Detalle individual'!$L:$L,$J604))</f>
        <v/>
      </c>
      <c r="J604" t="str">
        <f>IFERROR(MATCH(SMALL(Cálculos!$AI$5:$AI$1000,600),Cálculos!$AI$5:$AI$1000,0)+4,"")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23" t="str">
        <f>IF($J605="","",INDEX('Detalle individual'!$H:$H,$J605))</f>
        <v/>
      </c>
      <c r="G605" s="28" t="str">
        <f>IF($J605="","",INDEX('Detalle individual'!$J:$J,$J605))</f>
        <v/>
      </c>
      <c r="H605" s="28" t="str">
        <f>IF($J605="","",INDEX('Detalle individual'!$L:$L,$J605))</f>
        <v/>
      </c>
      <c r="J605" t="str">
        <f>IFERROR(MATCH(SMALL(Cálculos!$AI$5:$AI$1000,601),Cálculos!$AI$5:$AI$1000,0)+4,"")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23" t="str">
        <f>IF($J606="","",INDEX('Detalle individual'!$H:$H,$J606))</f>
        <v/>
      </c>
      <c r="G606" s="28" t="str">
        <f>IF($J606="","",INDEX('Detalle individual'!$J:$J,$J606))</f>
        <v/>
      </c>
      <c r="H606" s="28" t="str">
        <f>IF($J606="","",INDEX('Detalle individual'!$L:$L,$J606))</f>
        <v/>
      </c>
      <c r="J606" t="str">
        <f>IFERROR(MATCH(SMALL(Cálculos!$AI$5:$AI$1000,602),Cálculos!$AI$5:$AI$1000,0)+4,"")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23" t="str">
        <f>IF($J607="","",INDEX('Detalle individual'!$H:$H,$J607))</f>
        <v/>
      </c>
      <c r="G607" s="28" t="str">
        <f>IF($J607="","",INDEX('Detalle individual'!$J:$J,$J607))</f>
        <v/>
      </c>
      <c r="H607" s="28" t="str">
        <f>IF($J607="","",INDEX('Detalle individual'!$L:$L,$J607))</f>
        <v/>
      </c>
      <c r="J607" t="str">
        <f>IFERROR(MATCH(SMALL(Cálculos!$AI$5:$AI$1000,603),Cálculos!$AI$5:$AI$1000,0)+4,"")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23" t="str">
        <f>IF($J608="","",INDEX('Detalle individual'!$H:$H,$J608))</f>
        <v/>
      </c>
      <c r="G608" s="28" t="str">
        <f>IF($J608="","",INDEX('Detalle individual'!$J:$J,$J608))</f>
        <v/>
      </c>
      <c r="H608" s="28" t="str">
        <f>IF($J608="","",INDEX('Detalle individual'!$L:$L,$J608))</f>
        <v/>
      </c>
      <c r="J608" t="str">
        <f>IFERROR(MATCH(SMALL(Cálculos!$AI$5:$AI$1000,604),Cálculos!$AI$5:$AI$1000,0)+4,"")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23" t="str">
        <f>IF($J609="","",INDEX('Detalle individual'!$H:$H,$J609))</f>
        <v/>
      </c>
      <c r="G609" s="28" t="str">
        <f>IF($J609="","",INDEX('Detalle individual'!$J:$J,$J609))</f>
        <v/>
      </c>
      <c r="H609" s="28" t="str">
        <f>IF($J609="","",INDEX('Detalle individual'!$L:$L,$J609))</f>
        <v/>
      </c>
      <c r="J609" t="str">
        <f>IFERROR(MATCH(SMALL(Cálculos!$AI$5:$AI$1000,605),Cálculos!$AI$5:$AI$1000,0)+4,"")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23" t="str">
        <f>IF($J610="","",INDEX('Detalle individual'!$H:$H,$J610))</f>
        <v/>
      </c>
      <c r="G610" s="28" t="str">
        <f>IF($J610="","",INDEX('Detalle individual'!$J:$J,$J610))</f>
        <v/>
      </c>
      <c r="H610" s="28" t="str">
        <f>IF($J610="","",INDEX('Detalle individual'!$L:$L,$J610))</f>
        <v/>
      </c>
      <c r="J610" t="str">
        <f>IFERROR(MATCH(SMALL(Cálculos!$AI$5:$AI$1000,606),Cálculos!$AI$5:$AI$1000,0)+4,"")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23" t="str">
        <f>IF($J611="","",INDEX('Detalle individual'!$H:$H,$J611))</f>
        <v/>
      </c>
      <c r="G611" s="28" t="str">
        <f>IF($J611="","",INDEX('Detalle individual'!$J:$J,$J611))</f>
        <v/>
      </c>
      <c r="H611" s="28" t="str">
        <f>IF($J611="","",INDEX('Detalle individual'!$L:$L,$J611))</f>
        <v/>
      </c>
      <c r="J611" t="str">
        <f>IFERROR(MATCH(SMALL(Cálculos!$AI$5:$AI$1000,607),Cálculos!$AI$5:$AI$1000,0)+4,"")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23" t="str">
        <f>IF($J612="","",INDEX('Detalle individual'!$H:$H,$J612))</f>
        <v/>
      </c>
      <c r="G612" s="28" t="str">
        <f>IF($J612="","",INDEX('Detalle individual'!$J:$J,$J612))</f>
        <v/>
      </c>
      <c r="H612" s="28" t="str">
        <f>IF($J612="","",INDEX('Detalle individual'!$L:$L,$J612))</f>
        <v/>
      </c>
      <c r="J612" t="str">
        <f>IFERROR(MATCH(SMALL(Cálculos!$AI$5:$AI$1000,608),Cálculos!$AI$5:$AI$1000,0)+4,"")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23" t="str">
        <f>IF($J613="","",INDEX('Detalle individual'!$H:$H,$J613))</f>
        <v/>
      </c>
      <c r="G613" s="28" t="str">
        <f>IF($J613="","",INDEX('Detalle individual'!$J:$J,$J613))</f>
        <v/>
      </c>
      <c r="H613" s="28" t="str">
        <f>IF($J613="","",INDEX('Detalle individual'!$L:$L,$J613))</f>
        <v/>
      </c>
      <c r="J613" t="str">
        <f>IFERROR(MATCH(SMALL(Cálculos!$AI$5:$AI$1000,609),Cálculos!$AI$5:$AI$1000,0)+4,"")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23" t="str">
        <f>IF($J614="","",INDEX('Detalle individual'!$H:$H,$J614))</f>
        <v/>
      </c>
      <c r="G614" s="28" t="str">
        <f>IF($J614="","",INDEX('Detalle individual'!$J:$J,$J614))</f>
        <v/>
      </c>
      <c r="H614" s="28" t="str">
        <f>IF($J614="","",INDEX('Detalle individual'!$L:$L,$J614))</f>
        <v/>
      </c>
      <c r="J614" t="str">
        <f>IFERROR(MATCH(SMALL(Cálculos!$AI$5:$AI$1000,610),Cálculos!$AI$5:$AI$1000,0)+4,"")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23" t="str">
        <f>IF($J615="","",INDEX('Detalle individual'!$H:$H,$J615))</f>
        <v/>
      </c>
      <c r="G615" s="28" t="str">
        <f>IF($J615="","",INDEX('Detalle individual'!$J:$J,$J615))</f>
        <v/>
      </c>
      <c r="H615" s="28" t="str">
        <f>IF($J615="","",INDEX('Detalle individual'!$L:$L,$J615))</f>
        <v/>
      </c>
      <c r="J615" t="str">
        <f>IFERROR(MATCH(SMALL(Cálculos!$AI$5:$AI$1000,611),Cálculos!$AI$5:$AI$1000,0)+4,"")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23" t="str">
        <f>IF($J616="","",INDEX('Detalle individual'!$H:$H,$J616))</f>
        <v/>
      </c>
      <c r="G616" s="28" t="str">
        <f>IF($J616="","",INDEX('Detalle individual'!$J:$J,$J616))</f>
        <v/>
      </c>
      <c r="H616" s="28" t="str">
        <f>IF($J616="","",INDEX('Detalle individual'!$L:$L,$J616))</f>
        <v/>
      </c>
      <c r="J616" t="str">
        <f>IFERROR(MATCH(SMALL(Cálculos!$AI$5:$AI$1000,612),Cálculos!$AI$5:$AI$1000,0)+4,"")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23" t="str">
        <f>IF($J617="","",INDEX('Detalle individual'!$H:$H,$J617))</f>
        <v/>
      </c>
      <c r="G617" s="28" t="str">
        <f>IF($J617="","",INDEX('Detalle individual'!$J:$J,$J617))</f>
        <v/>
      </c>
      <c r="H617" s="28" t="str">
        <f>IF($J617="","",INDEX('Detalle individual'!$L:$L,$J617))</f>
        <v/>
      </c>
      <c r="J617" t="str">
        <f>IFERROR(MATCH(SMALL(Cálculos!$AI$5:$AI$1000,613),Cálculos!$AI$5:$AI$1000,0)+4,"")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23" t="str">
        <f>IF($J618="","",INDEX('Detalle individual'!$H:$H,$J618))</f>
        <v/>
      </c>
      <c r="G618" s="28" t="str">
        <f>IF($J618="","",INDEX('Detalle individual'!$J:$J,$J618))</f>
        <v/>
      </c>
      <c r="H618" s="28" t="str">
        <f>IF($J618="","",INDEX('Detalle individual'!$L:$L,$J618))</f>
        <v/>
      </c>
      <c r="J618" t="str">
        <f>IFERROR(MATCH(SMALL(Cálculos!$AI$5:$AI$1000,614),Cálculos!$AI$5:$AI$1000,0)+4,"")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23" t="str">
        <f>IF($J619="","",INDEX('Detalle individual'!$H:$H,$J619))</f>
        <v/>
      </c>
      <c r="G619" s="28" t="str">
        <f>IF($J619="","",INDEX('Detalle individual'!$J:$J,$J619))</f>
        <v/>
      </c>
      <c r="H619" s="28" t="str">
        <f>IF($J619="","",INDEX('Detalle individual'!$L:$L,$J619))</f>
        <v/>
      </c>
      <c r="J619" t="str">
        <f>IFERROR(MATCH(SMALL(Cálculos!$AI$5:$AI$1000,615),Cálculos!$AI$5:$AI$1000,0)+4,"")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23" t="str">
        <f>IF($J620="","",INDEX('Detalle individual'!$H:$H,$J620))</f>
        <v/>
      </c>
      <c r="G620" s="28" t="str">
        <f>IF($J620="","",INDEX('Detalle individual'!$J:$J,$J620))</f>
        <v/>
      </c>
      <c r="H620" s="28" t="str">
        <f>IF($J620="","",INDEX('Detalle individual'!$L:$L,$J620))</f>
        <v/>
      </c>
      <c r="J620" t="str">
        <f>IFERROR(MATCH(SMALL(Cálculos!$AI$5:$AI$1000,616),Cálculos!$AI$5:$AI$1000,0)+4,"")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23" t="str">
        <f>IF($J621="","",INDEX('Detalle individual'!$H:$H,$J621))</f>
        <v/>
      </c>
      <c r="G621" s="28" t="str">
        <f>IF($J621="","",INDEX('Detalle individual'!$J:$J,$J621))</f>
        <v/>
      </c>
      <c r="H621" s="28" t="str">
        <f>IF($J621="","",INDEX('Detalle individual'!$L:$L,$J621))</f>
        <v/>
      </c>
      <c r="J621" t="str">
        <f>IFERROR(MATCH(SMALL(Cálculos!$AI$5:$AI$1000,617),Cálculos!$AI$5:$AI$1000,0)+4,"")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23" t="str">
        <f>IF($J622="","",INDEX('Detalle individual'!$H:$H,$J622))</f>
        <v/>
      </c>
      <c r="G622" s="28" t="str">
        <f>IF($J622="","",INDEX('Detalle individual'!$J:$J,$J622))</f>
        <v/>
      </c>
      <c r="H622" s="28" t="str">
        <f>IF($J622="","",INDEX('Detalle individual'!$L:$L,$J622))</f>
        <v/>
      </c>
      <c r="J622" t="str">
        <f>IFERROR(MATCH(SMALL(Cálculos!$AI$5:$AI$1000,618),Cálculos!$AI$5:$AI$1000,0)+4,"")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23" t="str">
        <f>IF($J623="","",INDEX('Detalle individual'!$H:$H,$J623))</f>
        <v/>
      </c>
      <c r="G623" s="28" t="str">
        <f>IF($J623="","",INDEX('Detalle individual'!$J:$J,$J623))</f>
        <v/>
      </c>
      <c r="H623" s="28" t="str">
        <f>IF($J623="","",INDEX('Detalle individual'!$L:$L,$J623))</f>
        <v/>
      </c>
      <c r="J623" t="str">
        <f>IFERROR(MATCH(SMALL(Cálculos!$AI$5:$AI$1000,619),Cálculos!$AI$5:$AI$1000,0)+4,"")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23" t="str">
        <f>IF($J624="","",INDEX('Detalle individual'!$H:$H,$J624))</f>
        <v/>
      </c>
      <c r="G624" s="28" t="str">
        <f>IF($J624="","",INDEX('Detalle individual'!$J:$J,$J624))</f>
        <v/>
      </c>
      <c r="H624" s="28" t="str">
        <f>IF($J624="","",INDEX('Detalle individual'!$L:$L,$J624))</f>
        <v/>
      </c>
      <c r="J624" t="str">
        <f>IFERROR(MATCH(SMALL(Cálculos!$AI$5:$AI$1000,620),Cálculos!$AI$5:$AI$1000,0)+4,"")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23" t="str">
        <f>IF($J625="","",INDEX('Detalle individual'!$H:$H,$J625))</f>
        <v/>
      </c>
      <c r="G625" s="28" t="str">
        <f>IF($J625="","",INDEX('Detalle individual'!$J:$J,$J625))</f>
        <v/>
      </c>
      <c r="H625" s="28" t="str">
        <f>IF($J625="","",INDEX('Detalle individual'!$L:$L,$J625))</f>
        <v/>
      </c>
      <c r="J625" t="str">
        <f>IFERROR(MATCH(SMALL(Cálculos!$AI$5:$AI$1000,621),Cálculos!$AI$5:$AI$1000,0)+4,"")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23" t="str">
        <f>IF($J626="","",INDEX('Detalle individual'!$H:$H,$J626))</f>
        <v/>
      </c>
      <c r="G626" s="28" t="str">
        <f>IF($J626="","",INDEX('Detalle individual'!$J:$J,$J626))</f>
        <v/>
      </c>
      <c r="H626" s="28" t="str">
        <f>IF($J626="","",INDEX('Detalle individual'!$L:$L,$J626))</f>
        <v/>
      </c>
      <c r="J626" t="str">
        <f>IFERROR(MATCH(SMALL(Cálculos!$AI$5:$AI$1000,622),Cálculos!$AI$5:$AI$1000,0)+4,"")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23" t="str">
        <f>IF($J627="","",INDEX('Detalle individual'!$H:$H,$J627))</f>
        <v/>
      </c>
      <c r="G627" s="28" t="str">
        <f>IF($J627="","",INDEX('Detalle individual'!$J:$J,$J627))</f>
        <v/>
      </c>
      <c r="H627" s="28" t="str">
        <f>IF($J627="","",INDEX('Detalle individual'!$L:$L,$J627))</f>
        <v/>
      </c>
      <c r="J627" t="str">
        <f>IFERROR(MATCH(SMALL(Cálculos!$AI$5:$AI$1000,623),Cálculos!$AI$5:$AI$1000,0)+4,"")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23" t="str">
        <f>IF($J628="","",INDEX('Detalle individual'!$H:$H,$J628))</f>
        <v/>
      </c>
      <c r="G628" s="28" t="str">
        <f>IF($J628="","",INDEX('Detalle individual'!$J:$J,$J628))</f>
        <v/>
      </c>
      <c r="H628" s="28" t="str">
        <f>IF($J628="","",INDEX('Detalle individual'!$L:$L,$J628))</f>
        <v/>
      </c>
      <c r="J628" t="str">
        <f>IFERROR(MATCH(SMALL(Cálculos!$AI$5:$AI$1000,624),Cálculos!$AI$5:$AI$1000,0)+4,"")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23" t="str">
        <f>IF($J629="","",INDEX('Detalle individual'!$H:$H,$J629))</f>
        <v/>
      </c>
      <c r="G629" s="28" t="str">
        <f>IF($J629="","",INDEX('Detalle individual'!$J:$J,$J629))</f>
        <v/>
      </c>
      <c r="H629" s="28" t="str">
        <f>IF($J629="","",INDEX('Detalle individual'!$L:$L,$J629))</f>
        <v/>
      </c>
      <c r="J629" t="str">
        <f>IFERROR(MATCH(SMALL(Cálculos!$AI$5:$AI$1000,625),Cálculos!$AI$5:$AI$1000,0)+4,"")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23" t="str">
        <f>IF($J630="","",INDEX('Detalle individual'!$H:$H,$J630))</f>
        <v/>
      </c>
      <c r="G630" s="28" t="str">
        <f>IF($J630="","",INDEX('Detalle individual'!$J:$J,$J630))</f>
        <v/>
      </c>
      <c r="H630" s="28" t="str">
        <f>IF($J630="","",INDEX('Detalle individual'!$L:$L,$J630))</f>
        <v/>
      </c>
      <c r="J630" t="str">
        <f>IFERROR(MATCH(SMALL(Cálculos!$AI$5:$AI$1000,626),Cálculos!$AI$5:$AI$1000,0)+4,"")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23" t="str">
        <f>IF($J631="","",INDEX('Detalle individual'!$H:$H,$J631))</f>
        <v/>
      </c>
      <c r="G631" s="28" t="str">
        <f>IF($J631="","",INDEX('Detalle individual'!$J:$J,$J631))</f>
        <v/>
      </c>
      <c r="H631" s="28" t="str">
        <f>IF($J631="","",INDEX('Detalle individual'!$L:$L,$J631))</f>
        <v/>
      </c>
      <c r="J631" t="str">
        <f>IFERROR(MATCH(SMALL(Cálculos!$AI$5:$AI$1000,627),Cálculos!$AI$5:$AI$1000,0)+4,"")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23" t="str">
        <f>IF($J632="","",INDEX('Detalle individual'!$H:$H,$J632))</f>
        <v/>
      </c>
      <c r="G632" s="28" t="str">
        <f>IF($J632="","",INDEX('Detalle individual'!$J:$J,$J632))</f>
        <v/>
      </c>
      <c r="H632" s="28" t="str">
        <f>IF($J632="","",INDEX('Detalle individual'!$L:$L,$J632))</f>
        <v/>
      </c>
      <c r="J632" t="str">
        <f>IFERROR(MATCH(SMALL(Cálculos!$AI$5:$AI$1000,628),Cálculos!$AI$5:$AI$1000,0)+4,"")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23" t="str">
        <f>IF($J633="","",INDEX('Detalle individual'!$H:$H,$J633))</f>
        <v/>
      </c>
      <c r="G633" s="28" t="str">
        <f>IF($J633="","",INDEX('Detalle individual'!$J:$J,$J633))</f>
        <v/>
      </c>
      <c r="H633" s="28" t="str">
        <f>IF($J633="","",INDEX('Detalle individual'!$L:$L,$J633))</f>
        <v/>
      </c>
      <c r="J633" t="str">
        <f>IFERROR(MATCH(SMALL(Cálculos!$AI$5:$AI$1000,629),Cálculos!$AI$5:$AI$1000,0)+4,"")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23" t="str">
        <f>IF($J634="","",INDEX('Detalle individual'!$H:$H,$J634))</f>
        <v/>
      </c>
      <c r="G634" s="28" t="str">
        <f>IF($J634="","",INDEX('Detalle individual'!$J:$J,$J634))</f>
        <v/>
      </c>
      <c r="H634" s="28" t="str">
        <f>IF($J634="","",INDEX('Detalle individual'!$L:$L,$J634))</f>
        <v/>
      </c>
      <c r="J634" t="str">
        <f>IFERROR(MATCH(SMALL(Cálculos!$AI$5:$AI$1000,630),Cálculos!$AI$5:$AI$1000,0)+4,"")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23" t="str">
        <f>IF($J635="","",INDEX('Detalle individual'!$H:$H,$J635))</f>
        <v/>
      </c>
      <c r="G635" s="28" t="str">
        <f>IF($J635="","",INDEX('Detalle individual'!$J:$J,$J635))</f>
        <v/>
      </c>
      <c r="H635" s="28" t="str">
        <f>IF($J635="","",INDEX('Detalle individual'!$L:$L,$J635))</f>
        <v/>
      </c>
      <c r="J635" t="str">
        <f>IFERROR(MATCH(SMALL(Cálculos!$AI$5:$AI$1000,631),Cálculos!$AI$5:$AI$1000,0)+4,"")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23" t="str">
        <f>IF($J636="","",INDEX('Detalle individual'!$H:$H,$J636))</f>
        <v/>
      </c>
      <c r="G636" s="28" t="str">
        <f>IF($J636="","",INDEX('Detalle individual'!$J:$J,$J636))</f>
        <v/>
      </c>
      <c r="H636" s="28" t="str">
        <f>IF($J636="","",INDEX('Detalle individual'!$L:$L,$J636))</f>
        <v/>
      </c>
      <c r="J636" t="str">
        <f>IFERROR(MATCH(SMALL(Cálculos!$AI$5:$AI$1000,632),Cálculos!$AI$5:$AI$1000,0)+4,"")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23" t="str">
        <f>IF($J637="","",INDEX('Detalle individual'!$H:$H,$J637))</f>
        <v/>
      </c>
      <c r="G637" s="28" t="str">
        <f>IF($J637="","",INDEX('Detalle individual'!$J:$J,$J637))</f>
        <v/>
      </c>
      <c r="H637" s="28" t="str">
        <f>IF($J637="","",INDEX('Detalle individual'!$L:$L,$J637))</f>
        <v/>
      </c>
      <c r="J637" t="str">
        <f>IFERROR(MATCH(SMALL(Cálculos!$AI$5:$AI$1000,633),Cálculos!$AI$5:$AI$1000,0)+4,"")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23" t="str">
        <f>IF($J638="","",INDEX('Detalle individual'!$H:$H,$J638))</f>
        <v/>
      </c>
      <c r="G638" s="28" t="str">
        <f>IF($J638="","",INDEX('Detalle individual'!$J:$J,$J638))</f>
        <v/>
      </c>
      <c r="H638" s="28" t="str">
        <f>IF($J638="","",INDEX('Detalle individual'!$L:$L,$J638))</f>
        <v/>
      </c>
      <c r="J638" t="str">
        <f>IFERROR(MATCH(SMALL(Cálculos!$AI$5:$AI$1000,634),Cálculos!$AI$5:$AI$1000,0)+4,"")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23" t="str">
        <f>IF($J639="","",INDEX('Detalle individual'!$H:$H,$J639))</f>
        <v/>
      </c>
      <c r="G639" s="28" t="str">
        <f>IF($J639="","",INDEX('Detalle individual'!$J:$J,$J639))</f>
        <v/>
      </c>
      <c r="H639" s="28" t="str">
        <f>IF($J639="","",INDEX('Detalle individual'!$L:$L,$J639))</f>
        <v/>
      </c>
      <c r="J639" t="str">
        <f>IFERROR(MATCH(SMALL(Cálculos!$AI$5:$AI$1000,635),Cálculos!$AI$5:$AI$1000,0)+4,"")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23" t="str">
        <f>IF($J640="","",INDEX('Detalle individual'!$H:$H,$J640))</f>
        <v/>
      </c>
      <c r="G640" s="28" t="str">
        <f>IF($J640="","",INDEX('Detalle individual'!$J:$J,$J640))</f>
        <v/>
      </c>
      <c r="H640" s="28" t="str">
        <f>IF($J640="","",INDEX('Detalle individual'!$L:$L,$J640))</f>
        <v/>
      </c>
      <c r="J640" t="str">
        <f>IFERROR(MATCH(SMALL(Cálculos!$AI$5:$AI$1000,636),Cálculos!$AI$5:$AI$1000,0)+4,"")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23" t="str">
        <f>IF($J641="","",INDEX('Detalle individual'!$H:$H,$J641))</f>
        <v/>
      </c>
      <c r="G641" s="28" t="str">
        <f>IF($J641="","",INDEX('Detalle individual'!$J:$J,$J641))</f>
        <v/>
      </c>
      <c r="H641" s="28" t="str">
        <f>IF($J641="","",INDEX('Detalle individual'!$L:$L,$J641))</f>
        <v/>
      </c>
      <c r="J641" t="str">
        <f>IFERROR(MATCH(SMALL(Cálculos!$AI$5:$AI$1000,637),Cálculos!$AI$5:$AI$1000,0)+4,"")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23" t="str">
        <f>IF($J642="","",INDEX('Detalle individual'!$H:$H,$J642))</f>
        <v/>
      </c>
      <c r="G642" s="28" t="str">
        <f>IF($J642="","",INDEX('Detalle individual'!$J:$J,$J642))</f>
        <v/>
      </c>
      <c r="H642" s="28" t="str">
        <f>IF($J642="","",INDEX('Detalle individual'!$L:$L,$J642))</f>
        <v/>
      </c>
      <c r="J642" t="str">
        <f>IFERROR(MATCH(SMALL(Cálculos!$AI$5:$AI$1000,638),Cálculos!$AI$5:$AI$1000,0)+4,"")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23" t="str">
        <f>IF($J643="","",INDEX('Detalle individual'!$H:$H,$J643))</f>
        <v/>
      </c>
      <c r="G643" s="28" t="str">
        <f>IF($J643="","",INDEX('Detalle individual'!$J:$J,$J643))</f>
        <v/>
      </c>
      <c r="H643" s="28" t="str">
        <f>IF($J643="","",INDEX('Detalle individual'!$L:$L,$J643))</f>
        <v/>
      </c>
      <c r="J643" t="str">
        <f>IFERROR(MATCH(SMALL(Cálculos!$AI$5:$AI$1000,639),Cálculos!$AI$5:$AI$1000,0)+4,"")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23" t="str">
        <f>IF($J644="","",INDEX('Detalle individual'!$H:$H,$J644))</f>
        <v/>
      </c>
      <c r="G644" s="28" t="str">
        <f>IF($J644="","",INDEX('Detalle individual'!$J:$J,$J644))</f>
        <v/>
      </c>
      <c r="H644" s="28" t="str">
        <f>IF($J644="","",INDEX('Detalle individual'!$L:$L,$J644))</f>
        <v/>
      </c>
      <c r="J644" t="str">
        <f>IFERROR(MATCH(SMALL(Cálculos!$AI$5:$AI$1000,640),Cálculos!$AI$5:$AI$1000,0)+4,"")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23" t="str">
        <f>IF($J645="","",INDEX('Detalle individual'!$H:$H,$J645))</f>
        <v/>
      </c>
      <c r="G645" s="28" t="str">
        <f>IF($J645="","",INDEX('Detalle individual'!$J:$J,$J645))</f>
        <v/>
      </c>
      <c r="H645" s="28" t="str">
        <f>IF($J645="","",INDEX('Detalle individual'!$L:$L,$J645))</f>
        <v/>
      </c>
      <c r="J645" t="str">
        <f>IFERROR(MATCH(SMALL(Cálculos!$AI$5:$AI$1000,641),Cálculos!$AI$5:$AI$1000,0)+4,"")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23" t="str">
        <f>IF($J646="","",INDEX('Detalle individual'!$H:$H,$J646))</f>
        <v/>
      </c>
      <c r="G646" s="28" t="str">
        <f>IF($J646="","",INDEX('Detalle individual'!$J:$J,$J646))</f>
        <v/>
      </c>
      <c r="H646" s="28" t="str">
        <f>IF($J646="","",INDEX('Detalle individual'!$L:$L,$J646))</f>
        <v/>
      </c>
      <c r="J646" t="str">
        <f>IFERROR(MATCH(SMALL(Cálculos!$AI$5:$AI$1000,642),Cálculos!$AI$5:$AI$1000,0)+4,"")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23" t="str">
        <f>IF($J647="","",INDEX('Detalle individual'!$H:$H,$J647))</f>
        <v/>
      </c>
      <c r="G647" s="28" t="str">
        <f>IF($J647="","",INDEX('Detalle individual'!$J:$J,$J647))</f>
        <v/>
      </c>
      <c r="H647" s="28" t="str">
        <f>IF($J647="","",INDEX('Detalle individual'!$L:$L,$J647))</f>
        <v/>
      </c>
      <c r="J647" t="str">
        <f>IFERROR(MATCH(SMALL(Cálculos!$AI$5:$AI$1000,643),Cálculos!$AI$5:$AI$1000,0)+4,"")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23" t="str">
        <f>IF($J648="","",INDEX('Detalle individual'!$H:$H,$J648))</f>
        <v/>
      </c>
      <c r="G648" s="28" t="str">
        <f>IF($J648="","",INDEX('Detalle individual'!$J:$J,$J648))</f>
        <v/>
      </c>
      <c r="H648" s="28" t="str">
        <f>IF($J648="","",INDEX('Detalle individual'!$L:$L,$J648))</f>
        <v/>
      </c>
      <c r="J648" t="str">
        <f>IFERROR(MATCH(SMALL(Cálculos!$AI$5:$AI$1000,644),Cálculos!$AI$5:$AI$1000,0)+4,"")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23" t="str">
        <f>IF($J649="","",INDEX('Detalle individual'!$H:$H,$J649))</f>
        <v/>
      </c>
      <c r="G649" s="28" t="str">
        <f>IF($J649="","",INDEX('Detalle individual'!$J:$J,$J649))</f>
        <v/>
      </c>
      <c r="H649" s="28" t="str">
        <f>IF($J649="","",INDEX('Detalle individual'!$L:$L,$J649))</f>
        <v/>
      </c>
      <c r="J649" t="str">
        <f>IFERROR(MATCH(SMALL(Cálculos!$AI$5:$AI$1000,645),Cálculos!$AI$5:$AI$1000,0)+4,"")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23" t="str">
        <f>IF($J650="","",INDEX('Detalle individual'!$H:$H,$J650))</f>
        <v/>
      </c>
      <c r="G650" s="28" t="str">
        <f>IF($J650="","",INDEX('Detalle individual'!$J:$J,$J650))</f>
        <v/>
      </c>
      <c r="H650" s="28" t="str">
        <f>IF($J650="","",INDEX('Detalle individual'!$L:$L,$J650))</f>
        <v/>
      </c>
      <c r="J650" t="str">
        <f>IFERROR(MATCH(SMALL(Cálculos!$AI$5:$AI$1000,646),Cálculos!$AI$5:$AI$1000,0)+4,"")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23" t="str">
        <f>IF($J651="","",INDEX('Detalle individual'!$H:$H,$J651))</f>
        <v/>
      </c>
      <c r="G651" s="28" t="str">
        <f>IF($J651="","",INDEX('Detalle individual'!$J:$J,$J651))</f>
        <v/>
      </c>
      <c r="H651" s="28" t="str">
        <f>IF($J651="","",INDEX('Detalle individual'!$L:$L,$J651))</f>
        <v/>
      </c>
      <c r="J651" t="str">
        <f>IFERROR(MATCH(SMALL(Cálculos!$AI$5:$AI$1000,647),Cálculos!$AI$5:$AI$1000,0)+4,"")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23" t="str">
        <f>IF($J652="","",INDEX('Detalle individual'!$H:$H,$J652))</f>
        <v/>
      </c>
      <c r="G652" s="28" t="str">
        <f>IF($J652="","",INDEX('Detalle individual'!$J:$J,$J652))</f>
        <v/>
      </c>
      <c r="H652" s="28" t="str">
        <f>IF($J652="","",INDEX('Detalle individual'!$L:$L,$J652))</f>
        <v/>
      </c>
      <c r="J652" t="str">
        <f>IFERROR(MATCH(SMALL(Cálculos!$AI$5:$AI$1000,648),Cálculos!$AI$5:$AI$1000,0)+4,"")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23" t="str">
        <f>IF($J653="","",INDEX('Detalle individual'!$H:$H,$J653))</f>
        <v/>
      </c>
      <c r="G653" s="28" t="str">
        <f>IF($J653="","",INDEX('Detalle individual'!$J:$J,$J653))</f>
        <v/>
      </c>
      <c r="H653" s="28" t="str">
        <f>IF($J653="","",INDEX('Detalle individual'!$L:$L,$J653))</f>
        <v/>
      </c>
      <c r="J653" t="str">
        <f>IFERROR(MATCH(SMALL(Cálculos!$AI$5:$AI$1000,649),Cálculos!$AI$5:$AI$1000,0)+4,"")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23" t="str">
        <f>IF($J654="","",INDEX('Detalle individual'!$H:$H,$J654))</f>
        <v/>
      </c>
      <c r="G654" s="28" t="str">
        <f>IF($J654="","",INDEX('Detalle individual'!$J:$J,$J654))</f>
        <v/>
      </c>
      <c r="H654" s="28" t="str">
        <f>IF($J654="","",INDEX('Detalle individual'!$L:$L,$J654))</f>
        <v/>
      </c>
      <c r="J654" t="str">
        <f>IFERROR(MATCH(SMALL(Cálculos!$AI$5:$AI$1000,650),Cálculos!$AI$5:$AI$1000,0)+4,"")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23" t="str">
        <f>IF($J655="","",INDEX('Detalle individual'!$H:$H,$J655))</f>
        <v/>
      </c>
      <c r="G655" s="28" t="str">
        <f>IF($J655="","",INDEX('Detalle individual'!$J:$J,$J655))</f>
        <v/>
      </c>
      <c r="H655" s="28" t="str">
        <f>IF($J655="","",INDEX('Detalle individual'!$L:$L,$J655))</f>
        <v/>
      </c>
      <c r="J655" t="str">
        <f>IFERROR(MATCH(SMALL(Cálculos!$AI$5:$AI$1000,651),Cálculos!$AI$5:$AI$1000,0)+4,"")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23" t="str">
        <f>IF($J656="","",INDEX('Detalle individual'!$H:$H,$J656))</f>
        <v/>
      </c>
      <c r="G656" s="28" t="str">
        <f>IF($J656="","",INDEX('Detalle individual'!$J:$J,$J656))</f>
        <v/>
      </c>
      <c r="H656" s="28" t="str">
        <f>IF($J656="","",INDEX('Detalle individual'!$L:$L,$J656))</f>
        <v/>
      </c>
      <c r="J656" t="str">
        <f>IFERROR(MATCH(SMALL(Cálculos!$AI$5:$AI$1000,652),Cálculos!$AI$5:$AI$1000,0)+4,"")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23" t="str">
        <f>IF($J657="","",INDEX('Detalle individual'!$H:$H,$J657))</f>
        <v/>
      </c>
      <c r="G657" s="28" t="str">
        <f>IF($J657="","",INDEX('Detalle individual'!$J:$J,$J657))</f>
        <v/>
      </c>
      <c r="H657" s="28" t="str">
        <f>IF($J657="","",INDEX('Detalle individual'!$L:$L,$J657))</f>
        <v/>
      </c>
      <c r="J657" t="str">
        <f>IFERROR(MATCH(SMALL(Cálculos!$AI$5:$AI$1000,653),Cálculos!$AI$5:$AI$1000,0)+4,"")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23" t="str">
        <f>IF($J658="","",INDEX('Detalle individual'!$H:$H,$J658))</f>
        <v/>
      </c>
      <c r="G658" s="28" t="str">
        <f>IF($J658="","",INDEX('Detalle individual'!$J:$J,$J658))</f>
        <v/>
      </c>
      <c r="H658" s="28" t="str">
        <f>IF($J658="","",INDEX('Detalle individual'!$L:$L,$J658))</f>
        <v/>
      </c>
      <c r="J658" t="str">
        <f>IFERROR(MATCH(SMALL(Cálculos!$AI$5:$AI$1000,654),Cálculos!$AI$5:$AI$1000,0)+4,"")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23" t="str">
        <f>IF($J659="","",INDEX('Detalle individual'!$H:$H,$J659))</f>
        <v/>
      </c>
      <c r="G659" s="28" t="str">
        <f>IF($J659="","",INDEX('Detalle individual'!$J:$J,$J659))</f>
        <v/>
      </c>
      <c r="H659" s="28" t="str">
        <f>IF($J659="","",INDEX('Detalle individual'!$L:$L,$J659))</f>
        <v/>
      </c>
      <c r="J659" t="str">
        <f>IFERROR(MATCH(SMALL(Cálculos!$AI$5:$AI$1000,655),Cálculos!$AI$5:$AI$1000,0)+4,"")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23" t="str">
        <f>IF($J660="","",INDEX('Detalle individual'!$H:$H,$J660))</f>
        <v/>
      </c>
      <c r="G660" s="28" t="str">
        <f>IF($J660="","",INDEX('Detalle individual'!$J:$J,$J660))</f>
        <v/>
      </c>
      <c r="H660" s="28" t="str">
        <f>IF($J660="","",INDEX('Detalle individual'!$L:$L,$J660))</f>
        <v/>
      </c>
      <c r="J660" t="str">
        <f>IFERROR(MATCH(SMALL(Cálculos!$AI$5:$AI$1000,656),Cálculos!$AI$5:$AI$1000,0)+4,"")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23" t="str">
        <f>IF($J661="","",INDEX('Detalle individual'!$H:$H,$J661))</f>
        <v/>
      </c>
      <c r="G661" s="28" t="str">
        <f>IF($J661="","",INDEX('Detalle individual'!$J:$J,$J661))</f>
        <v/>
      </c>
      <c r="H661" s="28" t="str">
        <f>IF($J661="","",INDEX('Detalle individual'!$L:$L,$J661))</f>
        <v/>
      </c>
      <c r="J661" t="str">
        <f>IFERROR(MATCH(SMALL(Cálculos!$AI$5:$AI$1000,657),Cálculos!$AI$5:$AI$1000,0)+4,"")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23" t="str">
        <f>IF($J662="","",INDEX('Detalle individual'!$H:$H,$J662))</f>
        <v/>
      </c>
      <c r="G662" s="28" t="str">
        <f>IF($J662="","",INDEX('Detalle individual'!$J:$J,$J662))</f>
        <v/>
      </c>
      <c r="H662" s="28" t="str">
        <f>IF($J662="","",INDEX('Detalle individual'!$L:$L,$J662))</f>
        <v/>
      </c>
      <c r="J662" t="str">
        <f>IFERROR(MATCH(SMALL(Cálculos!$AI$5:$AI$1000,658),Cálculos!$AI$5:$AI$1000,0)+4,"")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23" t="str">
        <f>IF($J663="","",INDEX('Detalle individual'!$H:$H,$J663))</f>
        <v/>
      </c>
      <c r="G663" s="28" t="str">
        <f>IF($J663="","",INDEX('Detalle individual'!$J:$J,$J663))</f>
        <v/>
      </c>
      <c r="H663" s="28" t="str">
        <f>IF($J663="","",INDEX('Detalle individual'!$L:$L,$J663))</f>
        <v/>
      </c>
      <c r="J663" t="str">
        <f>IFERROR(MATCH(SMALL(Cálculos!$AI$5:$AI$1000,659),Cálculos!$AI$5:$AI$1000,0)+4,"")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23" t="str">
        <f>IF($J664="","",INDEX('Detalle individual'!$H:$H,$J664))</f>
        <v/>
      </c>
      <c r="G664" s="28" t="str">
        <f>IF($J664="","",INDEX('Detalle individual'!$J:$J,$J664))</f>
        <v/>
      </c>
      <c r="H664" s="28" t="str">
        <f>IF($J664="","",INDEX('Detalle individual'!$L:$L,$J664))</f>
        <v/>
      </c>
      <c r="J664" t="str">
        <f>IFERROR(MATCH(SMALL(Cálculos!$AI$5:$AI$1000,660),Cálculos!$AI$5:$AI$1000,0)+4,"")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23" t="str">
        <f>IF($J665="","",INDEX('Detalle individual'!$H:$H,$J665))</f>
        <v/>
      </c>
      <c r="G665" s="28" t="str">
        <f>IF($J665="","",INDEX('Detalle individual'!$J:$J,$J665))</f>
        <v/>
      </c>
      <c r="H665" s="28" t="str">
        <f>IF($J665="","",INDEX('Detalle individual'!$L:$L,$J665))</f>
        <v/>
      </c>
      <c r="J665" t="str">
        <f>IFERROR(MATCH(SMALL(Cálculos!$AI$5:$AI$1000,661),Cálculos!$AI$5:$AI$1000,0)+4,"")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23" t="str">
        <f>IF($J666="","",INDEX('Detalle individual'!$H:$H,$J666))</f>
        <v/>
      </c>
      <c r="G666" s="28" t="str">
        <f>IF($J666="","",INDEX('Detalle individual'!$J:$J,$J666))</f>
        <v/>
      </c>
      <c r="H666" s="28" t="str">
        <f>IF($J666="","",INDEX('Detalle individual'!$L:$L,$J666))</f>
        <v/>
      </c>
      <c r="J666" t="str">
        <f>IFERROR(MATCH(SMALL(Cálculos!$AI$5:$AI$1000,662),Cálculos!$AI$5:$AI$1000,0)+4,"")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23" t="str">
        <f>IF($J667="","",INDEX('Detalle individual'!$H:$H,$J667))</f>
        <v/>
      </c>
      <c r="G667" s="28" t="str">
        <f>IF($J667="","",INDEX('Detalle individual'!$J:$J,$J667))</f>
        <v/>
      </c>
      <c r="H667" s="28" t="str">
        <f>IF($J667="","",INDEX('Detalle individual'!$L:$L,$J667))</f>
        <v/>
      </c>
      <c r="J667" t="str">
        <f>IFERROR(MATCH(SMALL(Cálculos!$AI$5:$AI$1000,663),Cálculos!$AI$5:$AI$1000,0)+4,"")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23" t="str">
        <f>IF($J668="","",INDEX('Detalle individual'!$H:$H,$J668))</f>
        <v/>
      </c>
      <c r="G668" s="28" t="str">
        <f>IF($J668="","",INDEX('Detalle individual'!$J:$J,$J668))</f>
        <v/>
      </c>
      <c r="H668" s="28" t="str">
        <f>IF($J668="","",INDEX('Detalle individual'!$L:$L,$J668))</f>
        <v/>
      </c>
      <c r="J668" t="str">
        <f>IFERROR(MATCH(SMALL(Cálculos!$AI$5:$AI$1000,664),Cálculos!$AI$5:$AI$1000,0)+4,"")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23" t="str">
        <f>IF($J669="","",INDEX('Detalle individual'!$H:$H,$J669))</f>
        <v/>
      </c>
      <c r="G669" s="28" t="str">
        <f>IF($J669="","",INDEX('Detalle individual'!$J:$J,$J669))</f>
        <v/>
      </c>
      <c r="H669" s="28" t="str">
        <f>IF($J669="","",INDEX('Detalle individual'!$L:$L,$J669))</f>
        <v/>
      </c>
      <c r="J669" t="str">
        <f>IFERROR(MATCH(SMALL(Cálculos!$AI$5:$AI$1000,665),Cálculos!$AI$5:$AI$1000,0)+4,"")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23" t="str">
        <f>IF($J670="","",INDEX('Detalle individual'!$H:$H,$J670))</f>
        <v/>
      </c>
      <c r="G670" s="28" t="str">
        <f>IF($J670="","",INDEX('Detalle individual'!$J:$J,$J670))</f>
        <v/>
      </c>
      <c r="H670" s="28" t="str">
        <f>IF($J670="","",INDEX('Detalle individual'!$L:$L,$J670))</f>
        <v/>
      </c>
      <c r="J670" t="str">
        <f>IFERROR(MATCH(SMALL(Cálculos!$AI$5:$AI$1000,666),Cálculos!$AI$5:$AI$1000,0)+4,"")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23" t="str">
        <f>IF($J671="","",INDEX('Detalle individual'!$H:$H,$J671))</f>
        <v/>
      </c>
      <c r="G671" s="28" t="str">
        <f>IF($J671="","",INDEX('Detalle individual'!$J:$J,$J671))</f>
        <v/>
      </c>
      <c r="H671" s="28" t="str">
        <f>IF($J671="","",INDEX('Detalle individual'!$L:$L,$J671))</f>
        <v/>
      </c>
      <c r="J671" t="str">
        <f>IFERROR(MATCH(SMALL(Cálculos!$AI$5:$AI$1000,667),Cálculos!$AI$5:$AI$1000,0)+4,"")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23" t="str">
        <f>IF($J672="","",INDEX('Detalle individual'!$H:$H,$J672))</f>
        <v/>
      </c>
      <c r="G672" s="28" t="str">
        <f>IF($J672="","",INDEX('Detalle individual'!$J:$J,$J672))</f>
        <v/>
      </c>
      <c r="H672" s="28" t="str">
        <f>IF($J672="","",INDEX('Detalle individual'!$L:$L,$J672))</f>
        <v/>
      </c>
      <c r="J672" t="str">
        <f>IFERROR(MATCH(SMALL(Cálculos!$AI$5:$AI$1000,668),Cálculos!$AI$5:$AI$1000,0)+4,"")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23" t="str">
        <f>IF($J673="","",INDEX('Detalle individual'!$H:$H,$J673))</f>
        <v/>
      </c>
      <c r="G673" s="28" t="str">
        <f>IF($J673="","",INDEX('Detalle individual'!$J:$J,$J673))</f>
        <v/>
      </c>
      <c r="H673" s="28" t="str">
        <f>IF($J673="","",INDEX('Detalle individual'!$L:$L,$J673))</f>
        <v/>
      </c>
      <c r="J673" t="str">
        <f>IFERROR(MATCH(SMALL(Cálculos!$AI$5:$AI$1000,669),Cálculos!$AI$5:$AI$1000,0)+4,"")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23" t="str">
        <f>IF($J674="","",INDEX('Detalle individual'!$H:$H,$J674))</f>
        <v/>
      </c>
      <c r="G674" s="28" t="str">
        <f>IF($J674="","",INDEX('Detalle individual'!$J:$J,$J674))</f>
        <v/>
      </c>
      <c r="H674" s="28" t="str">
        <f>IF($J674="","",INDEX('Detalle individual'!$L:$L,$J674))</f>
        <v/>
      </c>
      <c r="J674" t="str">
        <f>IFERROR(MATCH(SMALL(Cálculos!$AI$5:$AI$1000,670),Cálculos!$AI$5:$AI$1000,0)+4,"")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23" t="str">
        <f>IF($J675="","",INDEX('Detalle individual'!$H:$H,$J675))</f>
        <v/>
      </c>
      <c r="G675" s="28" t="str">
        <f>IF($J675="","",INDEX('Detalle individual'!$J:$J,$J675))</f>
        <v/>
      </c>
      <c r="H675" s="28" t="str">
        <f>IF($J675="","",INDEX('Detalle individual'!$L:$L,$J675))</f>
        <v/>
      </c>
      <c r="J675" t="str">
        <f>IFERROR(MATCH(SMALL(Cálculos!$AI$5:$AI$1000,671),Cálculos!$AI$5:$AI$1000,0)+4,"")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23" t="str">
        <f>IF($J676="","",INDEX('Detalle individual'!$H:$H,$J676))</f>
        <v/>
      </c>
      <c r="G676" s="28" t="str">
        <f>IF($J676="","",INDEX('Detalle individual'!$J:$J,$J676))</f>
        <v/>
      </c>
      <c r="H676" s="28" t="str">
        <f>IF($J676="","",INDEX('Detalle individual'!$L:$L,$J676))</f>
        <v/>
      </c>
      <c r="J676" t="str">
        <f>IFERROR(MATCH(SMALL(Cálculos!$AI$5:$AI$1000,672),Cálculos!$AI$5:$AI$1000,0)+4,"")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23" t="str">
        <f>IF($J677="","",INDEX('Detalle individual'!$H:$H,$J677))</f>
        <v/>
      </c>
      <c r="G677" s="28" t="str">
        <f>IF($J677="","",INDEX('Detalle individual'!$J:$J,$J677))</f>
        <v/>
      </c>
      <c r="H677" s="28" t="str">
        <f>IF($J677="","",INDEX('Detalle individual'!$L:$L,$J677))</f>
        <v/>
      </c>
      <c r="J677" t="str">
        <f>IFERROR(MATCH(SMALL(Cálculos!$AI$5:$AI$1000,673),Cálculos!$AI$5:$AI$1000,0)+4,"")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23" t="str">
        <f>IF($J678="","",INDEX('Detalle individual'!$H:$H,$J678))</f>
        <v/>
      </c>
      <c r="G678" s="28" t="str">
        <f>IF($J678="","",INDEX('Detalle individual'!$J:$J,$J678))</f>
        <v/>
      </c>
      <c r="H678" s="28" t="str">
        <f>IF($J678="","",INDEX('Detalle individual'!$L:$L,$J678))</f>
        <v/>
      </c>
      <c r="J678" t="str">
        <f>IFERROR(MATCH(SMALL(Cálculos!$AI$5:$AI$1000,674),Cálculos!$AI$5:$AI$1000,0)+4,"")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23" t="str">
        <f>IF($J679="","",INDEX('Detalle individual'!$H:$H,$J679))</f>
        <v/>
      </c>
      <c r="G679" s="28" t="str">
        <f>IF($J679="","",INDEX('Detalle individual'!$J:$J,$J679))</f>
        <v/>
      </c>
      <c r="H679" s="28" t="str">
        <f>IF($J679="","",INDEX('Detalle individual'!$L:$L,$J679))</f>
        <v/>
      </c>
      <c r="J679" t="str">
        <f>IFERROR(MATCH(SMALL(Cálculos!$AI$5:$AI$1000,675),Cálculos!$AI$5:$AI$1000,0)+4,"")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23" t="str">
        <f>IF($J680="","",INDEX('Detalle individual'!$H:$H,$J680))</f>
        <v/>
      </c>
      <c r="G680" s="28" t="str">
        <f>IF($J680="","",INDEX('Detalle individual'!$J:$J,$J680))</f>
        <v/>
      </c>
      <c r="H680" s="28" t="str">
        <f>IF($J680="","",INDEX('Detalle individual'!$L:$L,$J680))</f>
        <v/>
      </c>
      <c r="J680" t="str">
        <f>IFERROR(MATCH(SMALL(Cálculos!$AI$5:$AI$1000,676),Cálculos!$AI$5:$AI$1000,0)+4,"")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23" t="str">
        <f>IF($J681="","",INDEX('Detalle individual'!$H:$H,$J681))</f>
        <v/>
      </c>
      <c r="G681" s="28" t="str">
        <f>IF($J681="","",INDEX('Detalle individual'!$J:$J,$J681))</f>
        <v/>
      </c>
      <c r="H681" s="28" t="str">
        <f>IF($J681="","",INDEX('Detalle individual'!$L:$L,$J681))</f>
        <v/>
      </c>
      <c r="J681" t="str">
        <f>IFERROR(MATCH(SMALL(Cálculos!$AI$5:$AI$1000,677),Cálculos!$AI$5:$AI$1000,0)+4,"")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23" t="str">
        <f>IF($J682="","",INDEX('Detalle individual'!$H:$H,$J682))</f>
        <v/>
      </c>
      <c r="G682" s="28" t="str">
        <f>IF($J682="","",INDEX('Detalle individual'!$J:$J,$J682))</f>
        <v/>
      </c>
      <c r="H682" s="28" t="str">
        <f>IF($J682="","",INDEX('Detalle individual'!$L:$L,$J682))</f>
        <v/>
      </c>
      <c r="J682" t="str">
        <f>IFERROR(MATCH(SMALL(Cálculos!$AI$5:$AI$1000,678),Cálculos!$AI$5:$AI$1000,0)+4,"")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23" t="str">
        <f>IF($J683="","",INDEX('Detalle individual'!$H:$H,$J683))</f>
        <v/>
      </c>
      <c r="G683" s="28" t="str">
        <f>IF($J683="","",INDEX('Detalle individual'!$J:$J,$J683))</f>
        <v/>
      </c>
      <c r="H683" s="28" t="str">
        <f>IF($J683="","",INDEX('Detalle individual'!$L:$L,$J683))</f>
        <v/>
      </c>
      <c r="J683" t="str">
        <f>IFERROR(MATCH(SMALL(Cálculos!$AI$5:$AI$1000,679),Cálculos!$AI$5:$AI$1000,0)+4,"")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23" t="str">
        <f>IF($J684="","",INDEX('Detalle individual'!$H:$H,$J684))</f>
        <v/>
      </c>
      <c r="G684" s="28" t="str">
        <f>IF($J684="","",INDEX('Detalle individual'!$J:$J,$J684))</f>
        <v/>
      </c>
      <c r="H684" s="28" t="str">
        <f>IF($J684="","",INDEX('Detalle individual'!$L:$L,$J684))</f>
        <v/>
      </c>
      <c r="J684" t="str">
        <f>IFERROR(MATCH(SMALL(Cálculos!$AI$5:$AI$1000,680),Cálculos!$AI$5:$AI$1000,0)+4,"")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23" t="str">
        <f>IF($J685="","",INDEX('Detalle individual'!$H:$H,$J685))</f>
        <v/>
      </c>
      <c r="G685" s="28" t="str">
        <f>IF($J685="","",INDEX('Detalle individual'!$J:$J,$J685))</f>
        <v/>
      </c>
      <c r="H685" s="28" t="str">
        <f>IF($J685="","",INDEX('Detalle individual'!$L:$L,$J685))</f>
        <v/>
      </c>
      <c r="J685" t="str">
        <f>IFERROR(MATCH(SMALL(Cálculos!$AI$5:$AI$1000,681),Cálculos!$AI$5:$AI$1000,0)+4,"")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23" t="str">
        <f>IF($J686="","",INDEX('Detalle individual'!$H:$H,$J686))</f>
        <v/>
      </c>
      <c r="G686" s="28" t="str">
        <f>IF($J686="","",INDEX('Detalle individual'!$J:$J,$J686))</f>
        <v/>
      </c>
      <c r="H686" s="28" t="str">
        <f>IF($J686="","",INDEX('Detalle individual'!$L:$L,$J686))</f>
        <v/>
      </c>
      <c r="J686" t="str">
        <f>IFERROR(MATCH(SMALL(Cálculos!$AI$5:$AI$1000,682),Cálculos!$AI$5:$AI$1000,0)+4,"")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23" t="str">
        <f>IF($J687="","",INDEX('Detalle individual'!$H:$H,$J687))</f>
        <v/>
      </c>
      <c r="G687" s="28" t="str">
        <f>IF($J687="","",INDEX('Detalle individual'!$J:$J,$J687))</f>
        <v/>
      </c>
      <c r="H687" s="28" t="str">
        <f>IF($J687="","",INDEX('Detalle individual'!$L:$L,$J687))</f>
        <v/>
      </c>
      <c r="J687" t="str">
        <f>IFERROR(MATCH(SMALL(Cálculos!$AI$5:$AI$1000,683),Cálculos!$AI$5:$AI$1000,0)+4,"")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23" t="str">
        <f>IF($J688="","",INDEX('Detalle individual'!$H:$H,$J688))</f>
        <v/>
      </c>
      <c r="G688" s="28" t="str">
        <f>IF($J688="","",INDEX('Detalle individual'!$J:$J,$J688))</f>
        <v/>
      </c>
      <c r="H688" s="28" t="str">
        <f>IF($J688="","",INDEX('Detalle individual'!$L:$L,$J688))</f>
        <v/>
      </c>
      <c r="J688" t="str">
        <f>IFERROR(MATCH(SMALL(Cálculos!$AI$5:$AI$1000,684),Cálculos!$AI$5:$AI$1000,0)+4,"")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23" t="str">
        <f>IF($J689="","",INDEX('Detalle individual'!$H:$H,$J689))</f>
        <v/>
      </c>
      <c r="G689" s="28" t="str">
        <f>IF($J689="","",INDEX('Detalle individual'!$J:$J,$J689))</f>
        <v/>
      </c>
      <c r="H689" s="28" t="str">
        <f>IF($J689="","",INDEX('Detalle individual'!$L:$L,$J689))</f>
        <v/>
      </c>
      <c r="J689" t="str">
        <f>IFERROR(MATCH(SMALL(Cálculos!$AI$5:$AI$1000,685),Cálculos!$AI$5:$AI$1000,0)+4,"")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23" t="str">
        <f>IF($J690="","",INDEX('Detalle individual'!$H:$H,$J690))</f>
        <v/>
      </c>
      <c r="G690" s="28" t="str">
        <f>IF($J690="","",INDEX('Detalle individual'!$J:$J,$J690))</f>
        <v/>
      </c>
      <c r="H690" s="28" t="str">
        <f>IF($J690="","",INDEX('Detalle individual'!$L:$L,$J690))</f>
        <v/>
      </c>
      <c r="J690" t="str">
        <f>IFERROR(MATCH(SMALL(Cálculos!$AI$5:$AI$1000,686),Cálculos!$AI$5:$AI$1000,0)+4,"")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23" t="str">
        <f>IF($J691="","",INDEX('Detalle individual'!$H:$H,$J691))</f>
        <v/>
      </c>
      <c r="G691" s="28" t="str">
        <f>IF($J691="","",INDEX('Detalle individual'!$J:$J,$J691))</f>
        <v/>
      </c>
      <c r="H691" s="28" t="str">
        <f>IF($J691="","",INDEX('Detalle individual'!$L:$L,$J691))</f>
        <v/>
      </c>
      <c r="J691" t="str">
        <f>IFERROR(MATCH(SMALL(Cálculos!$AI$5:$AI$1000,687),Cálculos!$AI$5:$AI$1000,0)+4,"")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23" t="str">
        <f>IF($J692="","",INDEX('Detalle individual'!$H:$H,$J692))</f>
        <v/>
      </c>
      <c r="G692" s="28" t="str">
        <f>IF($J692="","",INDEX('Detalle individual'!$J:$J,$J692))</f>
        <v/>
      </c>
      <c r="H692" s="28" t="str">
        <f>IF($J692="","",INDEX('Detalle individual'!$L:$L,$J692))</f>
        <v/>
      </c>
      <c r="J692" t="str">
        <f>IFERROR(MATCH(SMALL(Cálculos!$AI$5:$AI$1000,688),Cálculos!$AI$5:$AI$1000,0)+4,"")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23" t="str">
        <f>IF($J693="","",INDEX('Detalle individual'!$H:$H,$J693))</f>
        <v/>
      </c>
      <c r="G693" s="28" t="str">
        <f>IF($J693="","",INDEX('Detalle individual'!$J:$J,$J693))</f>
        <v/>
      </c>
      <c r="H693" s="28" t="str">
        <f>IF($J693="","",INDEX('Detalle individual'!$L:$L,$J693))</f>
        <v/>
      </c>
      <c r="J693" t="str">
        <f>IFERROR(MATCH(SMALL(Cálculos!$AI$5:$AI$1000,689),Cálculos!$AI$5:$AI$1000,0)+4,"")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23" t="str">
        <f>IF($J694="","",INDEX('Detalle individual'!$H:$H,$J694))</f>
        <v/>
      </c>
      <c r="G694" s="28" t="str">
        <f>IF($J694="","",INDEX('Detalle individual'!$J:$J,$J694))</f>
        <v/>
      </c>
      <c r="H694" s="28" t="str">
        <f>IF($J694="","",INDEX('Detalle individual'!$L:$L,$J694))</f>
        <v/>
      </c>
      <c r="J694" t="str">
        <f>IFERROR(MATCH(SMALL(Cálculos!$AI$5:$AI$1000,690),Cálculos!$AI$5:$AI$1000,0)+4,"")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23" t="str">
        <f>IF($J695="","",INDEX('Detalle individual'!$H:$H,$J695))</f>
        <v/>
      </c>
      <c r="G695" s="28" t="str">
        <f>IF($J695="","",INDEX('Detalle individual'!$J:$J,$J695))</f>
        <v/>
      </c>
      <c r="H695" s="28" t="str">
        <f>IF($J695="","",INDEX('Detalle individual'!$L:$L,$J695))</f>
        <v/>
      </c>
      <c r="J695" t="str">
        <f>IFERROR(MATCH(SMALL(Cálculos!$AI$5:$AI$1000,691),Cálculos!$AI$5:$AI$1000,0)+4,"")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23" t="str">
        <f>IF($J696="","",INDEX('Detalle individual'!$H:$H,$J696))</f>
        <v/>
      </c>
      <c r="G696" s="28" t="str">
        <f>IF($J696="","",INDEX('Detalle individual'!$J:$J,$J696))</f>
        <v/>
      </c>
      <c r="H696" s="28" t="str">
        <f>IF($J696="","",INDEX('Detalle individual'!$L:$L,$J696))</f>
        <v/>
      </c>
      <c r="J696" t="str">
        <f>IFERROR(MATCH(SMALL(Cálculos!$AI$5:$AI$1000,692),Cálculos!$AI$5:$AI$1000,0)+4,"")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23" t="str">
        <f>IF($J697="","",INDEX('Detalle individual'!$H:$H,$J697))</f>
        <v/>
      </c>
      <c r="G697" s="28" t="str">
        <f>IF($J697="","",INDEX('Detalle individual'!$J:$J,$J697))</f>
        <v/>
      </c>
      <c r="H697" s="28" t="str">
        <f>IF($J697="","",INDEX('Detalle individual'!$L:$L,$J697))</f>
        <v/>
      </c>
      <c r="J697" t="str">
        <f>IFERROR(MATCH(SMALL(Cálculos!$AI$5:$AI$1000,693),Cálculos!$AI$5:$AI$1000,0)+4,"")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23" t="str">
        <f>IF($J698="","",INDEX('Detalle individual'!$H:$H,$J698))</f>
        <v/>
      </c>
      <c r="G698" s="28" t="str">
        <f>IF($J698="","",INDEX('Detalle individual'!$J:$J,$J698))</f>
        <v/>
      </c>
      <c r="H698" s="28" t="str">
        <f>IF($J698="","",INDEX('Detalle individual'!$L:$L,$J698))</f>
        <v/>
      </c>
      <c r="J698" t="str">
        <f>IFERROR(MATCH(SMALL(Cálculos!$AI$5:$AI$1000,694),Cálculos!$AI$5:$AI$1000,0)+4,"")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23" t="str">
        <f>IF($J699="","",INDEX('Detalle individual'!$H:$H,$J699))</f>
        <v/>
      </c>
      <c r="G699" s="28" t="str">
        <f>IF($J699="","",INDEX('Detalle individual'!$J:$J,$J699))</f>
        <v/>
      </c>
      <c r="H699" s="28" t="str">
        <f>IF($J699="","",INDEX('Detalle individual'!$L:$L,$J699))</f>
        <v/>
      </c>
      <c r="J699" t="str">
        <f>IFERROR(MATCH(SMALL(Cálculos!$AI$5:$AI$1000,695),Cálculos!$AI$5:$AI$1000,0)+4,"")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23" t="str">
        <f>IF($J700="","",INDEX('Detalle individual'!$H:$H,$J700))</f>
        <v/>
      </c>
      <c r="G700" s="28" t="str">
        <f>IF($J700="","",INDEX('Detalle individual'!$J:$J,$J700))</f>
        <v/>
      </c>
      <c r="H700" s="28" t="str">
        <f>IF($J700="","",INDEX('Detalle individual'!$L:$L,$J700))</f>
        <v/>
      </c>
      <c r="J700" t="str">
        <f>IFERROR(MATCH(SMALL(Cálculos!$AI$5:$AI$1000,696),Cálculos!$AI$5:$AI$1000,0)+4,"")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23" t="str">
        <f>IF($J701="","",INDEX('Detalle individual'!$H:$H,$J701))</f>
        <v/>
      </c>
      <c r="G701" s="28" t="str">
        <f>IF($J701="","",INDEX('Detalle individual'!$J:$J,$J701))</f>
        <v/>
      </c>
      <c r="H701" s="28" t="str">
        <f>IF($J701="","",INDEX('Detalle individual'!$L:$L,$J701))</f>
        <v/>
      </c>
      <c r="J701" t="str">
        <f>IFERROR(MATCH(SMALL(Cálculos!$AI$5:$AI$1000,697),Cálculos!$AI$5:$AI$1000,0)+4,"")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23" t="str">
        <f>IF($J702="","",INDEX('Detalle individual'!$H:$H,$J702))</f>
        <v/>
      </c>
      <c r="G702" s="28" t="str">
        <f>IF($J702="","",INDEX('Detalle individual'!$J:$J,$J702))</f>
        <v/>
      </c>
      <c r="H702" s="28" t="str">
        <f>IF($J702="","",INDEX('Detalle individual'!$L:$L,$J702))</f>
        <v/>
      </c>
      <c r="J702" t="str">
        <f>IFERROR(MATCH(SMALL(Cálculos!$AI$5:$AI$1000,698),Cálculos!$AI$5:$AI$1000,0)+4,"")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23" t="str">
        <f>IF($J703="","",INDEX('Detalle individual'!$H:$H,$J703))</f>
        <v/>
      </c>
      <c r="G703" s="28" t="str">
        <f>IF($J703="","",INDEX('Detalle individual'!$J:$J,$J703))</f>
        <v/>
      </c>
      <c r="H703" s="28" t="str">
        <f>IF($J703="","",INDEX('Detalle individual'!$L:$L,$J703))</f>
        <v/>
      </c>
      <c r="J703" t="str">
        <f>IFERROR(MATCH(SMALL(Cálculos!$AI$5:$AI$1000,699),Cálculos!$AI$5:$AI$1000,0)+4,"")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23" t="str">
        <f>IF($J704="","",INDEX('Detalle individual'!$H:$H,$J704))</f>
        <v/>
      </c>
      <c r="G704" s="28" t="str">
        <f>IF($J704="","",INDEX('Detalle individual'!$J:$J,$J704))</f>
        <v/>
      </c>
      <c r="H704" s="28" t="str">
        <f>IF($J704="","",INDEX('Detalle individual'!$L:$L,$J704))</f>
        <v/>
      </c>
      <c r="J704" t="str">
        <f>IFERROR(MATCH(SMALL(Cálculos!$AI$5:$AI$1000,700),Cálculos!$AI$5:$AI$1000,0)+4,"")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23" t="str">
        <f>IF($J705="","",INDEX('Detalle individual'!$H:$H,$J705))</f>
        <v/>
      </c>
      <c r="G705" s="28" t="str">
        <f>IF($J705="","",INDEX('Detalle individual'!$J:$J,$J705))</f>
        <v/>
      </c>
      <c r="H705" s="28" t="str">
        <f>IF($J705="","",INDEX('Detalle individual'!$L:$L,$J705))</f>
        <v/>
      </c>
      <c r="J705" t="str">
        <f>IFERROR(MATCH(SMALL(Cálculos!$AI$5:$AI$1000,701),Cálculos!$AI$5:$AI$1000,0)+4,"")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23" t="str">
        <f>IF($J706="","",INDEX('Detalle individual'!$H:$H,$J706))</f>
        <v/>
      </c>
      <c r="G706" s="28" t="str">
        <f>IF($J706="","",INDEX('Detalle individual'!$J:$J,$J706))</f>
        <v/>
      </c>
      <c r="H706" s="28" t="str">
        <f>IF($J706="","",INDEX('Detalle individual'!$L:$L,$J706))</f>
        <v/>
      </c>
      <c r="J706" t="str">
        <f>IFERROR(MATCH(SMALL(Cálculos!$AI$5:$AI$1000,702),Cálculos!$AI$5:$AI$1000,0)+4,"")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23" t="str">
        <f>IF($J707="","",INDEX('Detalle individual'!$H:$H,$J707))</f>
        <v/>
      </c>
      <c r="G707" s="28" t="str">
        <f>IF($J707="","",INDEX('Detalle individual'!$J:$J,$J707))</f>
        <v/>
      </c>
      <c r="H707" s="28" t="str">
        <f>IF($J707="","",INDEX('Detalle individual'!$L:$L,$J707))</f>
        <v/>
      </c>
      <c r="J707" t="str">
        <f>IFERROR(MATCH(SMALL(Cálculos!$AI$5:$AI$1000,703),Cálculos!$AI$5:$AI$1000,0)+4,"")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23" t="str">
        <f>IF($J708="","",INDEX('Detalle individual'!$H:$H,$J708))</f>
        <v/>
      </c>
      <c r="G708" s="28" t="str">
        <f>IF($J708="","",INDEX('Detalle individual'!$J:$J,$J708))</f>
        <v/>
      </c>
      <c r="H708" s="28" t="str">
        <f>IF($J708="","",INDEX('Detalle individual'!$L:$L,$J708))</f>
        <v/>
      </c>
      <c r="J708" t="str">
        <f>IFERROR(MATCH(SMALL(Cálculos!$AI$5:$AI$1000,704),Cálculos!$AI$5:$AI$1000,0)+4,"")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23" t="str">
        <f>IF($J709="","",INDEX('Detalle individual'!$H:$H,$J709))</f>
        <v/>
      </c>
      <c r="G709" s="28" t="str">
        <f>IF($J709="","",INDEX('Detalle individual'!$J:$J,$J709))</f>
        <v/>
      </c>
      <c r="H709" s="28" t="str">
        <f>IF($J709="","",INDEX('Detalle individual'!$L:$L,$J709))</f>
        <v/>
      </c>
      <c r="J709" t="str">
        <f>IFERROR(MATCH(SMALL(Cálculos!$AI$5:$AI$1000,705),Cálculos!$AI$5:$AI$1000,0)+4,"")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23" t="str">
        <f>IF($J710="","",INDEX('Detalle individual'!$H:$H,$J710))</f>
        <v/>
      </c>
      <c r="G710" s="28" t="str">
        <f>IF($J710="","",INDEX('Detalle individual'!$J:$J,$J710))</f>
        <v/>
      </c>
      <c r="H710" s="28" t="str">
        <f>IF($J710="","",INDEX('Detalle individual'!$L:$L,$J710))</f>
        <v/>
      </c>
      <c r="J710" t="str">
        <f>IFERROR(MATCH(SMALL(Cálculos!$AI$5:$AI$1000,706),Cálculos!$AI$5:$AI$1000,0)+4,"")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23" t="str">
        <f>IF($J711="","",INDEX('Detalle individual'!$H:$H,$J711))</f>
        <v/>
      </c>
      <c r="G711" s="28" t="str">
        <f>IF($J711="","",INDEX('Detalle individual'!$J:$J,$J711))</f>
        <v/>
      </c>
      <c r="H711" s="28" t="str">
        <f>IF($J711="","",INDEX('Detalle individual'!$L:$L,$J711))</f>
        <v/>
      </c>
      <c r="J711" t="str">
        <f>IFERROR(MATCH(SMALL(Cálculos!$AI$5:$AI$1000,707),Cálculos!$AI$5:$AI$1000,0)+4,"")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23" t="str">
        <f>IF($J712="","",INDEX('Detalle individual'!$H:$H,$J712))</f>
        <v/>
      </c>
      <c r="G712" s="28" t="str">
        <f>IF($J712="","",INDEX('Detalle individual'!$J:$J,$J712))</f>
        <v/>
      </c>
      <c r="H712" s="28" t="str">
        <f>IF($J712="","",INDEX('Detalle individual'!$L:$L,$J712))</f>
        <v/>
      </c>
      <c r="J712" t="str">
        <f>IFERROR(MATCH(SMALL(Cálculos!$AI$5:$AI$1000,708),Cálculos!$AI$5:$AI$1000,0)+4,"")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23" t="str">
        <f>IF($J713="","",INDEX('Detalle individual'!$H:$H,$J713))</f>
        <v/>
      </c>
      <c r="G713" s="28" t="str">
        <f>IF($J713="","",INDEX('Detalle individual'!$J:$J,$J713))</f>
        <v/>
      </c>
      <c r="H713" s="28" t="str">
        <f>IF($J713="","",INDEX('Detalle individual'!$L:$L,$J713))</f>
        <v/>
      </c>
      <c r="J713" t="str">
        <f>IFERROR(MATCH(SMALL(Cálculos!$AI$5:$AI$1000,709),Cálculos!$AI$5:$AI$1000,0)+4,"")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23" t="str">
        <f>IF($J714="","",INDEX('Detalle individual'!$H:$H,$J714))</f>
        <v/>
      </c>
      <c r="G714" s="28" t="str">
        <f>IF($J714="","",INDEX('Detalle individual'!$J:$J,$J714))</f>
        <v/>
      </c>
      <c r="H714" s="28" t="str">
        <f>IF($J714="","",INDEX('Detalle individual'!$L:$L,$J714))</f>
        <v/>
      </c>
      <c r="J714" t="str">
        <f>IFERROR(MATCH(SMALL(Cálculos!$AI$5:$AI$1000,710),Cálculos!$AI$5:$AI$1000,0)+4,"")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23" t="str">
        <f>IF($J715="","",INDEX('Detalle individual'!$H:$H,$J715))</f>
        <v/>
      </c>
      <c r="G715" s="28" t="str">
        <f>IF($J715="","",INDEX('Detalle individual'!$J:$J,$J715))</f>
        <v/>
      </c>
      <c r="H715" s="28" t="str">
        <f>IF($J715="","",INDEX('Detalle individual'!$L:$L,$J715))</f>
        <v/>
      </c>
      <c r="J715" t="str">
        <f>IFERROR(MATCH(SMALL(Cálculos!$AI$5:$AI$1000,711),Cálculos!$AI$5:$AI$1000,0)+4,"")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23" t="str">
        <f>IF($J716="","",INDEX('Detalle individual'!$H:$H,$J716))</f>
        <v/>
      </c>
      <c r="G716" s="28" t="str">
        <f>IF($J716="","",INDEX('Detalle individual'!$J:$J,$J716))</f>
        <v/>
      </c>
      <c r="H716" s="28" t="str">
        <f>IF($J716="","",INDEX('Detalle individual'!$L:$L,$J716))</f>
        <v/>
      </c>
      <c r="J716" t="str">
        <f>IFERROR(MATCH(SMALL(Cálculos!$AI$5:$AI$1000,712),Cálculos!$AI$5:$AI$1000,0)+4,"")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23" t="str">
        <f>IF($J717="","",INDEX('Detalle individual'!$H:$H,$J717))</f>
        <v/>
      </c>
      <c r="G717" s="28" t="str">
        <f>IF($J717="","",INDEX('Detalle individual'!$J:$J,$J717))</f>
        <v/>
      </c>
      <c r="H717" s="28" t="str">
        <f>IF($J717="","",INDEX('Detalle individual'!$L:$L,$J717))</f>
        <v/>
      </c>
      <c r="J717" t="str">
        <f>IFERROR(MATCH(SMALL(Cálculos!$AI$5:$AI$1000,713),Cálculos!$AI$5:$AI$1000,0)+4,"")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23" t="str">
        <f>IF($J718="","",INDEX('Detalle individual'!$H:$H,$J718))</f>
        <v/>
      </c>
      <c r="G718" s="28" t="str">
        <f>IF($J718="","",INDEX('Detalle individual'!$J:$J,$J718))</f>
        <v/>
      </c>
      <c r="H718" s="28" t="str">
        <f>IF($J718="","",INDEX('Detalle individual'!$L:$L,$J718))</f>
        <v/>
      </c>
      <c r="J718" t="str">
        <f>IFERROR(MATCH(SMALL(Cálculos!$AI$5:$AI$1000,714),Cálculos!$AI$5:$AI$1000,0)+4,"")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23" t="str">
        <f>IF($J719="","",INDEX('Detalle individual'!$H:$H,$J719))</f>
        <v/>
      </c>
      <c r="G719" s="28" t="str">
        <f>IF($J719="","",INDEX('Detalle individual'!$J:$J,$J719))</f>
        <v/>
      </c>
      <c r="H719" s="28" t="str">
        <f>IF($J719="","",INDEX('Detalle individual'!$L:$L,$J719))</f>
        <v/>
      </c>
      <c r="J719" t="str">
        <f>IFERROR(MATCH(SMALL(Cálculos!$AI$5:$AI$1000,715),Cálculos!$AI$5:$AI$1000,0)+4,"")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23" t="str">
        <f>IF($J720="","",INDEX('Detalle individual'!$H:$H,$J720))</f>
        <v/>
      </c>
      <c r="G720" s="28" t="str">
        <f>IF($J720="","",INDEX('Detalle individual'!$J:$J,$J720))</f>
        <v/>
      </c>
      <c r="H720" s="28" t="str">
        <f>IF($J720="","",INDEX('Detalle individual'!$L:$L,$J720))</f>
        <v/>
      </c>
      <c r="J720" t="str">
        <f>IFERROR(MATCH(SMALL(Cálculos!$AI$5:$AI$1000,716),Cálculos!$AI$5:$AI$1000,0)+4,"")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23" t="str">
        <f>IF($J721="","",INDEX('Detalle individual'!$H:$H,$J721))</f>
        <v/>
      </c>
      <c r="G721" s="28" t="str">
        <f>IF($J721="","",INDEX('Detalle individual'!$J:$J,$J721))</f>
        <v/>
      </c>
      <c r="H721" s="28" t="str">
        <f>IF($J721="","",INDEX('Detalle individual'!$L:$L,$J721))</f>
        <v/>
      </c>
      <c r="J721" t="str">
        <f>IFERROR(MATCH(SMALL(Cálculos!$AI$5:$AI$1000,717),Cálculos!$AI$5:$AI$1000,0)+4,"")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23" t="str">
        <f>IF($J722="","",INDEX('Detalle individual'!$H:$H,$J722))</f>
        <v/>
      </c>
      <c r="G722" s="28" t="str">
        <f>IF($J722="","",INDEX('Detalle individual'!$J:$J,$J722))</f>
        <v/>
      </c>
      <c r="H722" s="28" t="str">
        <f>IF($J722="","",INDEX('Detalle individual'!$L:$L,$J722))</f>
        <v/>
      </c>
      <c r="J722" t="str">
        <f>IFERROR(MATCH(SMALL(Cálculos!$AI$5:$AI$1000,718),Cálculos!$AI$5:$AI$1000,0)+4,"")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23" t="str">
        <f>IF($J723="","",INDEX('Detalle individual'!$H:$H,$J723))</f>
        <v/>
      </c>
      <c r="G723" s="28" t="str">
        <f>IF($J723="","",INDEX('Detalle individual'!$J:$J,$J723))</f>
        <v/>
      </c>
      <c r="H723" s="28" t="str">
        <f>IF($J723="","",INDEX('Detalle individual'!$L:$L,$J723))</f>
        <v/>
      </c>
      <c r="J723" t="str">
        <f>IFERROR(MATCH(SMALL(Cálculos!$AI$5:$AI$1000,719),Cálculos!$AI$5:$AI$1000,0)+4,"")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23" t="str">
        <f>IF($J724="","",INDEX('Detalle individual'!$H:$H,$J724))</f>
        <v/>
      </c>
      <c r="G724" s="28" t="str">
        <f>IF($J724="","",INDEX('Detalle individual'!$J:$J,$J724))</f>
        <v/>
      </c>
      <c r="H724" s="28" t="str">
        <f>IF($J724="","",INDEX('Detalle individual'!$L:$L,$J724))</f>
        <v/>
      </c>
      <c r="J724" t="str">
        <f>IFERROR(MATCH(SMALL(Cálculos!$AI$5:$AI$1000,720),Cálculos!$AI$5:$AI$1000,0)+4,"")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23" t="str">
        <f>IF($J725="","",INDEX('Detalle individual'!$H:$H,$J725))</f>
        <v/>
      </c>
      <c r="G725" s="28" t="str">
        <f>IF($J725="","",INDEX('Detalle individual'!$J:$J,$J725))</f>
        <v/>
      </c>
      <c r="H725" s="28" t="str">
        <f>IF($J725="","",INDEX('Detalle individual'!$L:$L,$J725))</f>
        <v/>
      </c>
      <c r="J725" t="str">
        <f>IFERROR(MATCH(SMALL(Cálculos!$AI$5:$AI$1000,721),Cálculos!$AI$5:$AI$1000,0)+4,"")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23" t="str">
        <f>IF($J726="","",INDEX('Detalle individual'!$H:$H,$J726))</f>
        <v/>
      </c>
      <c r="G726" s="28" t="str">
        <f>IF($J726="","",INDEX('Detalle individual'!$J:$J,$J726))</f>
        <v/>
      </c>
      <c r="H726" s="28" t="str">
        <f>IF($J726="","",INDEX('Detalle individual'!$L:$L,$J726))</f>
        <v/>
      </c>
      <c r="J726" t="str">
        <f>IFERROR(MATCH(SMALL(Cálculos!$AI$5:$AI$1000,722),Cálculos!$AI$5:$AI$1000,0)+4,"")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23" t="str">
        <f>IF($J727="","",INDEX('Detalle individual'!$H:$H,$J727))</f>
        <v/>
      </c>
      <c r="G727" s="28" t="str">
        <f>IF($J727="","",INDEX('Detalle individual'!$J:$J,$J727))</f>
        <v/>
      </c>
      <c r="H727" s="28" t="str">
        <f>IF($J727="","",INDEX('Detalle individual'!$L:$L,$J727))</f>
        <v/>
      </c>
      <c r="J727" t="str">
        <f>IFERROR(MATCH(SMALL(Cálculos!$AI$5:$AI$1000,723),Cálculos!$AI$5:$AI$1000,0)+4,"")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23" t="str">
        <f>IF($J728="","",INDEX('Detalle individual'!$H:$H,$J728))</f>
        <v/>
      </c>
      <c r="G728" s="28" t="str">
        <f>IF($J728="","",INDEX('Detalle individual'!$J:$J,$J728))</f>
        <v/>
      </c>
      <c r="H728" s="28" t="str">
        <f>IF($J728="","",INDEX('Detalle individual'!$L:$L,$J728))</f>
        <v/>
      </c>
      <c r="J728" t="str">
        <f>IFERROR(MATCH(SMALL(Cálculos!$AI$5:$AI$1000,724),Cálculos!$AI$5:$AI$1000,0)+4,"")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23" t="str">
        <f>IF($J729="","",INDEX('Detalle individual'!$H:$H,$J729))</f>
        <v/>
      </c>
      <c r="G729" s="28" t="str">
        <f>IF($J729="","",INDEX('Detalle individual'!$J:$J,$J729))</f>
        <v/>
      </c>
      <c r="H729" s="28" t="str">
        <f>IF($J729="","",INDEX('Detalle individual'!$L:$L,$J729))</f>
        <v/>
      </c>
      <c r="J729" t="str">
        <f>IFERROR(MATCH(SMALL(Cálculos!$AI$5:$AI$1000,725),Cálculos!$AI$5:$AI$1000,0)+4,"")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23" t="str">
        <f>IF($J730="","",INDEX('Detalle individual'!$H:$H,$J730))</f>
        <v/>
      </c>
      <c r="G730" s="28" t="str">
        <f>IF($J730="","",INDEX('Detalle individual'!$J:$J,$J730))</f>
        <v/>
      </c>
      <c r="H730" s="28" t="str">
        <f>IF($J730="","",INDEX('Detalle individual'!$L:$L,$J730))</f>
        <v/>
      </c>
      <c r="J730" t="str">
        <f>IFERROR(MATCH(SMALL(Cálculos!$AI$5:$AI$1000,726),Cálculos!$AI$5:$AI$1000,0)+4,"")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23" t="str">
        <f>IF($J731="","",INDEX('Detalle individual'!$H:$H,$J731))</f>
        <v/>
      </c>
      <c r="G731" s="28" t="str">
        <f>IF($J731="","",INDEX('Detalle individual'!$J:$J,$J731))</f>
        <v/>
      </c>
      <c r="H731" s="28" t="str">
        <f>IF($J731="","",INDEX('Detalle individual'!$L:$L,$J731))</f>
        <v/>
      </c>
      <c r="J731" t="str">
        <f>IFERROR(MATCH(SMALL(Cálculos!$AI$5:$AI$1000,727),Cálculos!$AI$5:$AI$1000,0)+4,"")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23" t="str">
        <f>IF($J732="","",INDEX('Detalle individual'!$H:$H,$J732))</f>
        <v/>
      </c>
      <c r="G732" s="28" t="str">
        <f>IF($J732="","",INDEX('Detalle individual'!$J:$J,$J732))</f>
        <v/>
      </c>
      <c r="H732" s="28" t="str">
        <f>IF($J732="","",INDEX('Detalle individual'!$L:$L,$J732))</f>
        <v/>
      </c>
      <c r="J732" t="str">
        <f>IFERROR(MATCH(SMALL(Cálculos!$AI$5:$AI$1000,728),Cálculos!$AI$5:$AI$1000,0)+4,"")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23" t="str">
        <f>IF($J733="","",INDEX('Detalle individual'!$H:$H,$J733))</f>
        <v/>
      </c>
      <c r="G733" s="28" t="str">
        <f>IF($J733="","",INDEX('Detalle individual'!$J:$J,$J733))</f>
        <v/>
      </c>
      <c r="H733" s="28" t="str">
        <f>IF($J733="","",INDEX('Detalle individual'!$L:$L,$J733))</f>
        <v/>
      </c>
      <c r="J733" t="str">
        <f>IFERROR(MATCH(SMALL(Cálculos!$AI$5:$AI$1000,729),Cálculos!$AI$5:$AI$1000,0)+4,"")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23" t="str">
        <f>IF($J734="","",INDEX('Detalle individual'!$H:$H,$J734))</f>
        <v/>
      </c>
      <c r="G734" s="28" t="str">
        <f>IF($J734="","",INDEX('Detalle individual'!$J:$J,$J734))</f>
        <v/>
      </c>
      <c r="H734" s="28" t="str">
        <f>IF($J734="","",INDEX('Detalle individual'!$L:$L,$J734))</f>
        <v/>
      </c>
      <c r="J734" t="str">
        <f>IFERROR(MATCH(SMALL(Cálculos!$AI$5:$AI$1000,730),Cálculos!$AI$5:$AI$1000,0)+4,"")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23" t="str">
        <f>IF($J735="","",INDEX('Detalle individual'!$H:$H,$J735))</f>
        <v/>
      </c>
      <c r="G735" s="28" t="str">
        <f>IF($J735="","",INDEX('Detalle individual'!$J:$J,$J735))</f>
        <v/>
      </c>
      <c r="H735" s="28" t="str">
        <f>IF($J735="","",INDEX('Detalle individual'!$L:$L,$J735))</f>
        <v/>
      </c>
      <c r="J735" t="str">
        <f>IFERROR(MATCH(SMALL(Cálculos!$AI$5:$AI$1000,731),Cálculos!$AI$5:$AI$1000,0)+4,"")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23" t="str">
        <f>IF($J736="","",INDEX('Detalle individual'!$H:$H,$J736))</f>
        <v/>
      </c>
      <c r="G736" s="28" t="str">
        <f>IF($J736="","",INDEX('Detalle individual'!$J:$J,$J736))</f>
        <v/>
      </c>
      <c r="H736" s="28" t="str">
        <f>IF($J736="","",INDEX('Detalle individual'!$L:$L,$J736))</f>
        <v/>
      </c>
      <c r="J736" t="str">
        <f>IFERROR(MATCH(SMALL(Cálculos!$AI$5:$AI$1000,732),Cálculos!$AI$5:$AI$1000,0)+4,"")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23" t="str">
        <f>IF($J737="","",INDEX('Detalle individual'!$H:$H,$J737))</f>
        <v/>
      </c>
      <c r="G737" s="28" t="str">
        <f>IF($J737="","",INDEX('Detalle individual'!$J:$J,$J737))</f>
        <v/>
      </c>
      <c r="H737" s="28" t="str">
        <f>IF($J737="","",INDEX('Detalle individual'!$L:$L,$J737))</f>
        <v/>
      </c>
      <c r="J737" t="str">
        <f>IFERROR(MATCH(SMALL(Cálculos!$AI$5:$AI$1000,733),Cálculos!$AI$5:$AI$1000,0)+4,"")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23" t="str">
        <f>IF($J738="","",INDEX('Detalle individual'!$H:$H,$J738))</f>
        <v/>
      </c>
      <c r="G738" s="28" t="str">
        <f>IF($J738="","",INDEX('Detalle individual'!$J:$J,$J738))</f>
        <v/>
      </c>
      <c r="H738" s="28" t="str">
        <f>IF($J738="","",INDEX('Detalle individual'!$L:$L,$J738))</f>
        <v/>
      </c>
      <c r="J738" t="str">
        <f>IFERROR(MATCH(SMALL(Cálculos!$AI$5:$AI$1000,734),Cálculos!$AI$5:$AI$1000,0)+4,"")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23" t="str">
        <f>IF($J739="","",INDEX('Detalle individual'!$H:$H,$J739))</f>
        <v/>
      </c>
      <c r="G739" s="28" t="str">
        <f>IF($J739="","",INDEX('Detalle individual'!$J:$J,$J739))</f>
        <v/>
      </c>
      <c r="H739" s="28" t="str">
        <f>IF($J739="","",INDEX('Detalle individual'!$L:$L,$J739))</f>
        <v/>
      </c>
      <c r="J739" t="str">
        <f>IFERROR(MATCH(SMALL(Cálculos!$AI$5:$AI$1000,735),Cálculos!$AI$5:$AI$1000,0)+4,"")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23" t="str">
        <f>IF($J740="","",INDEX('Detalle individual'!$H:$H,$J740))</f>
        <v/>
      </c>
      <c r="G740" s="28" t="str">
        <f>IF($J740="","",INDEX('Detalle individual'!$J:$J,$J740))</f>
        <v/>
      </c>
      <c r="H740" s="28" t="str">
        <f>IF($J740="","",INDEX('Detalle individual'!$L:$L,$J740))</f>
        <v/>
      </c>
      <c r="J740" t="str">
        <f>IFERROR(MATCH(SMALL(Cálculos!$AI$5:$AI$1000,736),Cálculos!$AI$5:$AI$1000,0)+4,"")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23" t="str">
        <f>IF($J741="","",INDEX('Detalle individual'!$H:$H,$J741))</f>
        <v/>
      </c>
      <c r="G741" s="28" t="str">
        <f>IF($J741="","",INDEX('Detalle individual'!$J:$J,$J741))</f>
        <v/>
      </c>
      <c r="H741" s="28" t="str">
        <f>IF($J741="","",INDEX('Detalle individual'!$L:$L,$J741))</f>
        <v/>
      </c>
      <c r="J741" t="str">
        <f>IFERROR(MATCH(SMALL(Cálculos!$AI$5:$AI$1000,737),Cálculos!$AI$5:$AI$1000,0)+4,"")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23" t="str">
        <f>IF($J742="","",INDEX('Detalle individual'!$H:$H,$J742))</f>
        <v/>
      </c>
      <c r="G742" s="28" t="str">
        <f>IF($J742="","",INDEX('Detalle individual'!$J:$J,$J742))</f>
        <v/>
      </c>
      <c r="H742" s="28" t="str">
        <f>IF($J742="","",INDEX('Detalle individual'!$L:$L,$J742))</f>
        <v/>
      </c>
      <c r="J742" t="str">
        <f>IFERROR(MATCH(SMALL(Cálculos!$AI$5:$AI$1000,738),Cálculos!$AI$5:$AI$1000,0)+4,"")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23" t="str">
        <f>IF($J743="","",INDEX('Detalle individual'!$H:$H,$J743))</f>
        <v/>
      </c>
      <c r="G743" s="28" t="str">
        <f>IF($J743="","",INDEX('Detalle individual'!$J:$J,$J743))</f>
        <v/>
      </c>
      <c r="H743" s="28" t="str">
        <f>IF($J743="","",INDEX('Detalle individual'!$L:$L,$J743))</f>
        <v/>
      </c>
      <c r="J743" t="str">
        <f>IFERROR(MATCH(SMALL(Cálculos!$AI$5:$AI$1000,739),Cálculos!$AI$5:$AI$1000,0)+4,"")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23" t="str">
        <f>IF($J744="","",INDEX('Detalle individual'!$H:$H,$J744))</f>
        <v/>
      </c>
      <c r="G744" s="28" t="str">
        <f>IF($J744="","",INDEX('Detalle individual'!$J:$J,$J744))</f>
        <v/>
      </c>
      <c r="H744" s="28" t="str">
        <f>IF($J744="","",INDEX('Detalle individual'!$L:$L,$J744))</f>
        <v/>
      </c>
      <c r="J744" t="str">
        <f>IFERROR(MATCH(SMALL(Cálculos!$AI$5:$AI$1000,740),Cálculos!$AI$5:$AI$1000,0)+4,"")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23" t="str">
        <f>IF($J745="","",INDEX('Detalle individual'!$H:$H,$J745))</f>
        <v/>
      </c>
      <c r="G745" s="28" t="str">
        <f>IF($J745="","",INDEX('Detalle individual'!$J:$J,$J745))</f>
        <v/>
      </c>
      <c r="H745" s="28" t="str">
        <f>IF($J745="","",INDEX('Detalle individual'!$L:$L,$J745))</f>
        <v/>
      </c>
      <c r="J745" t="str">
        <f>IFERROR(MATCH(SMALL(Cálculos!$AI$5:$AI$1000,741),Cálculos!$AI$5:$AI$1000,0)+4,"")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23" t="str">
        <f>IF($J746="","",INDEX('Detalle individual'!$H:$H,$J746))</f>
        <v/>
      </c>
      <c r="G746" s="28" t="str">
        <f>IF($J746="","",INDEX('Detalle individual'!$J:$J,$J746))</f>
        <v/>
      </c>
      <c r="H746" s="28" t="str">
        <f>IF($J746="","",INDEX('Detalle individual'!$L:$L,$J746))</f>
        <v/>
      </c>
      <c r="J746" t="str">
        <f>IFERROR(MATCH(SMALL(Cálculos!$AI$5:$AI$1000,742),Cálculos!$AI$5:$AI$1000,0)+4,"")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23" t="str">
        <f>IF($J747="","",INDEX('Detalle individual'!$H:$H,$J747))</f>
        <v/>
      </c>
      <c r="G747" s="28" t="str">
        <f>IF($J747="","",INDEX('Detalle individual'!$J:$J,$J747))</f>
        <v/>
      </c>
      <c r="H747" s="28" t="str">
        <f>IF($J747="","",INDEX('Detalle individual'!$L:$L,$J747))</f>
        <v/>
      </c>
      <c r="J747" t="str">
        <f>IFERROR(MATCH(SMALL(Cálculos!$AI$5:$AI$1000,743),Cálculos!$AI$5:$AI$1000,0)+4,"")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23" t="str">
        <f>IF($J748="","",INDEX('Detalle individual'!$H:$H,$J748))</f>
        <v/>
      </c>
      <c r="G748" s="28" t="str">
        <f>IF($J748="","",INDEX('Detalle individual'!$J:$J,$J748))</f>
        <v/>
      </c>
      <c r="H748" s="28" t="str">
        <f>IF($J748="","",INDEX('Detalle individual'!$L:$L,$J748))</f>
        <v/>
      </c>
      <c r="J748" t="str">
        <f>IFERROR(MATCH(SMALL(Cálculos!$AI$5:$AI$1000,744),Cálculos!$AI$5:$AI$1000,0)+4,"")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23" t="str">
        <f>IF($J749="","",INDEX('Detalle individual'!$H:$H,$J749))</f>
        <v/>
      </c>
      <c r="G749" s="28" t="str">
        <f>IF($J749="","",INDEX('Detalle individual'!$J:$J,$J749))</f>
        <v/>
      </c>
      <c r="H749" s="28" t="str">
        <f>IF($J749="","",INDEX('Detalle individual'!$L:$L,$J749))</f>
        <v/>
      </c>
      <c r="J749" t="str">
        <f>IFERROR(MATCH(SMALL(Cálculos!$AI$5:$AI$1000,745),Cálculos!$AI$5:$AI$1000,0)+4,"")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23" t="str">
        <f>IF($J750="","",INDEX('Detalle individual'!$H:$H,$J750))</f>
        <v/>
      </c>
      <c r="G750" s="28" t="str">
        <f>IF($J750="","",INDEX('Detalle individual'!$J:$J,$J750))</f>
        <v/>
      </c>
      <c r="H750" s="28" t="str">
        <f>IF($J750="","",INDEX('Detalle individual'!$L:$L,$J750))</f>
        <v/>
      </c>
      <c r="J750" t="str">
        <f>IFERROR(MATCH(SMALL(Cálculos!$AI$5:$AI$1000,746),Cálculos!$AI$5:$AI$1000,0)+4,"")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23" t="str">
        <f>IF($J751="","",INDEX('Detalle individual'!$H:$H,$J751))</f>
        <v/>
      </c>
      <c r="G751" s="28" t="str">
        <f>IF($J751="","",INDEX('Detalle individual'!$J:$J,$J751))</f>
        <v/>
      </c>
      <c r="H751" s="28" t="str">
        <f>IF($J751="","",INDEX('Detalle individual'!$L:$L,$J751))</f>
        <v/>
      </c>
      <c r="J751" t="str">
        <f>IFERROR(MATCH(SMALL(Cálculos!$AI$5:$AI$1000,747),Cálculos!$AI$5:$AI$1000,0)+4,"")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23" t="str">
        <f>IF($J752="","",INDEX('Detalle individual'!$H:$H,$J752))</f>
        <v/>
      </c>
      <c r="G752" s="28" t="str">
        <f>IF($J752="","",INDEX('Detalle individual'!$J:$J,$J752))</f>
        <v/>
      </c>
      <c r="H752" s="28" t="str">
        <f>IF($J752="","",INDEX('Detalle individual'!$L:$L,$J752))</f>
        <v/>
      </c>
      <c r="J752" t="str">
        <f>IFERROR(MATCH(SMALL(Cálculos!$AI$5:$AI$1000,748),Cálculos!$AI$5:$AI$1000,0)+4,"")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23" t="str">
        <f>IF($J753="","",INDEX('Detalle individual'!$H:$H,$J753))</f>
        <v/>
      </c>
      <c r="G753" s="28" t="str">
        <f>IF($J753="","",INDEX('Detalle individual'!$J:$J,$J753))</f>
        <v/>
      </c>
      <c r="H753" s="28" t="str">
        <f>IF($J753="","",INDEX('Detalle individual'!$L:$L,$J753))</f>
        <v/>
      </c>
      <c r="J753" t="str">
        <f>IFERROR(MATCH(SMALL(Cálculos!$AI$5:$AI$1000,749),Cálculos!$AI$5:$AI$1000,0)+4,"")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23" t="str">
        <f>IF($J754="","",INDEX('Detalle individual'!$H:$H,$J754))</f>
        <v/>
      </c>
      <c r="G754" s="28" t="str">
        <f>IF($J754="","",INDEX('Detalle individual'!$J:$J,$J754))</f>
        <v/>
      </c>
      <c r="H754" s="28" t="str">
        <f>IF($J754="","",INDEX('Detalle individual'!$L:$L,$J754))</f>
        <v/>
      </c>
      <c r="J754" t="str">
        <f>IFERROR(MATCH(SMALL(Cálculos!$AI$5:$AI$1000,750),Cálculos!$AI$5:$AI$1000,0)+4,"")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23" t="str">
        <f>IF($J755="","",INDEX('Detalle individual'!$H:$H,$J755))</f>
        <v/>
      </c>
      <c r="G755" s="28" t="str">
        <f>IF($J755="","",INDEX('Detalle individual'!$J:$J,$J755))</f>
        <v/>
      </c>
      <c r="H755" s="28" t="str">
        <f>IF($J755="","",INDEX('Detalle individual'!$L:$L,$J755))</f>
        <v/>
      </c>
      <c r="J755" t="str">
        <f>IFERROR(MATCH(SMALL(Cálculos!$AI$5:$AI$1000,751),Cálculos!$AI$5:$AI$1000,0)+4,"")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23" t="str">
        <f>IF($J756="","",INDEX('Detalle individual'!$H:$H,$J756))</f>
        <v/>
      </c>
      <c r="G756" s="28" t="str">
        <f>IF($J756="","",INDEX('Detalle individual'!$J:$J,$J756))</f>
        <v/>
      </c>
      <c r="H756" s="28" t="str">
        <f>IF($J756="","",INDEX('Detalle individual'!$L:$L,$J756))</f>
        <v/>
      </c>
      <c r="J756" t="str">
        <f>IFERROR(MATCH(SMALL(Cálculos!$AI$5:$AI$1000,752),Cálculos!$AI$5:$AI$1000,0)+4,"")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23" t="str">
        <f>IF($J757="","",INDEX('Detalle individual'!$H:$H,$J757))</f>
        <v/>
      </c>
      <c r="G757" s="28" t="str">
        <f>IF($J757="","",INDEX('Detalle individual'!$J:$J,$J757))</f>
        <v/>
      </c>
      <c r="H757" s="28" t="str">
        <f>IF($J757="","",INDEX('Detalle individual'!$L:$L,$J757))</f>
        <v/>
      </c>
      <c r="J757" t="str">
        <f>IFERROR(MATCH(SMALL(Cálculos!$AI$5:$AI$1000,753),Cálculos!$AI$5:$AI$1000,0)+4,"")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23" t="str">
        <f>IF($J758="","",INDEX('Detalle individual'!$H:$H,$J758))</f>
        <v/>
      </c>
      <c r="G758" s="28" t="str">
        <f>IF($J758="","",INDEX('Detalle individual'!$J:$J,$J758))</f>
        <v/>
      </c>
      <c r="H758" s="28" t="str">
        <f>IF($J758="","",INDEX('Detalle individual'!$L:$L,$J758))</f>
        <v/>
      </c>
      <c r="J758" t="str">
        <f>IFERROR(MATCH(SMALL(Cálculos!$AI$5:$AI$1000,754),Cálculos!$AI$5:$AI$1000,0)+4,"")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23" t="str">
        <f>IF($J759="","",INDEX('Detalle individual'!$H:$H,$J759))</f>
        <v/>
      </c>
      <c r="G759" s="28" t="str">
        <f>IF($J759="","",INDEX('Detalle individual'!$J:$J,$J759))</f>
        <v/>
      </c>
      <c r="H759" s="28" t="str">
        <f>IF($J759="","",INDEX('Detalle individual'!$L:$L,$J759))</f>
        <v/>
      </c>
      <c r="J759" t="str">
        <f>IFERROR(MATCH(SMALL(Cálculos!$AI$5:$AI$1000,755),Cálculos!$AI$5:$AI$1000,0)+4,"")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23" t="str">
        <f>IF($J760="","",INDEX('Detalle individual'!$H:$H,$J760))</f>
        <v/>
      </c>
      <c r="G760" s="28" t="str">
        <f>IF($J760="","",INDEX('Detalle individual'!$J:$J,$J760))</f>
        <v/>
      </c>
      <c r="H760" s="28" t="str">
        <f>IF($J760="","",INDEX('Detalle individual'!$L:$L,$J760))</f>
        <v/>
      </c>
      <c r="J760" t="str">
        <f>IFERROR(MATCH(SMALL(Cálculos!$AI$5:$AI$1000,756),Cálculos!$AI$5:$AI$1000,0)+4,"")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23" t="str">
        <f>IF($J761="","",INDEX('Detalle individual'!$H:$H,$J761))</f>
        <v/>
      </c>
      <c r="G761" s="28" t="str">
        <f>IF($J761="","",INDEX('Detalle individual'!$J:$J,$J761))</f>
        <v/>
      </c>
      <c r="H761" s="28" t="str">
        <f>IF($J761="","",INDEX('Detalle individual'!$L:$L,$J761))</f>
        <v/>
      </c>
      <c r="J761" t="str">
        <f>IFERROR(MATCH(SMALL(Cálculos!$AI$5:$AI$1000,757),Cálculos!$AI$5:$AI$1000,0)+4,"")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23" t="str">
        <f>IF($J762="","",INDEX('Detalle individual'!$H:$H,$J762))</f>
        <v/>
      </c>
      <c r="G762" s="28" t="str">
        <f>IF($J762="","",INDEX('Detalle individual'!$J:$J,$J762))</f>
        <v/>
      </c>
      <c r="H762" s="28" t="str">
        <f>IF($J762="","",INDEX('Detalle individual'!$L:$L,$J762))</f>
        <v/>
      </c>
      <c r="J762" t="str">
        <f>IFERROR(MATCH(SMALL(Cálculos!$AI$5:$AI$1000,758),Cálculos!$AI$5:$AI$1000,0)+4,"")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23" t="str">
        <f>IF($J763="","",INDEX('Detalle individual'!$H:$H,$J763))</f>
        <v/>
      </c>
      <c r="G763" s="28" t="str">
        <f>IF($J763="","",INDEX('Detalle individual'!$J:$J,$J763))</f>
        <v/>
      </c>
      <c r="H763" s="28" t="str">
        <f>IF($J763="","",INDEX('Detalle individual'!$L:$L,$J763))</f>
        <v/>
      </c>
      <c r="J763" t="str">
        <f>IFERROR(MATCH(SMALL(Cálculos!$AI$5:$AI$1000,759),Cálculos!$AI$5:$AI$1000,0)+4,"")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23" t="str">
        <f>IF($J764="","",INDEX('Detalle individual'!$H:$H,$J764))</f>
        <v/>
      </c>
      <c r="G764" s="28" t="str">
        <f>IF($J764="","",INDEX('Detalle individual'!$J:$J,$J764))</f>
        <v/>
      </c>
      <c r="H764" s="28" t="str">
        <f>IF($J764="","",INDEX('Detalle individual'!$L:$L,$J764))</f>
        <v/>
      </c>
      <c r="J764" t="str">
        <f>IFERROR(MATCH(SMALL(Cálculos!$AI$5:$AI$1000,760),Cálculos!$AI$5:$AI$1000,0)+4,"")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23" t="str">
        <f>IF($J765="","",INDEX('Detalle individual'!$H:$H,$J765))</f>
        <v/>
      </c>
      <c r="G765" s="28" t="str">
        <f>IF($J765="","",INDEX('Detalle individual'!$J:$J,$J765))</f>
        <v/>
      </c>
      <c r="H765" s="28" t="str">
        <f>IF($J765="","",INDEX('Detalle individual'!$L:$L,$J765))</f>
        <v/>
      </c>
      <c r="J765" t="str">
        <f>IFERROR(MATCH(SMALL(Cálculos!$AI$5:$AI$1000,761),Cálculos!$AI$5:$AI$1000,0)+4,"")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23" t="str">
        <f>IF($J766="","",INDEX('Detalle individual'!$H:$H,$J766))</f>
        <v/>
      </c>
      <c r="G766" s="28" t="str">
        <f>IF($J766="","",INDEX('Detalle individual'!$J:$J,$J766))</f>
        <v/>
      </c>
      <c r="H766" s="28" t="str">
        <f>IF($J766="","",INDEX('Detalle individual'!$L:$L,$J766))</f>
        <v/>
      </c>
      <c r="J766" t="str">
        <f>IFERROR(MATCH(SMALL(Cálculos!$AI$5:$AI$1000,762),Cálculos!$AI$5:$AI$1000,0)+4,"")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23" t="str">
        <f>IF($J767="","",INDEX('Detalle individual'!$H:$H,$J767))</f>
        <v/>
      </c>
      <c r="G767" s="28" t="str">
        <f>IF($J767="","",INDEX('Detalle individual'!$J:$J,$J767))</f>
        <v/>
      </c>
      <c r="H767" s="28" t="str">
        <f>IF($J767="","",INDEX('Detalle individual'!$L:$L,$J767))</f>
        <v/>
      </c>
      <c r="J767" t="str">
        <f>IFERROR(MATCH(SMALL(Cálculos!$AI$5:$AI$1000,763),Cálculos!$AI$5:$AI$1000,0)+4,"")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23" t="str">
        <f>IF($J768="","",INDEX('Detalle individual'!$H:$H,$J768))</f>
        <v/>
      </c>
      <c r="G768" s="28" t="str">
        <f>IF($J768="","",INDEX('Detalle individual'!$J:$J,$J768))</f>
        <v/>
      </c>
      <c r="H768" s="28" t="str">
        <f>IF($J768="","",INDEX('Detalle individual'!$L:$L,$J768))</f>
        <v/>
      </c>
      <c r="J768" t="str">
        <f>IFERROR(MATCH(SMALL(Cálculos!$AI$5:$AI$1000,764),Cálculos!$AI$5:$AI$1000,0)+4,"")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23" t="str">
        <f>IF($J769="","",INDEX('Detalle individual'!$H:$H,$J769))</f>
        <v/>
      </c>
      <c r="G769" s="28" t="str">
        <f>IF($J769="","",INDEX('Detalle individual'!$J:$J,$J769))</f>
        <v/>
      </c>
      <c r="H769" s="28" t="str">
        <f>IF($J769="","",INDEX('Detalle individual'!$L:$L,$J769))</f>
        <v/>
      </c>
      <c r="J769" t="str">
        <f>IFERROR(MATCH(SMALL(Cálculos!$AI$5:$AI$1000,765),Cálculos!$AI$5:$AI$1000,0)+4,"")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23" t="str">
        <f>IF($J770="","",INDEX('Detalle individual'!$H:$H,$J770))</f>
        <v/>
      </c>
      <c r="G770" s="28" t="str">
        <f>IF($J770="","",INDEX('Detalle individual'!$J:$J,$J770))</f>
        <v/>
      </c>
      <c r="H770" s="28" t="str">
        <f>IF($J770="","",INDEX('Detalle individual'!$L:$L,$J770))</f>
        <v/>
      </c>
      <c r="J770" t="str">
        <f>IFERROR(MATCH(SMALL(Cálculos!$AI$5:$AI$1000,766),Cálculos!$AI$5:$AI$1000,0)+4,"")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23" t="str">
        <f>IF($J771="","",INDEX('Detalle individual'!$H:$H,$J771))</f>
        <v/>
      </c>
      <c r="G771" s="28" t="str">
        <f>IF($J771="","",INDEX('Detalle individual'!$J:$J,$J771))</f>
        <v/>
      </c>
      <c r="H771" s="28" t="str">
        <f>IF($J771="","",INDEX('Detalle individual'!$L:$L,$J771))</f>
        <v/>
      </c>
      <c r="J771" t="str">
        <f>IFERROR(MATCH(SMALL(Cálculos!$AI$5:$AI$1000,767),Cálculos!$AI$5:$AI$1000,0)+4,"")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23" t="str">
        <f>IF($J772="","",INDEX('Detalle individual'!$H:$H,$J772))</f>
        <v/>
      </c>
      <c r="G772" s="28" t="str">
        <f>IF($J772="","",INDEX('Detalle individual'!$J:$J,$J772))</f>
        <v/>
      </c>
      <c r="H772" s="28" t="str">
        <f>IF($J772="","",INDEX('Detalle individual'!$L:$L,$J772))</f>
        <v/>
      </c>
      <c r="J772" t="str">
        <f>IFERROR(MATCH(SMALL(Cálculos!$AI$5:$AI$1000,768),Cálculos!$AI$5:$AI$1000,0)+4,"")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23" t="str">
        <f>IF($J773="","",INDEX('Detalle individual'!$H:$H,$J773))</f>
        <v/>
      </c>
      <c r="G773" s="28" t="str">
        <f>IF($J773="","",INDEX('Detalle individual'!$J:$J,$J773))</f>
        <v/>
      </c>
      <c r="H773" s="28" t="str">
        <f>IF($J773="","",INDEX('Detalle individual'!$L:$L,$J773))</f>
        <v/>
      </c>
      <c r="J773" t="str">
        <f>IFERROR(MATCH(SMALL(Cálculos!$AI$5:$AI$1000,769),Cálculos!$AI$5:$AI$1000,0)+4,"")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23" t="str">
        <f>IF($J774="","",INDEX('Detalle individual'!$H:$H,$J774))</f>
        <v/>
      </c>
      <c r="G774" s="28" t="str">
        <f>IF($J774="","",INDEX('Detalle individual'!$J:$J,$J774))</f>
        <v/>
      </c>
      <c r="H774" s="28" t="str">
        <f>IF($J774="","",INDEX('Detalle individual'!$L:$L,$J774))</f>
        <v/>
      </c>
      <c r="J774" t="str">
        <f>IFERROR(MATCH(SMALL(Cálculos!$AI$5:$AI$1000,770),Cálculos!$AI$5:$AI$1000,0)+4,"")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23" t="str">
        <f>IF($J775="","",INDEX('Detalle individual'!$H:$H,$J775))</f>
        <v/>
      </c>
      <c r="G775" s="28" t="str">
        <f>IF($J775="","",INDEX('Detalle individual'!$J:$J,$J775))</f>
        <v/>
      </c>
      <c r="H775" s="28" t="str">
        <f>IF($J775="","",INDEX('Detalle individual'!$L:$L,$J775))</f>
        <v/>
      </c>
      <c r="J775" t="str">
        <f>IFERROR(MATCH(SMALL(Cálculos!$AI$5:$AI$1000,771),Cálculos!$AI$5:$AI$1000,0)+4,"")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23" t="str">
        <f>IF($J776="","",INDEX('Detalle individual'!$H:$H,$J776))</f>
        <v/>
      </c>
      <c r="G776" s="28" t="str">
        <f>IF($J776="","",INDEX('Detalle individual'!$J:$J,$J776))</f>
        <v/>
      </c>
      <c r="H776" s="28" t="str">
        <f>IF($J776="","",INDEX('Detalle individual'!$L:$L,$J776))</f>
        <v/>
      </c>
      <c r="J776" t="str">
        <f>IFERROR(MATCH(SMALL(Cálculos!$AI$5:$AI$1000,772),Cálculos!$AI$5:$AI$1000,0)+4,"")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23" t="str">
        <f>IF($J777="","",INDEX('Detalle individual'!$H:$H,$J777))</f>
        <v/>
      </c>
      <c r="G777" s="28" t="str">
        <f>IF($J777="","",INDEX('Detalle individual'!$J:$J,$J777))</f>
        <v/>
      </c>
      <c r="H777" s="28" t="str">
        <f>IF($J777="","",INDEX('Detalle individual'!$L:$L,$J777))</f>
        <v/>
      </c>
      <c r="J777" t="str">
        <f>IFERROR(MATCH(SMALL(Cálculos!$AI$5:$AI$1000,773),Cálculos!$AI$5:$AI$1000,0)+4,"")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23" t="str">
        <f>IF($J778="","",INDEX('Detalle individual'!$H:$H,$J778))</f>
        <v/>
      </c>
      <c r="G778" s="28" t="str">
        <f>IF($J778="","",INDEX('Detalle individual'!$J:$J,$J778))</f>
        <v/>
      </c>
      <c r="H778" s="28" t="str">
        <f>IF($J778="","",INDEX('Detalle individual'!$L:$L,$J778))</f>
        <v/>
      </c>
      <c r="J778" t="str">
        <f>IFERROR(MATCH(SMALL(Cálculos!$AI$5:$AI$1000,774),Cálculos!$AI$5:$AI$1000,0)+4,"")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23" t="str">
        <f>IF($J779="","",INDEX('Detalle individual'!$H:$H,$J779))</f>
        <v/>
      </c>
      <c r="G779" s="28" t="str">
        <f>IF($J779="","",INDEX('Detalle individual'!$J:$J,$J779))</f>
        <v/>
      </c>
      <c r="H779" s="28" t="str">
        <f>IF($J779="","",INDEX('Detalle individual'!$L:$L,$J779))</f>
        <v/>
      </c>
      <c r="J779" t="str">
        <f>IFERROR(MATCH(SMALL(Cálculos!$AI$5:$AI$1000,775),Cálculos!$AI$5:$AI$1000,0)+4,"")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23" t="str">
        <f>IF($J780="","",INDEX('Detalle individual'!$H:$H,$J780))</f>
        <v/>
      </c>
      <c r="G780" s="28" t="str">
        <f>IF($J780="","",INDEX('Detalle individual'!$J:$J,$J780))</f>
        <v/>
      </c>
      <c r="H780" s="28" t="str">
        <f>IF($J780="","",INDEX('Detalle individual'!$L:$L,$J780))</f>
        <v/>
      </c>
      <c r="J780" t="str">
        <f>IFERROR(MATCH(SMALL(Cálculos!$AI$5:$AI$1000,776),Cálculos!$AI$5:$AI$1000,0)+4,"")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23" t="str">
        <f>IF($J781="","",INDEX('Detalle individual'!$H:$H,$J781))</f>
        <v/>
      </c>
      <c r="G781" s="28" t="str">
        <f>IF($J781="","",INDEX('Detalle individual'!$J:$J,$J781))</f>
        <v/>
      </c>
      <c r="H781" s="28" t="str">
        <f>IF($J781="","",INDEX('Detalle individual'!$L:$L,$J781))</f>
        <v/>
      </c>
      <c r="J781" t="str">
        <f>IFERROR(MATCH(SMALL(Cálculos!$AI$5:$AI$1000,777),Cálculos!$AI$5:$AI$1000,0)+4,"")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23" t="str">
        <f>IF($J782="","",INDEX('Detalle individual'!$H:$H,$J782))</f>
        <v/>
      </c>
      <c r="G782" s="28" t="str">
        <f>IF($J782="","",INDEX('Detalle individual'!$J:$J,$J782))</f>
        <v/>
      </c>
      <c r="H782" s="28" t="str">
        <f>IF($J782="","",INDEX('Detalle individual'!$L:$L,$J782))</f>
        <v/>
      </c>
      <c r="J782" t="str">
        <f>IFERROR(MATCH(SMALL(Cálculos!$AI$5:$AI$1000,778),Cálculos!$AI$5:$AI$1000,0)+4,"")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23" t="str">
        <f>IF($J783="","",INDEX('Detalle individual'!$H:$H,$J783))</f>
        <v/>
      </c>
      <c r="G783" s="28" t="str">
        <f>IF($J783="","",INDEX('Detalle individual'!$J:$J,$J783))</f>
        <v/>
      </c>
      <c r="H783" s="28" t="str">
        <f>IF($J783="","",INDEX('Detalle individual'!$L:$L,$J783))</f>
        <v/>
      </c>
      <c r="J783" t="str">
        <f>IFERROR(MATCH(SMALL(Cálculos!$AI$5:$AI$1000,779),Cálculos!$AI$5:$AI$1000,0)+4,"")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23" t="str">
        <f>IF($J784="","",INDEX('Detalle individual'!$H:$H,$J784))</f>
        <v/>
      </c>
      <c r="G784" s="28" t="str">
        <f>IF($J784="","",INDEX('Detalle individual'!$J:$J,$J784))</f>
        <v/>
      </c>
      <c r="H784" s="28" t="str">
        <f>IF($J784="","",INDEX('Detalle individual'!$L:$L,$J784))</f>
        <v/>
      </c>
      <c r="J784" t="str">
        <f>IFERROR(MATCH(SMALL(Cálculos!$AI$5:$AI$1000,780),Cálculos!$AI$5:$AI$1000,0)+4,"")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23" t="str">
        <f>IF($J785="","",INDEX('Detalle individual'!$H:$H,$J785))</f>
        <v/>
      </c>
      <c r="G785" s="28" t="str">
        <f>IF($J785="","",INDEX('Detalle individual'!$J:$J,$J785))</f>
        <v/>
      </c>
      <c r="H785" s="28" t="str">
        <f>IF($J785="","",INDEX('Detalle individual'!$L:$L,$J785))</f>
        <v/>
      </c>
      <c r="J785" t="str">
        <f>IFERROR(MATCH(SMALL(Cálculos!$AI$5:$AI$1000,781),Cálculos!$AI$5:$AI$1000,0)+4,"")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23" t="str">
        <f>IF($J786="","",INDEX('Detalle individual'!$H:$H,$J786))</f>
        <v/>
      </c>
      <c r="G786" s="28" t="str">
        <f>IF($J786="","",INDEX('Detalle individual'!$J:$J,$J786))</f>
        <v/>
      </c>
      <c r="H786" s="28" t="str">
        <f>IF($J786="","",INDEX('Detalle individual'!$L:$L,$J786))</f>
        <v/>
      </c>
      <c r="J786" t="str">
        <f>IFERROR(MATCH(SMALL(Cálculos!$AI$5:$AI$1000,782),Cálculos!$AI$5:$AI$1000,0)+4,"")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23" t="str">
        <f>IF($J787="","",INDEX('Detalle individual'!$H:$H,$J787))</f>
        <v/>
      </c>
      <c r="G787" s="28" t="str">
        <f>IF($J787="","",INDEX('Detalle individual'!$J:$J,$J787))</f>
        <v/>
      </c>
      <c r="H787" s="28" t="str">
        <f>IF($J787="","",INDEX('Detalle individual'!$L:$L,$J787))</f>
        <v/>
      </c>
      <c r="J787" t="str">
        <f>IFERROR(MATCH(SMALL(Cálculos!$AI$5:$AI$1000,783),Cálculos!$AI$5:$AI$1000,0)+4,"")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23" t="str">
        <f>IF($J788="","",INDEX('Detalle individual'!$H:$H,$J788))</f>
        <v/>
      </c>
      <c r="G788" s="28" t="str">
        <f>IF($J788="","",INDEX('Detalle individual'!$J:$J,$J788))</f>
        <v/>
      </c>
      <c r="H788" s="28" t="str">
        <f>IF($J788="","",INDEX('Detalle individual'!$L:$L,$J788))</f>
        <v/>
      </c>
      <c r="J788" t="str">
        <f>IFERROR(MATCH(SMALL(Cálculos!$AI$5:$AI$1000,784),Cálculos!$AI$5:$AI$1000,0)+4,"")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23" t="str">
        <f>IF($J789="","",INDEX('Detalle individual'!$H:$H,$J789))</f>
        <v/>
      </c>
      <c r="G789" s="28" t="str">
        <f>IF($J789="","",INDEX('Detalle individual'!$J:$J,$J789))</f>
        <v/>
      </c>
      <c r="H789" s="28" t="str">
        <f>IF($J789="","",INDEX('Detalle individual'!$L:$L,$J789))</f>
        <v/>
      </c>
      <c r="J789" t="str">
        <f>IFERROR(MATCH(SMALL(Cálculos!$AI$5:$AI$1000,785),Cálculos!$AI$5:$AI$1000,0)+4,"")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23" t="str">
        <f>IF($J790="","",INDEX('Detalle individual'!$H:$H,$J790))</f>
        <v/>
      </c>
      <c r="G790" s="28" t="str">
        <f>IF($J790="","",INDEX('Detalle individual'!$J:$J,$J790))</f>
        <v/>
      </c>
      <c r="H790" s="28" t="str">
        <f>IF($J790="","",INDEX('Detalle individual'!$L:$L,$J790))</f>
        <v/>
      </c>
      <c r="J790" t="str">
        <f>IFERROR(MATCH(SMALL(Cálculos!$AI$5:$AI$1000,786),Cálculos!$AI$5:$AI$1000,0)+4,"")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23" t="str">
        <f>IF($J791="","",INDEX('Detalle individual'!$H:$H,$J791))</f>
        <v/>
      </c>
      <c r="G791" s="28" t="str">
        <f>IF($J791="","",INDEX('Detalle individual'!$J:$J,$J791))</f>
        <v/>
      </c>
      <c r="H791" s="28" t="str">
        <f>IF($J791="","",INDEX('Detalle individual'!$L:$L,$J791))</f>
        <v/>
      </c>
      <c r="J791" t="str">
        <f>IFERROR(MATCH(SMALL(Cálculos!$AI$5:$AI$1000,787),Cálculos!$AI$5:$AI$1000,0)+4,"")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23" t="str">
        <f>IF($J792="","",INDEX('Detalle individual'!$H:$H,$J792))</f>
        <v/>
      </c>
      <c r="G792" s="28" t="str">
        <f>IF($J792="","",INDEX('Detalle individual'!$J:$J,$J792))</f>
        <v/>
      </c>
      <c r="H792" s="28" t="str">
        <f>IF($J792="","",INDEX('Detalle individual'!$L:$L,$J792))</f>
        <v/>
      </c>
      <c r="J792" t="str">
        <f>IFERROR(MATCH(SMALL(Cálculos!$AI$5:$AI$1000,788),Cálculos!$AI$5:$AI$1000,0)+4,"")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23" t="str">
        <f>IF($J793="","",INDEX('Detalle individual'!$H:$H,$J793))</f>
        <v/>
      </c>
      <c r="G793" s="28" t="str">
        <f>IF($J793="","",INDEX('Detalle individual'!$J:$J,$J793))</f>
        <v/>
      </c>
      <c r="H793" s="28" t="str">
        <f>IF($J793="","",INDEX('Detalle individual'!$L:$L,$J793))</f>
        <v/>
      </c>
      <c r="J793" t="str">
        <f>IFERROR(MATCH(SMALL(Cálculos!$AI$5:$AI$1000,789),Cálculos!$AI$5:$AI$1000,0)+4,"")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23" t="str">
        <f>IF($J794="","",INDEX('Detalle individual'!$H:$H,$J794))</f>
        <v/>
      </c>
      <c r="G794" s="28" t="str">
        <f>IF($J794="","",INDEX('Detalle individual'!$J:$J,$J794))</f>
        <v/>
      </c>
      <c r="H794" s="28" t="str">
        <f>IF($J794="","",INDEX('Detalle individual'!$L:$L,$J794))</f>
        <v/>
      </c>
      <c r="J794" t="str">
        <f>IFERROR(MATCH(SMALL(Cálculos!$AI$5:$AI$1000,790),Cálculos!$AI$5:$AI$1000,0)+4,"")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23" t="str">
        <f>IF($J795="","",INDEX('Detalle individual'!$H:$H,$J795))</f>
        <v/>
      </c>
      <c r="G795" s="28" t="str">
        <f>IF($J795="","",INDEX('Detalle individual'!$J:$J,$J795))</f>
        <v/>
      </c>
      <c r="H795" s="28" t="str">
        <f>IF($J795="","",INDEX('Detalle individual'!$L:$L,$J795))</f>
        <v/>
      </c>
      <c r="J795" t="str">
        <f>IFERROR(MATCH(SMALL(Cálculos!$AI$5:$AI$1000,791),Cálculos!$AI$5:$AI$1000,0)+4,"")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23" t="str">
        <f>IF($J796="","",INDEX('Detalle individual'!$H:$H,$J796))</f>
        <v/>
      </c>
      <c r="G796" s="28" t="str">
        <f>IF($J796="","",INDEX('Detalle individual'!$J:$J,$J796))</f>
        <v/>
      </c>
      <c r="H796" s="28" t="str">
        <f>IF($J796="","",INDEX('Detalle individual'!$L:$L,$J796))</f>
        <v/>
      </c>
      <c r="J796" t="str">
        <f>IFERROR(MATCH(SMALL(Cálculos!$AI$5:$AI$1000,792),Cálculos!$AI$5:$AI$1000,0)+4,"")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23" t="str">
        <f>IF($J797="","",INDEX('Detalle individual'!$H:$H,$J797))</f>
        <v/>
      </c>
      <c r="G797" s="28" t="str">
        <f>IF($J797="","",INDEX('Detalle individual'!$J:$J,$J797))</f>
        <v/>
      </c>
      <c r="H797" s="28" t="str">
        <f>IF($J797="","",INDEX('Detalle individual'!$L:$L,$J797))</f>
        <v/>
      </c>
      <c r="J797" t="str">
        <f>IFERROR(MATCH(SMALL(Cálculos!$AI$5:$AI$1000,793),Cálculos!$AI$5:$AI$1000,0)+4,"")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23" t="str">
        <f>IF($J798="","",INDEX('Detalle individual'!$H:$H,$J798))</f>
        <v/>
      </c>
      <c r="G798" s="28" t="str">
        <f>IF($J798="","",INDEX('Detalle individual'!$J:$J,$J798))</f>
        <v/>
      </c>
      <c r="H798" s="28" t="str">
        <f>IF($J798="","",INDEX('Detalle individual'!$L:$L,$J798))</f>
        <v/>
      </c>
      <c r="J798" t="str">
        <f>IFERROR(MATCH(SMALL(Cálculos!$AI$5:$AI$1000,794),Cálculos!$AI$5:$AI$1000,0)+4,"")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23" t="str">
        <f>IF($J799="","",INDEX('Detalle individual'!$H:$H,$J799))</f>
        <v/>
      </c>
      <c r="G799" s="28" t="str">
        <f>IF($J799="","",INDEX('Detalle individual'!$J:$J,$J799))</f>
        <v/>
      </c>
      <c r="H799" s="28" t="str">
        <f>IF($J799="","",INDEX('Detalle individual'!$L:$L,$J799))</f>
        <v/>
      </c>
      <c r="J799" t="str">
        <f>IFERROR(MATCH(SMALL(Cálculos!$AI$5:$AI$1000,795),Cálculos!$AI$5:$AI$1000,0)+4,"")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23" t="str">
        <f>IF($J800="","",INDEX('Detalle individual'!$H:$H,$J800))</f>
        <v/>
      </c>
      <c r="G800" s="28" t="str">
        <f>IF($J800="","",INDEX('Detalle individual'!$J:$J,$J800))</f>
        <v/>
      </c>
      <c r="H800" s="28" t="str">
        <f>IF($J800="","",INDEX('Detalle individual'!$L:$L,$J800))</f>
        <v/>
      </c>
      <c r="J800" t="str">
        <f>IFERROR(MATCH(SMALL(Cálculos!$AI$5:$AI$1000,796),Cálculos!$AI$5:$AI$1000,0)+4,"")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23" t="str">
        <f>IF($J801="","",INDEX('Detalle individual'!$H:$H,$J801))</f>
        <v/>
      </c>
      <c r="G801" s="28" t="str">
        <f>IF($J801="","",INDEX('Detalle individual'!$J:$J,$J801))</f>
        <v/>
      </c>
      <c r="H801" s="28" t="str">
        <f>IF($J801="","",INDEX('Detalle individual'!$L:$L,$J801))</f>
        <v/>
      </c>
      <c r="J801" t="str">
        <f>IFERROR(MATCH(SMALL(Cálculos!$AI$5:$AI$1000,797),Cálculos!$AI$5:$AI$1000,0)+4,"")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23" t="str">
        <f>IF($J802="","",INDEX('Detalle individual'!$H:$H,$J802))</f>
        <v/>
      </c>
      <c r="G802" s="28" t="str">
        <f>IF($J802="","",INDEX('Detalle individual'!$J:$J,$J802))</f>
        <v/>
      </c>
      <c r="H802" s="28" t="str">
        <f>IF($J802="","",INDEX('Detalle individual'!$L:$L,$J802))</f>
        <v/>
      </c>
      <c r="J802" t="str">
        <f>IFERROR(MATCH(SMALL(Cálculos!$AI$5:$AI$1000,798),Cálculos!$AI$5:$AI$1000,0)+4,"")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23" t="str">
        <f>IF($J803="","",INDEX('Detalle individual'!$H:$H,$J803))</f>
        <v/>
      </c>
      <c r="G803" s="28" t="str">
        <f>IF($J803="","",INDEX('Detalle individual'!$J:$J,$J803))</f>
        <v/>
      </c>
      <c r="H803" s="28" t="str">
        <f>IF($J803="","",INDEX('Detalle individual'!$L:$L,$J803))</f>
        <v/>
      </c>
      <c r="J803" t="str">
        <f>IFERROR(MATCH(SMALL(Cálculos!$AI$5:$AI$1000,799),Cálculos!$AI$5:$AI$1000,0)+4,"")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23" t="str">
        <f>IF($J804="","",INDEX('Detalle individual'!$H:$H,$J804))</f>
        <v/>
      </c>
      <c r="G804" s="28" t="str">
        <f>IF($J804="","",INDEX('Detalle individual'!$J:$J,$J804))</f>
        <v/>
      </c>
      <c r="H804" s="28" t="str">
        <f>IF($J804="","",INDEX('Detalle individual'!$L:$L,$J804))</f>
        <v/>
      </c>
      <c r="J804" t="str">
        <f>IFERROR(MATCH(SMALL(Cálculos!$AI$5:$AI$1000,800),Cálculos!$AI$5:$AI$1000,0)+4,"")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23" t="str">
        <f>IF($J805="","",INDEX('Detalle individual'!$H:$H,$J805))</f>
        <v/>
      </c>
      <c r="G805" s="28" t="str">
        <f>IF($J805="","",INDEX('Detalle individual'!$J:$J,$J805))</f>
        <v/>
      </c>
      <c r="H805" s="28" t="str">
        <f>IF($J805="","",INDEX('Detalle individual'!$L:$L,$J805))</f>
        <v/>
      </c>
      <c r="J805" t="str">
        <f>IFERROR(MATCH(SMALL(Cálculos!$AI$5:$AI$1000,801),Cálculos!$AI$5:$AI$1000,0)+4,"")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23" t="str">
        <f>IF($J806="","",INDEX('Detalle individual'!$H:$H,$J806))</f>
        <v/>
      </c>
      <c r="G806" s="28" t="str">
        <f>IF($J806="","",INDEX('Detalle individual'!$J:$J,$J806))</f>
        <v/>
      </c>
      <c r="H806" s="28" t="str">
        <f>IF($J806="","",INDEX('Detalle individual'!$L:$L,$J806))</f>
        <v/>
      </c>
      <c r="J806" t="str">
        <f>IFERROR(MATCH(SMALL(Cálculos!$AI$5:$AI$1000,802),Cálculos!$AI$5:$AI$1000,0)+4,"")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23" t="str">
        <f>IF($J807="","",INDEX('Detalle individual'!$H:$H,$J807))</f>
        <v/>
      </c>
      <c r="G807" s="28" t="str">
        <f>IF($J807="","",INDEX('Detalle individual'!$J:$J,$J807))</f>
        <v/>
      </c>
      <c r="H807" s="28" t="str">
        <f>IF($J807="","",INDEX('Detalle individual'!$L:$L,$J807))</f>
        <v/>
      </c>
      <c r="J807" t="str">
        <f>IFERROR(MATCH(SMALL(Cálculos!$AI$5:$AI$1000,803),Cálculos!$AI$5:$AI$1000,0)+4,"")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23" t="str">
        <f>IF($J808="","",INDEX('Detalle individual'!$H:$H,$J808))</f>
        <v/>
      </c>
      <c r="G808" s="28" t="str">
        <f>IF($J808="","",INDEX('Detalle individual'!$J:$J,$J808))</f>
        <v/>
      </c>
      <c r="H808" s="28" t="str">
        <f>IF($J808="","",INDEX('Detalle individual'!$L:$L,$J808))</f>
        <v/>
      </c>
      <c r="J808" t="str">
        <f>IFERROR(MATCH(SMALL(Cálculos!$AI$5:$AI$1000,804),Cálculos!$AI$5:$AI$1000,0)+4,"")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23" t="str">
        <f>IF($J809="","",INDEX('Detalle individual'!$H:$H,$J809))</f>
        <v/>
      </c>
      <c r="G809" s="28" t="str">
        <f>IF($J809="","",INDEX('Detalle individual'!$J:$J,$J809))</f>
        <v/>
      </c>
      <c r="H809" s="28" t="str">
        <f>IF($J809="","",INDEX('Detalle individual'!$L:$L,$J809))</f>
        <v/>
      </c>
      <c r="J809" t="str">
        <f>IFERROR(MATCH(SMALL(Cálculos!$AI$5:$AI$1000,805),Cálculos!$AI$5:$AI$1000,0)+4,"")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23" t="str">
        <f>IF($J810="","",INDEX('Detalle individual'!$H:$H,$J810))</f>
        <v/>
      </c>
      <c r="G810" s="28" t="str">
        <f>IF($J810="","",INDEX('Detalle individual'!$J:$J,$J810))</f>
        <v/>
      </c>
      <c r="H810" s="28" t="str">
        <f>IF($J810="","",INDEX('Detalle individual'!$L:$L,$J810))</f>
        <v/>
      </c>
      <c r="J810" t="str">
        <f>IFERROR(MATCH(SMALL(Cálculos!$AI$5:$AI$1000,806),Cálculos!$AI$5:$AI$1000,0)+4,"")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23" t="str">
        <f>IF($J811="","",INDEX('Detalle individual'!$H:$H,$J811))</f>
        <v/>
      </c>
      <c r="G811" s="28" t="str">
        <f>IF($J811="","",INDEX('Detalle individual'!$J:$J,$J811))</f>
        <v/>
      </c>
      <c r="H811" s="28" t="str">
        <f>IF($J811="","",INDEX('Detalle individual'!$L:$L,$J811))</f>
        <v/>
      </c>
      <c r="J811" t="str">
        <f>IFERROR(MATCH(SMALL(Cálculos!$AI$5:$AI$1000,807),Cálculos!$AI$5:$AI$1000,0)+4,"")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23" t="str">
        <f>IF($J812="","",INDEX('Detalle individual'!$H:$H,$J812))</f>
        <v/>
      </c>
      <c r="G812" s="28" t="str">
        <f>IF($J812="","",INDEX('Detalle individual'!$J:$J,$J812))</f>
        <v/>
      </c>
      <c r="H812" s="28" t="str">
        <f>IF($J812="","",INDEX('Detalle individual'!$L:$L,$J812))</f>
        <v/>
      </c>
      <c r="J812" t="str">
        <f>IFERROR(MATCH(SMALL(Cálculos!$AI$5:$AI$1000,808),Cálculos!$AI$5:$AI$1000,0)+4,"")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23" t="str">
        <f>IF($J813="","",INDEX('Detalle individual'!$H:$H,$J813))</f>
        <v/>
      </c>
      <c r="G813" s="28" t="str">
        <f>IF($J813="","",INDEX('Detalle individual'!$J:$J,$J813))</f>
        <v/>
      </c>
      <c r="H813" s="28" t="str">
        <f>IF($J813="","",INDEX('Detalle individual'!$L:$L,$J813))</f>
        <v/>
      </c>
      <c r="J813" t="str">
        <f>IFERROR(MATCH(SMALL(Cálculos!$AI$5:$AI$1000,809),Cálculos!$AI$5:$AI$1000,0)+4,"")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23" t="str">
        <f>IF($J814="","",INDEX('Detalle individual'!$H:$H,$J814))</f>
        <v/>
      </c>
      <c r="G814" s="28" t="str">
        <f>IF($J814="","",INDEX('Detalle individual'!$J:$J,$J814))</f>
        <v/>
      </c>
      <c r="H814" s="28" t="str">
        <f>IF($J814="","",INDEX('Detalle individual'!$L:$L,$J814))</f>
        <v/>
      </c>
      <c r="J814" t="str">
        <f>IFERROR(MATCH(SMALL(Cálculos!$AI$5:$AI$1000,810),Cálculos!$AI$5:$AI$1000,0)+4,"")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23" t="str">
        <f>IF($J815="","",INDEX('Detalle individual'!$H:$H,$J815))</f>
        <v/>
      </c>
      <c r="G815" s="28" t="str">
        <f>IF($J815="","",INDEX('Detalle individual'!$J:$J,$J815))</f>
        <v/>
      </c>
      <c r="H815" s="28" t="str">
        <f>IF($J815="","",INDEX('Detalle individual'!$L:$L,$J815))</f>
        <v/>
      </c>
      <c r="J815" t="str">
        <f>IFERROR(MATCH(SMALL(Cálculos!$AI$5:$AI$1000,811),Cálculos!$AI$5:$AI$1000,0)+4,"")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23" t="str">
        <f>IF($J816="","",INDEX('Detalle individual'!$H:$H,$J816))</f>
        <v/>
      </c>
      <c r="G816" s="28" t="str">
        <f>IF($J816="","",INDEX('Detalle individual'!$J:$J,$J816))</f>
        <v/>
      </c>
      <c r="H816" s="28" t="str">
        <f>IF($J816="","",INDEX('Detalle individual'!$L:$L,$J816))</f>
        <v/>
      </c>
      <c r="J816" t="str">
        <f>IFERROR(MATCH(SMALL(Cálculos!$AI$5:$AI$1000,812),Cálculos!$AI$5:$AI$1000,0)+4,"")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23" t="str">
        <f>IF($J817="","",INDEX('Detalle individual'!$H:$H,$J817))</f>
        <v/>
      </c>
      <c r="G817" s="28" t="str">
        <f>IF($J817="","",INDEX('Detalle individual'!$J:$J,$J817))</f>
        <v/>
      </c>
      <c r="H817" s="28" t="str">
        <f>IF($J817="","",INDEX('Detalle individual'!$L:$L,$J817))</f>
        <v/>
      </c>
      <c r="J817" t="str">
        <f>IFERROR(MATCH(SMALL(Cálculos!$AI$5:$AI$1000,813),Cálculos!$AI$5:$AI$1000,0)+4,"")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23" t="str">
        <f>IF($J818="","",INDEX('Detalle individual'!$H:$H,$J818))</f>
        <v/>
      </c>
      <c r="G818" s="28" t="str">
        <f>IF($J818="","",INDEX('Detalle individual'!$J:$J,$J818))</f>
        <v/>
      </c>
      <c r="H818" s="28" t="str">
        <f>IF($J818="","",INDEX('Detalle individual'!$L:$L,$J818))</f>
        <v/>
      </c>
      <c r="J818" t="str">
        <f>IFERROR(MATCH(SMALL(Cálculos!$AI$5:$AI$1000,814),Cálculos!$AI$5:$AI$1000,0)+4,"")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23" t="str">
        <f>IF($J819="","",INDEX('Detalle individual'!$H:$H,$J819))</f>
        <v/>
      </c>
      <c r="G819" s="28" t="str">
        <f>IF($J819="","",INDEX('Detalle individual'!$J:$J,$J819))</f>
        <v/>
      </c>
      <c r="H819" s="28" t="str">
        <f>IF($J819="","",INDEX('Detalle individual'!$L:$L,$J819))</f>
        <v/>
      </c>
      <c r="J819" t="str">
        <f>IFERROR(MATCH(SMALL(Cálculos!$AI$5:$AI$1000,815),Cálculos!$AI$5:$AI$1000,0)+4,"")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23" t="str">
        <f>IF($J820="","",INDEX('Detalle individual'!$H:$H,$J820))</f>
        <v/>
      </c>
      <c r="G820" s="28" t="str">
        <f>IF($J820="","",INDEX('Detalle individual'!$J:$J,$J820))</f>
        <v/>
      </c>
      <c r="H820" s="28" t="str">
        <f>IF($J820="","",INDEX('Detalle individual'!$L:$L,$J820))</f>
        <v/>
      </c>
      <c r="J820" t="str">
        <f>IFERROR(MATCH(SMALL(Cálculos!$AI$5:$AI$1000,816),Cálculos!$AI$5:$AI$1000,0)+4,"")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23" t="str">
        <f>IF($J821="","",INDEX('Detalle individual'!$H:$H,$J821))</f>
        <v/>
      </c>
      <c r="G821" s="28" t="str">
        <f>IF($J821="","",INDEX('Detalle individual'!$J:$J,$J821))</f>
        <v/>
      </c>
      <c r="H821" s="28" t="str">
        <f>IF($J821="","",INDEX('Detalle individual'!$L:$L,$J821))</f>
        <v/>
      </c>
      <c r="J821" t="str">
        <f>IFERROR(MATCH(SMALL(Cálculos!$AI$5:$AI$1000,817),Cálculos!$AI$5:$AI$1000,0)+4,"")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23" t="str">
        <f>IF($J822="","",INDEX('Detalle individual'!$H:$H,$J822))</f>
        <v/>
      </c>
      <c r="G822" s="28" t="str">
        <f>IF($J822="","",INDEX('Detalle individual'!$J:$J,$J822))</f>
        <v/>
      </c>
      <c r="H822" s="28" t="str">
        <f>IF($J822="","",INDEX('Detalle individual'!$L:$L,$J822))</f>
        <v/>
      </c>
      <c r="J822" t="str">
        <f>IFERROR(MATCH(SMALL(Cálculos!$AI$5:$AI$1000,818),Cálculos!$AI$5:$AI$1000,0)+4,"")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23" t="str">
        <f>IF($J823="","",INDEX('Detalle individual'!$H:$H,$J823))</f>
        <v/>
      </c>
      <c r="G823" s="28" t="str">
        <f>IF($J823="","",INDEX('Detalle individual'!$J:$J,$J823))</f>
        <v/>
      </c>
      <c r="H823" s="28" t="str">
        <f>IF($J823="","",INDEX('Detalle individual'!$L:$L,$J823))</f>
        <v/>
      </c>
      <c r="J823" t="str">
        <f>IFERROR(MATCH(SMALL(Cálculos!$AI$5:$AI$1000,819),Cálculos!$AI$5:$AI$1000,0)+4,"")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23" t="str">
        <f>IF($J824="","",INDEX('Detalle individual'!$H:$H,$J824))</f>
        <v/>
      </c>
      <c r="G824" s="28" t="str">
        <f>IF($J824="","",INDEX('Detalle individual'!$J:$J,$J824))</f>
        <v/>
      </c>
      <c r="H824" s="28" t="str">
        <f>IF($J824="","",INDEX('Detalle individual'!$L:$L,$J824))</f>
        <v/>
      </c>
      <c r="J824" t="str">
        <f>IFERROR(MATCH(SMALL(Cálculos!$AI$5:$AI$1000,820),Cálculos!$AI$5:$AI$1000,0)+4,"")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23" t="str">
        <f>IF($J825="","",INDEX('Detalle individual'!$H:$H,$J825))</f>
        <v/>
      </c>
      <c r="G825" s="28" t="str">
        <f>IF($J825="","",INDEX('Detalle individual'!$J:$J,$J825))</f>
        <v/>
      </c>
      <c r="H825" s="28" t="str">
        <f>IF($J825="","",INDEX('Detalle individual'!$L:$L,$J825))</f>
        <v/>
      </c>
      <c r="J825" t="str">
        <f>IFERROR(MATCH(SMALL(Cálculos!$AI$5:$AI$1000,821),Cálculos!$AI$5:$AI$1000,0)+4,"")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23" t="str">
        <f>IF($J826="","",INDEX('Detalle individual'!$H:$H,$J826))</f>
        <v/>
      </c>
      <c r="G826" s="28" t="str">
        <f>IF($J826="","",INDEX('Detalle individual'!$J:$J,$J826))</f>
        <v/>
      </c>
      <c r="H826" s="28" t="str">
        <f>IF($J826="","",INDEX('Detalle individual'!$L:$L,$J826))</f>
        <v/>
      </c>
      <c r="J826" t="str">
        <f>IFERROR(MATCH(SMALL(Cálculos!$AI$5:$AI$1000,822),Cálculos!$AI$5:$AI$1000,0)+4,"")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23" t="str">
        <f>IF($J827="","",INDEX('Detalle individual'!$H:$H,$J827))</f>
        <v/>
      </c>
      <c r="G827" s="28" t="str">
        <f>IF($J827="","",INDEX('Detalle individual'!$J:$J,$J827))</f>
        <v/>
      </c>
      <c r="H827" s="28" t="str">
        <f>IF($J827="","",INDEX('Detalle individual'!$L:$L,$J827))</f>
        <v/>
      </c>
      <c r="J827" t="str">
        <f>IFERROR(MATCH(SMALL(Cálculos!$AI$5:$AI$1000,823),Cálculos!$AI$5:$AI$1000,0)+4,"")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23" t="str">
        <f>IF($J828="","",INDEX('Detalle individual'!$H:$H,$J828))</f>
        <v/>
      </c>
      <c r="G828" s="28" t="str">
        <f>IF($J828="","",INDEX('Detalle individual'!$J:$J,$J828))</f>
        <v/>
      </c>
      <c r="H828" s="28" t="str">
        <f>IF($J828="","",INDEX('Detalle individual'!$L:$L,$J828))</f>
        <v/>
      </c>
      <c r="J828" t="str">
        <f>IFERROR(MATCH(SMALL(Cálculos!$AI$5:$AI$1000,824),Cálculos!$AI$5:$AI$1000,0)+4,"")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23" t="str">
        <f>IF($J829="","",INDEX('Detalle individual'!$H:$H,$J829))</f>
        <v/>
      </c>
      <c r="G829" s="28" t="str">
        <f>IF($J829="","",INDEX('Detalle individual'!$J:$J,$J829))</f>
        <v/>
      </c>
      <c r="H829" s="28" t="str">
        <f>IF($J829="","",INDEX('Detalle individual'!$L:$L,$J829))</f>
        <v/>
      </c>
      <c r="J829" t="str">
        <f>IFERROR(MATCH(SMALL(Cálculos!$AI$5:$AI$1000,825),Cálculos!$AI$5:$AI$1000,0)+4,"")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23" t="str">
        <f>IF($J830="","",INDEX('Detalle individual'!$H:$H,$J830))</f>
        <v/>
      </c>
      <c r="G830" s="28" t="str">
        <f>IF($J830="","",INDEX('Detalle individual'!$J:$J,$J830))</f>
        <v/>
      </c>
      <c r="H830" s="28" t="str">
        <f>IF($J830="","",INDEX('Detalle individual'!$L:$L,$J830))</f>
        <v/>
      </c>
      <c r="J830" t="str">
        <f>IFERROR(MATCH(SMALL(Cálculos!$AI$5:$AI$1000,826),Cálculos!$AI$5:$AI$1000,0)+4,"")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23" t="str">
        <f>IF($J831="","",INDEX('Detalle individual'!$H:$H,$J831))</f>
        <v/>
      </c>
      <c r="G831" s="28" t="str">
        <f>IF($J831="","",INDEX('Detalle individual'!$J:$J,$J831))</f>
        <v/>
      </c>
      <c r="H831" s="28" t="str">
        <f>IF($J831="","",INDEX('Detalle individual'!$L:$L,$J831))</f>
        <v/>
      </c>
      <c r="J831" t="str">
        <f>IFERROR(MATCH(SMALL(Cálculos!$AI$5:$AI$1000,827),Cálculos!$AI$5:$AI$1000,0)+4,"")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23" t="str">
        <f>IF($J832="","",INDEX('Detalle individual'!$H:$H,$J832))</f>
        <v/>
      </c>
      <c r="G832" s="28" t="str">
        <f>IF($J832="","",INDEX('Detalle individual'!$J:$J,$J832))</f>
        <v/>
      </c>
      <c r="H832" s="28" t="str">
        <f>IF($J832="","",INDEX('Detalle individual'!$L:$L,$J832))</f>
        <v/>
      </c>
      <c r="J832" t="str">
        <f>IFERROR(MATCH(SMALL(Cálculos!$AI$5:$AI$1000,828),Cálculos!$AI$5:$AI$1000,0)+4,"")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23" t="str">
        <f>IF($J833="","",INDEX('Detalle individual'!$H:$H,$J833))</f>
        <v/>
      </c>
      <c r="G833" s="28" t="str">
        <f>IF($J833="","",INDEX('Detalle individual'!$J:$J,$J833))</f>
        <v/>
      </c>
      <c r="H833" s="28" t="str">
        <f>IF($J833="","",INDEX('Detalle individual'!$L:$L,$J833))</f>
        <v/>
      </c>
      <c r="J833" t="str">
        <f>IFERROR(MATCH(SMALL(Cálculos!$AI$5:$AI$1000,829),Cálculos!$AI$5:$AI$1000,0)+4,"")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23" t="str">
        <f>IF($J834="","",INDEX('Detalle individual'!$H:$H,$J834))</f>
        <v/>
      </c>
      <c r="G834" s="28" t="str">
        <f>IF($J834="","",INDEX('Detalle individual'!$J:$J,$J834))</f>
        <v/>
      </c>
      <c r="H834" s="28" t="str">
        <f>IF($J834="","",INDEX('Detalle individual'!$L:$L,$J834))</f>
        <v/>
      </c>
      <c r="J834" t="str">
        <f>IFERROR(MATCH(SMALL(Cálculos!$AI$5:$AI$1000,830),Cálculos!$AI$5:$AI$1000,0)+4,"")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23" t="str">
        <f>IF($J835="","",INDEX('Detalle individual'!$H:$H,$J835))</f>
        <v/>
      </c>
      <c r="G835" s="28" t="str">
        <f>IF($J835="","",INDEX('Detalle individual'!$J:$J,$J835))</f>
        <v/>
      </c>
      <c r="H835" s="28" t="str">
        <f>IF($J835="","",INDEX('Detalle individual'!$L:$L,$J835))</f>
        <v/>
      </c>
      <c r="J835" t="str">
        <f>IFERROR(MATCH(SMALL(Cálculos!$AI$5:$AI$1000,831),Cálculos!$AI$5:$AI$1000,0)+4,"")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23" t="str">
        <f>IF($J836="","",INDEX('Detalle individual'!$H:$H,$J836))</f>
        <v/>
      </c>
      <c r="G836" s="28" t="str">
        <f>IF($J836="","",INDEX('Detalle individual'!$J:$J,$J836))</f>
        <v/>
      </c>
      <c r="H836" s="28" t="str">
        <f>IF($J836="","",INDEX('Detalle individual'!$L:$L,$J836))</f>
        <v/>
      </c>
      <c r="J836" t="str">
        <f>IFERROR(MATCH(SMALL(Cálculos!$AI$5:$AI$1000,832),Cálculos!$AI$5:$AI$1000,0)+4,"")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23" t="str">
        <f>IF($J837="","",INDEX('Detalle individual'!$H:$H,$J837))</f>
        <v/>
      </c>
      <c r="G837" s="28" t="str">
        <f>IF($J837="","",INDEX('Detalle individual'!$J:$J,$J837))</f>
        <v/>
      </c>
      <c r="H837" s="28" t="str">
        <f>IF($J837="","",INDEX('Detalle individual'!$L:$L,$J837))</f>
        <v/>
      </c>
      <c r="J837" t="str">
        <f>IFERROR(MATCH(SMALL(Cálculos!$AI$5:$AI$1000,833),Cálculos!$AI$5:$AI$1000,0)+4,"")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23" t="str">
        <f>IF($J838="","",INDEX('Detalle individual'!$H:$H,$J838))</f>
        <v/>
      </c>
      <c r="G838" s="28" t="str">
        <f>IF($J838="","",INDEX('Detalle individual'!$J:$J,$J838))</f>
        <v/>
      </c>
      <c r="H838" s="28" t="str">
        <f>IF($J838="","",INDEX('Detalle individual'!$L:$L,$J838))</f>
        <v/>
      </c>
      <c r="J838" t="str">
        <f>IFERROR(MATCH(SMALL(Cálculos!$AI$5:$AI$1000,834),Cálculos!$AI$5:$AI$1000,0)+4,"")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23" t="str">
        <f>IF($J839="","",INDEX('Detalle individual'!$H:$H,$J839))</f>
        <v/>
      </c>
      <c r="G839" s="28" t="str">
        <f>IF($J839="","",INDEX('Detalle individual'!$J:$J,$J839))</f>
        <v/>
      </c>
      <c r="H839" s="28" t="str">
        <f>IF($J839="","",INDEX('Detalle individual'!$L:$L,$J839))</f>
        <v/>
      </c>
      <c r="J839" t="str">
        <f>IFERROR(MATCH(SMALL(Cálculos!$AI$5:$AI$1000,835),Cálculos!$AI$5:$AI$1000,0)+4,"")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23" t="str">
        <f>IF($J840="","",INDEX('Detalle individual'!$H:$H,$J840))</f>
        <v/>
      </c>
      <c r="G840" s="28" t="str">
        <f>IF($J840="","",INDEX('Detalle individual'!$J:$J,$J840))</f>
        <v/>
      </c>
      <c r="H840" s="28" t="str">
        <f>IF($J840="","",INDEX('Detalle individual'!$L:$L,$J840))</f>
        <v/>
      </c>
      <c r="J840" t="str">
        <f>IFERROR(MATCH(SMALL(Cálculos!$AI$5:$AI$1000,836),Cálculos!$AI$5:$AI$1000,0)+4,"")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23" t="str">
        <f>IF($J841="","",INDEX('Detalle individual'!$H:$H,$J841))</f>
        <v/>
      </c>
      <c r="G841" s="28" t="str">
        <f>IF($J841="","",INDEX('Detalle individual'!$J:$J,$J841))</f>
        <v/>
      </c>
      <c r="H841" s="28" t="str">
        <f>IF($J841="","",INDEX('Detalle individual'!$L:$L,$J841))</f>
        <v/>
      </c>
      <c r="J841" t="str">
        <f>IFERROR(MATCH(SMALL(Cálculos!$AI$5:$AI$1000,837),Cálculos!$AI$5:$AI$1000,0)+4,"")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23" t="str">
        <f>IF($J842="","",INDEX('Detalle individual'!$H:$H,$J842))</f>
        <v/>
      </c>
      <c r="G842" s="28" t="str">
        <f>IF($J842="","",INDEX('Detalle individual'!$J:$J,$J842))</f>
        <v/>
      </c>
      <c r="H842" s="28" t="str">
        <f>IF($J842="","",INDEX('Detalle individual'!$L:$L,$J842))</f>
        <v/>
      </c>
      <c r="J842" t="str">
        <f>IFERROR(MATCH(SMALL(Cálculos!$AI$5:$AI$1000,838),Cálculos!$AI$5:$AI$1000,0)+4,"")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23" t="str">
        <f>IF($J843="","",INDEX('Detalle individual'!$H:$H,$J843))</f>
        <v/>
      </c>
      <c r="G843" s="28" t="str">
        <f>IF($J843="","",INDEX('Detalle individual'!$J:$J,$J843))</f>
        <v/>
      </c>
      <c r="H843" s="28" t="str">
        <f>IF($J843="","",INDEX('Detalle individual'!$L:$L,$J843))</f>
        <v/>
      </c>
      <c r="J843" t="str">
        <f>IFERROR(MATCH(SMALL(Cálculos!$AI$5:$AI$1000,839),Cálculos!$AI$5:$AI$1000,0)+4,"")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23" t="str">
        <f>IF($J844="","",INDEX('Detalle individual'!$H:$H,$J844))</f>
        <v/>
      </c>
      <c r="G844" s="28" t="str">
        <f>IF($J844="","",INDEX('Detalle individual'!$J:$J,$J844))</f>
        <v/>
      </c>
      <c r="H844" s="28" t="str">
        <f>IF($J844="","",INDEX('Detalle individual'!$L:$L,$J844))</f>
        <v/>
      </c>
      <c r="J844" t="str">
        <f>IFERROR(MATCH(SMALL(Cálculos!$AI$5:$AI$1000,840),Cálculos!$AI$5:$AI$1000,0)+4,"")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23" t="str">
        <f>IF($J845="","",INDEX('Detalle individual'!$H:$H,$J845))</f>
        <v/>
      </c>
      <c r="G845" s="28" t="str">
        <f>IF($J845="","",INDEX('Detalle individual'!$J:$J,$J845))</f>
        <v/>
      </c>
      <c r="H845" s="28" t="str">
        <f>IF($J845="","",INDEX('Detalle individual'!$L:$L,$J845))</f>
        <v/>
      </c>
      <c r="J845" t="str">
        <f>IFERROR(MATCH(SMALL(Cálculos!$AI$5:$AI$1000,841),Cálculos!$AI$5:$AI$1000,0)+4,"")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23" t="str">
        <f>IF($J846="","",INDEX('Detalle individual'!$H:$H,$J846))</f>
        <v/>
      </c>
      <c r="G846" s="28" t="str">
        <f>IF($J846="","",INDEX('Detalle individual'!$J:$J,$J846))</f>
        <v/>
      </c>
      <c r="H846" s="28" t="str">
        <f>IF($J846="","",INDEX('Detalle individual'!$L:$L,$J846))</f>
        <v/>
      </c>
      <c r="J846" t="str">
        <f>IFERROR(MATCH(SMALL(Cálculos!$AI$5:$AI$1000,842),Cálculos!$AI$5:$AI$1000,0)+4,"")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23" t="str">
        <f>IF($J847="","",INDEX('Detalle individual'!$H:$H,$J847))</f>
        <v/>
      </c>
      <c r="G847" s="28" t="str">
        <f>IF($J847="","",INDEX('Detalle individual'!$J:$J,$J847))</f>
        <v/>
      </c>
      <c r="H847" s="28" t="str">
        <f>IF($J847="","",INDEX('Detalle individual'!$L:$L,$J847))</f>
        <v/>
      </c>
      <c r="J847" t="str">
        <f>IFERROR(MATCH(SMALL(Cálculos!$AI$5:$AI$1000,843),Cálculos!$AI$5:$AI$1000,0)+4,"")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23" t="str">
        <f>IF($J848="","",INDEX('Detalle individual'!$H:$H,$J848))</f>
        <v/>
      </c>
      <c r="G848" s="28" t="str">
        <f>IF($J848="","",INDEX('Detalle individual'!$J:$J,$J848))</f>
        <v/>
      </c>
      <c r="H848" s="28" t="str">
        <f>IF($J848="","",INDEX('Detalle individual'!$L:$L,$J848))</f>
        <v/>
      </c>
      <c r="J848" t="str">
        <f>IFERROR(MATCH(SMALL(Cálculos!$AI$5:$AI$1000,844),Cálculos!$AI$5:$AI$1000,0)+4,"")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23" t="str">
        <f>IF($J849="","",INDEX('Detalle individual'!$H:$H,$J849))</f>
        <v/>
      </c>
      <c r="G849" s="28" t="str">
        <f>IF($J849="","",INDEX('Detalle individual'!$J:$J,$J849))</f>
        <v/>
      </c>
      <c r="H849" s="28" t="str">
        <f>IF($J849="","",INDEX('Detalle individual'!$L:$L,$J849))</f>
        <v/>
      </c>
      <c r="J849" t="str">
        <f>IFERROR(MATCH(SMALL(Cálculos!$AI$5:$AI$1000,845),Cálculos!$AI$5:$AI$1000,0)+4,"")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23" t="str">
        <f>IF($J850="","",INDEX('Detalle individual'!$H:$H,$J850))</f>
        <v/>
      </c>
      <c r="G850" s="28" t="str">
        <f>IF($J850="","",INDEX('Detalle individual'!$J:$J,$J850))</f>
        <v/>
      </c>
      <c r="H850" s="28" t="str">
        <f>IF($J850="","",INDEX('Detalle individual'!$L:$L,$J850))</f>
        <v/>
      </c>
      <c r="J850" t="str">
        <f>IFERROR(MATCH(SMALL(Cálculos!$AI$5:$AI$1000,846),Cálculos!$AI$5:$AI$1000,0)+4,"")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23" t="str">
        <f>IF($J851="","",INDEX('Detalle individual'!$H:$H,$J851))</f>
        <v/>
      </c>
      <c r="G851" s="28" t="str">
        <f>IF($J851="","",INDEX('Detalle individual'!$J:$J,$J851))</f>
        <v/>
      </c>
      <c r="H851" s="28" t="str">
        <f>IF($J851="","",INDEX('Detalle individual'!$L:$L,$J851))</f>
        <v/>
      </c>
      <c r="J851" t="str">
        <f>IFERROR(MATCH(SMALL(Cálculos!$AI$5:$AI$1000,847),Cálculos!$AI$5:$AI$1000,0)+4,"")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23" t="str">
        <f>IF($J852="","",INDEX('Detalle individual'!$H:$H,$J852))</f>
        <v/>
      </c>
      <c r="G852" s="28" t="str">
        <f>IF($J852="","",INDEX('Detalle individual'!$J:$J,$J852))</f>
        <v/>
      </c>
      <c r="H852" s="28" t="str">
        <f>IF($J852="","",INDEX('Detalle individual'!$L:$L,$J852))</f>
        <v/>
      </c>
      <c r="J852" t="str">
        <f>IFERROR(MATCH(SMALL(Cálculos!$AI$5:$AI$1000,848),Cálculos!$AI$5:$AI$1000,0)+4,"")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23" t="str">
        <f>IF($J853="","",INDEX('Detalle individual'!$H:$H,$J853))</f>
        <v/>
      </c>
      <c r="G853" s="28" t="str">
        <f>IF($J853="","",INDEX('Detalle individual'!$J:$J,$J853))</f>
        <v/>
      </c>
      <c r="H853" s="28" t="str">
        <f>IF($J853="","",INDEX('Detalle individual'!$L:$L,$J853))</f>
        <v/>
      </c>
      <c r="J853" t="str">
        <f>IFERROR(MATCH(SMALL(Cálculos!$AI$5:$AI$1000,849),Cálculos!$AI$5:$AI$1000,0)+4,"")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23" t="str">
        <f>IF($J854="","",INDEX('Detalle individual'!$H:$H,$J854))</f>
        <v/>
      </c>
      <c r="G854" s="28" t="str">
        <f>IF($J854="","",INDEX('Detalle individual'!$J:$J,$J854))</f>
        <v/>
      </c>
      <c r="H854" s="28" t="str">
        <f>IF($J854="","",INDEX('Detalle individual'!$L:$L,$J854))</f>
        <v/>
      </c>
      <c r="J854" t="str">
        <f>IFERROR(MATCH(SMALL(Cálculos!$AI$5:$AI$1000,850),Cálculos!$AI$5:$AI$1000,0)+4,"")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23" t="str">
        <f>IF($J855="","",INDEX('Detalle individual'!$H:$H,$J855))</f>
        <v/>
      </c>
      <c r="G855" s="28" t="str">
        <f>IF($J855="","",INDEX('Detalle individual'!$J:$J,$J855))</f>
        <v/>
      </c>
      <c r="H855" s="28" t="str">
        <f>IF($J855="","",INDEX('Detalle individual'!$L:$L,$J855))</f>
        <v/>
      </c>
      <c r="J855" t="str">
        <f>IFERROR(MATCH(SMALL(Cálculos!$AI$5:$AI$1000,851),Cálculos!$AI$5:$AI$1000,0)+4,"")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23" t="str">
        <f>IF($J856="","",INDEX('Detalle individual'!$H:$H,$J856))</f>
        <v/>
      </c>
      <c r="G856" s="28" t="str">
        <f>IF($J856="","",INDEX('Detalle individual'!$J:$J,$J856))</f>
        <v/>
      </c>
      <c r="H856" s="28" t="str">
        <f>IF($J856="","",INDEX('Detalle individual'!$L:$L,$J856))</f>
        <v/>
      </c>
      <c r="J856" t="str">
        <f>IFERROR(MATCH(SMALL(Cálculos!$AI$5:$AI$1000,852),Cálculos!$AI$5:$AI$1000,0)+4,"")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23" t="str">
        <f>IF($J857="","",INDEX('Detalle individual'!$H:$H,$J857))</f>
        <v/>
      </c>
      <c r="G857" s="28" t="str">
        <f>IF($J857="","",INDEX('Detalle individual'!$J:$J,$J857))</f>
        <v/>
      </c>
      <c r="H857" s="28" t="str">
        <f>IF($J857="","",INDEX('Detalle individual'!$L:$L,$J857))</f>
        <v/>
      </c>
      <c r="J857" t="str">
        <f>IFERROR(MATCH(SMALL(Cálculos!$AI$5:$AI$1000,853),Cálculos!$AI$5:$AI$1000,0)+4,"")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23" t="str">
        <f>IF($J858="","",INDEX('Detalle individual'!$H:$H,$J858))</f>
        <v/>
      </c>
      <c r="G858" s="28" t="str">
        <f>IF($J858="","",INDEX('Detalle individual'!$J:$J,$J858))</f>
        <v/>
      </c>
      <c r="H858" s="28" t="str">
        <f>IF($J858="","",INDEX('Detalle individual'!$L:$L,$J858))</f>
        <v/>
      </c>
      <c r="J858" t="str">
        <f>IFERROR(MATCH(SMALL(Cálculos!$AI$5:$AI$1000,854),Cálculos!$AI$5:$AI$1000,0)+4,"")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23" t="str">
        <f>IF($J859="","",INDEX('Detalle individual'!$H:$H,$J859))</f>
        <v/>
      </c>
      <c r="G859" s="28" t="str">
        <f>IF($J859="","",INDEX('Detalle individual'!$J:$J,$J859))</f>
        <v/>
      </c>
      <c r="H859" s="28" t="str">
        <f>IF($J859="","",INDEX('Detalle individual'!$L:$L,$J859))</f>
        <v/>
      </c>
      <c r="J859" t="str">
        <f>IFERROR(MATCH(SMALL(Cálculos!$AI$5:$AI$1000,855),Cálculos!$AI$5:$AI$1000,0)+4,"")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23" t="str">
        <f>IF($J860="","",INDEX('Detalle individual'!$H:$H,$J860))</f>
        <v/>
      </c>
      <c r="G860" s="28" t="str">
        <f>IF($J860="","",INDEX('Detalle individual'!$J:$J,$J860))</f>
        <v/>
      </c>
      <c r="H860" s="28" t="str">
        <f>IF($J860="","",INDEX('Detalle individual'!$L:$L,$J860))</f>
        <v/>
      </c>
      <c r="J860" t="str">
        <f>IFERROR(MATCH(SMALL(Cálculos!$AI$5:$AI$1000,856),Cálculos!$AI$5:$AI$1000,0)+4,"")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23" t="str">
        <f>IF($J861="","",INDEX('Detalle individual'!$H:$H,$J861))</f>
        <v/>
      </c>
      <c r="G861" s="28" t="str">
        <f>IF($J861="","",INDEX('Detalle individual'!$J:$J,$J861))</f>
        <v/>
      </c>
      <c r="H861" s="28" t="str">
        <f>IF($J861="","",INDEX('Detalle individual'!$L:$L,$J861))</f>
        <v/>
      </c>
      <c r="J861" t="str">
        <f>IFERROR(MATCH(SMALL(Cálculos!$AI$5:$AI$1000,857),Cálculos!$AI$5:$AI$1000,0)+4,"")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23" t="str">
        <f>IF($J862="","",INDEX('Detalle individual'!$H:$H,$J862))</f>
        <v/>
      </c>
      <c r="G862" s="28" t="str">
        <f>IF($J862="","",INDEX('Detalle individual'!$J:$J,$J862))</f>
        <v/>
      </c>
      <c r="H862" s="28" t="str">
        <f>IF($J862="","",INDEX('Detalle individual'!$L:$L,$J862))</f>
        <v/>
      </c>
      <c r="J862" t="str">
        <f>IFERROR(MATCH(SMALL(Cálculos!$AI$5:$AI$1000,858),Cálculos!$AI$5:$AI$1000,0)+4,"")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23" t="str">
        <f>IF($J863="","",INDEX('Detalle individual'!$H:$H,$J863))</f>
        <v/>
      </c>
      <c r="G863" s="28" t="str">
        <f>IF($J863="","",INDEX('Detalle individual'!$J:$J,$J863))</f>
        <v/>
      </c>
      <c r="H863" s="28" t="str">
        <f>IF($J863="","",INDEX('Detalle individual'!$L:$L,$J863))</f>
        <v/>
      </c>
      <c r="J863" t="str">
        <f>IFERROR(MATCH(SMALL(Cálculos!$AI$5:$AI$1000,859),Cálculos!$AI$5:$AI$1000,0)+4,"")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23" t="str">
        <f>IF($J864="","",INDEX('Detalle individual'!$H:$H,$J864))</f>
        <v/>
      </c>
      <c r="G864" s="28" t="str">
        <f>IF($J864="","",INDEX('Detalle individual'!$J:$J,$J864))</f>
        <v/>
      </c>
      <c r="H864" s="28" t="str">
        <f>IF($J864="","",INDEX('Detalle individual'!$L:$L,$J864))</f>
        <v/>
      </c>
      <c r="J864" t="str">
        <f>IFERROR(MATCH(SMALL(Cálculos!$AI$5:$AI$1000,860),Cálculos!$AI$5:$AI$1000,0)+4,"")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23" t="str">
        <f>IF($J865="","",INDEX('Detalle individual'!$H:$H,$J865))</f>
        <v/>
      </c>
      <c r="G865" s="28" t="str">
        <f>IF($J865="","",INDEX('Detalle individual'!$J:$J,$J865))</f>
        <v/>
      </c>
      <c r="H865" s="28" t="str">
        <f>IF($J865="","",INDEX('Detalle individual'!$L:$L,$J865))</f>
        <v/>
      </c>
      <c r="J865" t="str">
        <f>IFERROR(MATCH(SMALL(Cálculos!$AI$5:$AI$1000,861),Cálculos!$AI$5:$AI$1000,0)+4,"")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23" t="str">
        <f>IF($J866="","",INDEX('Detalle individual'!$H:$H,$J866))</f>
        <v/>
      </c>
      <c r="G866" s="28" t="str">
        <f>IF($J866="","",INDEX('Detalle individual'!$J:$J,$J866))</f>
        <v/>
      </c>
      <c r="H866" s="28" t="str">
        <f>IF($J866="","",INDEX('Detalle individual'!$L:$L,$J866))</f>
        <v/>
      </c>
      <c r="J866" t="str">
        <f>IFERROR(MATCH(SMALL(Cálculos!$AI$5:$AI$1000,862),Cálculos!$AI$5:$AI$1000,0)+4,"")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23" t="str">
        <f>IF($J867="","",INDEX('Detalle individual'!$H:$H,$J867))</f>
        <v/>
      </c>
      <c r="G867" s="28" t="str">
        <f>IF($J867="","",INDEX('Detalle individual'!$J:$J,$J867))</f>
        <v/>
      </c>
      <c r="H867" s="28" t="str">
        <f>IF($J867="","",INDEX('Detalle individual'!$L:$L,$J867))</f>
        <v/>
      </c>
      <c r="J867" t="str">
        <f>IFERROR(MATCH(SMALL(Cálculos!$AI$5:$AI$1000,863),Cálculos!$AI$5:$AI$1000,0)+4,"")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23" t="str">
        <f>IF($J868="","",INDEX('Detalle individual'!$H:$H,$J868))</f>
        <v/>
      </c>
      <c r="G868" s="28" t="str">
        <f>IF($J868="","",INDEX('Detalle individual'!$J:$J,$J868))</f>
        <v/>
      </c>
      <c r="H868" s="28" t="str">
        <f>IF($J868="","",INDEX('Detalle individual'!$L:$L,$J868))</f>
        <v/>
      </c>
      <c r="J868" t="str">
        <f>IFERROR(MATCH(SMALL(Cálculos!$AI$5:$AI$1000,864),Cálculos!$AI$5:$AI$1000,0)+4,"")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23" t="str">
        <f>IF($J869="","",INDEX('Detalle individual'!$H:$H,$J869))</f>
        <v/>
      </c>
      <c r="G869" s="28" t="str">
        <f>IF($J869="","",INDEX('Detalle individual'!$J:$J,$J869))</f>
        <v/>
      </c>
      <c r="H869" s="28" t="str">
        <f>IF($J869="","",INDEX('Detalle individual'!$L:$L,$J869))</f>
        <v/>
      </c>
      <c r="J869" t="str">
        <f>IFERROR(MATCH(SMALL(Cálculos!$AI$5:$AI$1000,865),Cálculos!$AI$5:$AI$1000,0)+4,"")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23" t="str">
        <f>IF($J870="","",INDEX('Detalle individual'!$H:$H,$J870))</f>
        <v/>
      </c>
      <c r="G870" s="28" t="str">
        <f>IF($J870="","",INDEX('Detalle individual'!$J:$J,$J870))</f>
        <v/>
      </c>
      <c r="H870" s="28" t="str">
        <f>IF($J870="","",INDEX('Detalle individual'!$L:$L,$J870))</f>
        <v/>
      </c>
      <c r="J870" t="str">
        <f>IFERROR(MATCH(SMALL(Cálculos!$AI$5:$AI$1000,866),Cálculos!$AI$5:$AI$1000,0)+4,"")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23" t="str">
        <f>IF($J871="","",INDEX('Detalle individual'!$H:$H,$J871))</f>
        <v/>
      </c>
      <c r="G871" s="28" t="str">
        <f>IF($J871="","",INDEX('Detalle individual'!$J:$J,$J871))</f>
        <v/>
      </c>
      <c r="H871" s="28" t="str">
        <f>IF($J871="","",INDEX('Detalle individual'!$L:$L,$J871))</f>
        <v/>
      </c>
      <c r="J871" t="str">
        <f>IFERROR(MATCH(SMALL(Cálculos!$AI$5:$AI$1000,867),Cálculos!$AI$5:$AI$1000,0)+4,"")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23" t="str">
        <f>IF($J872="","",INDEX('Detalle individual'!$H:$H,$J872))</f>
        <v/>
      </c>
      <c r="G872" s="28" t="str">
        <f>IF($J872="","",INDEX('Detalle individual'!$J:$J,$J872))</f>
        <v/>
      </c>
      <c r="H872" s="28" t="str">
        <f>IF($J872="","",INDEX('Detalle individual'!$L:$L,$J872))</f>
        <v/>
      </c>
      <c r="J872" t="str">
        <f>IFERROR(MATCH(SMALL(Cálculos!$AI$5:$AI$1000,868),Cálculos!$AI$5:$AI$1000,0)+4,"")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23" t="str">
        <f>IF($J873="","",INDEX('Detalle individual'!$H:$H,$J873))</f>
        <v/>
      </c>
      <c r="G873" s="28" t="str">
        <f>IF($J873="","",INDEX('Detalle individual'!$J:$J,$J873))</f>
        <v/>
      </c>
      <c r="H873" s="28" t="str">
        <f>IF($J873="","",INDEX('Detalle individual'!$L:$L,$J873))</f>
        <v/>
      </c>
      <c r="J873" t="str">
        <f>IFERROR(MATCH(SMALL(Cálculos!$AI$5:$AI$1000,869),Cálculos!$AI$5:$AI$1000,0)+4,"")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23" t="str">
        <f>IF($J874="","",INDEX('Detalle individual'!$H:$H,$J874))</f>
        <v/>
      </c>
      <c r="G874" s="28" t="str">
        <f>IF($J874="","",INDEX('Detalle individual'!$J:$J,$J874))</f>
        <v/>
      </c>
      <c r="H874" s="28" t="str">
        <f>IF($J874="","",INDEX('Detalle individual'!$L:$L,$J874))</f>
        <v/>
      </c>
      <c r="J874" t="str">
        <f>IFERROR(MATCH(SMALL(Cálculos!$AI$5:$AI$1000,870),Cálculos!$AI$5:$AI$1000,0)+4,"")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23" t="str">
        <f>IF($J875="","",INDEX('Detalle individual'!$H:$H,$J875))</f>
        <v/>
      </c>
      <c r="G875" s="28" t="str">
        <f>IF($J875="","",INDEX('Detalle individual'!$J:$J,$J875))</f>
        <v/>
      </c>
      <c r="H875" s="28" t="str">
        <f>IF($J875="","",INDEX('Detalle individual'!$L:$L,$J875))</f>
        <v/>
      </c>
      <c r="J875" t="str">
        <f>IFERROR(MATCH(SMALL(Cálculos!$AI$5:$AI$1000,871),Cálculos!$AI$5:$AI$1000,0)+4,"")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23" t="str">
        <f>IF($J876="","",INDEX('Detalle individual'!$H:$H,$J876))</f>
        <v/>
      </c>
      <c r="G876" s="28" t="str">
        <f>IF($J876="","",INDEX('Detalle individual'!$J:$J,$J876))</f>
        <v/>
      </c>
      <c r="H876" s="28" t="str">
        <f>IF($J876="","",INDEX('Detalle individual'!$L:$L,$J876))</f>
        <v/>
      </c>
      <c r="J876" t="str">
        <f>IFERROR(MATCH(SMALL(Cálculos!$AI$5:$AI$1000,872),Cálculos!$AI$5:$AI$1000,0)+4,"")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23" t="str">
        <f>IF($J877="","",INDEX('Detalle individual'!$H:$H,$J877))</f>
        <v/>
      </c>
      <c r="G877" s="28" t="str">
        <f>IF($J877="","",INDEX('Detalle individual'!$J:$J,$J877))</f>
        <v/>
      </c>
      <c r="H877" s="28" t="str">
        <f>IF($J877="","",INDEX('Detalle individual'!$L:$L,$J877))</f>
        <v/>
      </c>
      <c r="J877" t="str">
        <f>IFERROR(MATCH(SMALL(Cálculos!$AI$5:$AI$1000,873),Cálculos!$AI$5:$AI$1000,0)+4,"")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23" t="str">
        <f>IF($J878="","",INDEX('Detalle individual'!$H:$H,$J878))</f>
        <v/>
      </c>
      <c r="G878" s="28" t="str">
        <f>IF($J878="","",INDEX('Detalle individual'!$J:$J,$J878))</f>
        <v/>
      </c>
      <c r="H878" s="28" t="str">
        <f>IF($J878="","",INDEX('Detalle individual'!$L:$L,$J878))</f>
        <v/>
      </c>
      <c r="J878" t="str">
        <f>IFERROR(MATCH(SMALL(Cálculos!$AI$5:$AI$1000,874),Cálculos!$AI$5:$AI$1000,0)+4,"")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23" t="str">
        <f>IF($J879="","",INDEX('Detalle individual'!$H:$H,$J879))</f>
        <v/>
      </c>
      <c r="G879" s="28" t="str">
        <f>IF($J879="","",INDEX('Detalle individual'!$J:$J,$J879))</f>
        <v/>
      </c>
      <c r="H879" s="28" t="str">
        <f>IF($J879="","",INDEX('Detalle individual'!$L:$L,$J879))</f>
        <v/>
      </c>
      <c r="J879" t="str">
        <f>IFERROR(MATCH(SMALL(Cálculos!$AI$5:$AI$1000,875),Cálculos!$AI$5:$AI$1000,0)+4,"")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23" t="str">
        <f>IF($J880="","",INDEX('Detalle individual'!$H:$H,$J880))</f>
        <v/>
      </c>
      <c r="G880" s="28" t="str">
        <f>IF($J880="","",INDEX('Detalle individual'!$J:$J,$J880))</f>
        <v/>
      </c>
      <c r="H880" s="28" t="str">
        <f>IF($J880="","",INDEX('Detalle individual'!$L:$L,$J880))</f>
        <v/>
      </c>
      <c r="J880" t="str">
        <f>IFERROR(MATCH(SMALL(Cálculos!$AI$5:$AI$1000,876),Cálculos!$AI$5:$AI$1000,0)+4,"")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23" t="str">
        <f>IF($J881="","",INDEX('Detalle individual'!$H:$H,$J881))</f>
        <v/>
      </c>
      <c r="G881" s="28" t="str">
        <f>IF($J881="","",INDEX('Detalle individual'!$J:$J,$J881))</f>
        <v/>
      </c>
      <c r="H881" s="28" t="str">
        <f>IF($J881="","",INDEX('Detalle individual'!$L:$L,$J881))</f>
        <v/>
      </c>
      <c r="J881" t="str">
        <f>IFERROR(MATCH(SMALL(Cálculos!$AI$5:$AI$1000,877),Cálculos!$AI$5:$AI$1000,0)+4,"")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23" t="str">
        <f>IF($J882="","",INDEX('Detalle individual'!$H:$H,$J882))</f>
        <v/>
      </c>
      <c r="G882" s="28" t="str">
        <f>IF($J882="","",INDEX('Detalle individual'!$J:$J,$J882))</f>
        <v/>
      </c>
      <c r="H882" s="28" t="str">
        <f>IF($J882="","",INDEX('Detalle individual'!$L:$L,$J882))</f>
        <v/>
      </c>
      <c r="J882" t="str">
        <f>IFERROR(MATCH(SMALL(Cálculos!$AI$5:$AI$1000,878),Cálculos!$AI$5:$AI$1000,0)+4,"")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23" t="str">
        <f>IF($J883="","",INDEX('Detalle individual'!$H:$H,$J883))</f>
        <v/>
      </c>
      <c r="G883" s="28" t="str">
        <f>IF($J883="","",INDEX('Detalle individual'!$J:$J,$J883))</f>
        <v/>
      </c>
      <c r="H883" s="28" t="str">
        <f>IF($J883="","",INDEX('Detalle individual'!$L:$L,$J883))</f>
        <v/>
      </c>
      <c r="J883" t="str">
        <f>IFERROR(MATCH(SMALL(Cálculos!$AI$5:$AI$1000,879),Cálculos!$AI$5:$AI$1000,0)+4,"")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23" t="str">
        <f>IF($J884="","",INDEX('Detalle individual'!$H:$H,$J884))</f>
        <v/>
      </c>
      <c r="G884" s="28" t="str">
        <f>IF($J884="","",INDEX('Detalle individual'!$J:$J,$J884))</f>
        <v/>
      </c>
      <c r="H884" s="28" t="str">
        <f>IF($J884="","",INDEX('Detalle individual'!$L:$L,$J884))</f>
        <v/>
      </c>
      <c r="J884" t="str">
        <f>IFERROR(MATCH(SMALL(Cálculos!$AI$5:$AI$1000,880),Cálculos!$AI$5:$AI$1000,0)+4,"")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23" t="str">
        <f>IF($J885="","",INDEX('Detalle individual'!$H:$H,$J885))</f>
        <v/>
      </c>
      <c r="G885" s="28" t="str">
        <f>IF($J885="","",INDEX('Detalle individual'!$J:$J,$J885))</f>
        <v/>
      </c>
      <c r="H885" s="28" t="str">
        <f>IF($J885="","",INDEX('Detalle individual'!$L:$L,$J885))</f>
        <v/>
      </c>
      <c r="J885" t="str">
        <f>IFERROR(MATCH(SMALL(Cálculos!$AI$5:$AI$1000,881),Cálculos!$AI$5:$AI$1000,0)+4,"")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23" t="str">
        <f>IF($J886="","",INDEX('Detalle individual'!$H:$H,$J886))</f>
        <v/>
      </c>
      <c r="G886" s="28" t="str">
        <f>IF($J886="","",INDEX('Detalle individual'!$J:$J,$J886))</f>
        <v/>
      </c>
      <c r="H886" s="28" t="str">
        <f>IF($J886="","",INDEX('Detalle individual'!$L:$L,$J886))</f>
        <v/>
      </c>
      <c r="J886" t="str">
        <f>IFERROR(MATCH(SMALL(Cálculos!$AI$5:$AI$1000,882),Cálculos!$AI$5:$AI$1000,0)+4,"")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23" t="str">
        <f>IF($J887="","",INDEX('Detalle individual'!$H:$H,$J887))</f>
        <v/>
      </c>
      <c r="G887" s="28" t="str">
        <f>IF($J887="","",INDEX('Detalle individual'!$J:$J,$J887))</f>
        <v/>
      </c>
      <c r="H887" s="28" t="str">
        <f>IF($J887="","",INDEX('Detalle individual'!$L:$L,$J887))</f>
        <v/>
      </c>
      <c r="J887" t="str">
        <f>IFERROR(MATCH(SMALL(Cálculos!$AI$5:$AI$1000,883),Cálculos!$AI$5:$AI$1000,0)+4,"")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23" t="str">
        <f>IF($J888="","",INDEX('Detalle individual'!$H:$H,$J888))</f>
        <v/>
      </c>
      <c r="G888" s="28" t="str">
        <f>IF($J888="","",INDEX('Detalle individual'!$J:$J,$J888))</f>
        <v/>
      </c>
      <c r="H888" s="28" t="str">
        <f>IF($J888="","",INDEX('Detalle individual'!$L:$L,$J888))</f>
        <v/>
      </c>
      <c r="J888" t="str">
        <f>IFERROR(MATCH(SMALL(Cálculos!$AI$5:$AI$1000,884),Cálculos!$AI$5:$AI$1000,0)+4,"")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23" t="str">
        <f>IF($J889="","",INDEX('Detalle individual'!$H:$H,$J889))</f>
        <v/>
      </c>
      <c r="G889" s="28" t="str">
        <f>IF($J889="","",INDEX('Detalle individual'!$J:$J,$J889))</f>
        <v/>
      </c>
      <c r="H889" s="28" t="str">
        <f>IF($J889="","",INDEX('Detalle individual'!$L:$L,$J889))</f>
        <v/>
      </c>
      <c r="J889" t="str">
        <f>IFERROR(MATCH(SMALL(Cálculos!$AI$5:$AI$1000,885),Cálculos!$AI$5:$AI$1000,0)+4,"")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23" t="str">
        <f>IF($J890="","",INDEX('Detalle individual'!$H:$H,$J890))</f>
        <v/>
      </c>
      <c r="G890" s="28" t="str">
        <f>IF($J890="","",INDEX('Detalle individual'!$J:$J,$J890))</f>
        <v/>
      </c>
      <c r="H890" s="28" t="str">
        <f>IF($J890="","",INDEX('Detalle individual'!$L:$L,$J890))</f>
        <v/>
      </c>
      <c r="J890" t="str">
        <f>IFERROR(MATCH(SMALL(Cálculos!$AI$5:$AI$1000,886),Cálculos!$AI$5:$AI$1000,0)+4,"")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23" t="str">
        <f>IF($J891="","",INDEX('Detalle individual'!$H:$H,$J891))</f>
        <v/>
      </c>
      <c r="G891" s="28" t="str">
        <f>IF($J891="","",INDEX('Detalle individual'!$J:$J,$J891))</f>
        <v/>
      </c>
      <c r="H891" s="28" t="str">
        <f>IF($J891="","",INDEX('Detalle individual'!$L:$L,$J891))</f>
        <v/>
      </c>
      <c r="J891" t="str">
        <f>IFERROR(MATCH(SMALL(Cálculos!$AI$5:$AI$1000,887),Cálculos!$AI$5:$AI$1000,0)+4,"")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23" t="str">
        <f>IF($J892="","",INDEX('Detalle individual'!$H:$H,$J892))</f>
        <v/>
      </c>
      <c r="G892" s="28" t="str">
        <f>IF($J892="","",INDEX('Detalle individual'!$J:$J,$J892))</f>
        <v/>
      </c>
      <c r="H892" s="28" t="str">
        <f>IF($J892="","",INDEX('Detalle individual'!$L:$L,$J892))</f>
        <v/>
      </c>
      <c r="J892" t="str">
        <f>IFERROR(MATCH(SMALL(Cálculos!$AI$5:$AI$1000,888),Cálculos!$AI$5:$AI$1000,0)+4,"")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23" t="str">
        <f>IF($J893="","",INDEX('Detalle individual'!$H:$H,$J893))</f>
        <v/>
      </c>
      <c r="G893" s="28" t="str">
        <f>IF($J893="","",INDEX('Detalle individual'!$J:$J,$J893))</f>
        <v/>
      </c>
      <c r="H893" s="28" t="str">
        <f>IF($J893="","",INDEX('Detalle individual'!$L:$L,$J893))</f>
        <v/>
      </c>
      <c r="J893" t="str">
        <f>IFERROR(MATCH(SMALL(Cálculos!$AI$5:$AI$1000,889),Cálculos!$AI$5:$AI$1000,0)+4,"")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23" t="str">
        <f>IF($J894="","",INDEX('Detalle individual'!$H:$H,$J894))</f>
        <v/>
      </c>
      <c r="G894" s="28" t="str">
        <f>IF($J894="","",INDEX('Detalle individual'!$J:$J,$J894))</f>
        <v/>
      </c>
      <c r="H894" s="28" t="str">
        <f>IF($J894="","",INDEX('Detalle individual'!$L:$L,$J894))</f>
        <v/>
      </c>
      <c r="J894" t="str">
        <f>IFERROR(MATCH(SMALL(Cálculos!$AI$5:$AI$1000,890),Cálculos!$AI$5:$AI$1000,0)+4,"")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23" t="str">
        <f>IF($J895="","",INDEX('Detalle individual'!$H:$H,$J895))</f>
        <v/>
      </c>
      <c r="G895" s="28" t="str">
        <f>IF($J895="","",INDEX('Detalle individual'!$J:$J,$J895))</f>
        <v/>
      </c>
      <c r="H895" s="28" t="str">
        <f>IF($J895="","",INDEX('Detalle individual'!$L:$L,$J895))</f>
        <v/>
      </c>
      <c r="J895" t="str">
        <f>IFERROR(MATCH(SMALL(Cálculos!$AI$5:$AI$1000,891),Cálculos!$AI$5:$AI$1000,0)+4,"")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23" t="str">
        <f>IF($J896="","",INDEX('Detalle individual'!$H:$H,$J896))</f>
        <v/>
      </c>
      <c r="G896" s="28" t="str">
        <f>IF($J896="","",INDEX('Detalle individual'!$J:$J,$J896))</f>
        <v/>
      </c>
      <c r="H896" s="28" t="str">
        <f>IF($J896="","",INDEX('Detalle individual'!$L:$L,$J896))</f>
        <v/>
      </c>
      <c r="J896" t="str">
        <f>IFERROR(MATCH(SMALL(Cálculos!$AI$5:$AI$1000,892),Cálculos!$AI$5:$AI$1000,0)+4,"")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23" t="str">
        <f>IF($J897="","",INDEX('Detalle individual'!$H:$H,$J897))</f>
        <v/>
      </c>
      <c r="G897" s="28" t="str">
        <f>IF($J897="","",INDEX('Detalle individual'!$J:$J,$J897))</f>
        <v/>
      </c>
      <c r="H897" s="28" t="str">
        <f>IF($J897="","",INDEX('Detalle individual'!$L:$L,$J897))</f>
        <v/>
      </c>
      <c r="J897" t="str">
        <f>IFERROR(MATCH(SMALL(Cálculos!$AI$5:$AI$1000,893),Cálculos!$AI$5:$AI$1000,0)+4,"")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23" t="str">
        <f>IF($J898="","",INDEX('Detalle individual'!$H:$H,$J898))</f>
        <v/>
      </c>
      <c r="G898" s="28" t="str">
        <f>IF($J898="","",INDEX('Detalle individual'!$J:$J,$J898))</f>
        <v/>
      </c>
      <c r="H898" s="28" t="str">
        <f>IF($J898="","",INDEX('Detalle individual'!$L:$L,$J898))</f>
        <v/>
      </c>
      <c r="J898" t="str">
        <f>IFERROR(MATCH(SMALL(Cálculos!$AI$5:$AI$1000,894),Cálculos!$AI$5:$AI$1000,0)+4,"")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23" t="str">
        <f>IF($J899="","",INDEX('Detalle individual'!$H:$H,$J899))</f>
        <v/>
      </c>
      <c r="G899" s="28" t="str">
        <f>IF($J899="","",INDEX('Detalle individual'!$J:$J,$J899))</f>
        <v/>
      </c>
      <c r="H899" s="28" t="str">
        <f>IF($J899="","",INDEX('Detalle individual'!$L:$L,$J899))</f>
        <v/>
      </c>
      <c r="J899" t="str">
        <f>IFERROR(MATCH(SMALL(Cálculos!$AI$5:$AI$1000,895),Cálculos!$AI$5:$AI$1000,0)+4,"")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23" t="str">
        <f>IF($J900="","",INDEX('Detalle individual'!$H:$H,$J900))</f>
        <v/>
      </c>
      <c r="G900" s="28" t="str">
        <f>IF($J900="","",INDEX('Detalle individual'!$J:$J,$J900))</f>
        <v/>
      </c>
      <c r="H900" s="28" t="str">
        <f>IF($J900="","",INDEX('Detalle individual'!$L:$L,$J900))</f>
        <v/>
      </c>
      <c r="J900" t="str">
        <f>IFERROR(MATCH(SMALL(Cálculos!$AI$5:$AI$1000,896),Cálculos!$AI$5:$AI$1000,0)+4,"")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23" t="str">
        <f>IF($J901="","",INDEX('Detalle individual'!$H:$H,$J901))</f>
        <v/>
      </c>
      <c r="G901" s="28" t="str">
        <f>IF($J901="","",INDEX('Detalle individual'!$J:$J,$J901))</f>
        <v/>
      </c>
      <c r="H901" s="28" t="str">
        <f>IF($J901="","",INDEX('Detalle individual'!$L:$L,$J901))</f>
        <v/>
      </c>
      <c r="J901" t="str">
        <f>IFERROR(MATCH(SMALL(Cálculos!$AI$5:$AI$1000,897),Cálculos!$AI$5:$AI$1000,0)+4,"")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23" t="str">
        <f>IF($J902="","",INDEX('Detalle individual'!$H:$H,$J902))</f>
        <v/>
      </c>
      <c r="G902" s="28" t="str">
        <f>IF($J902="","",INDEX('Detalle individual'!$J:$J,$J902))</f>
        <v/>
      </c>
      <c r="H902" s="28" t="str">
        <f>IF($J902="","",INDEX('Detalle individual'!$L:$L,$J902))</f>
        <v/>
      </c>
      <c r="J902" t="str">
        <f>IFERROR(MATCH(SMALL(Cálculos!$AI$5:$AI$1000,898),Cálculos!$AI$5:$AI$1000,0)+4,"")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23" t="str">
        <f>IF($J903="","",INDEX('Detalle individual'!$H:$H,$J903))</f>
        <v/>
      </c>
      <c r="G903" s="28" t="str">
        <f>IF($J903="","",INDEX('Detalle individual'!$J:$J,$J903))</f>
        <v/>
      </c>
      <c r="H903" s="28" t="str">
        <f>IF($J903="","",INDEX('Detalle individual'!$L:$L,$J903))</f>
        <v/>
      </c>
      <c r="J903" t="str">
        <f>IFERROR(MATCH(SMALL(Cálculos!$AI$5:$AI$1000,899),Cálculos!$AI$5:$AI$1000,0)+4,"")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23" t="str">
        <f>IF($J904="","",INDEX('Detalle individual'!$H:$H,$J904))</f>
        <v/>
      </c>
      <c r="G904" s="28" t="str">
        <f>IF($J904="","",INDEX('Detalle individual'!$J:$J,$J904))</f>
        <v/>
      </c>
      <c r="H904" s="28" t="str">
        <f>IF($J904="","",INDEX('Detalle individual'!$L:$L,$J904))</f>
        <v/>
      </c>
      <c r="J904" t="str">
        <f>IFERROR(MATCH(SMALL(Cálculos!$AI$5:$AI$1000,900),Cálculos!$AI$5:$AI$1000,0)+4,"")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23" t="str">
        <f>IF($J905="","",INDEX('Detalle individual'!$H:$H,$J905))</f>
        <v/>
      </c>
      <c r="G905" s="28" t="str">
        <f>IF($J905="","",INDEX('Detalle individual'!$J:$J,$J905))</f>
        <v/>
      </c>
      <c r="H905" s="28" t="str">
        <f>IF($J905="","",INDEX('Detalle individual'!$L:$L,$J905))</f>
        <v/>
      </c>
      <c r="J905" t="str">
        <f>IFERROR(MATCH(SMALL(Cálculos!$AI$5:$AI$1000,901),Cálculos!$AI$5:$AI$1000,0)+4,"")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23" t="str">
        <f>IF($J906="","",INDEX('Detalle individual'!$H:$H,$J906))</f>
        <v/>
      </c>
      <c r="G906" s="28" t="str">
        <f>IF($J906="","",INDEX('Detalle individual'!$J:$J,$J906))</f>
        <v/>
      </c>
      <c r="H906" s="28" t="str">
        <f>IF($J906="","",INDEX('Detalle individual'!$L:$L,$J906))</f>
        <v/>
      </c>
      <c r="J906" t="str">
        <f>IFERROR(MATCH(SMALL(Cálculos!$AI$5:$AI$1000,902),Cálculos!$AI$5:$AI$1000,0)+4,"")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23" t="str">
        <f>IF($J907="","",INDEX('Detalle individual'!$H:$H,$J907))</f>
        <v/>
      </c>
      <c r="G907" s="28" t="str">
        <f>IF($J907="","",INDEX('Detalle individual'!$J:$J,$J907))</f>
        <v/>
      </c>
      <c r="H907" s="28" t="str">
        <f>IF($J907="","",INDEX('Detalle individual'!$L:$L,$J907))</f>
        <v/>
      </c>
      <c r="J907" t="str">
        <f>IFERROR(MATCH(SMALL(Cálculos!$AI$5:$AI$1000,903),Cálculos!$AI$5:$AI$1000,0)+4,"")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23" t="str">
        <f>IF($J908="","",INDEX('Detalle individual'!$H:$H,$J908))</f>
        <v/>
      </c>
      <c r="G908" s="28" t="str">
        <f>IF($J908="","",INDEX('Detalle individual'!$J:$J,$J908))</f>
        <v/>
      </c>
      <c r="H908" s="28" t="str">
        <f>IF($J908="","",INDEX('Detalle individual'!$L:$L,$J908))</f>
        <v/>
      </c>
      <c r="J908" t="str">
        <f>IFERROR(MATCH(SMALL(Cálculos!$AI$5:$AI$1000,904),Cálculos!$AI$5:$AI$1000,0)+4,"")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23" t="str">
        <f>IF($J909="","",INDEX('Detalle individual'!$H:$H,$J909))</f>
        <v/>
      </c>
      <c r="G909" s="28" t="str">
        <f>IF($J909="","",INDEX('Detalle individual'!$J:$J,$J909))</f>
        <v/>
      </c>
      <c r="H909" s="28" t="str">
        <f>IF($J909="","",INDEX('Detalle individual'!$L:$L,$J909))</f>
        <v/>
      </c>
      <c r="J909" t="str">
        <f>IFERROR(MATCH(SMALL(Cálculos!$AI$5:$AI$1000,905),Cálculos!$AI$5:$AI$1000,0)+4,"")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23" t="str">
        <f>IF($J910="","",INDEX('Detalle individual'!$H:$H,$J910))</f>
        <v/>
      </c>
      <c r="G910" s="28" t="str">
        <f>IF($J910="","",INDEX('Detalle individual'!$J:$J,$J910))</f>
        <v/>
      </c>
      <c r="H910" s="28" t="str">
        <f>IF($J910="","",INDEX('Detalle individual'!$L:$L,$J910))</f>
        <v/>
      </c>
      <c r="J910" t="str">
        <f>IFERROR(MATCH(SMALL(Cálculos!$AI$5:$AI$1000,906),Cálculos!$AI$5:$AI$1000,0)+4,"")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23" t="str">
        <f>IF($J911="","",INDEX('Detalle individual'!$H:$H,$J911))</f>
        <v/>
      </c>
      <c r="G911" s="28" t="str">
        <f>IF($J911="","",INDEX('Detalle individual'!$J:$J,$J911))</f>
        <v/>
      </c>
      <c r="H911" s="28" t="str">
        <f>IF($J911="","",INDEX('Detalle individual'!$L:$L,$J911))</f>
        <v/>
      </c>
      <c r="J911" t="str">
        <f>IFERROR(MATCH(SMALL(Cálculos!$AI$5:$AI$1000,907),Cálculos!$AI$5:$AI$1000,0)+4,"")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23" t="str">
        <f>IF($J912="","",INDEX('Detalle individual'!$H:$H,$J912))</f>
        <v/>
      </c>
      <c r="G912" s="28" t="str">
        <f>IF($J912="","",INDEX('Detalle individual'!$J:$J,$J912))</f>
        <v/>
      </c>
      <c r="H912" s="28" t="str">
        <f>IF($J912="","",INDEX('Detalle individual'!$L:$L,$J912))</f>
        <v/>
      </c>
      <c r="J912" t="str">
        <f>IFERROR(MATCH(SMALL(Cálculos!$AI$5:$AI$1000,908),Cálculos!$AI$5:$AI$1000,0)+4,"")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23" t="str">
        <f>IF($J913="","",INDEX('Detalle individual'!$H:$H,$J913))</f>
        <v/>
      </c>
      <c r="G913" s="28" t="str">
        <f>IF($J913="","",INDEX('Detalle individual'!$J:$J,$J913))</f>
        <v/>
      </c>
      <c r="H913" s="28" t="str">
        <f>IF($J913="","",INDEX('Detalle individual'!$L:$L,$J913))</f>
        <v/>
      </c>
      <c r="J913" t="str">
        <f>IFERROR(MATCH(SMALL(Cálculos!$AI$5:$AI$1000,909),Cálculos!$AI$5:$AI$1000,0)+4,"")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23" t="str">
        <f>IF($J914="","",INDEX('Detalle individual'!$H:$H,$J914))</f>
        <v/>
      </c>
      <c r="G914" s="28" t="str">
        <f>IF($J914="","",INDEX('Detalle individual'!$J:$J,$J914))</f>
        <v/>
      </c>
      <c r="H914" s="28" t="str">
        <f>IF($J914="","",INDEX('Detalle individual'!$L:$L,$J914))</f>
        <v/>
      </c>
      <c r="J914" t="str">
        <f>IFERROR(MATCH(SMALL(Cálculos!$AI$5:$AI$1000,910),Cálculos!$AI$5:$AI$1000,0)+4,"")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23" t="str">
        <f>IF($J915="","",INDEX('Detalle individual'!$H:$H,$J915))</f>
        <v/>
      </c>
      <c r="G915" s="28" t="str">
        <f>IF($J915="","",INDEX('Detalle individual'!$J:$J,$J915))</f>
        <v/>
      </c>
      <c r="H915" s="28" t="str">
        <f>IF($J915="","",INDEX('Detalle individual'!$L:$L,$J915))</f>
        <v/>
      </c>
      <c r="J915" t="str">
        <f>IFERROR(MATCH(SMALL(Cálculos!$AI$5:$AI$1000,911),Cálculos!$AI$5:$AI$1000,0)+4,"")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23" t="str">
        <f>IF($J916="","",INDEX('Detalle individual'!$H:$H,$J916))</f>
        <v/>
      </c>
      <c r="G916" s="28" t="str">
        <f>IF($J916="","",INDEX('Detalle individual'!$J:$J,$J916))</f>
        <v/>
      </c>
      <c r="H916" s="28" t="str">
        <f>IF($J916="","",INDEX('Detalle individual'!$L:$L,$J916))</f>
        <v/>
      </c>
      <c r="J916" t="str">
        <f>IFERROR(MATCH(SMALL(Cálculos!$AI$5:$AI$1000,912),Cálculos!$AI$5:$AI$1000,0)+4,"")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23" t="str">
        <f>IF($J917="","",INDEX('Detalle individual'!$H:$H,$J917))</f>
        <v/>
      </c>
      <c r="G917" s="28" t="str">
        <f>IF($J917="","",INDEX('Detalle individual'!$J:$J,$J917))</f>
        <v/>
      </c>
      <c r="H917" s="28" t="str">
        <f>IF($J917="","",INDEX('Detalle individual'!$L:$L,$J917))</f>
        <v/>
      </c>
      <c r="J917" t="str">
        <f>IFERROR(MATCH(SMALL(Cálculos!$AI$5:$AI$1000,913),Cálculos!$AI$5:$AI$1000,0)+4,"")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23" t="str">
        <f>IF($J918="","",INDEX('Detalle individual'!$H:$H,$J918))</f>
        <v/>
      </c>
      <c r="G918" s="28" t="str">
        <f>IF($J918="","",INDEX('Detalle individual'!$J:$J,$J918))</f>
        <v/>
      </c>
      <c r="H918" s="28" t="str">
        <f>IF($J918="","",INDEX('Detalle individual'!$L:$L,$J918))</f>
        <v/>
      </c>
      <c r="J918" t="str">
        <f>IFERROR(MATCH(SMALL(Cálculos!$AI$5:$AI$1000,914),Cálculos!$AI$5:$AI$1000,0)+4,"")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23" t="str">
        <f>IF($J919="","",INDEX('Detalle individual'!$H:$H,$J919))</f>
        <v/>
      </c>
      <c r="G919" s="28" t="str">
        <f>IF($J919="","",INDEX('Detalle individual'!$J:$J,$J919))</f>
        <v/>
      </c>
      <c r="H919" s="28" t="str">
        <f>IF($J919="","",INDEX('Detalle individual'!$L:$L,$J919))</f>
        <v/>
      </c>
      <c r="J919" t="str">
        <f>IFERROR(MATCH(SMALL(Cálculos!$AI$5:$AI$1000,915),Cálculos!$AI$5:$AI$1000,0)+4,"")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23" t="str">
        <f>IF($J920="","",INDEX('Detalle individual'!$H:$H,$J920))</f>
        <v/>
      </c>
      <c r="G920" s="28" t="str">
        <f>IF($J920="","",INDEX('Detalle individual'!$J:$J,$J920))</f>
        <v/>
      </c>
      <c r="H920" s="28" t="str">
        <f>IF($J920="","",INDEX('Detalle individual'!$L:$L,$J920))</f>
        <v/>
      </c>
      <c r="J920" t="str">
        <f>IFERROR(MATCH(SMALL(Cálculos!$AI$5:$AI$1000,916),Cálculos!$AI$5:$AI$1000,0)+4,"")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23" t="str">
        <f>IF($J921="","",INDEX('Detalle individual'!$H:$H,$J921))</f>
        <v/>
      </c>
      <c r="G921" s="28" t="str">
        <f>IF($J921="","",INDEX('Detalle individual'!$J:$J,$J921))</f>
        <v/>
      </c>
      <c r="H921" s="28" t="str">
        <f>IF($J921="","",INDEX('Detalle individual'!$L:$L,$J921))</f>
        <v/>
      </c>
      <c r="J921" t="str">
        <f>IFERROR(MATCH(SMALL(Cálculos!$AI$5:$AI$1000,917),Cálculos!$AI$5:$AI$1000,0)+4,"")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23" t="str">
        <f>IF($J922="","",INDEX('Detalle individual'!$H:$H,$J922))</f>
        <v/>
      </c>
      <c r="G922" s="28" t="str">
        <f>IF($J922="","",INDEX('Detalle individual'!$J:$J,$J922))</f>
        <v/>
      </c>
      <c r="H922" s="28" t="str">
        <f>IF($J922="","",INDEX('Detalle individual'!$L:$L,$J922))</f>
        <v/>
      </c>
      <c r="J922" t="str">
        <f>IFERROR(MATCH(SMALL(Cálculos!$AI$5:$AI$1000,918),Cálculos!$AI$5:$AI$1000,0)+4,"")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23" t="str">
        <f>IF($J923="","",INDEX('Detalle individual'!$H:$H,$J923))</f>
        <v/>
      </c>
      <c r="G923" s="28" t="str">
        <f>IF($J923="","",INDEX('Detalle individual'!$J:$J,$J923))</f>
        <v/>
      </c>
      <c r="H923" s="28" t="str">
        <f>IF($J923="","",INDEX('Detalle individual'!$L:$L,$J923))</f>
        <v/>
      </c>
      <c r="J923" t="str">
        <f>IFERROR(MATCH(SMALL(Cálculos!$AI$5:$AI$1000,919),Cálculos!$AI$5:$AI$1000,0)+4,"")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23" t="str">
        <f>IF($J924="","",INDEX('Detalle individual'!$H:$H,$J924))</f>
        <v/>
      </c>
      <c r="G924" s="28" t="str">
        <f>IF($J924="","",INDEX('Detalle individual'!$J:$J,$J924))</f>
        <v/>
      </c>
      <c r="H924" s="28" t="str">
        <f>IF($J924="","",INDEX('Detalle individual'!$L:$L,$J924))</f>
        <v/>
      </c>
      <c r="J924" t="str">
        <f>IFERROR(MATCH(SMALL(Cálculos!$AI$5:$AI$1000,920),Cálculos!$AI$5:$AI$1000,0)+4,"")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23" t="str">
        <f>IF($J925="","",INDEX('Detalle individual'!$H:$H,$J925))</f>
        <v/>
      </c>
      <c r="G925" s="28" t="str">
        <f>IF($J925="","",INDEX('Detalle individual'!$J:$J,$J925))</f>
        <v/>
      </c>
      <c r="H925" s="28" t="str">
        <f>IF($J925="","",INDEX('Detalle individual'!$L:$L,$J925))</f>
        <v/>
      </c>
      <c r="J925" t="str">
        <f>IFERROR(MATCH(SMALL(Cálculos!$AI$5:$AI$1000,921),Cálculos!$AI$5:$AI$1000,0)+4,"")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23" t="str">
        <f>IF($J926="","",INDEX('Detalle individual'!$H:$H,$J926))</f>
        <v/>
      </c>
      <c r="G926" s="28" t="str">
        <f>IF($J926="","",INDEX('Detalle individual'!$J:$J,$J926))</f>
        <v/>
      </c>
      <c r="H926" s="28" t="str">
        <f>IF($J926="","",INDEX('Detalle individual'!$L:$L,$J926))</f>
        <v/>
      </c>
      <c r="J926" t="str">
        <f>IFERROR(MATCH(SMALL(Cálculos!$AI$5:$AI$1000,922),Cálculos!$AI$5:$AI$1000,0)+4,"")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23" t="str">
        <f>IF($J927="","",INDEX('Detalle individual'!$H:$H,$J927))</f>
        <v/>
      </c>
      <c r="G927" s="28" t="str">
        <f>IF($J927="","",INDEX('Detalle individual'!$J:$J,$J927))</f>
        <v/>
      </c>
      <c r="H927" s="28" t="str">
        <f>IF($J927="","",INDEX('Detalle individual'!$L:$L,$J927))</f>
        <v/>
      </c>
      <c r="J927" t="str">
        <f>IFERROR(MATCH(SMALL(Cálculos!$AI$5:$AI$1000,923),Cálculos!$AI$5:$AI$1000,0)+4,"")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23" t="str">
        <f>IF($J928="","",INDEX('Detalle individual'!$H:$H,$J928))</f>
        <v/>
      </c>
      <c r="G928" s="28" t="str">
        <f>IF($J928="","",INDEX('Detalle individual'!$J:$J,$J928))</f>
        <v/>
      </c>
      <c r="H928" s="28" t="str">
        <f>IF($J928="","",INDEX('Detalle individual'!$L:$L,$J928))</f>
        <v/>
      </c>
      <c r="J928" t="str">
        <f>IFERROR(MATCH(SMALL(Cálculos!$AI$5:$AI$1000,924),Cálculos!$AI$5:$AI$1000,0)+4,"")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23" t="str">
        <f>IF($J929="","",INDEX('Detalle individual'!$H:$H,$J929))</f>
        <v/>
      </c>
      <c r="G929" s="28" t="str">
        <f>IF($J929="","",INDEX('Detalle individual'!$J:$J,$J929))</f>
        <v/>
      </c>
      <c r="H929" s="28" t="str">
        <f>IF($J929="","",INDEX('Detalle individual'!$L:$L,$J929))</f>
        <v/>
      </c>
      <c r="J929" t="str">
        <f>IFERROR(MATCH(SMALL(Cálculos!$AI$5:$AI$1000,925),Cálculos!$AI$5:$AI$1000,0)+4,"")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23" t="str">
        <f>IF($J930="","",INDEX('Detalle individual'!$H:$H,$J930))</f>
        <v/>
      </c>
      <c r="G930" s="28" t="str">
        <f>IF($J930="","",INDEX('Detalle individual'!$J:$J,$J930))</f>
        <v/>
      </c>
      <c r="H930" s="28" t="str">
        <f>IF($J930="","",INDEX('Detalle individual'!$L:$L,$J930))</f>
        <v/>
      </c>
      <c r="J930" t="str">
        <f>IFERROR(MATCH(SMALL(Cálculos!$AI$5:$AI$1000,926),Cálculos!$AI$5:$AI$1000,0)+4,"")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23" t="str">
        <f>IF($J931="","",INDEX('Detalle individual'!$H:$H,$J931))</f>
        <v/>
      </c>
      <c r="G931" s="28" t="str">
        <f>IF($J931="","",INDEX('Detalle individual'!$J:$J,$J931))</f>
        <v/>
      </c>
      <c r="H931" s="28" t="str">
        <f>IF($J931="","",INDEX('Detalle individual'!$L:$L,$J931))</f>
        <v/>
      </c>
      <c r="J931" t="str">
        <f>IFERROR(MATCH(SMALL(Cálculos!$AI$5:$AI$1000,927),Cálculos!$AI$5:$AI$1000,0)+4,"")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23" t="str">
        <f>IF($J932="","",INDEX('Detalle individual'!$H:$H,$J932))</f>
        <v/>
      </c>
      <c r="G932" s="28" t="str">
        <f>IF($J932="","",INDEX('Detalle individual'!$J:$J,$J932))</f>
        <v/>
      </c>
      <c r="H932" s="28" t="str">
        <f>IF($J932="","",INDEX('Detalle individual'!$L:$L,$J932))</f>
        <v/>
      </c>
      <c r="J932" t="str">
        <f>IFERROR(MATCH(SMALL(Cálculos!$AI$5:$AI$1000,928),Cálculos!$AI$5:$AI$1000,0)+4,"")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23" t="str">
        <f>IF($J933="","",INDEX('Detalle individual'!$H:$H,$J933))</f>
        <v/>
      </c>
      <c r="G933" s="28" t="str">
        <f>IF($J933="","",INDEX('Detalle individual'!$J:$J,$J933))</f>
        <v/>
      </c>
      <c r="H933" s="28" t="str">
        <f>IF($J933="","",INDEX('Detalle individual'!$L:$L,$J933))</f>
        <v/>
      </c>
      <c r="J933" t="str">
        <f>IFERROR(MATCH(SMALL(Cálculos!$AI$5:$AI$1000,929),Cálculos!$AI$5:$AI$1000,0)+4,"")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23" t="str">
        <f>IF($J934="","",INDEX('Detalle individual'!$H:$H,$J934))</f>
        <v/>
      </c>
      <c r="G934" s="28" t="str">
        <f>IF($J934="","",INDEX('Detalle individual'!$J:$J,$J934))</f>
        <v/>
      </c>
      <c r="H934" s="28" t="str">
        <f>IF($J934="","",INDEX('Detalle individual'!$L:$L,$J934))</f>
        <v/>
      </c>
      <c r="J934" t="str">
        <f>IFERROR(MATCH(SMALL(Cálculos!$AI$5:$AI$1000,930),Cálculos!$AI$5:$AI$1000,0)+4,"")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23" t="str">
        <f>IF($J935="","",INDEX('Detalle individual'!$H:$H,$J935))</f>
        <v/>
      </c>
      <c r="G935" s="28" t="str">
        <f>IF($J935="","",INDEX('Detalle individual'!$J:$J,$J935))</f>
        <v/>
      </c>
      <c r="H935" s="28" t="str">
        <f>IF($J935="","",INDEX('Detalle individual'!$L:$L,$J935))</f>
        <v/>
      </c>
      <c r="J935" t="str">
        <f>IFERROR(MATCH(SMALL(Cálculos!$AI$5:$AI$1000,931),Cálculos!$AI$5:$AI$1000,0)+4,"")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23" t="str">
        <f>IF($J936="","",INDEX('Detalle individual'!$H:$H,$J936))</f>
        <v/>
      </c>
      <c r="G936" s="28" t="str">
        <f>IF($J936="","",INDEX('Detalle individual'!$J:$J,$J936))</f>
        <v/>
      </c>
      <c r="H936" s="28" t="str">
        <f>IF($J936="","",INDEX('Detalle individual'!$L:$L,$J936))</f>
        <v/>
      </c>
      <c r="J936" t="str">
        <f>IFERROR(MATCH(SMALL(Cálculos!$AI$5:$AI$1000,932),Cálculos!$AI$5:$AI$1000,0)+4,"")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23" t="str">
        <f>IF($J937="","",INDEX('Detalle individual'!$H:$H,$J937))</f>
        <v/>
      </c>
      <c r="G937" s="28" t="str">
        <f>IF($J937="","",INDEX('Detalle individual'!$J:$J,$J937))</f>
        <v/>
      </c>
      <c r="H937" s="28" t="str">
        <f>IF($J937="","",INDEX('Detalle individual'!$L:$L,$J937))</f>
        <v/>
      </c>
      <c r="J937" t="str">
        <f>IFERROR(MATCH(SMALL(Cálculos!$AI$5:$AI$1000,933),Cálculos!$AI$5:$AI$1000,0)+4,"")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23" t="str">
        <f>IF($J938="","",INDEX('Detalle individual'!$H:$H,$J938))</f>
        <v/>
      </c>
      <c r="G938" s="28" t="str">
        <f>IF($J938="","",INDEX('Detalle individual'!$J:$J,$J938))</f>
        <v/>
      </c>
      <c r="H938" s="28" t="str">
        <f>IF($J938="","",INDEX('Detalle individual'!$L:$L,$J938))</f>
        <v/>
      </c>
      <c r="J938" t="str">
        <f>IFERROR(MATCH(SMALL(Cálculos!$AI$5:$AI$1000,934),Cálculos!$AI$5:$AI$1000,0)+4,"")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23" t="str">
        <f>IF($J939="","",INDEX('Detalle individual'!$H:$H,$J939))</f>
        <v/>
      </c>
      <c r="G939" s="28" t="str">
        <f>IF($J939="","",INDEX('Detalle individual'!$J:$J,$J939))</f>
        <v/>
      </c>
      <c r="H939" s="28" t="str">
        <f>IF($J939="","",INDEX('Detalle individual'!$L:$L,$J939))</f>
        <v/>
      </c>
      <c r="J939" t="str">
        <f>IFERROR(MATCH(SMALL(Cálculos!$AI$5:$AI$1000,935),Cálculos!$AI$5:$AI$1000,0)+4,"")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23" t="str">
        <f>IF($J940="","",INDEX('Detalle individual'!$H:$H,$J940))</f>
        <v/>
      </c>
      <c r="G940" s="28" t="str">
        <f>IF($J940="","",INDEX('Detalle individual'!$J:$J,$J940))</f>
        <v/>
      </c>
      <c r="H940" s="28" t="str">
        <f>IF($J940="","",INDEX('Detalle individual'!$L:$L,$J940))</f>
        <v/>
      </c>
      <c r="J940" t="str">
        <f>IFERROR(MATCH(SMALL(Cálculos!$AI$5:$AI$1000,936),Cálculos!$AI$5:$AI$1000,0)+4,"")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23" t="str">
        <f>IF($J941="","",INDEX('Detalle individual'!$H:$H,$J941))</f>
        <v/>
      </c>
      <c r="G941" s="28" t="str">
        <f>IF($J941="","",INDEX('Detalle individual'!$J:$J,$J941))</f>
        <v/>
      </c>
      <c r="H941" s="28" t="str">
        <f>IF($J941="","",INDEX('Detalle individual'!$L:$L,$J941))</f>
        <v/>
      </c>
      <c r="J941" t="str">
        <f>IFERROR(MATCH(SMALL(Cálculos!$AI$5:$AI$1000,937),Cálculos!$AI$5:$AI$1000,0)+4,"")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23" t="str">
        <f>IF($J942="","",INDEX('Detalle individual'!$H:$H,$J942))</f>
        <v/>
      </c>
      <c r="G942" s="28" t="str">
        <f>IF($J942="","",INDEX('Detalle individual'!$J:$J,$J942))</f>
        <v/>
      </c>
      <c r="H942" s="28" t="str">
        <f>IF($J942="","",INDEX('Detalle individual'!$L:$L,$J942))</f>
        <v/>
      </c>
      <c r="J942" t="str">
        <f>IFERROR(MATCH(SMALL(Cálculos!$AI$5:$AI$1000,938),Cálculos!$AI$5:$AI$1000,0)+4,"")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23" t="str">
        <f>IF($J943="","",INDEX('Detalle individual'!$H:$H,$J943))</f>
        <v/>
      </c>
      <c r="G943" s="28" t="str">
        <f>IF($J943="","",INDEX('Detalle individual'!$J:$J,$J943))</f>
        <v/>
      </c>
      <c r="H943" s="28" t="str">
        <f>IF($J943="","",INDEX('Detalle individual'!$L:$L,$J943))</f>
        <v/>
      </c>
      <c r="J943" t="str">
        <f>IFERROR(MATCH(SMALL(Cálculos!$AI$5:$AI$1000,939),Cálculos!$AI$5:$AI$1000,0)+4,"")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23" t="str">
        <f>IF($J944="","",INDEX('Detalle individual'!$H:$H,$J944))</f>
        <v/>
      </c>
      <c r="G944" s="28" t="str">
        <f>IF($J944="","",INDEX('Detalle individual'!$J:$J,$J944))</f>
        <v/>
      </c>
      <c r="H944" s="28" t="str">
        <f>IF($J944="","",INDEX('Detalle individual'!$L:$L,$J944))</f>
        <v/>
      </c>
      <c r="J944" t="str">
        <f>IFERROR(MATCH(SMALL(Cálculos!$AI$5:$AI$1000,940),Cálculos!$AI$5:$AI$1000,0)+4,"")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23" t="str">
        <f>IF($J945="","",INDEX('Detalle individual'!$H:$H,$J945))</f>
        <v/>
      </c>
      <c r="G945" s="28" t="str">
        <f>IF($J945="","",INDEX('Detalle individual'!$J:$J,$J945))</f>
        <v/>
      </c>
      <c r="H945" s="28" t="str">
        <f>IF($J945="","",INDEX('Detalle individual'!$L:$L,$J945))</f>
        <v/>
      </c>
      <c r="J945" t="str">
        <f>IFERROR(MATCH(SMALL(Cálculos!$AI$5:$AI$1000,941),Cálculos!$AI$5:$AI$1000,0)+4,"")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23" t="str">
        <f>IF($J946="","",INDEX('Detalle individual'!$H:$H,$J946))</f>
        <v/>
      </c>
      <c r="G946" s="28" t="str">
        <f>IF($J946="","",INDEX('Detalle individual'!$J:$J,$J946))</f>
        <v/>
      </c>
      <c r="H946" s="28" t="str">
        <f>IF($J946="","",INDEX('Detalle individual'!$L:$L,$J946))</f>
        <v/>
      </c>
      <c r="J946" t="str">
        <f>IFERROR(MATCH(SMALL(Cálculos!$AI$5:$AI$1000,942),Cálculos!$AI$5:$AI$1000,0)+4,"")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23" t="str">
        <f>IF($J947="","",INDEX('Detalle individual'!$H:$H,$J947))</f>
        <v/>
      </c>
      <c r="G947" s="28" t="str">
        <f>IF($J947="","",INDEX('Detalle individual'!$J:$J,$J947))</f>
        <v/>
      </c>
      <c r="H947" s="28" t="str">
        <f>IF($J947="","",INDEX('Detalle individual'!$L:$L,$J947))</f>
        <v/>
      </c>
      <c r="J947" t="str">
        <f>IFERROR(MATCH(SMALL(Cálculos!$AI$5:$AI$1000,943),Cálculos!$AI$5:$AI$1000,0)+4,"")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23" t="str">
        <f>IF($J948="","",INDEX('Detalle individual'!$H:$H,$J948))</f>
        <v/>
      </c>
      <c r="G948" s="28" t="str">
        <f>IF($J948="","",INDEX('Detalle individual'!$J:$J,$J948))</f>
        <v/>
      </c>
      <c r="H948" s="28" t="str">
        <f>IF($J948="","",INDEX('Detalle individual'!$L:$L,$J948))</f>
        <v/>
      </c>
      <c r="J948" t="str">
        <f>IFERROR(MATCH(SMALL(Cálculos!$AI$5:$AI$1000,944),Cálculos!$AI$5:$AI$1000,0)+4,"")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23" t="str">
        <f>IF($J949="","",INDEX('Detalle individual'!$H:$H,$J949))</f>
        <v/>
      </c>
      <c r="G949" s="28" t="str">
        <f>IF($J949="","",INDEX('Detalle individual'!$J:$J,$J949))</f>
        <v/>
      </c>
      <c r="H949" s="28" t="str">
        <f>IF($J949="","",INDEX('Detalle individual'!$L:$L,$J949))</f>
        <v/>
      </c>
      <c r="J949" t="str">
        <f>IFERROR(MATCH(SMALL(Cálculos!$AI$5:$AI$1000,945),Cálculos!$AI$5:$AI$1000,0)+4,"")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23" t="str">
        <f>IF($J950="","",INDEX('Detalle individual'!$H:$H,$J950))</f>
        <v/>
      </c>
      <c r="G950" s="28" t="str">
        <f>IF($J950="","",INDEX('Detalle individual'!$J:$J,$J950))</f>
        <v/>
      </c>
      <c r="H950" s="28" t="str">
        <f>IF($J950="","",INDEX('Detalle individual'!$L:$L,$J950))</f>
        <v/>
      </c>
      <c r="J950" t="str">
        <f>IFERROR(MATCH(SMALL(Cálculos!$AI$5:$AI$1000,946),Cálculos!$AI$5:$AI$1000,0)+4,"")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23" t="str">
        <f>IF($J951="","",INDEX('Detalle individual'!$H:$H,$J951))</f>
        <v/>
      </c>
      <c r="G951" s="28" t="str">
        <f>IF($J951="","",INDEX('Detalle individual'!$J:$J,$J951))</f>
        <v/>
      </c>
      <c r="H951" s="28" t="str">
        <f>IF($J951="","",INDEX('Detalle individual'!$L:$L,$J951))</f>
        <v/>
      </c>
      <c r="J951" t="str">
        <f>IFERROR(MATCH(SMALL(Cálculos!$AI$5:$AI$1000,947),Cálculos!$AI$5:$AI$1000,0)+4,"")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23" t="str">
        <f>IF($J952="","",INDEX('Detalle individual'!$H:$H,$J952))</f>
        <v/>
      </c>
      <c r="G952" s="28" t="str">
        <f>IF($J952="","",INDEX('Detalle individual'!$J:$J,$J952))</f>
        <v/>
      </c>
      <c r="H952" s="28" t="str">
        <f>IF($J952="","",INDEX('Detalle individual'!$L:$L,$J952))</f>
        <v/>
      </c>
      <c r="J952" t="str">
        <f>IFERROR(MATCH(SMALL(Cálculos!$AI$5:$AI$1000,948),Cálculos!$AI$5:$AI$1000,0)+4,"")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23" t="str">
        <f>IF($J953="","",INDEX('Detalle individual'!$H:$H,$J953))</f>
        <v/>
      </c>
      <c r="G953" s="28" t="str">
        <f>IF($J953="","",INDEX('Detalle individual'!$J:$J,$J953))</f>
        <v/>
      </c>
      <c r="H953" s="28" t="str">
        <f>IF($J953="","",INDEX('Detalle individual'!$L:$L,$J953))</f>
        <v/>
      </c>
      <c r="J953" t="str">
        <f>IFERROR(MATCH(SMALL(Cálculos!$AI$5:$AI$1000,949),Cálculos!$AI$5:$AI$1000,0)+4,"")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23" t="str">
        <f>IF($J954="","",INDEX('Detalle individual'!$H:$H,$J954))</f>
        <v/>
      </c>
      <c r="G954" s="28" t="str">
        <f>IF($J954="","",INDEX('Detalle individual'!$J:$J,$J954))</f>
        <v/>
      </c>
      <c r="H954" s="28" t="str">
        <f>IF($J954="","",INDEX('Detalle individual'!$L:$L,$J954))</f>
        <v/>
      </c>
      <c r="J954" t="str">
        <f>IFERROR(MATCH(SMALL(Cálculos!$AI$5:$AI$1000,950),Cálculos!$AI$5:$AI$1000,0)+4,"")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23" t="str">
        <f>IF($J955="","",INDEX('Detalle individual'!$H:$H,$J955))</f>
        <v/>
      </c>
      <c r="G955" s="28" t="str">
        <f>IF($J955="","",INDEX('Detalle individual'!$J:$J,$J955))</f>
        <v/>
      </c>
      <c r="H955" s="28" t="str">
        <f>IF($J955="","",INDEX('Detalle individual'!$L:$L,$J955))</f>
        <v/>
      </c>
      <c r="J955" t="str">
        <f>IFERROR(MATCH(SMALL(Cálculos!$AI$5:$AI$1000,951),Cálculos!$AI$5:$AI$1000,0)+4,"")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23" t="str">
        <f>IF($J956="","",INDEX('Detalle individual'!$H:$H,$J956))</f>
        <v/>
      </c>
      <c r="G956" s="28" t="str">
        <f>IF($J956="","",INDEX('Detalle individual'!$J:$J,$J956))</f>
        <v/>
      </c>
      <c r="H956" s="28" t="str">
        <f>IF($J956="","",INDEX('Detalle individual'!$L:$L,$J956))</f>
        <v/>
      </c>
      <c r="J956" t="str">
        <f>IFERROR(MATCH(SMALL(Cálculos!$AI$5:$AI$1000,952),Cálculos!$AI$5:$AI$1000,0)+4,"")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23" t="str">
        <f>IF($J957="","",INDEX('Detalle individual'!$H:$H,$J957))</f>
        <v/>
      </c>
      <c r="G957" s="28" t="str">
        <f>IF($J957="","",INDEX('Detalle individual'!$J:$J,$J957))</f>
        <v/>
      </c>
      <c r="H957" s="28" t="str">
        <f>IF($J957="","",INDEX('Detalle individual'!$L:$L,$J957))</f>
        <v/>
      </c>
      <c r="J957" t="str">
        <f>IFERROR(MATCH(SMALL(Cálculos!$AI$5:$AI$1000,953),Cálculos!$AI$5:$AI$1000,0)+4,"")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23" t="str">
        <f>IF($J958="","",INDEX('Detalle individual'!$H:$H,$J958))</f>
        <v/>
      </c>
      <c r="G958" s="28" t="str">
        <f>IF($J958="","",INDEX('Detalle individual'!$J:$J,$J958))</f>
        <v/>
      </c>
      <c r="H958" s="28" t="str">
        <f>IF($J958="","",INDEX('Detalle individual'!$L:$L,$J958))</f>
        <v/>
      </c>
      <c r="J958" t="str">
        <f>IFERROR(MATCH(SMALL(Cálculos!$AI$5:$AI$1000,954),Cálculos!$AI$5:$AI$1000,0)+4,"")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23" t="str">
        <f>IF($J959="","",INDEX('Detalle individual'!$H:$H,$J959))</f>
        <v/>
      </c>
      <c r="G959" s="28" t="str">
        <f>IF($J959="","",INDEX('Detalle individual'!$J:$J,$J959))</f>
        <v/>
      </c>
      <c r="H959" s="28" t="str">
        <f>IF($J959="","",INDEX('Detalle individual'!$L:$L,$J959))</f>
        <v/>
      </c>
      <c r="J959" t="str">
        <f>IFERROR(MATCH(SMALL(Cálculos!$AI$5:$AI$1000,955),Cálculos!$AI$5:$AI$1000,0)+4,"")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23" t="str">
        <f>IF($J960="","",INDEX('Detalle individual'!$H:$H,$J960))</f>
        <v/>
      </c>
      <c r="G960" s="28" t="str">
        <f>IF($J960="","",INDEX('Detalle individual'!$J:$J,$J960))</f>
        <v/>
      </c>
      <c r="H960" s="28" t="str">
        <f>IF($J960="","",INDEX('Detalle individual'!$L:$L,$J960))</f>
        <v/>
      </c>
      <c r="J960" t="str">
        <f>IFERROR(MATCH(SMALL(Cálculos!$AI$5:$AI$1000,956),Cálculos!$AI$5:$AI$1000,0)+4,"")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23" t="str">
        <f>IF($J961="","",INDEX('Detalle individual'!$H:$H,$J961))</f>
        <v/>
      </c>
      <c r="G961" s="28" t="str">
        <f>IF($J961="","",INDEX('Detalle individual'!$J:$J,$J961))</f>
        <v/>
      </c>
      <c r="H961" s="28" t="str">
        <f>IF($J961="","",INDEX('Detalle individual'!$L:$L,$J961))</f>
        <v/>
      </c>
      <c r="J961" t="str">
        <f>IFERROR(MATCH(SMALL(Cálculos!$AI$5:$AI$1000,957),Cálculos!$AI$5:$AI$1000,0)+4,"")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23" t="str">
        <f>IF($J962="","",INDEX('Detalle individual'!$H:$H,$J962))</f>
        <v/>
      </c>
      <c r="G962" s="28" t="str">
        <f>IF($J962="","",INDEX('Detalle individual'!$J:$J,$J962))</f>
        <v/>
      </c>
      <c r="H962" s="28" t="str">
        <f>IF($J962="","",INDEX('Detalle individual'!$L:$L,$J962))</f>
        <v/>
      </c>
      <c r="J962" t="str">
        <f>IFERROR(MATCH(SMALL(Cálculos!$AI$5:$AI$1000,958),Cálculos!$AI$5:$AI$1000,0)+4,"")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23" t="str">
        <f>IF($J963="","",INDEX('Detalle individual'!$H:$H,$J963))</f>
        <v/>
      </c>
      <c r="G963" s="28" t="str">
        <f>IF($J963="","",INDEX('Detalle individual'!$J:$J,$J963))</f>
        <v/>
      </c>
      <c r="H963" s="28" t="str">
        <f>IF($J963="","",INDEX('Detalle individual'!$L:$L,$J963))</f>
        <v/>
      </c>
      <c r="J963" t="str">
        <f>IFERROR(MATCH(SMALL(Cálculos!$AI$5:$AI$1000,959),Cálculos!$AI$5:$AI$1000,0)+4,"")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23" t="str">
        <f>IF($J964="","",INDEX('Detalle individual'!$H:$H,$J964))</f>
        <v/>
      </c>
      <c r="G964" s="28" t="str">
        <f>IF($J964="","",INDEX('Detalle individual'!$J:$J,$J964))</f>
        <v/>
      </c>
      <c r="H964" s="28" t="str">
        <f>IF($J964="","",INDEX('Detalle individual'!$L:$L,$J964))</f>
        <v/>
      </c>
      <c r="J964" t="str">
        <f>IFERROR(MATCH(SMALL(Cálculos!$AI$5:$AI$1000,960),Cálculos!$AI$5:$AI$1000,0)+4,"")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23" t="str">
        <f>IF($J965="","",INDEX('Detalle individual'!$H:$H,$J965))</f>
        <v/>
      </c>
      <c r="G965" s="28" t="str">
        <f>IF($J965="","",INDEX('Detalle individual'!$J:$J,$J965))</f>
        <v/>
      </c>
      <c r="H965" s="28" t="str">
        <f>IF($J965="","",INDEX('Detalle individual'!$L:$L,$J965))</f>
        <v/>
      </c>
      <c r="J965" t="str">
        <f>IFERROR(MATCH(SMALL(Cálculos!$AI$5:$AI$1000,961),Cálculos!$AI$5:$AI$1000,0)+4,"")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23" t="str">
        <f>IF($J966="","",INDEX('Detalle individual'!$H:$H,$J966))</f>
        <v/>
      </c>
      <c r="G966" s="28" t="str">
        <f>IF($J966="","",INDEX('Detalle individual'!$J:$J,$J966))</f>
        <v/>
      </c>
      <c r="H966" s="28" t="str">
        <f>IF($J966="","",INDEX('Detalle individual'!$L:$L,$J966))</f>
        <v/>
      </c>
      <c r="J966" t="str">
        <f>IFERROR(MATCH(SMALL(Cálculos!$AI$5:$AI$1000,962),Cálculos!$AI$5:$AI$1000,0)+4,"")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23" t="str">
        <f>IF($J967="","",INDEX('Detalle individual'!$H:$H,$J967))</f>
        <v/>
      </c>
      <c r="G967" s="28" t="str">
        <f>IF($J967="","",INDEX('Detalle individual'!$J:$J,$J967))</f>
        <v/>
      </c>
      <c r="H967" s="28" t="str">
        <f>IF($J967="","",INDEX('Detalle individual'!$L:$L,$J967))</f>
        <v/>
      </c>
      <c r="J967" t="str">
        <f>IFERROR(MATCH(SMALL(Cálculos!$AI$5:$AI$1000,963),Cálculos!$AI$5:$AI$1000,0)+4,"")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23" t="str">
        <f>IF($J968="","",INDEX('Detalle individual'!$H:$H,$J968))</f>
        <v/>
      </c>
      <c r="G968" s="28" t="str">
        <f>IF($J968="","",INDEX('Detalle individual'!$J:$J,$J968))</f>
        <v/>
      </c>
      <c r="H968" s="28" t="str">
        <f>IF($J968="","",INDEX('Detalle individual'!$L:$L,$J968))</f>
        <v/>
      </c>
      <c r="J968" t="str">
        <f>IFERROR(MATCH(SMALL(Cálculos!$AI$5:$AI$1000,964),Cálculos!$AI$5:$AI$1000,0)+4,"")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23" t="str">
        <f>IF($J969="","",INDEX('Detalle individual'!$H:$H,$J969))</f>
        <v/>
      </c>
      <c r="G969" s="28" t="str">
        <f>IF($J969="","",INDEX('Detalle individual'!$J:$J,$J969))</f>
        <v/>
      </c>
      <c r="H969" s="28" t="str">
        <f>IF($J969="","",INDEX('Detalle individual'!$L:$L,$J969))</f>
        <v/>
      </c>
      <c r="J969" t="str">
        <f>IFERROR(MATCH(SMALL(Cálculos!$AI$5:$AI$1000,965),Cálculos!$AI$5:$AI$1000,0)+4,"")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23" t="str">
        <f>IF($J970="","",INDEX('Detalle individual'!$H:$H,$J970))</f>
        <v/>
      </c>
      <c r="G970" s="28" t="str">
        <f>IF($J970="","",INDEX('Detalle individual'!$J:$J,$J970))</f>
        <v/>
      </c>
      <c r="H970" s="28" t="str">
        <f>IF($J970="","",INDEX('Detalle individual'!$L:$L,$J970))</f>
        <v/>
      </c>
      <c r="J970" t="str">
        <f>IFERROR(MATCH(SMALL(Cálculos!$AI$5:$AI$1000,966),Cálculos!$AI$5:$AI$1000,0)+4,"")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23" t="str">
        <f>IF($J971="","",INDEX('Detalle individual'!$H:$H,$J971))</f>
        <v/>
      </c>
      <c r="G971" s="28" t="str">
        <f>IF($J971="","",INDEX('Detalle individual'!$J:$J,$J971))</f>
        <v/>
      </c>
      <c r="H971" s="28" t="str">
        <f>IF($J971="","",INDEX('Detalle individual'!$L:$L,$J971))</f>
        <v/>
      </c>
      <c r="J971" t="str">
        <f>IFERROR(MATCH(SMALL(Cálculos!$AI$5:$AI$1000,967),Cálculos!$AI$5:$AI$1000,0)+4,"")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23" t="str">
        <f>IF($J972="","",INDEX('Detalle individual'!$H:$H,$J972))</f>
        <v/>
      </c>
      <c r="G972" s="28" t="str">
        <f>IF($J972="","",INDEX('Detalle individual'!$J:$J,$J972))</f>
        <v/>
      </c>
      <c r="H972" s="28" t="str">
        <f>IF($J972="","",INDEX('Detalle individual'!$L:$L,$J972))</f>
        <v/>
      </c>
      <c r="J972" t="str">
        <f>IFERROR(MATCH(SMALL(Cálculos!$AI$5:$AI$1000,968),Cálculos!$AI$5:$AI$1000,0)+4,"")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23" t="str">
        <f>IF($J973="","",INDEX('Detalle individual'!$H:$H,$J973))</f>
        <v/>
      </c>
      <c r="G973" s="28" t="str">
        <f>IF($J973="","",INDEX('Detalle individual'!$J:$J,$J973))</f>
        <v/>
      </c>
      <c r="H973" s="28" t="str">
        <f>IF($J973="","",INDEX('Detalle individual'!$L:$L,$J973))</f>
        <v/>
      </c>
      <c r="J973" t="str">
        <f>IFERROR(MATCH(SMALL(Cálculos!$AI$5:$AI$1000,969),Cálculos!$AI$5:$AI$1000,0)+4,"")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23" t="str">
        <f>IF($J974="","",INDEX('Detalle individual'!$H:$H,$J974))</f>
        <v/>
      </c>
      <c r="G974" s="28" t="str">
        <f>IF($J974="","",INDEX('Detalle individual'!$J:$J,$J974))</f>
        <v/>
      </c>
      <c r="H974" s="28" t="str">
        <f>IF($J974="","",INDEX('Detalle individual'!$L:$L,$J974))</f>
        <v/>
      </c>
      <c r="J974" t="str">
        <f>IFERROR(MATCH(SMALL(Cálculos!$AI$5:$AI$1000,970),Cálculos!$AI$5:$AI$1000,0)+4,"")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23" t="str">
        <f>IF($J975="","",INDEX('Detalle individual'!$H:$H,$J975))</f>
        <v/>
      </c>
      <c r="G975" s="28" t="str">
        <f>IF($J975="","",INDEX('Detalle individual'!$J:$J,$J975))</f>
        <v/>
      </c>
      <c r="H975" s="28" t="str">
        <f>IF($J975="","",INDEX('Detalle individual'!$L:$L,$J975))</f>
        <v/>
      </c>
      <c r="J975" t="str">
        <f>IFERROR(MATCH(SMALL(Cálculos!$AI$5:$AI$1000,971),Cálculos!$AI$5:$AI$1000,0)+4,"")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23" t="str">
        <f>IF($J976="","",INDEX('Detalle individual'!$H:$H,$J976))</f>
        <v/>
      </c>
      <c r="G976" s="28" t="str">
        <f>IF($J976="","",INDEX('Detalle individual'!$J:$J,$J976))</f>
        <v/>
      </c>
      <c r="H976" s="28" t="str">
        <f>IF($J976="","",INDEX('Detalle individual'!$L:$L,$J976))</f>
        <v/>
      </c>
      <c r="J976" t="str">
        <f>IFERROR(MATCH(SMALL(Cálculos!$AI$5:$AI$1000,972),Cálculos!$AI$5:$AI$1000,0)+4,"")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23" t="str">
        <f>IF($J977="","",INDEX('Detalle individual'!$H:$H,$J977))</f>
        <v/>
      </c>
      <c r="G977" s="28" t="str">
        <f>IF($J977="","",INDEX('Detalle individual'!$J:$J,$J977))</f>
        <v/>
      </c>
      <c r="H977" s="28" t="str">
        <f>IF($J977="","",INDEX('Detalle individual'!$L:$L,$J977))</f>
        <v/>
      </c>
      <c r="J977" t="str">
        <f>IFERROR(MATCH(SMALL(Cálculos!$AI$5:$AI$1000,973),Cálculos!$AI$5:$AI$1000,0)+4,"")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23" t="str">
        <f>IF($J978="","",INDEX('Detalle individual'!$H:$H,$J978))</f>
        <v/>
      </c>
      <c r="G978" s="28" t="str">
        <f>IF($J978="","",INDEX('Detalle individual'!$J:$J,$J978))</f>
        <v/>
      </c>
      <c r="H978" s="28" t="str">
        <f>IF($J978="","",INDEX('Detalle individual'!$L:$L,$J978))</f>
        <v/>
      </c>
      <c r="J978" t="str">
        <f>IFERROR(MATCH(SMALL(Cálculos!$AI$5:$AI$1000,974),Cálculos!$AI$5:$AI$1000,0)+4,"")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23" t="str">
        <f>IF($J979="","",INDEX('Detalle individual'!$H:$H,$J979))</f>
        <v/>
      </c>
      <c r="G979" s="28" t="str">
        <f>IF($J979="","",INDEX('Detalle individual'!$J:$J,$J979))</f>
        <v/>
      </c>
      <c r="H979" s="28" t="str">
        <f>IF($J979="","",INDEX('Detalle individual'!$L:$L,$J979))</f>
        <v/>
      </c>
      <c r="J979" t="str">
        <f>IFERROR(MATCH(SMALL(Cálculos!$AI$5:$AI$1000,975),Cálculos!$AI$5:$AI$1000,0)+4,"")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23" t="str">
        <f>IF($J980="","",INDEX('Detalle individual'!$H:$H,$J980))</f>
        <v/>
      </c>
      <c r="G980" s="28" t="str">
        <f>IF($J980="","",INDEX('Detalle individual'!$J:$J,$J980))</f>
        <v/>
      </c>
      <c r="H980" s="28" t="str">
        <f>IF($J980="","",INDEX('Detalle individual'!$L:$L,$J980))</f>
        <v/>
      </c>
      <c r="J980" t="str">
        <f>IFERROR(MATCH(SMALL(Cálculos!$AI$5:$AI$1000,976),Cálculos!$AI$5:$AI$1000,0)+4,"")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23" t="str">
        <f>IF($J981="","",INDEX('Detalle individual'!$H:$H,$J981))</f>
        <v/>
      </c>
      <c r="G981" s="28" t="str">
        <f>IF($J981="","",INDEX('Detalle individual'!$J:$J,$J981))</f>
        <v/>
      </c>
      <c r="H981" s="28" t="str">
        <f>IF($J981="","",INDEX('Detalle individual'!$L:$L,$J981))</f>
        <v/>
      </c>
      <c r="J981" t="str">
        <f>IFERROR(MATCH(SMALL(Cálculos!$AI$5:$AI$1000,977),Cálculos!$AI$5:$AI$1000,0)+4,"")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23" t="str">
        <f>IF($J982="","",INDEX('Detalle individual'!$H:$H,$J982))</f>
        <v/>
      </c>
      <c r="G982" s="28" t="str">
        <f>IF($J982="","",INDEX('Detalle individual'!$J:$J,$J982))</f>
        <v/>
      </c>
      <c r="H982" s="28" t="str">
        <f>IF($J982="","",INDEX('Detalle individual'!$L:$L,$J982))</f>
        <v/>
      </c>
      <c r="J982" t="str">
        <f>IFERROR(MATCH(SMALL(Cálculos!$AI$5:$AI$1000,978),Cálculos!$AI$5:$AI$1000,0)+4,"")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23" t="str">
        <f>IF($J983="","",INDEX('Detalle individual'!$H:$H,$J983))</f>
        <v/>
      </c>
      <c r="G983" s="28" t="str">
        <f>IF($J983="","",INDEX('Detalle individual'!$J:$J,$J983))</f>
        <v/>
      </c>
      <c r="H983" s="28" t="str">
        <f>IF($J983="","",INDEX('Detalle individual'!$L:$L,$J983))</f>
        <v/>
      </c>
      <c r="J983" t="str">
        <f>IFERROR(MATCH(SMALL(Cálculos!$AI$5:$AI$1000,979),Cálculos!$AI$5:$AI$1000,0)+4,"")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23" t="str">
        <f>IF($J984="","",INDEX('Detalle individual'!$H:$H,$J984))</f>
        <v/>
      </c>
      <c r="G984" s="28" t="str">
        <f>IF($J984="","",INDEX('Detalle individual'!$J:$J,$J984))</f>
        <v/>
      </c>
      <c r="H984" s="28" t="str">
        <f>IF($J984="","",INDEX('Detalle individual'!$L:$L,$J984))</f>
        <v/>
      </c>
      <c r="J984" t="str">
        <f>IFERROR(MATCH(SMALL(Cálculos!$AI$5:$AI$1000,980),Cálculos!$AI$5:$AI$1000,0)+4,"")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23" t="str">
        <f>IF($J985="","",INDEX('Detalle individual'!$H:$H,$J985))</f>
        <v/>
      </c>
      <c r="G985" s="28" t="str">
        <f>IF($J985="","",INDEX('Detalle individual'!$J:$J,$J985))</f>
        <v/>
      </c>
      <c r="H985" s="28" t="str">
        <f>IF($J985="","",INDEX('Detalle individual'!$L:$L,$J985))</f>
        <v/>
      </c>
      <c r="J985" t="str">
        <f>IFERROR(MATCH(SMALL(Cálculos!$AI$5:$AI$1000,981),Cálculos!$AI$5:$AI$1000,0)+4,"")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23" t="str">
        <f>IF($J986="","",INDEX('Detalle individual'!$H:$H,$J986))</f>
        <v/>
      </c>
      <c r="G986" s="28" t="str">
        <f>IF($J986="","",INDEX('Detalle individual'!$J:$J,$J986))</f>
        <v/>
      </c>
      <c r="H986" s="28" t="str">
        <f>IF($J986="","",INDEX('Detalle individual'!$L:$L,$J986))</f>
        <v/>
      </c>
      <c r="J986" t="str">
        <f>IFERROR(MATCH(SMALL(Cálculos!$AI$5:$AI$1000,982),Cálculos!$AI$5:$AI$1000,0)+4,"")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23" t="str">
        <f>IF($J987="","",INDEX('Detalle individual'!$H:$H,$J987))</f>
        <v/>
      </c>
      <c r="G987" s="28" t="str">
        <f>IF($J987="","",INDEX('Detalle individual'!$J:$J,$J987))</f>
        <v/>
      </c>
      <c r="H987" s="28" t="str">
        <f>IF($J987="","",INDEX('Detalle individual'!$L:$L,$J987))</f>
        <v/>
      </c>
      <c r="J987" t="str">
        <f>IFERROR(MATCH(SMALL(Cálculos!$AI$5:$AI$1000,983),Cálculos!$AI$5:$AI$1000,0)+4,"")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23" t="str">
        <f>IF($J988="","",INDEX('Detalle individual'!$H:$H,$J988))</f>
        <v/>
      </c>
      <c r="G988" s="28" t="str">
        <f>IF($J988="","",INDEX('Detalle individual'!$J:$J,$J988))</f>
        <v/>
      </c>
      <c r="H988" s="28" t="str">
        <f>IF($J988="","",INDEX('Detalle individual'!$L:$L,$J988))</f>
        <v/>
      </c>
      <c r="J988" t="str">
        <f>IFERROR(MATCH(SMALL(Cálculos!$AI$5:$AI$1000,984),Cálculos!$AI$5:$AI$1000,0)+4,"")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23" t="str">
        <f>IF($J989="","",INDEX('Detalle individual'!$H:$H,$J989))</f>
        <v/>
      </c>
      <c r="G989" s="28" t="str">
        <f>IF($J989="","",INDEX('Detalle individual'!$J:$J,$J989))</f>
        <v/>
      </c>
      <c r="H989" s="28" t="str">
        <f>IF($J989="","",INDEX('Detalle individual'!$L:$L,$J989))</f>
        <v/>
      </c>
      <c r="J989" t="str">
        <f>IFERROR(MATCH(SMALL(Cálculos!$AI$5:$AI$1000,985),Cálculos!$AI$5:$AI$1000,0)+4,"")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23" t="str">
        <f>IF($J990="","",INDEX('Detalle individual'!$H:$H,$J990))</f>
        <v/>
      </c>
      <c r="G990" s="28" t="str">
        <f>IF($J990="","",INDEX('Detalle individual'!$J:$J,$J990))</f>
        <v/>
      </c>
      <c r="H990" s="28" t="str">
        <f>IF($J990="","",INDEX('Detalle individual'!$L:$L,$J990))</f>
        <v/>
      </c>
      <c r="J990" t="str">
        <f>IFERROR(MATCH(SMALL(Cálculos!$AI$5:$AI$1000,986),Cálculos!$AI$5:$AI$1000,0)+4,"")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23" t="str">
        <f>IF($J991="","",INDEX('Detalle individual'!$H:$H,$J991))</f>
        <v/>
      </c>
      <c r="G991" s="28" t="str">
        <f>IF($J991="","",INDEX('Detalle individual'!$J:$J,$J991))</f>
        <v/>
      </c>
      <c r="H991" s="28" t="str">
        <f>IF($J991="","",INDEX('Detalle individual'!$L:$L,$J991))</f>
        <v/>
      </c>
      <c r="J991" t="str">
        <f>IFERROR(MATCH(SMALL(Cálculos!$AI$5:$AI$1000,987),Cálculos!$AI$5:$AI$1000,0)+4,"")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23" t="str">
        <f>IF($J992="","",INDEX('Detalle individual'!$H:$H,$J992))</f>
        <v/>
      </c>
      <c r="G992" s="28" t="str">
        <f>IF($J992="","",INDEX('Detalle individual'!$J:$J,$J992))</f>
        <v/>
      </c>
      <c r="H992" s="28" t="str">
        <f>IF($J992="","",INDEX('Detalle individual'!$L:$L,$J992))</f>
        <v/>
      </c>
      <c r="J992" t="str">
        <f>IFERROR(MATCH(SMALL(Cálculos!$AI$5:$AI$1000,988),Cálculos!$AI$5:$AI$1000,0)+4,"")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23" t="str">
        <f>IF($J993="","",INDEX('Detalle individual'!$H:$H,$J993))</f>
        <v/>
      </c>
      <c r="G993" s="28" t="str">
        <f>IF($J993="","",INDEX('Detalle individual'!$J:$J,$J993))</f>
        <v/>
      </c>
      <c r="H993" s="28" t="str">
        <f>IF($J993="","",INDEX('Detalle individual'!$L:$L,$J993))</f>
        <v/>
      </c>
      <c r="J993" t="str">
        <f>IFERROR(MATCH(SMALL(Cálculos!$AI$5:$AI$1000,989),Cálculos!$AI$5:$AI$1000,0)+4,"")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23" t="str">
        <f>IF($J994="","",INDEX('Detalle individual'!$H:$H,$J994))</f>
        <v/>
      </c>
      <c r="G994" s="28" t="str">
        <f>IF($J994="","",INDEX('Detalle individual'!$J:$J,$J994))</f>
        <v/>
      </c>
      <c r="H994" s="28" t="str">
        <f>IF($J994="","",INDEX('Detalle individual'!$L:$L,$J994))</f>
        <v/>
      </c>
      <c r="J994" t="str">
        <f>IFERROR(MATCH(SMALL(Cálculos!$AI$5:$AI$1000,990),Cálculos!$AI$5:$AI$1000,0)+4,"")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23" t="str">
        <f>IF($J995="","",INDEX('Detalle individual'!$H:$H,$J995))</f>
        <v/>
      </c>
      <c r="G995" s="28" t="str">
        <f>IF($J995="","",INDEX('Detalle individual'!$J:$J,$J995))</f>
        <v/>
      </c>
      <c r="H995" s="28" t="str">
        <f>IF($J995="","",INDEX('Detalle individual'!$L:$L,$J995))</f>
        <v/>
      </c>
      <c r="J995" t="str">
        <f>IFERROR(MATCH(SMALL(Cálculos!$AI$5:$AI$1000,991),Cálculos!$AI$5:$AI$1000,0)+4,"")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23" t="str">
        <f>IF($J996="","",INDEX('Detalle individual'!$H:$H,$J996))</f>
        <v/>
      </c>
      <c r="G996" s="28" t="str">
        <f>IF($J996="","",INDEX('Detalle individual'!$J:$J,$J996))</f>
        <v/>
      </c>
      <c r="H996" s="28" t="str">
        <f>IF($J996="","",INDEX('Detalle individual'!$L:$L,$J996))</f>
        <v/>
      </c>
      <c r="J996" t="str">
        <f>IFERROR(MATCH(SMALL(Cálculos!$AI$5:$AI$1000,992),Cálculos!$AI$5:$AI$1000,0)+4,"")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23" t="str">
        <f>IF($J997="","",INDEX('Detalle individual'!$H:$H,$J997))</f>
        <v/>
      </c>
      <c r="G997" s="28" t="str">
        <f>IF($J997="","",INDEX('Detalle individual'!$J:$J,$J997))</f>
        <v/>
      </c>
      <c r="H997" s="28" t="str">
        <f>IF($J997="","",INDEX('Detalle individual'!$L:$L,$J997))</f>
        <v/>
      </c>
      <c r="J997" t="str">
        <f>IFERROR(MATCH(SMALL(Cálculos!$AI$5:$AI$1000,993),Cálculos!$AI$5:$AI$1000,0)+4,"")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23" t="str">
        <f>IF($J998="","",INDEX('Detalle individual'!$H:$H,$J998))</f>
        <v/>
      </c>
      <c r="G998" s="28" t="str">
        <f>IF($J998="","",INDEX('Detalle individual'!$J:$J,$J998))</f>
        <v/>
      </c>
      <c r="H998" s="28" t="str">
        <f>IF($J998="","",INDEX('Detalle individual'!$L:$L,$J998))</f>
        <v/>
      </c>
      <c r="J998" t="str">
        <f>IFERROR(MATCH(SMALL(Cálculos!$AI$5:$AI$1000,994),Cálculos!$AI$5:$AI$1000,0)+4,"")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23" t="str">
        <f>IF($J999="","",INDEX('Detalle individual'!$H:$H,$J999))</f>
        <v/>
      </c>
      <c r="G999" s="28" t="str">
        <f>IF($J999="","",INDEX('Detalle individual'!$J:$J,$J999))</f>
        <v/>
      </c>
      <c r="H999" s="28" t="str">
        <f>IF($J999="","",INDEX('Detalle individual'!$L:$L,$J999))</f>
        <v/>
      </c>
      <c r="J999" t="str">
        <f>IFERROR(MATCH(SMALL(Cálculos!$AI$5:$AI$1000,995),Cálculos!$AI$5:$AI$1000,0)+4,"")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23" t="str">
        <f>IF($J1000="","",INDEX('Detalle individual'!$H:$H,$J1000))</f>
        <v/>
      </c>
      <c r="G1000" s="28" t="str">
        <f>IF($J1000="","",INDEX('Detalle individual'!$J:$J,$J1000))</f>
        <v/>
      </c>
      <c r="H1000" s="28" t="str">
        <f>IF($J1000="","",INDEX('Detalle individual'!$L:$L,$J1000))</f>
        <v/>
      </c>
      <c r="J1000" t="str">
        <f>IFERROR(MATCH(SMALL(Cálculos!$AI$5:$AI$1000,996),Cálculos!$AI$5:$AI$1000,0)+4,"")</f>
        <v/>
      </c>
    </row>
  </sheetData>
  <autoFilter ref="A4:H100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304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10" customWidth="1" style="38" min="1" max="1"/>
    <col width="38" customWidth="1" style="38" min="2" max="2"/>
    <col width="44" customWidth="1" style="38" min="3" max="3"/>
    <col width="32" customWidth="1" style="38" min="4" max="4"/>
    <col width="11" customWidth="1" style="38" min="5" max="5"/>
    <col width="19" customWidth="1" style="38" min="6" max="7"/>
    <col width="14" customWidth="1" style="38" min="8" max="8"/>
    <col width="8" customWidth="1" style="38" min="9" max="9"/>
    <col width="16" customWidth="1" style="38" min="10" max="10"/>
    <col hidden="1" width="13" customWidth="1" style="38" min="12" max="12"/>
  </cols>
  <sheetData>
    <row r="1" ht="21" customHeight="1" s="38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27" t="str">
        <f>"Colaboradores con más de un intento: "&amp;SUMPRODUCT((Cálculos!$AQ$5:$AQ$1000&lt;&gt;"")/COUNTIF('Base Exámenes'!$C$5:$C$1000,'Base Exámenes'!$C$5:$C$1000&amp;""))</f>
        <v>Colaboradores con más de un intento: 7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23">
        <f>IF($L5="","",INDEX('Base Exámenes'!$D:$D,$L5))</f>
        <v>46296.426412037035</v>
      </c>
      <c r="G5" s="23">
        <f>IF($L5="","",INDEX('Base Exámenes'!$E:$E,$L5))</f>
        <v>46296.431875</v>
      </c>
      <c r="H5" s="24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IFERROR(MATCH(SMALL(Cálculos!$AQ$5:$AQ$1000,1),Cálculos!$AQ$5:$AQ$1000,0)+4,"")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23">
        <f>IF($L6="","",INDEX('Base Exámenes'!$D:$D,$L6))</f>
        <v>46309.386354166665</v>
      </c>
      <c r="G6" s="23">
        <f>IF($L6="","",INDEX('Base Exámenes'!$E:$E,$L6))</f>
        <v>46309.38825231481</v>
      </c>
      <c r="H6" s="24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IFERROR(MATCH(SMALL(Cálculos!$AQ$5:$AQ$1000,2),Cálculos!$AQ$5:$AQ$1000,0)+4,"")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23">
        <f>IF($L7="","",INDEX('Base Exámenes'!$D:$D,$L7))</f>
        <v>46296.44304398148</v>
      </c>
      <c r="G7" s="23">
        <f>IF($L7="","",INDEX('Base Exámenes'!$E:$E,$L7))</f>
        <v>46296.44540509259</v>
      </c>
      <c r="H7" s="24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IFERROR(MATCH(SMALL(Cálculos!$AQ$5:$AQ$1000,3),Cálculos!$AQ$5:$AQ$1000,0)+4,"")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23">
        <f>IF($L8="","",INDEX('Base Exámenes'!$D:$D,$L8))</f>
        <v>46308.460752314815</v>
      </c>
      <c r="G8" s="23">
        <f>IF($L8="","",INDEX('Base Exámenes'!$E:$E,$L8))</f>
        <v>46308.46273148148</v>
      </c>
      <c r="H8" s="24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IFERROR(MATCH(SMALL(Cálculos!$AQ$5:$AQ$1000,4),Cálculos!$AQ$5:$AQ$1000,0)+4,"")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23">
        <f>IF($L9="","",INDEX('Base Exámenes'!$D:$D,$L9))</f>
        <v>46296.45108796296</v>
      </c>
      <c r="G9" s="23">
        <f>IF($L9="","",INDEX('Base Exámenes'!$E:$E,$L9))</f>
        <v>46296.453680555554</v>
      </c>
      <c r="H9" s="24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IFERROR(MATCH(SMALL(Cálculos!$AQ$5:$AQ$1000,5),Cálculos!$AQ$5:$AQ$1000,0)+4,"")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23">
        <f>IF($L10="","",INDEX('Base Exámenes'!$D:$D,$L10))</f>
        <v>46304.37530092592</v>
      </c>
      <c r="G10" s="23">
        <f>IF($L10="","",INDEX('Base Exámenes'!$E:$E,$L10))</f>
        <v>46304.37832175926</v>
      </c>
      <c r="H10" s="24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IFERROR(MATCH(SMALL(Cálculos!$AQ$5:$AQ$1000,6),Cálculos!$AQ$5:$AQ$1000,0)+4,"")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23">
        <f>IF($L11="","",INDEX('Base Exámenes'!$D:$D,$L11))</f>
        <v>46298.33667824074</v>
      </c>
      <c r="G11" s="23">
        <f>IF($L11="","",INDEX('Base Exámenes'!$E:$E,$L11))</f>
        <v>46298.34488425926</v>
      </c>
      <c r="H11" s="24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IFERROR(MATCH(SMALL(Cálculos!$AQ$5:$AQ$1000,7),Cálculos!$AQ$5:$AQ$1000,0)+4,"")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23">
        <f>IF($L12="","",INDEX('Base Exámenes'!$D:$D,$L12))</f>
        <v>46300.399930555555</v>
      </c>
      <c r="G12" s="23">
        <f>IF($L12="","",INDEX('Base Exámenes'!$E:$E,$L12))</f>
        <v>46300.40560185185</v>
      </c>
      <c r="H12" s="24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IFERROR(MATCH(SMALL(Cálculos!$AQ$5:$AQ$1000,8),Cálculos!$AQ$5:$AQ$1000,0)+4,"")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23">
        <f>IF($L13="","",INDEX('Base Exámenes'!$D:$D,$L13))</f>
        <v>46300.394525462965</v>
      </c>
      <c r="G13" s="23">
        <f>IF($L13="","",INDEX('Base Exámenes'!$E:$E,$L13))</f>
        <v>46300.39962962963</v>
      </c>
      <c r="H13" s="24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IFERROR(MATCH(SMALL(Cálculos!$AQ$5:$AQ$1000,9),Cálculos!$AQ$5:$AQ$1000,0)+4,"")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23">
        <f>IF($L14="","",INDEX('Base Exámenes'!$D:$D,$L14))</f>
        <v>46307.39894675926</v>
      </c>
      <c r="G14" s="23">
        <f>IF($L14="","",INDEX('Base Exámenes'!$E:$E,$L14))</f>
        <v>46307.402291666665</v>
      </c>
      <c r="H14" s="24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IFERROR(MATCH(SMALL(Cálculos!$AQ$5:$AQ$1000,10),Cálculos!$AQ$5:$AQ$1000,0)+4,"")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23">
        <f>IF($L15="","",INDEX('Base Exámenes'!$D:$D,$L15))</f>
        <v>46301.486979166664</v>
      </c>
      <c r="G15" s="23">
        <f>IF($L15="","",INDEX('Base Exámenes'!$E:$E,$L15))</f>
        <v>46301.49184027778</v>
      </c>
      <c r="H15" s="24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IFERROR(MATCH(SMALL(Cálculos!$AQ$5:$AQ$1000,11),Cálculos!$AQ$5:$AQ$1000,0)+4,"")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23">
        <f>IF($L16="","",INDEX('Base Exámenes'!$D:$D,$L16))</f>
        <v>46301.5078587963</v>
      </c>
      <c r="G16" s="23">
        <f>IF($L16="","",INDEX('Base Exámenes'!$E:$E,$L16))</f>
        <v>46301.51369212963</v>
      </c>
      <c r="H16" s="24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IFERROR(MATCH(SMALL(Cálculos!$AQ$5:$AQ$1000,12),Cálculos!$AQ$5:$AQ$1000,0)+4,"")</f>
        <v>94</v>
      </c>
    </row>
    <row r="17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23">
        <f>IF($L17="","",INDEX('Base Exámenes'!$D:$D,$L17))</f>
        <v>46310.542592592596</v>
      </c>
      <c r="G17" s="23">
        <f>IF($L17="","",INDEX('Base Exámenes'!$E:$E,$L17))</f>
        <v>46310.54554398148</v>
      </c>
      <c r="H17" s="24">
        <f>IF($L17="","",INDEX('Base Exámenes'!$F:$F,$L17))</f>
        <v>4.25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IFERROR(MATCH(SMALL(Cálculos!$AQ$5:$AQ$1000,13),Cálculos!$AQ$5:$AQ$1000,0)+4,"")</f>
        <v>257</v>
      </c>
    </row>
    <row r="18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23">
        <f>IF($L18="","",INDEX('Base Exámenes'!$D:$D,$L18))</f>
        <v>46310.56686342593</v>
      </c>
      <c r="G18" s="23">
        <f>IF($L18="","",INDEX('Base Exámenes'!$E:$E,$L18))</f>
        <v>46310.57136574074</v>
      </c>
      <c r="H18" s="24">
        <f>IF($L18="","",INDEX('Base Exámenes'!$F:$F,$L18))</f>
        <v>6.48333333333333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IFERROR(MATCH(SMALL(Cálculos!$AQ$5:$AQ$1000,14),Cálculos!$AQ$5:$AQ$1000,0)+4,"")</f>
        <v>261</v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23" t="str">
        <f>IF($L19="","",INDEX('Base Exámenes'!$D:$D,$L19))</f>
        <v/>
      </c>
      <c r="G19" s="23" t="str">
        <f>IF($L19="","",INDEX('Base Exámenes'!$E:$E,$L19))</f>
        <v/>
      </c>
      <c r="H19" s="24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IFERROR(MATCH(SMALL(Cálculos!$AQ$5:$AQ$1000,15),Cálculos!$AQ$5:$AQ$1000,0)+4,"")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23" t="str">
        <f>IF($L20="","",INDEX('Base Exámenes'!$D:$D,$L20))</f>
        <v/>
      </c>
      <c r="G20" s="23" t="str">
        <f>IF($L20="","",INDEX('Base Exámenes'!$E:$E,$L20))</f>
        <v/>
      </c>
      <c r="H20" s="24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IFERROR(MATCH(SMALL(Cálculos!$AQ$5:$AQ$1000,16),Cálculos!$AQ$5:$AQ$1000,0)+4,"")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23" t="str">
        <f>IF($L21="","",INDEX('Base Exámenes'!$D:$D,$L21))</f>
        <v/>
      </c>
      <c r="G21" s="23" t="str">
        <f>IF($L21="","",INDEX('Base Exámenes'!$E:$E,$L21))</f>
        <v/>
      </c>
      <c r="H21" s="24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IFERROR(MATCH(SMALL(Cálculos!$AQ$5:$AQ$1000,17),Cálculos!$AQ$5:$AQ$1000,0)+4,"")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23" t="str">
        <f>IF($L22="","",INDEX('Base Exámenes'!$D:$D,$L22))</f>
        <v/>
      </c>
      <c r="G22" s="23" t="str">
        <f>IF($L22="","",INDEX('Base Exámenes'!$E:$E,$L22))</f>
        <v/>
      </c>
      <c r="H22" s="24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IFERROR(MATCH(SMALL(Cálculos!$AQ$5:$AQ$1000,18),Cálculos!$AQ$5:$AQ$1000,0)+4,"")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23" t="str">
        <f>IF($L23="","",INDEX('Base Exámenes'!$D:$D,$L23))</f>
        <v/>
      </c>
      <c r="G23" s="23" t="str">
        <f>IF($L23="","",INDEX('Base Exámenes'!$E:$E,$L23))</f>
        <v/>
      </c>
      <c r="H23" s="24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IFERROR(MATCH(SMALL(Cálculos!$AQ$5:$AQ$1000,19),Cálculos!$AQ$5:$AQ$1000,0)+4,"")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23" t="str">
        <f>IF($L24="","",INDEX('Base Exámenes'!$D:$D,$L24))</f>
        <v/>
      </c>
      <c r="G24" s="23" t="str">
        <f>IF($L24="","",INDEX('Base Exámenes'!$E:$E,$L24))</f>
        <v/>
      </c>
      <c r="H24" s="24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IFERROR(MATCH(SMALL(Cálculos!$AQ$5:$AQ$1000,20),Cálculos!$AQ$5:$AQ$1000,0)+4,"")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23" t="str">
        <f>IF($L25="","",INDEX('Base Exámenes'!$D:$D,$L25))</f>
        <v/>
      </c>
      <c r="G25" s="23" t="str">
        <f>IF($L25="","",INDEX('Base Exámenes'!$E:$E,$L25))</f>
        <v/>
      </c>
      <c r="H25" s="24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IFERROR(MATCH(SMALL(Cálculos!$AQ$5:$AQ$1000,21),Cálculos!$AQ$5:$AQ$1000,0)+4,"")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23" t="str">
        <f>IF($L26="","",INDEX('Base Exámenes'!$D:$D,$L26))</f>
        <v/>
      </c>
      <c r="G26" s="23" t="str">
        <f>IF($L26="","",INDEX('Base Exámenes'!$E:$E,$L26))</f>
        <v/>
      </c>
      <c r="H26" s="24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IFERROR(MATCH(SMALL(Cálculos!$AQ$5:$AQ$1000,22),Cálculos!$AQ$5:$AQ$1000,0)+4,"")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23" t="str">
        <f>IF($L27="","",INDEX('Base Exámenes'!$D:$D,$L27))</f>
        <v/>
      </c>
      <c r="G27" s="23" t="str">
        <f>IF($L27="","",INDEX('Base Exámenes'!$E:$E,$L27))</f>
        <v/>
      </c>
      <c r="H27" s="24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IFERROR(MATCH(SMALL(Cálculos!$AQ$5:$AQ$1000,23),Cálculos!$AQ$5:$AQ$1000,0)+4,"")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23" t="str">
        <f>IF($L28="","",INDEX('Base Exámenes'!$D:$D,$L28))</f>
        <v/>
      </c>
      <c r="G28" s="23" t="str">
        <f>IF($L28="","",INDEX('Base Exámenes'!$E:$E,$L28))</f>
        <v/>
      </c>
      <c r="H28" s="24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IFERROR(MATCH(SMALL(Cálculos!$AQ$5:$AQ$1000,24),Cálculos!$AQ$5:$AQ$1000,0)+4,"")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23" t="str">
        <f>IF($L29="","",INDEX('Base Exámenes'!$D:$D,$L29))</f>
        <v/>
      </c>
      <c r="G29" s="23" t="str">
        <f>IF($L29="","",INDEX('Base Exámenes'!$E:$E,$L29))</f>
        <v/>
      </c>
      <c r="H29" s="24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IFERROR(MATCH(SMALL(Cálculos!$AQ$5:$AQ$1000,25),Cálculos!$AQ$5:$AQ$1000,0)+4,"")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23" t="str">
        <f>IF($L30="","",INDEX('Base Exámenes'!$D:$D,$L30))</f>
        <v/>
      </c>
      <c r="G30" s="23" t="str">
        <f>IF($L30="","",INDEX('Base Exámenes'!$E:$E,$L30))</f>
        <v/>
      </c>
      <c r="H30" s="24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IFERROR(MATCH(SMALL(Cálculos!$AQ$5:$AQ$1000,26),Cálculos!$AQ$5:$AQ$1000,0)+4,"")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23" t="str">
        <f>IF($L31="","",INDEX('Base Exámenes'!$D:$D,$L31))</f>
        <v/>
      </c>
      <c r="G31" s="23" t="str">
        <f>IF($L31="","",INDEX('Base Exámenes'!$E:$E,$L31))</f>
        <v/>
      </c>
      <c r="H31" s="24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IFERROR(MATCH(SMALL(Cálculos!$AQ$5:$AQ$1000,27),Cálculos!$AQ$5:$AQ$1000,0)+4,"")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23" t="str">
        <f>IF($L32="","",INDEX('Base Exámenes'!$D:$D,$L32))</f>
        <v/>
      </c>
      <c r="G32" s="23" t="str">
        <f>IF($L32="","",INDEX('Base Exámenes'!$E:$E,$L32))</f>
        <v/>
      </c>
      <c r="H32" s="24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IFERROR(MATCH(SMALL(Cálculos!$AQ$5:$AQ$1000,28),Cálculos!$AQ$5:$AQ$1000,0)+4,"")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23" t="str">
        <f>IF($L33="","",INDEX('Base Exámenes'!$D:$D,$L33))</f>
        <v/>
      </c>
      <c r="G33" s="23" t="str">
        <f>IF($L33="","",INDEX('Base Exámenes'!$E:$E,$L33))</f>
        <v/>
      </c>
      <c r="H33" s="24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IFERROR(MATCH(SMALL(Cálculos!$AQ$5:$AQ$1000,29),Cálculos!$AQ$5:$AQ$1000,0)+4,"")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23" t="str">
        <f>IF($L34="","",INDEX('Base Exámenes'!$D:$D,$L34))</f>
        <v/>
      </c>
      <c r="G34" s="23" t="str">
        <f>IF($L34="","",INDEX('Base Exámenes'!$E:$E,$L34))</f>
        <v/>
      </c>
      <c r="H34" s="24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IFERROR(MATCH(SMALL(Cálculos!$AQ$5:$AQ$1000,30),Cálculos!$AQ$5:$AQ$1000,0)+4,"")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23" t="str">
        <f>IF($L35="","",INDEX('Base Exámenes'!$D:$D,$L35))</f>
        <v/>
      </c>
      <c r="G35" s="23" t="str">
        <f>IF($L35="","",INDEX('Base Exámenes'!$E:$E,$L35))</f>
        <v/>
      </c>
      <c r="H35" s="24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IFERROR(MATCH(SMALL(Cálculos!$AQ$5:$AQ$1000,31),Cálculos!$AQ$5:$AQ$1000,0)+4,"")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23" t="str">
        <f>IF($L36="","",INDEX('Base Exámenes'!$D:$D,$L36))</f>
        <v/>
      </c>
      <c r="G36" s="23" t="str">
        <f>IF($L36="","",INDEX('Base Exámenes'!$E:$E,$L36))</f>
        <v/>
      </c>
      <c r="H36" s="24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IFERROR(MATCH(SMALL(Cálculos!$AQ$5:$AQ$1000,32),Cálculos!$AQ$5:$AQ$1000,0)+4,"")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23" t="str">
        <f>IF($L37="","",INDEX('Base Exámenes'!$D:$D,$L37))</f>
        <v/>
      </c>
      <c r="G37" s="23" t="str">
        <f>IF($L37="","",INDEX('Base Exámenes'!$E:$E,$L37))</f>
        <v/>
      </c>
      <c r="H37" s="24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IFERROR(MATCH(SMALL(Cálculos!$AQ$5:$AQ$1000,33),Cálculos!$AQ$5:$AQ$1000,0)+4,"")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23" t="str">
        <f>IF($L38="","",INDEX('Base Exámenes'!$D:$D,$L38))</f>
        <v/>
      </c>
      <c r="G38" s="23" t="str">
        <f>IF($L38="","",INDEX('Base Exámenes'!$E:$E,$L38))</f>
        <v/>
      </c>
      <c r="H38" s="24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IFERROR(MATCH(SMALL(Cálculos!$AQ$5:$AQ$1000,34),Cálculos!$AQ$5:$AQ$1000,0)+4,"")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23" t="str">
        <f>IF($L39="","",INDEX('Base Exámenes'!$D:$D,$L39))</f>
        <v/>
      </c>
      <c r="G39" s="23" t="str">
        <f>IF($L39="","",INDEX('Base Exámenes'!$E:$E,$L39))</f>
        <v/>
      </c>
      <c r="H39" s="24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IFERROR(MATCH(SMALL(Cálculos!$AQ$5:$AQ$1000,35),Cálculos!$AQ$5:$AQ$1000,0)+4,"")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23" t="str">
        <f>IF($L40="","",INDEX('Base Exámenes'!$D:$D,$L40))</f>
        <v/>
      </c>
      <c r="G40" s="23" t="str">
        <f>IF($L40="","",INDEX('Base Exámenes'!$E:$E,$L40))</f>
        <v/>
      </c>
      <c r="H40" s="24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IFERROR(MATCH(SMALL(Cálculos!$AQ$5:$AQ$1000,36),Cálculos!$AQ$5:$AQ$1000,0)+4,"")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23" t="str">
        <f>IF($L41="","",INDEX('Base Exámenes'!$D:$D,$L41))</f>
        <v/>
      </c>
      <c r="G41" s="23" t="str">
        <f>IF($L41="","",INDEX('Base Exámenes'!$E:$E,$L41))</f>
        <v/>
      </c>
      <c r="H41" s="24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IFERROR(MATCH(SMALL(Cálculos!$AQ$5:$AQ$1000,37),Cálculos!$AQ$5:$AQ$1000,0)+4,"")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23" t="str">
        <f>IF($L42="","",INDEX('Base Exámenes'!$D:$D,$L42))</f>
        <v/>
      </c>
      <c r="G42" s="23" t="str">
        <f>IF($L42="","",INDEX('Base Exámenes'!$E:$E,$L42))</f>
        <v/>
      </c>
      <c r="H42" s="24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IFERROR(MATCH(SMALL(Cálculos!$AQ$5:$AQ$1000,38),Cálculos!$AQ$5:$AQ$1000,0)+4,"")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23" t="str">
        <f>IF($L43="","",INDEX('Base Exámenes'!$D:$D,$L43))</f>
        <v/>
      </c>
      <c r="G43" s="23" t="str">
        <f>IF($L43="","",INDEX('Base Exámenes'!$E:$E,$L43))</f>
        <v/>
      </c>
      <c r="H43" s="24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IFERROR(MATCH(SMALL(Cálculos!$AQ$5:$AQ$1000,39),Cálculos!$AQ$5:$AQ$1000,0)+4,"")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23" t="str">
        <f>IF($L44="","",INDEX('Base Exámenes'!$D:$D,$L44))</f>
        <v/>
      </c>
      <c r="G44" s="23" t="str">
        <f>IF($L44="","",INDEX('Base Exámenes'!$E:$E,$L44))</f>
        <v/>
      </c>
      <c r="H44" s="24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IFERROR(MATCH(SMALL(Cálculos!$AQ$5:$AQ$1000,40),Cálculos!$AQ$5:$AQ$1000,0)+4,"")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23" t="str">
        <f>IF($L45="","",INDEX('Base Exámenes'!$D:$D,$L45))</f>
        <v/>
      </c>
      <c r="G45" s="23" t="str">
        <f>IF($L45="","",INDEX('Base Exámenes'!$E:$E,$L45))</f>
        <v/>
      </c>
      <c r="H45" s="24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IFERROR(MATCH(SMALL(Cálculos!$AQ$5:$AQ$1000,41),Cálculos!$AQ$5:$AQ$1000,0)+4,"")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23" t="str">
        <f>IF($L46="","",INDEX('Base Exámenes'!$D:$D,$L46))</f>
        <v/>
      </c>
      <c r="G46" s="23" t="str">
        <f>IF($L46="","",INDEX('Base Exámenes'!$E:$E,$L46))</f>
        <v/>
      </c>
      <c r="H46" s="24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IFERROR(MATCH(SMALL(Cálculos!$AQ$5:$AQ$1000,42),Cálculos!$AQ$5:$AQ$1000,0)+4,"")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23" t="str">
        <f>IF($L47="","",INDEX('Base Exámenes'!$D:$D,$L47))</f>
        <v/>
      </c>
      <c r="G47" s="23" t="str">
        <f>IF($L47="","",INDEX('Base Exámenes'!$E:$E,$L47))</f>
        <v/>
      </c>
      <c r="H47" s="24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IFERROR(MATCH(SMALL(Cálculos!$AQ$5:$AQ$1000,43),Cálculos!$AQ$5:$AQ$1000,0)+4,"")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23" t="str">
        <f>IF($L48="","",INDEX('Base Exámenes'!$D:$D,$L48))</f>
        <v/>
      </c>
      <c r="G48" s="23" t="str">
        <f>IF($L48="","",INDEX('Base Exámenes'!$E:$E,$L48))</f>
        <v/>
      </c>
      <c r="H48" s="24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IFERROR(MATCH(SMALL(Cálculos!$AQ$5:$AQ$1000,44),Cálculos!$AQ$5:$AQ$1000,0)+4,"")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23" t="str">
        <f>IF($L49="","",INDEX('Base Exámenes'!$D:$D,$L49))</f>
        <v/>
      </c>
      <c r="G49" s="23" t="str">
        <f>IF($L49="","",INDEX('Base Exámenes'!$E:$E,$L49))</f>
        <v/>
      </c>
      <c r="H49" s="24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IFERROR(MATCH(SMALL(Cálculos!$AQ$5:$AQ$1000,45),Cálculos!$AQ$5:$AQ$1000,0)+4,"")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23" t="str">
        <f>IF($L50="","",INDEX('Base Exámenes'!$D:$D,$L50))</f>
        <v/>
      </c>
      <c r="G50" s="23" t="str">
        <f>IF($L50="","",INDEX('Base Exámenes'!$E:$E,$L50))</f>
        <v/>
      </c>
      <c r="H50" s="24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IFERROR(MATCH(SMALL(Cálculos!$AQ$5:$AQ$1000,46),Cálculos!$AQ$5:$AQ$1000,0)+4,"")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23" t="str">
        <f>IF($L51="","",INDEX('Base Exámenes'!$D:$D,$L51))</f>
        <v/>
      </c>
      <c r="G51" s="23" t="str">
        <f>IF($L51="","",INDEX('Base Exámenes'!$E:$E,$L51))</f>
        <v/>
      </c>
      <c r="H51" s="24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IFERROR(MATCH(SMALL(Cálculos!$AQ$5:$AQ$1000,47),Cálculos!$AQ$5:$AQ$1000,0)+4,"")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23" t="str">
        <f>IF($L52="","",INDEX('Base Exámenes'!$D:$D,$L52))</f>
        <v/>
      </c>
      <c r="G52" s="23" t="str">
        <f>IF($L52="","",INDEX('Base Exámenes'!$E:$E,$L52))</f>
        <v/>
      </c>
      <c r="H52" s="24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IFERROR(MATCH(SMALL(Cálculos!$AQ$5:$AQ$1000,48),Cálculos!$AQ$5:$AQ$1000,0)+4,"")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23" t="str">
        <f>IF($L53="","",INDEX('Base Exámenes'!$D:$D,$L53))</f>
        <v/>
      </c>
      <c r="G53" s="23" t="str">
        <f>IF($L53="","",INDEX('Base Exámenes'!$E:$E,$L53))</f>
        <v/>
      </c>
      <c r="H53" s="24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IFERROR(MATCH(SMALL(Cálculos!$AQ$5:$AQ$1000,49),Cálculos!$AQ$5:$AQ$1000,0)+4,"")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23" t="str">
        <f>IF($L54="","",INDEX('Base Exámenes'!$D:$D,$L54))</f>
        <v/>
      </c>
      <c r="G54" s="23" t="str">
        <f>IF($L54="","",INDEX('Base Exámenes'!$E:$E,$L54))</f>
        <v/>
      </c>
      <c r="H54" s="24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IFERROR(MATCH(SMALL(Cálculos!$AQ$5:$AQ$1000,50),Cálculos!$AQ$5:$AQ$1000,0)+4,"")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23" t="str">
        <f>IF($L55="","",INDEX('Base Exámenes'!$D:$D,$L55))</f>
        <v/>
      </c>
      <c r="G55" s="23" t="str">
        <f>IF($L55="","",INDEX('Base Exámenes'!$E:$E,$L55))</f>
        <v/>
      </c>
      <c r="H55" s="24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IFERROR(MATCH(SMALL(Cálculos!$AQ$5:$AQ$1000,51),Cálculos!$AQ$5:$AQ$1000,0)+4,"")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23" t="str">
        <f>IF($L56="","",INDEX('Base Exámenes'!$D:$D,$L56))</f>
        <v/>
      </c>
      <c r="G56" s="23" t="str">
        <f>IF($L56="","",INDEX('Base Exámenes'!$E:$E,$L56))</f>
        <v/>
      </c>
      <c r="H56" s="24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IFERROR(MATCH(SMALL(Cálculos!$AQ$5:$AQ$1000,52),Cálculos!$AQ$5:$AQ$1000,0)+4,"")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23" t="str">
        <f>IF($L57="","",INDEX('Base Exámenes'!$D:$D,$L57))</f>
        <v/>
      </c>
      <c r="G57" s="23" t="str">
        <f>IF($L57="","",INDEX('Base Exámenes'!$E:$E,$L57))</f>
        <v/>
      </c>
      <c r="H57" s="24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IFERROR(MATCH(SMALL(Cálculos!$AQ$5:$AQ$1000,53),Cálculos!$AQ$5:$AQ$1000,0)+4,"")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23" t="str">
        <f>IF($L58="","",INDEX('Base Exámenes'!$D:$D,$L58))</f>
        <v/>
      </c>
      <c r="G58" s="23" t="str">
        <f>IF($L58="","",INDEX('Base Exámenes'!$E:$E,$L58))</f>
        <v/>
      </c>
      <c r="H58" s="24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IFERROR(MATCH(SMALL(Cálculos!$AQ$5:$AQ$1000,54),Cálculos!$AQ$5:$AQ$1000,0)+4,"")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23" t="str">
        <f>IF($L59="","",INDEX('Base Exámenes'!$D:$D,$L59))</f>
        <v/>
      </c>
      <c r="G59" s="23" t="str">
        <f>IF($L59="","",INDEX('Base Exámenes'!$E:$E,$L59))</f>
        <v/>
      </c>
      <c r="H59" s="24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IFERROR(MATCH(SMALL(Cálculos!$AQ$5:$AQ$1000,55),Cálculos!$AQ$5:$AQ$1000,0)+4,"")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23" t="str">
        <f>IF($L60="","",INDEX('Base Exámenes'!$D:$D,$L60))</f>
        <v/>
      </c>
      <c r="G60" s="23" t="str">
        <f>IF($L60="","",INDEX('Base Exámenes'!$E:$E,$L60))</f>
        <v/>
      </c>
      <c r="H60" s="24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IFERROR(MATCH(SMALL(Cálculos!$AQ$5:$AQ$1000,56),Cálculos!$AQ$5:$AQ$1000,0)+4,"")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23" t="str">
        <f>IF($L61="","",INDEX('Base Exámenes'!$D:$D,$L61))</f>
        <v/>
      </c>
      <c r="G61" s="23" t="str">
        <f>IF($L61="","",INDEX('Base Exámenes'!$E:$E,$L61))</f>
        <v/>
      </c>
      <c r="H61" s="24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IFERROR(MATCH(SMALL(Cálculos!$AQ$5:$AQ$1000,57),Cálculos!$AQ$5:$AQ$1000,0)+4,"")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23" t="str">
        <f>IF($L62="","",INDEX('Base Exámenes'!$D:$D,$L62))</f>
        <v/>
      </c>
      <c r="G62" s="23" t="str">
        <f>IF($L62="","",INDEX('Base Exámenes'!$E:$E,$L62))</f>
        <v/>
      </c>
      <c r="H62" s="24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IFERROR(MATCH(SMALL(Cálculos!$AQ$5:$AQ$1000,58),Cálculos!$AQ$5:$AQ$1000,0)+4,"")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23" t="str">
        <f>IF($L63="","",INDEX('Base Exámenes'!$D:$D,$L63))</f>
        <v/>
      </c>
      <c r="G63" s="23" t="str">
        <f>IF($L63="","",INDEX('Base Exámenes'!$E:$E,$L63))</f>
        <v/>
      </c>
      <c r="H63" s="24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IFERROR(MATCH(SMALL(Cálculos!$AQ$5:$AQ$1000,59),Cálculos!$AQ$5:$AQ$1000,0)+4,"")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23" t="str">
        <f>IF($L64="","",INDEX('Base Exámenes'!$D:$D,$L64))</f>
        <v/>
      </c>
      <c r="G64" s="23" t="str">
        <f>IF($L64="","",INDEX('Base Exámenes'!$E:$E,$L64))</f>
        <v/>
      </c>
      <c r="H64" s="24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IFERROR(MATCH(SMALL(Cálculos!$AQ$5:$AQ$1000,60),Cálculos!$AQ$5:$AQ$1000,0)+4,"")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23" t="str">
        <f>IF($L65="","",INDEX('Base Exámenes'!$D:$D,$L65))</f>
        <v/>
      </c>
      <c r="G65" s="23" t="str">
        <f>IF($L65="","",INDEX('Base Exámenes'!$E:$E,$L65))</f>
        <v/>
      </c>
      <c r="H65" s="24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IFERROR(MATCH(SMALL(Cálculos!$AQ$5:$AQ$1000,61),Cálculos!$AQ$5:$AQ$1000,0)+4,"")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23" t="str">
        <f>IF($L66="","",INDEX('Base Exámenes'!$D:$D,$L66))</f>
        <v/>
      </c>
      <c r="G66" s="23" t="str">
        <f>IF($L66="","",INDEX('Base Exámenes'!$E:$E,$L66))</f>
        <v/>
      </c>
      <c r="H66" s="24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IFERROR(MATCH(SMALL(Cálculos!$AQ$5:$AQ$1000,62),Cálculos!$AQ$5:$AQ$1000,0)+4,"")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23" t="str">
        <f>IF($L67="","",INDEX('Base Exámenes'!$D:$D,$L67))</f>
        <v/>
      </c>
      <c r="G67" s="23" t="str">
        <f>IF($L67="","",INDEX('Base Exámenes'!$E:$E,$L67))</f>
        <v/>
      </c>
      <c r="H67" s="24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IFERROR(MATCH(SMALL(Cálculos!$AQ$5:$AQ$1000,63),Cálculos!$AQ$5:$AQ$1000,0)+4,"")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23" t="str">
        <f>IF($L68="","",INDEX('Base Exámenes'!$D:$D,$L68))</f>
        <v/>
      </c>
      <c r="G68" s="23" t="str">
        <f>IF($L68="","",INDEX('Base Exámenes'!$E:$E,$L68))</f>
        <v/>
      </c>
      <c r="H68" s="24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IFERROR(MATCH(SMALL(Cálculos!$AQ$5:$AQ$1000,64),Cálculos!$AQ$5:$AQ$1000,0)+4,"")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23" t="str">
        <f>IF($L69="","",INDEX('Base Exámenes'!$D:$D,$L69))</f>
        <v/>
      </c>
      <c r="G69" s="23" t="str">
        <f>IF($L69="","",INDEX('Base Exámenes'!$E:$E,$L69))</f>
        <v/>
      </c>
      <c r="H69" s="24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IFERROR(MATCH(SMALL(Cálculos!$AQ$5:$AQ$1000,65),Cálculos!$AQ$5:$AQ$1000,0)+4,"")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23" t="str">
        <f>IF($L70="","",INDEX('Base Exámenes'!$D:$D,$L70))</f>
        <v/>
      </c>
      <c r="G70" s="23" t="str">
        <f>IF($L70="","",INDEX('Base Exámenes'!$E:$E,$L70))</f>
        <v/>
      </c>
      <c r="H70" s="24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IFERROR(MATCH(SMALL(Cálculos!$AQ$5:$AQ$1000,66),Cálculos!$AQ$5:$AQ$1000,0)+4,"")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23" t="str">
        <f>IF($L71="","",INDEX('Base Exámenes'!$D:$D,$L71))</f>
        <v/>
      </c>
      <c r="G71" s="23" t="str">
        <f>IF($L71="","",INDEX('Base Exámenes'!$E:$E,$L71))</f>
        <v/>
      </c>
      <c r="H71" s="24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IFERROR(MATCH(SMALL(Cálculos!$AQ$5:$AQ$1000,67),Cálculos!$AQ$5:$AQ$1000,0)+4,"")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23" t="str">
        <f>IF($L72="","",INDEX('Base Exámenes'!$D:$D,$L72))</f>
        <v/>
      </c>
      <c r="G72" s="23" t="str">
        <f>IF($L72="","",INDEX('Base Exámenes'!$E:$E,$L72))</f>
        <v/>
      </c>
      <c r="H72" s="24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IFERROR(MATCH(SMALL(Cálculos!$AQ$5:$AQ$1000,68),Cálculos!$AQ$5:$AQ$1000,0)+4,"")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23" t="str">
        <f>IF($L73="","",INDEX('Base Exámenes'!$D:$D,$L73))</f>
        <v/>
      </c>
      <c r="G73" s="23" t="str">
        <f>IF($L73="","",INDEX('Base Exámenes'!$E:$E,$L73))</f>
        <v/>
      </c>
      <c r="H73" s="24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IFERROR(MATCH(SMALL(Cálculos!$AQ$5:$AQ$1000,69),Cálculos!$AQ$5:$AQ$1000,0)+4,"")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23" t="str">
        <f>IF($L74="","",INDEX('Base Exámenes'!$D:$D,$L74))</f>
        <v/>
      </c>
      <c r="G74" s="23" t="str">
        <f>IF($L74="","",INDEX('Base Exámenes'!$E:$E,$L74))</f>
        <v/>
      </c>
      <c r="H74" s="24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IFERROR(MATCH(SMALL(Cálculos!$AQ$5:$AQ$1000,70),Cálculos!$AQ$5:$AQ$1000,0)+4,"")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23" t="str">
        <f>IF($L75="","",INDEX('Base Exámenes'!$D:$D,$L75))</f>
        <v/>
      </c>
      <c r="G75" s="23" t="str">
        <f>IF($L75="","",INDEX('Base Exámenes'!$E:$E,$L75))</f>
        <v/>
      </c>
      <c r="H75" s="24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IFERROR(MATCH(SMALL(Cálculos!$AQ$5:$AQ$1000,71),Cálculos!$AQ$5:$AQ$1000,0)+4,"")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23" t="str">
        <f>IF($L76="","",INDEX('Base Exámenes'!$D:$D,$L76))</f>
        <v/>
      </c>
      <c r="G76" s="23" t="str">
        <f>IF($L76="","",INDEX('Base Exámenes'!$E:$E,$L76))</f>
        <v/>
      </c>
      <c r="H76" s="24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IFERROR(MATCH(SMALL(Cálculos!$AQ$5:$AQ$1000,72),Cálculos!$AQ$5:$AQ$1000,0)+4,"")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23" t="str">
        <f>IF($L77="","",INDEX('Base Exámenes'!$D:$D,$L77))</f>
        <v/>
      </c>
      <c r="G77" s="23" t="str">
        <f>IF($L77="","",INDEX('Base Exámenes'!$E:$E,$L77))</f>
        <v/>
      </c>
      <c r="H77" s="24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IFERROR(MATCH(SMALL(Cálculos!$AQ$5:$AQ$1000,73),Cálculos!$AQ$5:$AQ$1000,0)+4,"")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23" t="str">
        <f>IF($L78="","",INDEX('Base Exámenes'!$D:$D,$L78))</f>
        <v/>
      </c>
      <c r="G78" s="23" t="str">
        <f>IF($L78="","",INDEX('Base Exámenes'!$E:$E,$L78))</f>
        <v/>
      </c>
      <c r="H78" s="24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IFERROR(MATCH(SMALL(Cálculos!$AQ$5:$AQ$1000,74),Cálculos!$AQ$5:$AQ$1000,0)+4,"")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23" t="str">
        <f>IF($L79="","",INDEX('Base Exámenes'!$D:$D,$L79))</f>
        <v/>
      </c>
      <c r="G79" s="23" t="str">
        <f>IF($L79="","",INDEX('Base Exámenes'!$E:$E,$L79))</f>
        <v/>
      </c>
      <c r="H79" s="24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IFERROR(MATCH(SMALL(Cálculos!$AQ$5:$AQ$1000,75),Cálculos!$AQ$5:$AQ$1000,0)+4,"")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23" t="str">
        <f>IF($L80="","",INDEX('Base Exámenes'!$D:$D,$L80))</f>
        <v/>
      </c>
      <c r="G80" s="23" t="str">
        <f>IF($L80="","",INDEX('Base Exámenes'!$E:$E,$L80))</f>
        <v/>
      </c>
      <c r="H80" s="24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IFERROR(MATCH(SMALL(Cálculos!$AQ$5:$AQ$1000,76),Cálculos!$AQ$5:$AQ$1000,0)+4,"")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23" t="str">
        <f>IF($L81="","",INDEX('Base Exámenes'!$D:$D,$L81))</f>
        <v/>
      </c>
      <c r="G81" s="23" t="str">
        <f>IF($L81="","",INDEX('Base Exámenes'!$E:$E,$L81))</f>
        <v/>
      </c>
      <c r="H81" s="24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IFERROR(MATCH(SMALL(Cálculos!$AQ$5:$AQ$1000,77),Cálculos!$AQ$5:$AQ$1000,0)+4,"")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23" t="str">
        <f>IF($L82="","",INDEX('Base Exámenes'!$D:$D,$L82))</f>
        <v/>
      </c>
      <c r="G82" s="23" t="str">
        <f>IF($L82="","",INDEX('Base Exámenes'!$E:$E,$L82))</f>
        <v/>
      </c>
      <c r="H82" s="24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IFERROR(MATCH(SMALL(Cálculos!$AQ$5:$AQ$1000,78),Cálculos!$AQ$5:$AQ$1000,0)+4,"")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23" t="str">
        <f>IF($L83="","",INDEX('Base Exámenes'!$D:$D,$L83))</f>
        <v/>
      </c>
      <c r="G83" s="23" t="str">
        <f>IF($L83="","",INDEX('Base Exámenes'!$E:$E,$L83))</f>
        <v/>
      </c>
      <c r="H83" s="24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IFERROR(MATCH(SMALL(Cálculos!$AQ$5:$AQ$1000,79),Cálculos!$AQ$5:$AQ$1000,0)+4,"")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23" t="str">
        <f>IF($L84="","",INDEX('Base Exámenes'!$D:$D,$L84))</f>
        <v/>
      </c>
      <c r="G84" s="23" t="str">
        <f>IF($L84="","",INDEX('Base Exámenes'!$E:$E,$L84))</f>
        <v/>
      </c>
      <c r="H84" s="24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IFERROR(MATCH(SMALL(Cálculos!$AQ$5:$AQ$1000,80),Cálculos!$AQ$5:$AQ$1000,0)+4,"")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23" t="str">
        <f>IF($L85="","",INDEX('Base Exámenes'!$D:$D,$L85))</f>
        <v/>
      </c>
      <c r="G85" s="23" t="str">
        <f>IF($L85="","",INDEX('Base Exámenes'!$E:$E,$L85))</f>
        <v/>
      </c>
      <c r="H85" s="24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IFERROR(MATCH(SMALL(Cálculos!$AQ$5:$AQ$1000,81),Cálculos!$AQ$5:$AQ$1000,0)+4,"")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23" t="str">
        <f>IF($L86="","",INDEX('Base Exámenes'!$D:$D,$L86))</f>
        <v/>
      </c>
      <c r="G86" s="23" t="str">
        <f>IF($L86="","",INDEX('Base Exámenes'!$E:$E,$L86))</f>
        <v/>
      </c>
      <c r="H86" s="24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IFERROR(MATCH(SMALL(Cálculos!$AQ$5:$AQ$1000,82),Cálculos!$AQ$5:$AQ$1000,0)+4,"")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23" t="str">
        <f>IF($L87="","",INDEX('Base Exámenes'!$D:$D,$L87))</f>
        <v/>
      </c>
      <c r="G87" s="23" t="str">
        <f>IF($L87="","",INDEX('Base Exámenes'!$E:$E,$L87))</f>
        <v/>
      </c>
      <c r="H87" s="24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IFERROR(MATCH(SMALL(Cálculos!$AQ$5:$AQ$1000,83),Cálculos!$AQ$5:$AQ$1000,0)+4,"")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23" t="str">
        <f>IF($L88="","",INDEX('Base Exámenes'!$D:$D,$L88))</f>
        <v/>
      </c>
      <c r="G88" s="23" t="str">
        <f>IF($L88="","",INDEX('Base Exámenes'!$E:$E,$L88))</f>
        <v/>
      </c>
      <c r="H88" s="24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IFERROR(MATCH(SMALL(Cálculos!$AQ$5:$AQ$1000,84),Cálculos!$AQ$5:$AQ$1000,0)+4,"")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23" t="str">
        <f>IF($L89="","",INDEX('Base Exámenes'!$D:$D,$L89))</f>
        <v/>
      </c>
      <c r="G89" s="23" t="str">
        <f>IF($L89="","",INDEX('Base Exámenes'!$E:$E,$L89))</f>
        <v/>
      </c>
      <c r="H89" s="24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IFERROR(MATCH(SMALL(Cálculos!$AQ$5:$AQ$1000,85),Cálculos!$AQ$5:$AQ$1000,0)+4,"")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23" t="str">
        <f>IF($L90="","",INDEX('Base Exámenes'!$D:$D,$L90))</f>
        <v/>
      </c>
      <c r="G90" s="23" t="str">
        <f>IF($L90="","",INDEX('Base Exámenes'!$E:$E,$L90))</f>
        <v/>
      </c>
      <c r="H90" s="24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IFERROR(MATCH(SMALL(Cálculos!$AQ$5:$AQ$1000,86),Cálculos!$AQ$5:$AQ$1000,0)+4,"")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23" t="str">
        <f>IF($L91="","",INDEX('Base Exámenes'!$D:$D,$L91))</f>
        <v/>
      </c>
      <c r="G91" s="23" t="str">
        <f>IF($L91="","",INDEX('Base Exámenes'!$E:$E,$L91))</f>
        <v/>
      </c>
      <c r="H91" s="24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IFERROR(MATCH(SMALL(Cálculos!$AQ$5:$AQ$1000,87),Cálculos!$AQ$5:$AQ$1000,0)+4,"")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23" t="str">
        <f>IF($L92="","",INDEX('Base Exámenes'!$D:$D,$L92))</f>
        <v/>
      </c>
      <c r="G92" s="23" t="str">
        <f>IF($L92="","",INDEX('Base Exámenes'!$E:$E,$L92))</f>
        <v/>
      </c>
      <c r="H92" s="24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IFERROR(MATCH(SMALL(Cálculos!$AQ$5:$AQ$1000,88),Cálculos!$AQ$5:$AQ$1000,0)+4,"")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23" t="str">
        <f>IF($L93="","",INDEX('Base Exámenes'!$D:$D,$L93))</f>
        <v/>
      </c>
      <c r="G93" s="23" t="str">
        <f>IF($L93="","",INDEX('Base Exámenes'!$E:$E,$L93))</f>
        <v/>
      </c>
      <c r="H93" s="24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IFERROR(MATCH(SMALL(Cálculos!$AQ$5:$AQ$1000,89),Cálculos!$AQ$5:$AQ$1000,0)+4,"")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23" t="str">
        <f>IF($L94="","",INDEX('Base Exámenes'!$D:$D,$L94))</f>
        <v/>
      </c>
      <c r="G94" s="23" t="str">
        <f>IF($L94="","",INDEX('Base Exámenes'!$E:$E,$L94))</f>
        <v/>
      </c>
      <c r="H94" s="24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IFERROR(MATCH(SMALL(Cálculos!$AQ$5:$AQ$1000,90),Cálculos!$AQ$5:$AQ$1000,0)+4,"")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23" t="str">
        <f>IF($L95="","",INDEX('Base Exámenes'!$D:$D,$L95))</f>
        <v/>
      </c>
      <c r="G95" s="23" t="str">
        <f>IF($L95="","",INDEX('Base Exámenes'!$E:$E,$L95))</f>
        <v/>
      </c>
      <c r="H95" s="24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IFERROR(MATCH(SMALL(Cálculos!$AQ$5:$AQ$1000,91),Cálculos!$AQ$5:$AQ$1000,0)+4,"")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23" t="str">
        <f>IF($L96="","",INDEX('Base Exámenes'!$D:$D,$L96))</f>
        <v/>
      </c>
      <c r="G96" s="23" t="str">
        <f>IF($L96="","",INDEX('Base Exámenes'!$E:$E,$L96))</f>
        <v/>
      </c>
      <c r="H96" s="24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IFERROR(MATCH(SMALL(Cálculos!$AQ$5:$AQ$1000,92),Cálculos!$AQ$5:$AQ$1000,0)+4,"")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23" t="str">
        <f>IF($L97="","",INDEX('Base Exámenes'!$D:$D,$L97))</f>
        <v/>
      </c>
      <c r="G97" s="23" t="str">
        <f>IF($L97="","",INDEX('Base Exámenes'!$E:$E,$L97))</f>
        <v/>
      </c>
      <c r="H97" s="24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IFERROR(MATCH(SMALL(Cálculos!$AQ$5:$AQ$1000,93),Cálculos!$AQ$5:$AQ$1000,0)+4,"")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23" t="str">
        <f>IF($L98="","",INDEX('Base Exámenes'!$D:$D,$L98))</f>
        <v/>
      </c>
      <c r="G98" s="23" t="str">
        <f>IF($L98="","",INDEX('Base Exámenes'!$E:$E,$L98))</f>
        <v/>
      </c>
      <c r="H98" s="24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IFERROR(MATCH(SMALL(Cálculos!$AQ$5:$AQ$1000,94),Cálculos!$AQ$5:$AQ$1000,0)+4,"")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23" t="str">
        <f>IF($L99="","",INDEX('Base Exámenes'!$D:$D,$L99))</f>
        <v/>
      </c>
      <c r="G99" s="23" t="str">
        <f>IF($L99="","",INDEX('Base Exámenes'!$E:$E,$L99))</f>
        <v/>
      </c>
      <c r="H99" s="24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IFERROR(MATCH(SMALL(Cálculos!$AQ$5:$AQ$1000,95),Cálculos!$AQ$5:$AQ$1000,0)+4,"")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23" t="str">
        <f>IF($L100="","",INDEX('Base Exámenes'!$D:$D,$L100))</f>
        <v/>
      </c>
      <c r="G100" s="23" t="str">
        <f>IF($L100="","",INDEX('Base Exámenes'!$E:$E,$L100))</f>
        <v/>
      </c>
      <c r="H100" s="24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IFERROR(MATCH(SMALL(Cálculos!$AQ$5:$AQ$1000,96),Cálculos!$AQ$5:$AQ$1000,0)+4,"")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23" t="str">
        <f>IF($L101="","",INDEX('Base Exámenes'!$D:$D,$L101))</f>
        <v/>
      </c>
      <c r="G101" s="23" t="str">
        <f>IF($L101="","",INDEX('Base Exámenes'!$E:$E,$L101))</f>
        <v/>
      </c>
      <c r="H101" s="24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IFERROR(MATCH(SMALL(Cálculos!$AQ$5:$AQ$1000,97),Cálculos!$AQ$5:$AQ$1000,0)+4,"")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23" t="str">
        <f>IF($L102="","",INDEX('Base Exámenes'!$D:$D,$L102))</f>
        <v/>
      </c>
      <c r="G102" s="23" t="str">
        <f>IF($L102="","",INDEX('Base Exámenes'!$E:$E,$L102))</f>
        <v/>
      </c>
      <c r="H102" s="24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IFERROR(MATCH(SMALL(Cálculos!$AQ$5:$AQ$1000,98),Cálculos!$AQ$5:$AQ$1000,0)+4,"")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23" t="str">
        <f>IF($L103="","",INDEX('Base Exámenes'!$D:$D,$L103))</f>
        <v/>
      </c>
      <c r="G103" s="23" t="str">
        <f>IF($L103="","",INDEX('Base Exámenes'!$E:$E,$L103))</f>
        <v/>
      </c>
      <c r="H103" s="24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IFERROR(MATCH(SMALL(Cálculos!$AQ$5:$AQ$1000,99),Cálculos!$AQ$5:$AQ$1000,0)+4,"")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23" t="str">
        <f>IF($L104="","",INDEX('Base Exámenes'!$D:$D,$L104))</f>
        <v/>
      </c>
      <c r="G104" s="23" t="str">
        <f>IF($L104="","",INDEX('Base Exámenes'!$E:$E,$L104))</f>
        <v/>
      </c>
      <c r="H104" s="24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IFERROR(MATCH(SMALL(Cálculos!$AQ$5:$AQ$1000,100),Cálculos!$AQ$5:$AQ$1000,0)+4,"")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23" t="str">
        <f>IF($L105="","",INDEX('Base Exámenes'!$D:$D,$L105))</f>
        <v/>
      </c>
      <c r="G105" s="23" t="str">
        <f>IF($L105="","",INDEX('Base Exámenes'!$E:$E,$L105))</f>
        <v/>
      </c>
      <c r="H105" s="24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IFERROR(MATCH(SMALL(Cálculos!$AQ$5:$AQ$1000,101),Cálculos!$AQ$5:$AQ$1000,0)+4,"")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23" t="str">
        <f>IF($L106="","",INDEX('Base Exámenes'!$D:$D,$L106))</f>
        <v/>
      </c>
      <c r="G106" s="23" t="str">
        <f>IF($L106="","",INDEX('Base Exámenes'!$E:$E,$L106))</f>
        <v/>
      </c>
      <c r="H106" s="24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IFERROR(MATCH(SMALL(Cálculos!$AQ$5:$AQ$1000,102),Cálculos!$AQ$5:$AQ$1000,0)+4,"")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23" t="str">
        <f>IF($L107="","",INDEX('Base Exámenes'!$D:$D,$L107))</f>
        <v/>
      </c>
      <c r="G107" s="23" t="str">
        <f>IF($L107="","",INDEX('Base Exámenes'!$E:$E,$L107))</f>
        <v/>
      </c>
      <c r="H107" s="24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IFERROR(MATCH(SMALL(Cálculos!$AQ$5:$AQ$1000,103),Cálculos!$AQ$5:$AQ$1000,0)+4,"")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23" t="str">
        <f>IF($L108="","",INDEX('Base Exámenes'!$D:$D,$L108))</f>
        <v/>
      </c>
      <c r="G108" s="23" t="str">
        <f>IF($L108="","",INDEX('Base Exámenes'!$E:$E,$L108))</f>
        <v/>
      </c>
      <c r="H108" s="24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IFERROR(MATCH(SMALL(Cálculos!$AQ$5:$AQ$1000,104),Cálculos!$AQ$5:$AQ$1000,0)+4,"")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23" t="str">
        <f>IF($L109="","",INDEX('Base Exámenes'!$D:$D,$L109))</f>
        <v/>
      </c>
      <c r="G109" s="23" t="str">
        <f>IF($L109="","",INDEX('Base Exámenes'!$E:$E,$L109))</f>
        <v/>
      </c>
      <c r="H109" s="24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IFERROR(MATCH(SMALL(Cálculos!$AQ$5:$AQ$1000,105),Cálculos!$AQ$5:$AQ$1000,0)+4,"")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23" t="str">
        <f>IF($L110="","",INDEX('Base Exámenes'!$D:$D,$L110))</f>
        <v/>
      </c>
      <c r="G110" s="23" t="str">
        <f>IF($L110="","",INDEX('Base Exámenes'!$E:$E,$L110))</f>
        <v/>
      </c>
      <c r="H110" s="24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IFERROR(MATCH(SMALL(Cálculos!$AQ$5:$AQ$1000,106),Cálculos!$AQ$5:$AQ$1000,0)+4,"")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23" t="str">
        <f>IF($L111="","",INDEX('Base Exámenes'!$D:$D,$L111))</f>
        <v/>
      </c>
      <c r="G111" s="23" t="str">
        <f>IF($L111="","",INDEX('Base Exámenes'!$E:$E,$L111))</f>
        <v/>
      </c>
      <c r="H111" s="24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IFERROR(MATCH(SMALL(Cálculos!$AQ$5:$AQ$1000,107),Cálculos!$AQ$5:$AQ$1000,0)+4,"")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23" t="str">
        <f>IF($L112="","",INDEX('Base Exámenes'!$D:$D,$L112))</f>
        <v/>
      </c>
      <c r="G112" s="23" t="str">
        <f>IF($L112="","",INDEX('Base Exámenes'!$E:$E,$L112))</f>
        <v/>
      </c>
      <c r="H112" s="24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IFERROR(MATCH(SMALL(Cálculos!$AQ$5:$AQ$1000,108),Cálculos!$AQ$5:$AQ$1000,0)+4,"")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23" t="str">
        <f>IF($L113="","",INDEX('Base Exámenes'!$D:$D,$L113))</f>
        <v/>
      </c>
      <c r="G113" s="23" t="str">
        <f>IF($L113="","",INDEX('Base Exámenes'!$E:$E,$L113))</f>
        <v/>
      </c>
      <c r="H113" s="24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IFERROR(MATCH(SMALL(Cálculos!$AQ$5:$AQ$1000,109),Cálculos!$AQ$5:$AQ$1000,0)+4,"")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23" t="str">
        <f>IF($L114="","",INDEX('Base Exámenes'!$D:$D,$L114))</f>
        <v/>
      </c>
      <c r="G114" s="23" t="str">
        <f>IF($L114="","",INDEX('Base Exámenes'!$E:$E,$L114))</f>
        <v/>
      </c>
      <c r="H114" s="24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IFERROR(MATCH(SMALL(Cálculos!$AQ$5:$AQ$1000,110),Cálculos!$AQ$5:$AQ$1000,0)+4,"")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23" t="str">
        <f>IF($L115="","",INDEX('Base Exámenes'!$D:$D,$L115))</f>
        <v/>
      </c>
      <c r="G115" s="23" t="str">
        <f>IF($L115="","",INDEX('Base Exámenes'!$E:$E,$L115))</f>
        <v/>
      </c>
      <c r="H115" s="24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IFERROR(MATCH(SMALL(Cálculos!$AQ$5:$AQ$1000,111),Cálculos!$AQ$5:$AQ$1000,0)+4,"")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23" t="str">
        <f>IF($L116="","",INDEX('Base Exámenes'!$D:$D,$L116))</f>
        <v/>
      </c>
      <c r="G116" s="23" t="str">
        <f>IF($L116="","",INDEX('Base Exámenes'!$E:$E,$L116))</f>
        <v/>
      </c>
      <c r="H116" s="24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IFERROR(MATCH(SMALL(Cálculos!$AQ$5:$AQ$1000,112),Cálculos!$AQ$5:$AQ$1000,0)+4,"")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23" t="str">
        <f>IF($L117="","",INDEX('Base Exámenes'!$D:$D,$L117))</f>
        <v/>
      </c>
      <c r="G117" s="23" t="str">
        <f>IF($L117="","",INDEX('Base Exámenes'!$E:$E,$L117))</f>
        <v/>
      </c>
      <c r="H117" s="24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IFERROR(MATCH(SMALL(Cálculos!$AQ$5:$AQ$1000,113),Cálculos!$AQ$5:$AQ$1000,0)+4,"")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23" t="str">
        <f>IF($L118="","",INDEX('Base Exámenes'!$D:$D,$L118))</f>
        <v/>
      </c>
      <c r="G118" s="23" t="str">
        <f>IF($L118="","",INDEX('Base Exámenes'!$E:$E,$L118))</f>
        <v/>
      </c>
      <c r="H118" s="24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IFERROR(MATCH(SMALL(Cálculos!$AQ$5:$AQ$1000,114),Cálculos!$AQ$5:$AQ$1000,0)+4,"")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23" t="str">
        <f>IF($L119="","",INDEX('Base Exámenes'!$D:$D,$L119))</f>
        <v/>
      </c>
      <c r="G119" s="23" t="str">
        <f>IF($L119="","",INDEX('Base Exámenes'!$E:$E,$L119))</f>
        <v/>
      </c>
      <c r="H119" s="24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IFERROR(MATCH(SMALL(Cálculos!$AQ$5:$AQ$1000,115),Cálculos!$AQ$5:$AQ$1000,0)+4,"")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23" t="str">
        <f>IF($L120="","",INDEX('Base Exámenes'!$D:$D,$L120))</f>
        <v/>
      </c>
      <c r="G120" s="23" t="str">
        <f>IF($L120="","",INDEX('Base Exámenes'!$E:$E,$L120))</f>
        <v/>
      </c>
      <c r="H120" s="24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IFERROR(MATCH(SMALL(Cálculos!$AQ$5:$AQ$1000,116),Cálculos!$AQ$5:$AQ$1000,0)+4,"")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23" t="str">
        <f>IF($L121="","",INDEX('Base Exámenes'!$D:$D,$L121))</f>
        <v/>
      </c>
      <c r="G121" s="23" t="str">
        <f>IF($L121="","",INDEX('Base Exámenes'!$E:$E,$L121))</f>
        <v/>
      </c>
      <c r="H121" s="24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IFERROR(MATCH(SMALL(Cálculos!$AQ$5:$AQ$1000,117),Cálculos!$AQ$5:$AQ$1000,0)+4,"")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23" t="str">
        <f>IF($L122="","",INDEX('Base Exámenes'!$D:$D,$L122))</f>
        <v/>
      </c>
      <c r="G122" s="23" t="str">
        <f>IF($L122="","",INDEX('Base Exámenes'!$E:$E,$L122))</f>
        <v/>
      </c>
      <c r="H122" s="24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IFERROR(MATCH(SMALL(Cálculos!$AQ$5:$AQ$1000,118),Cálculos!$AQ$5:$AQ$1000,0)+4,"")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23" t="str">
        <f>IF($L123="","",INDEX('Base Exámenes'!$D:$D,$L123))</f>
        <v/>
      </c>
      <c r="G123" s="23" t="str">
        <f>IF($L123="","",INDEX('Base Exámenes'!$E:$E,$L123))</f>
        <v/>
      </c>
      <c r="H123" s="24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IFERROR(MATCH(SMALL(Cálculos!$AQ$5:$AQ$1000,119),Cálculos!$AQ$5:$AQ$1000,0)+4,"")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23" t="str">
        <f>IF($L124="","",INDEX('Base Exámenes'!$D:$D,$L124))</f>
        <v/>
      </c>
      <c r="G124" s="23" t="str">
        <f>IF($L124="","",INDEX('Base Exámenes'!$E:$E,$L124))</f>
        <v/>
      </c>
      <c r="H124" s="24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IFERROR(MATCH(SMALL(Cálculos!$AQ$5:$AQ$1000,120),Cálculos!$AQ$5:$AQ$1000,0)+4,"")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23" t="str">
        <f>IF($L125="","",INDEX('Base Exámenes'!$D:$D,$L125))</f>
        <v/>
      </c>
      <c r="G125" s="23" t="str">
        <f>IF($L125="","",INDEX('Base Exámenes'!$E:$E,$L125))</f>
        <v/>
      </c>
      <c r="H125" s="24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IFERROR(MATCH(SMALL(Cálculos!$AQ$5:$AQ$1000,121),Cálculos!$AQ$5:$AQ$1000,0)+4,"")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23" t="str">
        <f>IF($L126="","",INDEX('Base Exámenes'!$D:$D,$L126))</f>
        <v/>
      </c>
      <c r="G126" s="23" t="str">
        <f>IF($L126="","",INDEX('Base Exámenes'!$E:$E,$L126))</f>
        <v/>
      </c>
      <c r="H126" s="24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IFERROR(MATCH(SMALL(Cálculos!$AQ$5:$AQ$1000,122),Cálculos!$AQ$5:$AQ$1000,0)+4,"")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23" t="str">
        <f>IF($L127="","",INDEX('Base Exámenes'!$D:$D,$L127))</f>
        <v/>
      </c>
      <c r="G127" s="23" t="str">
        <f>IF($L127="","",INDEX('Base Exámenes'!$E:$E,$L127))</f>
        <v/>
      </c>
      <c r="H127" s="24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IFERROR(MATCH(SMALL(Cálculos!$AQ$5:$AQ$1000,123),Cálculos!$AQ$5:$AQ$1000,0)+4,"")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23" t="str">
        <f>IF($L128="","",INDEX('Base Exámenes'!$D:$D,$L128))</f>
        <v/>
      </c>
      <c r="G128" s="23" t="str">
        <f>IF($L128="","",INDEX('Base Exámenes'!$E:$E,$L128))</f>
        <v/>
      </c>
      <c r="H128" s="24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IFERROR(MATCH(SMALL(Cálculos!$AQ$5:$AQ$1000,124),Cálculos!$AQ$5:$AQ$1000,0)+4,"")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23" t="str">
        <f>IF($L129="","",INDEX('Base Exámenes'!$D:$D,$L129))</f>
        <v/>
      </c>
      <c r="G129" s="23" t="str">
        <f>IF($L129="","",INDEX('Base Exámenes'!$E:$E,$L129))</f>
        <v/>
      </c>
      <c r="H129" s="24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IFERROR(MATCH(SMALL(Cálculos!$AQ$5:$AQ$1000,125),Cálculos!$AQ$5:$AQ$1000,0)+4,"")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23" t="str">
        <f>IF($L130="","",INDEX('Base Exámenes'!$D:$D,$L130))</f>
        <v/>
      </c>
      <c r="G130" s="23" t="str">
        <f>IF($L130="","",INDEX('Base Exámenes'!$E:$E,$L130))</f>
        <v/>
      </c>
      <c r="H130" s="24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IFERROR(MATCH(SMALL(Cálculos!$AQ$5:$AQ$1000,126),Cálculos!$AQ$5:$AQ$1000,0)+4,"")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23" t="str">
        <f>IF($L131="","",INDEX('Base Exámenes'!$D:$D,$L131))</f>
        <v/>
      </c>
      <c r="G131" s="23" t="str">
        <f>IF($L131="","",INDEX('Base Exámenes'!$E:$E,$L131))</f>
        <v/>
      </c>
      <c r="H131" s="24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IFERROR(MATCH(SMALL(Cálculos!$AQ$5:$AQ$1000,127),Cálculos!$AQ$5:$AQ$1000,0)+4,"")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23" t="str">
        <f>IF($L132="","",INDEX('Base Exámenes'!$D:$D,$L132))</f>
        <v/>
      </c>
      <c r="G132" s="23" t="str">
        <f>IF($L132="","",INDEX('Base Exámenes'!$E:$E,$L132))</f>
        <v/>
      </c>
      <c r="H132" s="24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IFERROR(MATCH(SMALL(Cálculos!$AQ$5:$AQ$1000,128),Cálculos!$AQ$5:$AQ$1000,0)+4,"")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23" t="str">
        <f>IF($L133="","",INDEX('Base Exámenes'!$D:$D,$L133))</f>
        <v/>
      </c>
      <c r="G133" s="23" t="str">
        <f>IF($L133="","",INDEX('Base Exámenes'!$E:$E,$L133))</f>
        <v/>
      </c>
      <c r="H133" s="24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IFERROR(MATCH(SMALL(Cálculos!$AQ$5:$AQ$1000,129),Cálculos!$AQ$5:$AQ$1000,0)+4,"")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23" t="str">
        <f>IF($L134="","",INDEX('Base Exámenes'!$D:$D,$L134))</f>
        <v/>
      </c>
      <c r="G134" s="23" t="str">
        <f>IF($L134="","",INDEX('Base Exámenes'!$E:$E,$L134))</f>
        <v/>
      </c>
      <c r="H134" s="24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IFERROR(MATCH(SMALL(Cálculos!$AQ$5:$AQ$1000,130),Cálculos!$AQ$5:$AQ$1000,0)+4,"")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23" t="str">
        <f>IF($L135="","",INDEX('Base Exámenes'!$D:$D,$L135))</f>
        <v/>
      </c>
      <c r="G135" s="23" t="str">
        <f>IF($L135="","",INDEX('Base Exámenes'!$E:$E,$L135))</f>
        <v/>
      </c>
      <c r="H135" s="24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IFERROR(MATCH(SMALL(Cálculos!$AQ$5:$AQ$1000,131),Cálculos!$AQ$5:$AQ$1000,0)+4,"")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23" t="str">
        <f>IF($L136="","",INDEX('Base Exámenes'!$D:$D,$L136))</f>
        <v/>
      </c>
      <c r="G136" s="23" t="str">
        <f>IF($L136="","",INDEX('Base Exámenes'!$E:$E,$L136))</f>
        <v/>
      </c>
      <c r="H136" s="24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IFERROR(MATCH(SMALL(Cálculos!$AQ$5:$AQ$1000,132),Cálculos!$AQ$5:$AQ$1000,0)+4,"")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23" t="str">
        <f>IF($L137="","",INDEX('Base Exámenes'!$D:$D,$L137))</f>
        <v/>
      </c>
      <c r="G137" s="23" t="str">
        <f>IF($L137="","",INDEX('Base Exámenes'!$E:$E,$L137))</f>
        <v/>
      </c>
      <c r="H137" s="24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IFERROR(MATCH(SMALL(Cálculos!$AQ$5:$AQ$1000,133),Cálculos!$AQ$5:$AQ$1000,0)+4,"")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23" t="str">
        <f>IF($L138="","",INDEX('Base Exámenes'!$D:$D,$L138))</f>
        <v/>
      </c>
      <c r="G138" s="23" t="str">
        <f>IF($L138="","",INDEX('Base Exámenes'!$E:$E,$L138))</f>
        <v/>
      </c>
      <c r="H138" s="24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IFERROR(MATCH(SMALL(Cálculos!$AQ$5:$AQ$1000,134),Cálculos!$AQ$5:$AQ$1000,0)+4,"")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23" t="str">
        <f>IF($L139="","",INDEX('Base Exámenes'!$D:$D,$L139))</f>
        <v/>
      </c>
      <c r="G139" s="23" t="str">
        <f>IF($L139="","",INDEX('Base Exámenes'!$E:$E,$L139))</f>
        <v/>
      </c>
      <c r="H139" s="24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IFERROR(MATCH(SMALL(Cálculos!$AQ$5:$AQ$1000,135),Cálculos!$AQ$5:$AQ$1000,0)+4,"")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23" t="str">
        <f>IF($L140="","",INDEX('Base Exámenes'!$D:$D,$L140))</f>
        <v/>
      </c>
      <c r="G140" s="23" t="str">
        <f>IF($L140="","",INDEX('Base Exámenes'!$E:$E,$L140))</f>
        <v/>
      </c>
      <c r="H140" s="24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IFERROR(MATCH(SMALL(Cálculos!$AQ$5:$AQ$1000,136),Cálculos!$AQ$5:$AQ$1000,0)+4,"")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23" t="str">
        <f>IF($L141="","",INDEX('Base Exámenes'!$D:$D,$L141))</f>
        <v/>
      </c>
      <c r="G141" s="23" t="str">
        <f>IF($L141="","",INDEX('Base Exámenes'!$E:$E,$L141))</f>
        <v/>
      </c>
      <c r="H141" s="24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IFERROR(MATCH(SMALL(Cálculos!$AQ$5:$AQ$1000,137),Cálculos!$AQ$5:$AQ$1000,0)+4,"")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23" t="str">
        <f>IF($L142="","",INDEX('Base Exámenes'!$D:$D,$L142))</f>
        <v/>
      </c>
      <c r="G142" s="23" t="str">
        <f>IF($L142="","",INDEX('Base Exámenes'!$E:$E,$L142))</f>
        <v/>
      </c>
      <c r="H142" s="24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IFERROR(MATCH(SMALL(Cálculos!$AQ$5:$AQ$1000,138),Cálculos!$AQ$5:$AQ$1000,0)+4,"")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23" t="str">
        <f>IF($L143="","",INDEX('Base Exámenes'!$D:$D,$L143))</f>
        <v/>
      </c>
      <c r="G143" s="23" t="str">
        <f>IF($L143="","",INDEX('Base Exámenes'!$E:$E,$L143))</f>
        <v/>
      </c>
      <c r="H143" s="24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IFERROR(MATCH(SMALL(Cálculos!$AQ$5:$AQ$1000,139),Cálculos!$AQ$5:$AQ$1000,0)+4,"")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23" t="str">
        <f>IF($L144="","",INDEX('Base Exámenes'!$D:$D,$L144))</f>
        <v/>
      </c>
      <c r="G144" s="23" t="str">
        <f>IF($L144="","",INDEX('Base Exámenes'!$E:$E,$L144))</f>
        <v/>
      </c>
      <c r="H144" s="24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IFERROR(MATCH(SMALL(Cálculos!$AQ$5:$AQ$1000,140),Cálculos!$AQ$5:$AQ$1000,0)+4,"")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23" t="str">
        <f>IF($L145="","",INDEX('Base Exámenes'!$D:$D,$L145))</f>
        <v/>
      </c>
      <c r="G145" s="23" t="str">
        <f>IF($L145="","",INDEX('Base Exámenes'!$E:$E,$L145))</f>
        <v/>
      </c>
      <c r="H145" s="24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IFERROR(MATCH(SMALL(Cálculos!$AQ$5:$AQ$1000,141),Cálculos!$AQ$5:$AQ$1000,0)+4,"")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23" t="str">
        <f>IF($L146="","",INDEX('Base Exámenes'!$D:$D,$L146))</f>
        <v/>
      </c>
      <c r="G146" s="23" t="str">
        <f>IF($L146="","",INDEX('Base Exámenes'!$E:$E,$L146))</f>
        <v/>
      </c>
      <c r="H146" s="24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IFERROR(MATCH(SMALL(Cálculos!$AQ$5:$AQ$1000,142),Cálculos!$AQ$5:$AQ$1000,0)+4,"")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23" t="str">
        <f>IF($L147="","",INDEX('Base Exámenes'!$D:$D,$L147))</f>
        <v/>
      </c>
      <c r="G147" s="23" t="str">
        <f>IF($L147="","",INDEX('Base Exámenes'!$E:$E,$L147))</f>
        <v/>
      </c>
      <c r="H147" s="24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IFERROR(MATCH(SMALL(Cálculos!$AQ$5:$AQ$1000,143),Cálculos!$AQ$5:$AQ$1000,0)+4,"")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23" t="str">
        <f>IF($L148="","",INDEX('Base Exámenes'!$D:$D,$L148))</f>
        <v/>
      </c>
      <c r="G148" s="23" t="str">
        <f>IF($L148="","",INDEX('Base Exámenes'!$E:$E,$L148))</f>
        <v/>
      </c>
      <c r="H148" s="24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IFERROR(MATCH(SMALL(Cálculos!$AQ$5:$AQ$1000,144),Cálculos!$AQ$5:$AQ$1000,0)+4,"")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23" t="str">
        <f>IF($L149="","",INDEX('Base Exámenes'!$D:$D,$L149))</f>
        <v/>
      </c>
      <c r="G149" s="23" t="str">
        <f>IF($L149="","",INDEX('Base Exámenes'!$E:$E,$L149))</f>
        <v/>
      </c>
      <c r="H149" s="24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IFERROR(MATCH(SMALL(Cálculos!$AQ$5:$AQ$1000,145),Cálculos!$AQ$5:$AQ$1000,0)+4,"")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23" t="str">
        <f>IF($L150="","",INDEX('Base Exámenes'!$D:$D,$L150))</f>
        <v/>
      </c>
      <c r="G150" s="23" t="str">
        <f>IF($L150="","",INDEX('Base Exámenes'!$E:$E,$L150))</f>
        <v/>
      </c>
      <c r="H150" s="24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IFERROR(MATCH(SMALL(Cálculos!$AQ$5:$AQ$1000,146),Cálculos!$AQ$5:$AQ$1000,0)+4,"")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23" t="str">
        <f>IF($L151="","",INDEX('Base Exámenes'!$D:$D,$L151))</f>
        <v/>
      </c>
      <c r="G151" s="23" t="str">
        <f>IF($L151="","",INDEX('Base Exámenes'!$E:$E,$L151))</f>
        <v/>
      </c>
      <c r="H151" s="24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IFERROR(MATCH(SMALL(Cálculos!$AQ$5:$AQ$1000,147),Cálculos!$AQ$5:$AQ$1000,0)+4,"")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23" t="str">
        <f>IF($L152="","",INDEX('Base Exámenes'!$D:$D,$L152))</f>
        <v/>
      </c>
      <c r="G152" s="23" t="str">
        <f>IF($L152="","",INDEX('Base Exámenes'!$E:$E,$L152))</f>
        <v/>
      </c>
      <c r="H152" s="24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IFERROR(MATCH(SMALL(Cálculos!$AQ$5:$AQ$1000,148),Cálculos!$AQ$5:$AQ$1000,0)+4,"")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23" t="str">
        <f>IF($L153="","",INDEX('Base Exámenes'!$D:$D,$L153))</f>
        <v/>
      </c>
      <c r="G153" s="23" t="str">
        <f>IF($L153="","",INDEX('Base Exámenes'!$E:$E,$L153))</f>
        <v/>
      </c>
      <c r="H153" s="24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IFERROR(MATCH(SMALL(Cálculos!$AQ$5:$AQ$1000,149),Cálculos!$AQ$5:$AQ$1000,0)+4,"")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23" t="str">
        <f>IF($L154="","",INDEX('Base Exámenes'!$D:$D,$L154))</f>
        <v/>
      </c>
      <c r="G154" s="23" t="str">
        <f>IF($L154="","",INDEX('Base Exámenes'!$E:$E,$L154))</f>
        <v/>
      </c>
      <c r="H154" s="24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IFERROR(MATCH(SMALL(Cálculos!$AQ$5:$AQ$1000,150),Cálculos!$AQ$5:$AQ$1000,0)+4,"")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23" t="str">
        <f>IF($L155="","",INDEX('Base Exámenes'!$D:$D,$L155))</f>
        <v/>
      </c>
      <c r="G155" s="23" t="str">
        <f>IF($L155="","",INDEX('Base Exámenes'!$E:$E,$L155))</f>
        <v/>
      </c>
      <c r="H155" s="24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IFERROR(MATCH(SMALL(Cálculos!$AQ$5:$AQ$1000,151),Cálculos!$AQ$5:$AQ$1000,0)+4,"")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23" t="str">
        <f>IF($L156="","",INDEX('Base Exámenes'!$D:$D,$L156))</f>
        <v/>
      </c>
      <c r="G156" s="23" t="str">
        <f>IF($L156="","",INDEX('Base Exámenes'!$E:$E,$L156))</f>
        <v/>
      </c>
      <c r="H156" s="24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IFERROR(MATCH(SMALL(Cálculos!$AQ$5:$AQ$1000,152),Cálculos!$AQ$5:$AQ$1000,0)+4,"")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23" t="str">
        <f>IF($L157="","",INDEX('Base Exámenes'!$D:$D,$L157))</f>
        <v/>
      </c>
      <c r="G157" s="23" t="str">
        <f>IF($L157="","",INDEX('Base Exámenes'!$E:$E,$L157))</f>
        <v/>
      </c>
      <c r="H157" s="24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IFERROR(MATCH(SMALL(Cálculos!$AQ$5:$AQ$1000,153),Cálculos!$AQ$5:$AQ$1000,0)+4,"")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23" t="str">
        <f>IF($L158="","",INDEX('Base Exámenes'!$D:$D,$L158))</f>
        <v/>
      </c>
      <c r="G158" s="23" t="str">
        <f>IF($L158="","",INDEX('Base Exámenes'!$E:$E,$L158))</f>
        <v/>
      </c>
      <c r="H158" s="24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IFERROR(MATCH(SMALL(Cálculos!$AQ$5:$AQ$1000,154),Cálculos!$AQ$5:$AQ$1000,0)+4,"")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23" t="str">
        <f>IF($L159="","",INDEX('Base Exámenes'!$D:$D,$L159))</f>
        <v/>
      </c>
      <c r="G159" s="23" t="str">
        <f>IF($L159="","",INDEX('Base Exámenes'!$E:$E,$L159))</f>
        <v/>
      </c>
      <c r="H159" s="24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IFERROR(MATCH(SMALL(Cálculos!$AQ$5:$AQ$1000,155),Cálculos!$AQ$5:$AQ$1000,0)+4,"")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23" t="str">
        <f>IF($L160="","",INDEX('Base Exámenes'!$D:$D,$L160))</f>
        <v/>
      </c>
      <c r="G160" s="23" t="str">
        <f>IF($L160="","",INDEX('Base Exámenes'!$E:$E,$L160))</f>
        <v/>
      </c>
      <c r="H160" s="24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IFERROR(MATCH(SMALL(Cálculos!$AQ$5:$AQ$1000,156),Cálculos!$AQ$5:$AQ$1000,0)+4,"")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23" t="str">
        <f>IF($L161="","",INDEX('Base Exámenes'!$D:$D,$L161))</f>
        <v/>
      </c>
      <c r="G161" s="23" t="str">
        <f>IF($L161="","",INDEX('Base Exámenes'!$E:$E,$L161))</f>
        <v/>
      </c>
      <c r="H161" s="24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IFERROR(MATCH(SMALL(Cálculos!$AQ$5:$AQ$1000,157),Cálculos!$AQ$5:$AQ$1000,0)+4,"")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23" t="str">
        <f>IF($L162="","",INDEX('Base Exámenes'!$D:$D,$L162))</f>
        <v/>
      </c>
      <c r="G162" s="23" t="str">
        <f>IF($L162="","",INDEX('Base Exámenes'!$E:$E,$L162))</f>
        <v/>
      </c>
      <c r="H162" s="24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IFERROR(MATCH(SMALL(Cálculos!$AQ$5:$AQ$1000,158),Cálculos!$AQ$5:$AQ$1000,0)+4,"")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23" t="str">
        <f>IF($L163="","",INDEX('Base Exámenes'!$D:$D,$L163))</f>
        <v/>
      </c>
      <c r="G163" s="23" t="str">
        <f>IF($L163="","",INDEX('Base Exámenes'!$E:$E,$L163))</f>
        <v/>
      </c>
      <c r="H163" s="24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IFERROR(MATCH(SMALL(Cálculos!$AQ$5:$AQ$1000,159),Cálculos!$AQ$5:$AQ$1000,0)+4,"")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23" t="str">
        <f>IF($L164="","",INDEX('Base Exámenes'!$D:$D,$L164))</f>
        <v/>
      </c>
      <c r="G164" s="23" t="str">
        <f>IF($L164="","",INDEX('Base Exámenes'!$E:$E,$L164))</f>
        <v/>
      </c>
      <c r="H164" s="24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IFERROR(MATCH(SMALL(Cálculos!$AQ$5:$AQ$1000,160),Cálculos!$AQ$5:$AQ$1000,0)+4,"")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23" t="str">
        <f>IF($L165="","",INDEX('Base Exámenes'!$D:$D,$L165))</f>
        <v/>
      </c>
      <c r="G165" s="23" t="str">
        <f>IF($L165="","",INDEX('Base Exámenes'!$E:$E,$L165))</f>
        <v/>
      </c>
      <c r="H165" s="24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IFERROR(MATCH(SMALL(Cálculos!$AQ$5:$AQ$1000,161),Cálculos!$AQ$5:$AQ$1000,0)+4,"")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23" t="str">
        <f>IF($L166="","",INDEX('Base Exámenes'!$D:$D,$L166))</f>
        <v/>
      </c>
      <c r="G166" s="23" t="str">
        <f>IF($L166="","",INDEX('Base Exámenes'!$E:$E,$L166))</f>
        <v/>
      </c>
      <c r="H166" s="24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IFERROR(MATCH(SMALL(Cálculos!$AQ$5:$AQ$1000,162),Cálculos!$AQ$5:$AQ$1000,0)+4,"")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23" t="str">
        <f>IF($L167="","",INDEX('Base Exámenes'!$D:$D,$L167))</f>
        <v/>
      </c>
      <c r="G167" s="23" t="str">
        <f>IF($L167="","",INDEX('Base Exámenes'!$E:$E,$L167))</f>
        <v/>
      </c>
      <c r="H167" s="24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IFERROR(MATCH(SMALL(Cálculos!$AQ$5:$AQ$1000,163),Cálculos!$AQ$5:$AQ$1000,0)+4,"")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23" t="str">
        <f>IF($L168="","",INDEX('Base Exámenes'!$D:$D,$L168))</f>
        <v/>
      </c>
      <c r="G168" s="23" t="str">
        <f>IF($L168="","",INDEX('Base Exámenes'!$E:$E,$L168))</f>
        <v/>
      </c>
      <c r="H168" s="24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IFERROR(MATCH(SMALL(Cálculos!$AQ$5:$AQ$1000,164),Cálculos!$AQ$5:$AQ$1000,0)+4,"")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23" t="str">
        <f>IF($L169="","",INDEX('Base Exámenes'!$D:$D,$L169))</f>
        <v/>
      </c>
      <c r="G169" s="23" t="str">
        <f>IF($L169="","",INDEX('Base Exámenes'!$E:$E,$L169))</f>
        <v/>
      </c>
      <c r="H169" s="24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IFERROR(MATCH(SMALL(Cálculos!$AQ$5:$AQ$1000,165),Cálculos!$AQ$5:$AQ$1000,0)+4,"")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23" t="str">
        <f>IF($L170="","",INDEX('Base Exámenes'!$D:$D,$L170))</f>
        <v/>
      </c>
      <c r="G170" s="23" t="str">
        <f>IF($L170="","",INDEX('Base Exámenes'!$E:$E,$L170))</f>
        <v/>
      </c>
      <c r="H170" s="24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IFERROR(MATCH(SMALL(Cálculos!$AQ$5:$AQ$1000,166),Cálculos!$AQ$5:$AQ$1000,0)+4,"")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23" t="str">
        <f>IF($L171="","",INDEX('Base Exámenes'!$D:$D,$L171))</f>
        <v/>
      </c>
      <c r="G171" s="23" t="str">
        <f>IF($L171="","",INDEX('Base Exámenes'!$E:$E,$L171))</f>
        <v/>
      </c>
      <c r="H171" s="24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IFERROR(MATCH(SMALL(Cálculos!$AQ$5:$AQ$1000,167),Cálculos!$AQ$5:$AQ$1000,0)+4,"")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23" t="str">
        <f>IF($L172="","",INDEX('Base Exámenes'!$D:$D,$L172))</f>
        <v/>
      </c>
      <c r="G172" s="23" t="str">
        <f>IF($L172="","",INDEX('Base Exámenes'!$E:$E,$L172))</f>
        <v/>
      </c>
      <c r="H172" s="24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IFERROR(MATCH(SMALL(Cálculos!$AQ$5:$AQ$1000,168),Cálculos!$AQ$5:$AQ$1000,0)+4,"")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23" t="str">
        <f>IF($L173="","",INDEX('Base Exámenes'!$D:$D,$L173))</f>
        <v/>
      </c>
      <c r="G173" s="23" t="str">
        <f>IF($L173="","",INDEX('Base Exámenes'!$E:$E,$L173))</f>
        <v/>
      </c>
      <c r="H173" s="24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IFERROR(MATCH(SMALL(Cálculos!$AQ$5:$AQ$1000,169),Cálculos!$AQ$5:$AQ$1000,0)+4,"")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23" t="str">
        <f>IF($L174="","",INDEX('Base Exámenes'!$D:$D,$L174))</f>
        <v/>
      </c>
      <c r="G174" s="23" t="str">
        <f>IF($L174="","",INDEX('Base Exámenes'!$E:$E,$L174))</f>
        <v/>
      </c>
      <c r="H174" s="24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IFERROR(MATCH(SMALL(Cálculos!$AQ$5:$AQ$1000,170),Cálculos!$AQ$5:$AQ$1000,0)+4,"")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23" t="str">
        <f>IF($L175="","",INDEX('Base Exámenes'!$D:$D,$L175))</f>
        <v/>
      </c>
      <c r="G175" s="23" t="str">
        <f>IF($L175="","",INDEX('Base Exámenes'!$E:$E,$L175))</f>
        <v/>
      </c>
      <c r="H175" s="24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IFERROR(MATCH(SMALL(Cálculos!$AQ$5:$AQ$1000,171),Cálculos!$AQ$5:$AQ$1000,0)+4,"")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23" t="str">
        <f>IF($L176="","",INDEX('Base Exámenes'!$D:$D,$L176))</f>
        <v/>
      </c>
      <c r="G176" s="23" t="str">
        <f>IF($L176="","",INDEX('Base Exámenes'!$E:$E,$L176))</f>
        <v/>
      </c>
      <c r="H176" s="24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IFERROR(MATCH(SMALL(Cálculos!$AQ$5:$AQ$1000,172),Cálculos!$AQ$5:$AQ$1000,0)+4,"")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23" t="str">
        <f>IF($L177="","",INDEX('Base Exámenes'!$D:$D,$L177))</f>
        <v/>
      </c>
      <c r="G177" s="23" t="str">
        <f>IF($L177="","",INDEX('Base Exámenes'!$E:$E,$L177))</f>
        <v/>
      </c>
      <c r="H177" s="24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IFERROR(MATCH(SMALL(Cálculos!$AQ$5:$AQ$1000,173),Cálculos!$AQ$5:$AQ$1000,0)+4,"")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23" t="str">
        <f>IF($L178="","",INDEX('Base Exámenes'!$D:$D,$L178))</f>
        <v/>
      </c>
      <c r="G178" s="23" t="str">
        <f>IF($L178="","",INDEX('Base Exámenes'!$E:$E,$L178))</f>
        <v/>
      </c>
      <c r="H178" s="24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IFERROR(MATCH(SMALL(Cálculos!$AQ$5:$AQ$1000,174),Cálculos!$AQ$5:$AQ$1000,0)+4,"")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23" t="str">
        <f>IF($L179="","",INDEX('Base Exámenes'!$D:$D,$L179))</f>
        <v/>
      </c>
      <c r="G179" s="23" t="str">
        <f>IF($L179="","",INDEX('Base Exámenes'!$E:$E,$L179))</f>
        <v/>
      </c>
      <c r="H179" s="24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IFERROR(MATCH(SMALL(Cálculos!$AQ$5:$AQ$1000,175),Cálculos!$AQ$5:$AQ$1000,0)+4,"")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23" t="str">
        <f>IF($L180="","",INDEX('Base Exámenes'!$D:$D,$L180))</f>
        <v/>
      </c>
      <c r="G180" s="23" t="str">
        <f>IF($L180="","",INDEX('Base Exámenes'!$E:$E,$L180))</f>
        <v/>
      </c>
      <c r="H180" s="24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IFERROR(MATCH(SMALL(Cálculos!$AQ$5:$AQ$1000,176),Cálculos!$AQ$5:$AQ$1000,0)+4,"")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23" t="str">
        <f>IF($L181="","",INDEX('Base Exámenes'!$D:$D,$L181))</f>
        <v/>
      </c>
      <c r="G181" s="23" t="str">
        <f>IF($L181="","",INDEX('Base Exámenes'!$E:$E,$L181))</f>
        <v/>
      </c>
      <c r="H181" s="24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IFERROR(MATCH(SMALL(Cálculos!$AQ$5:$AQ$1000,177),Cálculos!$AQ$5:$AQ$1000,0)+4,"")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23" t="str">
        <f>IF($L182="","",INDEX('Base Exámenes'!$D:$D,$L182))</f>
        <v/>
      </c>
      <c r="G182" s="23" t="str">
        <f>IF($L182="","",INDEX('Base Exámenes'!$E:$E,$L182))</f>
        <v/>
      </c>
      <c r="H182" s="24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IFERROR(MATCH(SMALL(Cálculos!$AQ$5:$AQ$1000,178),Cálculos!$AQ$5:$AQ$1000,0)+4,"")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23" t="str">
        <f>IF($L183="","",INDEX('Base Exámenes'!$D:$D,$L183))</f>
        <v/>
      </c>
      <c r="G183" s="23" t="str">
        <f>IF($L183="","",INDEX('Base Exámenes'!$E:$E,$L183))</f>
        <v/>
      </c>
      <c r="H183" s="24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IFERROR(MATCH(SMALL(Cálculos!$AQ$5:$AQ$1000,179),Cálculos!$AQ$5:$AQ$1000,0)+4,"")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23" t="str">
        <f>IF($L184="","",INDEX('Base Exámenes'!$D:$D,$L184))</f>
        <v/>
      </c>
      <c r="G184" s="23" t="str">
        <f>IF($L184="","",INDEX('Base Exámenes'!$E:$E,$L184))</f>
        <v/>
      </c>
      <c r="H184" s="24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IFERROR(MATCH(SMALL(Cálculos!$AQ$5:$AQ$1000,180),Cálculos!$AQ$5:$AQ$1000,0)+4,"")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23" t="str">
        <f>IF($L185="","",INDEX('Base Exámenes'!$D:$D,$L185))</f>
        <v/>
      </c>
      <c r="G185" s="23" t="str">
        <f>IF($L185="","",INDEX('Base Exámenes'!$E:$E,$L185))</f>
        <v/>
      </c>
      <c r="H185" s="24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IFERROR(MATCH(SMALL(Cálculos!$AQ$5:$AQ$1000,181),Cálculos!$AQ$5:$AQ$1000,0)+4,"")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23" t="str">
        <f>IF($L186="","",INDEX('Base Exámenes'!$D:$D,$L186))</f>
        <v/>
      </c>
      <c r="G186" s="23" t="str">
        <f>IF($L186="","",INDEX('Base Exámenes'!$E:$E,$L186))</f>
        <v/>
      </c>
      <c r="H186" s="24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IFERROR(MATCH(SMALL(Cálculos!$AQ$5:$AQ$1000,182),Cálculos!$AQ$5:$AQ$1000,0)+4,"")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23" t="str">
        <f>IF($L187="","",INDEX('Base Exámenes'!$D:$D,$L187))</f>
        <v/>
      </c>
      <c r="G187" s="23" t="str">
        <f>IF($L187="","",INDEX('Base Exámenes'!$E:$E,$L187))</f>
        <v/>
      </c>
      <c r="H187" s="24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IFERROR(MATCH(SMALL(Cálculos!$AQ$5:$AQ$1000,183),Cálculos!$AQ$5:$AQ$1000,0)+4,"")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23" t="str">
        <f>IF($L188="","",INDEX('Base Exámenes'!$D:$D,$L188))</f>
        <v/>
      </c>
      <c r="G188" s="23" t="str">
        <f>IF($L188="","",INDEX('Base Exámenes'!$E:$E,$L188))</f>
        <v/>
      </c>
      <c r="H188" s="24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IFERROR(MATCH(SMALL(Cálculos!$AQ$5:$AQ$1000,184),Cálculos!$AQ$5:$AQ$1000,0)+4,"")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23" t="str">
        <f>IF($L189="","",INDEX('Base Exámenes'!$D:$D,$L189))</f>
        <v/>
      </c>
      <c r="G189" s="23" t="str">
        <f>IF($L189="","",INDEX('Base Exámenes'!$E:$E,$L189))</f>
        <v/>
      </c>
      <c r="H189" s="24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IFERROR(MATCH(SMALL(Cálculos!$AQ$5:$AQ$1000,185),Cálculos!$AQ$5:$AQ$1000,0)+4,"")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23" t="str">
        <f>IF($L190="","",INDEX('Base Exámenes'!$D:$D,$L190))</f>
        <v/>
      </c>
      <c r="G190" s="23" t="str">
        <f>IF($L190="","",INDEX('Base Exámenes'!$E:$E,$L190))</f>
        <v/>
      </c>
      <c r="H190" s="24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IFERROR(MATCH(SMALL(Cálculos!$AQ$5:$AQ$1000,186),Cálculos!$AQ$5:$AQ$1000,0)+4,"")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23" t="str">
        <f>IF($L191="","",INDEX('Base Exámenes'!$D:$D,$L191))</f>
        <v/>
      </c>
      <c r="G191" s="23" t="str">
        <f>IF($L191="","",INDEX('Base Exámenes'!$E:$E,$L191))</f>
        <v/>
      </c>
      <c r="H191" s="24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IFERROR(MATCH(SMALL(Cálculos!$AQ$5:$AQ$1000,187),Cálculos!$AQ$5:$AQ$1000,0)+4,"")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23" t="str">
        <f>IF($L192="","",INDEX('Base Exámenes'!$D:$D,$L192))</f>
        <v/>
      </c>
      <c r="G192" s="23" t="str">
        <f>IF($L192="","",INDEX('Base Exámenes'!$E:$E,$L192))</f>
        <v/>
      </c>
      <c r="H192" s="24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IFERROR(MATCH(SMALL(Cálculos!$AQ$5:$AQ$1000,188),Cálculos!$AQ$5:$AQ$1000,0)+4,"")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23" t="str">
        <f>IF($L193="","",INDEX('Base Exámenes'!$D:$D,$L193))</f>
        <v/>
      </c>
      <c r="G193" s="23" t="str">
        <f>IF($L193="","",INDEX('Base Exámenes'!$E:$E,$L193))</f>
        <v/>
      </c>
      <c r="H193" s="24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IFERROR(MATCH(SMALL(Cálculos!$AQ$5:$AQ$1000,189),Cálculos!$AQ$5:$AQ$1000,0)+4,"")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23" t="str">
        <f>IF($L194="","",INDEX('Base Exámenes'!$D:$D,$L194))</f>
        <v/>
      </c>
      <c r="G194" s="23" t="str">
        <f>IF($L194="","",INDEX('Base Exámenes'!$E:$E,$L194))</f>
        <v/>
      </c>
      <c r="H194" s="24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IFERROR(MATCH(SMALL(Cálculos!$AQ$5:$AQ$1000,190),Cálculos!$AQ$5:$AQ$1000,0)+4,"")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23" t="str">
        <f>IF($L195="","",INDEX('Base Exámenes'!$D:$D,$L195))</f>
        <v/>
      </c>
      <c r="G195" s="23" t="str">
        <f>IF($L195="","",INDEX('Base Exámenes'!$E:$E,$L195))</f>
        <v/>
      </c>
      <c r="H195" s="24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IFERROR(MATCH(SMALL(Cálculos!$AQ$5:$AQ$1000,191),Cálculos!$AQ$5:$AQ$1000,0)+4,"")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23" t="str">
        <f>IF($L196="","",INDEX('Base Exámenes'!$D:$D,$L196))</f>
        <v/>
      </c>
      <c r="G196" s="23" t="str">
        <f>IF($L196="","",INDEX('Base Exámenes'!$E:$E,$L196))</f>
        <v/>
      </c>
      <c r="H196" s="24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IFERROR(MATCH(SMALL(Cálculos!$AQ$5:$AQ$1000,192),Cálculos!$AQ$5:$AQ$1000,0)+4,"")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23" t="str">
        <f>IF($L197="","",INDEX('Base Exámenes'!$D:$D,$L197))</f>
        <v/>
      </c>
      <c r="G197" s="23" t="str">
        <f>IF($L197="","",INDEX('Base Exámenes'!$E:$E,$L197))</f>
        <v/>
      </c>
      <c r="H197" s="24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IFERROR(MATCH(SMALL(Cálculos!$AQ$5:$AQ$1000,193),Cálculos!$AQ$5:$AQ$1000,0)+4,"")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23" t="str">
        <f>IF($L198="","",INDEX('Base Exámenes'!$D:$D,$L198))</f>
        <v/>
      </c>
      <c r="G198" s="23" t="str">
        <f>IF($L198="","",INDEX('Base Exámenes'!$E:$E,$L198))</f>
        <v/>
      </c>
      <c r="H198" s="24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IFERROR(MATCH(SMALL(Cálculos!$AQ$5:$AQ$1000,194),Cálculos!$AQ$5:$AQ$1000,0)+4,"")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23" t="str">
        <f>IF($L199="","",INDEX('Base Exámenes'!$D:$D,$L199))</f>
        <v/>
      </c>
      <c r="G199" s="23" t="str">
        <f>IF($L199="","",INDEX('Base Exámenes'!$E:$E,$L199))</f>
        <v/>
      </c>
      <c r="H199" s="24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IFERROR(MATCH(SMALL(Cálculos!$AQ$5:$AQ$1000,195),Cálculos!$AQ$5:$AQ$1000,0)+4,"")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23" t="str">
        <f>IF($L200="","",INDEX('Base Exámenes'!$D:$D,$L200))</f>
        <v/>
      </c>
      <c r="G200" s="23" t="str">
        <f>IF($L200="","",INDEX('Base Exámenes'!$E:$E,$L200))</f>
        <v/>
      </c>
      <c r="H200" s="24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IFERROR(MATCH(SMALL(Cálculos!$AQ$5:$AQ$1000,196),Cálculos!$AQ$5:$AQ$1000,0)+4,"")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23" t="str">
        <f>IF($L201="","",INDEX('Base Exámenes'!$D:$D,$L201))</f>
        <v/>
      </c>
      <c r="G201" s="23" t="str">
        <f>IF($L201="","",INDEX('Base Exámenes'!$E:$E,$L201))</f>
        <v/>
      </c>
      <c r="H201" s="24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IFERROR(MATCH(SMALL(Cálculos!$AQ$5:$AQ$1000,197),Cálculos!$AQ$5:$AQ$1000,0)+4,"")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23" t="str">
        <f>IF($L202="","",INDEX('Base Exámenes'!$D:$D,$L202))</f>
        <v/>
      </c>
      <c r="G202" s="23" t="str">
        <f>IF($L202="","",INDEX('Base Exámenes'!$E:$E,$L202))</f>
        <v/>
      </c>
      <c r="H202" s="24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IFERROR(MATCH(SMALL(Cálculos!$AQ$5:$AQ$1000,198),Cálculos!$AQ$5:$AQ$1000,0)+4,"")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23" t="str">
        <f>IF($L203="","",INDEX('Base Exámenes'!$D:$D,$L203))</f>
        <v/>
      </c>
      <c r="G203" s="23" t="str">
        <f>IF($L203="","",INDEX('Base Exámenes'!$E:$E,$L203))</f>
        <v/>
      </c>
      <c r="H203" s="24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IFERROR(MATCH(SMALL(Cálculos!$AQ$5:$AQ$1000,199),Cálculos!$AQ$5:$AQ$1000,0)+4,"")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23" t="str">
        <f>IF($L204="","",INDEX('Base Exámenes'!$D:$D,$L204))</f>
        <v/>
      </c>
      <c r="G204" s="23" t="str">
        <f>IF($L204="","",INDEX('Base Exámenes'!$E:$E,$L204))</f>
        <v/>
      </c>
      <c r="H204" s="24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IFERROR(MATCH(SMALL(Cálculos!$AQ$5:$AQ$1000,200),Cálculos!$AQ$5:$AQ$1000,0)+4,"")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23" t="str">
        <f>IF($L205="","",INDEX('Base Exámenes'!$D:$D,$L205))</f>
        <v/>
      </c>
      <c r="G205" s="23" t="str">
        <f>IF($L205="","",INDEX('Base Exámenes'!$E:$E,$L205))</f>
        <v/>
      </c>
      <c r="H205" s="24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IFERROR(MATCH(SMALL(Cálculos!$AQ$5:$AQ$1000,201),Cálculos!$AQ$5:$AQ$1000,0)+4,"")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23" t="str">
        <f>IF($L206="","",INDEX('Base Exámenes'!$D:$D,$L206))</f>
        <v/>
      </c>
      <c r="G206" s="23" t="str">
        <f>IF($L206="","",INDEX('Base Exámenes'!$E:$E,$L206))</f>
        <v/>
      </c>
      <c r="H206" s="24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IFERROR(MATCH(SMALL(Cálculos!$AQ$5:$AQ$1000,202),Cálculos!$AQ$5:$AQ$1000,0)+4,"")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23" t="str">
        <f>IF($L207="","",INDEX('Base Exámenes'!$D:$D,$L207))</f>
        <v/>
      </c>
      <c r="G207" s="23" t="str">
        <f>IF($L207="","",INDEX('Base Exámenes'!$E:$E,$L207))</f>
        <v/>
      </c>
      <c r="H207" s="24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IFERROR(MATCH(SMALL(Cálculos!$AQ$5:$AQ$1000,203),Cálculos!$AQ$5:$AQ$1000,0)+4,"")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23" t="str">
        <f>IF($L208="","",INDEX('Base Exámenes'!$D:$D,$L208))</f>
        <v/>
      </c>
      <c r="G208" s="23" t="str">
        <f>IF($L208="","",INDEX('Base Exámenes'!$E:$E,$L208))</f>
        <v/>
      </c>
      <c r="H208" s="24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IFERROR(MATCH(SMALL(Cálculos!$AQ$5:$AQ$1000,204),Cálculos!$AQ$5:$AQ$1000,0)+4,"")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23" t="str">
        <f>IF($L209="","",INDEX('Base Exámenes'!$D:$D,$L209))</f>
        <v/>
      </c>
      <c r="G209" s="23" t="str">
        <f>IF($L209="","",INDEX('Base Exámenes'!$E:$E,$L209))</f>
        <v/>
      </c>
      <c r="H209" s="24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IFERROR(MATCH(SMALL(Cálculos!$AQ$5:$AQ$1000,205),Cálculos!$AQ$5:$AQ$1000,0)+4,"")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23" t="str">
        <f>IF($L210="","",INDEX('Base Exámenes'!$D:$D,$L210))</f>
        <v/>
      </c>
      <c r="G210" s="23" t="str">
        <f>IF($L210="","",INDEX('Base Exámenes'!$E:$E,$L210))</f>
        <v/>
      </c>
      <c r="H210" s="24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IFERROR(MATCH(SMALL(Cálculos!$AQ$5:$AQ$1000,206),Cálculos!$AQ$5:$AQ$1000,0)+4,"")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23" t="str">
        <f>IF($L211="","",INDEX('Base Exámenes'!$D:$D,$L211))</f>
        <v/>
      </c>
      <c r="G211" s="23" t="str">
        <f>IF($L211="","",INDEX('Base Exámenes'!$E:$E,$L211))</f>
        <v/>
      </c>
      <c r="H211" s="24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IFERROR(MATCH(SMALL(Cálculos!$AQ$5:$AQ$1000,207),Cálculos!$AQ$5:$AQ$1000,0)+4,"")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23" t="str">
        <f>IF($L212="","",INDEX('Base Exámenes'!$D:$D,$L212))</f>
        <v/>
      </c>
      <c r="G212" s="23" t="str">
        <f>IF($L212="","",INDEX('Base Exámenes'!$E:$E,$L212))</f>
        <v/>
      </c>
      <c r="H212" s="24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IFERROR(MATCH(SMALL(Cálculos!$AQ$5:$AQ$1000,208),Cálculos!$AQ$5:$AQ$1000,0)+4,"")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23" t="str">
        <f>IF($L213="","",INDEX('Base Exámenes'!$D:$D,$L213))</f>
        <v/>
      </c>
      <c r="G213" s="23" t="str">
        <f>IF($L213="","",INDEX('Base Exámenes'!$E:$E,$L213))</f>
        <v/>
      </c>
      <c r="H213" s="24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IFERROR(MATCH(SMALL(Cálculos!$AQ$5:$AQ$1000,209),Cálculos!$AQ$5:$AQ$1000,0)+4,"")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23" t="str">
        <f>IF($L214="","",INDEX('Base Exámenes'!$D:$D,$L214))</f>
        <v/>
      </c>
      <c r="G214" s="23" t="str">
        <f>IF($L214="","",INDEX('Base Exámenes'!$E:$E,$L214))</f>
        <v/>
      </c>
      <c r="H214" s="24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IFERROR(MATCH(SMALL(Cálculos!$AQ$5:$AQ$1000,210),Cálculos!$AQ$5:$AQ$1000,0)+4,"")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23" t="str">
        <f>IF($L215="","",INDEX('Base Exámenes'!$D:$D,$L215))</f>
        <v/>
      </c>
      <c r="G215" s="23" t="str">
        <f>IF($L215="","",INDEX('Base Exámenes'!$E:$E,$L215))</f>
        <v/>
      </c>
      <c r="H215" s="24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IFERROR(MATCH(SMALL(Cálculos!$AQ$5:$AQ$1000,211),Cálculos!$AQ$5:$AQ$1000,0)+4,"")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23" t="str">
        <f>IF($L216="","",INDEX('Base Exámenes'!$D:$D,$L216))</f>
        <v/>
      </c>
      <c r="G216" s="23" t="str">
        <f>IF($L216="","",INDEX('Base Exámenes'!$E:$E,$L216))</f>
        <v/>
      </c>
      <c r="H216" s="24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IFERROR(MATCH(SMALL(Cálculos!$AQ$5:$AQ$1000,212),Cálculos!$AQ$5:$AQ$1000,0)+4,"")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23" t="str">
        <f>IF($L217="","",INDEX('Base Exámenes'!$D:$D,$L217))</f>
        <v/>
      </c>
      <c r="G217" s="23" t="str">
        <f>IF($L217="","",INDEX('Base Exámenes'!$E:$E,$L217))</f>
        <v/>
      </c>
      <c r="H217" s="24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IFERROR(MATCH(SMALL(Cálculos!$AQ$5:$AQ$1000,213),Cálculos!$AQ$5:$AQ$1000,0)+4,"")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23" t="str">
        <f>IF($L218="","",INDEX('Base Exámenes'!$D:$D,$L218))</f>
        <v/>
      </c>
      <c r="G218" s="23" t="str">
        <f>IF($L218="","",INDEX('Base Exámenes'!$E:$E,$L218))</f>
        <v/>
      </c>
      <c r="H218" s="24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IFERROR(MATCH(SMALL(Cálculos!$AQ$5:$AQ$1000,214),Cálculos!$AQ$5:$AQ$1000,0)+4,"")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23" t="str">
        <f>IF($L219="","",INDEX('Base Exámenes'!$D:$D,$L219))</f>
        <v/>
      </c>
      <c r="G219" s="23" t="str">
        <f>IF($L219="","",INDEX('Base Exámenes'!$E:$E,$L219))</f>
        <v/>
      </c>
      <c r="H219" s="24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IFERROR(MATCH(SMALL(Cálculos!$AQ$5:$AQ$1000,215),Cálculos!$AQ$5:$AQ$1000,0)+4,"")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23" t="str">
        <f>IF($L220="","",INDEX('Base Exámenes'!$D:$D,$L220))</f>
        <v/>
      </c>
      <c r="G220" s="23" t="str">
        <f>IF($L220="","",INDEX('Base Exámenes'!$E:$E,$L220))</f>
        <v/>
      </c>
      <c r="H220" s="24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IFERROR(MATCH(SMALL(Cálculos!$AQ$5:$AQ$1000,216),Cálculos!$AQ$5:$AQ$1000,0)+4,"")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23" t="str">
        <f>IF($L221="","",INDEX('Base Exámenes'!$D:$D,$L221))</f>
        <v/>
      </c>
      <c r="G221" s="23" t="str">
        <f>IF($L221="","",INDEX('Base Exámenes'!$E:$E,$L221))</f>
        <v/>
      </c>
      <c r="H221" s="24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IFERROR(MATCH(SMALL(Cálculos!$AQ$5:$AQ$1000,217),Cálculos!$AQ$5:$AQ$1000,0)+4,"")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23" t="str">
        <f>IF($L222="","",INDEX('Base Exámenes'!$D:$D,$L222))</f>
        <v/>
      </c>
      <c r="G222" s="23" t="str">
        <f>IF($L222="","",INDEX('Base Exámenes'!$E:$E,$L222))</f>
        <v/>
      </c>
      <c r="H222" s="24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IFERROR(MATCH(SMALL(Cálculos!$AQ$5:$AQ$1000,218),Cálculos!$AQ$5:$AQ$1000,0)+4,"")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23" t="str">
        <f>IF($L223="","",INDEX('Base Exámenes'!$D:$D,$L223))</f>
        <v/>
      </c>
      <c r="G223" s="23" t="str">
        <f>IF($L223="","",INDEX('Base Exámenes'!$E:$E,$L223))</f>
        <v/>
      </c>
      <c r="H223" s="24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IFERROR(MATCH(SMALL(Cálculos!$AQ$5:$AQ$1000,219),Cálculos!$AQ$5:$AQ$1000,0)+4,"")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23" t="str">
        <f>IF($L224="","",INDEX('Base Exámenes'!$D:$D,$L224))</f>
        <v/>
      </c>
      <c r="G224" s="23" t="str">
        <f>IF($L224="","",INDEX('Base Exámenes'!$E:$E,$L224))</f>
        <v/>
      </c>
      <c r="H224" s="24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IFERROR(MATCH(SMALL(Cálculos!$AQ$5:$AQ$1000,220),Cálculos!$AQ$5:$AQ$1000,0)+4,"")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23" t="str">
        <f>IF($L225="","",INDEX('Base Exámenes'!$D:$D,$L225))</f>
        <v/>
      </c>
      <c r="G225" s="23" t="str">
        <f>IF($L225="","",INDEX('Base Exámenes'!$E:$E,$L225))</f>
        <v/>
      </c>
      <c r="H225" s="24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IFERROR(MATCH(SMALL(Cálculos!$AQ$5:$AQ$1000,221),Cálculos!$AQ$5:$AQ$1000,0)+4,"")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23" t="str">
        <f>IF($L226="","",INDEX('Base Exámenes'!$D:$D,$L226))</f>
        <v/>
      </c>
      <c r="G226" s="23" t="str">
        <f>IF($L226="","",INDEX('Base Exámenes'!$E:$E,$L226))</f>
        <v/>
      </c>
      <c r="H226" s="24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IFERROR(MATCH(SMALL(Cálculos!$AQ$5:$AQ$1000,222),Cálculos!$AQ$5:$AQ$1000,0)+4,"")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23" t="str">
        <f>IF($L227="","",INDEX('Base Exámenes'!$D:$D,$L227))</f>
        <v/>
      </c>
      <c r="G227" s="23" t="str">
        <f>IF($L227="","",INDEX('Base Exámenes'!$E:$E,$L227))</f>
        <v/>
      </c>
      <c r="H227" s="24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IFERROR(MATCH(SMALL(Cálculos!$AQ$5:$AQ$1000,223),Cálculos!$AQ$5:$AQ$1000,0)+4,"")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23" t="str">
        <f>IF($L228="","",INDEX('Base Exámenes'!$D:$D,$L228))</f>
        <v/>
      </c>
      <c r="G228" s="23" t="str">
        <f>IF($L228="","",INDEX('Base Exámenes'!$E:$E,$L228))</f>
        <v/>
      </c>
      <c r="H228" s="24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IFERROR(MATCH(SMALL(Cálculos!$AQ$5:$AQ$1000,224),Cálculos!$AQ$5:$AQ$1000,0)+4,"")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23" t="str">
        <f>IF($L229="","",INDEX('Base Exámenes'!$D:$D,$L229))</f>
        <v/>
      </c>
      <c r="G229" s="23" t="str">
        <f>IF($L229="","",INDEX('Base Exámenes'!$E:$E,$L229))</f>
        <v/>
      </c>
      <c r="H229" s="24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IFERROR(MATCH(SMALL(Cálculos!$AQ$5:$AQ$1000,225),Cálculos!$AQ$5:$AQ$1000,0)+4,"")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23" t="str">
        <f>IF($L230="","",INDEX('Base Exámenes'!$D:$D,$L230))</f>
        <v/>
      </c>
      <c r="G230" s="23" t="str">
        <f>IF($L230="","",INDEX('Base Exámenes'!$E:$E,$L230))</f>
        <v/>
      </c>
      <c r="H230" s="24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IFERROR(MATCH(SMALL(Cálculos!$AQ$5:$AQ$1000,226),Cálculos!$AQ$5:$AQ$1000,0)+4,"")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23" t="str">
        <f>IF($L231="","",INDEX('Base Exámenes'!$D:$D,$L231))</f>
        <v/>
      </c>
      <c r="G231" s="23" t="str">
        <f>IF($L231="","",INDEX('Base Exámenes'!$E:$E,$L231))</f>
        <v/>
      </c>
      <c r="H231" s="24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IFERROR(MATCH(SMALL(Cálculos!$AQ$5:$AQ$1000,227),Cálculos!$AQ$5:$AQ$1000,0)+4,"")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23" t="str">
        <f>IF($L232="","",INDEX('Base Exámenes'!$D:$D,$L232))</f>
        <v/>
      </c>
      <c r="G232" s="23" t="str">
        <f>IF($L232="","",INDEX('Base Exámenes'!$E:$E,$L232))</f>
        <v/>
      </c>
      <c r="H232" s="24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IFERROR(MATCH(SMALL(Cálculos!$AQ$5:$AQ$1000,228),Cálculos!$AQ$5:$AQ$1000,0)+4,"")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23" t="str">
        <f>IF($L233="","",INDEX('Base Exámenes'!$D:$D,$L233))</f>
        <v/>
      </c>
      <c r="G233" s="23" t="str">
        <f>IF($L233="","",INDEX('Base Exámenes'!$E:$E,$L233))</f>
        <v/>
      </c>
      <c r="H233" s="24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IFERROR(MATCH(SMALL(Cálculos!$AQ$5:$AQ$1000,229),Cálculos!$AQ$5:$AQ$1000,0)+4,"")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23" t="str">
        <f>IF($L234="","",INDEX('Base Exámenes'!$D:$D,$L234))</f>
        <v/>
      </c>
      <c r="G234" s="23" t="str">
        <f>IF($L234="","",INDEX('Base Exámenes'!$E:$E,$L234))</f>
        <v/>
      </c>
      <c r="H234" s="24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IFERROR(MATCH(SMALL(Cálculos!$AQ$5:$AQ$1000,230),Cálculos!$AQ$5:$AQ$1000,0)+4,"")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23" t="str">
        <f>IF($L235="","",INDEX('Base Exámenes'!$D:$D,$L235))</f>
        <v/>
      </c>
      <c r="G235" s="23" t="str">
        <f>IF($L235="","",INDEX('Base Exámenes'!$E:$E,$L235))</f>
        <v/>
      </c>
      <c r="H235" s="24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IFERROR(MATCH(SMALL(Cálculos!$AQ$5:$AQ$1000,231),Cálculos!$AQ$5:$AQ$1000,0)+4,"")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23" t="str">
        <f>IF($L236="","",INDEX('Base Exámenes'!$D:$D,$L236))</f>
        <v/>
      </c>
      <c r="G236" s="23" t="str">
        <f>IF($L236="","",INDEX('Base Exámenes'!$E:$E,$L236))</f>
        <v/>
      </c>
      <c r="H236" s="24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IFERROR(MATCH(SMALL(Cálculos!$AQ$5:$AQ$1000,232),Cálculos!$AQ$5:$AQ$1000,0)+4,"")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23" t="str">
        <f>IF($L237="","",INDEX('Base Exámenes'!$D:$D,$L237))</f>
        <v/>
      </c>
      <c r="G237" s="23" t="str">
        <f>IF($L237="","",INDEX('Base Exámenes'!$E:$E,$L237))</f>
        <v/>
      </c>
      <c r="H237" s="24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IFERROR(MATCH(SMALL(Cálculos!$AQ$5:$AQ$1000,233),Cálculos!$AQ$5:$AQ$1000,0)+4,"")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23" t="str">
        <f>IF($L238="","",INDEX('Base Exámenes'!$D:$D,$L238))</f>
        <v/>
      </c>
      <c r="G238" s="23" t="str">
        <f>IF($L238="","",INDEX('Base Exámenes'!$E:$E,$L238))</f>
        <v/>
      </c>
      <c r="H238" s="24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IFERROR(MATCH(SMALL(Cálculos!$AQ$5:$AQ$1000,234),Cálculos!$AQ$5:$AQ$1000,0)+4,"")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23" t="str">
        <f>IF($L239="","",INDEX('Base Exámenes'!$D:$D,$L239))</f>
        <v/>
      </c>
      <c r="G239" s="23" t="str">
        <f>IF($L239="","",INDEX('Base Exámenes'!$E:$E,$L239))</f>
        <v/>
      </c>
      <c r="H239" s="24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IFERROR(MATCH(SMALL(Cálculos!$AQ$5:$AQ$1000,235),Cálculos!$AQ$5:$AQ$1000,0)+4,"")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23" t="str">
        <f>IF($L240="","",INDEX('Base Exámenes'!$D:$D,$L240))</f>
        <v/>
      </c>
      <c r="G240" s="23" t="str">
        <f>IF($L240="","",INDEX('Base Exámenes'!$E:$E,$L240))</f>
        <v/>
      </c>
      <c r="H240" s="24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IFERROR(MATCH(SMALL(Cálculos!$AQ$5:$AQ$1000,236),Cálculos!$AQ$5:$AQ$1000,0)+4,"")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23" t="str">
        <f>IF($L241="","",INDEX('Base Exámenes'!$D:$D,$L241))</f>
        <v/>
      </c>
      <c r="G241" s="23" t="str">
        <f>IF($L241="","",INDEX('Base Exámenes'!$E:$E,$L241))</f>
        <v/>
      </c>
      <c r="H241" s="24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IFERROR(MATCH(SMALL(Cálculos!$AQ$5:$AQ$1000,237),Cálculos!$AQ$5:$AQ$1000,0)+4,"")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23" t="str">
        <f>IF($L242="","",INDEX('Base Exámenes'!$D:$D,$L242))</f>
        <v/>
      </c>
      <c r="G242" s="23" t="str">
        <f>IF($L242="","",INDEX('Base Exámenes'!$E:$E,$L242))</f>
        <v/>
      </c>
      <c r="H242" s="24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IFERROR(MATCH(SMALL(Cálculos!$AQ$5:$AQ$1000,238),Cálculos!$AQ$5:$AQ$1000,0)+4,"")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23" t="str">
        <f>IF($L243="","",INDEX('Base Exámenes'!$D:$D,$L243))</f>
        <v/>
      </c>
      <c r="G243" s="23" t="str">
        <f>IF($L243="","",INDEX('Base Exámenes'!$E:$E,$L243))</f>
        <v/>
      </c>
      <c r="H243" s="24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IFERROR(MATCH(SMALL(Cálculos!$AQ$5:$AQ$1000,239),Cálculos!$AQ$5:$AQ$1000,0)+4,"")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23" t="str">
        <f>IF($L244="","",INDEX('Base Exámenes'!$D:$D,$L244))</f>
        <v/>
      </c>
      <c r="G244" s="23" t="str">
        <f>IF($L244="","",INDEX('Base Exámenes'!$E:$E,$L244))</f>
        <v/>
      </c>
      <c r="H244" s="24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IFERROR(MATCH(SMALL(Cálculos!$AQ$5:$AQ$1000,240),Cálculos!$AQ$5:$AQ$1000,0)+4,"")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23" t="str">
        <f>IF($L245="","",INDEX('Base Exámenes'!$D:$D,$L245))</f>
        <v/>
      </c>
      <c r="G245" s="23" t="str">
        <f>IF($L245="","",INDEX('Base Exámenes'!$E:$E,$L245))</f>
        <v/>
      </c>
      <c r="H245" s="24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IFERROR(MATCH(SMALL(Cálculos!$AQ$5:$AQ$1000,241),Cálculos!$AQ$5:$AQ$1000,0)+4,"")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23" t="str">
        <f>IF($L246="","",INDEX('Base Exámenes'!$D:$D,$L246))</f>
        <v/>
      </c>
      <c r="G246" s="23" t="str">
        <f>IF($L246="","",INDEX('Base Exámenes'!$E:$E,$L246))</f>
        <v/>
      </c>
      <c r="H246" s="24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IFERROR(MATCH(SMALL(Cálculos!$AQ$5:$AQ$1000,242),Cálculos!$AQ$5:$AQ$1000,0)+4,"")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23" t="str">
        <f>IF($L247="","",INDEX('Base Exámenes'!$D:$D,$L247))</f>
        <v/>
      </c>
      <c r="G247" s="23" t="str">
        <f>IF($L247="","",INDEX('Base Exámenes'!$E:$E,$L247))</f>
        <v/>
      </c>
      <c r="H247" s="24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IFERROR(MATCH(SMALL(Cálculos!$AQ$5:$AQ$1000,243),Cálculos!$AQ$5:$AQ$1000,0)+4,"")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23" t="str">
        <f>IF($L248="","",INDEX('Base Exámenes'!$D:$D,$L248))</f>
        <v/>
      </c>
      <c r="G248" s="23" t="str">
        <f>IF($L248="","",INDEX('Base Exámenes'!$E:$E,$L248))</f>
        <v/>
      </c>
      <c r="H248" s="24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IFERROR(MATCH(SMALL(Cálculos!$AQ$5:$AQ$1000,244),Cálculos!$AQ$5:$AQ$1000,0)+4,"")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23" t="str">
        <f>IF($L249="","",INDEX('Base Exámenes'!$D:$D,$L249))</f>
        <v/>
      </c>
      <c r="G249" s="23" t="str">
        <f>IF($L249="","",INDEX('Base Exámenes'!$E:$E,$L249))</f>
        <v/>
      </c>
      <c r="H249" s="24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IFERROR(MATCH(SMALL(Cálculos!$AQ$5:$AQ$1000,245),Cálculos!$AQ$5:$AQ$1000,0)+4,"")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23" t="str">
        <f>IF($L250="","",INDEX('Base Exámenes'!$D:$D,$L250))</f>
        <v/>
      </c>
      <c r="G250" s="23" t="str">
        <f>IF($L250="","",INDEX('Base Exámenes'!$E:$E,$L250))</f>
        <v/>
      </c>
      <c r="H250" s="24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IFERROR(MATCH(SMALL(Cálculos!$AQ$5:$AQ$1000,246),Cálculos!$AQ$5:$AQ$1000,0)+4,"")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23" t="str">
        <f>IF($L251="","",INDEX('Base Exámenes'!$D:$D,$L251))</f>
        <v/>
      </c>
      <c r="G251" s="23" t="str">
        <f>IF($L251="","",INDEX('Base Exámenes'!$E:$E,$L251))</f>
        <v/>
      </c>
      <c r="H251" s="24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IFERROR(MATCH(SMALL(Cálculos!$AQ$5:$AQ$1000,247),Cálculos!$AQ$5:$AQ$1000,0)+4,"")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23" t="str">
        <f>IF($L252="","",INDEX('Base Exámenes'!$D:$D,$L252))</f>
        <v/>
      </c>
      <c r="G252" s="23" t="str">
        <f>IF($L252="","",INDEX('Base Exámenes'!$E:$E,$L252))</f>
        <v/>
      </c>
      <c r="H252" s="24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IFERROR(MATCH(SMALL(Cálculos!$AQ$5:$AQ$1000,248),Cálculos!$AQ$5:$AQ$1000,0)+4,"")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23" t="str">
        <f>IF($L253="","",INDEX('Base Exámenes'!$D:$D,$L253))</f>
        <v/>
      </c>
      <c r="G253" s="23" t="str">
        <f>IF($L253="","",INDEX('Base Exámenes'!$E:$E,$L253))</f>
        <v/>
      </c>
      <c r="H253" s="24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IFERROR(MATCH(SMALL(Cálculos!$AQ$5:$AQ$1000,249),Cálculos!$AQ$5:$AQ$1000,0)+4,"")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23" t="str">
        <f>IF($L254="","",INDEX('Base Exámenes'!$D:$D,$L254))</f>
        <v/>
      </c>
      <c r="G254" s="23" t="str">
        <f>IF($L254="","",INDEX('Base Exámenes'!$E:$E,$L254))</f>
        <v/>
      </c>
      <c r="H254" s="24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IFERROR(MATCH(SMALL(Cálculos!$AQ$5:$AQ$1000,250),Cálculos!$AQ$5:$AQ$1000,0)+4,"")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23" t="str">
        <f>IF($L255="","",INDEX('Base Exámenes'!$D:$D,$L255))</f>
        <v/>
      </c>
      <c r="G255" s="23" t="str">
        <f>IF($L255="","",INDEX('Base Exámenes'!$E:$E,$L255))</f>
        <v/>
      </c>
      <c r="H255" s="24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IFERROR(MATCH(SMALL(Cálculos!$AQ$5:$AQ$1000,251),Cálculos!$AQ$5:$AQ$1000,0)+4,"")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23" t="str">
        <f>IF($L256="","",INDEX('Base Exámenes'!$D:$D,$L256))</f>
        <v/>
      </c>
      <c r="G256" s="23" t="str">
        <f>IF($L256="","",INDEX('Base Exámenes'!$E:$E,$L256))</f>
        <v/>
      </c>
      <c r="H256" s="24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IFERROR(MATCH(SMALL(Cálculos!$AQ$5:$AQ$1000,252),Cálculos!$AQ$5:$AQ$1000,0)+4,"")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23" t="str">
        <f>IF($L257="","",INDEX('Base Exámenes'!$D:$D,$L257))</f>
        <v/>
      </c>
      <c r="G257" s="23" t="str">
        <f>IF($L257="","",INDEX('Base Exámenes'!$E:$E,$L257))</f>
        <v/>
      </c>
      <c r="H257" s="24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IFERROR(MATCH(SMALL(Cálculos!$AQ$5:$AQ$1000,253),Cálculos!$AQ$5:$AQ$1000,0)+4,"")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23" t="str">
        <f>IF($L258="","",INDEX('Base Exámenes'!$D:$D,$L258))</f>
        <v/>
      </c>
      <c r="G258" s="23" t="str">
        <f>IF($L258="","",INDEX('Base Exámenes'!$E:$E,$L258))</f>
        <v/>
      </c>
      <c r="H258" s="24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IFERROR(MATCH(SMALL(Cálculos!$AQ$5:$AQ$1000,254),Cálculos!$AQ$5:$AQ$1000,0)+4,"")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23" t="str">
        <f>IF($L259="","",INDEX('Base Exámenes'!$D:$D,$L259))</f>
        <v/>
      </c>
      <c r="G259" s="23" t="str">
        <f>IF($L259="","",INDEX('Base Exámenes'!$E:$E,$L259))</f>
        <v/>
      </c>
      <c r="H259" s="24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IFERROR(MATCH(SMALL(Cálculos!$AQ$5:$AQ$1000,255),Cálculos!$AQ$5:$AQ$1000,0)+4,"")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23" t="str">
        <f>IF($L260="","",INDEX('Base Exámenes'!$D:$D,$L260))</f>
        <v/>
      </c>
      <c r="G260" s="23" t="str">
        <f>IF($L260="","",INDEX('Base Exámenes'!$E:$E,$L260))</f>
        <v/>
      </c>
      <c r="H260" s="24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IFERROR(MATCH(SMALL(Cálculos!$AQ$5:$AQ$1000,256),Cálculos!$AQ$5:$AQ$1000,0)+4,"")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23" t="str">
        <f>IF($L261="","",INDEX('Base Exámenes'!$D:$D,$L261))</f>
        <v/>
      </c>
      <c r="G261" s="23" t="str">
        <f>IF($L261="","",INDEX('Base Exámenes'!$E:$E,$L261))</f>
        <v/>
      </c>
      <c r="H261" s="24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IFERROR(MATCH(SMALL(Cálculos!$AQ$5:$AQ$1000,257),Cálculos!$AQ$5:$AQ$1000,0)+4,"")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23" t="str">
        <f>IF($L262="","",INDEX('Base Exámenes'!$D:$D,$L262))</f>
        <v/>
      </c>
      <c r="G262" s="23" t="str">
        <f>IF($L262="","",INDEX('Base Exámenes'!$E:$E,$L262))</f>
        <v/>
      </c>
      <c r="H262" s="24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IFERROR(MATCH(SMALL(Cálculos!$AQ$5:$AQ$1000,258),Cálculos!$AQ$5:$AQ$1000,0)+4,"")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23" t="str">
        <f>IF($L263="","",INDEX('Base Exámenes'!$D:$D,$L263))</f>
        <v/>
      </c>
      <c r="G263" s="23" t="str">
        <f>IF($L263="","",INDEX('Base Exámenes'!$E:$E,$L263))</f>
        <v/>
      </c>
      <c r="H263" s="24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IFERROR(MATCH(SMALL(Cálculos!$AQ$5:$AQ$1000,259),Cálculos!$AQ$5:$AQ$1000,0)+4,"")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23" t="str">
        <f>IF($L264="","",INDEX('Base Exámenes'!$D:$D,$L264))</f>
        <v/>
      </c>
      <c r="G264" s="23" t="str">
        <f>IF($L264="","",INDEX('Base Exámenes'!$E:$E,$L264))</f>
        <v/>
      </c>
      <c r="H264" s="24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IFERROR(MATCH(SMALL(Cálculos!$AQ$5:$AQ$1000,260),Cálculos!$AQ$5:$AQ$1000,0)+4,"")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23" t="str">
        <f>IF($L265="","",INDEX('Base Exámenes'!$D:$D,$L265))</f>
        <v/>
      </c>
      <c r="G265" s="23" t="str">
        <f>IF($L265="","",INDEX('Base Exámenes'!$E:$E,$L265))</f>
        <v/>
      </c>
      <c r="H265" s="24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IFERROR(MATCH(SMALL(Cálculos!$AQ$5:$AQ$1000,261),Cálculos!$AQ$5:$AQ$1000,0)+4,"")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23" t="str">
        <f>IF($L266="","",INDEX('Base Exámenes'!$D:$D,$L266))</f>
        <v/>
      </c>
      <c r="G266" s="23" t="str">
        <f>IF($L266="","",INDEX('Base Exámenes'!$E:$E,$L266))</f>
        <v/>
      </c>
      <c r="H266" s="24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IFERROR(MATCH(SMALL(Cálculos!$AQ$5:$AQ$1000,262),Cálculos!$AQ$5:$AQ$1000,0)+4,"")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23" t="str">
        <f>IF($L267="","",INDEX('Base Exámenes'!$D:$D,$L267))</f>
        <v/>
      </c>
      <c r="G267" s="23" t="str">
        <f>IF($L267="","",INDEX('Base Exámenes'!$E:$E,$L267))</f>
        <v/>
      </c>
      <c r="H267" s="24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IFERROR(MATCH(SMALL(Cálculos!$AQ$5:$AQ$1000,263),Cálculos!$AQ$5:$AQ$1000,0)+4,"")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23" t="str">
        <f>IF($L268="","",INDEX('Base Exámenes'!$D:$D,$L268))</f>
        <v/>
      </c>
      <c r="G268" s="23" t="str">
        <f>IF($L268="","",INDEX('Base Exámenes'!$E:$E,$L268))</f>
        <v/>
      </c>
      <c r="H268" s="24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IFERROR(MATCH(SMALL(Cálculos!$AQ$5:$AQ$1000,264),Cálculos!$AQ$5:$AQ$1000,0)+4,"")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23" t="str">
        <f>IF($L269="","",INDEX('Base Exámenes'!$D:$D,$L269))</f>
        <v/>
      </c>
      <c r="G269" s="23" t="str">
        <f>IF($L269="","",INDEX('Base Exámenes'!$E:$E,$L269))</f>
        <v/>
      </c>
      <c r="H269" s="24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IFERROR(MATCH(SMALL(Cálculos!$AQ$5:$AQ$1000,265),Cálculos!$AQ$5:$AQ$1000,0)+4,"")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23" t="str">
        <f>IF($L270="","",INDEX('Base Exámenes'!$D:$D,$L270))</f>
        <v/>
      </c>
      <c r="G270" s="23" t="str">
        <f>IF($L270="","",INDEX('Base Exámenes'!$E:$E,$L270))</f>
        <v/>
      </c>
      <c r="H270" s="24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IFERROR(MATCH(SMALL(Cálculos!$AQ$5:$AQ$1000,266),Cálculos!$AQ$5:$AQ$1000,0)+4,"")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23" t="str">
        <f>IF($L271="","",INDEX('Base Exámenes'!$D:$D,$L271))</f>
        <v/>
      </c>
      <c r="G271" s="23" t="str">
        <f>IF($L271="","",INDEX('Base Exámenes'!$E:$E,$L271))</f>
        <v/>
      </c>
      <c r="H271" s="24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IFERROR(MATCH(SMALL(Cálculos!$AQ$5:$AQ$1000,267),Cálculos!$AQ$5:$AQ$1000,0)+4,"")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23" t="str">
        <f>IF($L272="","",INDEX('Base Exámenes'!$D:$D,$L272))</f>
        <v/>
      </c>
      <c r="G272" s="23" t="str">
        <f>IF($L272="","",INDEX('Base Exámenes'!$E:$E,$L272))</f>
        <v/>
      </c>
      <c r="H272" s="24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IFERROR(MATCH(SMALL(Cálculos!$AQ$5:$AQ$1000,268),Cálculos!$AQ$5:$AQ$1000,0)+4,"")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23" t="str">
        <f>IF($L273="","",INDEX('Base Exámenes'!$D:$D,$L273))</f>
        <v/>
      </c>
      <c r="G273" s="23" t="str">
        <f>IF($L273="","",INDEX('Base Exámenes'!$E:$E,$L273))</f>
        <v/>
      </c>
      <c r="H273" s="24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IFERROR(MATCH(SMALL(Cálculos!$AQ$5:$AQ$1000,269),Cálculos!$AQ$5:$AQ$1000,0)+4,"")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23" t="str">
        <f>IF($L274="","",INDEX('Base Exámenes'!$D:$D,$L274))</f>
        <v/>
      </c>
      <c r="G274" s="23" t="str">
        <f>IF($L274="","",INDEX('Base Exámenes'!$E:$E,$L274))</f>
        <v/>
      </c>
      <c r="H274" s="24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IFERROR(MATCH(SMALL(Cálculos!$AQ$5:$AQ$1000,270),Cálculos!$AQ$5:$AQ$1000,0)+4,"")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23" t="str">
        <f>IF($L275="","",INDEX('Base Exámenes'!$D:$D,$L275))</f>
        <v/>
      </c>
      <c r="G275" s="23" t="str">
        <f>IF($L275="","",INDEX('Base Exámenes'!$E:$E,$L275))</f>
        <v/>
      </c>
      <c r="H275" s="24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IFERROR(MATCH(SMALL(Cálculos!$AQ$5:$AQ$1000,271),Cálculos!$AQ$5:$AQ$1000,0)+4,"")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23" t="str">
        <f>IF($L276="","",INDEX('Base Exámenes'!$D:$D,$L276))</f>
        <v/>
      </c>
      <c r="G276" s="23" t="str">
        <f>IF($L276="","",INDEX('Base Exámenes'!$E:$E,$L276))</f>
        <v/>
      </c>
      <c r="H276" s="24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IFERROR(MATCH(SMALL(Cálculos!$AQ$5:$AQ$1000,272),Cálculos!$AQ$5:$AQ$1000,0)+4,"")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23" t="str">
        <f>IF($L277="","",INDEX('Base Exámenes'!$D:$D,$L277))</f>
        <v/>
      </c>
      <c r="G277" s="23" t="str">
        <f>IF($L277="","",INDEX('Base Exámenes'!$E:$E,$L277))</f>
        <v/>
      </c>
      <c r="H277" s="24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IFERROR(MATCH(SMALL(Cálculos!$AQ$5:$AQ$1000,273),Cálculos!$AQ$5:$AQ$1000,0)+4,"")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23" t="str">
        <f>IF($L278="","",INDEX('Base Exámenes'!$D:$D,$L278))</f>
        <v/>
      </c>
      <c r="G278" s="23" t="str">
        <f>IF($L278="","",INDEX('Base Exámenes'!$E:$E,$L278))</f>
        <v/>
      </c>
      <c r="H278" s="24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IFERROR(MATCH(SMALL(Cálculos!$AQ$5:$AQ$1000,274),Cálculos!$AQ$5:$AQ$1000,0)+4,"")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23" t="str">
        <f>IF($L279="","",INDEX('Base Exámenes'!$D:$D,$L279))</f>
        <v/>
      </c>
      <c r="G279" s="23" t="str">
        <f>IF($L279="","",INDEX('Base Exámenes'!$E:$E,$L279))</f>
        <v/>
      </c>
      <c r="H279" s="24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IFERROR(MATCH(SMALL(Cálculos!$AQ$5:$AQ$1000,275),Cálculos!$AQ$5:$AQ$1000,0)+4,"")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23" t="str">
        <f>IF($L280="","",INDEX('Base Exámenes'!$D:$D,$L280))</f>
        <v/>
      </c>
      <c r="G280" s="23" t="str">
        <f>IF($L280="","",INDEX('Base Exámenes'!$E:$E,$L280))</f>
        <v/>
      </c>
      <c r="H280" s="24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IFERROR(MATCH(SMALL(Cálculos!$AQ$5:$AQ$1000,276),Cálculos!$AQ$5:$AQ$1000,0)+4,"")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23" t="str">
        <f>IF($L281="","",INDEX('Base Exámenes'!$D:$D,$L281))</f>
        <v/>
      </c>
      <c r="G281" s="23" t="str">
        <f>IF($L281="","",INDEX('Base Exámenes'!$E:$E,$L281))</f>
        <v/>
      </c>
      <c r="H281" s="24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IFERROR(MATCH(SMALL(Cálculos!$AQ$5:$AQ$1000,277),Cálculos!$AQ$5:$AQ$1000,0)+4,"")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23" t="str">
        <f>IF($L282="","",INDEX('Base Exámenes'!$D:$D,$L282))</f>
        <v/>
      </c>
      <c r="G282" s="23" t="str">
        <f>IF($L282="","",INDEX('Base Exámenes'!$E:$E,$L282))</f>
        <v/>
      </c>
      <c r="H282" s="24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IFERROR(MATCH(SMALL(Cálculos!$AQ$5:$AQ$1000,278),Cálculos!$AQ$5:$AQ$1000,0)+4,"")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23" t="str">
        <f>IF($L283="","",INDEX('Base Exámenes'!$D:$D,$L283))</f>
        <v/>
      </c>
      <c r="G283" s="23" t="str">
        <f>IF($L283="","",INDEX('Base Exámenes'!$E:$E,$L283))</f>
        <v/>
      </c>
      <c r="H283" s="24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IFERROR(MATCH(SMALL(Cálculos!$AQ$5:$AQ$1000,279),Cálculos!$AQ$5:$AQ$1000,0)+4,"")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23" t="str">
        <f>IF($L284="","",INDEX('Base Exámenes'!$D:$D,$L284))</f>
        <v/>
      </c>
      <c r="G284" s="23" t="str">
        <f>IF($L284="","",INDEX('Base Exámenes'!$E:$E,$L284))</f>
        <v/>
      </c>
      <c r="H284" s="24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IFERROR(MATCH(SMALL(Cálculos!$AQ$5:$AQ$1000,280),Cálculos!$AQ$5:$AQ$1000,0)+4,"")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23" t="str">
        <f>IF($L285="","",INDEX('Base Exámenes'!$D:$D,$L285))</f>
        <v/>
      </c>
      <c r="G285" s="23" t="str">
        <f>IF($L285="","",INDEX('Base Exámenes'!$E:$E,$L285))</f>
        <v/>
      </c>
      <c r="H285" s="24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IFERROR(MATCH(SMALL(Cálculos!$AQ$5:$AQ$1000,281),Cálculos!$AQ$5:$AQ$1000,0)+4,"")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23" t="str">
        <f>IF($L286="","",INDEX('Base Exámenes'!$D:$D,$L286))</f>
        <v/>
      </c>
      <c r="G286" s="23" t="str">
        <f>IF($L286="","",INDEX('Base Exámenes'!$E:$E,$L286))</f>
        <v/>
      </c>
      <c r="H286" s="24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IFERROR(MATCH(SMALL(Cálculos!$AQ$5:$AQ$1000,282),Cálculos!$AQ$5:$AQ$1000,0)+4,"")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23" t="str">
        <f>IF($L287="","",INDEX('Base Exámenes'!$D:$D,$L287))</f>
        <v/>
      </c>
      <c r="G287" s="23" t="str">
        <f>IF($L287="","",INDEX('Base Exámenes'!$E:$E,$L287))</f>
        <v/>
      </c>
      <c r="H287" s="24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IFERROR(MATCH(SMALL(Cálculos!$AQ$5:$AQ$1000,283),Cálculos!$AQ$5:$AQ$1000,0)+4,"")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23" t="str">
        <f>IF($L288="","",INDEX('Base Exámenes'!$D:$D,$L288))</f>
        <v/>
      </c>
      <c r="G288" s="23" t="str">
        <f>IF($L288="","",INDEX('Base Exámenes'!$E:$E,$L288))</f>
        <v/>
      </c>
      <c r="H288" s="24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IFERROR(MATCH(SMALL(Cálculos!$AQ$5:$AQ$1000,284),Cálculos!$AQ$5:$AQ$1000,0)+4,"")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23" t="str">
        <f>IF($L289="","",INDEX('Base Exámenes'!$D:$D,$L289))</f>
        <v/>
      </c>
      <c r="G289" s="23" t="str">
        <f>IF($L289="","",INDEX('Base Exámenes'!$E:$E,$L289))</f>
        <v/>
      </c>
      <c r="H289" s="24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IFERROR(MATCH(SMALL(Cálculos!$AQ$5:$AQ$1000,285),Cálculos!$AQ$5:$AQ$1000,0)+4,"")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23" t="str">
        <f>IF($L290="","",INDEX('Base Exámenes'!$D:$D,$L290))</f>
        <v/>
      </c>
      <c r="G290" s="23" t="str">
        <f>IF($L290="","",INDEX('Base Exámenes'!$E:$E,$L290))</f>
        <v/>
      </c>
      <c r="H290" s="24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IFERROR(MATCH(SMALL(Cálculos!$AQ$5:$AQ$1000,286),Cálculos!$AQ$5:$AQ$1000,0)+4,"")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23" t="str">
        <f>IF($L291="","",INDEX('Base Exámenes'!$D:$D,$L291))</f>
        <v/>
      </c>
      <c r="G291" s="23" t="str">
        <f>IF($L291="","",INDEX('Base Exámenes'!$E:$E,$L291))</f>
        <v/>
      </c>
      <c r="H291" s="24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IFERROR(MATCH(SMALL(Cálculos!$AQ$5:$AQ$1000,287),Cálculos!$AQ$5:$AQ$1000,0)+4,"")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23" t="str">
        <f>IF($L292="","",INDEX('Base Exámenes'!$D:$D,$L292))</f>
        <v/>
      </c>
      <c r="G292" s="23" t="str">
        <f>IF($L292="","",INDEX('Base Exámenes'!$E:$E,$L292))</f>
        <v/>
      </c>
      <c r="H292" s="24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IFERROR(MATCH(SMALL(Cálculos!$AQ$5:$AQ$1000,288),Cálculos!$AQ$5:$AQ$1000,0)+4,"")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23" t="str">
        <f>IF($L293="","",INDEX('Base Exámenes'!$D:$D,$L293))</f>
        <v/>
      </c>
      <c r="G293" s="23" t="str">
        <f>IF($L293="","",INDEX('Base Exámenes'!$E:$E,$L293))</f>
        <v/>
      </c>
      <c r="H293" s="24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IFERROR(MATCH(SMALL(Cálculos!$AQ$5:$AQ$1000,289),Cálculos!$AQ$5:$AQ$1000,0)+4,"")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23" t="str">
        <f>IF($L294="","",INDEX('Base Exámenes'!$D:$D,$L294))</f>
        <v/>
      </c>
      <c r="G294" s="23" t="str">
        <f>IF($L294="","",INDEX('Base Exámenes'!$E:$E,$L294))</f>
        <v/>
      </c>
      <c r="H294" s="24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IFERROR(MATCH(SMALL(Cálculos!$AQ$5:$AQ$1000,290),Cálculos!$AQ$5:$AQ$1000,0)+4,"")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23" t="str">
        <f>IF($L295="","",INDEX('Base Exámenes'!$D:$D,$L295))</f>
        <v/>
      </c>
      <c r="G295" s="23" t="str">
        <f>IF($L295="","",INDEX('Base Exámenes'!$E:$E,$L295))</f>
        <v/>
      </c>
      <c r="H295" s="24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IFERROR(MATCH(SMALL(Cálculos!$AQ$5:$AQ$1000,291),Cálculos!$AQ$5:$AQ$1000,0)+4,"")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23" t="str">
        <f>IF($L296="","",INDEX('Base Exámenes'!$D:$D,$L296))</f>
        <v/>
      </c>
      <c r="G296" s="23" t="str">
        <f>IF($L296="","",INDEX('Base Exámenes'!$E:$E,$L296))</f>
        <v/>
      </c>
      <c r="H296" s="24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IFERROR(MATCH(SMALL(Cálculos!$AQ$5:$AQ$1000,292),Cálculos!$AQ$5:$AQ$1000,0)+4,"")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23" t="str">
        <f>IF($L297="","",INDEX('Base Exámenes'!$D:$D,$L297))</f>
        <v/>
      </c>
      <c r="G297" s="23" t="str">
        <f>IF($L297="","",INDEX('Base Exámenes'!$E:$E,$L297))</f>
        <v/>
      </c>
      <c r="H297" s="24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IFERROR(MATCH(SMALL(Cálculos!$AQ$5:$AQ$1000,293),Cálculos!$AQ$5:$AQ$1000,0)+4,"")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23" t="str">
        <f>IF($L298="","",INDEX('Base Exámenes'!$D:$D,$L298))</f>
        <v/>
      </c>
      <c r="G298" s="23" t="str">
        <f>IF($L298="","",INDEX('Base Exámenes'!$E:$E,$L298))</f>
        <v/>
      </c>
      <c r="H298" s="24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IFERROR(MATCH(SMALL(Cálculos!$AQ$5:$AQ$1000,294),Cálculos!$AQ$5:$AQ$1000,0)+4,"")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23" t="str">
        <f>IF($L299="","",INDEX('Base Exámenes'!$D:$D,$L299))</f>
        <v/>
      </c>
      <c r="G299" s="23" t="str">
        <f>IF($L299="","",INDEX('Base Exámenes'!$E:$E,$L299))</f>
        <v/>
      </c>
      <c r="H299" s="24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IFERROR(MATCH(SMALL(Cálculos!$AQ$5:$AQ$1000,295),Cálculos!$AQ$5:$AQ$1000,0)+4,"")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23" t="str">
        <f>IF($L300="","",INDEX('Base Exámenes'!$D:$D,$L300))</f>
        <v/>
      </c>
      <c r="G300" s="23" t="str">
        <f>IF($L300="","",INDEX('Base Exámenes'!$E:$E,$L300))</f>
        <v/>
      </c>
      <c r="H300" s="24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IFERROR(MATCH(SMALL(Cálculos!$AQ$5:$AQ$1000,296),Cálculos!$AQ$5:$AQ$1000,0)+4,"")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23" t="str">
        <f>IF($L301="","",INDEX('Base Exámenes'!$D:$D,$L301))</f>
        <v/>
      </c>
      <c r="G301" s="23" t="str">
        <f>IF($L301="","",INDEX('Base Exámenes'!$E:$E,$L301))</f>
        <v/>
      </c>
      <c r="H301" s="24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IFERROR(MATCH(SMALL(Cálculos!$AQ$5:$AQ$1000,297),Cálculos!$AQ$5:$AQ$1000,0)+4,"")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23" t="str">
        <f>IF($L302="","",INDEX('Base Exámenes'!$D:$D,$L302))</f>
        <v/>
      </c>
      <c r="G302" s="23" t="str">
        <f>IF($L302="","",INDEX('Base Exámenes'!$E:$E,$L302))</f>
        <v/>
      </c>
      <c r="H302" s="24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IFERROR(MATCH(SMALL(Cálculos!$AQ$5:$AQ$1000,298),Cálculos!$AQ$5:$AQ$1000,0)+4,"")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23" t="str">
        <f>IF($L303="","",INDEX('Base Exámenes'!$D:$D,$L303))</f>
        <v/>
      </c>
      <c r="G303" s="23" t="str">
        <f>IF($L303="","",INDEX('Base Exámenes'!$E:$E,$L303))</f>
        <v/>
      </c>
      <c r="H303" s="24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IFERROR(MATCH(SMALL(Cálculos!$AQ$5:$AQ$1000,299),Cálculos!$AQ$5:$AQ$1000,0)+4,"")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23" t="str">
        <f>IF($L304="","",INDEX('Base Exámenes'!$D:$D,$L304))</f>
        <v/>
      </c>
      <c r="G304" s="23" t="str">
        <f>IF($L304="","",INDEX('Base Exámenes'!$E:$E,$L304))</f>
        <v/>
      </c>
      <c r="H304" s="24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IFERROR(MATCH(SMALL(Cálculos!$AQ$5:$AQ$1000,300),Cálculos!$AQ$5:$AQ$1000,0)+4,"")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F1000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J4" t="inlineStr">
        <is>
          <t>Clave justificado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  <c r="AS4" t="inlineStr">
        <is>
          <t>Lista situación</t>
        </is>
      </c>
      <c r="AU4" t="inlineStr">
        <is>
          <t>Estado</t>
        </is>
      </c>
      <c r="AV4" t="inlineStr">
        <is>
          <t>Colaboradores</t>
        </is>
      </c>
      <c r="AX4" t="inlineStr">
        <is>
          <t>Gerencia</t>
        </is>
      </c>
      <c r="AY4" t="inlineStr">
        <is>
          <t>Completado</t>
        </is>
      </c>
      <c r="AZ4" t="inlineStr">
        <is>
          <t>Pendiente</t>
        </is>
      </c>
      <c r="BA4" t="inlineStr">
        <is>
          <t>Vacaciones</t>
        </is>
      </c>
      <c r="BB4" t="inlineStr">
        <is>
          <t>Incapacidad</t>
        </is>
      </c>
      <c r="BC4" t="inlineStr">
        <is>
          <t>Incapacidad por maternidad</t>
        </is>
      </c>
      <c r="BD4" t="inlineStr">
        <is>
          <t>Renuncia</t>
        </is>
      </c>
      <c r="BF4" t="inlineStr">
        <is>
          <t>Clave agencia 100%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3</v>
      </c>
      <c r="K5" t="str">
        <f>IF(J5="","",INDEX($A$5:$A$24,J5)&amp;"   "&amp;TEXT(INDEX($E$5:$E$24,J5),"0%"))</f>
        <v>Gerencia Administrativa   100%</v>
      </c>
      <c r="L5">
        <f>IF(J5="","",INDEX($C$5:$C$24,J5))</f>
        <v>34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4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>39750005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  <c r="AS5" t="inlineStr">
        <is>
          <t>Vacaciones</t>
        </is>
      </c>
      <c r="AU5" t="inlineStr">
        <is>
          <t>Completado</t>
        </is>
      </c>
      <c r="AV5">
        <f>COUNTIF('Detalle individual'!$F$5:$F$1000,AU5)</f>
        <v>278</v>
      </c>
      <c r="AX5" t="str">
        <f>IF('Consolidado por Gerencia'!A5="","",'Consolidado por Gerencia'!A5)</f>
        <v>Auditoría Interna</v>
      </c>
      <c r="AY5">
        <f>IF($AX5="","",COUNTIFS('Detalle individual'!$D$5:$D$1000,$AX5,'Detalle individual'!$F$5:$F$1000,AY$4))</f>
        <v>7</v>
      </c>
      <c r="AZ5">
        <f>IF($AX5="","",COUNTIFS('Detalle individual'!$D$5:$D$1000,$AX5,'Detalle individual'!$F$5:$F$1000,AZ$4))</f>
        <v>0</v>
      </c>
      <c r="BA5">
        <f>IF($AX5="","",COUNTIFS('Detalle individual'!$D$5:$D$1000,$AX5,'Detalle individual'!$F$5:$F$1000,BA$4))</f>
        <v>0</v>
      </c>
      <c r="BB5">
        <f>IF($AX5="","",COUNTIFS('Detalle individual'!$D$5:$D$1000,$AX5,'Detalle individual'!$F$5:$F$1000,BB$4))</f>
        <v>0</v>
      </c>
      <c r="BC5">
        <f>IF($AX5="","",COUNTIFS('Detalle individual'!$D$5:$D$1000,$AX5,'Detalle individual'!$F$5:$F$1000,BC$4))</f>
        <v>0</v>
      </c>
      <c r="BD5">
        <f>IF($AX5="","",COUNTIFS('Detalle individual'!$D$5:$D$1000,$AX5,'Detalle individual'!$F$5:$F$1000,BD$4))</f>
        <v>0</v>
      </c>
      <c r="BF5" t="str">
        <f>IF(AND('Consolidado por área'!G5="Completo",LEFT(TRIM('Consolidado por área'!A5),7)="AGENCIA"),'Consolidado por área'!L5+ROW()/1000000000,"")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8</v>
      </c>
      <c r="K6" t="str">
        <f>IF(J6="","",INDEX($A$5:$A$24,J6)&amp;"   "&amp;TEXT(INDEX($E$5:$E$24,J6),"0%"))</f>
        <v>Gerencia de Sistemas   100%</v>
      </c>
      <c r="L6">
        <f>IF(J6="","",INDEX($C$5:$C$24,J6))</f>
        <v>22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1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>
        <f>IF('Consolidado por área'!G6="Completo",'Consolidado por área'!L6+ROW()/1000000000,"")</f>
        <v>46311.67567130787</v>
      </c>
      <c r="AQ6">
        <f>IF('Base Exámenes'!C6="","",IF(COUNTIF('Base Exámenes'!$C$5:$C$1000,'Base Exámenes'!C6)&lt;2,"",MATCH('Base Exámenes'!C6,'Base Exámenes'!$C$5:$C$1000,0)*10000+ROW()))</f>
        <v>20006</v>
      </c>
      <c r="AS6" t="inlineStr">
        <is>
          <t>Incapacidad</t>
        </is>
      </c>
      <c r="AU6" t="inlineStr">
        <is>
          <t>Pendiente</t>
        </is>
      </c>
      <c r="AV6">
        <f>COUNTIF('Detalle individual'!$F$5:$F$1000,AU6)</f>
        <v>5</v>
      </c>
      <c r="AX6" t="str">
        <f>IF('Consolidado por Gerencia'!A6="","",'Consolidado por Gerencia'!A6)</f>
        <v>Consejo de Administración</v>
      </c>
      <c r="AY6">
        <f>IF($AX6="","",COUNTIFS('Detalle individual'!$D$5:$D$1000,$AX6,'Detalle individual'!$F$5:$F$1000,AY$4))</f>
        <v>1</v>
      </c>
      <c r="AZ6">
        <f>IF($AX6="","",COUNTIFS('Detalle individual'!$D$5:$D$1000,$AX6,'Detalle individual'!$F$5:$F$1000,AZ$4))</f>
        <v>0</v>
      </c>
      <c r="BA6">
        <f>IF($AX6="","",COUNTIFS('Detalle individual'!$D$5:$D$1000,$AX6,'Detalle individual'!$F$5:$F$1000,BA$4))</f>
        <v>0</v>
      </c>
      <c r="BB6">
        <f>IF($AX6="","",COUNTIFS('Detalle individual'!$D$5:$D$1000,$AX6,'Detalle individual'!$F$5:$F$1000,BB$4))</f>
        <v>0</v>
      </c>
      <c r="BC6">
        <f>IF($AX6="","",COUNTIFS('Detalle individual'!$D$5:$D$1000,$AX6,'Detalle individual'!$F$5:$F$1000,BC$4))</f>
        <v>0</v>
      </c>
      <c r="BD6">
        <f>IF($AX6="","",COUNTIFS('Detalle individual'!$D$5:$D$1000,$AX6,'Detalle individual'!$F$5:$F$1000,BD$4))</f>
        <v>0</v>
      </c>
      <c r="BF6" t="str">
        <f>IF(AND('Consolidado por área'!G6="Completo",LEFT(TRIM('Consolidado por área'!A6),7)="AGENCIA"),'Consolidado por área'!L6+ROW()/1000000000,"")</f>
        <v/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34</v>
      </c>
      <c r="C7">
        <f>IF($A7="","",'Consolidado por Gerencia'!C7)</f>
        <v>34</v>
      </c>
      <c r="D7">
        <f>IF($A7="","",'Consolidado por Gerencia'!D7)</f>
        <v>0</v>
      </c>
      <c r="E7">
        <f>IF($A7="","",IF(B7&gt;0,C7/B7,0))</f>
        <v>1</v>
      </c>
      <c r="F7">
        <f>IF($A7="","",E7*1000000+B7*10+(100-ROW())/1000)</f>
        <v>1000340.093</v>
      </c>
      <c r="G7">
        <f>IF($A7="","",D7*1000+(100-ROW())/1000)</f>
        <v>0.093</v>
      </c>
      <c r="I7" t="n">
        <v>3</v>
      </c>
      <c r="J7">
        <f>IF(I7&gt;COUNT($F$5:$F$24),"",MATCH(LARGE($F$5:$F$24,I7),$F$5:$F$24,0))</f>
        <v>4</v>
      </c>
      <c r="K7" t="str">
        <f>IF(J7="","",INDEX($A$5:$A$24,J7)&amp;"   "&amp;TEXT(INDEX($E$5:$E$24,J7),"0%"))</f>
        <v>Gerencia de Finanzas y Planificación   100%</v>
      </c>
      <c r="L7">
        <f>IF(J7="","",INDEX($C$5:$C$24,J7))</f>
        <v>18</v>
      </c>
      <c r="M7">
        <f>IF(J7="","",INDEX($D$5:$D$24,J7))</f>
        <v>0</v>
      </c>
      <c r="P7">
        <f>IF(I7&gt;COUNT($G$5:$G$24),"",MATCH(LARGE($G$5:$G$24,I7),$G$5:$G$24,0))</f>
        <v>1</v>
      </c>
      <c r="Q7" t="str">
        <f>IF(P7="","",INDEX($A$5:$A$24,P7))</f>
        <v>Auditoría Interna</v>
      </c>
      <c r="R7">
        <f>IF(P7="","",INDEX($D$5:$D$24,P7))</f>
        <v>0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I7" t="str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  <c r="AS7" t="inlineStr">
        <is>
          <t>Incapacidad por maternidad</t>
        </is>
      </c>
      <c r="AU7" t="inlineStr">
        <is>
          <t>Vacaciones</t>
        </is>
      </c>
      <c r="AV7">
        <f>COUNTIF('Detalle individual'!$F$5:$F$1000,AU7)</f>
        <v>4</v>
      </c>
      <c r="AX7" t="str">
        <f>IF('Consolidado por Gerencia'!A7="","",'Consolidado por Gerencia'!A7)</f>
        <v>Gerencia Administrativa</v>
      </c>
      <c r="AY7">
        <f>IF($AX7="","",COUNTIFS('Detalle individual'!$D$5:$D$1000,$AX7,'Detalle individual'!$F$5:$F$1000,AY$4))</f>
        <v>34</v>
      </c>
      <c r="AZ7">
        <f>IF($AX7="","",COUNTIFS('Detalle individual'!$D$5:$D$1000,$AX7,'Detalle individual'!$F$5:$F$1000,AZ$4))</f>
        <v>0</v>
      </c>
      <c r="BA7">
        <f>IF($AX7="","",COUNTIFS('Detalle individual'!$D$5:$D$1000,$AX7,'Detalle individual'!$F$5:$F$1000,BA$4))</f>
        <v>1</v>
      </c>
      <c r="BB7">
        <f>IF($AX7="","",COUNTIFS('Detalle individual'!$D$5:$D$1000,$AX7,'Detalle individual'!$F$5:$F$1000,BB$4))</f>
        <v>0</v>
      </c>
      <c r="BC7">
        <f>IF($AX7="","",COUNTIFS('Detalle individual'!$D$5:$D$1000,$AX7,'Detalle individual'!$F$5:$F$1000,BC$4))</f>
        <v>0</v>
      </c>
      <c r="BD7">
        <f>IF($AX7="","",COUNTIFS('Detalle individual'!$D$5:$D$1000,$AX7,'Detalle individual'!$F$5:$F$1000,BD$4))</f>
        <v>0</v>
      </c>
      <c r="BF7" t="str">
        <f>IF(AND('Consolidado por área'!G7="Completo",LEFT(TRIM('Consolidado por área'!A7),7)="AGENCIA"),'Consolidado por área'!L7+ROW()/1000000000,"")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18</v>
      </c>
      <c r="D8">
        <f>IF($A8="","",'Consolidado por Gerencia'!D8)</f>
        <v>0</v>
      </c>
      <c r="E8">
        <f>IF($A8="","",IF(B8&gt;0,C8/B8,0))</f>
        <v>1</v>
      </c>
      <c r="F8">
        <f>IF($A8="","",E8*1000000+B8*10+(100-ROW())/1000)</f>
        <v>1000180.092</v>
      </c>
      <c r="G8">
        <f>IF($A8="","",D8*1000+(100-ROW())/1000)</f>
        <v>0.092</v>
      </c>
      <c r="I8" t="n">
        <v>4</v>
      </c>
      <c r="J8">
        <f>IF(I8&gt;COUNT($F$5:$F$24),"",MATCH(LARGE($F$5:$F$24,I8),$F$5:$F$24,0))</f>
        <v>9</v>
      </c>
      <c r="K8" t="str">
        <f>IF(J8="","",INDEX($A$5:$A$24,J8)&amp;"   "&amp;TEXT(INDEX($E$5:$E$24,J8),"0%"))</f>
        <v>Gerencia General   100%</v>
      </c>
      <c r="L8">
        <f>IF(J8="","",INDEX($C$5:$C$24,J8))</f>
        <v>13</v>
      </c>
      <c r="M8">
        <f>IF(J8="","",INDEX($D$5:$D$24,J8))</f>
        <v>0</v>
      </c>
      <c r="P8">
        <f>IF(I8&gt;COUNT($G$5:$G$24),"",MATCH(LARGE($G$5:$G$24,I8),$G$5:$G$24,0))</f>
        <v>2</v>
      </c>
      <c r="Q8" t="str">
        <f>IF(P8="","",INDEX($A$5:$A$24,P8))</f>
        <v>Consejo de Administración</v>
      </c>
      <c r="R8">
        <f>IF(P8="","",INDEX($D$5:$D$24,P8))</f>
        <v>0</v>
      </c>
      <c r="V8" t="str">
        <f>A7</f>
        <v>Gerencia Administrativa</v>
      </c>
      <c r="W8" t="str">
        <f>A32</f>
        <v>ADMINISTRACION DE RIESGOS</v>
      </c>
      <c r="X8" t="inlineStr">
        <is>
          <t>Vacaciones</t>
        </is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  <c r="AS8" t="inlineStr">
        <is>
          <t>Renuncia</t>
        </is>
      </c>
      <c r="AU8" t="inlineStr">
        <is>
          <t>Incapacidad</t>
        </is>
      </c>
      <c r="AV8">
        <f>COUNTIF('Detalle individual'!$F$5:$F$1000,AU8)</f>
        <v>1</v>
      </c>
      <c r="AX8" t="str">
        <f>IF('Consolidado por Gerencia'!A8="","",'Consolidado por Gerencia'!A8)</f>
        <v>Gerencia de Finanzas y Planificación</v>
      </c>
      <c r="AY8">
        <f>IF($AX8="","",COUNTIFS('Detalle individual'!$D$5:$D$1000,$AX8,'Detalle individual'!$F$5:$F$1000,AY$4))</f>
        <v>18</v>
      </c>
      <c r="AZ8">
        <f>IF($AX8="","",COUNTIFS('Detalle individual'!$D$5:$D$1000,$AX8,'Detalle individual'!$F$5:$F$1000,AZ$4))</f>
        <v>0</v>
      </c>
      <c r="BA8">
        <f>IF($AX8="","",COUNTIFS('Detalle individual'!$D$5:$D$1000,$AX8,'Detalle individual'!$F$5:$F$1000,BA$4))</f>
        <v>0</v>
      </c>
      <c r="BB8">
        <f>IF($AX8="","",COUNTIFS('Detalle individual'!$D$5:$D$1000,$AX8,'Detalle individual'!$F$5:$F$1000,BB$4))</f>
        <v>0</v>
      </c>
      <c r="BC8">
        <f>IF($AX8="","",COUNTIFS('Detalle individual'!$D$5:$D$1000,$AX8,'Detalle individual'!$F$5:$F$1000,BC$4))</f>
        <v>0</v>
      </c>
      <c r="BD8">
        <f>IF($AX8="","",COUNTIFS('Detalle individual'!$D$5:$D$1000,$AX8,'Detalle individual'!$F$5:$F$1000,BD$4))</f>
        <v>0</v>
      </c>
      <c r="BF8" t="str">
        <f>IF(AND('Consolidado por área'!G8="Completo",LEFT(TRIM('Consolidado por área'!A8),7)="AGENCIA"),'Consolidado por área'!L8+ROW()/1000000000,"")</f>
        <v/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148</v>
      </c>
      <c r="C9">
        <f>IF($A9="","",'Consolidado por Gerencia'!C9)</f>
        <v>144</v>
      </c>
      <c r="D9">
        <f>IF($A9="","",'Consolidado por Gerencia'!D9)</f>
        <v>4</v>
      </c>
      <c r="E9">
        <f>IF($A9="","",IF(B9&gt;0,C9/B9,0))</f>
        <v>0.972972972972973</v>
      </c>
      <c r="F9">
        <f>IF($A9="","",E9*1000000+B9*10+(100-ROW())/1000)</f>
        <v>974453.063972973</v>
      </c>
      <c r="G9">
        <f>IF($A9="","",D9*1000+(100-ROW())/1000)</f>
        <v>4000.091</v>
      </c>
      <c r="I9" t="n">
        <v>5</v>
      </c>
      <c r="J9">
        <f>IF(I9&gt;COUNT($F$5:$F$24),"",MATCH(LARGE($F$5:$F$24,I9),$F$5:$F$24,0))</f>
        <v>10</v>
      </c>
      <c r="K9" t="str">
        <f>IF(J9="","",INDEX($A$5:$A$24,J9)&amp;"   "&amp;TEXT(INDEX($E$5:$E$24,J9),"0%"))</f>
        <v>Gerencia Legal y Cumplimiento Normativo   100%</v>
      </c>
      <c r="L9">
        <f>IF(J9="","",INDEX($C$5:$C$24,J9))</f>
        <v>9</v>
      </c>
      <c r="M9">
        <f>IF(J9="","",INDEX($D$5:$D$24,J9))</f>
        <v>0</v>
      </c>
      <c r="P9">
        <f>IF(I9&gt;COUNT($G$5:$G$24),"",MATCH(LARGE($G$5:$G$24,I9),$G$5:$G$24,0))</f>
        <v>3</v>
      </c>
      <c r="Q9" t="str">
        <f>IF(P9="","",INDEX($A$5:$A$24,P9))</f>
        <v>Gerencia Administrativa</v>
      </c>
      <c r="R9">
        <f>IF(P9="","",INDEX($D$5:$D$24,P9))</f>
        <v>0</v>
      </c>
      <c r="V9" t="str">
        <f>A8</f>
        <v>Gerencia de Finanzas y Planificación</v>
      </c>
      <c r="W9" t="str">
        <f>A33</f>
        <v>AGENCIA CENTRAL</v>
      </c>
      <c r="X9" t="inlineStr">
        <is>
          <t>Incapacidad</t>
        </is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>39710009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>
        <f>IF('Consolidado por área'!G9="Completo",'Consolidado por área'!L9+ROW()/1000000000,"")</f>
        <v>46310.51637732639</v>
      </c>
      <c r="AQ9" t="str">
        <f>IF('Base Exámenes'!C9="","",IF(COUNTIF('Base Exámenes'!$C$5:$C$1000,'Base Exámenes'!C9)&lt;2,"",MATCH('Base Exámenes'!C9,'Base Exámenes'!$C$5:$C$1000,0)*10000+ROW()))</f>
        <v/>
      </c>
      <c r="AU9" t="inlineStr">
        <is>
          <t>Incapacidad por maternidad</t>
        </is>
      </c>
      <c r="AV9">
        <f>COUNTIF('Detalle individual'!$F$5:$F$1000,AU9)</f>
        <v>2</v>
      </c>
      <c r="AX9" t="str">
        <f>IF('Consolidado por Gerencia'!A9="","",'Consolidado por Gerencia'!A9)</f>
        <v>Gerencia de Negocios</v>
      </c>
      <c r="AY9">
        <f>IF($AX9="","",COUNTIFS('Detalle individual'!$D$5:$D$1000,$AX9,'Detalle individual'!$F$5:$F$1000,AY$4))</f>
        <v>144</v>
      </c>
      <c r="AZ9">
        <f>IF($AX9="","",COUNTIFS('Detalle individual'!$D$5:$D$1000,$AX9,'Detalle individual'!$F$5:$F$1000,AZ$4))</f>
        <v>4</v>
      </c>
      <c r="BA9">
        <f>IF($AX9="","",COUNTIFS('Detalle individual'!$D$5:$D$1000,$AX9,'Detalle individual'!$F$5:$F$1000,BA$4))</f>
        <v>2</v>
      </c>
      <c r="BB9">
        <f>IF($AX9="","",COUNTIFS('Detalle individual'!$D$5:$D$1000,$AX9,'Detalle individual'!$F$5:$F$1000,BB$4))</f>
        <v>0</v>
      </c>
      <c r="BC9">
        <f>IF($AX9="","",COUNTIFS('Detalle individual'!$D$5:$D$1000,$AX9,'Detalle individual'!$F$5:$F$1000,BC$4))</f>
        <v>2</v>
      </c>
      <c r="BD9">
        <f>IF($AX9="","",COUNTIFS('Detalle individual'!$D$5:$D$1000,$AX9,'Detalle individual'!$F$5:$F$1000,BD$4))</f>
        <v>2</v>
      </c>
      <c r="BF9">
        <f>IF(AND('Consolidado por área'!G9="Completo",LEFT(TRIM('Consolidado por área'!A9),7)="AGENCIA"),'Consolidado por área'!L9+ROW()/1000000000,"")</f>
        <v>46310.51637732639</v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1</v>
      </c>
      <c r="K10" t="str">
        <f>IF(J10="","",INDEX($A$5:$A$24,J10)&amp;"   "&amp;TEXT(INDEX($E$5:$E$24,J10),"0%"))</f>
        <v>Auditoría Interna   100%</v>
      </c>
      <c r="L10">
        <f>IF(J10="","",INDEX($C$5:$C$24,J10))</f>
        <v>7</v>
      </c>
      <c r="M10">
        <f>IF(J10="","",INDEX($D$5:$D$24,J10))</f>
        <v>0</v>
      </c>
      <c r="P10">
        <f>IF(I10&gt;COUNT($G$5:$G$24),"",MATCH(LARGE($G$5:$G$24,I10),$G$5:$G$24,0))</f>
        <v>4</v>
      </c>
      <c r="Q10" t="str">
        <f>IF(P10="","",INDEX($A$5:$A$24,P10))</f>
        <v>Gerencia de Finanzas y Planificación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X10" t="inlineStr">
        <is>
          <t>Incapacidad por maternidad</t>
        </is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 t="str">
        <f>IF('Consolidado por área'!G10="Completo",'Consolidado por área'!L10+ROW()/1000000000,"")</f>
        <v/>
      </c>
      <c r="AQ10" t="str">
        <f>IF('Base Exámenes'!C10="","",IF(COUNTIF('Base Exámenes'!$C$5:$C$1000,'Base Exámenes'!C10)&lt;2,"",MATCH('Base Exámenes'!C10,'Base Exámenes'!$C$5:$C$1000,0)*10000+ROW()))</f>
        <v/>
      </c>
      <c r="AU10" t="inlineStr">
        <is>
          <t>Renuncia</t>
        </is>
      </c>
      <c r="AV10">
        <f>COUNTIF('Detalle individual'!$F$5:$F$1000,AU10)</f>
        <v>3</v>
      </c>
      <c r="AX10" t="str">
        <f>IF('Consolidado por Gerencia'!A10="","",'Consolidado por Gerencia'!A10)</f>
        <v>Gerencia de Oficialía de Cumplimiento</v>
      </c>
      <c r="AY10">
        <f>IF($AX10="","",COUNTIFS('Detalle individual'!$D$5:$D$1000,$AX10,'Detalle individual'!$F$5:$F$1000,AY$4))</f>
        <v>7</v>
      </c>
      <c r="AZ10">
        <f>IF($AX10="","",COUNTIFS('Detalle individual'!$D$5:$D$1000,$AX10,'Detalle individual'!$F$5:$F$1000,AZ$4))</f>
        <v>0</v>
      </c>
      <c r="BA10">
        <f>IF($AX10="","",COUNTIFS('Detalle individual'!$D$5:$D$1000,$AX10,'Detalle individual'!$F$5:$F$1000,BA$4))</f>
        <v>0</v>
      </c>
      <c r="BB10">
        <f>IF($AX10="","",COUNTIFS('Detalle individual'!$D$5:$D$1000,$AX10,'Detalle individual'!$F$5:$F$1000,BB$4))</f>
        <v>0</v>
      </c>
      <c r="BC10">
        <f>IF($AX10="","",COUNTIFS('Detalle individual'!$D$5:$D$1000,$AX10,'Detalle individual'!$F$5:$F$1000,BC$4))</f>
        <v>0</v>
      </c>
      <c r="BD10">
        <f>IF($AX10="","",COUNTIFS('Detalle individual'!$D$5:$D$1000,$AX10,'Detalle individual'!$F$5:$F$1000,BD$4))</f>
        <v>0</v>
      </c>
      <c r="BF10" t="str">
        <f>IF(AND('Consolidado por área'!G10="Completo",LEFT(TRIM('Consolidado por área'!A10),7)="AGENCIA"),'Consolidado por área'!L10+ROW()/1000000000,"")</f>
        <v/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24</v>
      </c>
      <c r="C11">
        <f>IF($A11="","",'Consolidado por Gerencia'!C11)</f>
        <v>23</v>
      </c>
      <c r="D11">
        <f>IF($A11="","",'Consolidado por Gerencia'!D11)</f>
        <v>1</v>
      </c>
      <c r="E11">
        <f>IF($A11="","",IF(B11&gt;0,C11/B11,0))</f>
        <v>0.958333333333333</v>
      </c>
      <c r="F11">
        <f>IF($A11="","",E11*1000000+B11*10+(100-ROW())/1000)</f>
        <v>958573.422333333</v>
      </c>
      <c r="G11">
        <f>IF($A11="","",D11*1000+(100-ROW())/1000)</f>
        <v>1000.089</v>
      </c>
      <c r="I11" t="n">
        <v>7</v>
      </c>
      <c r="J11">
        <f>IF(I11&gt;COUNT($F$5:$F$24),"",MATCH(LARGE($F$5:$F$24,I11),$F$5:$F$24,0))</f>
        <v>6</v>
      </c>
      <c r="K11" t="str">
        <f>IF(J11="","",INDEX($A$5:$A$24,J11)&amp;"   "&amp;TEXT(INDEX($E$5:$E$24,J11),"0%"))</f>
        <v>Gerencia de Oficialía de Cumplimiento   100%</v>
      </c>
      <c r="L11">
        <f>IF(J11="","",INDEX($C$5:$C$24,J11))</f>
        <v>7</v>
      </c>
      <c r="M11">
        <f>IF(J11="","",INDEX($D$5:$D$24,J11))</f>
        <v>0</v>
      </c>
      <c r="P11">
        <f>IF(I11&gt;COUNT($G$5:$G$24),"",MATCH(LARGE($G$5:$G$24,I11),$G$5:$G$24,0))</f>
        <v>6</v>
      </c>
      <c r="Q11" t="str">
        <f>IF(P11="","",INDEX($A$5:$A$24,P11))</f>
        <v>Gerencia de Oficialía de Cumplimiento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X11" t="inlineStr">
        <is>
          <t>Renuncia</t>
        </is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>39660011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>
        <f>IF('Consolidado por área'!G11="Completo",'Consolidado por área'!L11+ROW()/1000000000,"")</f>
        <v>46310.52479167824</v>
      </c>
      <c r="AQ11" t="str">
        <f>IF('Base Exámenes'!C11="","",IF(COUNTIF('Base Exámenes'!$C$5:$C$1000,'Base Exámenes'!C11)&lt;2,"",MATCH('Base Exámenes'!C11,'Base Exámenes'!$C$5:$C$1000,0)*10000+ROW()))</f>
        <v/>
      </c>
      <c r="AX11" t="str">
        <f>IF('Consolidado por Gerencia'!A11="","",'Consolidado por Gerencia'!A11)</f>
        <v>Gerencia de Operaciones</v>
      </c>
      <c r="AY11">
        <f>IF($AX11="","",COUNTIFS('Detalle individual'!$D$5:$D$1000,$AX11,'Detalle individual'!$F$5:$F$1000,AY$4))</f>
        <v>23</v>
      </c>
      <c r="AZ11">
        <f>IF($AX11="","",COUNTIFS('Detalle individual'!$D$5:$D$1000,$AX11,'Detalle individual'!$F$5:$F$1000,AZ$4))</f>
        <v>1</v>
      </c>
      <c r="BA11">
        <f>IF($AX11="","",COUNTIFS('Detalle individual'!$D$5:$D$1000,$AX11,'Detalle individual'!$F$5:$F$1000,BA$4))</f>
        <v>0</v>
      </c>
      <c r="BB11">
        <f>IF($AX11="","",COUNTIFS('Detalle individual'!$D$5:$D$1000,$AX11,'Detalle individual'!$F$5:$F$1000,BB$4))</f>
        <v>1</v>
      </c>
      <c r="BC11">
        <f>IF($AX11="","",COUNTIFS('Detalle individual'!$D$5:$D$1000,$AX11,'Detalle individual'!$F$5:$F$1000,BC$4))</f>
        <v>0</v>
      </c>
      <c r="BD11">
        <f>IF($AX11="","",COUNTIFS('Detalle individual'!$D$5:$D$1000,$AX11,'Detalle individual'!$F$5:$F$1000,BD$4))</f>
        <v>1</v>
      </c>
      <c r="BF11">
        <f>IF(AND('Consolidado por área'!G11="Completo",LEFT(TRIM('Consolidado por área'!A11),7)="AGENCIA"),'Consolidado por área'!L11+ROW()/1000000000,"")</f>
        <v>46310.52479167824</v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22</v>
      </c>
      <c r="C12">
        <f>IF($A12="","",'Consolidado por Gerencia'!C12)</f>
        <v>22</v>
      </c>
      <c r="D12">
        <f>IF($A12="","",'Consolidado por Gerencia'!D12)</f>
        <v>0</v>
      </c>
      <c r="E12">
        <f>IF($A12="","",IF(B12&gt;0,C12/B12,0))</f>
        <v>1</v>
      </c>
      <c r="F12">
        <f>IF($A12="","",E12*1000000+B12*10+(100-ROW())/1000)</f>
        <v>1000220.088</v>
      </c>
      <c r="G12">
        <f>IF($A12="","",D12*1000+(100-ROW())/1000)</f>
        <v>0.088</v>
      </c>
      <c r="I12" t="n">
        <v>8</v>
      </c>
      <c r="J12">
        <f>IF(I12&gt;COUNT($F$5:$F$24),"",MATCH(LARGE($F$5:$F$24,I12),$F$5:$F$24,0))</f>
        <v>2</v>
      </c>
      <c r="K12" t="str">
        <f>IF(J12="","",INDEX($A$5:$A$24,J12)&amp;"   "&amp;TEXT(INDEX($E$5:$E$24,J12),"0%"))</f>
        <v>Consejo de Administración   100%</v>
      </c>
      <c r="L12">
        <f>IF(J12="","",INDEX($C$5:$C$24,J12))</f>
        <v>1</v>
      </c>
      <c r="M12">
        <f>IF(J12="","",INDEX($D$5:$D$24,J12))</f>
        <v>0</v>
      </c>
      <c r="P12">
        <f>IF(I12&gt;COUNT($G$5:$G$24),"",MATCH(LARGE($G$5:$G$24,I12),$G$5:$G$24,0))</f>
        <v>8</v>
      </c>
      <c r="Q12" t="str">
        <f>IF(P12="","",INDEX($A$5:$A$24,P12))</f>
        <v>Gerencia de Sistemas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>
        <f>IF('Consolidado por área'!G12="Completo",'Consolidado por área'!L12+ROW()/1000000000,"")</f>
        <v>46310.64591436343</v>
      </c>
      <c r="AQ12">
        <f>IF('Base Exámenes'!C12="","",IF(COUNTIF('Base Exámenes'!$C$5:$C$1000,'Base Exámenes'!C12)&lt;2,"",MATCH('Base Exámenes'!C12,'Base Exámenes'!$C$5:$C$1000,0)*10000+ROW()))</f>
        <v>80012</v>
      </c>
      <c r="AX12" t="str">
        <f>IF('Consolidado por Gerencia'!A12="","",'Consolidado por Gerencia'!A12)</f>
        <v>Gerencia de Sistemas</v>
      </c>
      <c r="AY12">
        <f>IF($AX12="","",COUNTIFS('Detalle individual'!$D$5:$D$1000,$AX12,'Detalle individual'!$F$5:$F$1000,AY$4))</f>
        <v>22</v>
      </c>
      <c r="AZ12">
        <f>IF($AX12="","",COUNTIFS('Detalle individual'!$D$5:$D$1000,$AX12,'Detalle individual'!$F$5:$F$1000,AZ$4))</f>
        <v>0</v>
      </c>
      <c r="BA12">
        <f>IF($AX12="","",COUNTIFS('Detalle individual'!$D$5:$D$1000,$AX12,'Detalle individual'!$F$5:$F$1000,BA$4))</f>
        <v>1</v>
      </c>
      <c r="BB12">
        <f>IF($AX12="","",COUNTIFS('Detalle individual'!$D$5:$D$1000,$AX12,'Detalle individual'!$F$5:$F$1000,BB$4))</f>
        <v>0</v>
      </c>
      <c r="BC12">
        <f>IF($AX12="","",COUNTIFS('Detalle individual'!$D$5:$D$1000,$AX12,'Detalle individual'!$F$5:$F$1000,BC$4))</f>
        <v>0</v>
      </c>
      <c r="BD12">
        <f>IF($AX12="","",COUNTIFS('Detalle individual'!$D$5:$D$1000,$AX12,'Detalle individual'!$F$5:$F$1000,BD$4))</f>
        <v>0</v>
      </c>
      <c r="BF12">
        <f>IF(AND('Consolidado por área'!G12="Completo",LEFT(TRIM('Consolidado por área'!A12),7)="AGENCIA"),'Consolidado por área'!L12+ROW()/1000000000,"")</f>
        <v>46310.64591436343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IF($A13="","",IF(B13&gt;0,C13/B13,0))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5</v>
      </c>
      <c r="K13" t="str">
        <f>IF(J13="","",INDEX($A$5:$A$24,J13)&amp;"   "&amp;TEXT(INDEX($E$5:$E$24,J13),"0%"))</f>
        <v>Gerencia de Negocios   97%</v>
      </c>
      <c r="L13">
        <f>IF(J13="","",INDEX($C$5:$C$24,J13))</f>
        <v>144</v>
      </c>
      <c r="M13">
        <f>IF(J13="","",INDEX($D$5:$D$24,J13))</f>
        <v>4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>
        <f>IF('Consolidado por área'!G13="Completo",'Consolidado por área'!L13+ROW()/1000000000,"")</f>
        <v>46296.491990752314</v>
      </c>
      <c r="AQ13" t="str">
        <f>IF('Base Exámenes'!C13="","",IF(COUNTIF('Base Exámenes'!$C$5:$C$1000,'Base Exámenes'!C13)&lt;2,"",MATCH('Base Exámenes'!C13,'Base Exámenes'!$C$5:$C$1000,0)*10000+ROW()))</f>
        <v/>
      </c>
      <c r="AX13" t="str">
        <f>IF('Consolidado por Gerencia'!A13="","",'Consolidado por Gerencia'!A13)</f>
        <v>Gerencia General</v>
      </c>
      <c r="AY13">
        <f>IF($AX13="","",COUNTIFS('Detalle individual'!$D$5:$D$1000,$AX13,'Detalle individual'!$F$5:$F$1000,AY$4))</f>
        <v>13</v>
      </c>
      <c r="AZ13">
        <f>IF($AX13="","",COUNTIFS('Detalle individual'!$D$5:$D$1000,$AX13,'Detalle individual'!$F$5:$F$1000,AZ$4))</f>
        <v>0</v>
      </c>
      <c r="BA13">
        <f>IF($AX13="","",COUNTIFS('Detalle individual'!$D$5:$D$1000,$AX13,'Detalle individual'!$F$5:$F$1000,BA$4))</f>
        <v>0</v>
      </c>
      <c r="BB13">
        <f>IF($AX13="","",COUNTIFS('Detalle individual'!$D$5:$D$1000,$AX13,'Detalle individual'!$F$5:$F$1000,BB$4))</f>
        <v>0</v>
      </c>
      <c r="BC13">
        <f>IF($AX13="","",COUNTIFS('Detalle individual'!$D$5:$D$1000,$AX13,'Detalle individual'!$F$5:$F$1000,BC$4))</f>
        <v>0</v>
      </c>
      <c r="BD13">
        <f>IF($AX13="","",COUNTIFS('Detalle individual'!$D$5:$D$1000,$AX13,'Detalle individual'!$F$5:$F$1000,BD$4))</f>
        <v>0</v>
      </c>
      <c r="BF13">
        <f>IF(AND('Consolidado por área'!G13="Completo",LEFT(TRIM('Consolidado por área'!A13),7)="AGENCIA"),'Consolidado por área'!L13+ROW()/1000000000,"")</f>
        <v>46296.491990752314</v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7</v>
      </c>
      <c r="K14" t="str">
        <f>IF(J14="","",INDEX($A$5:$A$24,J14)&amp;"   "&amp;TEXT(INDEX($E$5:$E$24,J14),"0%"))</f>
        <v>Gerencia de Operaciones   96%</v>
      </c>
      <c r="L14">
        <f>IF(J14="","",INDEX($C$5:$C$24,J14))</f>
        <v>23</v>
      </c>
      <c r="M14">
        <f>IF(J14="","",INDEX($D$5:$D$24,J14))</f>
        <v>1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>
        <f>IF('Consolidado por área'!G14="Completo",'Consolidado por área'!L14+ROW()/1000000000,"")</f>
        <v>46311.493981493055</v>
      </c>
      <c r="AQ14" t="str">
        <f>IF('Base Exámenes'!C14="","",IF(COUNTIF('Base Exámenes'!$C$5:$C$1000,'Base Exámenes'!C14)&lt;2,"",MATCH('Base Exámenes'!C14,'Base Exámenes'!$C$5:$C$1000,0)*10000+ROW()))</f>
        <v/>
      </c>
      <c r="AX14" t="str">
        <f>IF('Consolidado por Gerencia'!A14="","",'Consolidado por Gerencia'!A14)</f>
        <v>Gerencia Legal y Cumplimiento Normativo</v>
      </c>
      <c r="AY14">
        <f>IF($AX14="","",COUNTIFS('Detalle individual'!$D$5:$D$1000,$AX14,'Detalle individual'!$F$5:$F$1000,AY$4))</f>
        <v>9</v>
      </c>
      <c r="AZ14">
        <f>IF($AX14="","",COUNTIFS('Detalle individual'!$D$5:$D$1000,$AX14,'Detalle individual'!$F$5:$F$1000,AZ$4))</f>
        <v>0</v>
      </c>
      <c r="BA14">
        <f>IF($AX14="","",COUNTIFS('Detalle individual'!$D$5:$D$1000,$AX14,'Detalle individual'!$F$5:$F$1000,BA$4))</f>
        <v>0</v>
      </c>
      <c r="BB14">
        <f>IF($AX14="","",COUNTIFS('Detalle individual'!$D$5:$D$1000,$AX14,'Detalle individual'!$F$5:$F$1000,BB$4))</f>
        <v>0</v>
      </c>
      <c r="BC14">
        <f>IF($AX14="","",COUNTIFS('Detalle individual'!$D$5:$D$1000,$AX14,'Detalle individual'!$F$5:$F$1000,BC$4))</f>
        <v>0</v>
      </c>
      <c r="BD14">
        <f>IF($AX14="","",COUNTIFS('Detalle individual'!$D$5:$D$1000,$AX14,'Detalle individual'!$F$5:$F$1000,BD$4))</f>
        <v>0</v>
      </c>
      <c r="BF14">
        <f>IF(AND('Consolidado por área'!G14="Completo",LEFT(TRIM('Consolidado por área'!A14),7)="AGENCIA"),'Consolidado por área'!L14+ROW()/1000000000,"")</f>
        <v>46311.493981493055</v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>
        <f>IF('Consolidado por área'!G15="Completo",'Consolidado por área'!L15+ROW()/1000000000,"")</f>
        <v>46311.57149306713</v>
      </c>
      <c r="AQ15" t="str">
        <f>IF('Base Exámenes'!C15="","",IF(COUNTIF('Base Exámenes'!$C$5:$C$1000,'Base Exámenes'!C15)&lt;2,"",MATCH('Base Exámenes'!C15,'Base Exámenes'!$C$5:$C$1000,0)*10000+ROW()))</f>
        <v/>
      </c>
      <c r="AX15" t="str">
        <f>IF('Consolidado por Gerencia'!A15="","",'Consolidado por Gerencia'!A15)</f>
        <v/>
      </c>
      <c r="AY15" t="str">
        <f>IF($AX15="","",COUNTIFS('Detalle individual'!$D$5:$D$1000,$AX15,'Detalle individual'!$F$5:$F$1000,AY$4))</f>
        <v/>
      </c>
      <c r="AZ15" t="str">
        <f>IF($AX15="","",COUNTIFS('Detalle individual'!$D$5:$D$1000,$AX15,'Detalle individual'!$F$5:$F$1000,AZ$4))</f>
        <v/>
      </c>
      <c r="BA15" t="str">
        <f>IF($AX15="","",COUNTIFS('Detalle individual'!$D$5:$D$1000,$AX15,'Detalle individual'!$F$5:$F$1000,BA$4))</f>
        <v/>
      </c>
      <c r="BB15" t="str">
        <f>IF($AX15="","",COUNTIFS('Detalle individual'!$D$5:$D$1000,$AX15,'Detalle individual'!$F$5:$F$1000,BB$4))</f>
        <v/>
      </c>
      <c r="BC15" t="str">
        <f>IF($AX15="","",COUNTIFS('Detalle individual'!$D$5:$D$1000,$AX15,'Detalle individual'!$F$5:$F$1000,BC$4))</f>
        <v/>
      </c>
      <c r="BD15" t="str">
        <f>IF($AX15="","",COUNTIFS('Detalle individual'!$D$5:$D$1000,$AX15,'Detalle individual'!$F$5:$F$1000,BD$4))</f>
        <v/>
      </c>
      <c r="BF15">
        <f>IF(AND('Consolidado por área'!G15="Completo",LEFT(TRIM('Consolidado por área'!A15),7)="AGENCIA"),'Consolidado por área'!L15+ROW()/1000000000,"")</f>
        <v>46311.57149306713</v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  <c r="AX16" t="str">
        <f>IF('Consolidado por Gerencia'!A16="","",'Consolidado por Gerencia'!A16)</f>
        <v/>
      </c>
      <c r="AY16" t="str">
        <f>IF($AX16="","",COUNTIFS('Detalle individual'!$D$5:$D$1000,$AX16,'Detalle individual'!$F$5:$F$1000,AY$4))</f>
        <v/>
      </c>
      <c r="AZ16" t="str">
        <f>IF($AX16="","",COUNTIFS('Detalle individual'!$D$5:$D$1000,$AX16,'Detalle individual'!$F$5:$F$1000,AZ$4))</f>
        <v/>
      </c>
      <c r="BA16" t="str">
        <f>IF($AX16="","",COUNTIFS('Detalle individual'!$D$5:$D$1000,$AX16,'Detalle individual'!$F$5:$F$1000,BA$4))</f>
        <v/>
      </c>
      <c r="BB16" t="str">
        <f>IF($AX16="","",COUNTIFS('Detalle individual'!$D$5:$D$1000,$AX16,'Detalle individual'!$F$5:$F$1000,BB$4))</f>
        <v/>
      </c>
      <c r="BC16" t="str">
        <f>IF($AX16="","",COUNTIFS('Detalle individual'!$D$5:$D$1000,$AX16,'Detalle individual'!$F$5:$F$1000,BC$4))</f>
        <v/>
      </c>
      <c r="BD16" t="str">
        <f>IF($AX16="","",COUNTIFS('Detalle individual'!$D$5:$D$1000,$AX16,'Detalle individual'!$F$5:$F$1000,BD$4))</f>
        <v/>
      </c>
      <c r="BF16">
        <f>IF(AND('Consolidado por área'!G16="Completo",LEFT(TRIM('Consolidado por área'!A16),7)="AGENCIA"),'Consolidado por área'!L16+ROW()/1000000000,"")</f>
        <v>46309.419733807874</v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  <c r="AX17" t="str">
        <f>IF('Consolidado por Gerencia'!A17="","",'Consolidado por Gerencia'!A17)</f>
        <v/>
      </c>
      <c r="AY17" t="str">
        <f>IF($AX17="","",COUNTIFS('Detalle individual'!$D$5:$D$1000,$AX17,'Detalle individual'!$F$5:$F$1000,AY$4))</f>
        <v/>
      </c>
      <c r="AZ17" t="str">
        <f>IF($AX17="","",COUNTIFS('Detalle individual'!$D$5:$D$1000,$AX17,'Detalle individual'!$F$5:$F$1000,AZ$4))</f>
        <v/>
      </c>
      <c r="BA17" t="str">
        <f>IF($AX17="","",COUNTIFS('Detalle individual'!$D$5:$D$1000,$AX17,'Detalle individual'!$F$5:$F$1000,BA$4))</f>
        <v/>
      </c>
      <c r="BB17" t="str">
        <f>IF($AX17="","",COUNTIFS('Detalle individual'!$D$5:$D$1000,$AX17,'Detalle individual'!$F$5:$F$1000,BB$4))</f>
        <v/>
      </c>
      <c r="BC17" t="str">
        <f>IF($AX17="","",COUNTIFS('Detalle individual'!$D$5:$D$1000,$AX17,'Detalle individual'!$F$5:$F$1000,BC$4))</f>
        <v/>
      </c>
      <c r="BD17" t="str">
        <f>IF($AX17="","",COUNTIFS('Detalle individual'!$D$5:$D$1000,$AX17,'Detalle individual'!$F$5:$F$1000,BD$4))</f>
        <v/>
      </c>
      <c r="BF17" t="str">
        <f>IF(AND('Consolidado por área'!G17="Completo",LEFT(TRIM('Consolidado por área'!A17),7)="AGENCIA"),'Consolidado por área'!L17+ROW()/1000000000,"")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  <c r="AX18" t="str">
        <f>IF('Consolidado por Gerencia'!A18="","",'Consolidado por Gerencia'!A18)</f>
        <v/>
      </c>
      <c r="AY18" t="str">
        <f>IF($AX18="","",COUNTIFS('Detalle individual'!$D$5:$D$1000,$AX18,'Detalle individual'!$F$5:$F$1000,AY$4))</f>
        <v/>
      </c>
      <c r="AZ18" t="str">
        <f>IF($AX18="","",COUNTIFS('Detalle individual'!$D$5:$D$1000,$AX18,'Detalle individual'!$F$5:$F$1000,AZ$4))</f>
        <v/>
      </c>
      <c r="BA18" t="str">
        <f>IF($AX18="","",COUNTIFS('Detalle individual'!$D$5:$D$1000,$AX18,'Detalle individual'!$F$5:$F$1000,BA$4))</f>
        <v/>
      </c>
      <c r="BB18" t="str">
        <f>IF($AX18="","",COUNTIFS('Detalle individual'!$D$5:$D$1000,$AX18,'Detalle individual'!$F$5:$F$1000,BB$4))</f>
        <v/>
      </c>
      <c r="BC18" t="str">
        <f>IF($AX18="","",COUNTIFS('Detalle individual'!$D$5:$D$1000,$AX18,'Detalle individual'!$F$5:$F$1000,BC$4))</f>
        <v/>
      </c>
      <c r="BD18" t="str">
        <f>IF($AX18="","",COUNTIFS('Detalle individual'!$D$5:$D$1000,$AX18,'Detalle individual'!$F$5:$F$1000,BD$4))</f>
        <v/>
      </c>
      <c r="BF18" t="str">
        <f>IF(AND('Consolidado por área'!G18="Completo",LEFT(TRIM('Consolidado por área'!A18),7)="AGENCIA"),'Consolidado por área'!L18+ROW()/1000000000,"")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>
        <f>IF('Consolidado por área'!G19="Completo",'Consolidado por área'!L19+ROW()/1000000000,"")</f>
        <v>46305.514317152774</v>
      </c>
      <c r="AQ19">
        <f>IF('Base Exámenes'!C19="","",IF(COUNTIF('Base Exámenes'!$C$5:$C$1000,'Base Exámenes'!C19)&lt;2,"",MATCH('Base Exámenes'!C19,'Base Exámenes'!$C$5:$C$1000,0)*10000+ROW()))</f>
        <v>150019</v>
      </c>
      <c r="AX19" t="str">
        <f>IF('Consolidado por Gerencia'!A19="","",'Consolidado por Gerencia'!A19)</f>
        <v/>
      </c>
      <c r="AY19" t="str">
        <f>IF($AX19="","",COUNTIFS('Detalle individual'!$D$5:$D$1000,$AX19,'Detalle individual'!$F$5:$F$1000,AY$4))</f>
        <v/>
      </c>
      <c r="AZ19" t="str">
        <f>IF($AX19="","",COUNTIFS('Detalle individual'!$D$5:$D$1000,$AX19,'Detalle individual'!$F$5:$F$1000,AZ$4))</f>
        <v/>
      </c>
      <c r="BA19" t="str">
        <f>IF($AX19="","",COUNTIFS('Detalle individual'!$D$5:$D$1000,$AX19,'Detalle individual'!$F$5:$F$1000,BA$4))</f>
        <v/>
      </c>
      <c r="BB19" t="str">
        <f>IF($AX19="","",COUNTIFS('Detalle individual'!$D$5:$D$1000,$AX19,'Detalle individual'!$F$5:$F$1000,BB$4))</f>
        <v/>
      </c>
      <c r="BC19" t="str">
        <f>IF($AX19="","",COUNTIFS('Detalle individual'!$D$5:$D$1000,$AX19,'Detalle individual'!$F$5:$F$1000,BC$4))</f>
        <v/>
      </c>
      <c r="BD19" t="str">
        <f>IF($AX19="","",COUNTIFS('Detalle individual'!$D$5:$D$1000,$AX19,'Detalle individual'!$F$5:$F$1000,BD$4))</f>
        <v/>
      </c>
      <c r="BF19" t="str">
        <f>IF(AND('Consolidado por área'!G19="Completo",LEFT(TRIM('Consolidado por área'!A19),7)="AGENCIA"),'Consolidado por área'!L19+ROW()/1000000000,"")</f>
        <v/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>
        <f>IF('Consolidado por área'!G20="Completo",'Consolidado por área'!L20+ROW()/1000000000,"")</f>
        <v>46310.696145856484</v>
      </c>
      <c r="AQ20" t="str">
        <f>IF('Base Exámenes'!C20="","",IF(COUNTIF('Base Exámenes'!$C$5:$C$1000,'Base Exámenes'!C20)&lt;2,"",MATCH('Base Exámenes'!C20,'Base Exámenes'!$C$5:$C$1000,0)*10000+ROW()))</f>
        <v/>
      </c>
      <c r="AX20" t="str">
        <f>IF('Consolidado por Gerencia'!A20="","",'Consolidado por Gerencia'!A20)</f>
        <v/>
      </c>
      <c r="AY20" t="str">
        <f>IF($AX20="","",COUNTIFS('Detalle individual'!$D$5:$D$1000,$AX20,'Detalle individual'!$F$5:$F$1000,AY$4))</f>
        <v/>
      </c>
      <c r="AZ20" t="str">
        <f>IF($AX20="","",COUNTIFS('Detalle individual'!$D$5:$D$1000,$AX20,'Detalle individual'!$F$5:$F$1000,AZ$4))</f>
        <v/>
      </c>
      <c r="BA20" t="str">
        <f>IF($AX20="","",COUNTIFS('Detalle individual'!$D$5:$D$1000,$AX20,'Detalle individual'!$F$5:$F$1000,BA$4))</f>
        <v/>
      </c>
      <c r="BB20" t="str">
        <f>IF($AX20="","",COUNTIFS('Detalle individual'!$D$5:$D$1000,$AX20,'Detalle individual'!$F$5:$F$1000,BB$4))</f>
        <v/>
      </c>
      <c r="BC20" t="str">
        <f>IF($AX20="","",COUNTIFS('Detalle individual'!$D$5:$D$1000,$AX20,'Detalle individual'!$F$5:$F$1000,BC$4))</f>
        <v/>
      </c>
      <c r="BD20" t="str">
        <f>IF($AX20="","",COUNTIFS('Detalle individual'!$D$5:$D$1000,$AX20,'Detalle individual'!$F$5:$F$1000,BD$4))</f>
        <v/>
      </c>
      <c r="BF20" t="str">
        <f>IF(AND('Consolidado por área'!G20="Completo",LEFT(TRIM('Consolidado por área'!A20),7)="AGENCIA"),'Consolidado por área'!L20+ROW()/1000000000,"")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>
        <f>IF('Consolidado por área'!G21="Completo",'Consolidado por área'!L21+ROW()/1000000000,"")</f>
        <v>46310.70625002315</v>
      </c>
      <c r="AQ21" t="str">
        <f>IF('Base Exámenes'!C21="","",IF(COUNTIF('Base Exámenes'!$C$5:$C$1000,'Base Exámenes'!C21)&lt;2,"",MATCH('Base Exámenes'!C21,'Base Exámenes'!$C$5:$C$1000,0)*10000+ROW()))</f>
        <v/>
      </c>
      <c r="AX21" t="str">
        <f>IF('Consolidado por Gerencia'!A21="","",'Consolidado por Gerencia'!A21)</f>
        <v/>
      </c>
      <c r="AY21" t="str">
        <f>IF($AX21="","",COUNTIFS('Detalle individual'!$D$5:$D$1000,$AX21,'Detalle individual'!$F$5:$F$1000,AY$4))</f>
        <v/>
      </c>
      <c r="AZ21" t="str">
        <f>IF($AX21="","",COUNTIFS('Detalle individual'!$D$5:$D$1000,$AX21,'Detalle individual'!$F$5:$F$1000,AZ$4))</f>
        <v/>
      </c>
      <c r="BA21" t="str">
        <f>IF($AX21="","",COUNTIFS('Detalle individual'!$D$5:$D$1000,$AX21,'Detalle individual'!$F$5:$F$1000,BA$4))</f>
        <v/>
      </c>
      <c r="BB21" t="str">
        <f>IF($AX21="","",COUNTIFS('Detalle individual'!$D$5:$D$1000,$AX21,'Detalle individual'!$F$5:$F$1000,BB$4))</f>
        <v/>
      </c>
      <c r="BC21" t="str">
        <f>IF($AX21="","",COUNTIFS('Detalle individual'!$D$5:$D$1000,$AX21,'Detalle individual'!$F$5:$F$1000,BC$4))</f>
        <v/>
      </c>
      <c r="BD21" t="str">
        <f>IF($AX21="","",COUNTIFS('Detalle individual'!$D$5:$D$1000,$AX21,'Detalle individual'!$F$5:$F$1000,BD$4))</f>
        <v/>
      </c>
      <c r="BF21" t="str">
        <f>IF(AND('Consolidado por área'!G21="Completo",LEFT(TRIM('Consolidado por área'!A21),7)="AGENCIA"),'Consolidado por área'!L21+ROW()/1000000000,"")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  <c r="AX22" t="str">
        <f>IF('Consolidado por Gerencia'!A22="","",'Consolidado por Gerencia'!A22)</f>
        <v/>
      </c>
      <c r="AY22" t="str">
        <f>IF($AX22="","",COUNTIFS('Detalle individual'!$D$5:$D$1000,$AX22,'Detalle individual'!$F$5:$F$1000,AY$4))</f>
        <v/>
      </c>
      <c r="AZ22" t="str">
        <f>IF($AX22="","",COUNTIFS('Detalle individual'!$D$5:$D$1000,$AX22,'Detalle individual'!$F$5:$F$1000,AZ$4))</f>
        <v/>
      </c>
      <c r="BA22" t="str">
        <f>IF($AX22="","",COUNTIFS('Detalle individual'!$D$5:$D$1000,$AX22,'Detalle individual'!$F$5:$F$1000,BA$4))</f>
        <v/>
      </c>
      <c r="BB22" t="str">
        <f>IF($AX22="","",COUNTIFS('Detalle individual'!$D$5:$D$1000,$AX22,'Detalle individual'!$F$5:$F$1000,BB$4))</f>
        <v/>
      </c>
      <c r="BC22" t="str">
        <f>IF($AX22="","",COUNTIFS('Detalle individual'!$D$5:$D$1000,$AX22,'Detalle individual'!$F$5:$F$1000,BC$4))</f>
        <v/>
      </c>
      <c r="BD22" t="str">
        <f>IF($AX22="","",COUNTIFS('Detalle individual'!$D$5:$D$1000,$AX22,'Detalle individual'!$F$5:$F$1000,BD$4))</f>
        <v/>
      </c>
      <c r="BF22" t="str">
        <f>IF(AND('Consolidado por área'!G22="Completo",LEFT(TRIM('Consolidado por área'!A22),7)="AGENCIA"),'Consolidado por área'!L22+ROW()/1000000000,"")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>
        <f>IF('Consolidado por área'!G23="Completo",'Consolidado por área'!L23+ROW()/1000000000,"")</f>
        <v>46310.56960650463</v>
      </c>
      <c r="AQ23" t="str">
        <f>IF('Base Exámenes'!C23="","",IF(COUNTIF('Base Exámenes'!$C$5:$C$1000,'Base Exámenes'!C23)&lt;2,"",MATCH('Base Exámenes'!C23,'Base Exámenes'!$C$5:$C$1000,0)*10000+ROW()))</f>
        <v/>
      </c>
      <c r="AX23" t="str">
        <f>IF('Consolidado por Gerencia'!A23="","",'Consolidado por Gerencia'!A23)</f>
        <v/>
      </c>
      <c r="AY23" t="str">
        <f>IF($AX23="","",COUNTIFS('Detalle individual'!$D$5:$D$1000,$AX23,'Detalle individual'!$F$5:$F$1000,AY$4))</f>
        <v/>
      </c>
      <c r="AZ23" t="str">
        <f>IF($AX23="","",COUNTIFS('Detalle individual'!$D$5:$D$1000,$AX23,'Detalle individual'!$F$5:$F$1000,AZ$4))</f>
        <v/>
      </c>
      <c r="BA23" t="str">
        <f>IF($AX23="","",COUNTIFS('Detalle individual'!$D$5:$D$1000,$AX23,'Detalle individual'!$F$5:$F$1000,BA$4))</f>
        <v/>
      </c>
      <c r="BB23" t="str">
        <f>IF($AX23="","",COUNTIFS('Detalle individual'!$D$5:$D$1000,$AX23,'Detalle individual'!$F$5:$F$1000,BB$4))</f>
        <v/>
      </c>
      <c r="BC23" t="str">
        <f>IF($AX23="","",COUNTIFS('Detalle individual'!$D$5:$D$1000,$AX23,'Detalle individual'!$F$5:$F$1000,BC$4))</f>
        <v/>
      </c>
      <c r="BD23" t="str">
        <f>IF($AX23="","",COUNTIFS('Detalle individual'!$D$5:$D$1000,$AX23,'Detalle individual'!$F$5:$F$1000,BD$4))</f>
        <v/>
      </c>
      <c r="BF23" t="str">
        <f>IF(AND('Consolidado por área'!G23="Completo",LEFT(TRIM('Consolidado por área'!A23),7)="AGENCIA"),'Consolidado por área'!L23+ROW()/1000000000,"")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  <c r="AX24" t="str">
        <f>IF('Consolidado por Gerencia'!A24="","",'Consolidado por Gerencia'!A24)</f>
        <v/>
      </c>
      <c r="AY24" t="str">
        <f>IF($AX24="","",COUNTIFS('Detalle individual'!$D$5:$D$1000,$AX24,'Detalle individual'!$F$5:$F$1000,AY$4))</f>
        <v/>
      </c>
      <c r="AZ24" t="str">
        <f>IF($AX24="","",COUNTIFS('Detalle individual'!$D$5:$D$1000,$AX24,'Detalle individual'!$F$5:$F$1000,AZ$4))</f>
        <v/>
      </c>
      <c r="BA24" t="str">
        <f>IF($AX24="","",COUNTIFS('Detalle individual'!$D$5:$D$1000,$AX24,'Detalle individual'!$F$5:$F$1000,BA$4))</f>
        <v/>
      </c>
      <c r="BB24" t="str">
        <f>IF($AX24="","",COUNTIFS('Detalle individual'!$D$5:$D$1000,$AX24,'Detalle individual'!$F$5:$F$1000,BB$4))</f>
        <v/>
      </c>
      <c r="BC24" t="str">
        <f>IF($AX24="","",COUNTIFS('Detalle individual'!$D$5:$D$1000,$AX24,'Detalle individual'!$F$5:$F$1000,BC$4))</f>
        <v/>
      </c>
      <c r="BD24" t="str">
        <f>IF($AX24="","",COUNTIFS('Detalle individual'!$D$5:$D$1000,$AX24,'Detalle individual'!$F$5:$F$1000,BD$4))</f>
        <v/>
      </c>
      <c r="BF24" t="str">
        <f>IF(AND('Consolidado por área'!G24="Completo",LEFT(TRIM('Consolidado por área'!A24),7)="AGENCIA"),'Consolidado por área'!L24+ROW()/1000000000,"")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  <c r="BF25" t="str">
        <f>IF(AND('Consolidado por área'!G25="Completo",LEFT(TRIM('Consolidado por área'!A25),7)="AGENCIA"),'Consolidado por área'!L25+ROW()/1000000000,"")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  <c r="BF26" t="str">
        <f>IF(AND('Consolidado por área'!G26="Completo",LEFT(TRIM('Consolidado por área'!A26),7)="AGENCIA"),'Consolidado por área'!L26+ROW()/1000000000,"")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>
        <f>IF('Consolidado por área'!G27="Completo",'Consolidado por área'!L27+ROW()/1000000000,"")</f>
        <v>46310.511469930556</v>
      </c>
      <c r="AQ27" t="str">
        <f>IF('Base Exámenes'!C27="","",IF(COUNTIF('Base Exámenes'!$C$5:$C$1000,'Base Exámenes'!C27)&lt;2,"",MATCH('Base Exámenes'!C27,'Base Exámenes'!$C$5:$C$1000,0)*10000+ROW()))</f>
        <v/>
      </c>
      <c r="BF27" t="str">
        <f>IF(AND('Consolidado por área'!G27="Completo",LEFT(TRIM('Consolidado por área'!A27),7)="AGENCIA"),'Consolidado por área'!L27+ROW()/1000000000,"")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 t="str">
        <f>IF('Consolidado por área'!G28="Completo",'Consolidado por área'!L28+ROW()/1000000000,"")</f>
        <v/>
      </c>
      <c r="AQ28" t="str">
        <f>IF('Base Exámenes'!C28="","",IF(COUNTIF('Base Exámenes'!$C$5:$C$1000,'Base Exámenes'!C28)&lt;2,"",MATCH('Base Exámenes'!C28,'Base Exámenes'!$C$5:$C$1000,0)*10000+ROW()))</f>
        <v/>
      </c>
      <c r="BF28" t="str">
        <f>IF(AND('Consolidado por área'!G28="Completo",LEFT(TRIM('Consolidado por área'!A28),7)="AGENCIA"),'Consolidado por área'!L28+ROW()/1000000000,"")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>
        <f>IF('Consolidado por área'!G29="Completo",'Consolidado por área'!L29+ROW()/1000000000,"")</f>
        <v>46302.441828738425</v>
      </c>
      <c r="AQ29" t="str">
        <f>IF('Base Exámenes'!C29="","",IF(COUNTIF('Base Exámenes'!$C$5:$C$1000,'Base Exámenes'!C29)&lt;2,"",MATCH('Base Exámenes'!C29,'Base Exámenes'!$C$5:$C$1000,0)*10000+ROW()))</f>
        <v/>
      </c>
      <c r="BF29" t="str">
        <f>IF(AND('Consolidado por área'!G29="Completo",LEFT(TRIM('Consolidado por área'!A29),7)="AGENCIA"),'Consolidado por área'!L29+ROW()/1000000000,"")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>
        <f>IF('Consolidado por área'!G30="Completo",'Consolidado por área'!L30+ROW()/1000000000,"")</f>
        <v>46311.62729170139</v>
      </c>
      <c r="AQ30" t="str">
        <f>IF('Base Exámenes'!C30="","",IF(COUNTIF('Base Exámenes'!$C$5:$C$1000,'Base Exámenes'!C30)&lt;2,"",MATCH('Base Exámenes'!C30,'Base Exámenes'!$C$5:$C$1000,0)*10000+ROW()))</f>
        <v/>
      </c>
      <c r="BF30" t="str">
        <f>IF(AND('Consolidado por área'!G30="Completo",LEFT(TRIM('Consolidado por área'!A30),7)="AGENCIA"),'Consolidado por área'!L30+ROW()/1000000000,"")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5</v>
      </c>
      <c r="E31">
        <f>IF($A31="","",'Consolidado por área'!E6)</f>
        <v>0</v>
      </c>
      <c r="F31">
        <f>IF($A31="","",IF(C31&gt;0,D31/C31,0))</f>
        <v>1</v>
      </c>
      <c r="G31">
        <f>IF($A31="","",F31*1000000+C31*10+(1000-ROW())/10000)</f>
        <v>1000050.0969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7</v>
      </c>
      <c r="L31" t="str">
        <f>IF($K31="","",INDEX($A$30:$A$109,K31)&amp;"   "&amp;TEXT(INDEX($F$30:$F$109,K31),"0%"))</f>
        <v>AGENCIA MERLIOT   100%</v>
      </c>
      <c r="M31">
        <f>IF($K31="","",INDEX($D$30:$D$109,K31))</f>
        <v>13</v>
      </c>
      <c r="N31">
        <f>IF($K31="","",INDEX($E$30:$E$109,K31))</f>
        <v>0</v>
      </c>
      <c r="O31" t="str">
        <f>IF($K31="","",INDEX($A$30:$A$109,K31))</f>
        <v>AGENCIA MERLIOT</v>
      </c>
      <c r="P31" t="str">
        <f>IF($K31="","",INDEX($B$30:$B$109,K31))</f>
        <v>Gerencia de Negocios</v>
      </c>
      <c r="Q31">
        <f>IF($K31="","",INDEX($C$30:$C$109,K31))</f>
        <v>13</v>
      </c>
      <c r="R31">
        <f>IF($K31="","",INDEX($F$30:$F$109,K31))</f>
        <v>1</v>
      </c>
      <c r="S31">
        <f>IF($K31="","",INDEX($H$30:$H$109,K31))</f>
        <v>95.7692307692308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  <c r="BF31" t="str">
        <f>IF(AND('Consolidado por área'!G31="Completo",LEFT(TRIM('Consolidado por área'!A31),7)="AGENCIA"),'Consolidado por área'!L31+ROW()/1000000000,"")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19</v>
      </c>
      <c r="L32" t="str">
        <f>IF($K32="","",INDEX($A$30:$A$109,K32)&amp;"   "&amp;TEXT(INDEX($F$30:$F$109,K32),"0%"))</f>
        <v>DEPARTAMENTO DE CONTABILIDAD   100%</v>
      </c>
      <c r="M32">
        <f>IF($K32="","",INDEX($D$30:$D$109,K32))</f>
        <v>13</v>
      </c>
      <c r="N32">
        <f>IF($K32="","",INDEX($E$30:$E$109,K32))</f>
        <v>0</v>
      </c>
      <c r="O32" t="str">
        <f>IF($K32="","",INDEX($A$30:$A$109,K32))</f>
        <v>DEPARTAMENTO DE CONTABILIDAD</v>
      </c>
      <c r="P32" t="str">
        <f>IF($K32="","",INDEX($B$30:$B$109,K32))</f>
        <v>Gerencia de Finanzas y Planificación</v>
      </c>
      <c r="Q32">
        <f>IF($K32="","",INDEX($C$30:$C$109,K32))</f>
        <v>13</v>
      </c>
      <c r="R32">
        <f>IF($K32="","",INDEX($F$30:$F$109,K32))</f>
        <v>1</v>
      </c>
      <c r="S32">
        <f>IF($K32="","",INDEX($H$30:$H$109,K32))</f>
        <v>98.0769230769231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  <c r="BF32" t="str">
        <f>IF(AND('Consolidado por área'!G32="Completo",LEFT(TRIM('Consolidado por área'!A32),7)="AGENCIA"),'Consolidado por área'!L32+ROW()/1000000000,"")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16</v>
      </c>
      <c r="D33">
        <f>IF($A33="","",'Consolidado por área'!D8)</f>
        <v>14</v>
      </c>
      <c r="E33">
        <f>IF($A33="","",'Consolidado por área'!E8)</f>
        <v>2</v>
      </c>
      <c r="F33">
        <f>IF($A33="","",IF(C33&gt;0,D33/C33,0))</f>
        <v>0.875</v>
      </c>
      <c r="G33">
        <f>IF($A33="","",F33*1000000+C33*10+(1000-ROW())/10000)</f>
        <v>875160.0967</v>
      </c>
      <c r="H33">
        <f>IF($A33="","",'Consolidado por área'!H8)</f>
        <v>96.4285714285714</v>
      </c>
      <c r="J33" t="n">
        <v>4</v>
      </c>
      <c r="K33">
        <f>IF(J33&gt;COUNT($G$30:$G$109),"",MATCH(LARGE($G$30:$G$109,J33),$G$30:$G$109,0))</f>
        <v>20</v>
      </c>
      <c r="L33" t="str">
        <f>IF($K33="","",INDEX($A$30:$A$109,K33)&amp;"   "&amp;TEXT(INDEX($F$30:$F$109,K33),"0%"))</f>
        <v>DEPARTAMENTO DE CREDITOS   100%</v>
      </c>
      <c r="M33">
        <f>IF($K33="","",INDEX($D$30:$D$109,K33))</f>
        <v>13</v>
      </c>
      <c r="N33">
        <f>IF($K33="","",INDEX($E$30:$E$109,K33))</f>
        <v>0</v>
      </c>
      <c r="O33" t="str">
        <f>IF($K33="","",INDEX($A$30:$A$109,K33))</f>
        <v>DEPARTAMENTO DE CREDITOS</v>
      </c>
      <c r="P33" t="str">
        <f>IF($K33="","",INDEX($B$30:$B$109,K33))</f>
        <v>Gerencia de Negocios</v>
      </c>
      <c r="Q33">
        <f>IF($K33="","",INDEX($C$30:$C$109,K33))</f>
        <v>13</v>
      </c>
      <c r="R33">
        <f>IF($K33="","",INDEX($F$30:$F$109,K33))</f>
        <v>1</v>
      </c>
      <c r="S33">
        <f>IF($K33="","",INDEX($H$30:$H$109,K33))</f>
        <v>98.4615384615385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>
        <f>IF('Consolidado por área'!G33="Completo",'Consolidado por área'!L33+ROW()/1000000000,"")</f>
        <v>46309.63932873843</v>
      </c>
      <c r="AQ33" t="str">
        <f>IF('Base Exámenes'!C33="","",IF(COUNTIF('Base Exámenes'!$C$5:$C$1000,'Base Exámenes'!C33)&lt;2,"",MATCH('Base Exámenes'!C33,'Base Exámenes'!$C$5:$C$1000,0)*10000+ROW()))</f>
        <v/>
      </c>
      <c r="BF33" t="str">
        <f>IF(AND('Consolidado por área'!G33="Completo",LEFT(TRIM('Consolidado por área'!A33),7)="AGENCIA"),'Consolidado por área'!L33+ROW()/1000000000,"")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11</v>
      </c>
      <c r="D34">
        <f>IF($A34="","",'Consolidado por área'!D9)</f>
        <v>11</v>
      </c>
      <c r="E34">
        <f>IF($A34="","",'Consolidado por área'!E9)</f>
        <v>0</v>
      </c>
      <c r="F34">
        <f>IF($A34="","",IF(C34&gt;0,D34/C34,0))</f>
        <v>1</v>
      </c>
      <c r="G34">
        <f>IF($A34="","",F34*1000000+C34*10+(1000-ROW())/10000)</f>
        <v>1000110.0966</v>
      </c>
      <c r="H34">
        <f>IF($A34="","",'Consolidado por área'!H9)</f>
        <v>97.2727272727273</v>
      </c>
      <c r="J34" t="n">
        <v>5</v>
      </c>
      <c r="K34">
        <f>IF(J34&gt;COUNT($G$30:$G$109),"",MATCH(LARGE($G$30:$G$109,J34),$G$30:$G$109,0))</f>
        <v>5</v>
      </c>
      <c r="L34" t="str">
        <f>IF($K34="","",INDEX($A$30:$A$109,K34)&amp;"   "&amp;TEXT(INDEX($F$30:$F$109,K34),"0%"))</f>
        <v>AGENCIA COLEGIO MEDICO   100%</v>
      </c>
      <c r="M34">
        <f>IF($K34="","",INDEX($D$30:$D$109,K34))</f>
        <v>11</v>
      </c>
      <c r="N34">
        <f>IF($K34="","",INDEX($E$30:$E$109,K34))</f>
        <v>0</v>
      </c>
      <c r="O34" t="str">
        <f>IF($K34="","",INDEX($A$30:$A$109,K34))</f>
        <v>AGENCIA COLEGIO MEDICO</v>
      </c>
      <c r="P34" t="str">
        <f>IF($K34="","",INDEX($B$30:$B$109,K34))</f>
        <v>Gerencia de Negocios</v>
      </c>
      <c r="Q34">
        <f>IF($K34="","",INDEX($C$30:$C$109,K34))</f>
        <v>11</v>
      </c>
      <c r="R34">
        <f>IF($K34="","",INDEX($F$30:$F$109,K34))</f>
        <v>1</v>
      </c>
      <c r="S34">
        <f>IF($K34="","",INDEX($H$30:$H$109,K34))</f>
        <v>97.2727272727273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  <c r="BF34" t="str">
        <f>IF(AND('Consolidado por área'!G34="Completo",LEFT(TRIM('Consolidado por área'!A34),7)="AGENCIA"),'Consolidado por área'!L34+ROW()/1000000000,"")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15</v>
      </c>
      <c r="E35">
        <f>IF($A35="","",'Consolidado por área'!E10)</f>
        <v>1</v>
      </c>
      <c r="F35">
        <f>IF($A35="","",IF(C35&gt;0,D35/C35,0))</f>
        <v>0.9375</v>
      </c>
      <c r="G35">
        <f>IF($A35="","",F35*1000000+C35*10+(1000-ROW())/10000)</f>
        <v>937660.0965</v>
      </c>
      <c r="H35">
        <f>IF($A35="","",'Consolidado por área'!H10)</f>
        <v>98.3333333333333</v>
      </c>
      <c r="J35" t="n">
        <v>6</v>
      </c>
      <c r="K35">
        <f>IF(J35&gt;COUNT($G$30:$G$109),"",MATCH(LARGE($G$30:$G$109,J35),$G$30:$G$109,0))</f>
        <v>16</v>
      </c>
      <c r="L35" t="str">
        <f>IF($K35="","",INDEX($A$30:$A$109,K35)&amp;"   "&amp;TEXT(INDEX($F$30:$F$109,K35),"0%"))</f>
        <v>DEPARTAMENTO DE ANALISIS Y PROGRAMACIÓN   100%</v>
      </c>
      <c r="M35">
        <f>IF($K35="","",INDEX($D$30:$D$109,K35))</f>
        <v>11</v>
      </c>
      <c r="N35">
        <f>IF($K35="","",INDEX($E$30:$E$109,K35))</f>
        <v>0</v>
      </c>
      <c r="O35" t="str">
        <f>IF($K35="","",INDEX($A$30:$A$109,K35))</f>
        <v>DEPARTAMENTO DE ANALISIS Y PROGRAMACIÓN</v>
      </c>
      <c r="P35" t="str">
        <f>IF($K35="","",INDEX($B$30:$B$109,K35))</f>
        <v>Gerencia de Sistemas</v>
      </c>
      <c r="Q35">
        <f>IF($K35="","",INDEX($C$30:$C$109,K35))</f>
        <v>11</v>
      </c>
      <c r="R35">
        <f>IF($K35="","",INDEX($F$30:$F$109,K35))</f>
        <v>1</v>
      </c>
      <c r="S35">
        <f>IF($K35="","",INDEX($H$30:$H$109,K35))</f>
        <v>100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>
        <f>IF('Consolidado por área'!G35="Completo",'Consolidado por área'!L35+ROW()/1000000000,"")</f>
        <v>46309.38841438657</v>
      </c>
      <c r="AQ35" t="str">
        <f>IF('Base Exámenes'!C35="","",IF(COUNTIF('Base Exámenes'!$C$5:$C$1000,'Base Exámenes'!C35)&lt;2,"",MATCH('Base Exámenes'!C35,'Base Exámenes'!$C$5:$C$1000,0)*10000+ROW()))</f>
        <v/>
      </c>
      <c r="BF35" t="str">
        <f>IF(AND('Consolidado por área'!G35="Completo",LEFT(TRIM('Consolidado por área'!A35),7)="AGENCIA"),'Consolidado por área'!L35+ROW()/1000000000,"")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>IF($A36="","",IF(C36&gt;0,D36/C36,0))</f>
        <v>1</v>
      </c>
      <c r="G36">
        <f>IF($A36="","",F36*1000000+C36*10+(1000-ROW())/10000)</f>
        <v>1000130.0964</v>
      </c>
      <c r="H36">
        <f>IF($A36="","",'Consolidado por área'!H11)</f>
        <v>95.7692307692308</v>
      </c>
      <c r="J36" t="n">
        <v>7</v>
      </c>
      <c r="K36">
        <f>IF(J36&gt;COUNT($G$30:$G$109),"",MATCH(LARGE($G$30:$G$109,J36),$G$30:$G$109,0))</f>
        <v>29</v>
      </c>
      <c r="L36" t="str">
        <f>IF($K36="","",INDEX($A$30:$A$109,K36)&amp;"   "&amp;TEXT(INDEX($F$30:$F$109,K36),"0%"))</f>
        <v>DEPARTAMENTO DE SEGUROS   100%</v>
      </c>
      <c r="M36">
        <f>IF($K36="","",INDEX($D$30:$D$109,K36))</f>
        <v>10</v>
      </c>
      <c r="N36">
        <f>IF($K36="","",INDEX($E$30:$E$109,K36))</f>
        <v>0</v>
      </c>
      <c r="O36" t="str">
        <f>IF($K36="","",INDEX($A$30:$A$109,K36))</f>
        <v>DEPARTAMENTO DE SEGUROS</v>
      </c>
      <c r="P36" t="str">
        <f>IF($K36="","",INDEX($B$30:$B$109,K36))</f>
        <v>Gerencia de Negocios</v>
      </c>
      <c r="Q36">
        <f>IF($K36="","",INDEX($C$30:$C$109,K36))</f>
        <v>10</v>
      </c>
      <c r="R36">
        <f>IF($K36="","",INDEX($F$30:$F$109,K36))</f>
        <v>1</v>
      </c>
      <c r="S36">
        <f>IF($K36="","",INDEX($H$30:$H$109,K36))</f>
        <v>97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>
        <f>IF('Consolidado por área'!G36="Completo",'Consolidado por área'!L36+ROW()/1000000000,"")</f>
        <v>46304.521423645834</v>
      </c>
      <c r="AQ36" t="str">
        <f>IF('Base Exámenes'!C36="","",IF(COUNTIF('Base Exámenes'!$C$5:$C$1000,'Base Exámenes'!C36)&lt;2,"",MATCH('Base Exámenes'!C36,'Base Exámenes'!$C$5:$C$1000,0)*10000+ROW()))</f>
        <v/>
      </c>
      <c r="BF36" t="str">
        <f>IF(AND('Consolidado por área'!G36="Completo",LEFT(TRIM('Consolidado por área'!A36),7)="AGENCIA"),'Consolidado por área'!L36+ROW()/1000000000,"")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>IF($A37="","",IF(C37&gt;0,D37/C37,0))</f>
        <v>1</v>
      </c>
      <c r="G37">
        <f>IF($A37="","",F37*1000000+C37*10+(1000-ROW())/10000)</f>
        <v>1000080.0963</v>
      </c>
      <c r="H37">
        <f>IF($A37="","",'Consolidado por área'!H12)</f>
        <v>98.75</v>
      </c>
      <c r="J37" t="n">
        <v>8</v>
      </c>
      <c r="K37">
        <f>IF(J37&gt;COUNT($G$30:$G$109),"",MATCH(LARGE($G$30:$G$109,J37),$G$30:$G$109,0))</f>
        <v>31</v>
      </c>
      <c r="L37" t="str">
        <f>IF($K37="","",INDEX($A$30:$A$109,K37)&amp;"   "&amp;TEXT(INDEX($F$30:$F$109,K37),"0%"))</f>
        <v>DEPARTAMENTO DE SOLUCIONES FINANCIERAS   100%</v>
      </c>
      <c r="M37">
        <f>IF($K37="","",INDEX($D$30:$D$109,K37))</f>
        <v>9</v>
      </c>
      <c r="N37">
        <f>IF($K37="","",INDEX($E$30:$E$109,K37))</f>
        <v>0</v>
      </c>
      <c r="O37" t="str">
        <f>IF($K37="","",INDEX($A$30:$A$109,K37))</f>
        <v>DEPARTAMENTO DE SOLUCIONES FINANCIERAS</v>
      </c>
      <c r="P37" t="str">
        <f>IF($K37="","",INDEX($B$30:$B$109,K37))</f>
        <v>Gerencia de Operaciones</v>
      </c>
      <c r="Q37">
        <f>IF($K37="","",INDEX($C$30:$C$109,K37))</f>
        <v>9</v>
      </c>
      <c r="R37">
        <f>IF($K37="","",INDEX($F$30:$F$109,K37))</f>
        <v>1</v>
      </c>
      <c r="S37">
        <f>IF($K37="","",INDEX($H$30:$H$109,K37))</f>
        <v>87.7777777777778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>
        <f>IF('Consolidado por área'!G37="Completo",'Consolidado por área'!L37+ROW()/1000000000,"")</f>
        <v>46311.516226886575</v>
      </c>
      <c r="AQ37" t="str">
        <f>IF('Base Exámenes'!C37="","",IF(COUNTIF('Base Exámenes'!$C$5:$C$1000,'Base Exámenes'!C37)&lt;2,"",MATCH('Base Exámenes'!C37,'Base Exámenes'!$C$5:$C$1000,0)*10000+ROW()))</f>
        <v/>
      </c>
      <c r="BF37" t="str">
        <f>IF(AND('Consolidado por área'!G37="Completo",LEFT(TRIM('Consolidado por área'!A37),7)="AGENCIA"),'Consolidado por área'!L37+ROW()/1000000000,"")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7</v>
      </c>
      <c r="D38">
        <f>IF($A38="","",'Consolidado por área'!D13)</f>
        <v>7</v>
      </c>
      <c r="E38">
        <f>IF($A38="","",'Consolidado por área'!E13)</f>
        <v>0</v>
      </c>
      <c r="F38">
        <f>IF($A38="","",IF(C38&gt;0,D38/C38,0))</f>
        <v>1</v>
      </c>
      <c r="G38">
        <f>IF($A38="","",F38*1000000+C38*10+(1000-ROW())/10000)</f>
        <v>1000070.0962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8</v>
      </c>
      <c r="L38" t="str">
        <f>IF($K38="","",INDEX($A$30:$A$109,K38)&amp;"   "&amp;TEXT(INDEX($F$30:$F$109,K38),"0%"))</f>
        <v>AGENCIA PLAZA MUNDO   100%</v>
      </c>
      <c r="M38">
        <f>IF($K38="","",INDEX($D$30:$D$109,K38))</f>
        <v>8</v>
      </c>
      <c r="N38">
        <f>IF($K38="","",INDEX($E$30:$E$109,K38))</f>
        <v>0</v>
      </c>
      <c r="O38" t="str">
        <f>IF($K38="","",INDEX($A$30:$A$109,K38))</f>
        <v>AGENCIA PLAZA MUNDO</v>
      </c>
      <c r="P38" t="str">
        <f>IF($K38="","",INDEX($B$30:$B$109,K38))</f>
        <v>Gerencia de Negocios</v>
      </c>
      <c r="Q38">
        <f>IF($K38="","",INDEX($C$30:$C$109,K38))</f>
        <v>8</v>
      </c>
      <c r="R38">
        <f>IF($K38="","",INDEX($F$30:$F$109,K38))</f>
        <v>1</v>
      </c>
      <c r="S38">
        <f>IF($K38="","",INDEX($H$30:$H$109,K38))</f>
        <v>98.75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  <c r="BF38" t="str">
        <f>IF(AND('Consolidado por área'!G38="Completo",LEFT(TRIM('Consolidado por área'!A38),7)="AGENCIA"),'Consolidado por área'!L38+ROW()/1000000000,"")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>IF($A39="","",IF(C39&gt;0,D39/C39,0))</f>
        <v>1</v>
      </c>
      <c r="G39">
        <f>IF($A39="","",F39*1000000+C39*10+(1000-ROW())/10000)</f>
        <v>1000080.0961</v>
      </c>
      <c r="H39">
        <f>IF($A39="","",'Consolidado por área'!H14)</f>
        <v>97.5</v>
      </c>
      <c r="J39" t="n">
        <v>10</v>
      </c>
      <c r="K39">
        <f>IF(J39&gt;COUNT($G$30:$G$109),"",MATCH(LARGE($G$30:$G$109,J39),$G$30:$G$109,0))</f>
        <v>10</v>
      </c>
      <c r="L39" t="str">
        <f>IF($K39="","",INDEX($A$30:$A$109,K39)&amp;"   "&amp;TEXT(INDEX($F$30:$F$109,K39),"0%"))</f>
        <v>AGENCIA SANTA ANA   100%</v>
      </c>
      <c r="M39">
        <f>IF($K39="","",INDEX($D$30:$D$109,K39))</f>
        <v>8</v>
      </c>
      <c r="N39">
        <f>IF($K39="","",INDEX($E$30:$E$109,K39))</f>
        <v>0</v>
      </c>
      <c r="O39" t="str">
        <f>IF($K39="","",INDEX($A$30:$A$109,K39))</f>
        <v>AGENCIA SANTA ANA</v>
      </c>
      <c r="P39" t="str">
        <f>IF($K39="","",INDEX($B$30:$B$109,K39))</f>
        <v>Gerencia de Negocios</v>
      </c>
      <c r="Q39">
        <f>IF($K39="","",INDEX($C$30:$C$109,K39))</f>
        <v>8</v>
      </c>
      <c r="R39">
        <f>IF($K39="","",INDEX($F$30:$F$109,K39))</f>
        <v>1</v>
      </c>
      <c r="S39">
        <f>IF($K39="","",INDEX($H$30:$H$109,K39))</f>
        <v>97.5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  <c r="BF39" t="str">
        <f>IF(AND('Consolidado por área'!G39="Completo",LEFT(TRIM('Consolidado por área'!A39),7)="AGENCIA"),'Consolidado por área'!L39+ROW()/1000000000,"")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7</v>
      </c>
      <c r="E40">
        <f>IF($A40="","",'Consolidado por área'!E15)</f>
        <v>0</v>
      </c>
      <c r="F40">
        <f>IF($A40="","",IF(C40&gt;0,D40/C40,0))</f>
        <v>1</v>
      </c>
      <c r="G40">
        <f>IF($A40="","",F40*1000000+C40*10+(1000-ROW())/10000)</f>
        <v>1000070.096</v>
      </c>
      <c r="H40">
        <f>IF($A40="","",'Consolidado por área'!H15)</f>
        <v>97.1428571428571</v>
      </c>
      <c r="J40" t="n">
        <v>11</v>
      </c>
      <c r="K40">
        <f>IF(J40&gt;COUNT($G$30:$G$109),"",MATCH(LARGE($G$30:$G$109,J40),$G$30:$G$109,0))</f>
        <v>34</v>
      </c>
      <c r="L40" t="str">
        <f>IF($K40="","",INDEX($A$30:$A$109,K40)&amp;"   "&amp;TEXT(INDEX($F$30:$F$109,K40),"0%"))</f>
        <v>DEPARTAMENTO LEGAL   100%</v>
      </c>
      <c r="M40">
        <f>IF($K40="","",INDEX($D$30:$D$109,K40))</f>
        <v>8</v>
      </c>
      <c r="N40">
        <f>IF($K40="","",INDEX($E$30:$E$109,K40))</f>
        <v>0</v>
      </c>
      <c r="O40" t="str">
        <f>IF($K40="","",INDEX($A$30:$A$109,K40))</f>
        <v>DEPARTAMENTO LEGAL</v>
      </c>
      <c r="P40" t="str">
        <f>IF($K40="","",INDEX($B$30:$B$109,K40))</f>
        <v>Gerencia Legal y Cumplimiento Normativo</v>
      </c>
      <c r="Q40">
        <f>IF($K40="","",INDEX($C$30:$C$109,K40))</f>
        <v>8</v>
      </c>
      <c r="R40">
        <f>IF($K40="","",INDEX($F$30:$F$109,K40))</f>
        <v>1</v>
      </c>
      <c r="S40">
        <f>IF($K40="","",INDEX($H$30:$H$109,K40))</f>
        <v>97.5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  <c r="BF40" t="str">
        <f>IF(AND('Consolidado por área'!G40="Completo",LEFT(TRIM('Consolidado por área'!A40),7)="AGENCIA"),'Consolidado por área'!L40+ROW()/1000000000,"")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9</v>
      </c>
      <c r="L41" t="str">
        <f>IF($K41="","",INDEX($A$30:$A$109,K41)&amp;"   "&amp;TEXT(INDEX($F$30:$F$109,K41),"0%"))</f>
        <v>AGENCIA SAN MIGUEL   100%</v>
      </c>
      <c r="M41">
        <f>IF($K41="","",INDEX($D$30:$D$109,K41))</f>
        <v>7</v>
      </c>
      <c r="N41">
        <f>IF($K41="","",INDEX($E$30:$E$109,K41))</f>
        <v>0</v>
      </c>
      <c r="O41" t="str">
        <f>IF($K41="","",INDEX($A$30:$A$109,K41))</f>
        <v>AGENCIA SAN MIGUEL</v>
      </c>
      <c r="P41" t="str">
        <f>IF($K41="","",INDEX($B$30:$B$109,K41))</f>
        <v>Gerencia de Negocios</v>
      </c>
      <c r="Q41">
        <f>IF($K41="","",INDEX($C$30:$C$109,K41))</f>
        <v>7</v>
      </c>
      <c r="R41">
        <f>IF($K41="","",INDEX($F$30:$F$109,K41))</f>
        <v>1</v>
      </c>
      <c r="S41">
        <f>IF($K41="","",INDEX($H$30:$H$109,K41))</f>
        <v>98.5714285714286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>
        <f>IF('Consolidado por área'!G41="Completo",'Consolidado por área'!L41+ROW()/1000000000,"")</f>
        <v>46310.619814861115</v>
      </c>
      <c r="AQ41" t="str">
        <f>IF('Base Exámenes'!C41="","",IF(COUNTIF('Base Exámenes'!$C$5:$C$1000,'Base Exámenes'!C41)&lt;2,"",MATCH('Base Exámenes'!C41,'Base Exámenes'!$C$5:$C$1000,0)*10000+ROW()))</f>
        <v/>
      </c>
      <c r="BF41" t="str">
        <f>IF(AND('Consolidado por área'!G41="Completo",LEFT(TRIM('Consolidado por área'!A41),7)="AGENCIA"),'Consolidado por área'!L41+ROW()/1000000000,"")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11</v>
      </c>
      <c r="L42" t="str">
        <f>IF($K42="","",INDEX($A$30:$A$109,K42)&amp;"   "&amp;TEXT(INDEX($F$30:$F$109,K42),"0%"))</f>
        <v>AGENCIA SONSONATE   100%</v>
      </c>
      <c r="M42">
        <f>IF($K42="","",INDEX($D$30:$D$109,K42))</f>
        <v>7</v>
      </c>
      <c r="N42">
        <f>IF($K42="","",INDEX($E$30:$E$109,K42))</f>
        <v>0</v>
      </c>
      <c r="O42" t="str">
        <f>IF($K42="","",INDEX($A$30:$A$109,K42))</f>
        <v>AGENCIA SONSONATE</v>
      </c>
      <c r="P42" t="str">
        <f>IF($K42="","",INDEX($B$30:$B$109,K42))</f>
        <v>Gerencia de Negocios</v>
      </c>
      <c r="Q42">
        <f>IF($K42="","",INDEX($C$30:$C$109,K42))</f>
        <v>7</v>
      </c>
      <c r="R42">
        <f>IF($K42="","",INDEX($F$30:$F$109,K42))</f>
        <v>1</v>
      </c>
      <c r="S42">
        <f>IF($K42="","",INDEX($H$30:$H$109,K42))</f>
        <v>97.1428571428571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 t="str">
        <f>IF('Consolidado por área'!G42="Completo",'Consolidado por área'!L42+ROW()/1000000000,"")</f>
        <v/>
      </c>
      <c r="AQ42" t="str">
        <f>IF('Base Exámenes'!C42="","",IF(COUNTIF('Base Exámenes'!$C$5:$C$1000,'Base Exámenes'!C42)&lt;2,"",MATCH('Base Exámenes'!C42,'Base Exámenes'!$C$5:$C$1000,0)*10000+ROW()))</f>
        <v/>
      </c>
      <c r="BF42" t="str">
        <f>IF(AND('Consolidado por área'!G42="Completo",LEFT(TRIM('Consolidado por área'!A42),7)="AGENCIA"),'Consolidado por área'!L42+ROW()/1000000000,"")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12</v>
      </c>
      <c r="L43" t="str">
        <f>IF($K43="","",INDEX($A$30:$A$109,K43)&amp;"   "&amp;TEXT(INDEX($F$30:$F$109,K43),"0%"))</f>
        <v>AGENCIA USULUTAN   100%</v>
      </c>
      <c r="M43">
        <f>IF($K43="","",INDEX($D$30:$D$109,K43))</f>
        <v>7</v>
      </c>
      <c r="N43">
        <f>IF($K43="","",INDEX($E$30:$E$109,K43))</f>
        <v>0</v>
      </c>
      <c r="O43" t="str">
        <f>IF($K43="","",INDEX($A$30:$A$109,K43))</f>
        <v>AGENCIA USULUTAN</v>
      </c>
      <c r="P43" t="str">
        <f>IF($K43="","",INDEX($B$30:$B$109,K43))</f>
        <v>Gerencia de Negocios</v>
      </c>
      <c r="Q43">
        <f>IF($K43="","",INDEX($C$30:$C$109,K43))</f>
        <v>7</v>
      </c>
      <c r="R43">
        <f>IF($K43="","",INDEX($F$30:$F$109,K43))</f>
        <v>1</v>
      </c>
      <c r="S43">
        <f>IF($K43="","",INDEX($H$30:$H$109,K43))</f>
        <v>100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>
        <f>IF('Consolidado por área'!G43="Completo",'Consolidado por área'!L43+ROW()/1000000000,"")</f>
        <v>46310.69674773148</v>
      </c>
      <c r="AQ43" t="str">
        <f>IF('Base Exámenes'!C43="","",IF(COUNTIF('Base Exámenes'!$C$5:$C$1000,'Base Exámenes'!C43)&lt;2,"",MATCH('Base Exámenes'!C43,'Base Exámenes'!$C$5:$C$1000,0)*10000+ROW()))</f>
        <v/>
      </c>
      <c r="BF43" t="str">
        <f>IF(AND('Consolidado por área'!G43="Completo",LEFT(TRIM('Consolidado por área'!A43),7)="AGENCIA"),'Consolidado por área'!L43+ROW()/1000000000,"")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7</v>
      </c>
      <c r="D44">
        <f>IF($A44="","",'Consolidado por área'!D19)</f>
        <v>7</v>
      </c>
      <c r="E44">
        <f>IF($A44="","",'Consolidado por área'!E19)</f>
        <v>0</v>
      </c>
      <c r="F44">
        <f>IF($A44="","",IF(C44&gt;0,D44/C44,0))</f>
        <v>1</v>
      </c>
      <c r="G44">
        <f>IF($A44="","",F44*1000000+C44*10+(1000-ROW())/10000)</f>
        <v>1000070.0956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15</v>
      </c>
      <c r="L44" t="str">
        <f>IF($K44="","",INDEX($A$30:$A$109,K44)&amp;"   "&amp;TEXT(INDEX($F$30:$F$109,K44),"0%"))</f>
        <v>DEPARTAMENTO COMERCIAL DE TARJETA DE CREDITO Y DEBITO   100%</v>
      </c>
      <c r="M44">
        <f>IF($K44="","",INDEX($D$30:$D$109,K44))</f>
        <v>7</v>
      </c>
      <c r="N44">
        <f>IF($K44="","",INDEX($E$30:$E$109,K44))</f>
        <v>0</v>
      </c>
      <c r="O44" t="str">
        <f>IF($K44="","",INDEX($A$30:$A$109,K44))</f>
        <v>DEPARTAMENTO COMERCIAL DE TARJETA DE CREDITO Y DEBITO</v>
      </c>
      <c r="P44" t="str">
        <f>IF($K44="","",INDEX($B$30:$B$109,K44))</f>
        <v>Gerencia de Negocios</v>
      </c>
      <c r="Q44">
        <f>IF($K44="","",INDEX($C$30:$C$109,K44))</f>
        <v>7</v>
      </c>
      <c r="R44">
        <f>IF($K44="","",INDEX($F$30:$F$109,K44))</f>
        <v>1</v>
      </c>
      <c r="S44">
        <f>IF($K44="","",INDEX($H$30:$H$109,K44))</f>
        <v>86.4285714285714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  <c r="BF44" t="str">
        <f>IF(AND('Consolidado por área'!G44="Completo",LEFT(TRIM('Consolidado por área'!A44),7)="AGENCIA"),'Consolidado por área'!L44+ROW()/1000000000,"")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>IF($A45="","",IF(C45&gt;0,D45/C45,0))</f>
        <v>1</v>
      </c>
      <c r="G45">
        <f>IF($A45="","",F45*1000000+C45*10+(1000-ROW())/10000)</f>
        <v>1000110.0955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17</v>
      </c>
      <c r="L45" t="str">
        <f>IF($K45="","",INDEX($A$30:$A$109,K45)&amp;"   "&amp;TEXT(INDEX($F$30:$F$109,K45),"0%"))</f>
        <v>DEPARTAMENTO DE ATENCION A ASOCIADO Y CLIENTE   100%</v>
      </c>
      <c r="M45">
        <f>IF($K45="","",INDEX($D$30:$D$109,K45))</f>
        <v>7</v>
      </c>
      <c r="N45">
        <f>IF($K45="","",INDEX($E$30:$E$109,K45))</f>
        <v>0</v>
      </c>
      <c r="O45" t="str">
        <f>IF($K45="","",INDEX($A$30:$A$109,K45))</f>
        <v>DEPARTAMENTO DE ATENCION A ASOCIADO Y CLIENTE</v>
      </c>
      <c r="P45" t="str">
        <f>IF($K45="","",INDEX($B$30:$B$109,K45))</f>
        <v>Gerencia de Negocios</v>
      </c>
      <c r="Q45">
        <f>IF($K45="","",INDEX($C$30:$C$109,K45))</f>
        <v>7</v>
      </c>
      <c r="R45">
        <f>IF($K45="","",INDEX($F$30:$F$109,K45))</f>
        <v>1</v>
      </c>
      <c r="S45">
        <f>IF($K45="","",INDEX($H$30:$H$109,K45))</f>
        <v>95.7142857142857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  <c r="BF45" t="str">
        <f>IF(AND('Consolidado por área'!G45="Completo",LEFT(TRIM('Consolidado por área'!A45),7)="AGENCIA"),'Consolidado por área'!L45+ROW()/1000000000,"")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>IF($A46="","",IF(C46&gt;0,D46/C46,0))</f>
        <v>1</v>
      </c>
      <c r="G46">
        <f>IF($A46="","",F46*1000000+C46*10+(1000-ROW())/10000)</f>
        <v>1000070.0954</v>
      </c>
      <c r="H46">
        <f>IF($A46="","",'Consolidado por área'!H21)</f>
        <v>95.7142857142857</v>
      </c>
      <c r="J46" t="n">
        <v>17</v>
      </c>
      <c r="K46">
        <f>IF(J46&gt;COUNT($G$30:$G$109),"",MATCH(LARGE($G$30:$G$109,J46),$G$30:$G$109,0))</f>
        <v>18</v>
      </c>
      <c r="L46" t="str">
        <f>IF($K46="","",INDEX($A$30:$A$109,K46)&amp;"   "&amp;TEXT(INDEX($F$30:$F$109,K46),"0%"))</f>
        <v>DEPARTAMENTO DE AUDITORIA INTERNA   100%</v>
      </c>
      <c r="M46">
        <f>IF($K46="","",INDEX($D$30:$D$109,K46))</f>
        <v>7</v>
      </c>
      <c r="N46">
        <f>IF($K46="","",INDEX($E$30:$E$109,K46))</f>
        <v>0</v>
      </c>
      <c r="O46" t="str">
        <f>IF($K46="","",INDEX($A$30:$A$109,K46))</f>
        <v>DEPARTAMENTO DE AUDITORIA INTERNA</v>
      </c>
      <c r="P46" t="str">
        <f>IF($K46="","",INDEX($B$30:$B$109,K46))</f>
        <v>Auditoría Interna</v>
      </c>
      <c r="Q46">
        <f>IF($K46="","",INDEX($C$30:$C$109,K46))</f>
        <v>7</v>
      </c>
      <c r="R46">
        <f>IF($K46="","",INDEX($F$30:$F$109,K46))</f>
        <v>1</v>
      </c>
      <c r="S46">
        <f>IF($K46="","",INDEX($H$30:$H$109,K46))</f>
        <v>97.1428571428571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  <c r="BF46" t="str">
        <f>IF(AND('Consolidado por área'!G46="Completo",LEFT(TRIM('Consolidado por área'!A46),7)="AGENCIA"),'Consolidado por área'!L46+ROW()/1000000000,"")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42</v>
      </c>
      <c r="L47" t="str">
        <f>IF($K47="","",INDEX($A$30:$A$109,K47)&amp;"   "&amp;TEXT(INDEX($F$30:$F$109,K47),"0%"))</f>
        <v>OFICIALIA DE CUMPLIMIENTO   100%</v>
      </c>
      <c r="M47">
        <f>IF($K47="","",INDEX($D$30:$D$109,K47))</f>
        <v>7</v>
      </c>
      <c r="N47">
        <f>IF($K47="","",INDEX($E$30:$E$109,K47))</f>
        <v>0</v>
      </c>
      <c r="O47" t="str">
        <f>IF($K47="","",INDEX($A$30:$A$109,K47))</f>
        <v>OFICIALIA DE CUMPLIMIENTO</v>
      </c>
      <c r="P47" t="str">
        <f>IF($K47="","",INDEX($B$30:$B$109,K47))</f>
        <v>Gerencia de Oficialía de Cumplimiento</v>
      </c>
      <c r="Q47">
        <f>IF($K47="","",INDEX($C$30:$C$109,K47))</f>
        <v>7</v>
      </c>
      <c r="R47">
        <f>IF($K47="","",INDEX($F$30:$F$109,K47))</f>
        <v>1</v>
      </c>
      <c r="S47">
        <f>IF($K47="","",INDEX($H$30:$H$109,K47))</f>
        <v>100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  <c r="BF47" t="str">
        <f>IF(AND('Consolidado por área'!G47="Completo",LEFT(TRIM('Consolidado por área'!A47),7)="AGENCIA"),'Consolidado por área'!L47+ROW()/1000000000,"")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>IF($A48="","",IF(C48&gt;0,D48/C48,0))</f>
        <v>1</v>
      </c>
      <c r="G48">
        <f>IF($A48="","",F48*1000000+C48*10+(1000-ROW())/10000)</f>
        <v>1000130.0952</v>
      </c>
      <c r="H48">
        <f>IF($A48="","",'Consolidado por área'!H23)</f>
        <v>98.0769230769231</v>
      </c>
      <c r="J48" t="n">
        <v>19</v>
      </c>
      <c r="K48">
        <f>IF(J48&gt;COUNT($G$30:$G$109),"",MATCH(LARGE($G$30:$G$109,J48),$G$30:$G$109,0))</f>
        <v>44</v>
      </c>
      <c r="L48" t="str">
        <f>IF($K48="","",INDEX($A$30:$A$109,K48)&amp;"   "&amp;TEXT(INDEX($F$30:$F$109,K48),"0%"))</f>
        <v>SUB GERENCIA DE CANALES   100%</v>
      </c>
      <c r="M48">
        <f>IF($K48="","",INDEX($D$30:$D$109,K48))</f>
        <v>7</v>
      </c>
      <c r="N48">
        <f>IF($K48="","",INDEX($E$30:$E$109,K48))</f>
        <v>0</v>
      </c>
      <c r="O48" t="str">
        <f>IF($K48="","",INDEX($A$30:$A$109,K48))</f>
        <v>SUB GERENCIA DE CANALES</v>
      </c>
      <c r="P48" t="str">
        <f>IF($K48="","",INDEX($B$30:$B$109,K48))</f>
        <v>Gerencia de Negocios</v>
      </c>
      <c r="Q48">
        <f>IF($K48="","",INDEX($C$30:$C$109,K48))</f>
        <v>7</v>
      </c>
      <c r="R48">
        <f>IF($K48="","",INDEX($F$30:$F$109,K48))</f>
        <v>1</v>
      </c>
      <c r="S48">
        <f>IF($K48="","",INDEX($H$30:$H$109,K48))</f>
        <v>98.5714285714286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  <c r="BF48" t="str">
        <f>IF(AND('Consolidado por área'!G48="Completo",LEFT(TRIM('Consolidado por área'!A48),7)="AGENCIA"),'Consolidado por área'!L48+ROW()/1000000000,"")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21</v>
      </c>
      <c r="L49" t="str">
        <f>IF($K49="","",INDEX($A$30:$A$109,K49)&amp;"   "&amp;TEXT(INDEX($F$30:$F$109,K49),"0%"))</f>
        <v>DEPARTAMENTO DE CUSTODIA DE GARANTÍA Y VALORES   100%</v>
      </c>
      <c r="M49">
        <f>IF($K49="","",INDEX($D$30:$D$109,K49))</f>
        <v>6</v>
      </c>
      <c r="N49">
        <f>IF($K49="","",INDEX($E$30:$E$109,K49))</f>
        <v>0</v>
      </c>
      <c r="O49" t="str">
        <f>IF($K49="","",INDEX($A$30:$A$109,K49))</f>
        <v>DEPARTAMENTO DE CUSTODIA DE GARANTÍA Y VALORES</v>
      </c>
      <c r="P49" t="str">
        <f>IF($K49="","",INDEX($B$30:$B$109,K49))</f>
        <v>Gerencia Administrativa</v>
      </c>
      <c r="Q49">
        <f>IF($K49="","",INDEX($C$30:$C$109,K49))</f>
        <v>6</v>
      </c>
      <c r="R49">
        <f>IF($K49="","",INDEX($F$30:$F$109,K49))</f>
        <v>1</v>
      </c>
      <c r="S49">
        <f>IF($K49="","",INDEX($H$30:$H$109,K49))</f>
        <v>100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>24450049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 t="str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  <c r="BF49" t="str">
        <f>IF(AND('Consolidado por área'!G49="Completo",LEFT(TRIM('Consolidado por área'!A49),7)="AGENCIA"),'Consolidado por área'!L49+ROW()/1000000000,"")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25</v>
      </c>
      <c r="L50" t="str">
        <f>IF($K50="","",INDEX($A$30:$A$109,K50)&amp;"   "&amp;TEXT(INDEX($F$30:$F$109,K50),"0%"))</f>
        <v>DEPARTAMENTO DE OPERACIONES Y SOPORTE TECNICO   100%</v>
      </c>
      <c r="M50">
        <f>IF($K50="","",INDEX($D$30:$D$109,K50))</f>
        <v>6</v>
      </c>
      <c r="N50">
        <f>IF($K50="","",INDEX($E$30:$E$109,K50))</f>
        <v>0</v>
      </c>
      <c r="O50" t="str">
        <f>IF($K50="","",INDEX($A$30:$A$109,K50))</f>
        <v>DEPARTAMENTO DE OPERACIONES Y SOPORTE TECNICO</v>
      </c>
      <c r="P50" t="str">
        <f>IF($K50="","",INDEX($B$30:$B$109,K50))</f>
        <v>Gerencia de Sistemas</v>
      </c>
      <c r="Q50">
        <f>IF($K50="","",INDEX($C$30:$C$109,K50))</f>
        <v>6</v>
      </c>
      <c r="R50">
        <f>IF($K50="","",INDEX($F$30:$F$109,K50))</f>
        <v>1</v>
      </c>
      <c r="S50">
        <f>IF($K50="","",INDEX($H$30:$H$109,K50))</f>
        <v>100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  <c r="BF50" t="str">
        <f>IF(AND('Consolidado por área'!G50="Completo",LEFT(TRIM('Consolidado por área'!A50),7)="AGENCIA"),'Consolidado por área'!L50+ROW()/1000000000,"")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2</v>
      </c>
      <c r="L51" t="str">
        <f>IF($K51="","",INDEX($A$30:$A$109,K51)&amp;"   "&amp;TEXT(INDEX($F$30:$F$109,K51),"0%"))</f>
        <v>ADMINISTRACIÓN DE CARTERAS   100%</v>
      </c>
      <c r="M51">
        <f>IF($K51="","",INDEX($D$30:$D$109,K51))</f>
        <v>5</v>
      </c>
      <c r="N51">
        <f>IF($K51="","",INDEX($E$30:$E$109,K51))</f>
        <v>0</v>
      </c>
      <c r="O51" t="str">
        <f>IF($K51="","",INDEX($A$30:$A$109,K51))</f>
        <v>ADMINISTRACIÓN DE CARTERAS</v>
      </c>
      <c r="P51" t="str">
        <f>IF($K51="","",INDEX($B$30:$B$109,K51))</f>
        <v>Gerencia de Operaciones</v>
      </c>
      <c r="Q51">
        <f>IF($K51="","",INDEX($C$30:$C$109,K51))</f>
        <v>5</v>
      </c>
      <c r="R51">
        <f>IF($K51="","",INDEX($F$30:$F$109,K51))</f>
        <v>1</v>
      </c>
      <c r="S51">
        <f>IF($K51="","",INDEX($H$30:$H$109,K51))</f>
        <v>100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  <c r="BF51" t="str">
        <f>IF(AND('Consolidado por área'!G51="Completo",LEFT(TRIM('Consolidado por área'!A51),7)="AGENCIA"),'Consolidado por área'!L51+ROW()/1000000000,"")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>IF($A52="","",IF(C52&gt;0,D52/C52,0))</f>
        <v>1</v>
      </c>
      <c r="G52">
        <f>IF($A52="","",F52*1000000+C52*10+(1000-ROW())/10000)</f>
        <v>1000030.0948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33</v>
      </c>
      <c r="L52" t="str">
        <f>IF($K52="","",INDEX($A$30:$A$109,K52)&amp;"   "&amp;TEXT(INDEX($F$30:$F$109,K52),"0%"))</f>
        <v>DEPARTAMENTO DE TARJETA DE CREDITO Y DEBITO   100%</v>
      </c>
      <c r="M52">
        <f>IF($K52="","",INDEX($D$30:$D$109,K52))</f>
        <v>5</v>
      </c>
      <c r="N52">
        <f>IF($K52="","",INDEX($E$30:$E$109,K52))</f>
        <v>0</v>
      </c>
      <c r="O52" t="str">
        <f>IF($K52="","",INDEX($A$30:$A$109,K52))</f>
        <v>DEPARTAMENTO DE TARJETA DE CREDITO Y DEBITO</v>
      </c>
      <c r="P52" t="str">
        <f>IF($K52="","",INDEX($B$30:$B$109,K52))</f>
        <v>Gerencia de Operaciones</v>
      </c>
      <c r="Q52">
        <f>IF($K52="","",INDEX($C$30:$C$109,K52))</f>
        <v>5</v>
      </c>
      <c r="R52">
        <f>IF($K52="","",INDEX($F$30:$F$109,K52))</f>
        <v>1</v>
      </c>
      <c r="S52">
        <f>IF($K52="","",INDEX($H$30:$H$109,K52))</f>
        <v>99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  <c r="BF52" t="str">
        <f>IF(AND('Consolidado por área'!G52="Completo",LEFT(TRIM('Consolidado por área'!A52),7)="AGENCIA"),'Consolidado por área'!L52+ROW()/1000000000,"")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6</v>
      </c>
      <c r="E53">
        <f>IF($A53="","",'Consolidado por área'!E28)</f>
        <v>1</v>
      </c>
      <c r="F53">
        <f>IF($A53="","",IF(C53&gt;0,D53/C53,0))</f>
        <v>0.857142857142857</v>
      </c>
      <c r="G53">
        <f>IF($A53="","",F53*1000000+C53*10+(1000-ROW())/10000)</f>
        <v>857212.951842857</v>
      </c>
      <c r="H53">
        <f>IF($A53="","",'Consolidado por área'!H28)</f>
        <v>95</v>
      </c>
      <c r="J53" t="n">
        <v>24</v>
      </c>
      <c r="K53">
        <f>IF(J53&gt;COUNT($G$30:$G$109),"",MATCH(LARGE($G$30:$G$109,J53),$G$30:$G$109,0))</f>
        <v>3</v>
      </c>
      <c r="L53" t="str">
        <f>IF($K53="","",INDEX($A$30:$A$109,K53)&amp;"   "&amp;TEXT(INDEX($F$30:$F$109,K53),"0%"))</f>
        <v>ADMINISTRACION DE RIESGOS   100%</v>
      </c>
      <c r="M53">
        <f>IF($K53="","",INDEX($D$30:$D$109,K53))</f>
        <v>4</v>
      </c>
      <c r="N53">
        <f>IF($K53="","",INDEX($E$30:$E$109,K53))</f>
        <v>0</v>
      </c>
      <c r="O53" t="str">
        <f>IF($K53="","",INDEX($A$30:$A$109,K53))</f>
        <v>ADMINISTRACION DE RIESGOS</v>
      </c>
      <c r="P53" t="str">
        <f>IF($K53="","",INDEX($B$30:$B$109,K53))</f>
        <v>Gerencia General</v>
      </c>
      <c r="Q53">
        <f>IF($K53="","",INDEX($C$30:$C$109,K53))</f>
        <v>4</v>
      </c>
      <c r="R53">
        <f>IF($K53="","",INDEX($F$30:$F$109,K53))</f>
        <v>1</v>
      </c>
      <c r="S53">
        <f>IF($K53="","",INDEX($H$30:$H$109,K53))</f>
        <v>100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  <c r="BF53" t="str">
        <f>IF(AND('Consolidado por área'!G53="Completo",LEFT(TRIM('Consolidado por área'!A53),7)="AGENCIA"),'Consolidado por área'!L53+ROW()/1000000000,"")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6</v>
      </c>
      <c r="D54">
        <f>IF($A54="","",'Consolidado por área'!D29)</f>
        <v>6</v>
      </c>
      <c r="E54">
        <f>IF($A54="","",'Consolidado por área'!E29)</f>
        <v>0</v>
      </c>
      <c r="F54">
        <f>IF($A54="","",IF(C54&gt;0,D54/C54,0))</f>
        <v>1</v>
      </c>
      <c r="G54">
        <f>IF($A54="","",F54*1000000+C54*10+(1000-ROW())/10000)</f>
        <v>1000060.0946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22</v>
      </c>
      <c r="L54" t="str">
        <f>IF($K54="","",INDEX($A$30:$A$109,K54)&amp;"   "&amp;TEXT(INDEX($F$30:$F$109,K54),"0%"))</f>
        <v>DEPARTAMENTO DE DEPOSITOS   100%</v>
      </c>
      <c r="M54">
        <f>IF($K54="","",INDEX($D$30:$D$109,K54))</f>
        <v>4</v>
      </c>
      <c r="N54">
        <f>IF($K54="","",INDEX($E$30:$E$109,K54))</f>
        <v>0</v>
      </c>
      <c r="O54" t="str">
        <f>IF($K54="","",INDEX($A$30:$A$109,K54))</f>
        <v>DEPARTAMENTO DE DEPOSITOS</v>
      </c>
      <c r="P54" t="str">
        <f>IF($K54="","",INDEX($B$30:$B$109,K54))</f>
        <v>Gerencia de Operaciones</v>
      </c>
      <c r="Q54">
        <f>IF($K54="","",INDEX($C$30:$C$109,K54))</f>
        <v>4</v>
      </c>
      <c r="R54">
        <f>IF($K54="","",INDEX($F$30:$F$109,K54))</f>
        <v>1</v>
      </c>
      <c r="S54">
        <f>IF($K54="","",INDEX($H$30:$H$109,K54))</f>
        <v>98.75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  <c r="BF54" t="str">
        <f>IF(AND('Consolidado por área'!G54="Completo",LEFT(TRIM('Consolidado por área'!A54),7)="AGENCIA"),'Consolidado por área'!L54+ROW()/1000000000,"")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3</v>
      </c>
      <c r="E55">
        <f>IF($A55="","",'Consolidado por área'!E30)</f>
        <v>0</v>
      </c>
      <c r="F55">
        <f>IF($A55="","",IF(C55&gt;0,D55/C55,0))</f>
        <v>1</v>
      </c>
      <c r="G55">
        <f>IF($A55="","",F55*1000000+C55*10+(1000-ROW())/10000)</f>
        <v>1000030.0945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37</v>
      </c>
      <c r="L55" t="str">
        <f>IF($K55="","",INDEX($A$30:$A$109,K55)&amp;"   "&amp;TEXT(INDEX($F$30:$F$109,K55),"0%"))</f>
        <v>GERENCIA DE NEGOCIOS   100%</v>
      </c>
      <c r="M55">
        <f>IF($K55="","",INDEX($D$30:$D$109,K55))</f>
        <v>4</v>
      </c>
      <c r="N55">
        <f>IF($K55="","",INDEX($E$30:$E$109,K55))</f>
        <v>0</v>
      </c>
      <c r="O55" t="str">
        <f>IF($K55="","",INDEX($A$30:$A$109,K55))</f>
        <v>GERENCIA DE NEGOCIOS</v>
      </c>
      <c r="P55" t="str">
        <f>IF($K55="","",INDEX($B$30:$B$109,K55))</f>
        <v>Gerencia de Negocios</v>
      </c>
      <c r="Q55">
        <f>IF($K55="","",INDEX($C$30:$C$109,K55))</f>
        <v>4</v>
      </c>
      <c r="R55">
        <f>IF($K55="","",INDEX($F$30:$F$109,K55))</f>
        <v>1</v>
      </c>
      <c r="S55">
        <f>IF($K55="","",INDEX($H$30:$H$109,K55))</f>
        <v>100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  <c r="BF55" t="str">
        <f>IF(AND('Consolidado por área'!G55="Completo",LEFT(TRIM('Consolidado por área'!A55),7)="AGENCIA"),'Consolidado por área'!L55+ROW()/1000000000,"")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39</v>
      </c>
      <c r="L56" t="str">
        <f>IF($K56="","",INDEX($A$30:$A$109,K56)&amp;"   "&amp;TEXT(INDEX($F$30:$F$109,K56),"0%"))</f>
        <v>GERENCIA DE SISTEMAS   100%</v>
      </c>
      <c r="M56">
        <f>IF($K56="","",INDEX($D$30:$D$109,K56))</f>
        <v>4</v>
      </c>
      <c r="N56">
        <f>IF($K56="","",INDEX($E$30:$E$109,K56))</f>
        <v>0</v>
      </c>
      <c r="O56" t="str">
        <f>IF($K56="","",INDEX($A$30:$A$109,K56))</f>
        <v>GERENCIA DE SISTEMAS</v>
      </c>
      <c r="P56" t="str">
        <f>IF($K56="","",INDEX($B$30:$B$109,K56))</f>
        <v>Gerencia de Sistemas</v>
      </c>
      <c r="Q56">
        <f>IF($K56="","",INDEX($C$30:$C$109,K56))</f>
        <v>4</v>
      </c>
      <c r="R56">
        <f>IF($K56="","",INDEX($F$30:$F$109,K56))</f>
        <v>1</v>
      </c>
      <c r="S56">
        <f>IF($K56="","",INDEX($H$30:$H$109,K56))</f>
        <v>98.75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>38820056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  <c r="BF56" t="str">
        <f>IF(AND('Consolidado por área'!G56="Completo",LEFT(TRIM('Consolidado por área'!A56),7)="AGENCIA"),'Consolidado por área'!L56+ROW()/1000000000,"")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43</v>
      </c>
      <c r="L57" t="str">
        <f>IF($K57="","",INDEX($A$30:$A$109,K57)&amp;"   "&amp;TEXT(INDEX($F$30:$F$109,K57),"0%"))</f>
        <v>OFICIALIA DE SEGURIDAD DE LA INFORMACION   100%</v>
      </c>
      <c r="M57">
        <f>IF($K57="","",INDEX($D$30:$D$109,K57))</f>
        <v>4</v>
      </c>
      <c r="N57">
        <f>IF($K57="","",INDEX($E$30:$E$109,K57))</f>
        <v>0</v>
      </c>
      <c r="O57" t="str">
        <f>IF($K57="","",INDEX($A$30:$A$109,K57))</f>
        <v>OFICIALIA DE SEGURIDAD DE LA INFORMACION</v>
      </c>
      <c r="P57" t="str">
        <f>IF($K57="","",INDEX($B$30:$B$109,K57))</f>
        <v>Gerencia General</v>
      </c>
      <c r="Q57">
        <f>IF($K57="","",INDEX($C$30:$C$109,K57))</f>
        <v>4</v>
      </c>
      <c r="R57">
        <f>IF($K57="","",INDEX($F$30:$F$109,K57))</f>
        <v>1</v>
      </c>
      <c r="S57">
        <f>IF($K57="","",INDEX($H$30:$H$109,K57))</f>
        <v>96.25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  <c r="BF57" t="str">
        <f>IF(AND('Consolidado por área'!G57="Completo",LEFT(TRIM('Consolidado por área'!A57),7)="AGENCIA"),'Consolidado por área'!L57+ROW()/1000000000,"")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10</v>
      </c>
      <c r="D58">
        <f>IF($A58="","",'Consolidado por área'!D33)</f>
        <v>10</v>
      </c>
      <c r="E58">
        <f>IF($A58="","",'Consolidado por área'!E33)</f>
        <v>0</v>
      </c>
      <c r="F58">
        <f>IF($A58="","",IF(C58&gt;0,D58/C58,0))</f>
        <v>1</v>
      </c>
      <c r="G58">
        <f>IF($A58="","",F58*1000000+C58*10+(1000-ROW())/10000)</f>
        <v>1000100.0942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23</v>
      </c>
      <c r="L58" t="str">
        <f>IF($K58="","",INDEX($A$30:$A$109,K58)&amp;"   "&amp;TEXT(INDEX($F$30:$F$109,K58),"0%"))</f>
        <v>DEPARTAMENTO DE EDUCACION Y RESPONSABILIDAD SOCIAL   100%</v>
      </c>
      <c r="M58">
        <f>IF($K58="","",INDEX($D$30:$D$109,K58))</f>
        <v>3</v>
      </c>
      <c r="N58">
        <f>IF($K58="","",INDEX($E$30:$E$109,K58))</f>
        <v>0</v>
      </c>
      <c r="O58" t="str">
        <f>IF($K58="","",INDEX($A$30:$A$109,K58))</f>
        <v>DEPARTAMENTO DE EDUCACION Y RESPONSABILIDAD SOCIAL</v>
      </c>
      <c r="P58" t="str">
        <f>IF($K58="","",INDEX($B$30:$B$109,K58))</f>
        <v>Gerencia Administrativa</v>
      </c>
      <c r="Q58">
        <f>IF($K58="","",INDEX($C$30:$C$109,K58))</f>
        <v>3</v>
      </c>
      <c r="R58">
        <f>IF($K58="","",INDEX($F$30:$F$109,K58))</f>
        <v>1</v>
      </c>
      <c r="S58">
        <f>IF($K58="","",INDEX($H$30:$H$109,K58))</f>
        <v>100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>38820058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  <c r="BF58" t="str">
        <f>IF(AND('Consolidado por área'!G58="Completo",LEFT(TRIM('Consolidado por área'!A58),7)="AGENCIA"),'Consolidado por área'!L58+ROW()/1000000000,"")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26</v>
      </c>
      <c r="L59" t="str">
        <f>IF($K59="","",INDEX($A$30:$A$109,K59)&amp;"   "&amp;TEXT(INDEX($F$30:$F$109,K59),"0%"))</f>
        <v>DEPARTAMENTO DE PLANIFICACIÓN Y ANALISIS   100%</v>
      </c>
      <c r="M59">
        <f>IF($K59="","",INDEX($D$30:$D$109,K59))</f>
        <v>3</v>
      </c>
      <c r="N59">
        <f>IF($K59="","",INDEX($E$30:$E$109,K59))</f>
        <v>0</v>
      </c>
      <c r="O59" t="str">
        <f>IF($K59="","",INDEX($A$30:$A$109,K59))</f>
        <v>DEPARTAMENTO DE PLANIFICACIÓN Y ANALISIS</v>
      </c>
      <c r="P59" t="str">
        <f>IF($K59="","",INDEX($B$30:$B$109,K59))</f>
        <v>Gerencia de Finanzas y Planificación</v>
      </c>
      <c r="Q59">
        <f>IF($K59="","",INDEX($C$30:$C$109,K59))</f>
        <v>3</v>
      </c>
      <c r="R59">
        <f>IF($K59="","",INDEX($F$30:$F$109,K59))</f>
        <v>1</v>
      </c>
      <c r="S59">
        <f>IF($K59="","",INDEX($H$30:$H$109,K59))</f>
        <v>100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  <c r="BF59" t="str">
        <f>IF(AND('Consolidado por área'!G59="Completo",LEFT(TRIM('Consolidado por área'!A59),7)="AGENCIA"),'Consolidado por área'!L59+ROW()/1000000000,"")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9</v>
      </c>
      <c r="D60">
        <f>IF($A60="","",'Consolidado por área'!D35)</f>
        <v>9</v>
      </c>
      <c r="E60">
        <f>IF($A60="","",'Consolidado por área'!E35)</f>
        <v>0</v>
      </c>
      <c r="F60">
        <f>IF($A60="","",IF(C60&gt;0,D60/C60,0))</f>
        <v>1</v>
      </c>
      <c r="G60">
        <f>IF($A60="","",F60*1000000+C60*10+(1000-ROW())/10000)</f>
        <v>1000090.094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27</v>
      </c>
      <c r="L60" t="str">
        <f>IF($K60="","",INDEX($A$30:$A$109,K60)&amp;"   "&amp;TEXT(INDEX($F$30:$F$109,K60),"0%"))</f>
        <v>DEPARTAMENTO DE PROCESOS   100%</v>
      </c>
      <c r="M60">
        <f>IF($K60="","",INDEX($D$30:$D$109,K60))</f>
        <v>3</v>
      </c>
      <c r="N60">
        <f>IF($K60="","",INDEX($E$30:$E$109,K60))</f>
        <v>0</v>
      </c>
      <c r="O60" t="str">
        <f>IF($K60="","",INDEX($A$30:$A$109,K60))</f>
        <v>DEPARTAMENTO DE PROCESOS</v>
      </c>
      <c r="P60" t="str">
        <f>IF($K60="","",INDEX($B$30:$B$109,K60))</f>
        <v>Gerencia General</v>
      </c>
      <c r="Q60">
        <f>IF($K60="","",INDEX($C$30:$C$109,K60))</f>
        <v>3</v>
      </c>
      <c r="R60">
        <f>IF($K60="","",INDEX($F$30:$F$109,K60))</f>
        <v>1</v>
      </c>
      <c r="S60">
        <f>IF($K60="","",INDEX($H$30:$H$109,K60))</f>
        <v>100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  <c r="BF60" t="str">
        <f>IF(AND('Consolidado por área'!G60="Completo",LEFT(TRIM('Consolidado por área'!A60),7)="AGENCIA"),'Consolidado por área'!L60+ROW()/1000000000,"")</f>
        <v/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2</v>
      </c>
      <c r="D61">
        <f>IF($A61="","",'Consolidado por área'!D36)</f>
        <v>2</v>
      </c>
      <c r="E61">
        <f>IF($A61="","",'Consolidado por área'!E36)</f>
        <v>0</v>
      </c>
      <c r="F61">
        <f>IF($A61="","",IF(C61&gt;0,D61/C61,0))</f>
        <v>1</v>
      </c>
      <c r="G61">
        <f>IF($A61="","",F61*1000000+C61*10+(1000-ROW())/10000)</f>
        <v>1000020.0939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13</v>
      </c>
      <c r="L61" t="str">
        <f>IF($K61="","",INDEX($A$30:$A$109,K61)&amp;"   "&amp;TEXT(INDEX($F$30:$F$109,K61),"0%"))</f>
        <v>CLINICA EMPRESARIAL   100%</v>
      </c>
      <c r="M61">
        <f>IF($K61="","",INDEX($D$30:$D$109,K61))</f>
        <v>2</v>
      </c>
      <c r="N61">
        <f>IF($K61="","",INDEX($E$30:$E$109,K61))</f>
        <v>0</v>
      </c>
      <c r="O61" t="str">
        <f>IF($K61="","",INDEX($A$30:$A$109,K61))</f>
        <v>CLINICA EMPRESARIAL</v>
      </c>
      <c r="P61" t="str">
        <f>IF($K61="","",INDEX($B$30:$B$109,K61))</f>
        <v>Gerencia Administrativa</v>
      </c>
      <c r="Q61">
        <f>IF($K61="","",INDEX($C$30:$C$109,K61))</f>
        <v>2</v>
      </c>
      <c r="R61">
        <f>IF($K61="","",INDEX($F$30:$F$109,K61))</f>
        <v>1</v>
      </c>
      <c r="S61">
        <f>IF($K61="","",INDEX($H$30:$H$109,K61))</f>
        <v>100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  <c r="BF61" t="str">
        <f>IF(AND('Consolidado por área'!G61="Completo",LEFT(TRIM('Consolidado por área'!A61),7)="AGENCIA"),'Consolidado por área'!L61+ROW()/1000000000,"")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5</v>
      </c>
      <c r="D62">
        <f>IF($A62="","",'Consolidado por área'!D37)</f>
        <v>5</v>
      </c>
      <c r="E62">
        <f>IF($A62="","",'Consolidado por área'!E37)</f>
        <v>0</v>
      </c>
      <c r="F62">
        <f>IF($A62="","",IF(C62&gt;0,D62/C62,0))</f>
        <v>1</v>
      </c>
      <c r="G62">
        <f>IF($A62="","",F62*1000000+C62*10+(1000-ROW())/10000)</f>
        <v>1000050.0938</v>
      </c>
      <c r="H62">
        <f>IF($A62="","",'Consolidado por área'!H37)</f>
        <v>99</v>
      </c>
      <c r="J62" t="n">
        <v>33</v>
      </c>
      <c r="K62">
        <f>IF(J62&gt;COUNT($G$30:$G$109),"",MATCH(LARGE($G$30:$G$109,J62),$G$30:$G$109,0))</f>
        <v>28</v>
      </c>
      <c r="L62" t="str">
        <f>IF($K62="","",INDEX($A$30:$A$109,K62)&amp;"   "&amp;TEXT(INDEX($F$30:$F$109,K62),"0%"))</f>
        <v>DEPARTAMENTO DE SEGURIDAD   100%</v>
      </c>
      <c r="M62">
        <f>IF($K62="","",INDEX($D$30:$D$109,K62))</f>
        <v>2</v>
      </c>
      <c r="N62">
        <f>IF($K62="","",INDEX($E$30:$E$109,K62))</f>
        <v>0</v>
      </c>
      <c r="O62" t="str">
        <f>IF($K62="","",INDEX($A$30:$A$109,K62))</f>
        <v>DEPARTAMENTO DE SEGURIDAD</v>
      </c>
      <c r="P62" t="str">
        <f>IF($K62="","",INDEX($B$30:$B$109,K62))</f>
        <v>Gerencia Administrativa</v>
      </c>
      <c r="Q62">
        <f>IF($K62="","",INDEX($C$30:$C$109,K62))</f>
        <v>2</v>
      </c>
      <c r="R62">
        <f>IF($K62="","",INDEX($F$30:$F$109,K62))</f>
        <v>1</v>
      </c>
      <c r="S62">
        <f>IF($K62="","",INDEX($H$30:$H$109,K62))</f>
        <v>95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  <c r="BF62" t="str">
        <f>IF(AND('Consolidado por área'!G62="Completo",LEFT(TRIM('Consolidado por área'!A62),7)="AGENCIA"),'Consolidado por área'!L62+ROW()/1000000000,"")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32</v>
      </c>
      <c r="L63" t="str">
        <f>IF($K63="","",INDEX($A$30:$A$109,K63)&amp;"   "&amp;TEXT(INDEX($F$30:$F$109,K63),"0%"))</f>
        <v>DEPARTAMENTO DE TALENTO HUMANO   100%</v>
      </c>
      <c r="M63">
        <f>IF($K63="","",INDEX($D$30:$D$109,K63))</f>
        <v>2</v>
      </c>
      <c r="N63">
        <f>IF($K63="","",INDEX($E$30:$E$109,K63))</f>
        <v>0</v>
      </c>
      <c r="O63" t="str">
        <f>IF($K63="","",INDEX($A$30:$A$109,K63))</f>
        <v>DEPARTAMENTO DE TALENTO HUMANO</v>
      </c>
      <c r="P63" t="str">
        <f>IF($K63="","",INDEX($B$30:$B$109,K63))</f>
        <v>Gerencia Administrativa</v>
      </c>
      <c r="Q63">
        <f>IF($K63="","",INDEX($C$30:$C$109,K63))</f>
        <v>2</v>
      </c>
      <c r="R63">
        <f>IF($K63="","",INDEX($F$30:$F$109,K63))</f>
        <v>1</v>
      </c>
      <c r="S63">
        <f>IF($K63="","",INDEX($H$30:$H$109,K63))</f>
        <v>95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  <c r="BF63" t="str">
        <f>IF(AND('Consolidado por área'!G63="Completo",LEFT(TRIM('Consolidado por área'!A63),7)="AGENCIA"),'Consolidado por área'!L63+ROW()/1000000000,"")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35</v>
      </c>
      <c r="L64" t="str">
        <f>IF($K64="","",INDEX($A$30:$A$109,K64)&amp;"   "&amp;TEXT(INDEX($F$30:$F$109,K64),"0%"))</f>
        <v>GERENCIA ADMINISTRATIVA   100%</v>
      </c>
      <c r="M64">
        <f>IF($K64="","",INDEX($D$30:$D$109,K64))</f>
        <v>2</v>
      </c>
      <c r="N64">
        <f>IF($K64="","",INDEX($E$30:$E$109,K64))</f>
        <v>0</v>
      </c>
      <c r="O64" t="str">
        <f>IF($K64="","",INDEX($A$30:$A$109,K64))</f>
        <v>GERENCIA ADMINISTRATIVA</v>
      </c>
      <c r="P64" t="str">
        <f>IF($K64="","",INDEX($B$30:$B$109,K64))</f>
        <v>Gerencia Administrativa</v>
      </c>
      <c r="Q64">
        <f>IF($K64="","",INDEX($C$30:$C$109,K64))</f>
        <v>2</v>
      </c>
      <c r="R64">
        <f>IF($K64="","",INDEX($F$30:$F$109,K64))</f>
        <v>1</v>
      </c>
      <c r="S64">
        <f>IF($K64="","",INDEX($H$30:$H$109,K64))</f>
        <v>100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  <c r="BF64" t="str">
        <f>IF(AND('Consolidado por área'!G64="Completo",LEFT(TRIM('Consolidado por área'!A64),7)="AGENCIA"),'Consolidado por área'!L64+ROW()/1000000000,"")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36</v>
      </c>
      <c r="L65" t="str">
        <f>IF($K65="","",INDEX($A$30:$A$109,K65)&amp;"   "&amp;TEXT(INDEX($F$30:$F$109,K65),"0%"))</f>
        <v>GERENCIA DE FINANZAS Y PLANIFICACIÓN   100%</v>
      </c>
      <c r="M65">
        <f>IF($K65="","",INDEX($D$30:$D$109,K65))</f>
        <v>2</v>
      </c>
      <c r="N65">
        <f>IF($K65="","",INDEX($E$30:$E$109,K65))</f>
        <v>0</v>
      </c>
      <c r="O65" t="str">
        <f>IF($K65="","",INDEX($A$30:$A$109,K65))</f>
        <v>GERENCIA DE FINANZAS Y PLANIFICACIÓN</v>
      </c>
      <c r="P65" t="str">
        <f>IF($K65="","",INDEX($B$30:$B$109,K65))</f>
        <v>Gerencia de Finanzas y Planificación</v>
      </c>
      <c r="Q65">
        <f>IF($K65="","",INDEX($C$30:$C$109,K65))</f>
        <v>2</v>
      </c>
      <c r="R65">
        <f>IF($K65="","",INDEX($F$30:$F$109,K65))</f>
        <v>1</v>
      </c>
      <c r="S65">
        <f>IF($K65="","",INDEX($H$30:$H$109,K65))</f>
        <v>100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  <c r="BF65" t="str">
        <f>IF(AND('Consolidado por área'!G65="Completo",LEFT(TRIM('Consolidado por área'!A65),7)="AGENCIA"),'Consolidado por área'!L65+ROW()/1000000000,"")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>IF($A66="","",IF(C66&gt;0,D66/C66,0))</f>
        <v>1</v>
      </c>
      <c r="G66">
        <f>IF($A66="","",F66*1000000+C66*10+(1000-ROW())/10000)</f>
        <v>1000040.0934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40</v>
      </c>
      <c r="L66" t="str">
        <f>IF($K66="","",INDEX($A$30:$A$109,K66)&amp;"   "&amp;TEXT(INDEX($F$30:$F$109,K66),"0%"))</f>
        <v>GERENCIA GENERAL   100%</v>
      </c>
      <c r="M66">
        <f>IF($K66="","",INDEX($D$30:$D$109,K66))</f>
        <v>2</v>
      </c>
      <c r="N66">
        <f>IF($K66="","",INDEX($E$30:$E$109,K66))</f>
        <v>0</v>
      </c>
      <c r="O66" t="str">
        <f>IF($K66="","",INDEX($A$30:$A$109,K66))</f>
        <v>GERENCIA GENERAL</v>
      </c>
      <c r="P66" t="str">
        <f>IF($K66="","",INDEX($B$30:$B$109,K66))</f>
        <v>Gerencia General</v>
      </c>
      <c r="Q66">
        <f>IF($K66="","",INDEX($C$30:$C$109,K66))</f>
        <v>2</v>
      </c>
      <c r="R66">
        <f>IF($K66="","",INDEX($F$30:$F$109,K66))</f>
        <v>1</v>
      </c>
      <c r="S66">
        <f>IF($K66="","",INDEX($H$30:$H$109,K66))</f>
        <v>100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  <c r="BF66" t="str">
        <f>IF(AND('Consolidado por área'!G66="Completo",LEFT(TRIM('Consolidado por área'!A66),7)="AGENCIA"),'Consolidado por área'!L66+ROW()/1000000000,"")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0</v>
      </c>
      <c r="E67">
        <f>IF($A67="","",'Consolidado por área'!E42)</f>
        <v>1</v>
      </c>
      <c r="F67">
        <f>IF($A67="","",IF(C67&gt;0,D67/C67,0))</f>
        <v>0</v>
      </c>
      <c r="G67">
        <f>IF($A67="","",F67*1000000+C67*10+(1000-ROW())/10000)</f>
        <v>10.0933</v>
      </c>
      <c r="H67" t="str">
        <f>IF($A67="","",'Consolidado por área'!H42)</f>
        <v/>
      </c>
      <c r="J67" t="n">
        <v>38</v>
      </c>
      <c r="K67">
        <f>IF(J67&gt;COUNT($G$30:$G$109),"",MATCH(LARGE($G$30:$G$109,J67),$G$30:$G$109,0))</f>
        <v>1</v>
      </c>
      <c r="L67" t="str">
        <f>IF($K67="","",INDEX($A$30:$A$109,K67)&amp;"   "&amp;TEXT(INDEX($F$30:$F$109,K67),"0%"))</f>
        <v>ADMINISTRACION DE BASE DE DATOS   100%</v>
      </c>
      <c r="M67">
        <f>IF($K67="","",INDEX($D$30:$D$109,K67))</f>
        <v>1</v>
      </c>
      <c r="N67">
        <f>IF($K67="","",INDEX($E$30:$E$109,K67))</f>
        <v>0</v>
      </c>
      <c r="O67" t="str">
        <f>IF($K67="","",INDEX($A$30:$A$109,K67))</f>
        <v>ADMINISTRACION DE BASE DE DATOS</v>
      </c>
      <c r="P67" t="str">
        <f>IF($K67="","",INDEX($B$30:$B$109,K67))</f>
        <v>Gerencia de Sistemas</v>
      </c>
      <c r="Q67">
        <f>IF($K67="","",INDEX($C$30:$C$109,K67))</f>
        <v>1</v>
      </c>
      <c r="R67">
        <f>IF($K67="","",INDEX($F$30:$F$109,K67))</f>
        <v>1</v>
      </c>
      <c r="S67">
        <f>IF($K67="","",INDEX($H$30:$H$109,K67))</f>
        <v>95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  <c r="BF67" t="str">
        <f>IF(AND('Consolidado por área'!G67="Completo",LEFT(TRIM('Consolidado por área'!A67),7)="AGENCIA"),'Consolidado por área'!L67+ROW()/1000000000,"")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>IF($A68="","",IF(C68&gt;0,D68/C68,0))</f>
        <v>1</v>
      </c>
      <c r="G68">
        <f>IF($A68="","",F68*1000000+C68*10+(1000-ROW())/10000)</f>
        <v>1000040.0932</v>
      </c>
      <c r="H68">
        <f>IF($A68="","",'Consolidado por área'!H43)</f>
        <v>98.75</v>
      </c>
      <c r="J68" t="n">
        <v>39</v>
      </c>
      <c r="K68">
        <f>IF(J68&gt;COUNT($G$30:$G$109),"",MATCH(LARGE($G$30:$G$109,J68),$G$30:$G$109,0))</f>
        <v>14</v>
      </c>
      <c r="L68" t="str">
        <f>IF($K68="","",INDEX($A$30:$A$109,K68)&amp;"   "&amp;TEXT(INDEX($F$30:$F$109,K68),"0%"))</f>
        <v>CONSEJO DE ADMINISTRACION   100%</v>
      </c>
      <c r="M68">
        <f>IF($K68="","",INDEX($D$30:$D$109,K68))</f>
        <v>1</v>
      </c>
      <c r="N68">
        <f>IF($K68="","",INDEX($E$30:$E$109,K68))</f>
        <v>0</v>
      </c>
      <c r="O68" t="str">
        <f>IF($K68="","",INDEX($A$30:$A$109,K68))</f>
        <v>CONSEJO DE ADMINISTRACION</v>
      </c>
      <c r="P68" t="str">
        <f>IF($K68="","",INDEX($B$30:$B$109,K68))</f>
        <v>Consejo de Administración</v>
      </c>
      <c r="Q68">
        <f>IF($K68="","",INDEX($C$30:$C$109,K68))</f>
        <v>1</v>
      </c>
      <c r="R68">
        <f>IF($K68="","",INDEX($F$30:$F$109,K68))</f>
        <v>1</v>
      </c>
      <c r="S68">
        <f>IF($K68="","",INDEX($H$30:$H$109,K68))</f>
        <v>90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>24350068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 t="str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  <c r="BF68" t="str">
        <f>IF(AND('Consolidado por área'!G68="Completo",LEFT(TRIM('Consolidado por área'!A68),7)="AGENCIA"),'Consolidado por área'!L68+ROW()/1000000000,"")</f>
        <v/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IF($A69="","",IF(C69&gt;0,D69/C69,0))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41</v>
      </c>
      <c r="L69" t="str">
        <f>IF($K69="","",INDEX($A$30:$A$109,K69)&amp;"   "&amp;TEXT(INDEX($F$30:$F$109,K69),"0%"))</f>
        <v>GERENCIA LEGAL Y DE CUMPLIMIENTO NORMATIVO   100%</v>
      </c>
      <c r="M69">
        <f>IF($K69="","",INDEX($D$30:$D$109,K69))</f>
        <v>1</v>
      </c>
      <c r="N69">
        <f>IF($K69="","",INDEX($E$30:$E$109,K69))</f>
        <v>0</v>
      </c>
      <c r="O69" t="str">
        <f>IF($K69="","",INDEX($A$30:$A$109,K69))</f>
        <v>GERENCIA LEGAL Y DE CUMPLIMIENTO NORMATIVO</v>
      </c>
      <c r="P69" t="str">
        <f>IF($K69="","",INDEX($B$30:$B$109,K69))</f>
        <v>Gerencia Legal y Cumplimiento Normativo</v>
      </c>
      <c r="Q69">
        <f>IF($K69="","",INDEX($C$30:$C$109,K69))</f>
        <v>1</v>
      </c>
      <c r="R69">
        <f>IF($K69="","",INDEX($F$30:$F$109,K69))</f>
        <v>1</v>
      </c>
      <c r="S69">
        <f>IF($K69="","",INDEX($H$30:$H$109,K69))</f>
        <v>100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>39480069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 t="str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I69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  <c r="BF69" t="str">
        <f>IF(AND('Consolidado por área'!G69="Completo",LEFT(TRIM('Consolidado por área'!A69),7)="AGENCIA"),'Consolidado por área'!L69+ROW()/1000000000,"")</f>
        <v/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6</v>
      </c>
      <c r="L70" t="str">
        <f>IF($K70="","",INDEX($A$30:$A$109,K70)&amp;"   "&amp;TEXT(INDEX($F$30:$F$109,K70),"0%"))</f>
        <v>AGENCIA COLONIA MEDICA   94%</v>
      </c>
      <c r="M70">
        <f>IF($K70="","",INDEX($D$30:$D$109,K70))</f>
        <v>15</v>
      </c>
      <c r="N70">
        <f>IF($K70="","",INDEX($E$30:$E$109,K70))</f>
        <v>1</v>
      </c>
      <c r="O70" t="str">
        <f>IF($K70="","",INDEX($A$30:$A$109,K70))</f>
        <v>AGENCIA COLONIA MEDICA</v>
      </c>
      <c r="P70" t="str">
        <f>IF($K70="","",INDEX($B$30:$B$109,K70))</f>
        <v>Gerencia de Negocios</v>
      </c>
      <c r="Q70">
        <f>IF($K70="","",INDEX($C$30:$C$109,K70))</f>
        <v>16</v>
      </c>
      <c r="R70">
        <f>IF($K70="","",INDEX($F$30:$F$109,K70))</f>
        <v>0.9375</v>
      </c>
      <c r="S70">
        <f>IF($K70="","",INDEX($H$30:$H$109,K70))</f>
        <v>98.3333333333333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24480070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 t="str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  <c r="BF70" t="str">
        <f>IF(AND('Consolidado por área'!G70="Completo",LEFT(TRIM('Consolidado por área'!A70),7)="AGENCIA"),'Consolidado por área'!L70+ROW()/1000000000,"")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4</v>
      </c>
      <c r="L71" t="str">
        <f>IF($K71="","",INDEX($A$30:$A$109,K71)&amp;"   "&amp;TEXT(INDEX($F$30:$F$109,K71),"0%"))</f>
        <v>AGENCIA CENTRAL   88%</v>
      </c>
      <c r="M71">
        <f>IF($K71="","",INDEX($D$30:$D$109,K71))</f>
        <v>14</v>
      </c>
      <c r="N71">
        <f>IF($K71="","",INDEX($E$30:$E$109,K71))</f>
        <v>2</v>
      </c>
      <c r="O71" t="str">
        <f>IF($K71="","",INDEX($A$30:$A$109,K71))</f>
        <v>AGENCIA CENTRAL</v>
      </c>
      <c r="P71" t="str">
        <f>IF($K71="","",INDEX($B$30:$B$109,K71))</f>
        <v>Gerencia de Negocios</v>
      </c>
      <c r="Q71">
        <f>IF($K71="","",INDEX($C$30:$C$109,K71))</f>
        <v>16</v>
      </c>
      <c r="R71">
        <f>IF($K71="","",INDEX($F$30:$F$109,K71))</f>
        <v>0.875</v>
      </c>
      <c r="S71">
        <f>IF($K71="","",INDEX($H$30:$H$109,K71))</f>
        <v>96.4285714285714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  <c r="BF71" t="str">
        <f>IF(AND('Consolidado por área'!G71="Completo",LEFT(TRIM('Consolidado por área'!A71),7)="AGENCIA"),'Consolidado por área'!L71+ROW()/1000000000,"")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24</v>
      </c>
      <c r="L72" t="str">
        <f>IF($K72="","",INDEX($A$30:$A$109,K72)&amp;"   "&amp;TEXT(INDEX($F$30:$F$109,K72),"0%"))</f>
        <v>DEPARTAMENTO DE MERCADEO   86%</v>
      </c>
      <c r="M72">
        <f>IF($K72="","",INDEX($D$30:$D$109,K72))</f>
        <v>6</v>
      </c>
      <c r="N72">
        <f>IF($K72="","",INDEX($E$30:$E$109,K72))</f>
        <v>1</v>
      </c>
      <c r="O72" t="str">
        <f>IF($K72="","",INDEX($A$30:$A$109,K72))</f>
        <v>DEPARTAMENTO DE MERCADEO</v>
      </c>
      <c r="P72" t="str">
        <f>IF($K72="","",INDEX($B$30:$B$109,K72))</f>
        <v>Gerencia de Negocios</v>
      </c>
      <c r="Q72">
        <f>IF($K72="","",INDEX($C$30:$C$109,K72))</f>
        <v>7</v>
      </c>
      <c r="R72">
        <f>IF($K72="","",INDEX($F$30:$F$109,K72))</f>
        <v>0.857142857142857</v>
      </c>
      <c r="S72">
        <f>IF($K72="","",INDEX($H$30:$H$109,K72))</f>
        <v>95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  <c r="BF72" t="str">
        <f>IF(AND('Consolidado por área'!G72="Completo",LEFT(TRIM('Consolidado por área'!A72),7)="AGENCIA"),'Consolidado por área'!L72+ROW()/1000000000,"")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IF($A73="","",IF(C73&gt;0,D73/C73,0))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38</v>
      </c>
      <c r="L73" t="str">
        <f>IF($K73="","",INDEX($A$30:$A$109,K73)&amp;"   "&amp;TEXT(INDEX($F$30:$F$109,K73),"0%"))</f>
        <v>GERENCIA DE OPERACIONES   0%</v>
      </c>
      <c r="M73">
        <f>IF($K73="","",INDEX($D$30:$D$109,K73))</f>
        <v>0</v>
      </c>
      <c r="N73">
        <f>IF($K73="","",INDEX($E$30:$E$109,K73))</f>
        <v>1</v>
      </c>
      <c r="O73" t="str">
        <f>IF($K73="","",INDEX($A$30:$A$109,K73))</f>
        <v>GERENCIA DE OPERACIONES</v>
      </c>
      <c r="P73" t="str">
        <f>IF($K73="","",INDEX($B$30:$B$109,K73))</f>
        <v>Gerencia de Operaciones</v>
      </c>
      <c r="Q73">
        <f>IF($K73="","",INDEX($C$30:$C$109,K73))</f>
        <v>1</v>
      </c>
      <c r="R73">
        <f>IF($K73="","",INDEX($F$30:$F$109,K73))</f>
        <v>0</v>
      </c>
      <c r="S73" t="str">
        <f>IF($K73="","",INDEX($H$30:$H$109,K73))</f>
        <v/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  <c r="BF73" t="str">
        <f>IF(AND('Consolidado por área'!G73="Completo",LEFT(TRIM('Consolidado por área'!A73),7)="AGENCIA"),'Consolidado por área'!L73+ROW()/1000000000,"")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  <c r="BF74" t="str">
        <f>IF(AND('Consolidado por área'!G74="Completo",LEFT(TRIM('Consolidado por área'!A74),7)="AGENCIA"),'Consolidado por área'!L74+ROW()/1000000000,"")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  <c r="BF75" t="str">
        <f>IF(AND('Consolidado por área'!G75="Completo",LEFT(TRIM('Consolidado por área'!A75),7)="AGENCIA"),'Consolidado por área'!L75+ROW()/1000000000,"")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  <c r="BF76" t="str">
        <f>IF(AND('Consolidado por área'!G76="Completo",LEFT(TRIM('Consolidado por área'!A76),7)="AGENCIA"),'Consolidado por área'!L76+ROW()/1000000000,"")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  <c r="BF77" t="str">
        <f>IF(AND('Consolidado por área'!G77="Completo",LEFT(TRIM('Consolidado por área'!A77),7)="AGENCIA"),'Consolidado por área'!L77+ROW()/1000000000,"")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  <c r="BF78" t="str">
        <f>IF(AND('Consolidado por área'!G78="Completo",LEFT(TRIM('Consolidado por área'!A78),7)="AGENCIA"),'Consolidado por área'!L78+ROW()/1000000000,"")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  <c r="BF79" t="str">
        <f>IF(AND('Consolidado por área'!G79="Completo",LEFT(TRIM('Consolidado por área'!A79),7)="AGENCIA"),'Consolidado por área'!L79+ROW()/1000000000,"")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  <c r="BF80" t="str">
        <f>IF(AND('Consolidado por área'!G80="Completo",LEFT(TRIM('Consolidado por área'!A80),7)="AGENCIA"),'Consolidado por área'!L80+ROW()/1000000000,"")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  <c r="BF81" t="str">
        <f>IF(AND('Consolidado por área'!G81="Completo",LEFT(TRIM('Consolidado por área'!A81),7)="AGENCIA"),'Consolidado por área'!L81+ROW()/1000000000,"")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37040082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 t="str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I82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  <c r="BF82" t="str">
        <f>IF(AND('Consolidado por área'!G82="Completo",LEFT(TRIM('Consolidado por área'!A82),7)="AGENCIA"),'Consolidado por área'!L82+ROW()/1000000000,"")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  <c r="BF83" t="str">
        <f>IF(AND('Consolidado por área'!G83="Completo",LEFT(TRIM('Consolidado por área'!A83),7)="AGENCIA"),'Consolidado por área'!L83+ROW()/1000000000,"")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  <c r="BF84" t="str">
        <f>IF(AND('Consolidado por área'!G84="Completo",LEFT(TRIM('Consolidado por área'!A84),7)="AGENCIA"),'Consolidado por área'!L84+ROW()/1000000000,"")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>38460085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>38460086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>38460089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38990099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 t="str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I99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>23920104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 t="str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278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5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>38210121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>38320144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>38850146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>38850147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I148" t="str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>38850149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>38850150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>24070172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 t="str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>23130182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 t="str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>39890185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>39890187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>39890188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>39890189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>37130192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I193" t="str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I194" t="str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>37130195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 t="str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I195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>22130196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 t="str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>22130198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 t="str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>37130200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>37130201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>37130202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>37130207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>37310209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>22310213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 t="str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46309.37858818287</v>
      </c>
      <c r="AL215">
        <f>IF(OR('Base Exámenes'!C215="",'Base Exámenes'!E215=""),"",IF(COUNTIF('Base Exámenes'!$C$5:C215,'Base Exámenes'!C215)=1,'Base Exámenes'!E215+ROW()/1000000000,""))</f>
        <v>46309.3869678125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84953690.621412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46309.33659744213</v>
      </c>
      <c r="AL216">
        <f>IF(OR('Base Exámenes'!C216="",'Base Exámenes'!E216=""),"",IF(COUNTIF('Base Exámenes'!$C$5:C216,'Base Exámenes'!C216)=1,'Base Exámenes'!E216+ROW()/1000000000,""))</f>
        <v>46309.33927105324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99953690.6634028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46309.3497803125</v>
      </c>
      <c r="AL217">
        <f>IF(OR('Base Exámenes'!C217="",'Base Exámenes'!E217=""),"",IF(COUNTIF('Base Exámenes'!$C$5:C217,'Base Exámenes'!C217)=1,'Base Exámenes'!E217+ROW()/1000000000,""))</f>
        <v>46309.3541553125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69953690.6502199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46309.36197938657</v>
      </c>
      <c r="AL218">
        <f>IF(OR('Base Exámenes'!C218="",'Base Exámenes'!E218=""),"",IF(COUNTIF('Base Exámenes'!$C$5:C218,'Base Exámenes'!C218)=1,'Base Exámenes'!E218+ROW()/1000000000,""))</f>
        <v>46309.36565994213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99953690.6380208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46309.359456238424</v>
      </c>
      <c r="AL219">
        <f>IF(OR('Base Exámenes'!C219="",'Base Exámenes'!E219=""),"",IF(COUNTIF('Base Exámenes'!$C$5:C219,'Base Exámenes'!C219)=1,'Base Exámenes'!E219+ROW()/1000000000,""))</f>
        <v>46309.366736331016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99953690.640544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46309.37417846065</v>
      </c>
      <c r="AL220">
        <f>IF(OR('Base Exámenes'!C220="",'Base Exámenes'!E220=""),"",IF(COUNTIF('Base Exámenes'!$C$5:C220,'Base Exámenes'!C220)=1,'Base Exámenes'!E220+ROW()/1000000000,""))</f>
        <v>46309.37625021991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99953690.6258218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46309.37976873843</v>
      </c>
      <c r="AL221">
        <f>IF(OR('Base Exámenes'!C221="",'Base Exámenes'!E221=""),"",IF(COUNTIF('Base Exámenes'!$C$5:C221,'Base Exámenes'!C221)=1,'Base Exámenes'!E221+ROW()/1000000000,""))</f>
        <v>46309.38234975695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89953690.6202315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46309.37678262732</v>
      </c>
      <c r="AL222">
        <f>IF(OR('Base Exámenes'!C222="",'Base Exámenes'!E222=""),"",IF(COUNTIF('Base Exámenes'!$C$5:C222,'Base Exámenes'!C222)=1,'Base Exámenes'!E222+ROW()/1000000000,""))</f>
        <v>46309.3825465162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99953690.6232176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46309.38187521991</v>
      </c>
      <c r="AL223">
        <f>IF(OR('Base Exámenes'!C223="",'Base Exámenes'!E223=""),"",IF(COUNTIF('Base Exámenes'!$C$5:C223,'Base Exámenes'!C223)=1,'Base Exámenes'!E223+ROW()/1000000000,""))</f>
        <v>46309.38695623843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99953690.618125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>22800228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 t="str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>37880229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>37880232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>37880234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>37880235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>37960237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>37960238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>37960239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>37960240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>37960241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37960243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 t="str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I243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>37590247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46310.508900706016</v>
      </c>
      <c r="AL247">
        <f>IF(OR('Base Exámenes'!C247="",'Base Exámenes'!E247=""),"",IF(COUNTIF('Base Exámenes'!$C$5:C247,'Base Exámenes'!C247)=1,'Base Exámenes'!E247+ROW()/1000000000,""))</f>
        <v>46310.511470150464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46310.508530335646</v>
      </c>
      <c r="AL248">
        <f>IF(OR('Base Exámenes'!C248="",'Base Exámenes'!E248=""),"",IF(COUNTIF('Base Exámenes'!$C$5:C248,'Base Exámenes'!C248)=1,'Base Exámenes'!E248+ROW()/1000000000,""))</f>
        <v>46310.51637755787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46310.513403032404</v>
      </c>
      <c r="AL249">
        <f>IF(OR('Base Exámenes'!C249="",'Base Exámenes'!E249=""),"",IF(COUNTIF('Base Exámenes'!$C$5:C249,'Base Exámenes'!C249)=1,'Base Exámenes'!E249+ROW()/1000000000,""))</f>
        <v>46310.516701643515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46310.51609979167</v>
      </c>
      <c r="AL250">
        <f>IF(OR('Base Exámenes'!C250="",'Base Exámenes'!E250=""),"",IF(COUNTIF('Base Exámenes'!$C$5:C250,'Base Exámenes'!C250)=1,'Base Exámenes'!E250+ROW()/1000000000,""))</f>
        <v>46310.52071784722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99953689.4839005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46310.520845162035</v>
      </c>
      <c r="AL251">
        <f>IF(OR('Base Exámenes'!C251="",'Base Exámenes'!E251=""),"",IF(COUNTIF('Base Exámenes'!$C$5:C251,'Base Exámenes'!C251)=1,'Base Exámenes'!E251+ROW()/1000000000,""))</f>
        <v>46310.5247919213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99953689.4791551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46310.52517386574</v>
      </c>
      <c r="AL252">
        <f>IF(OR('Base Exámenes'!C252="",'Base Exámenes'!E252=""),"",IF(COUNTIF('Base Exámenes'!$C$5:C252,'Base Exámenes'!C252)=1,'Base Exámenes'!E252+ROW()/1000000000,""))</f>
        <v>46310.52695627315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99953689.4748264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46310.52905118056</v>
      </c>
      <c r="AL253">
        <f>IF(OR('Base Exámenes'!C253="",'Base Exámenes'!E253=""),"",IF(COUNTIF('Base Exámenes'!$C$5:C253,'Base Exámenes'!C253)=1,'Base Exámenes'!E253+ROW()/1000000000,""))</f>
        <v>46310.53122710648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99953689.4709491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46310.53324099537</v>
      </c>
      <c r="AL254">
        <f>IF(OR('Base Exámenes'!C254="",'Base Exámenes'!E254=""),"",IF(COUNTIF('Base Exámenes'!$C$5:C254,'Base Exámenes'!C254)=1,'Base Exámenes'!E254+ROW()/1000000000,""))</f>
        <v>46310.53522016203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99953689.4667593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46310.53685210648</v>
      </c>
      <c r="AL255">
        <f>IF(OR('Base Exámenes'!C255="",'Base Exámenes'!E255=""),"",IF(COUNTIF('Base Exámenes'!$C$5:C255,'Base Exámenes'!C255)=1,'Base Exámenes'!E255+ROW()/1000000000,""))</f>
        <v>46310.53796321759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99953689.4631482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46310.538981736114</v>
      </c>
      <c r="AL256">
        <f>IF(OR('Base Exámenes'!C256="",'Base Exámenes'!E256=""),"",IF(COUNTIF('Base Exámenes'!$C$5:C256,'Base Exámenes'!C256)=1,'Base Exámenes'!E256+ROW()/1000000000,""))</f>
        <v>46310.54141229167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>37430257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46310.542592847225</v>
      </c>
      <c r="AL257">
        <f>IF(OR('Base Exámenes'!C257="",'Base Exámenes'!E257=""),"",IF(COUNTIF('Base Exámenes'!$C$5:C257,'Base Exámenes'!C257)=1,'Base Exámenes'!E257+ROW()/1000000000,""))</f>
        <v>46310.54554423611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46310.55500025463</v>
      </c>
      <c r="AL258">
        <f>IF(OR('Base Exámenes'!C258="",'Base Exámenes'!E258=""),"",IF(COUNTIF('Base Exámenes'!$C$5:C258,'Base Exámenes'!C258)=1,'Base Exámenes'!E258+ROW()/1000000000,""))</f>
        <v>46310.5565743287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99953689.445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46310.5610419213</v>
      </c>
      <c r="AL259">
        <f>IF(OR('Base Exámenes'!C259="",'Base Exámenes'!E259=""),"",IF(COUNTIF('Base Exámenes'!$C$5:C259,'Base Exámenes'!C259)=1,'Base Exámenes'!E259+ROW()/1000000000,""))</f>
        <v>46310.56497710648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46310.56259284722</v>
      </c>
      <c r="AL260">
        <f>IF(OR('Base Exámenes'!C260="",'Base Exámenes'!E260=""),"",IF(COUNTIF('Base Exámenes'!$C$5:C260,'Base Exámenes'!C260)=1,'Base Exámenes'!E260+ROW()/1000000000,""))</f>
        <v>46310.56960673611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>37430262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46310.616447025466</v>
      </c>
      <c r="AL262">
        <f>IF(OR('Base Exámenes'!C262="",'Base Exámenes'!E262=""),"",IF(COUNTIF('Base Exámenes'!$C$5:C262,'Base Exámenes'!C262)=1,'Base Exámenes'!E262+ROW()/1000000000,""))</f>
        <v>46310.619815081016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>37430263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46310.6287965625</v>
      </c>
      <c r="AL263">
        <f>IF(OR('Base Exámenes'!C263="",'Base Exámenes'!E263=""),"",IF(COUNTIF('Base Exámenes'!$C$5:C263,'Base Exámenes'!C263)=1,'Base Exámenes'!E263+ROW()/1000000000,""))</f>
        <v>46310.633819710645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46310.63520859954</v>
      </c>
      <c r="AL264">
        <f>IF(OR('Base Exámenes'!C264="",'Base Exámenes'!E264=""),"",IF(COUNTIF('Base Exámenes'!$C$5:C264,'Base Exámenes'!C264)=1,'Base Exámenes'!E264+ROW()/1000000000,""))</f>
        <v>46310.63688684028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99953689.3647917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46310.62758128472</v>
      </c>
      <c r="AL265">
        <f>IF(OR('Base Exámenes'!C265="",'Base Exámenes'!E265=""),"",IF(COUNTIF('Base Exámenes'!$C$5:C265,'Base Exámenes'!C265)=1,'Base Exámenes'!E265+ROW()/1000000000,""))</f>
        <v>46310.63746554398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99953689.372419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>37430266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46310.637847488426</v>
      </c>
      <c r="AL266">
        <f>IF(OR('Base Exámenes'!C266="",'Base Exámenes'!E266=""),"",IF(COUNTIF('Base Exámenes'!$C$5:C266,'Base Exámenes'!C266)=1,'Base Exámenes'!E266+ROW()/1000000000,""))</f>
        <v>46310.638900729165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99953689.3621528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46310.643472488424</v>
      </c>
      <c r="AL267">
        <f>IF(OR('Base Exámenes'!C267="",'Base Exámenes'!E267=""),"",IF(COUNTIF('Base Exámenes'!$C$5:C267,'Base Exámenes'!C267)=1,'Base Exámenes'!E267+ROW()/1000000000,""))</f>
        <v>46310.64591461806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99953689.3565278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>37430268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46310.65715304398</v>
      </c>
      <c r="AL268">
        <f>IF(OR('Base Exámenes'!C268="",'Base Exámenes'!E268=""),"",IF(COUNTIF('Base Exámenes'!$C$5:C268,'Base Exámenes'!C268)=1,'Base Exámenes'!E268+ROW()/1000000000,""))</f>
        <v>46310.659977118055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>37430269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46310.65781276621</v>
      </c>
      <c r="AL269">
        <f>IF(OR('Base Exámenes'!C269="",'Base Exámenes'!E269=""),"",IF(COUNTIF('Base Exámenes'!$C$5:C269,'Base Exámenes'!C269)=1,'Base Exámenes'!E269+ROW()/1000000000,""))</f>
        <v>46310.6654053588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99953689.3421875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>37430270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46310.6662502662</v>
      </c>
      <c r="AL270">
        <f>IF(OR('Base Exámenes'!C270="",'Base Exámenes'!E270=""),"",IF(COUNTIF('Base Exámenes'!$C$5:C270,'Base Exámenes'!C270)=1,'Base Exámenes'!E270+ROW()/1000000000,""))</f>
        <v>46310.66862295139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>37430271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46310.69113452546</v>
      </c>
      <c r="AL271">
        <f>IF(OR('Base Exámenes'!C271="",'Base Exámenes'!E271=""),"",IF(COUNTIF('Base Exámenes'!$C$5:C271,'Base Exámenes'!C271)=1,'Base Exámenes'!E271+ROW()/1000000000,""))</f>
        <v>46310.69614609954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I272" t="str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46310.69179425926</v>
      </c>
      <c r="AL272">
        <f>IF(OR('Base Exámenes'!C272="",'Base Exámenes'!E272=""),"",IF(COUNTIF('Base Exámenes'!$C$5:C272,'Base Exámenes'!C272)=1,'Base Exámenes'!E272+ROW()/1000000000,""))</f>
        <v>46310.69674796296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>37720273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46310.69125027778</v>
      </c>
      <c r="AL273">
        <f>IF(OR('Base Exámenes'!C273="",'Base Exámenes'!E273=""),"",IF(COUNTIF('Base Exámenes'!$C$5:C273,'Base Exámenes'!C273)=1,'Base Exámenes'!E273+ROW()/1000000000,""))</f>
        <v>46310.70625027778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46311.40973407408</v>
      </c>
      <c r="AL274">
        <f>IF(OR('Base Exámenes'!C274="",'Base Exámenes'!E274=""),"",IF(COUNTIF('Base Exámenes'!$C$5:C274,'Base Exámenes'!C274)=1,'Base Exámenes'!E274+ROW()/1000000000,""))</f>
        <v>46311.41554425926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99953688.5902662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46311.41438685185</v>
      </c>
      <c r="AL275">
        <f>IF(OR('Base Exámenes'!C275="",'Base Exámenes'!E275=""),"",IF(COUNTIF('Base Exámenes'!$C$5:C275,'Base Exámenes'!C275)=1,'Base Exámenes'!E275+ROW()/1000000000,""))</f>
        <v>46311.41858824074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46311.42444472222</v>
      </c>
      <c r="AL276">
        <f>IF(OR('Base Exámenes'!C276="",'Base Exámenes'!E276=""),"",IF(COUNTIF('Base Exámenes'!$C$5:C276,'Base Exámenes'!C276)=1,'Base Exámenes'!E276+ROW()/1000000000,""))</f>
        <v>46311.42974564815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99953688.5755556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46311.40699101852</v>
      </c>
      <c r="AL277">
        <f>IF(OR('Base Exámenes'!C277="",'Base Exámenes'!E277=""),"",IF(COUNTIF('Base Exámenes'!$C$5:C277,'Base Exámenes'!C277)=1,'Base Exámenes'!E277+ROW()/1000000000,""))</f>
        <v>46311.45481509259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46311.45276648148</v>
      </c>
      <c r="AL278">
        <f>IF(OR('Base Exámenes'!C278="",'Base Exámenes'!E278=""),"",IF(COUNTIF('Base Exámenes'!$C$5:C278,'Base Exámenes'!C278)=1,'Base Exámenes'!E278+ROW()/1000000000,""))</f>
        <v>46311.45640074074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99953688.5472338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46311.46520861111</v>
      </c>
      <c r="AL279">
        <f>IF(OR('Base Exámenes'!C279="",'Base Exámenes'!E279=""),"",IF(COUNTIF('Base Exámenes'!$C$5:C279,'Base Exámenes'!C279)=1,'Base Exámenes'!E279+ROW()/1000000000,""))</f>
        <v>46311.46750027778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99953688.5347917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46311.47397018519</v>
      </c>
      <c r="AL280">
        <f>IF(OR('Base Exámenes'!C280="",'Base Exámenes'!E280=""),"",IF(COUNTIF('Base Exámenes'!$C$5:C280,'Base Exámenes'!C280)=1,'Base Exámenes'!E280+ROW()/1000000000,""))</f>
        <v>46311.475555833335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99953688.5260301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46311.40468777778</v>
      </c>
      <c r="AL281">
        <f>IF(OR('Base Exámenes'!C281="",'Base Exámenes'!E281=""),"",IF(COUNTIF('Base Exámenes'!$C$5:C281,'Base Exámenes'!C281)=1,'Base Exámenes'!E281+ROW()/1000000000,""))</f>
        <v>46311.477488703706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46311.478958611115</v>
      </c>
      <c r="AL282">
        <f>IF(OR('Base Exámenes'!C282="",'Base Exámenes'!E282=""),"",IF(COUNTIF('Base Exámenes'!$C$5:C282,'Base Exámenes'!C282)=1,'Base Exámenes'!E282+ROW()/1000000000,""))</f>
        <v>46311.48482666667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99953688.5210417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46311.48390074074</v>
      </c>
      <c r="AL283">
        <f>IF(OR('Base Exámenes'!C283="",'Base Exámenes'!E283=""),"",IF(COUNTIF('Base Exámenes'!$C$5:C283,'Base Exámenes'!C283)=1,'Base Exámenes'!E283+ROW()/1000000000,""))</f>
        <v>46311.49398175926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>
        <f>IF(OR('Base Exámenes'!C284="",'Base Exámenes'!D284=""),"",IF(COUNTIF('Base Exámenes'!$C$5:C284,'Base Exámenes'!C284)=1,'Base Exámenes'!D284+ROW()/1000000000,""))</f>
        <v>46311.50098408565</v>
      </c>
      <c r="AL284">
        <f>IF(OR('Base Exámenes'!C284="",'Base Exámenes'!E284=""),"",IF(COUNTIF('Base Exámenes'!$C$5:C284,'Base Exámenes'!C284)=1,'Base Exámenes'!E284+ROW()/1000000000,""))</f>
        <v>46311.50697945602</v>
      </c>
      <c r="AM284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>99953688.4990162</v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>
        <f>IF(OR('Base Exámenes'!C285="",'Base Exámenes'!D285=""),"",IF(COUNTIF('Base Exámenes'!$C$5:C285,'Base Exámenes'!C285)=1,'Base Exámenes'!D285+ROW()/1000000000,""))</f>
        <v>46311.5127896412</v>
      </c>
      <c r="AL285">
        <f>IF(OR('Base Exámenes'!C285="",'Base Exámenes'!E285=""),"",IF(COUNTIF('Base Exámenes'!$C$5:C285,'Base Exámenes'!C285)=1,'Base Exámenes'!E285+ROW()/1000000000,""))</f>
        <v>46311.516227141205</v>
      </c>
      <c r="AM285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>99953688.4872107</v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>
        <f>IF(OR('Base Exámenes'!C286="",'Base Exámenes'!D286=""),"",IF(COUNTIF('Base Exámenes'!$C$5:C286,'Base Exámenes'!C286)=1,'Base Exámenes'!D286+ROW()/1000000000,""))</f>
        <v>46311.56675954861</v>
      </c>
      <c r="AL286">
        <f>IF(OR('Base Exámenes'!C286="",'Base Exámenes'!E286=""),"",IF(COUNTIF('Base Exámenes'!$C$5:C286,'Base Exámenes'!C286)=1,'Base Exámenes'!E286+ROW()/1000000000,""))</f>
        <v>46311.571493344905</v>
      </c>
      <c r="AM286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>99953688.4332407</v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>
        <f>IF(OR('Base Exámenes'!C287="",'Base Exámenes'!D287=""),"",IF(COUNTIF('Base Exámenes'!$C$5:C287,'Base Exámenes'!C287)=1,'Base Exámenes'!D287+ROW()/1000000000,""))</f>
        <v>46311.61962991898</v>
      </c>
      <c r="AL287">
        <f>IF(OR('Base Exámenes'!C287="",'Base Exámenes'!E287=""),"",IF(COUNTIF('Base Exámenes'!$C$5:C287,'Base Exámenes'!C287)=1,'Base Exámenes'!E287+ROW()/1000000000,""))</f>
        <v>46311.62729195602</v>
      </c>
      <c r="AM287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>99953688.3803704</v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>
        <f>IF(OR('Base Exámenes'!C288="",'Base Exámenes'!D288=""),"",IF(COUNTIF('Base Exámenes'!$C$5:C288,'Base Exámenes'!C288)=1,'Base Exámenes'!D288+ROW()/1000000000,""))</f>
        <v>46311.67041695602</v>
      </c>
      <c r="AL288">
        <f>IF(OR('Base Exámenes'!C288="",'Base Exámenes'!E288=""),"",IF(COUNTIF('Base Exámenes'!$C$5:C288,'Base Exámenes'!C288)=1,'Base Exámenes'!E288+ROW()/1000000000,""))</f>
        <v>46311.675671585646</v>
      </c>
      <c r="AM288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>99953688.3295833</v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 t="str">
        <f>IF(OR('Base Exámenes'!C289="",'Base Exámenes'!D289=""),"",IF(COUNTIF('Base Exámenes'!$C$5:C289,'Base Exámenes'!C289)=1,'Base Exámenes'!D289+ROW()/1000000000,""))</f>
        <v/>
      </c>
      <c r="AL289" t="str">
        <f>IF(OR('Base Exámenes'!C289="",'Base Exámenes'!E289=""),"",IF(COUNTIF('Base Exámenes'!$C$5:C289,'Base Exámenes'!C289)=1,'Base Exámenes'!E289+ROW()/1000000000,""))</f>
        <v/>
      </c>
      <c r="AM289" t="str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/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 t="str">
        <f>IF(OR('Base Exámenes'!C290="",'Base Exámenes'!D290=""),"",IF(COUNTIF('Base Exámenes'!$C$5:C290,'Base Exámenes'!C290)=1,'Base Exámenes'!D290+ROW()/1000000000,""))</f>
        <v/>
      </c>
      <c r="AL290" t="str">
        <f>IF(OR('Base Exámenes'!C290="",'Base Exámenes'!E290=""),"",IF(COUNTIF('Base Exámenes'!$C$5:C290,'Base Exámenes'!C290)=1,'Base Exámenes'!E290+ROW()/1000000000,""))</f>
        <v/>
      </c>
      <c r="AM290" t="str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/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 t="str">
        <f>IF(OR('Base Exámenes'!C291="",'Base Exámenes'!D291=""),"",IF(COUNTIF('Base Exámenes'!$C$5:C291,'Base Exámenes'!C291)=1,'Base Exámenes'!D291+ROW()/1000000000,""))</f>
        <v/>
      </c>
      <c r="AL291" t="str">
        <f>IF(OR('Base Exámenes'!C291="",'Base Exámenes'!E291=""),"",IF(COUNTIF('Base Exámenes'!$C$5:C291,'Base Exámenes'!C291)=1,'Base Exámenes'!E291+ROW()/1000000000,""))</f>
        <v/>
      </c>
      <c r="AM291" t="str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/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 t="str">
        <f>IF(OR('Base Exámenes'!C292="",'Base Exámenes'!D292=""),"",IF(COUNTIF('Base Exámenes'!$C$5:C292,'Base Exámenes'!C292)=1,'Base Exámenes'!D292+ROW()/1000000000,""))</f>
        <v/>
      </c>
      <c r="AL292" t="str">
        <f>IF(OR('Base Exámenes'!C292="",'Base Exámenes'!E292=""),"",IF(COUNTIF('Base Exámenes'!$C$5:C292,'Base Exámenes'!C292)=1,'Base Exámenes'!E292+ROW()/1000000000,""))</f>
        <v/>
      </c>
      <c r="AM292" t="str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/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 t="str">
        <f>IF(OR('Base Exámenes'!C293="",'Base Exámenes'!D293=""),"",IF(COUNTIF('Base Exámenes'!$C$5:C293,'Base Exámenes'!C293)=1,'Base Exámenes'!D293+ROW()/1000000000,""))</f>
        <v/>
      </c>
      <c r="AL293" t="str">
        <f>IF(OR('Base Exámenes'!C293="",'Base Exámenes'!E293=""),"",IF(COUNTIF('Base Exámenes'!$C$5:C293,'Base Exámenes'!C293)=1,'Base Exámenes'!E293+ROW()/1000000000,""))</f>
        <v/>
      </c>
      <c r="AM293" t="str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/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2026-10-16T22:30:29Z</dcterms:modified>
  <cp:lastModifiedBy>Hector Jose Menjivar Somoza</cp:lastModifiedBy>
</cp:coreProperties>
</file>