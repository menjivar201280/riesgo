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Estado por Colaborador" sheetId="9" state="visible" r:id="rId9"/>
    <sheet xmlns:r="http://schemas.openxmlformats.org/officeDocument/2006/relationships" name="Top 3 Departamentos" sheetId="10" state="visible" r:id="rId10"/>
    <sheet xmlns:r="http://schemas.openxmlformats.org/officeDocument/2006/relationships" name="Top 3 inicio" sheetId="11" state="visible" r:id="rId11"/>
    <sheet xmlns:r="http://schemas.openxmlformats.org/officeDocument/2006/relationships" name="Top 3 finalización" sheetId="12" state="visible" r:id="rId12"/>
    <sheet xmlns:r="http://schemas.openxmlformats.org/officeDocument/2006/relationships" name="Top 3 calificación" sheetId="13" state="visible" r:id="rId13"/>
    <sheet xmlns:r="http://schemas.openxmlformats.org/officeDocument/2006/relationships" name="Listado de Pendientes" sheetId="14" state="visible" r:id="rId14"/>
    <sheet xmlns:r="http://schemas.openxmlformats.org/officeDocument/2006/relationships" name="Cálculos" sheetId="15" state="hidden" r:id="rId15"/>
  </sheets>
  <definedNames>
    <definedName name="_xlnm._FilterDatabase" localSheetId="2" hidden="1">'Detalle individual'!$A$4:$K$295</definedName>
    <definedName name="_xlnm._FilterDatabase" localSheetId="13" hidden="1">'Listado de Pendientes'!$A$4:$E$141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2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4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'Cálculos'!$A$66:$A$67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'Cálculos'!$B$66:$B$67</f>
              <numCache>
                <formatCode>General</formatCode>
                <ptCount val="2"/>
                <pt idx="0">
                  <v>154</v>
                </pt>
                <pt idx="1">
                  <v>137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de Oficialía de Cumplimiento   100%</v>
                </pt>
                <pt idx="1">
                  <v>Gerencia General   92%</v>
                </pt>
                <pt idx="2">
                  <v>Gerencia Administrativa   91%</v>
                </pt>
                <pt idx="3">
                  <v>Gerencia de Sistemas   74%</v>
                </pt>
                <pt idx="4">
                  <v>Auditoría Interna   71%</v>
                </pt>
                <pt idx="5">
                  <v>Gerencia de Operaciones   50%</v>
                </pt>
                <pt idx="6">
                  <v>Gerencia de Finanzas y Planificación   44%</v>
                </pt>
                <pt idx="7">
                  <v>Gerencia de Negocios   39%</v>
                </pt>
                <pt idx="8">
                  <v>Gerencia Legal y Cumplimiento Normativo   33%</v>
                </pt>
              </strCache>
            </strRef>
          </cat>
          <val>
            <numRef>
              <f>'Cálculos'!$L$5:$L$13</f>
              <numCache>
                <formatCode>General</formatCode>
                <ptCount val="9"/>
                <pt idx="0">
                  <v>7</v>
                </pt>
                <pt idx="1">
                  <v>12</v>
                </pt>
                <pt idx="2">
                  <v>29</v>
                </pt>
                <pt idx="3">
                  <v>17</v>
                </pt>
                <pt idx="4">
                  <v>5</v>
                </pt>
                <pt idx="5">
                  <v>8</v>
                </pt>
                <pt idx="6">
                  <v>8</v>
                </pt>
                <pt idx="7">
                  <v>65</v>
                </pt>
                <pt idx="8">
                  <v>3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de Oficialía de Cumplimiento   100%</v>
                </pt>
                <pt idx="1">
                  <v>Gerencia General   92%</v>
                </pt>
                <pt idx="2">
                  <v>Gerencia Administrativa   91%</v>
                </pt>
                <pt idx="3">
                  <v>Gerencia de Sistemas   74%</v>
                </pt>
                <pt idx="4">
                  <v>Auditoría Interna   71%</v>
                </pt>
                <pt idx="5">
                  <v>Gerencia de Operaciones   50%</v>
                </pt>
                <pt idx="6">
                  <v>Gerencia de Finanzas y Planificación   44%</v>
                </pt>
                <pt idx="7">
                  <v>Gerencia de Negocios   39%</v>
                </pt>
                <pt idx="8">
                  <v>Gerencia Legal y Cumplimiento Normativo   33%</v>
                </pt>
              </strCache>
            </strRef>
          </cat>
          <val>
            <numRef>
              <f>'Cálculos'!$M$5:$M$13</f>
              <numCache>
                <formatCode>General</formatCode>
                <ptCount val="9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6</v>
                </pt>
                <pt idx="4">
                  <v>2</v>
                </pt>
                <pt idx="5">
                  <v>8</v>
                </pt>
                <pt idx="6">
                  <v>10</v>
                </pt>
                <pt idx="7">
                  <v>101</v>
                </pt>
                <pt idx="8">
                  <v>6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'Cálculos'!$Q$5:$Q$13</f>
              <strCache>
                <ptCount val="9"/>
                <pt idx="0">
                  <v>Gerencia de Negocios</v>
                </pt>
                <pt idx="1">
                  <v>Gerencia de Finanzas y Planificación</v>
                </pt>
                <pt idx="2">
                  <v>Gerencia de Operaciones</v>
                </pt>
                <pt idx="3">
                  <v>Gerencia Legal y Cumplimiento Normativo</v>
                </pt>
                <pt idx="4">
                  <v>Gerencia de Sistemas</v>
                </pt>
                <pt idx="5">
                  <v>Gerencia Administrativa</v>
                </pt>
                <pt idx="6">
                  <v>Auditoría Interna</v>
                </pt>
                <pt idx="7">
                  <v>Gerencia General</v>
                </pt>
                <pt idx="8">
                  <v>Gerencia de Oficialía de Cumplimiento</v>
                </pt>
              </strCache>
            </strRef>
          </cat>
          <val>
            <numRef>
              <f>'Cálculos'!$R$5:$R$13</f>
              <numCache>
                <formatCode>General</formatCode>
                <ptCount val="9"/>
                <pt idx="0">
                  <v>101</v>
                </pt>
                <pt idx="1">
                  <v>10</v>
                </pt>
                <pt idx="2">
                  <v>8</v>
                </pt>
                <pt idx="3">
                  <v>6</v>
                </pt>
                <pt idx="4">
                  <v>6</v>
                </pt>
                <pt idx="5">
                  <v>3</v>
                </pt>
                <pt idx="6">
                  <v>2</v>
                </pt>
                <pt idx="7">
                  <v>1</v>
                </pt>
                <pt idx="8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'Cálculos'!M19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OFICIALIA DE CUMPLIMIENTO   100%</v>
                </pt>
                <pt idx="1">
                  <v>DEPARTAMENTO DE CUSTODIA DE GARANTÍA Y VALORES   100%</v>
                </pt>
                <pt idx="2">
                  <v>ADMINISTRACION DE RIESGOS   100%</v>
                </pt>
                <pt idx="3">
                  <v>OFICIALIA DE SEGURIDAD DE LA INFORMACION   100%</v>
                </pt>
                <pt idx="4">
                  <v>DEPARTAMENTO DE PROCESOS   100%</v>
                </pt>
                <pt idx="5">
                  <v>CLINICA EMPRESARIAL   100%</v>
                </pt>
                <pt idx="6">
                  <v>DEPARTAMENTO DE SEGURIDAD   100%</v>
                </pt>
                <pt idx="7">
                  <v>ADMINISTRACION DE BASE DE DATOS   100%</v>
                </pt>
                <pt idx="8">
                  <v>GERENCIA LEGAL Y DE CUMPLIMIENTO NORMATIVO   100%</v>
                </pt>
                <pt idx="9">
                  <v>DEPARTAMENTO DE SERVICIOS GENERALES   94%</v>
                </pt>
                <pt idx="10">
                  <v>AGENCIA MERLIOT   92%</v>
                </pt>
                <pt idx="11">
                  <v>AGENCIA SAN MIGUEL   88%</v>
                </pt>
                <pt idx="12">
                  <v>DEPARTAMENTO DE OPERACIONES Y SOPORTE TECNICO   86%</v>
                </pt>
                <pt idx="13">
                  <v>DEPARTAMENTO DE DEPOSITOS   75%</v>
                </pt>
                <pt idx="14">
                  <v>GERENCIA DE NEGOCIOS   75%</v>
                </pt>
                <pt idx="15">
                  <v>DEPARTAMENTO DE ANALISIS Y PROGRAMACIÓN   73%</v>
                </pt>
                <pt idx="16">
                  <v>DEPARTAMENTO DE AUDITORIA INTERNA   71%</v>
                </pt>
                <pt idx="17">
                  <v>DEPARTAMENTO DE TALENTO HUMANO   67%</v>
                </pt>
                <pt idx="18">
                  <v>AGENCIA USULUTAN   57%</v>
                </pt>
                <pt idx="19">
                  <v>DEPARTAMENTO DE CONTABILIDAD   54%</v>
                </pt>
                <pt idx="20">
                  <v>DEPARTAMENTO DE CREDITOS   54%</v>
                </pt>
                <pt idx="21">
                  <v>DEPARTAMENTO COMERCIAL DE TARJETA DE CREDITO Y DEBITO   50%</v>
                </pt>
                <pt idx="22">
                  <v>DEPARTAMENTO DE TARJETA DE CREDITO Y DEBITO   50%</v>
                </pt>
                <pt idx="23">
                  <v>GERENCIA DE SISTEMAS   50%</v>
                </pt>
                <pt idx="24">
                  <v>GERENCIA ADMINISTRATIVA   50%</v>
                </pt>
                <pt idx="25">
                  <v>GERENCIA DE FINANZAS Y PLANIFICACIÓN   50%</v>
                </pt>
                <pt idx="26">
                  <v>GERENCIA GENERAL   50%</v>
                </pt>
                <pt idx="27">
                  <v>DEPARTAMENTO DE SEGUROS   45%</v>
                </pt>
                <pt idx="28">
                  <v>ADMINISTRACIÓN DE CARTERAS   40%</v>
                </pt>
                <pt idx="29">
                  <v>AGENCIA CENTRAL   33%</v>
                </pt>
                <pt idx="30">
                  <v>DEPARTAMENTO DE ATENCION A ASOCIADO Y CLIENTE   33%</v>
                </pt>
                <pt idx="31">
                  <v>DEPARTAMENTO DE EDUCACION Y RESPONSABILIDAD SOCIAL   33%</v>
                </pt>
                <pt idx="32">
                  <v>AGENCIA COLONIA MEDICA   31%</v>
                </pt>
                <pt idx="33">
                  <v>DEPARTAMENTO DE SOLUCIONES FINANCIERAS   30%</v>
                </pt>
                <pt idx="34">
                  <v>SUB GERENCIA DE CANALES   29%</v>
                </pt>
                <pt idx="35">
                  <v>AGENCIA COLEGIO MEDICO   25%</v>
                </pt>
                <pt idx="36">
                  <v>DEPARTAMENTO LEGAL   25%</v>
                </pt>
                <pt idx="37">
                  <v>DEPARTAMENTO DE MERCADEO   14%</v>
                </pt>
                <pt idx="38">
                  <v>AGENCIA PLAZA MUNDO   0%</v>
                </pt>
                <pt idx="39">
                  <v>AGENCIA SANTA ANA   0%</v>
                </pt>
                <pt idx="40">
                  <v>AGENCIA SONSONATE   0%</v>
                </pt>
                <pt idx="41">
                  <v>DEPARTAMENTO DE PLANIFICACIÓN Y ANALISIS   0%</v>
                </pt>
                <pt idx="42">
                  <v>GERENCIA DE OPERACIONES   0%</v>
                </pt>
              </strCache>
            </strRef>
          </cat>
          <val>
            <numRef>
              <f>'Cálculos'!$M$20:$M$62</f>
              <numCache>
                <formatCode>General</formatCode>
                <ptCount val="43"/>
                <pt idx="0">
                  <v>7</v>
                </pt>
                <pt idx="1">
                  <v>6</v>
                </pt>
                <pt idx="2">
                  <v>4</v>
                </pt>
                <pt idx="3">
                  <v>4</v>
                </pt>
                <pt idx="4">
                  <v>3</v>
                </pt>
                <pt idx="5">
                  <v>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16</v>
                </pt>
                <pt idx="10">
                  <v>12</v>
                </pt>
                <pt idx="11">
                  <v>7</v>
                </pt>
                <pt idx="12">
                  <v>6</v>
                </pt>
                <pt idx="13">
                  <v>3</v>
                </pt>
                <pt idx="14">
                  <v>3</v>
                </pt>
                <pt idx="15">
                  <v>8</v>
                </pt>
                <pt idx="16">
                  <v>5</v>
                </pt>
                <pt idx="17">
                  <v>2</v>
                </pt>
                <pt idx="18">
                  <v>4</v>
                </pt>
                <pt idx="19">
                  <v>7</v>
                </pt>
                <pt idx="20">
                  <v>7</v>
                </pt>
                <pt idx="21">
                  <v>4</v>
                </pt>
                <pt idx="22">
                  <v>3</v>
                </pt>
                <pt idx="23">
                  <v>2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5</v>
                </pt>
                <pt idx="28">
                  <v>2</v>
                </pt>
                <pt idx="29">
                  <v>6</v>
                </pt>
                <pt idx="30">
                  <v>2</v>
                </pt>
                <pt idx="31">
                  <v>1</v>
                </pt>
                <pt idx="32">
                  <v>5</v>
                </pt>
                <pt idx="33">
                  <v>3</v>
                </pt>
                <pt idx="34">
                  <v>2</v>
                </pt>
                <pt idx="35">
                  <v>3</v>
                </pt>
                <pt idx="36">
                  <v>2</v>
                </pt>
                <pt idx="37">
                  <v>1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</numCache>
            </numRef>
          </val>
        </ser>
        <ser>
          <idx val="1"/>
          <order val="1"/>
          <tx>
            <strRef>
              <f>'Cálculos'!N19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OFICIALIA DE CUMPLIMIENTO   100%</v>
                </pt>
                <pt idx="1">
                  <v>DEPARTAMENTO DE CUSTODIA DE GARANTÍA Y VALORES   100%</v>
                </pt>
                <pt idx="2">
                  <v>ADMINISTRACION DE RIESGOS   100%</v>
                </pt>
                <pt idx="3">
                  <v>OFICIALIA DE SEGURIDAD DE LA INFORMACION   100%</v>
                </pt>
                <pt idx="4">
                  <v>DEPARTAMENTO DE PROCESOS   100%</v>
                </pt>
                <pt idx="5">
                  <v>CLINICA EMPRESARIAL   100%</v>
                </pt>
                <pt idx="6">
                  <v>DEPARTAMENTO DE SEGURIDAD   100%</v>
                </pt>
                <pt idx="7">
                  <v>ADMINISTRACION DE BASE DE DATOS   100%</v>
                </pt>
                <pt idx="8">
                  <v>GERENCIA LEGAL Y DE CUMPLIMIENTO NORMATIVO   100%</v>
                </pt>
                <pt idx="9">
                  <v>DEPARTAMENTO DE SERVICIOS GENERALES   94%</v>
                </pt>
                <pt idx="10">
                  <v>AGENCIA MERLIOT   92%</v>
                </pt>
                <pt idx="11">
                  <v>AGENCIA SAN MIGUEL   88%</v>
                </pt>
                <pt idx="12">
                  <v>DEPARTAMENTO DE OPERACIONES Y SOPORTE TECNICO   86%</v>
                </pt>
                <pt idx="13">
                  <v>DEPARTAMENTO DE DEPOSITOS   75%</v>
                </pt>
                <pt idx="14">
                  <v>GERENCIA DE NEGOCIOS   75%</v>
                </pt>
                <pt idx="15">
                  <v>DEPARTAMENTO DE ANALISIS Y PROGRAMACIÓN   73%</v>
                </pt>
                <pt idx="16">
                  <v>DEPARTAMENTO DE AUDITORIA INTERNA   71%</v>
                </pt>
                <pt idx="17">
                  <v>DEPARTAMENTO DE TALENTO HUMANO   67%</v>
                </pt>
                <pt idx="18">
                  <v>AGENCIA USULUTAN   57%</v>
                </pt>
                <pt idx="19">
                  <v>DEPARTAMENTO DE CONTABILIDAD   54%</v>
                </pt>
                <pt idx="20">
                  <v>DEPARTAMENTO DE CREDITOS   54%</v>
                </pt>
                <pt idx="21">
                  <v>DEPARTAMENTO COMERCIAL DE TARJETA DE CREDITO Y DEBITO   50%</v>
                </pt>
                <pt idx="22">
                  <v>DEPARTAMENTO DE TARJETA DE CREDITO Y DEBITO   50%</v>
                </pt>
                <pt idx="23">
                  <v>GERENCIA DE SISTEMAS   50%</v>
                </pt>
                <pt idx="24">
                  <v>GERENCIA ADMINISTRATIVA   50%</v>
                </pt>
                <pt idx="25">
                  <v>GERENCIA DE FINANZAS Y PLANIFICACIÓN   50%</v>
                </pt>
                <pt idx="26">
                  <v>GERENCIA GENERAL   50%</v>
                </pt>
                <pt idx="27">
                  <v>DEPARTAMENTO DE SEGUROS   45%</v>
                </pt>
                <pt idx="28">
                  <v>ADMINISTRACIÓN DE CARTERAS   40%</v>
                </pt>
                <pt idx="29">
                  <v>AGENCIA CENTRAL   33%</v>
                </pt>
                <pt idx="30">
                  <v>DEPARTAMENTO DE ATENCION A ASOCIADO Y CLIENTE   33%</v>
                </pt>
                <pt idx="31">
                  <v>DEPARTAMENTO DE EDUCACION Y RESPONSABILIDAD SOCIAL   33%</v>
                </pt>
                <pt idx="32">
                  <v>AGENCIA COLONIA MEDICA   31%</v>
                </pt>
                <pt idx="33">
                  <v>DEPARTAMENTO DE SOLUCIONES FINANCIERAS   30%</v>
                </pt>
                <pt idx="34">
                  <v>SUB GERENCIA DE CANALES   29%</v>
                </pt>
                <pt idx="35">
                  <v>AGENCIA COLEGIO MEDICO   25%</v>
                </pt>
                <pt idx="36">
                  <v>DEPARTAMENTO LEGAL   25%</v>
                </pt>
                <pt idx="37">
                  <v>DEPARTAMENTO DE MERCADEO   14%</v>
                </pt>
                <pt idx="38">
                  <v>AGENCIA PLAZA MUNDO   0%</v>
                </pt>
                <pt idx="39">
                  <v>AGENCIA SANTA ANA   0%</v>
                </pt>
                <pt idx="40">
                  <v>AGENCIA SONSONATE   0%</v>
                </pt>
                <pt idx="41">
                  <v>DEPARTAMENTO DE PLANIFICACIÓN Y ANALISIS   0%</v>
                </pt>
                <pt idx="42">
                  <v>GERENCIA DE OPERACIONES   0%</v>
                </pt>
              </strCache>
            </strRef>
          </cat>
          <val>
            <numRef>
              <f>'Cálculos'!$N$20:$N$62</f>
              <numCache>
                <formatCode>General</formatCode>
                <ptCount val="4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3</v>
                </pt>
                <pt idx="16">
                  <v>2</v>
                </pt>
                <pt idx="17">
                  <v>1</v>
                </pt>
                <pt idx="18">
                  <v>3</v>
                </pt>
                <pt idx="19">
                  <v>6</v>
                </pt>
                <pt idx="20">
                  <v>6</v>
                </pt>
                <pt idx="21">
                  <v>4</v>
                </pt>
                <pt idx="22">
                  <v>3</v>
                </pt>
                <pt idx="23">
                  <v>2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6</v>
                </pt>
                <pt idx="28">
                  <v>3</v>
                </pt>
                <pt idx="29">
                  <v>12</v>
                </pt>
                <pt idx="30">
                  <v>4</v>
                </pt>
                <pt idx="31">
                  <v>2</v>
                </pt>
                <pt idx="32">
                  <v>11</v>
                </pt>
                <pt idx="33">
                  <v>7</v>
                </pt>
                <pt idx="34">
                  <v>5</v>
                </pt>
                <pt idx="35">
                  <v>9</v>
                </pt>
                <pt idx="36">
                  <v>6</v>
                </pt>
                <pt idx="37">
                  <v>6</v>
                </pt>
                <pt idx="38">
                  <v>8</v>
                </pt>
                <pt idx="39">
                  <v>8</v>
                </pt>
                <pt idx="40">
                  <v>7</v>
                </pt>
                <pt idx="41">
                  <v>3</v>
                </pt>
                <pt idx="42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de Negocios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de Negocios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de Negocios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Negocios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Negocios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Negocios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Negocios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Negocios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Negocios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Negocios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Negocios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Negocios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Negocios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"/>
  <sheetViews>
    <sheetView showGridLines="1" tabSelected="0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7" t="str">
        <f>IFERROR(INDEX('Base Exámenes'!$D$5:$D$1000, MATCH(A5, 'Base Exámenes'!$C$5:$C$1000, 0)), "")</f>
        <v/>
      </c>
      <c r="H5" s="27" t="str">
        <f>IFERROR(INDEX('Base Exámenes'!$E$5:$E$1000, MATCH(A5, 'Base Exámenes'!$C$5:$C$1000, 0)), "")</f>
        <v/>
      </c>
      <c r="I5" s="26" t="str">
        <f>IFERROR(INDEX('Base Exámenes'!$F$5:$F$1000, MATCH(A5, 'Base Exámenes'!$C$5:$C$1000, 0)), "")</f>
        <v/>
      </c>
      <c r="J5" s="6" t="str">
        <f>IFERROR(INDEX('Base Exámenes'!$G$5:$G$1000, MATCH(A5, 'Base Exámenes'!$C$5:$C$1000, 0)), "")</f>
        <v/>
      </c>
      <c r="K5" s="6" t="str">
        <f>IFERROR(INDEX('Base Exámenes'!$H$5:$H$1000, MATCH(A5, 'Base Exámenes'!$C$5:$C$1000,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7">
        <f>IFERROR(INDEX('Base Exámenes'!$D$5:$D$1000, MATCH(A6, 'Base Exámenes'!$C$5:$C$1000, 0)), "")</f>
        <v>46297.636770833335</v>
      </c>
      <c r="H6" s="27">
        <f>IFERROR(INDEX('Base Exámenes'!$E$5:$E$1000, MATCH(A6, 'Base Exámenes'!$C$5:$C$1000, 0)), "")</f>
        <v>46297.63836805556</v>
      </c>
      <c r="I6" s="26">
        <f>IFERROR(INDEX('Base Exámenes'!$F$5:$F$1000, MATCH(A6, 'Base Exámenes'!$C$5:$C$1000, 0)), "")</f>
        <v>2.3</v>
      </c>
      <c r="J6" s="6">
        <f>IFERROR(INDEX('Base Exámenes'!$G$5:$G$1000, MATCH(A6, 'Base Exámenes'!$C$5:$C$1000, 0)), "")</f>
        <v>100</v>
      </c>
      <c r="K6" s="6" t="str">
        <f>IFERROR(INDEX('Base Exámenes'!$H$5:$H$1000, MATCH(A6, 'Base Exámenes'!$C$5:$C$1000,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7" t="str">
        <f>IFERROR(INDEX('Base Exámenes'!$D$5:$D$1000, MATCH(A7, 'Base Exámenes'!$C$5:$C$1000, 0)), "")</f>
        <v/>
      </c>
      <c r="H7" s="27" t="str">
        <f>IFERROR(INDEX('Base Exámenes'!$E$5:$E$1000, MATCH(A7, 'Base Exámenes'!$C$5:$C$1000, 0)), "")</f>
        <v/>
      </c>
      <c r="I7" s="26" t="str">
        <f>IFERROR(INDEX('Base Exámenes'!$F$5:$F$1000, MATCH(A7, 'Base Exámenes'!$C$5:$C$1000, 0)), "")</f>
        <v/>
      </c>
      <c r="J7" s="6" t="str">
        <f>IFERROR(INDEX('Base Exámenes'!$G$5:$G$1000, MATCH(A7, 'Base Exámenes'!$C$5:$C$1000, 0)), "")</f>
        <v/>
      </c>
      <c r="K7" s="6" t="str">
        <f>IFERROR(INDEX('Base Exámenes'!$H$5:$H$1000, MATCH(A7, 'Base Exámenes'!$C$5:$C$1000,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7">
        <f>IFERROR(INDEX('Base Exámenes'!$D$5:$D$1000, MATCH(A8, 'Base Exámenes'!$C$5:$C$1000, 0)), "")</f>
        <v>46296.42706018518</v>
      </c>
      <c r="H8" s="27">
        <f>IFERROR(INDEX('Base Exámenes'!$E$5:$E$1000, MATCH(A8, 'Base Exámenes'!$C$5:$C$1000, 0)), "")</f>
        <v>46296.429560185185</v>
      </c>
      <c r="I8" s="26">
        <f>IFERROR(INDEX('Base Exámenes'!$F$5:$F$1000, MATCH(A8, 'Base Exámenes'!$C$5:$C$1000, 0)), "")</f>
        <v>3.6</v>
      </c>
      <c r="J8" s="6">
        <f>IFERROR(INDEX('Base Exámenes'!$G$5:$G$1000, MATCH(A8, 'Base Exámenes'!$C$5:$C$1000, 0)), "")</f>
        <v>100</v>
      </c>
      <c r="K8" s="6" t="str">
        <f>IFERROR(INDEX('Base Exámenes'!$H$5:$H$1000, MATCH(A8, 'Base Exámenes'!$C$5:$C$1000,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7" t="str">
        <f>IFERROR(INDEX('Base Exámenes'!$D$5:$D$1000, MATCH(A9, 'Base Exámenes'!$C$5:$C$1000, 0)), "")</f>
        <v/>
      </c>
      <c r="H9" s="27" t="str">
        <f>IFERROR(INDEX('Base Exámenes'!$E$5:$E$1000, MATCH(A9, 'Base Exámenes'!$C$5:$C$1000, 0)), "")</f>
        <v/>
      </c>
      <c r="I9" s="26" t="str">
        <f>IFERROR(INDEX('Base Exámenes'!$F$5:$F$1000, MATCH(A9, 'Base Exámenes'!$C$5:$C$1000, 0)), "")</f>
        <v/>
      </c>
      <c r="J9" s="6" t="str">
        <f>IFERROR(INDEX('Base Exámenes'!$G$5:$G$1000, MATCH(A9, 'Base Exámenes'!$C$5:$C$1000, 0)), "")</f>
        <v/>
      </c>
      <c r="K9" s="6" t="str">
        <f>IFERROR(INDEX('Base Exámenes'!$H$5:$H$1000, MATCH(A9, 'Base Exámenes'!$C$5:$C$1000,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7">
        <f>IFERROR(INDEX('Base Exámenes'!$D$5:$D$1000, MATCH(A10, 'Base Exámenes'!$C$5:$C$1000, 0)), "")</f>
        <v>46296.47011574074</v>
      </c>
      <c r="H10" s="27">
        <f>IFERROR(INDEX('Base Exámenes'!$E$5:$E$1000, MATCH(A10, 'Base Exámenes'!$C$5:$C$1000, 0)), "")</f>
        <v>46296.47738425926</v>
      </c>
      <c r="I10" s="26">
        <f>IFERROR(INDEX('Base Exámenes'!$F$5:$F$1000, MATCH(A10, 'Base Exámenes'!$C$5:$C$1000, 0)), "")</f>
        <v>10.4666666666667</v>
      </c>
      <c r="J10" s="6">
        <f>IFERROR(INDEX('Base Exámenes'!$G$5:$G$1000, MATCH(A10, 'Base Exámenes'!$C$5:$C$1000, 0)), "")</f>
        <v>100</v>
      </c>
      <c r="K10" s="6" t="str">
        <f>IFERROR(INDEX('Base Exámenes'!$H$5:$H$1000, MATCH(A10, 'Base Exámenes'!$C$5:$C$1000,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7" t="str">
        <f>IFERROR(INDEX('Base Exámenes'!$D$5:$D$1000, MATCH(A11, 'Base Exámenes'!$C$5:$C$1000, 0)), "")</f>
        <v/>
      </c>
      <c r="H11" s="27" t="str">
        <f>IFERROR(INDEX('Base Exámenes'!$E$5:$E$1000, MATCH(A11, 'Base Exámenes'!$C$5:$C$1000, 0)), "")</f>
        <v/>
      </c>
      <c r="I11" s="26" t="str">
        <f>IFERROR(INDEX('Base Exámenes'!$F$5:$F$1000, MATCH(A11, 'Base Exámenes'!$C$5:$C$1000, 0)), "")</f>
        <v/>
      </c>
      <c r="J11" s="6" t="str">
        <f>IFERROR(INDEX('Base Exámenes'!$G$5:$G$1000, MATCH(A11, 'Base Exámenes'!$C$5:$C$1000, 0)), "")</f>
        <v/>
      </c>
      <c r="K11" s="6" t="str">
        <f>IFERROR(INDEX('Base Exámenes'!$H$5:$H$1000, MATCH(A11, 'Base Exámenes'!$C$5:$C$1000,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7">
        <f>IFERROR(INDEX('Base Exámenes'!$D$5:$D$1000, MATCH(A12, 'Base Exámenes'!$C$5:$C$1000, 0)), "")</f>
        <v>46304.69274305556</v>
      </c>
      <c r="H12" s="27">
        <f>IFERROR(INDEX('Base Exámenes'!$E$5:$E$1000, MATCH(A12, 'Base Exámenes'!$C$5:$C$1000, 0)), "")</f>
        <v>46304.69452546296</v>
      </c>
      <c r="I12" s="26">
        <f>IFERROR(INDEX('Base Exámenes'!$F$5:$F$1000, MATCH(A12, 'Base Exámenes'!$C$5:$C$1000, 0)), "")</f>
        <v>2.56666666666667</v>
      </c>
      <c r="J12" s="6">
        <f>IFERROR(INDEX('Base Exámenes'!$G$5:$G$1000, MATCH(A12, 'Base Exámenes'!$C$5:$C$1000, 0)), "")</f>
        <v>100</v>
      </c>
      <c r="K12" s="6" t="str">
        <f>IFERROR(INDEX('Base Exámenes'!$H$5:$H$1000, MATCH(A12, 'Base Exámenes'!$C$5:$C$1000,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7">
        <f>IFERROR(INDEX('Base Exámenes'!$D$5:$D$1000, MATCH(A13, 'Base Exámenes'!$C$5:$C$1000, 0)), "")</f>
        <v>46305.40667824074</v>
      </c>
      <c r="H13" s="27">
        <f>IFERROR(INDEX('Base Exámenes'!$E$5:$E$1000, MATCH(A13, 'Base Exámenes'!$C$5:$C$1000, 0)), "")</f>
        <v>46305.40980324074</v>
      </c>
      <c r="I13" s="26">
        <f>IFERROR(INDEX('Base Exámenes'!$F$5:$F$1000, MATCH(A13, 'Base Exámenes'!$C$5:$C$1000, 0)), "")</f>
        <v>4.5</v>
      </c>
      <c r="J13" s="6">
        <f>IFERROR(INDEX('Base Exámenes'!$G$5:$G$1000, MATCH(A13, 'Base Exámenes'!$C$5:$C$1000, 0)), "")</f>
        <v>100</v>
      </c>
      <c r="K13" s="6" t="str">
        <f>IFERROR(INDEX('Base Exámenes'!$H$5:$H$1000, MATCH(A13, 'Base Exámenes'!$C$5:$C$1000,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7">
        <f>IFERROR(INDEX('Base Exámenes'!$D$5:$D$1000, MATCH(A14, 'Base Exámenes'!$C$5:$C$1000, 0)), "")</f>
        <v>46304.406875</v>
      </c>
      <c r="H14" s="27">
        <f>IFERROR(INDEX('Base Exámenes'!$E$5:$E$1000, MATCH(A14, 'Base Exámenes'!$C$5:$C$1000, 0)), "")</f>
        <v>46304.40962962963</v>
      </c>
      <c r="I14" s="26">
        <f>IFERROR(INDEX('Base Exámenes'!$F$5:$F$1000, MATCH(A14, 'Base Exámenes'!$C$5:$C$1000, 0)), "")</f>
        <v>3.96666666666667</v>
      </c>
      <c r="J14" s="6">
        <f>IFERROR(INDEX('Base Exámenes'!$G$5:$G$1000, MATCH(A14, 'Base Exámenes'!$C$5:$C$1000, 0)), "")</f>
        <v>100</v>
      </c>
      <c r="K14" s="6" t="str">
        <f>IFERROR(INDEX('Base Exámenes'!$H$5:$H$1000, MATCH(A14, 'Base Exámenes'!$C$5:$C$1000,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7">
        <f>IFERROR(INDEX('Base Exámenes'!$D$5:$D$1000, MATCH(A15, 'Base Exámenes'!$C$5:$C$1000, 0)), "")</f>
        <v>46296.43667824074</v>
      </c>
      <c r="H15" s="27">
        <f>IFERROR(INDEX('Base Exámenes'!$E$5:$E$1000, MATCH(A15, 'Base Exámenes'!$C$5:$C$1000, 0)), "")</f>
        <v>46296.438796296294</v>
      </c>
      <c r="I15" s="26">
        <f>IFERROR(INDEX('Base Exámenes'!$F$5:$F$1000, MATCH(A15, 'Base Exámenes'!$C$5:$C$1000, 0)), "")</f>
        <v>3.05</v>
      </c>
      <c r="J15" s="6">
        <f>IFERROR(INDEX('Base Exámenes'!$G$5:$G$1000, MATCH(A15, 'Base Exámenes'!$C$5:$C$1000, 0)), "")</f>
        <v>100</v>
      </c>
      <c r="K15" s="6" t="str">
        <f>IFERROR(INDEX('Base Exámenes'!$H$5:$H$1000, MATCH(A15, 'Base Exámenes'!$C$5:$C$1000,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7">
        <f>IFERROR(INDEX('Base Exámenes'!$D$5:$D$1000, MATCH(A16, 'Base Exámenes'!$C$5:$C$1000, 0)), "")</f>
        <v>46300.621516203704</v>
      </c>
      <c r="H16" s="27">
        <f>IFERROR(INDEX('Base Exámenes'!$E$5:$E$1000, MATCH(A16, 'Base Exámenes'!$C$5:$C$1000, 0)), "")</f>
        <v>46300.6309837963</v>
      </c>
      <c r="I16" s="26">
        <f>IFERROR(INDEX('Base Exámenes'!$F$5:$F$1000, MATCH(A16, 'Base Exámenes'!$C$5:$C$1000, 0)), "")</f>
        <v>13.6333333333333</v>
      </c>
      <c r="J16" s="6">
        <f>IFERROR(INDEX('Base Exámenes'!$G$5:$G$1000, MATCH(A16, 'Base Exámenes'!$C$5:$C$1000, 0)), "")</f>
        <v>100</v>
      </c>
      <c r="K16" s="6" t="str">
        <f>IFERROR(INDEX('Base Exámenes'!$H$5:$H$1000, MATCH(A16, 'Base Exámenes'!$C$5:$C$1000,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7">
        <f>IFERROR(INDEX('Base Exámenes'!$D$5:$D$1000, MATCH(A17, 'Base Exámenes'!$C$5:$C$1000, 0)), "")</f>
        <v>46305.39564814815</v>
      </c>
      <c r="H17" s="27">
        <f>IFERROR(INDEX('Base Exámenes'!$E$5:$E$1000, MATCH(A17, 'Base Exámenes'!$C$5:$C$1000, 0)), "")</f>
        <v>46305.39865740741</v>
      </c>
      <c r="I17" s="26">
        <f>IFERROR(INDEX('Base Exámenes'!$F$5:$F$1000, MATCH(A17, 'Base Exámenes'!$C$5:$C$1000, 0)), "")</f>
        <v>4.33333333333333</v>
      </c>
      <c r="J17" s="6">
        <f>IFERROR(INDEX('Base Exámenes'!$G$5:$G$1000, MATCH(A17, 'Base Exámenes'!$C$5:$C$1000, 0)), "")</f>
        <v>100</v>
      </c>
      <c r="K17" s="6" t="str">
        <f>IFERROR(INDEX('Base Exámenes'!$H$5:$H$1000, MATCH(A17, 'Base Exámenes'!$C$5:$C$1000,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7">
        <f>IFERROR(INDEX('Base Exámenes'!$D$5:$D$1000, MATCH(A18, 'Base Exámenes'!$C$5:$C$1000, 0)), "")</f>
        <v>46296.436574074076</v>
      </c>
      <c r="H18" s="27">
        <f>IFERROR(INDEX('Base Exámenes'!$E$5:$E$1000, MATCH(A18, 'Base Exámenes'!$C$5:$C$1000, 0)), "")</f>
        <v>46296.44149305556</v>
      </c>
      <c r="I18" s="26">
        <f>IFERROR(INDEX('Base Exámenes'!$F$5:$F$1000, MATCH(A18, 'Base Exámenes'!$C$5:$C$1000, 0)), "")</f>
        <v>7.08333333333333</v>
      </c>
      <c r="J18" s="6">
        <f>IFERROR(INDEX('Base Exámenes'!$G$5:$G$1000, MATCH(A18, 'Base Exámenes'!$C$5:$C$1000, 0)), "")</f>
        <v>100</v>
      </c>
      <c r="K18" s="6" t="str">
        <f>IFERROR(INDEX('Base Exámenes'!$H$5:$H$1000, MATCH(A18, 'Base Exámenes'!$C$5:$C$1000,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7">
        <f>IFERROR(INDEX('Base Exámenes'!$D$5:$D$1000, MATCH(A19, 'Base Exámenes'!$C$5:$C$1000, 0)), "")</f>
        <v>46296.43665509259</v>
      </c>
      <c r="H19" s="27">
        <f>IFERROR(INDEX('Base Exámenes'!$E$5:$E$1000, MATCH(A19, 'Base Exámenes'!$C$5:$C$1000, 0)), "")</f>
        <v>46296.44137731481</v>
      </c>
      <c r="I19" s="26">
        <f>IFERROR(INDEX('Base Exámenes'!$F$5:$F$1000, MATCH(A19, 'Base Exámenes'!$C$5:$C$1000, 0)), "")</f>
        <v>6.8</v>
      </c>
      <c r="J19" s="6">
        <f>IFERROR(INDEX('Base Exámenes'!$G$5:$G$1000, MATCH(A19, 'Base Exámenes'!$C$5:$C$1000, 0)), "")</f>
        <v>100</v>
      </c>
      <c r="K19" s="6" t="str">
        <f>IFERROR(INDEX('Base Exámenes'!$H$5:$H$1000, MATCH(A19, 'Base Exámenes'!$C$5:$C$1000,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7">
        <f>IFERROR(INDEX('Base Exámenes'!$D$5:$D$1000, MATCH(A20, 'Base Exámenes'!$C$5:$C$1000, 0)), "")</f>
        <v>46296.4371875</v>
      </c>
      <c r="H20" s="27">
        <f>IFERROR(INDEX('Base Exámenes'!$E$5:$E$1000, MATCH(A20, 'Base Exámenes'!$C$5:$C$1000, 0)), "")</f>
        <v>46296.44143518519</v>
      </c>
      <c r="I20" s="26">
        <f>IFERROR(INDEX('Base Exámenes'!$F$5:$F$1000, MATCH(A20, 'Base Exámenes'!$C$5:$C$1000, 0)), "")</f>
        <v>6.11666666666667</v>
      </c>
      <c r="J20" s="6">
        <f>IFERROR(INDEX('Base Exámenes'!$G$5:$G$1000, MATCH(A20, 'Base Exámenes'!$C$5:$C$1000, 0)), "")</f>
        <v>100</v>
      </c>
      <c r="K20" s="6" t="str">
        <f>IFERROR(INDEX('Base Exámenes'!$H$5:$H$1000, MATCH(A20, 'Base Exámenes'!$C$5:$C$1000,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7">
        <f>IFERROR(INDEX('Base Exámenes'!$D$5:$D$1000, MATCH(A21, 'Base Exámenes'!$C$5:$C$1000, 0)), "")</f>
        <v>46296.44082175926</v>
      </c>
      <c r="H21" s="27">
        <f>IFERROR(INDEX('Base Exámenes'!$E$5:$E$1000, MATCH(A21, 'Base Exámenes'!$C$5:$C$1000, 0)), "")</f>
        <v>46296.448969907404</v>
      </c>
      <c r="I21" s="26">
        <f>IFERROR(INDEX('Base Exámenes'!$F$5:$F$1000, MATCH(A21, 'Base Exámenes'!$C$5:$C$1000, 0)), "")</f>
        <v>11.7333333333333</v>
      </c>
      <c r="J21" s="6">
        <f>IFERROR(INDEX('Base Exámenes'!$G$5:$G$1000, MATCH(A21, 'Base Exámenes'!$C$5:$C$1000, 0)), "")</f>
        <v>100</v>
      </c>
      <c r="K21" s="6" t="str">
        <f>IFERROR(INDEX('Base Exámenes'!$H$5:$H$1000, MATCH(A21, 'Base Exámenes'!$C$5:$C$1000,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7">
        <f>IFERROR(INDEX('Base Exámenes'!$D$5:$D$1000, MATCH(A22, 'Base Exámenes'!$C$5:$C$1000, 0)), "")</f>
        <v>46296.44221064815</v>
      </c>
      <c r="H22" s="27">
        <f>IFERROR(INDEX('Base Exámenes'!$E$5:$E$1000, MATCH(A22, 'Base Exámenes'!$C$5:$C$1000, 0)), "")</f>
        <v>46296.44850694444</v>
      </c>
      <c r="I22" s="26">
        <f>IFERROR(INDEX('Base Exámenes'!$F$5:$F$1000, MATCH(A22, 'Base Exámenes'!$C$5:$C$1000, 0)), "")</f>
        <v>9.06666666666667</v>
      </c>
      <c r="J22" s="6">
        <f>IFERROR(INDEX('Base Exámenes'!$G$5:$G$1000, MATCH(A22, 'Base Exámenes'!$C$5:$C$1000, 0)), "")</f>
        <v>85</v>
      </c>
      <c r="K22" s="6" t="str">
        <f>IFERROR(INDEX('Base Exámenes'!$H$5:$H$1000, MATCH(A22, 'Base Exámenes'!$C$5:$C$1000,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7">
        <f>IFERROR(INDEX('Base Exámenes'!$D$5:$D$1000, MATCH(A23, 'Base Exámenes'!$C$5:$C$1000, 0)), "")</f>
        <v>46296.441828703704</v>
      </c>
      <c r="H23" s="27">
        <f>IFERROR(INDEX('Base Exámenes'!$E$5:$E$1000, MATCH(A23, 'Base Exámenes'!$C$5:$C$1000, 0)), "")</f>
        <v>46296.44851851852</v>
      </c>
      <c r="I23" s="26">
        <f>IFERROR(INDEX('Base Exámenes'!$F$5:$F$1000, MATCH(A23, 'Base Exámenes'!$C$5:$C$1000, 0)), "")</f>
        <v>9.63333333333333</v>
      </c>
      <c r="J23" s="6">
        <f>IFERROR(INDEX('Base Exámenes'!$G$5:$G$1000, MATCH(A23, 'Base Exámenes'!$C$5:$C$1000, 0)), "")</f>
        <v>100</v>
      </c>
      <c r="K23" s="6" t="str">
        <f>IFERROR(INDEX('Base Exámenes'!$H$5:$H$1000, MATCH(A23, 'Base Exámenes'!$C$5:$C$1000,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7">
        <f>IFERROR(INDEX('Base Exámenes'!$D$5:$D$1000, MATCH(A24, 'Base Exámenes'!$C$5:$C$1000, 0)), "")</f>
        <v>46296.44081018519</v>
      </c>
      <c r="H24" s="27">
        <f>IFERROR(INDEX('Base Exámenes'!$E$5:$E$1000, MATCH(A24, 'Base Exámenes'!$C$5:$C$1000, 0)), "")</f>
        <v>46296.44909722222</v>
      </c>
      <c r="I24" s="26">
        <f>IFERROR(INDEX('Base Exámenes'!$F$5:$F$1000, MATCH(A24, 'Base Exámenes'!$C$5:$C$1000, 0)), "")</f>
        <v>11.9333333333333</v>
      </c>
      <c r="J24" s="6">
        <f>IFERROR(INDEX('Base Exámenes'!$G$5:$G$1000, MATCH(A24, 'Base Exámenes'!$C$5:$C$1000, 0)), "")</f>
        <v>100</v>
      </c>
      <c r="K24" s="6" t="str">
        <f>IFERROR(INDEX('Base Exámenes'!$H$5:$H$1000, MATCH(A24, 'Base Exámenes'!$C$5:$C$1000,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Pendiente</v>
      </c>
      <c r="G25" s="27" t="str">
        <f>IFERROR(INDEX('Base Exámenes'!$D$5:$D$1000, MATCH(A25, 'Base Exámenes'!$C$5:$C$1000, 0)), "")</f>
        <v/>
      </c>
      <c r="H25" s="27" t="str">
        <f>IFERROR(INDEX('Base Exámenes'!$E$5:$E$1000, MATCH(A25, 'Base Exámenes'!$C$5:$C$1000, 0)), "")</f>
        <v/>
      </c>
      <c r="I25" s="26" t="str">
        <f>IFERROR(INDEX('Base Exámenes'!$F$5:$F$1000, MATCH(A25, 'Base Exámenes'!$C$5:$C$1000, 0)), "")</f>
        <v/>
      </c>
      <c r="J25" s="6" t="str">
        <f>IFERROR(INDEX('Base Exámenes'!$G$5:$G$1000, MATCH(A25, 'Base Exámenes'!$C$5:$C$1000, 0)), "")</f>
        <v/>
      </c>
      <c r="K25" s="6" t="str">
        <f>IFERROR(INDEX('Base Exámenes'!$H$5:$H$1000, MATCH(A25, 'Base Exámenes'!$C$5:$C$1000,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7">
        <f>IFERROR(INDEX('Base Exámenes'!$D$5:$D$1000, MATCH(A26, 'Base Exámenes'!$C$5:$C$1000, 0)), "")</f>
        <v>46300.80671296296</v>
      </c>
      <c r="H26" s="27">
        <f>IFERROR(INDEX('Base Exámenes'!$E$5:$E$1000, MATCH(A26, 'Base Exámenes'!$C$5:$C$1000, 0)), "")</f>
        <v>46300.81421296296</v>
      </c>
      <c r="I26" s="26">
        <f>IFERROR(INDEX('Base Exámenes'!$F$5:$F$1000, MATCH(A26, 'Base Exámenes'!$C$5:$C$1000, 0)), "")</f>
        <v>10.8</v>
      </c>
      <c r="J26" s="6">
        <f>IFERROR(INDEX('Base Exámenes'!$G$5:$G$1000, MATCH(A26, 'Base Exámenes'!$C$5:$C$1000, 0)), "")</f>
        <v>90</v>
      </c>
      <c r="K26" s="6" t="str">
        <f>IFERROR(INDEX('Base Exámenes'!$H$5:$H$1000, MATCH(A26, 'Base Exámenes'!$C$5:$C$1000,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7">
        <f>IFERROR(INDEX('Base Exámenes'!$D$5:$D$1000, MATCH(A27, 'Base Exámenes'!$C$5:$C$1000, 0)), "")</f>
        <v>46300.65453703704</v>
      </c>
      <c r="H27" s="27">
        <f>IFERROR(INDEX('Base Exámenes'!$E$5:$E$1000, MATCH(A27, 'Base Exámenes'!$C$5:$C$1000, 0)), "")</f>
        <v>46300.665671296294</v>
      </c>
      <c r="I27" s="26">
        <f>IFERROR(INDEX('Base Exámenes'!$F$5:$F$1000, MATCH(A27, 'Base Exámenes'!$C$5:$C$1000, 0)), "")</f>
        <v>16.0333333333333</v>
      </c>
      <c r="J27" s="6">
        <f>IFERROR(INDEX('Base Exámenes'!$G$5:$G$1000, MATCH(A27, 'Base Exámenes'!$C$5:$C$1000, 0)), "")</f>
        <v>100</v>
      </c>
      <c r="K27" s="6" t="str">
        <f>IFERROR(INDEX('Base Exámenes'!$H$5:$H$1000, MATCH(A27, 'Base Exámenes'!$C$5:$C$1000,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7">
        <f>IFERROR(INDEX('Base Exámenes'!$D$5:$D$1000, MATCH(A28, 'Base Exámenes'!$C$5:$C$1000, 0)), "")</f>
        <v>46297.834652777776</v>
      </c>
      <c r="H28" s="27">
        <f>IFERROR(INDEX('Base Exámenes'!$E$5:$E$1000, MATCH(A28, 'Base Exámenes'!$C$5:$C$1000, 0)), "")</f>
        <v>46297.84905092593</v>
      </c>
      <c r="I28" s="26">
        <f>IFERROR(INDEX('Base Exámenes'!$F$5:$F$1000, MATCH(A28, 'Base Exámenes'!$C$5:$C$1000, 0)), "")</f>
        <v>20.7333333333333</v>
      </c>
      <c r="J28" s="6">
        <f>IFERROR(INDEX('Base Exámenes'!$G$5:$G$1000, MATCH(A28, 'Base Exámenes'!$C$5:$C$1000, 0)), "")</f>
        <v>80</v>
      </c>
      <c r="K28" s="6" t="str">
        <f>IFERROR(INDEX('Base Exámenes'!$H$5:$H$1000, MATCH(A28, 'Base Exámenes'!$C$5:$C$1000,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7">
        <f>IFERROR(INDEX('Base Exámenes'!$D$5:$D$1000, MATCH(A29, 'Base Exámenes'!$C$5:$C$1000, 0)), "")</f>
        <v>46298.41678240741</v>
      </c>
      <c r="H29" s="27">
        <f>IFERROR(INDEX('Base Exámenes'!$E$5:$E$1000, MATCH(A29, 'Base Exámenes'!$C$5:$C$1000, 0)), "")</f>
        <v>46298.4184375</v>
      </c>
      <c r="I29" s="26">
        <f>IFERROR(INDEX('Base Exámenes'!$F$5:$F$1000, MATCH(A29, 'Base Exámenes'!$C$5:$C$1000, 0)), "")</f>
        <v>2.38333333333333</v>
      </c>
      <c r="J29" s="6">
        <f>IFERROR(INDEX('Base Exámenes'!$G$5:$G$1000, MATCH(A29, 'Base Exámenes'!$C$5:$C$1000, 0)), "")</f>
        <v>90</v>
      </c>
      <c r="K29" s="6" t="str">
        <f>IFERROR(INDEX('Base Exámenes'!$H$5:$H$1000, MATCH(A29, 'Base Exámenes'!$C$5:$C$1000,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7">
        <f>IFERROR(INDEX('Base Exámenes'!$D$5:$D$1000, MATCH(A30, 'Base Exámenes'!$C$5:$C$1000, 0)), "")</f>
        <v>46298.33667824074</v>
      </c>
      <c r="H30" s="27">
        <f>IFERROR(INDEX('Base Exámenes'!$E$5:$E$1000, MATCH(A30, 'Base Exámenes'!$C$5:$C$1000, 0)), "")</f>
        <v>46298.34488425926</v>
      </c>
      <c r="I30" s="26">
        <f>IFERROR(INDEX('Base Exámenes'!$F$5:$F$1000, MATCH(A30, 'Base Exámenes'!$C$5:$C$1000, 0)), "")</f>
        <v>11.8166666666667</v>
      </c>
      <c r="J30" s="6">
        <f>IFERROR(INDEX('Base Exámenes'!$G$5:$G$1000, MATCH(A30, 'Base Exámenes'!$C$5:$C$1000, 0)), "")</f>
        <v>40</v>
      </c>
      <c r="K30" s="6" t="str">
        <f>IFERROR(INDEX('Base Exámenes'!$H$5:$H$1000, MATCH(A30, 'Base Exámenes'!$C$5:$C$1000,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Pendiente</v>
      </c>
      <c r="G31" s="27" t="str">
        <f>IFERROR(INDEX('Base Exámenes'!$D$5:$D$1000, MATCH(A31, 'Base Exámenes'!$C$5:$C$1000, 0)), "")</f>
        <v/>
      </c>
      <c r="H31" s="27" t="str">
        <f>IFERROR(INDEX('Base Exámenes'!$E$5:$E$1000, MATCH(A31, 'Base Exámenes'!$C$5:$C$1000, 0)), "")</f>
        <v/>
      </c>
      <c r="I31" s="26" t="str">
        <f>IFERROR(INDEX('Base Exámenes'!$F$5:$F$1000, MATCH(A31, 'Base Exámenes'!$C$5:$C$1000, 0)), "")</f>
        <v/>
      </c>
      <c r="J31" s="6" t="str">
        <f>IFERROR(INDEX('Base Exámenes'!$G$5:$G$1000, MATCH(A31, 'Base Exámenes'!$C$5:$C$1000, 0)), "")</f>
        <v/>
      </c>
      <c r="K31" s="6" t="str">
        <f>IFERROR(INDEX('Base Exámenes'!$H$5:$H$1000, MATCH(A31, 'Base Exámenes'!$C$5:$C$1000,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7">
        <f>IFERROR(INDEX('Base Exámenes'!$D$5:$D$1000, MATCH(A32, 'Base Exámenes'!$C$5:$C$1000, 0)), "")</f>
        <v>46297.84774305556</v>
      </c>
      <c r="H32" s="27">
        <f>IFERROR(INDEX('Base Exámenes'!$E$5:$E$1000, MATCH(A32, 'Base Exámenes'!$C$5:$C$1000, 0)), "")</f>
        <v>46297.85355324074</v>
      </c>
      <c r="I32" s="26">
        <f>IFERROR(INDEX('Base Exámenes'!$F$5:$F$1000, MATCH(A32, 'Base Exámenes'!$C$5:$C$1000, 0)), "")</f>
        <v>8.36666666666667</v>
      </c>
      <c r="J32" s="6">
        <f>IFERROR(INDEX('Base Exámenes'!$G$5:$G$1000, MATCH(A32, 'Base Exámenes'!$C$5:$C$1000, 0)), "")</f>
        <v>85</v>
      </c>
      <c r="K32" s="6" t="str">
        <f>IFERROR(INDEX('Base Exámenes'!$H$5:$H$1000, MATCH(A32, 'Base Exámenes'!$C$5:$C$1000,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7">
        <f>IFERROR(INDEX('Base Exámenes'!$D$5:$D$1000, MATCH(A33, 'Base Exámenes'!$C$5:$C$1000, 0)), "")</f>
        <v>46298.40037037037</v>
      </c>
      <c r="H33" s="27">
        <f>IFERROR(INDEX('Base Exámenes'!$E$5:$E$1000, MATCH(A33, 'Base Exámenes'!$C$5:$C$1000, 0)), "")</f>
        <v>46298.41559027778</v>
      </c>
      <c r="I33" s="26">
        <f>IFERROR(INDEX('Base Exámenes'!$F$5:$F$1000, MATCH(A33, 'Base Exámenes'!$C$5:$C$1000, 0)), "")</f>
        <v>21.9166666666667</v>
      </c>
      <c r="J33" s="6">
        <f>IFERROR(INDEX('Base Exámenes'!$G$5:$G$1000, MATCH(A33, 'Base Exámenes'!$C$5:$C$1000, 0)), "")</f>
        <v>90</v>
      </c>
      <c r="K33" s="6" t="str">
        <f>IFERROR(INDEX('Base Exámenes'!$H$5:$H$1000, MATCH(A33, 'Base Exámenes'!$C$5:$C$1000,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7">
        <f>IFERROR(INDEX('Base Exámenes'!$D$5:$D$1000, MATCH(A34, 'Base Exámenes'!$C$5:$C$1000, 0)), "")</f>
        <v>46300.7419212963</v>
      </c>
      <c r="H34" s="27">
        <f>IFERROR(INDEX('Base Exámenes'!$E$5:$E$1000, MATCH(A34, 'Base Exámenes'!$C$5:$C$1000, 0)), "")</f>
        <v>46300.748703703706</v>
      </c>
      <c r="I34" s="26">
        <f>IFERROR(INDEX('Base Exámenes'!$F$5:$F$1000, MATCH(A34, 'Base Exámenes'!$C$5:$C$1000, 0)), "")</f>
        <v>9.76666666666667</v>
      </c>
      <c r="J34" s="6">
        <f>IFERROR(INDEX('Base Exámenes'!$G$5:$G$1000, MATCH(A34, 'Base Exámenes'!$C$5:$C$1000, 0)), "")</f>
        <v>100</v>
      </c>
      <c r="K34" s="6" t="str">
        <f>IFERROR(INDEX('Base Exámenes'!$H$5:$H$1000, MATCH(A34, 'Base Exámenes'!$C$5:$C$1000,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7">
        <f>IFERROR(INDEX('Base Exámenes'!$D$5:$D$1000, MATCH(A35, 'Base Exámenes'!$C$5:$C$1000, 0)), "")</f>
        <v>46298.29701388889</v>
      </c>
      <c r="H35" s="27">
        <f>IFERROR(INDEX('Base Exámenes'!$E$5:$E$1000, MATCH(A35, 'Base Exámenes'!$C$5:$C$1000, 0)), "")</f>
        <v>46298.300208333334</v>
      </c>
      <c r="I35" s="26">
        <f>IFERROR(INDEX('Base Exámenes'!$F$5:$F$1000, MATCH(A35, 'Base Exámenes'!$C$5:$C$1000, 0)), "")</f>
        <v>4.6</v>
      </c>
      <c r="J35" s="6">
        <f>IFERROR(INDEX('Base Exámenes'!$G$5:$G$1000, MATCH(A35, 'Base Exámenes'!$C$5:$C$1000, 0)), "")</f>
        <v>80</v>
      </c>
      <c r="K35" s="6" t="str">
        <f>IFERROR(INDEX('Base Exámenes'!$H$5:$H$1000, MATCH(A35, 'Base Exámenes'!$C$5:$C$1000,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7">
        <f>IFERROR(INDEX('Base Exámenes'!$D$5:$D$1000, MATCH(A36, 'Base Exámenes'!$C$5:$C$1000, 0)), "")</f>
        <v>46300.70214120371</v>
      </c>
      <c r="H36" s="27">
        <f>IFERROR(INDEX('Base Exámenes'!$E$5:$E$1000, MATCH(A36, 'Base Exámenes'!$C$5:$C$1000, 0)), "")</f>
        <v>46300.70883101852</v>
      </c>
      <c r="I36" s="26">
        <f>IFERROR(INDEX('Base Exámenes'!$F$5:$F$1000, MATCH(A36, 'Base Exámenes'!$C$5:$C$1000, 0)), "")</f>
        <v>9.63333333333333</v>
      </c>
      <c r="J36" s="6">
        <f>IFERROR(INDEX('Base Exámenes'!$G$5:$G$1000, MATCH(A36, 'Base Exámenes'!$C$5:$C$1000, 0)), "")</f>
        <v>60</v>
      </c>
      <c r="K36" s="6" t="str">
        <f>IFERROR(INDEX('Base Exámenes'!$H$5:$H$1000, MATCH(A36, 'Base Exámenes'!$C$5:$C$1000,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7">
        <f>IFERROR(INDEX('Base Exámenes'!$D$5:$D$1000, MATCH(A37, 'Base Exámenes'!$C$5:$C$1000, 0)), "")</f>
        <v>46300.394525462965</v>
      </c>
      <c r="H37" s="27">
        <f>IFERROR(INDEX('Base Exámenes'!$E$5:$E$1000, MATCH(A37, 'Base Exámenes'!$C$5:$C$1000, 0)), "")</f>
        <v>46300.39962962963</v>
      </c>
      <c r="I37" s="26">
        <f>IFERROR(INDEX('Base Exámenes'!$F$5:$F$1000, MATCH(A37, 'Base Exámenes'!$C$5:$C$1000, 0)), "")</f>
        <v>7.35</v>
      </c>
      <c r="J37" s="6">
        <f>IFERROR(INDEX('Base Exámenes'!$G$5:$G$1000, MATCH(A37, 'Base Exámenes'!$C$5:$C$1000, 0)), "")</f>
        <v>95</v>
      </c>
      <c r="K37" s="6" t="str">
        <f>IFERROR(INDEX('Base Exámenes'!$H$5:$H$1000, MATCH(A37, 'Base Exámenes'!$C$5:$C$1000,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7">
        <f>IFERROR(INDEX('Base Exámenes'!$D$5:$D$1000, MATCH(A38, 'Base Exámenes'!$C$5:$C$1000, 0)), "")</f>
        <v>46300.52502314815</v>
      </c>
      <c r="H38" s="27">
        <f>IFERROR(INDEX('Base Exámenes'!$E$5:$E$1000, MATCH(A38, 'Base Exámenes'!$C$5:$C$1000, 0)), "")</f>
        <v>46300.53921296296</v>
      </c>
      <c r="I38" s="26">
        <f>IFERROR(INDEX('Base Exámenes'!$F$5:$F$1000, MATCH(A38, 'Base Exámenes'!$C$5:$C$1000, 0)), "")</f>
        <v>20.4333333333333</v>
      </c>
      <c r="J38" s="6">
        <f>IFERROR(INDEX('Base Exámenes'!$G$5:$G$1000, MATCH(A38, 'Base Exámenes'!$C$5:$C$1000, 0)), "")</f>
        <v>90</v>
      </c>
      <c r="K38" s="6" t="str">
        <f>IFERROR(INDEX('Base Exámenes'!$H$5:$H$1000, MATCH(A38, 'Base Exámenes'!$C$5:$C$1000,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7">
        <f>IFERROR(INDEX('Base Exámenes'!$D$5:$D$1000, MATCH(A39, 'Base Exámenes'!$C$5:$C$1000, 0)), "")</f>
        <v>46298.40277777778</v>
      </c>
      <c r="H39" s="27">
        <f>IFERROR(INDEX('Base Exámenes'!$E$5:$E$1000, MATCH(A39, 'Base Exámenes'!$C$5:$C$1000, 0)), "")</f>
        <v>46298.41583333333</v>
      </c>
      <c r="I39" s="26">
        <f>IFERROR(INDEX('Base Exámenes'!$F$5:$F$1000, MATCH(A39, 'Base Exámenes'!$C$5:$C$1000, 0)), "")</f>
        <v>18.8</v>
      </c>
      <c r="J39" s="6">
        <f>IFERROR(INDEX('Base Exámenes'!$G$5:$G$1000, MATCH(A39, 'Base Exámenes'!$C$5:$C$1000, 0)), "")</f>
        <v>100</v>
      </c>
      <c r="K39" s="6" t="str">
        <f>IFERROR(INDEX('Base Exámenes'!$H$5:$H$1000, MATCH(A39, 'Base Exámenes'!$C$5:$C$1000,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7">
        <f>IFERROR(INDEX('Base Exámenes'!$D$5:$D$1000, MATCH(A40, 'Base Exámenes'!$C$5:$C$1000, 0)), "")</f>
        <v>46300.60138888889</v>
      </c>
      <c r="H40" s="27">
        <f>IFERROR(INDEX('Base Exámenes'!$E$5:$E$1000, MATCH(A40, 'Base Exámenes'!$C$5:$C$1000, 0)), "")</f>
        <v>46300.60789351852</v>
      </c>
      <c r="I40" s="26">
        <f>IFERROR(INDEX('Base Exámenes'!$F$5:$F$1000, MATCH(A40, 'Base Exámenes'!$C$5:$C$1000, 0)), "")</f>
        <v>9.36666666666667</v>
      </c>
      <c r="J40" s="6">
        <f>IFERROR(INDEX('Base Exámenes'!$G$5:$G$1000, MATCH(A40, 'Base Exámenes'!$C$5:$C$1000, 0)), "")</f>
        <v>90</v>
      </c>
      <c r="K40" s="6" t="str">
        <f>IFERROR(INDEX('Base Exámenes'!$H$5:$H$1000, MATCH(A40, 'Base Exámenes'!$C$5:$C$1000,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7">
        <f>IFERROR(INDEX('Base Exámenes'!$D$5:$D$1000, MATCH(A41, 'Base Exámenes'!$C$5:$C$1000, 0)), "")</f>
        <v>46297.771944444445</v>
      </c>
      <c r="H41" s="27">
        <f>IFERROR(INDEX('Base Exámenes'!$E$5:$E$1000, MATCH(A41, 'Base Exámenes'!$C$5:$C$1000, 0)), "")</f>
        <v>46297.78946759259</v>
      </c>
      <c r="I41" s="26">
        <f>IFERROR(INDEX('Base Exámenes'!$F$5:$F$1000, MATCH(A41, 'Base Exámenes'!$C$5:$C$1000, 0)), "")</f>
        <v>25.2333333333333</v>
      </c>
      <c r="J41" s="6">
        <f>IFERROR(INDEX('Base Exámenes'!$G$5:$G$1000, MATCH(A41, 'Base Exámenes'!$C$5:$C$1000, 0)), "")</f>
        <v>90</v>
      </c>
      <c r="K41" s="6" t="str">
        <f>IFERROR(INDEX('Base Exámenes'!$H$5:$H$1000, MATCH(A41, 'Base Exámenes'!$C$5:$C$1000,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7">
        <f>IFERROR(INDEX('Base Exámenes'!$D$5:$D$1000, MATCH(A42, 'Base Exámenes'!$C$5:$C$1000, 0)), "")</f>
        <v>46304.51767361111</v>
      </c>
      <c r="H42" s="27">
        <f>IFERROR(INDEX('Base Exámenes'!$E$5:$E$1000, MATCH(A42, 'Base Exámenes'!$C$5:$C$1000, 0)), "")</f>
        <v>46304.520787037036</v>
      </c>
      <c r="I42" s="26">
        <f>IFERROR(INDEX('Base Exámenes'!$F$5:$F$1000, MATCH(A42, 'Base Exámenes'!$C$5:$C$1000, 0)), "")</f>
        <v>4.48333333333333</v>
      </c>
      <c r="J42" s="6">
        <f>IFERROR(INDEX('Base Exámenes'!$G$5:$G$1000, MATCH(A42, 'Base Exámenes'!$C$5:$C$1000, 0)), "")</f>
        <v>90</v>
      </c>
      <c r="K42" s="6" t="str">
        <f>IFERROR(INDEX('Base Exámenes'!$H$5:$H$1000, MATCH(A42, 'Base Exámenes'!$C$5:$C$1000,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7">
        <f>IFERROR(INDEX('Base Exámenes'!$D$5:$D$1000, MATCH(A43, 'Base Exámenes'!$C$5:$C$1000, 0)), "")</f>
        <v>46304.701215277775</v>
      </c>
      <c r="H43" s="27">
        <f>IFERROR(INDEX('Base Exámenes'!$E$5:$E$1000, MATCH(A43, 'Base Exámenes'!$C$5:$C$1000, 0)), "")</f>
        <v>46304.70379629629</v>
      </c>
      <c r="I43" s="26">
        <f>IFERROR(INDEX('Base Exámenes'!$F$5:$F$1000, MATCH(A43, 'Base Exámenes'!$C$5:$C$1000, 0)), "")</f>
        <v>3.71666666666667</v>
      </c>
      <c r="J43" s="6">
        <f>IFERROR(INDEX('Base Exámenes'!$G$5:$G$1000, MATCH(A43, 'Base Exámenes'!$C$5:$C$1000, 0)), "")</f>
        <v>100</v>
      </c>
      <c r="K43" s="6" t="str">
        <f>IFERROR(INDEX('Base Exámenes'!$H$5:$H$1000, MATCH(A43, 'Base Exámenes'!$C$5:$C$1000,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7">
        <f>IFERROR(INDEX('Base Exámenes'!$D$5:$D$1000, MATCH(A44, 'Base Exámenes'!$C$5:$C$1000, 0)), "")</f>
        <v>46304.416041666664</v>
      </c>
      <c r="H44" s="27">
        <f>IFERROR(INDEX('Base Exámenes'!$E$5:$E$1000, MATCH(A44, 'Base Exámenes'!$C$5:$C$1000, 0)), "")</f>
        <v>46304.422789351855</v>
      </c>
      <c r="I44" s="26">
        <f>IFERROR(INDEX('Base Exámenes'!$F$5:$F$1000, MATCH(A44, 'Base Exámenes'!$C$5:$C$1000, 0)), "")</f>
        <v>9.71666666666667</v>
      </c>
      <c r="J44" s="6">
        <f>IFERROR(INDEX('Base Exámenes'!$G$5:$G$1000, MATCH(A44, 'Base Exámenes'!$C$5:$C$1000, 0)), "")</f>
        <v>100</v>
      </c>
      <c r="K44" s="6" t="str">
        <f>IFERROR(INDEX('Base Exámenes'!$H$5:$H$1000, MATCH(A44, 'Base Exámenes'!$C$5:$C$1000,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7">
        <f>IFERROR(INDEX('Base Exámenes'!$D$5:$D$1000, MATCH(A45, 'Base Exámenes'!$C$5:$C$1000, 0)), "")</f>
        <v>46304.68376157407</v>
      </c>
      <c r="H45" s="27">
        <f>IFERROR(INDEX('Base Exámenes'!$E$5:$E$1000, MATCH(A45, 'Base Exámenes'!$C$5:$C$1000, 0)), "")</f>
        <v>46304.685949074075</v>
      </c>
      <c r="I45" s="26">
        <f>IFERROR(INDEX('Base Exámenes'!$F$5:$F$1000, MATCH(A45, 'Base Exámenes'!$C$5:$C$1000, 0)), "")</f>
        <v>3.15</v>
      </c>
      <c r="J45" s="6">
        <f>IFERROR(INDEX('Base Exámenes'!$G$5:$G$1000, MATCH(A45, 'Base Exámenes'!$C$5:$C$1000, 0)), "")</f>
        <v>100</v>
      </c>
      <c r="K45" s="6" t="str">
        <f>IFERROR(INDEX('Base Exámenes'!$H$5:$H$1000, MATCH(A45, 'Base Exámenes'!$C$5:$C$1000,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7">
        <f>IFERROR(INDEX('Base Exámenes'!$D$5:$D$1000, MATCH(A46, 'Base Exámenes'!$C$5:$C$1000, 0)), "")</f>
        <v>46304.66388888889</v>
      </c>
      <c r="H46" s="27">
        <f>IFERROR(INDEX('Base Exámenes'!$E$5:$E$1000, MATCH(A46, 'Base Exámenes'!$C$5:$C$1000, 0)), "")</f>
        <v>46304.67644675926</v>
      </c>
      <c r="I46" s="26">
        <f>IFERROR(INDEX('Base Exámenes'!$F$5:$F$1000, MATCH(A46, 'Base Exámenes'!$C$5:$C$1000, 0)), "")</f>
        <v>18.0833333333333</v>
      </c>
      <c r="J46" s="6">
        <f>IFERROR(INDEX('Base Exámenes'!$G$5:$G$1000, MATCH(A46, 'Base Exámenes'!$C$5:$C$1000, 0)), "")</f>
        <v>100</v>
      </c>
      <c r="K46" s="6" t="str">
        <f>IFERROR(INDEX('Base Exámenes'!$H$5:$H$1000, MATCH(A46, 'Base Exámenes'!$C$5:$C$1000,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7">
        <f>IFERROR(INDEX('Base Exámenes'!$D$5:$D$1000, MATCH(A47, 'Base Exámenes'!$C$5:$C$1000, 0)), "")</f>
        <v>46304.681238425925</v>
      </c>
      <c r="H47" s="27">
        <f>IFERROR(INDEX('Base Exámenes'!$E$5:$E$1000, MATCH(A47, 'Base Exámenes'!$C$5:$C$1000, 0)), "")</f>
        <v>46304.682708333334</v>
      </c>
      <c r="I47" s="26">
        <f>IFERROR(INDEX('Base Exámenes'!$F$5:$F$1000, MATCH(A47, 'Base Exámenes'!$C$5:$C$1000, 0)), "")</f>
        <v>2.11666666666667</v>
      </c>
      <c r="J47" s="6">
        <f>IFERROR(INDEX('Base Exámenes'!$G$5:$G$1000, MATCH(A47, 'Base Exámenes'!$C$5:$C$1000, 0)), "")</f>
        <v>100</v>
      </c>
      <c r="K47" s="6" t="str">
        <f>IFERROR(INDEX('Base Exámenes'!$H$5:$H$1000, MATCH(A47, 'Base Exámenes'!$C$5:$C$1000,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7">
        <f>IFERROR(INDEX('Base Exámenes'!$D$5:$D$1000, MATCH(A48, 'Base Exámenes'!$C$5:$C$1000, 0)), "")</f>
        <v>46298.500914351855</v>
      </c>
      <c r="H48" s="27">
        <f>IFERROR(INDEX('Base Exámenes'!$E$5:$E$1000, MATCH(A48, 'Base Exámenes'!$C$5:$C$1000, 0)), "")</f>
        <v>46298.51430555555</v>
      </c>
      <c r="I48" s="26">
        <f>IFERROR(INDEX('Base Exámenes'!$F$5:$F$1000, MATCH(A48, 'Base Exámenes'!$C$5:$C$1000, 0)), "")</f>
        <v>19.2833333333333</v>
      </c>
      <c r="J48" s="6">
        <f>IFERROR(INDEX('Base Exámenes'!$G$5:$G$1000, MATCH(A48, 'Base Exámenes'!$C$5:$C$1000, 0)), "")</f>
        <v>100</v>
      </c>
      <c r="K48" s="6" t="str">
        <f>IFERROR(INDEX('Base Exámenes'!$H$5:$H$1000, MATCH(A48, 'Base Exámenes'!$C$5:$C$1000,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7" t="str">
        <f>IFERROR(INDEX('Base Exámenes'!$D$5:$D$1000, MATCH(A49, 'Base Exámenes'!$C$5:$C$1000, 0)), "")</f>
        <v/>
      </c>
      <c r="H49" s="27" t="str">
        <f>IFERROR(INDEX('Base Exámenes'!$E$5:$E$1000, MATCH(A49, 'Base Exámenes'!$C$5:$C$1000, 0)), "")</f>
        <v/>
      </c>
      <c r="I49" s="26" t="str">
        <f>IFERROR(INDEX('Base Exámenes'!$F$5:$F$1000, MATCH(A49, 'Base Exámenes'!$C$5:$C$1000, 0)), "")</f>
        <v/>
      </c>
      <c r="J49" s="6" t="str">
        <f>IFERROR(INDEX('Base Exámenes'!$G$5:$G$1000, MATCH(A49, 'Base Exámenes'!$C$5:$C$1000, 0)), "")</f>
        <v/>
      </c>
      <c r="K49" s="6" t="str">
        <f>IFERROR(INDEX('Base Exámenes'!$H$5:$H$1000, MATCH(A49, 'Base Exámenes'!$C$5:$C$1000,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7">
        <f>IFERROR(INDEX('Base Exámenes'!$D$5:$D$1000, MATCH(A50, 'Base Exámenes'!$C$5:$C$1000, 0)), "")</f>
        <v>46304.40207175926</v>
      </c>
      <c r="H50" s="27">
        <f>IFERROR(INDEX('Base Exámenes'!$E$5:$E$1000, MATCH(A50, 'Base Exámenes'!$C$5:$C$1000, 0)), "")</f>
        <v>46304.406006944446</v>
      </c>
      <c r="I50" s="26">
        <f>IFERROR(INDEX('Base Exámenes'!$F$5:$F$1000, MATCH(A50, 'Base Exámenes'!$C$5:$C$1000, 0)), "")</f>
        <v>5.66666666666667</v>
      </c>
      <c r="J50" s="6">
        <f>IFERROR(INDEX('Base Exámenes'!$G$5:$G$1000, MATCH(A50, 'Base Exámenes'!$C$5:$C$1000, 0)), "")</f>
        <v>100</v>
      </c>
      <c r="K50" s="6" t="str">
        <f>IFERROR(INDEX('Base Exámenes'!$H$5:$H$1000, MATCH(A50, 'Base Exámenes'!$C$5:$C$1000,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7">
        <f>IFERROR(INDEX('Base Exámenes'!$D$5:$D$1000, MATCH(A51, 'Base Exámenes'!$C$5:$C$1000, 0)), "")</f>
        <v>46304.510462962964</v>
      </c>
      <c r="H51" s="27">
        <f>IFERROR(INDEX('Base Exámenes'!$E$5:$E$1000, MATCH(A51, 'Base Exámenes'!$C$5:$C$1000, 0)), "")</f>
        <v>46304.52142361111</v>
      </c>
      <c r="I51" s="26">
        <f>IFERROR(INDEX('Base Exámenes'!$F$5:$F$1000, MATCH(A51, 'Base Exámenes'!$C$5:$C$1000, 0)), "")</f>
        <v>15.7833333333333</v>
      </c>
      <c r="J51" s="6">
        <f>IFERROR(INDEX('Base Exámenes'!$G$5:$G$1000, MATCH(A51, 'Base Exámenes'!$C$5:$C$1000, 0)), "")</f>
        <v>90</v>
      </c>
      <c r="K51" s="6" t="str">
        <f>IFERROR(INDEX('Base Exámenes'!$H$5:$H$1000, MATCH(A51, 'Base Exámenes'!$C$5:$C$1000,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7">
        <f>IFERROR(INDEX('Base Exámenes'!$D$5:$D$1000, MATCH(A52, 'Base Exámenes'!$C$5:$C$1000, 0)), "")</f>
        <v>46296.45732638889</v>
      </c>
      <c r="H52" s="27">
        <f>IFERROR(INDEX('Base Exámenes'!$E$5:$E$1000, MATCH(A52, 'Base Exámenes'!$C$5:$C$1000, 0)), "")</f>
        <v>46296.46072916667</v>
      </c>
      <c r="I52" s="26">
        <f>IFERROR(INDEX('Base Exámenes'!$F$5:$F$1000, MATCH(A52, 'Base Exámenes'!$C$5:$C$1000, 0)), "")</f>
        <v>4.9</v>
      </c>
      <c r="J52" s="6">
        <f>IFERROR(INDEX('Base Exámenes'!$G$5:$G$1000, MATCH(A52, 'Base Exámenes'!$C$5:$C$1000, 0)), "")</f>
        <v>90</v>
      </c>
      <c r="K52" s="6" t="str">
        <f>IFERROR(INDEX('Base Exámenes'!$H$5:$H$1000, MATCH(A52, 'Base Exámenes'!$C$5:$C$1000,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7">
        <f>IFERROR(INDEX('Base Exámenes'!$D$5:$D$1000, MATCH(A53, 'Base Exámenes'!$C$5:$C$1000, 0)), "")</f>
        <v>46296.454039351855</v>
      </c>
      <c r="H53" s="27">
        <f>IFERROR(INDEX('Base Exámenes'!$E$5:$E$1000, MATCH(A53, 'Base Exámenes'!$C$5:$C$1000, 0)), "")</f>
        <v>46296.45633101852</v>
      </c>
      <c r="I53" s="26">
        <f>IFERROR(INDEX('Base Exámenes'!$F$5:$F$1000, MATCH(A53, 'Base Exámenes'!$C$5:$C$1000, 0)), "")</f>
        <v>3.3</v>
      </c>
      <c r="J53" s="6">
        <f>IFERROR(INDEX('Base Exámenes'!$G$5:$G$1000, MATCH(A53, 'Base Exámenes'!$C$5:$C$1000, 0)), "")</f>
        <v>100</v>
      </c>
      <c r="K53" s="6" t="str">
        <f>IFERROR(INDEX('Base Exámenes'!$H$5:$H$1000, MATCH(A53, 'Base Exámenes'!$C$5:$C$1000,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7">
        <f>IFERROR(INDEX('Base Exámenes'!$D$5:$D$1000, MATCH(A54, 'Base Exámenes'!$C$5:$C$1000, 0)), "")</f>
        <v>46305.40681712963</v>
      </c>
      <c r="H54" s="27">
        <f>IFERROR(INDEX('Base Exámenes'!$E$5:$E$1000, MATCH(A54, 'Base Exámenes'!$C$5:$C$1000, 0)), "")</f>
        <v>46305.408738425926</v>
      </c>
      <c r="I54" s="26">
        <f>IFERROR(INDEX('Base Exámenes'!$F$5:$F$1000, MATCH(A54, 'Base Exámenes'!$C$5:$C$1000, 0)), "")</f>
        <v>2.76666666666667</v>
      </c>
      <c r="J54" s="6">
        <f>IFERROR(INDEX('Base Exámenes'!$G$5:$G$1000, MATCH(A54, 'Base Exámenes'!$C$5:$C$1000, 0)), "")</f>
        <v>100</v>
      </c>
      <c r="K54" s="6" t="str">
        <f>IFERROR(INDEX('Base Exámenes'!$H$5:$H$1000, MATCH(A54, 'Base Exámenes'!$C$5:$C$1000,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7">
        <f>IFERROR(INDEX('Base Exámenes'!$D$5:$D$1000, MATCH(A55, 'Base Exámenes'!$C$5:$C$1000, 0)), "")</f>
        <v>46305.407789351855</v>
      </c>
      <c r="H55" s="27">
        <f>IFERROR(INDEX('Base Exámenes'!$E$5:$E$1000, MATCH(A55, 'Base Exámenes'!$C$5:$C$1000, 0)), "")</f>
        <v>46305.41128472222</v>
      </c>
      <c r="I55" s="26">
        <f>IFERROR(INDEX('Base Exámenes'!$F$5:$F$1000, MATCH(A55, 'Base Exámenes'!$C$5:$C$1000, 0)), "")</f>
        <v>5.0333333155</v>
      </c>
      <c r="J55" s="6">
        <f>IFERROR(INDEX('Base Exámenes'!$G$5:$G$1000, MATCH(A55, 'Base Exámenes'!$C$5:$C$1000, 0)), "")</f>
        <v>100</v>
      </c>
      <c r="K55" s="6" t="str">
        <f>IFERROR(INDEX('Base Exámenes'!$H$5:$H$1000, MATCH(A55, 'Base Exámenes'!$C$5:$C$1000,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de Negocios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7" t="str">
        <f>IFERROR(INDEX('Base Exámenes'!$D$5:$D$1000, MATCH(A56, 'Base Exámenes'!$C$5:$C$1000, 0)), "")</f>
        <v/>
      </c>
      <c r="H56" s="27" t="str">
        <f>IFERROR(INDEX('Base Exámenes'!$E$5:$E$1000, MATCH(A56, 'Base Exámenes'!$C$5:$C$1000, 0)), "")</f>
        <v/>
      </c>
      <c r="I56" s="26" t="str">
        <f>IFERROR(INDEX('Base Exámenes'!$F$5:$F$1000, MATCH(A56, 'Base Exámenes'!$C$5:$C$1000, 0)), "")</f>
        <v/>
      </c>
      <c r="J56" s="6" t="str">
        <f>IFERROR(INDEX('Base Exámenes'!$G$5:$G$1000, MATCH(A56, 'Base Exámenes'!$C$5:$C$1000, 0)), "")</f>
        <v/>
      </c>
      <c r="K56" s="6" t="str">
        <f>IFERROR(INDEX('Base Exámenes'!$H$5:$H$1000, MATCH(A56, 'Base Exámenes'!$C$5:$C$1000,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de Negocios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7">
        <f>IFERROR(INDEX('Base Exámenes'!$D$5:$D$1000, MATCH(A57, 'Base Exámenes'!$C$5:$C$1000, 0)), "")</f>
        <v>46301.62170138889</v>
      </c>
      <c r="H57" s="27">
        <f>IFERROR(INDEX('Base Exámenes'!$E$5:$E$1000, MATCH(A57, 'Base Exámenes'!$C$5:$C$1000, 0)), "")</f>
        <v>46301.64635416667</v>
      </c>
      <c r="I57" s="26">
        <f>IFERROR(INDEX('Base Exámenes'!$F$5:$F$1000, MATCH(A57, 'Base Exámenes'!$C$5:$C$1000, 0)), "")</f>
        <v>35.5</v>
      </c>
      <c r="J57" s="6">
        <f>IFERROR(INDEX('Base Exámenes'!$G$5:$G$1000, MATCH(A57, 'Base Exámenes'!$C$5:$C$1000, 0)), "")</f>
        <v>100</v>
      </c>
      <c r="K57" s="6" t="str">
        <f>IFERROR(INDEX('Base Exámenes'!$H$5:$H$1000, MATCH(A57, 'Base Exámenes'!$C$5:$C$1000,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de Negocios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7" t="str">
        <f>IFERROR(INDEX('Base Exámenes'!$D$5:$D$1000, MATCH(A58, 'Base Exámenes'!$C$5:$C$1000, 0)), "")</f>
        <v/>
      </c>
      <c r="H58" s="27" t="str">
        <f>IFERROR(INDEX('Base Exámenes'!$E$5:$E$1000, MATCH(A58, 'Base Exámenes'!$C$5:$C$1000, 0)), "")</f>
        <v/>
      </c>
      <c r="I58" s="26" t="str">
        <f>IFERROR(INDEX('Base Exámenes'!$F$5:$F$1000, MATCH(A58, 'Base Exámenes'!$C$5:$C$1000, 0)), "")</f>
        <v/>
      </c>
      <c r="J58" s="6" t="str">
        <f>IFERROR(INDEX('Base Exámenes'!$G$5:$G$1000, MATCH(A58, 'Base Exámenes'!$C$5:$C$1000, 0)), "")</f>
        <v/>
      </c>
      <c r="K58" s="6" t="str">
        <f>IFERROR(INDEX('Base Exámenes'!$H$5:$H$1000, MATCH(A58, 'Base Exámenes'!$C$5:$C$1000,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Negocios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Pendiente</v>
      </c>
      <c r="G59" s="27" t="str">
        <f>IFERROR(INDEX('Base Exámenes'!$D$5:$D$1000, MATCH(A59, 'Base Exámenes'!$C$5:$C$1000, 0)), "")</f>
        <v/>
      </c>
      <c r="H59" s="27" t="str">
        <f>IFERROR(INDEX('Base Exámenes'!$E$5:$E$1000, MATCH(A59, 'Base Exámenes'!$C$5:$C$1000, 0)), "")</f>
        <v/>
      </c>
      <c r="I59" s="26" t="str">
        <f>IFERROR(INDEX('Base Exámenes'!$F$5:$F$1000, MATCH(A59, 'Base Exámenes'!$C$5:$C$1000, 0)), "")</f>
        <v/>
      </c>
      <c r="J59" s="6" t="str">
        <f>IFERROR(INDEX('Base Exámenes'!$G$5:$G$1000, MATCH(A59, 'Base Exámenes'!$C$5:$C$1000, 0)), "")</f>
        <v/>
      </c>
      <c r="K59" s="6" t="str">
        <f>IFERROR(INDEX('Base Exámenes'!$H$5:$H$1000, MATCH(A59, 'Base Exámenes'!$C$5:$C$1000,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Negocios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Pendiente</v>
      </c>
      <c r="G60" s="27" t="str">
        <f>IFERROR(INDEX('Base Exámenes'!$D$5:$D$1000, MATCH(A60, 'Base Exámenes'!$C$5:$C$1000, 0)), "")</f>
        <v/>
      </c>
      <c r="H60" s="27" t="str">
        <f>IFERROR(INDEX('Base Exámenes'!$E$5:$E$1000, MATCH(A60, 'Base Exámenes'!$C$5:$C$1000, 0)), "")</f>
        <v/>
      </c>
      <c r="I60" s="26" t="str">
        <f>IFERROR(INDEX('Base Exámenes'!$F$5:$F$1000, MATCH(A60, 'Base Exámenes'!$C$5:$C$1000, 0)), "")</f>
        <v/>
      </c>
      <c r="J60" s="6" t="str">
        <f>IFERROR(INDEX('Base Exámenes'!$G$5:$G$1000, MATCH(A60, 'Base Exámenes'!$C$5:$C$1000, 0)), "")</f>
        <v/>
      </c>
      <c r="K60" s="6" t="str">
        <f>IFERROR(INDEX('Base Exámenes'!$H$5:$H$1000, MATCH(A60, 'Base Exámenes'!$C$5:$C$1000,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Negocios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Pendiente</v>
      </c>
      <c r="G61" s="27" t="str">
        <f>IFERROR(INDEX('Base Exámenes'!$D$5:$D$1000, MATCH(A61, 'Base Exámenes'!$C$5:$C$1000, 0)), "")</f>
        <v/>
      </c>
      <c r="H61" s="27" t="str">
        <f>IFERROR(INDEX('Base Exámenes'!$E$5:$E$1000, MATCH(A61, 'Base Exámenes'!$C$5:$C$1000, 0)), "")</f>
        <v/>
      </c>
      <c r="I61" s="26" t="str">
        <f>IFERROR(INDEX('Base Exámenes'!$F$5:$F$1000, MATCH(A61, 'Base Exámenes'!$C$5:$C$1000, 0)), "")</f>
        <v/>
      </c>
      <c r="J61" s="6" t="str">
        <f>IFERROR(INDEX('Base Exámenes'!$G$5:$G$1000, MATCH(A61, 'Base Exámenes'!$C$5:$C$1000, 0)), "")</f>
        <v/>
      </c>
      <c r="K61" s="6" t="str">
        <f>IFERROR(INDEX('Base Exámenes'!$H$5:$H$1000, MATCH(A61, 'Base Exámenes'!$C$5:$C$1000,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Negocios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7">
        <f>IFERROR(INDEX('Base Exámenes'!$D$5:$D$1000, MATCH(A62, 'Base Exámenes'!$C$5:$C$1000, 0)), "")</f>
        <v>46305.405277777776</v>
      </c>
      <c r="H62" s="27">
        <f>IFERROR(INDEX('Base Exámenes'!$E$5:$E$1000, MATCH(A62, 'Base Exámenes'!$C$5:$C$1000, 0)), "")</f>
        <v>46305.41322916667</v>
      </c>
      <c r="I62" s="26">
        <f>IFERROR(INDEX('Base Exámenes'!$F$5:$F$1000, MATCH(A62, 'Base Exámenes'!$C$5:$C$1000, 0)), "")</f>
        <v>11.45</v>
      </c>
      <c r="J62" s="6">
        <f>IFERROR(INDEX('Base Exámenes'!$G$5:$G$1000, MATCH(A62, 'Base Exámenes'!$C$5:$C$1000, 0)), "")</f>
        <v>100</v>
      </c>
      <c r="K62" s="6" t="str">
        <f>IFERROR(INDEX('Base Exámenes'!$H$5:$H$1000, MATCH(A62, 'Base Exámenes'!$C$5:$C$1000,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Negocios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Pendiente</v>
      </c>
      <c r="G63" s="27" t="str">
        <f>IFERROR(INDEX('Base Exámenes'!$D$5:$D$1000, MATCH(A63, 'Base Exámenes'!$C$5:$C$1000, 0)), "")</f>
        <v/>
      </c>
      <c r="H63" s="27" t="str">
        <f>IFERROR(INDEX('Base Exámenes'!$E$5:$E$1000, MATCH(A63, 'Base Exámenes'!$C$5:$C$1000, 0)), "")</f>
        <v/>
      </c>
      <c r="I63" s="26" t="str">
        <f>IFERROR(INDEX('Base Exámenes'!$F$5:$F$1000, MATCH(A63, 'Base Exámenes'!$C$5:$C$1000, 0)), "")</f>
        <v/>
      </c>
      <c r="J63" s="6" t="str">
        <f>IFERROR(INDEX('Base Exámenes'!$G$5:$G$1000, MATCH(A63, 'Base Exámenes'!$C$5:$C$1000, 0)), "")</f>
        <v/>
      </c>
      <c r="K63" s="6" t="str">
        <f>IFERROR(INDEX('Base Exámenes'!$H$5:$H$1000, MATCH(A63, 'Base Exámenes'!$C$5:$C$1000,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Negocios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7">
        <f>IFERROR(INDEX('Base Exámenes'!$D$5:$D$1000, MATCH(A64, 'Base Exámenes'!$C$5:$C$1000, 0)), "")</f>
        <v>46304.3803587963</v>
      </c>
      <c r="H64" s="27">
        <f>IFERROR(INDEX('Base Exámenes'!$E$5:$E$1000, MATCH(A64, 'Base Exámenes'!$C$5:$C$1000, 0)), "")</f>
        <v>46304.38547453703</v>
      </c>
      <c r="I64" s="26">
        <f>IFERROR(INDEX('Base Exámenes'!$F$5:$F$1000, MATCH(A64, 'Base Exámenes'!$C$5:$C$1000, 0)), "")</f>
        <v>7.36666666666667</v>
      </c>
      <c r="J64" s="6">
        <f>IFERROR(INDEX('Base Exámenes'!$G$5:$G$1000, MATCH(A64, 'Base Exámenes'!$C$5:$C$1000, 0)), "")</f>
        <v>80</v>
      </c>
      <c r="K64" s="6" t="str">
        <f>IFERROR(INDEX('Base Exámenes'!$H$5:$H$1000, MATCH(A64, 'Base Exámenes'!$C$5:$C$1000,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Negocios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7">
        <f>IFERROR(INDEX('Base Exámenes'!$D$5:$D$1000, MATCH(A65, 'Base Exámenes'!$C$5:$C$1000, 0)), "")</f>
        <v>46304.373240740744</v>
      </c>
      <c r="H65" s="27">
        <f>IFERROR(INDEX('Base Exámenes'!$E$5:$E$1000, MATCH(A65, 'Base Exámenes'!$C$5:$C$1000, 0)), "")</f>
        <v>46304.37534722222</v>
      </c>
      <c r="I65" s="26">
        <f>IFERROR(INDEX('Base Exámenes'!$F$5:$F$1000, MATCH(A65, 'Base Exámenes'!$C$5:$C$1000, 0)), "")</f>
        <v>3.03333333333333</v>
      </c>
      <c r="J65" s="6">
        <f>IFERROR(INDEX('Base Exámenes'!$G$5:$G$1000, MATCH(A65, 'Base Exámenes'!$C$5:$C$1000, 0)), "")</f>
        <v>100</v>
      </c>
      <c r="K65" s="6" t="str">
        <f>IFERROR(INDEX('Base Exámenes'!$H$5:$H$1000, MATCH(A65, 'Base Exámenes'!$C$5:$C$1000,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Negocios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Pendiente</v>
      </c>
      <c r="G66" s="27" t="str">
        <f>IFERROR(INDEX('Base Exámenes'!$D$5:$D$1000, MATCH(A66, 'Base Exámenes'!$C$5:$C$1000, 0)), "")</f>
        <v/>
      </c>
      <c r="H66" s="27" t="str">
        <f>IFERROR(INDEX('Base Exámenes'!$E$5:$E$1000, MATCH(A66, 'Base Exámenes'!$C$5:$C$1000, 0)), "")</f>
        <v/>
      </c>
      <c r="I66" s="26" t="str">
        <f>IFERROR(INDEX('Base Exámenes'!$F$5:$F$1000, MATCH(A66, 'Base Exámenes'!$C$5:$C$1000, 0)), "")</f>
        <v/>
      </c>
      <c r="J66" s="6" t="str">
        <f>IFERROR(INDEX('Base Exámenes'!$G$5:$G$1000, MATCH(A66, 'Base Exámenes'!$C$5:$C$1000, 0)), "")</f>
        <v/>
      </c>
      <c r="K66" s="6" t="str">
        <f>IFERROR(INDEX('Base Exámenes'!$H$5:$H$1000, MATCH(A66, 'Base Exámenes'!$C$5:$C$1000,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Negocios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Pendiente</v>
      </c>
      <c r="G67" s="27" t="str">
        <f>IFERROR(INDEX('Base Exámenes'!$D$5:$D$1000, MATCH(A67, 'Base Exámenes'!$C$5:$C$1000, 0)), "")</f>
        <v/>
      </c>
      <c r="H67" s="27" t="str">
        <f>IFERROR(INDEX('Base Exámenes'!$E$5:$E$1000, MATCH(A67, 'Base Exámenes'!$C$5:$C$1000, 0)), "")</f>
        <v/>
      </c>
      <c r="I67" s="26" t="str">
        <f>IFERROR(INDEX('Base Exámenes'!$F$5:$F$1000, MATCH(A67, 'Base Exámenes'!$C$5:$C$1000, 0)), "")</f>
        <v/>
      </c>
      <c r="J67" s="6" t="str">
        <f>IFERROR(INDEX('Base Exámenes'!$G$5:$G$1000, MATCH(A67, 'Base Exámenes'!$C$5:$C$1000, 0)), "")</f>
        <v/>
      </c>
      <c r="K67" s="6" t="str">
        <f>IFERROR(INDEX('Base Exámenes'!$H$5:$H$1000, MATCH(A67, 'Base Exámenes'!$C$5:$C$1000,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Negocios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7" t="str">
        <f>IFERROR(INDEX('Base Exámenes'!$D$5:$D$1000, MATCH(A68, 'Base Exámenes'!$C$5:$C$1000, 0)), "")</f>
        <v/>
      </c>
      <c r="H68" s="27" t="str">
        <f>IFERROR(INDEX('Base Exámenes'!$E$5:$E$1000, MATCH(A68, 'Base Exámenes'!$C$5:$C$1000, 0)), "")</f>
        <v/>
      </c>
      <c r="I68" s="26" t="str">
        <f>IFERROR(INDEX('Base Exámenes'!$F$5:$F$1000, MATCH(A68, 'Base Exámenes'!$C$5:$C$1000, 0)), "")</f>
        <v/>
      </c>
      <c r="J68" s="6" t="str">
        <f>IFERROR(INDEX('Base Exámenes'!$G$5:$G$1000, MATCH(A68, 'Base Exámenes'!$C$5:$C$1000, 0)), "")</f>
        <v/>
      </c>
      <c r="K68" s="6" t="str">
        <f>IFERROR(INDEX('Base Exámenes'!$H$5:$H$1000, MATCH(A68, 'Base Exámenes'!$C$5:$C$1000,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7" t="str">
        <f>IFERROR(INDEX('Base Exámenes'!$D$5:$D$1000, MATCH(A69, 'Base Exámenes'!$C$5:$C$1000, 0)), "")</f>
        <v/>
      </c>
      <c r="H69" s="27" t="str">
        <f>IFERROR(INDEX('Base Exámenes'!$E$5:$E$1000, MATCH(A69, 'Base Exámenes'!$C$5:$C$1000, 0)), "")</f>
        <v/>
      </c>
      <c r="I69" s="26" t="str">
        <f>IFERROR(INDEX('Base Exámenes'!$F$5:$F$1000, MATCH(A69, 'Base Exámenes'!$C$5:$C$1000, 0)), "")</f>
        <v/>
      </c>
      <c r="J69" s="6" t="str">
        <f>IFERROR(INDEX('Base Exámenes'!$G$5:$G$1000, MATCH(A69, 'Base Exámenes'!$C$5:$C$1000, 0)), "")</f>
        <v/>
      </c>
      <c r="K69" s="6" t="str">
        <f>IFERROR(INDEX('Base Exámenes'!$H$5:$H$1000, MATCH(A69, 'Base Exámenes'!$C$5:$C$1000,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7" t="str">
        <f>IFERROR(INDEX('Base Exámenes'!$D$5:$D$1000, MATCH(A70, 'Base Exámenes'!$C$5:$C$1000, 0)), "")</f>
        <v/>
      </c>
      <c r="H70" s="27" t="str">
        <f>IFERROR(INDEX('Base Exámenes'!$E$5:$E$1000, MATCH(A70, 'Base Exámenes'!$C$5:$C$1000, 0)), "")</f>
        <v/>
      </c>
      <c r="I70" s="26" t="str">
        <f>IFERROR(INDEX('Base Exámenes'!$F$5:$F$1000, MATCH(A70, 'Base Exámenes'!$C$5:$C$1000, 0)), "")</f>
        <v/>
      </c>
      <c r="J70" s="6" t="str">
        <f>IFERROR(INDEX('Base Exámenes'!$G$5:$G$1000, MATCH(A70, 'Base Exámenes'!$C$5:$C$1000, 0)), "")</f>
        <v/>
      </c>
      <c r="K70" s="6" t="str">
        <f>IFERROR(INDEX('Base Exámenes'!$H$5:$H$1000, MATCH(A70, 'Base Exámenes'!$C$5:$C$1000,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7">
        <f>IFERROR(INDEX('Base Exámenes'!$D$5:$D$1000, MATCH(A71, 'Base Exámenes'!$C$5:$C$1000, 0)), "")</f>
        <v>46304.57431712963</v>
      </c>
      <c r="H71" s="27">
        <f>IFERROR(INDEX('Base Exámenes'!$E$5:$E$1000, MATCH(A71, 'Base Exámenes'!$C$5:$C$1000, 0)), "")</f>
        <v>46304.57939814815</v>
      </c>
      <c r="I71" s="26">
        <f>IFERROR(INDEX('Base Exámenes'!$F$5:$F$1000, MATCH(A71, 'Base Exámenes'!$C$5:$C$1000, 0)), "")</f>
        <v>7.31666666666667</v>
      </c>
      <c r="J71" s="6">
        <f>IFERROR(INDEX('Base Exámenes'!$G$5:$G$1000, MATCH(A71, 'Base Exámenes'!$C$5:$C$1000, 0)), "")</f>
        <v>95</v>
      </c>
      <c r="K71" s="6" t="str">
        <f>IFERROR(INDEX('Base Exámenes'!$H$5:$H$1000, MATCH(A71, 'Base Exámenes'!$C$5:$C$1000,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Pendiente</v>
      </c>
      <c r="G72" s="27" t="str">
        <f>IFERROR(INDEX('Base Exámenes'!$D$5:$D$1000, MATCH(A72, 'Base Exámenes'!$C$5:$C$1000, 0)), "")</f>
        <v/>
      </c>
      <c r="H72" s="27" t="str">
        <f>IFERROR(INDEX('Base Exámenes'!$E$5:$E$1000, MATCH(A72, 'Base Exámenes'!$C$5:$C$1000, 0)), "")</f>
        <v/>
      </c>
      <c r="I72" s="26" t="str">
        <f>IFERROR(INDEX('Base Exámenes'!$F$5:$F$1000, MATCH(A72, 'Base Exámenes'!$C$5:$C$1000, 0)), "")</f>
        <v/>
      </c>
      <c r="J72" s="6" t="str">
        <f>IFERROR(INDEX('Base Exámenes'!$G$5:$G$1000, MATCH(A72, 'Base Exámenes'!$C$5:$C$1000, 0)), "")</f>
        <v/>
      </c>
      <c r="K72" s="6" t="str">
        <f>IFERROR(INDEX('Base Exámenes'!$H$5:$H$1000, MATCH(A72, 'Base Exámenes'!$C$5:$C$1000,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7">
        <f>IFERROR(INDEX('Base Exámenes'!$D$5:$D$1000, MATCH(A73, 'Base Exámenes'!$C$5:$C$1000, 0)), "")</f>
        <v>46296.646261574075</v>
      </c>
      <c r="H73" s="27">
        <f>IFERROR(INDEX('Base Exámenes'!$E$5:$E$1000, MATCH(A73, 'Base Exámenes'!$C$5:$C$1000, 0)), "")</f>
        <v>46296.65724537037</v>
      </c>
      <c r="I73" s="26">
        <f>IFERROR(INDEX('Base Exámenes'!$F$5:$F$1000, MATCH(A73, 'Base Exámenes'!$C$5:$C$1000, 0)), "")</f>
        <v>15.8166666666667</v>
      </c>
      <c r="J73" s="6">
        <f>IFERROR(INDEX('Base Exámenes'!$G$5:$G$1000, MATCH(A73, 'Base Exámenes'!$C$5:$C$1000, 0)), "")</f>
        <v>100</v>
      </c>
      <c r="K73" s="6" t="str">
        <f>IFERROR(INDEX('Base Exámenes'!$H$5:$H$1000, MATCH(A73, 'Base Exámenes'!$C$5:$C$1000,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7">
        <f>IFERROR(INDEX('Base Exámenes'!$D$5:$D$1000, MATCH(A74, 'Base Exámenes'!$C$5:$C$1000, 0)), "")</f>
        <v>46296.71229166666</v>
      </c>
      <c r="H74" s="27">
        <f>IFERROR(INDEX('Base Exámenes'!$E$5:$E$1000, MATCH(A74, 'Base Exámenes'!$C$5:$C$1000, 0)), "")</f>
        <v>46296.71346064815</v>
      </c>
      <c r="I74" s="26">
        <f>IFERROR(INDEX('Base Exámenes'!$F$5:$F$1000, MATCH(A74, 'Base Exámenes'!$C$5:$C$1000, 0)), "")</f>
        <v>1.68333333333333</v>
      </c>
      <c r="J74" s="6">
        <f>IFERROR(INDEX('Base Exámenes'!$G$5:$G$1000, MATCH(A74, 'Base Exámenes'!$C$5:$C$1000, 0)), "")</f>
        <v>100</v>
      </c>
      <c r="K74" s="6" t="str">
        <f>IFERROR(INDEX('Base Exámenes'!$H$5:$H$1000, MATCH(A74, 'Base Exámenes'!$C$5:$C$1000,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Pendiente</v>
      </c>
      <c r="G75" s="27" t="str">
        <f>IFERROR(INDEX('Base Exámenes'!$D$5:$D$1000, MATCH(A75, 'Base Exámenes'!$C$5:$C$1000, 0)), "")</f>
        <v/>
      </c>
      <c r="H75" s="27" t="str">
        <f>IFERROR(INDEX('Base Exámenes'!$E$5:$E$1000, MATCH(A75, 'Base Exámenes'!$C$5:$C$1000, 0)), "")</f>
        <v/>
      </c>
      <c r="I75" s="26" t="str">
        <f>IFERROR(INDEX('Base Exámenes'!$F$5:$F$1000, MATCH(A75, 'Base Exámenes'!$C$5:$C$1000, 0)), "")</f>
        <v/>
      </c>
      <c r="J75" s="6" t="str">
        <f>IFERROR(INDEX('Base Exámenes'!$G$5:$G$1000, MATCH(A75, 'Base Exámenes'!$C$5:$C$1000, 0)), "")</f>
        <v/>
      </c>
      <c r="K75" s="6" t="str">
        <f>IFERROR(INDEX('Base Exámenes'!$H$5:$H$1000, MATCH(A75, 'Base Exámenes'!$C$5:$C$1000,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7">
        <f>IFERROR(INDEX('Base Exámenes'!$D$5:$D$1000, MATCH(A76, 'Base Exámenes'!$C$5:$C$1000, 0)), "")</f>
        <v>46296.56951388889</v>
      </c>
      <c r="H76" s="27">
        <f>IFERROR(INDEX('Base Exámenes'!$E$5:$E$1000, MATCH(A76, 'Base Exámenes'!$C$5:$C$1000, 0)), "")</f>
        <v>46296.57800925926</v>
      </c>
      <c r="I76" s="26">
        <f>IFERROR(INDEX('Base Exámenes'!$F$5:$F$1000, MATCH(A76, 'Base Exámenes'!$C$5:$C$1000, 0)), "")</f>
        <v>12.2333333333333</v>
      </c>
      <c r="J76" s="6">
        <f>IFERROR(INDEX('Base Exámenes'!$G$5:$G$1000, MATCH(A76, 'Base Exámenes'!$C$5:$C$1000, 0)), "")</f>
        <v>100</v>
      </c>
      <c r="K76" s="6" t="str">
        <f>IFERROR(INDEX('Base Exámenes'!$H$5:$H$1000, MATCH(A76, 'Base Exámenes'!$C$5:$C$1000,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7">
        <f>IFERROR(INDEX('Base Exámenes'!$D$5:$D$1000, MATCH(A77, 'Base Exámenes'!$C$5:$C$1000, 0)), "")</f>
        <v>46297.46885416667</v>
      </c>
      <c r="H77" s="27">
        <f>IFERROR(INDEX('Base Exámenes'!$E$5:$E$1000, MATCH(A77, 'Base Exámenes'!$C$5:$C$1000, 0)), "")</f>
        <v>46297.47550925926</v>
      </c>
      <c r="I77" s="26">
        <f>IFERROR(INDEX('Base Exámenes'!$F$5:$F$1000, MATCH(A77, 'Base Exámenes'!$C$5:$C$1000, 0)), "")</f>
        <v>9.58333333333333</v>
      </c>
      <c r="J77" s="6">
        <f>IFERROR(INDEX('Base Exámenes'!$G$5:$G$1000, MATCH(A77, 'Base Exámenes'!$C$5:$C$1000, 0)), "")</f>
        <v>95</v>
      </c>
      <c r="K77" s="6" t="str">
        <f>IFERROR(INDEX('Base Exámenes'!$H$5:$H$1000, MATCH(A77, 'Base Exámenes'!$C$5:$C$1000,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7">
        <f>IFERROR(INDEX('Base Exámenes'!$D$5:$D$1000, MATCH(A78, 'Base Exámenes'!$C$5:$C$1000, 0)), "")</f>
        <v>46304.69060185185</v>
      </c>
      <c r="H78" s="27">
        <f>IFERROR(INDEX('Base Exámenes'!$E$5:$E$1000, MATCH(A78, 'Base Exámenes'!$C$5:$C$1000, 0)), "")</f>
        <v>46304.692928240744</v>
      </c>
      <c r="I78" s="26">
        <f>IFERROR(INDEX('Base Exámenes'!$F$5:$F$1000, MATCH(A78, 'Base Exámenes'!$C$5:$C$1000, 0)), "")</f>
        <v>3.35</v>
      </c>
      <c r="J78" s="6">
        <f>IFERROR(INDEX('Base Exámenes'!$G$5:$G$1000, MATCH(A78, 'Base Exámenes'!$C$5:$C$1000, 0)), "")</f>
        <v>100</v>
      </c>
      <c r="K78" s="6" t="str">
        <f>IFERROR(INDEX('Base Exámenes'!$H$5:$H$1000, MATCH(A78, 'Base Exámenes'!$C$5:$C$1000,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Pendiente</v>
      </c>
      <c r="G79" s="27" t="str">
        <f>IFERROR(INDEX('Base Exámenes'!$D$5:$D$1000, MATCH(A79, 'Base Exámenes'!$C$5:$C$1000, 0)), "")</f>
        <v/>
      </c>
      <c r="H79" s="27" t="str">
        <f>IFERROR(INDEX('Base Exámenes'!$E$5:$E$1000, MATCH(A79, 'Base Exámenes'!$C$5:$C$1000, 0)), "")</f>
        <v/>
      </c>
      <c r="I79" s="26" t="str">
        <f>IFERROR(INDEX('Base Exámenes'!$F$5:$F$1000, MATCH(A79, 'Base Exámenes'!$C$5:$C$1000, 0)), "")</f>
        <v/>
      </c>
      <c r="J79" s="6" t="str">
        <f>IFERROR(INDEX('Base Exámenes'!$G$5:$G$1000, MATCH(A79, 'Base Exámenes'!$C$5:$C$1000, 0)), "")</f>
        <v/>
      </c>
      <c r="K79" s="6" t="str">
        <f>IFERROR(INDEX('Base Exámenes'!$H$5:$H$1000, MATCH(A79, 'Base Exámenes'!$C$5:$C$1000,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Pendiente</v>
      </c>
      <c r="G80" s="27" t="str">
        <f>IFERROR(INDEX('Base Exámenes'!$D$5:$D$1000, MATCH(A80, 'Base Exámenes'!$C$5:$C$1000, 0)), "")</f>
        <v/>
      </c>
      <c r="H80" s="27" t="str">
        <f>IFERROR(INDEX('Base Exámenes'!$E$5:$E$1000, MATCH(A80, 'Base Exámenes'!$C$5:$C$1000, 0)), "")</f>
        <v/>
      </c>
      <c r="I80" s="26" t="str">
        <f>IFERROR(INDEX('Base Exámenes'!$F$5:$F$1000, MATCH(A80, 'Base Exámenes'!$C$5:$C$1000, 0)), "")</f>
        <v/>
      </c>
      <c r="J80" s="6" t="str">
        <f>IFERROR(INDEX('Base Exámenes'!$G$5:$G$1000, MATCH(A80, 'Base Exámenes'!$C$5:$C$1000, 0)), "")</f>
        <v/>
      </c>
      <c r="K80" s="6" t="str">
        <f>IFERROR(INDEX('Base Exámenes'!$H$5:$H$1000, MATCH(A80, 'Base Exámenes'!$C$5:$C$1000,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7">
        <f>IFERROR(INDEX('Base Exámenes'!$D$5:$D$1000, MATCH(A81, 'Base Exámenes'!$C$5:$C$1000, 0)), "")</f>
        <v>46304.494108796294</v>
      </c>
      <c r="H81" s="27">
        <f>IFERROR(INDEX('Base Exámenes'!$E$5:$E$1000, MATCH(A81, 'Base Exámenes'!$C$5:$C$1000, 0)), "")</f>
        <v>46304.51201388889</v>
      </c>
      <c r="I81" s="26">
        <f>IFERROR(INDEX('Base Exámenes'!$F$5:$F$1000, MATCH(A81, 'Base Exámenes'!$C$5:$C$1000, 0)), "")</f>
        <v>25.7833333333333</v>
      </c>
      <c r="J81" s="6">
        <f>IFERROR(INDEX('Base Exámenes'!$G$5:$G$1000, MATCH(A81, 'Base Exámenes'!$C$5:$C$1000, 0)), "")</f>
        <v>100</v>
      </c>
      <c r="K81" s="6" t="str">
        <f>IFERROR(INDEX('Base Exámenes'!$H$5:$H$1000, MATCH(A81, 'Base Exámenes'!$C$5:$C$1000,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7" t="str">
        <f>IFERROR(INDEX('Base Exámenes'!$D$5:$D$1000, MATCH(A82, 'Base Exámenes'!$C$5:$C$1000, 0)), "")</f>
        <v/>
      </c>
      <c r="H82" s="27" t="str">
        <f>IFERROR(INDEX('Base Exámenes'!$E$5:$E$1000, MATCH(A82, 'Base Exámenes'!$C$5:$C$1000, 0)), "")</f>
        <v/>
      </c>
      <c r="I82" s="26" t="str">
        <f>IFERROR(INDEX('Base Exámenes'!$F$5:$F$1000, MATCH(A82, 'Base Exámenes'!$C$5:$C$1000, 0)), "")</f>
        <v/>
      </c>
      <c r="J82" s="6" t="str">
        <f>IFERROR(INDEX('Base Exámenes'!$G$5:$G$1000, MATCH(A82, 'Base Exámenes'!$C$5:$C$1000, 0)), "")</f>
        <v/>
      </c>
      <c r="K82" s="6" t="str">
        <f>IFERROR(INDEX('Base Exámenes'!$H$5:$H$1000, MATCH(A82, 'Base Exámenes'!$C$5:$C$1000,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7">
        <f>IFERROR(INDEX('Base Exámenes'!$D$5:$D$1000, MATCH(A83, 'Base Exámenes'!$C$5:$C$1000, 0)), "")</f>
        <v>46304.56408564815</v>
      </c>
      <c r="H83" s="27">
        <f>IFERROR(INDEX('Base Exámenes'!$E$5:$E$1000, MATCH(A83, 'Base Exámenes'!$C$5:$C$1000, 0)), "")</f>
        <v>46304.56716435185</v>
      </c>
      <c r="I83" s="26">
        <f>IFERROR(INDEX('Base Exámenes'!$F$5:$F$1000, MATCH(A83, 'Base Exámenes'!$C$5:$C$1000, 0)), "")</f>
        <v>4.43333333333333</v>
      </c>
      <c r="J83" s="6">
        <f>IFERROR(INDEX('Base Exámenes'!$G$5:$G$1000, MATCH(A83, 'Base Exámenes'!$C$5:$C$1000, 0)), "")</f>
        <v>100</v>
      </c>
      <c r="K83" s="6" t="str">
        <f>IFERROR(INDEX('Base Exámenes'!$H$5:$H$1000, MATCH(A83, 'Base Exámenes'!$C$5:$C$1000,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Pendiente</v>
      </c>
      <c r="G84" s="27" t="str">
        <f>IFERROR(INDEX('Base Exámenes'!$D$5:$D$1000, MATCH(A84, 'Base Exámenes'!$C$5:$C$1000, 0)), "")</f>
        <v/>
      </c>
      <c r="H84" s="27" t="str">
        <f>IFERROR(INDEX('Base Exámenes'!$E$5:$E$1000, MATCH(A84, 'Base Exámenes'!$C$5:$C$1000, 0)), "")</f>
        <v/>
      </c>
      <c r="I84" s="26" t="str">
        <f>IFERROR(INDEX('Base Exámenes'!$F$5:$F$1000, MATCH(A84, 'Base Exámenes'!$C$5:$C$1000, 0)), "")</f>
        <v/>
      </c>
      <c r="J84" s="6" t="str">
        <f>IFERROR(INDEX('Base Exámenes'!$G$5:$G$1000, MATCH(A84, 'Base Exámenes'!$C$5:$C$1000, 0)), "")</f>
        <v/>
      </c>
      <c r="K84" s="6" t="str">
        <f>IFERROR(INDEX('Base Exámenes'!$H$5:$H$1000, MATCH(A84, 'Base Exámenes'!$C$5:$C$1000,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7" t="str">
        <f>IFERROR(INDEX('Base Exámenes'!$D$5:$D$1000, MATCH(A85, 'Base Exámenes'!$C$5:$C$1000, 0)), "")</f>
        <v/>
      </c>
      <c r="H85" s="27" t="str">
        <f>IFERROR(INDEX('Base Exámenes'!$E$5:$E$1000, MATCH(A85, 'Base Exámenes'!$C$5:$C$1000, 0)), "")</f>
        <v/>
      </c>
      <c r="I85" s="26" t="str">
        <f>IFERROR(INDEX('Base Exámenes'!$F$5:$F$1000, MATCH(A85, 'Base Exámenes'!$C$5:$C$1000, 0)), "")</f>
        <v/>
      </c>
      <c r="J85" s="6" t="str">
        <f>IFERROR(INDEX('Base Exámenes'!$G$5:$G$1000, MATCH(A85, 'Base Exámenes'!$C$5:$C$1000, 0)), "")</f>
        <v/>
      </c>
      <c r="K85" s="6" t="str">
        <f>IFERROR(INDEX('Base Exámenes'!$H$5:$H$1000, MATCH(A85, 'Base Exámenes'!$C$5:$C$1000,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7" t="str">
        <f>IFERROR(INDEX('Base Exámenes'!$D$5:$D$1000, MATCH(A86, 'Base Exámenes'!$C$5:$C$1000, 0)), "")</f>
        <v/>
      </c>
      <c r="H86" s="27" t="str">
        <f>IFERROR(INDEX('Base Exámenes'!$E$5:$E$1000, MATCH(A86, 'Base Exámenes'!$C$5:$C$1000, 0)), "")</f>
        <v/>
      </c>
      <c r="I86" s="26" t="str">
        <f>IFERROR(INDEX('Base Exámenes'!$F$5:$F$1000, MATCH(A86, 'Base Exámenes'!$C$5:$C$1000, 0)), "")</f>
        <v/>
      </c>
      <c r="J86" s="6" t="str">
        <f>IFERROR(INDEX('Base Exámenes'!$G$5:$G$1000, MATCH(A86, 'Base Exámenes'!$C$5:$C$1000, 0)), "")</f>
        <v/>
      </c>
      <c r="K86" s="6" t="str">
        <f>IFERROR(INDEX('Base Exámenes'!$H$5:$H$1000, MATCH(A86, 'Base Exámenes'!$C$5:$C$1000,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7">
        <f>IFERROR(INDEX('Base Exámenes'!$D$5:$D$1000, MATCH(A87, 'Base Exámenes'!$C$5:$C$1000, 0)), "")</f>
        <v>46296.826469907406</v>
      </c>
      <c r="H87" s="27">
        <f>IFERROR(INDEX('Base Exámenes'!$E$5:$E$1000, MATCH(A87, 'Base Exámenes'!$C$5:$C$1000, 0)), "")</f>
        <v>46296.82847222222</v>
      </c>
      <c r="I87" s="26">
        <f>IFERROR(INDEX('Base Exámenes'!$F$5:$F$1000, MATCH(A87, 'Base Exámenes'!$C$5:$C$1000, 0)), "")</f>
        <v>2.88333333333333</v>
      </c>
      <c r="J87" s="6">
        <f>IFERROR(INDEX('Base Exámenes'!$G$5:$G$1000, MATCH(A87, 'Base Exámenes'!$C$5:$C$1000, 0)), "")</f>
        <v>100</v>
      </c>
      <c r="K87" s="6" t="str">
        <f>IFERROR(INDEX('Base Exámenes'!$H$5:$H$1000, MATCH(A87, 'Base Exámenes'!$C$5:$C$1000,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Pendiente</v>
      </c>
      <c r="G88" s="27" t="str">
        <f>IFERROR(INDEX('Base Exámenes'!$D$5:$D$1000, MATCH(A88, 'Base Exámenes'!$C$5:$C$1000, 0)), "")</f>
        <v/>
      </c>
      <c r="H88" s="27" t="str">
        <f>IFERROR(INDEX('Base Exámenes'!$E$5:$E$1000, MATCH(A88, 'Base Exámenes'!$C$5:$C$1000, 0)), "")</f>
        <v/>
      </c>
      <c r="I88" s="26" t="str">
        <f>IFERROR(INDEX('Base Exámenes'!$F$5:$F$1000, MATCH(A88, 'Base Exámenes'!$C$5:$C$1000, 0)), "")</f>
        <v/>
      </c>
      <c r="J88" s="6" t="str">
        <f>IFERROR(INDEX('Base Exámenes'!$G$5:$G$1000, MATCH(A88, 'Base Exámenes'!$C$5:$C$1000, 0)), "")</f>
        <v/>
      </c>
      <c r="K88" s="6" t="str">
        <f>IFERROR(INDEX('Base Exámenes'!$H$5:$H$1000, MATCH(A88, 'Base Exámenes'!$C$5:$C$1000,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7" t="str">
        <f>IFERROR(INDEX('Base Exámenes'!$D$5:$D$1000, MATCH(A89, 'Base Exámenes'!$C$5:$C$1000, 0)), "")</f>
        <v/>
      </c>
      <c r="H89" s="27" t="str">
        <f>IFERROR(INDEX('Base Exámenes'!$E$5:$E$1000, MATCH(A89, 'Base Exámenes'!$C$5:$C$1000, 0)), "")</f>
        <v/>
      </c>
      <c r="I89" s="26" t="str">
        <f>IFERROR(INDEX('Base Exámenes'!$F$5:$F$1000, MATCH(A89, 'Base Exámenes'!$C$5:$C$1000, 0)), "")</f>
        <v/>
      </c>
      <c r="J89" s="6" t="str">
        <f>IFERROR(INDEX('Base Exámenes'!$G$5:$G$1000, MATCH(A89, 'Base Exámenes'!$C$5:$C$1000, 0)), "")</f>
        <v/>
      </c>
      <c r="K89" s="6" t="str">
        <f>IFERROR(INDEX('Base Exámenes'!$H$5:$H$1000, MATCH(A89, 'Base Exámenes'!$C$5:$C$1000,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7">
        <f>IFERROR(INDEX('Base Exámenes'!$D$5:$D$1000, MATCH(A90, 'Base Exámenes'!$C$5:$C$1000, 0)), "")</f>
        <v>46304.35847222222</v>
      </c>
      <c r="H90" s="27">
        <f>IFERROR(INDEX('Base Exámenes'!$E$5:$E$1000, MATCH(A90, 'Base Exámenes'!$C$5:$C$1000, 0)), "")</f>
        <v>46304.36083333333</v>
      </c>
      <c r="I90" s="26">
        <f>IFERROR(INDEX('Base Exámenes'!$F$5:$F$1000, MATCH(A90, 'Base Exámenes'!$C$5:$C$1000, 0)), "")</f>
        <v>3.4</v>
      </c>
      <c r="J90" s="6">
        <f>IFERROR(INDEX('Base Exámenes'!$G$5:$G$1000, MATCH(A90, 'Base Exámenes'!$C$5:$C$1000, 0)), "")</f>
        <v>100</v>
      </c>
      <c r="K90" s="6" t="str">
        <f>IFERROR(INDEX('Base Exámenes'!$H$5:$H$1000, MATCH(A90, 'Base Exámenes'!$C$5:$C$1000,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7">
        <f>IFERROR(INDEX('Base Exámenes'!$D$5:$D$1000, MATCH(A91, 'Base Exámenes'!$C$5:$C$1000, 0)), "")</f>
        <v>46300.30724537037</v>
      </c>
      <c r="H91" s="27">
        <f>IFERROR(INDEX('Base Exámenes'!$E$5:$E$1000, MATCH(A91, 'Base Exámenes'!$C$5:$C$1000, 0)), "")</f>
        <v>46300.31707175926</v>
      </c>
      <c r="I91" s="26">
        <f>IFERROR(INDEX('Base Exámenes'!$F$5:$F$1000, MATCH(A91, 'Base Exámenes'!$C$5:$C$1000, 0)), "")</f>
        <v>14.15</v>
      </c>
      <c r="J91" s="6">
        <f>IFERROR(INDEX('Base Exámenes'!$G$5:$G$1000, MATCH(A91, 'Base Exámenes'!$C$5:$C$1000, 0)), "")</f>
        <v>100</v>
      </c>
      <c r="K91" s="6" t="str">
        <f>IFERROR(INDEX('Base Exámenes'!$H$5:$H$1000, MATCH(A91, 'Base Exámenes'!$C$5:$C$1000,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Pendiente</v>
      </c>
      <c r="G92" s="27" t="str">
        <f>IFERROR(INDEX('Base Exámenes'!$D$5:$D$1000, MATCH(A92, 'Base Exámenes'!$C$5:$C$1000, 0)), "")</f>
        <v/>
      </c>
      <c r="H92" s="27" t="str">
        <f>IFERROR(INDEX('Base Exámenes'!$E$5:$E$1000, MATCH(A92, 'Base Exámenes'!$C$5:$C$1000, 0)), "")</f>
        <v/>
      </c>
      <c r="I92" s="26" t="str">
        <f>IFERROR(INDEX('Base Exámenes'!$F$5:$F$1000, MATCH(A92, 'Base Exámenes'!$C$5:$C$1000, 0)), "")</f>
        <v/>
      </c>
      <c r="J92" s="6" t="str">
        <f>IFERROR(INDEX('Base Exámenes'!$G$5:$G$1000, MATCH(A92, 'Base Exámenes'!$C$5:$C$1000, 0)), "")</f>
        <v/>
      </c>
      <c r="K92" s="6" t="str">
        <f>IFERROR(INDEX('Base Exámenes'!$H$5:$H$1000, MATCH(A92, 'Base Exámenes'!$C$5:$C$1000,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7">
        <f>IFERROR(INDEX('Base Exámenes'!$D$5:$D$1000, MATCH(A93, 'Base Exámenes'!$C$5:$C$1000, 0)), "")</f>
        <v>46304.33164351852</v>
      </c>
      <c r="H93" s="27">
        <f>IFERROR(INDEX('Base Exámenes'!$E$5:$E$1000, MATCH(A93, 'Base Exámenes'!$C$5:$C$1000, 0)), "")</f>
        <v>46304.33385416667</v>
      </c>
      <c r="I93" s="26">
        <f>IFERROR(INDEX('Base Exámenes'!$F$5:$F$1000, MATCH(A93, 'Base Exámenes'!$C$5:$C$1000, 0)), "")</f>
        <v>3.18333333333333</v>
      </c>
      <c r="J93" s="6">
        <f>IFERROR(INDEX('Base Exámenes'!$G$5:$G$1000, MATCH(A93, 'Base Exámenes'!$C$5:$C$1000, 0)), "")</f>
        <v>100</v>
      </c>
      <c r="K93" s="6" t="str">
        <f>IFERROR(INDEX('Base Exámenes'!$H$5:$H$1000, MATCH(A93, 'Base Exámenes'!$C$5:$C$1000,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7">
        <f>IFERROR(INDEX('Base Exámenes'!$D$5:$D$1000, MATCH(A94, 'Base Exámenes'!$C$5:$C$1000, 0)), "")</f>
        <v>46296.61537037037</v>
      </c>
      <c r="H94" s="27">
        <f>IFERROR(INDEX('Base Exámenes'!$E$5:$E$1000, MATCH(A94, 'Base Exámenes'!$C$5:$C$1000, 0)), "")</f>
        <v>46296.62540509259</v>
      </c>
      <c r="I94" s="26">
        <f>IFERROR(INDEX('Base Exámenes'!$F$5:$F$1000, MATCH(A94, 'Base Exámenes'!$C$5:$C$1000, 0)), "")</f>
        <v>14.45</v>
      </c>
      <c r="J94" s="6">
        <f>IFERROR(INDEX('Base Exámenes'!$G$5:$G$1000, MATCH(A94, 'Base Exámenes'!$C$5:$C$1000, 0)), "")</f>
        <v>100</v>
      </c>
      <c r="K94" s="6" t="str">
        <f>IFERROR(INDEX('Base Exámenes'!$H$5:$H$1000, MATCH(A94, 'Base Exámenes'!$C$5:$C$1000,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7">
        <f>IFERROR(INDEX('Base Exámenes'!$D$5:$D$1000, MATCH(A95, 'Base Exámenes'!$C$5:$C$1000, 0)), "")</f>
        <v>46304.38685185185</v>
      </c>
      <c r="H95" s="27">
        <f>IFERROR(INDEX('Base Exámenes'!$E$5:$E$1000, MATCH(A95, 'Base Exámenes'!$C$5:$C$1000, 0)), "")</f>
        <v>46304.4002662037</v>
      </c>
      <c r="I95" s="26">
        <f>IFERROR(INDEX('Base Exámenes'!$F$5:$F$1000, MATCH(A95, 'Base Exámenes'!$C$5:$C$1000, 0)), "")</f>
        <v>19.3166666666667</v>
      </c>
      <c r="J95" s="6">
        <f>IFERROR(INDEX('Base Exámenes'!$G$5:$G$1000, MATCH(A95, 'Base Exámenes'!$C$5:$C$1000, 0)), "")</f>
        <v>90</v>
      </c>
      <c r="K95" s="6" t="str">
        <f>IFERROR(INDEX('Base Exámenes'!$H$5:$H$1000, MATCH(A95, 'Base Exámenes'!$C$5:$C$1000,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7">
        <f>IFERROR(INDEX('Base Exámenes'!$D$5:$D$1000, MATCH(A96, 'Base Exámenes'!$C$5:$C$1000, 0)), "")</f>
        <v>46301.43630787037</v>
      </c>
      <c r="H96" s="27">
        <f>IFERROR(INDEX('Base Exámenes'!$E$5:$E$1000, MATCH(A96, 'Base Exámenes'!$C$5:$C$1000, 0)), "")</f>
        <v>46301.438738425924</v>
      </c>
      <c r="I96" s="26">
        <f>IFERROR(INDEX('Base Exámenes'!$F$5:$F$1000, MATCH(A96, 'Base Exámenes'!$C$5:$C$1000, 0)), "")</f>
        <v>3.5</v>
      </c>
      <c r="J96" s="6">
        <f>IFERROR(INDEX('Base Exámenes'!$G$5:$G$1000, MATCH(A96, 'Base Exámenes'!$C$5:$C$1000, 0)), "")</f>
        <v>100</v>
      </c>
      <c r="K96" s="6" t="str">
        <f>IFERROR(INDEX('Base Exámenes'!$H$5:$H$1000, MATCH(A96, 'Base Exámenes'!$C$5:$C$1000,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Pendiente</v>
      </c>
      <c r="G97" s="27" t="str">
        <f>IFERROR(INDEX('Base Exámenes'!$D$5:$D$1000, MATCH(A97, 'Base Exámenes'!$C$5:$C$1000, 0)), "")</f>
        <v/>
      </c>
      <c r="H97" s="27" t="str">
        <f>IFERROR(INDEX('Base Exámenes'!$E$5:$E$1000, MATCH(A97, 'Base Exámenes'!$C$5:$C$1000, 0)), "")</f>
        <v/>
      </c>
      <c r="I97" s="26" t="str">
        <f>IFERROR(INDEX('Base Exámenes'!$F$5:$F$1000, MATCH(A97, 'Base Exámenes'!$C$5:$C$1000, 0)), "")</f>
        <v/>
      </c>
      <c r="J97" s="6" t="str">
        <f>IFERROR(INDEX('Base Exámenes'!$G$5:$G$1000, MATCH(A97, 'Base Exámenes'!$C$5:$C$1000, 0)), "")</f>
        <v/>
      </c>
      <c r="K97" s="6" t="str">
        <f>IFERROR(INDEX('Base Exámenes'!$H$5:$H$1000, MATCH(A97, 'Base Exámenes'!$C$5:$C$1000,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Pendiente</v>
      </c>
      <c r="G98" s="27" t="str">
        <f>IFERROR(INDEX('Base Exámenes'!$D$5:$D$1000, MATCH(A98, 'Base Exámenes'!$C$5:$C$1000, 0)), "")</f>
        <v/>
      </c>
      <c r="H98" s="27" t="str">
        <f>IFERROR(INDEX('Base Exámenes'!$E$5:$E$1000, MATCH(A98, 'Base Exámenes'!$C$5:$C$1000, 0)), "")</f>
        <v/>
      </c>
      <c r="I98" s="26" t="str">
        <f>IFERROR(INDEX('Base Exámenes'!$F$5:$F$1000, MATCH(A98, 'Base Exámenes'!$C$5:$C$1000, 0)), "")</f>
        <v/>
      </c>
      <c r="J98" s="6" t="str">
        <f>IFERROR(INDEX('Base Exámenes'!$G$5:$G$1000, MATCH(A98, 'Base Exámenes'!$C$5:$C$1000, 0)), "")</f>
        <v/>
      </c>
      <c r="K98" s="6" t="str">
        <f>IFERROR(INDEX('Base Exámenes'!$H$5:$H$1000, MATCH(A98, 'Base Exámenes'!$C$5:$C$1000,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7" t="str">
        <f>IFERROR(INDEX('Base Exámenes'!$D$5:$D$1000, MATCH(A99, 'Base Exámenes'!$C$5:$C$1000, 0)), "")</f>
        <v/>
      </c>
      <c r="H99" s="27" t="str">
        <f>IFERROR(INDEX('Base Exámenes'!$E$5:$E$1000, MATCH(A99, 'Base Exámenes'!$C$5:$C$1000, 0)), "")</f>
        <v/>
      </c>
      <c r="I99" s="26" t="str">
        <f>IFERROR(INDEX('Base Exámenes'!$F$5:$F$1000, MATCH(A99, 'Base Exámenes'!$C$5:$C$1000, 0)), "")</f>
        <v/>
      </c>
      <c r="J99" s="6" t="str">
        <f>IFERROR(INDEX('Base Exámenes'!$G$5:$G$1000, MATCH(A99, 'Base Exámenes'!$C$5:$C$1000, 0)), "")</f>
        <v/>
      </c>
      <c r="K99" s="6" t="str">
        <f>IFERROR(INDEX('Base Exámenes'!$H$5:$H$1000, MATCH(A99, 'Base Exámenes'!$C$5:$C$1000,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Pendiente</v>
      </c>
      <c r="G100" s="27" t="str">
        <f>IFERROR(INDEX('Base Exámenes'!$D$5:$D$1000, MATCH(A100, 'Base Exámenes'!$C$5:$C$1000, 0)), "")</f>
        <v/>
      </c>
      <c r="H100" s="27" t="str">
        <f>IFERROR(INDEX('Base Exámenes'!$E$5:$E$1000, MATCH(A100, 'Base Exámenes'!$C$5:$C$1000, 0)), "")</f>
        <v/>
      </c>
      <c r="I100" s="26" t="str">
        <f>IFERROR(INDEX('Base Exámenes'!$F$5:$F$1000, MATCH(A100, 'Base Exámenes'!$C$5:$C$1000, 0)), "")</f>
        <v/>
      </c>
      <c r="J100" s="6" t="str">
        <f>IFERROR(INDEX('Base Exámenes'!$G$5:$G$1000, MATCH(A100, 'Base Exámenes'!$C$5:$C$1000, 0)), "")</f>
        <v/>
      </c>
      <c r="K100" s="6" t="str">
        <f>IFERROR(INDEX('Base Exámenes'!$H$5:$H$1000, MATCH(A100, 'Base Exámenes'!$C$5:$C$1000,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Pendiente</v>
      </c>
      <c r="G101" s="27" t="str">
        <f>IFERROR(INDEX('Base Exámenes'!$D$5:$D$1000, MATCH(A101, 'Base Exámenes'!$C$5:$C$1000, 0)), "")</f>
        <v/>
      </c>
      <c r="H101" s="27" t="str">
        <f>IFERROR(INDEX('Base Exámenes'!$E$5:$E$1000, MATCH(A101, 'Base Exámenes'!$C$5:$C$1000, 0)), "")</f>
        <v/>
      </c>
      <c r="I101" s="26" t="str">
        <f>IFERROR(INDEX('Base Exámenes'!$F$5:$F$1000, MATCH(A101, 'Base Exámenes'!$C$5:$C$1000, 0)), "")</f>
        <v/>
      </c>
      <c r="J101" s="6" t="str">
        <f>IFERROR(INDEX('Base Exámenes'!$G$5:$G$1000, MATCH(A101, 'Base Exámenes'!$C$5:$C$1000, 0)), "")</f>
        <v/>
      </c>
      <c r="K101" s="6" t="str">
        <f>IFERROR(INDEX('Base Exámenes'!$H$5:$H$1000, MATCH(A101, 'Base Exámenes'!$C$5:$C$1000,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7">
        <f>IFERROR(INDEX('Base Exámenes'!$D$5:$D$1000, MATCH(A102, 'Base Exámenes'!$C$5:$C$1000, 0)), "")</f>
        <v>46304.4034837963</v>
      </c>
      <c r="H102" s="27">
        <f>IFERROR(INDEX('Base Exámenes'!$E$5:$E$1000, MATCH(A102, 'Base Exámenes'!$C$5:$C$1000, 0)), "")</f>
        <v>46304.407905092594</v>
      </c>
      <c r="I102" s="26">
        <f>IFERROR(INDEX('Base Exámenes'!$F$5:$F$1000, MATCH(A102, 'Base Exámenes'!$C$5:$C$1000, 0)), "")</f>
        <v>6.36666666666667</v>
      </c>
      <c r="J102" s="6">
        <f>IFERROR(INDEX('Base Exámenes'!$G$5:$G$1000, MATCH(A102, 'Base Exámenes'!$C$5:$C$1000, 0)), "")</f>
        <v>100</v>
      </c>
      <c r="K102" s="6" t="str">
        <f>IFERROR(INDEX('Base Exámenes'!$H$5:$H$1000, MATCH(A102, 'Base Exámenes'!$C$5:$C$1000,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7">
        <f>IFERROR(INDEX('Base Exámenes'!$D$5:$D$1000, MATCH(A103, 'Base Exámenes'!$C$5:$C$1000, 0)), "")</f>
        <v>46300.582349537035</v>
      </c>
      <c r="H103" s="27">
        <f>IFERROR(INDEX('Base Exámenes'!$E$5:$E$1000, MATCH(A103, 'Base Exámenes'!$C$5:$C$1000, 0)), "")</f>
        <v>46300.58474537037</v>
      </c>
      <c r="I103" s="26">
        <f>IFERROR(INDEX('Base Exámenes'!$F$5:$F$1000, MATCH(A103, 'Base Exámenes'!$C$5:$C$1000, 0)), "")</f>
        <v>3.45</v>
      </c>
      <c r="J103" s="6">
        <f>IFERROR(INDEX('Base Exámenes'!$G$5:$G$1000, MATCH(A103, 'Base Exámenes'!$C$5:$C$1000, 0)), "")</f>
        <v>95</v>
      </c>
      <c r="K103" s="6" t="str">
        <f>IFERROR(INDEX('Base Exámenes'!$H$5:$H$1000, MATCH(A103, 'Base Exámenes'!$C$5:$C$1000,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7" t="str">
        <f>IFERROR(INDEX('Base Exámenes'!$D$5:$D$1000, MATCH(A104, 'Base Exámenes'!$C$5:$C$1000, 0)), "")</f>
        <v/>
      </c>
      <c r="H104" s="27" t="str">
        <f>IFERROR(INDEX('Base Exámenes'!$E$5:$E$1000, MATCH(A104, 'Base Exámenes'!$C$5:$C$1000, 0)), "")</f>
        <v/>
      </c>
      <c r="I104" s="26" t="str">
        <f>IFERROR(INDEX('Base Exámenes'!$F$5:$F$1000, MATCH(A104, 'Base Exámenes'!$C$5:$C$1000, 0)), "")</f>
        <v/>
      </c>
      <c r="J104" s="6" t="str">
        <f>IFERROR(INDEX('Base Exámenes'!$G$5:$G$1000, MATCH(A104, 'Base Exámenes'!$C$5:$C$1000, 0)), "")</f>
        <v/>
      </c>
      <c r="K104" s="6" t="str">
        <f>IFERROR(INDEX('Base Exámenes'!$H$5:$H$1000, MATCH(A104, 'Base Exámenes'!$C$5:$C$1000,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7">
        <f>IFERROR(INDEX('Base Exámenes'!$D$5:$D$1000, MATCH(A105, 'Base Exámenes'!$C$5:$C$1000, 0)), "")</f>
        <v>46302.42083333333</v>
      </c>
      <c r="H105" s="27">
        <f>IFERROR(INDEX('Base Exámenes'!$E$5:$E$1000, MATCH(A105, 'Base Exámenes'!$C$5:$C$1000, 0)), "")</f>
        <v>46302.441828703704</v>
      </c>
      <c r="I105" s="26">
        <f>IFERROR(INDEX('Base Exámenes'!$F$5:$F$1000, MATCH(A105, 'Base Exámenes'!$C$5:$C$1000, 0)), "")</f>
        <v>30.2333333333333</v>
      </c>
      <c r="J105" s="6">
        <f>IFERROR(INDEX('Base Exámenes'!$G$5:$G$1000, MATCH(A105, 'Base Exámenes'!$C$5:$C$1000, 0)), "")</f>
        <v>100</v>
      </c>
      <c r="K105" s="6" t="str">
        <f>IFERROR(INDEX('Base Exámenes'!$H$5:$H$1000, MATCH(A105, 'Base Exámenes'!$C$5:$C$1000,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7">
        <f>IFERROR(INDEX('Base Exámenes'!$D$5:$D$1000, MATCH(A106, 'Base Exámenes'!$C$5:$C$1000, 0)), "")</f>
        <v>46300.58730324074</v>
      </c>
      <c r="H106" s="27">
        <f>IFERROR(INDEX('Base Exámenes'!$E$5:$E$1000, MATCH(A106, 'Base Exámenes'!$C$5:$C$1000, 0)), "")</f>
        <v>46300.58950231481</v>
      </c>
      <c r="I106" s="26">
        <f>IFERROR(INDEX('Base Exámenes'!$F$5:$F$1000, MATCH(A106, 'Base Exámenes'!$C$5:$C$1000, 0)), "")</f>
        <v>3.16666666666667</v>
      </c>
      <c r="J106" s="6">
        <f>IFERROR(INDEX('Base Exámenes'!$G$5:$G$1000, MATCH(A106, 'Base Exámenes'!$C$5:$C$1000, 0)), "")</f>
        <v>100</v>
      </c>
      <c r="K106" s="6" t="str">
        <f>IFERROR(INDEX('Base Exámenes'!$H$5:$H$1000, MATCH(A106, 'Base Exámenes'!$C$5:$C$1000,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7">
        <f>IFERROR(INDEX('Base Exámenes'!$D$5:$D$1000, MATCH(A107, 'Base Exámenes'!$C$5:$C$1000, 0)), "")</f>
        <v>46300.63085648148</v>
      </c>
      <c r="H107" s="27">
        <f>IFERROR(INDEX('Base Exámenes'!$E$5:$E$1000, MATCH(A107, 'Base Exámenes'!$C$5:$C$1000, 0)), "")</f>
        <v>46300.63810185185</v>
      </c>
      <c r="I107" s="26">
        <f>IFERROR(INDEX('Base Exámenes'!$F$5:$F$1000, MATCH(A107, 'Base Exámenes'!$C$5:$C$1000, 0)), "")</f>
        <v>10.4333333333333</v>
      </c>
      <c r="J107" s="6">
        <f>IFERROR(INDEX('Base Exámenes'!$G$5:$G$1000, MATCH(A107, 'Base Exámenes'!$C$5:$C$1000, 0)), "")</f>
        <v>100</v>
      </c>
      <c r="K107" s="6" t="str">
        <f>IFERROR(INDEX('Base Exámenes'!$H$5:$H$1000, MATCH(A107, 'Base Exámenes'!$C$5:$C$1000,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7">
        <f>IFERROR(INDEX('Base Exámenes'!$D$5:$D$1000, MATCH(A108, 'Base Exámenes'!$C$5:$C$1000, 0)), "")</f>
        <v>46300.46083333333</v>
      </c>
      <c r="H108" s="27">
        <f>IFERROR(INDEX('Base Exámenes'!$E$5:$E$1000, MATCH(A108, 'Base Exámenes'!$C$5:$C$1000, 0)), "")</f>
        <v>46300.48065972222</v>
      </c>
      <c r="I108" s="26">
        <f>IFERROR(INDEX('Base Exámenes'!$F$5:$F$1000, MATCH(A108, 'Base Exámenes'!$C$5:$C$1000, 0)), "")</f>
        <v>28.55</v>
      </c>
      <c r="J108" s="6">
        <f>IFERROR(INDEX('Base Exámenes'!$G$5:$G$1000, MATCH(A108, 'Base Exámenes'!$C$5:$C$1000, 0)), "")</f>
        <v>100</v>
      </c>
      <c r="K108" s="6" t="str">
        <f>IFERROR(INDEX('Base Exámenes'!$H$5:$H$1000, MATCH(A108, 'Base Exámenes'!$C$5:$C$1000,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7">
        <f>IFERROR(INDEX('Base Exámenes'!$D$5:$D$1000, MATCH(A109, 'Base Exámenes'!$C$5:$C$1000, 0)), "")</f>
        <v>46301.424733796295</v>
      </c>
      <c r="H109" s="27">
        <f>IFERROR(INDEX('Base Exámenes'!$E$5:$E$1000, MATCH(A109, 'Base Exámenes'!$C$5:$C$1000, 0)), "")</f>
        <v>46301.436527777776</v>
      </c>
      <c r="I109" s="26">
        <f>IFERROR(INDEX('Base Exámenes'!$F$5:$F$1000, MATCH(A109, 'Base Exámenes'!$C$5:$C$1000, 0)), "")</f>
        <v>16.9833333333333</v>
      </c>
      <c r="J109" s="6">
        <f>IFERROR(INDEX('Base Exámenes'!$G$5:$G$1000, MATCH(A109, 'Base Exámenes'!$C$5:$C$1000, 0)), "")</f>
        <v>100</v>
      </c>
      <c r="K109" s="6" t="str">
        <f>IFERROR(INDEX('Base Exámenes'!$H$5:$H$1000, MATCH(A109, 'Base Exámenes'!$C$5:$C$1000,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7">
        <f>IFERROR(INDEX('Base Exámenes'!$D$5:$D$1000, MATCH(A110, 'Base Exámenes'!$C$5:$C$1000, 0)), "")</f>
        <v>46300.57717592592</v>
      </c>
      <c r="H110" s="27">
        <f>IFERROR(INDEX('Base Exámenes'!$E$5:$E$1000, MATCH(A110, 'Base Exámenes'!$C$5:$C$1000, 0)), "")</f>
        <v>46300.5841087963</v>
      </c>
      <c r="I110" s="26">
        <f>IFERROR(INDEX('Base Exámenes'!$F$5:$F$1000, MATCH(A110, 'Base Exámenes'!$C$5:$C$1000, 0)), "")</f>
        <v>9.98333333333333</v>
      </c>
      <c r="J110" s="6">
        <f>IFERROR(INDEX('Base Exámenes'!$G$5:$G$1000, MATCH(A110, 'Base Exámenes'!$C$5:$C$1000, 0)), "")</f>
        <v>100</v>
      </c>
      <c r="K110" s="6" t="str">
        <f>IFERROR(INDEX('Base Exámenes'!$H$5:$H$1000, MATCH(A110, 'Base Exámenes'!$C$5:$C$1000,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7">
        <f>IFERROR(INDEX('Base Exámenes'!$D$5:$D$1000, MATCH(A111, 'Base Exámenes'!$C$5:$C$1000, 0)), "")</f>
        <v>46296.641388888886</v>
      </c>
      <c r="H111" s="27">
        <f>IFERROR(INDEX('Base Exámenes'!$E$5:$E$1000, MATCH(A111, 'Base Exámenes'!$C$5:$C$1000, 0)), "")</f>
        <v>46296.65938657407</v>
      </c>
      <c r="I111" s="26">
        <f>IFERROR(INDEX('Base Exámenes'!$F$5:$F$1000, MATCH(A111, 'Base Exámenes'!$C$5:$C$1000, 0)), "")</f>
        <v>25.9166666666667</v>
      </c>
      <c r="J111" s="6">
        <f>IFERROR(INDEX('Base Exámenes'!$G$5:$G$1000, MATCH(A111, 'Base Exámenes'!$C$5:$C$1000, 0)), "")</f>
        <v>100</v>
      </c>
      <c r="K111" s="6" t="str">
        <f>IFERROR(INDEX('Base Exámenes'!$H$5:$H$1000, MATCH(A111, 'Base Exámenes'!$C$5:$C$1000,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7">
        <f>IFERROR(INDEX('Base Exámenes'!$D$5:$D$1000, MATCH(A112, 'Base Exámenes'!$C$5:$C$1000, 0)), "")</f>
        <v>46296.56962962963</v>
      </c>
      <c r="H112" s="27">
        <f>IFERROR(INDEX('Base Exámenes'!$E$5:$E$1000, MATCH(A112, 'Base Exámenes'!$C$5:$C$1000, 0)), "")</f>
        <v>46296.59023148148</v>
      </c>
      <c r="I112" s="26">
        <f>IFERROR(INDEX('Base Exámenes'!$F$5:$F$1000, MATCH(A112, 'Base Exámenes'!$C$5:$C$1000, 0)), "")</f>
        <v>29.6666666666667</v>
      </c>
      <c r="J112" s="6">
        <f>IFERROR(INDEX('Base Exámenes'!$G$5:$G$1000, MATCH(A112, 'Base Exámenes'!$C$5:$C$1000, 0)), "")</f>
        <v>100</v>
      </c>
      <c r="K112" s="6" t="str">
        <f>IFERROR(INDEX('Base Exámenes'!$H$5:$H$1000, MATCH(A112, 'Base Exámenes'!$C$5:$C$1000,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Pendiente</v>
      </c>
      <c r="G113" s="27" t="str">
        <f>IFERROR(INDEX('Base Exámenes'!$D$5:$D$1000, MATCH(A113, 'Base Exámenes'!$C$5:$C$1000, 0)), "")</f>
        <v/>
      </c>
      <c r="H113" s="27" t="str">
        <f>IFERROR(INDEX('Base Exámenes'!$E$5:$E$1000, MATCH(A113, 'Base Exámenes'!$C$5:$C$1000, 0)), "")</f>
        <v/>
      </c>
      <c r="I113" s="26" t="str">
        <f>IFERROR(INDEX('Base Exámenes'!$F$5:$F$1000, MATCH(A113, 'Base Exámenes'!$C$5:$C$1000, 0)), "")</f>
        <v/>
      </c>
      <c r="J113" s="6" t="str">
        <f>IFERROR(INDEX('Base Exámenes'!$G$5:$G$1000, MATCH(A113, 'Base Exámenes'!$C$5:$C$1000, 0)), "")</f>
        <v/>
      </c>
      <c r="K113" s="6" t="str">
        <f>IFERROR(INDEX('Base Exámenes'!$H$5:$H$1000, MATCH(A113, 'Base Exámenes'!$C$5:$C$1000,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7">
        <f>IFERROR(INDEX('Base Exámenes'!$D$5:$D$1000, MATCH(A114, 'Base Exámenes'!$C$5:$C$1000, 0)), "")</f>
        <v>46297.48075231481</v>
      </c>
      <c r="H114" s="27">
        <f>IFERROR(INDEX('Base Exámenes'!$E$5:$E$1000, MATCH(A114, 'Base Exámenes'!$C$5:$C$1000, 0)), "")</f>
        <v>46297.48825231481</v>
      </c>
      <c r="I114" s="26">
        <f>IFERROR(INDEX('Base Exámenes'!$F$5:$F$1000, MATCH(A114, 'Base Exámenes'!$C$5:$C$1000, 0)), "")</f>
        <v>10.8</v>
      </c>
      <c r="J114" s="6">
        <f>IFERROR(INDEX('Base Exámenes'!$G$5:$G$1000, MATCH(A114, 'Base Exámenes'!$C$5:$C$1000, 0)), "")</f>
        <v>100</v>
      </c>
      <c r="K114" s="6" t="str">
        <f>IFERROR(INDEX('Base Exámenes'!$H$5:$H$1000, MATCH(A114, 'Base Exámenes'!$C$5:$C$1000,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7">
        <f>IFERROR(INDEX('Base Exámenes'!$D$5:$D$1000, MATCH(A115, 'Base Exámenes'!$C$5:$C$1000, 0)), "")</f>
        <v>46300.386666666665</v>
      </c>
      <c r="H115" s="27">
        <f>IFERROR(INDEX('Base Exámenes'!$E$5:$E$1000, MATCH(A115, 'Base Exámenes'!$C$5:$C$1000, 0)), "")</f>
        <v>46300.39171296296</v>
      </c>
      <c r="I115" s="26">
        <f>IFERROR(INDEX('Base Exámenes'!$F$5:$F$1000, MATCH(A115, 'Base Exámenes'!$C$5:$C$1000, 0)), "")</f>
        <v>7.26666666666667</v>
      </c>
      <c r="J115" s="6">
        <f>IFERROR(INDEX('Base Exámenes'!$G$5:$G$1000, MATCH(A115, 'Base Exámenes'!$C$5:$C$1000, 0)), "")</f>
        <v>100</v>
      </c>
      <c r="K115" s="6" t="str">
        <f>IFERROR(INDEX('Base Exámenes'!$H$5:$H$1000, MATCH(A115, 'Base Exámenes'!$C$5:$C$1000,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Pendiente</v>
      </c>
      <c r="G116" s="27" t="str">
        <f>IFERROR(INDEX('Base Exámenes'!$D$5:$D$1000, MATCH(A116, 'Base Exámenes'!$C$5:$C$1000, 0)), "")</f>
        <v/>
      </c>
      <c r="H116" s="27" t="str">
        <f>IFERROR(INDEX('Base Exámenes'!$E$5:$E$1000, MATCH(A116, 'Base Exámenes'!$C$5:$C$1000, 0)), "")</f>
        <v/>
      </c>
      <c r="I116" s="26" t="str">
        <f>IFERROR(INDEX('Base Exámenes'!$F$5:$F$1000, MATCH(A116, 'Base Exámenes'!$C$5:$C$1000, 0)), "")</f>
        <v/>
      </c>
      <c r="J116" s="6" t="str">
        <f>IFERROR(INDEX('Base Exámenes'!$G$5:$G$1000, MATCH(A116, 'Base Exámenes'!$C$5:$C$1000, 0)), "")</f>
        <v/>
      </c>
      <c r="K116" s="6" t="str">
        <f>IFERROR(INDEX('Base Exámenes'!$H$5:$H$1000, MATCH(A116, 'Base Exámenes'!$C$5:$C$1000,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7">
        <f>IFERROR(INDEX('Base Exámenes'!$D$5:$D$1000, MATCH(A117, 'Base Exámenes'!$C$5:$C$1000, 0)), "")</f>
        <v>46304.395833333336</v>
      </c>
      <c r="H117" s="27">
        <f>IFERROR(INDEX('Base Exámenes'!$E$5:$E$1000, MATCH(A117, 'Base Exámenes'!$C$5:$C$1000, 0)), "")</f>
        <v>46304.40027777778</v>
      </c>
      <c r="I117" s="26">
        <f>IFERROR(INDEX('Base Exámenes'!$F$5:$F$1000, MATCH(A117, 'Base Exámenes'!$C$5:$C$1000, 0)), "")</f>
        <v>6.4</v>
      </c>
      <c r="J117" s="6">
        <f>IFERROR(INDEX('Base Exámenes'!$G$5:$G$1000, MATCH(A117, 'Base Exámenes'!$C$5:$C$1000, 0)), "")</f>
        <v>100</v>
      </c>
      <c r="K117" s="6" t="str">
        <f>IFERROR(INDEX('Base Exámenes'!$H$5:$H$1000, MATCH(A117, 'Base Exámenes'!$C$5:$C$1000,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7">
        <f>IFERROR(INDEX('Base Exámenes'!$D$5:$D$1000, MATCH(A118, 'Base Exámenes'!$C$5:$C$1000, 0)), "")</f>
        <v>46304.369363425925</v>
      </c>
      <c r="H118" s="27">
        <f>IFERROR(INDEX('Base Exámenes'!$E$5:$E$1000, MATCH(A118, 'Base Exámenes'!$C$5:$C$1000, 0)), "")</f>
        <v>46304.384618055556</v>
      </c>
      <c r="I118" s="26">
        <f>IFERROR(INDEX('Base Exámenes'!$F$5:$F$1000, MATCH(A118, 'Base Exámenes'!$C$5:$C$1000, 0)), "")</f>
        <v>21.9666666666667</v>
      </c>
      <c r="J118" s="6">
        <f>IFERROR(INDEX('Base Exámenes'!$G$5:$G$1000, MATCH(A118, 'Base Exámenes'!$C$5:$C$1000, 0)), "")</f>
        <v>100</v>
      </c>
      <c r="K118" s="6" t="str">
        <f>IFERROR(INDEX('Base Exámenes'!$H$5:$H$1000, MATCH(A118, 'Base Exámenes'!$C$5:$C$1000,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7">
        <f>IFERROR(INDEX('Base Exámenes'!$D$5:$D$1000, MATCH(A119, 'Base Exámenes'!$C$5:$C$1000, 0)), "")</f>
        <v>46304.37327546296</v>
      </c>
      <c r="H119" s="27">
        <f>IFERROR(INDEX('Base Exámenes'!$E$5:$E$1000, MATCH(A119, 'Base Exámenes'!$C$5:$C$1000, 0)), "")</f>
        <v>46304.38784722222</v>
      </c>
      <c r="I119" s="26">
        <f>IFERROR(INDEX('Base Exámenes'!$F$5:$F$1000, MATCH(A119, 'Base Exámenes'!$C$5:$C$1000, 0)), "")</f>
        <v>20.9833333333333</v>
      </c>
      <c r="J119" s="6">
        <f>IFERROR(INDEX('Base Exámenes'!$G$5:$G$1000, MATCH(A119, 'Base Exámenes'!$C$5:$C$1000, 0)), "")</f>
        <v>100</v>
      </c>
      <c r="K119" s="6" t="str">
        <f>IFERROR(INDEX('Base Exámenes'!$H$5:$H$1000, MATCH(A119, 'Base Exámenes'!$C$5:$C$1000,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7">
        <f>IFERROR(INDEX('Base Exámenes'!$D$5:$D$1000, MATCH(A120, 'Base Exámenes'!$C$5:$C$1000, 0)), "")</f>
        <v>46304.39172453704</v>
      </c>
      <c r="H120" s="27">
        <f>IFERROR(INDEX('Base Exámenes'!$E$5:$E$1000, MATCH(A120, 'Base Exámenes'!$C$5:$C$1000, 0)), "")</f>
        <v>46304.394837962966</v>
      </c>
      <c r="I120" s="26">
        <f>IFERROR(INDEX('Base Exámenes'!$F$5:$F$1000, MATCH(A120, 'Base Exámenes'!$C$5:$C$1000, 0)), "")</f>
        <v>4.48333333333333</v>
      </c>
      <c r="J120" s="6">
        <f>IFERROR(INDEX('Base Exámenes'!$G$5:$G$1000, MATCH(A120, 'Base Exámenes'!$C$5:$C$1000, 0)), "")</f>
        <v>100</v>
      </c>
      <c r="K120" s="6" t="str">
        <f>IFERROR(INDEX('Base Exámenes'!$H$5:$H$1000, MATCH(A120, 'Base Exámenes'!$C$5:$C$1000,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7" t="str">
        <f>IFERROR(INDEX('Base Exámenes'!$D$5:$D$1000, MATCH(A121, 'Base Exámenes'!$C$5:$C$1000, 0)), "")</f>
        <v/>
      </c>
      <c r="H121" s="27" t="str">
        <f>IFERROR(INDEX('Base Exámenes'!$E$5:$E$1000, MATCH(A121, 'Base Exámenes'!$C$5:$C$1000, 0)), "")</f>
        <v/>
      </c>
      <c r="I121" s="26" t="str">
        <f>IFERROR(INDEX('Base Exámenes'!$F$5:$F$1000, MATCH(A121, 'Base Exámenes'!$C$5:$C$1000, 0)), "")</f>
        <v/>
      </c>
      <c r="J121" s="6" t="str">
        <f>IFERROR(INDEX('Base Exámenes'!$G$5:$G$1000, MATCH(A121, 'Base Exámenes'!$C$5:$C$1000, 0)), "")</f>
        <v/>
      </c>
      <c r="K121" s="6" t="str">
        <f>IFERROR(INDEX('Base Exámenes'!$H$5:$H$1000, MATCH(A121, 'Base Exámenes'!$C$5:$C$1000,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7">
        <f>IFERROR(INDEX('Base Exámenes'!$D$5:$D$1000, MATCH(A122, 'Base Exámenes'!$C$5:$C$1000, 0)), "")</f>
        <v>46300.68533564815</v>
      </c>
      <c r="H122" s="27">
        <f>IFERROR(INDEX('Base Exámenes'!$E$5:$E$1000, MATCH(A122, 'Base Exámenes'!$C$5:$C$1000, 0)), "")</f>
        <v>46300.696018518516</v>
      </c>
      <c r="I122" s="26">
        <f>IFERROR(INDEX('Base Exámenes'!$F$5:$F$1000, MATCH(A122, 'Base Exámenes'!$C$5:$C$1000, 0)), "")</f>
        <v>15.3833333333333</v>
      </c>
      <c r="J122" s="6">
        <f>IFERROR(INDEX('Base Exámenes'!$G$5:$G$1000, MATCH(A122, 'Base Exámenes'!$C$5:$C$1000, 0)), "")</f>
        <v>95</v>
      </c>
      <c r="K122" s="6" t="str">
        <f>IFERROR(INDEX('Base Exámenes'!$H$5:$H$1000, MATCH(A122, 'Base Exámenes'!$C$5:$C$1000,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Pendiente</v>
      </c>
      <c r="G123" s="27" t="str">
        <f>IFERROR(INDEX('Base Exámenes'!$D$5:$D$1000, MATCH(A123, 'Base Exámenes'!$C$5:$C$1000, 0)), "")</f>
        <v/>
      </c>
      <c r="H123" s="27" t="str">
        <f>IFERROR(INDEX('Base Exámenes'!$E$5:$E$1000, MATCH(A123, 'Base Exámenes'!$C$5:$C$1000, 0)), "")</f>
        <v/>
      </c>
      <c r="I123" s="26" t="str">
        <f>IFERROR(INDEX('Base Exámenes'!$F$5:$F$1000, MATCH(A123, 'Base Exámenes'!$C$5:$C$1000, 0)), "")</f>
        <v/>
      </c>
      <c r="J123" s="6" t="str">
        <f>IFERROR(INDEX('Base Exámenes'!$G$5:$G$1000, MATCH(A123, 'Base Exámenes'!$C$5:$C$1000, 0)), "")</f>
        <v/>
      </c>
      <c r="K123" s="6" t="str">
        <f>IFERROR(INDEX('Base Exámenes'!$H$5:$H$1000, MATCH(A123, 'Base Exámenes'!$C$5:$C$1000,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7">
        <f>IFERROR(INDEX('Base Exámenes'!$D$5:$D$1000, MATCH(A124, 'Base Exámenes'!$C$5:$C$1000, 0)), "")</f>
        <v>46304.40168981482</v>
      </c>
      <c r="H124" s="27">
        <f>IFERROR(INDEX('Base Exámenes'!$E$5:$E$1000, MATCH(A124, 'Base Exámenes'!$C$5:$C$1000, 0)), "")</f>
        <v>46304.404328703706</v>
      </c>
      <c r="I124" s="26">
        <f>IFERROR(INDEX('Base Exámenes'!$F$5:$F$1000, MATCH(A124, 'Base Exámenes'!$C$5:$C$1000, 0)), "")</f>
        <v>3.8</v>
      </c>
      <c r="J124" s="6">
        <f>IFERROR(INDEX('Base Exámenes'!$G$5:$G$1000, MATCH(A124, 'Base Exámenes'!$C$5:$C$1000, 0)), "")</f>
        <v>90</v>
      </c>
      <c r="K124" s="6" t="str">
        <f>IFERROR(INDEX('Base Exámenes'!$H$5:$H$1000, MATCH(A124, 'Base Exámenes'!$C$5:$C$1000,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Pendiente</v>
      </c>
      <c r="G125" s="27" t="str">
        <f>IFERROR(INDEX('Base Exámenes'!$D$5:$D$1000, MATCH(A125, 'Base Exámenes'!$C$5:$C$1000, 0)), "")</f>
        <v/>
      </c>
      <c r="H125" s="27" t="str">
        <f>IFERROR(INDEX('Base Exámenes'!$E$5:$E$1000, MATCH(A125, 'Base Exámenes'!$C$5:$C$1000, 0)), "")</f>
        <v/>
      </c>
      <c r="I125" s="26" t="str">
        <f>IFERROR(INDEX('Base Exámenes'!$F$5:$F$1000, MATCH(A125, 'Base Exámenes'!$C$5:$C$1000, 0)), "")</f>
        <v/>
      </c>
      <c r="J125" s="6" t="str">
        <f>IFERROR(INDEX('Base Exámenes'!$G$5:$G$1000, MATCH(A125, 'Base Exámenes'!$C$5:$C$1000, 0)), "")</f>
        <v/>
      </c>
      <c r="K125" s="6" t="str">
        <f>IFERROR(INDEX('Base Exámenes'!$H$5:$H$1000, MATCH(A125, 'Base Exámenes'!$C$5:$C$1000,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7">
        <f>IFERROR(INDEX('Base Exámenes'!$D$5:$D$1000, MATCH(A126, 'Base Exámenes'!$C$5:$C$1000, 0)), "")</f>
        <v>46296.704247685186</v>
      </c>
      <c r="H126" s="27">
        <f>IFERROR(INDEX('Base Exámenes'!$E$5:$E$1000, MATCH(A126, 'Base Exámenes'!$C$5:$C$1000, 0)), "")</f>
        <v>46296.711550925924</v>
      </c>
      <c r="I126" s="26">
        <f>IFERROR(INDEX('Base Exámenes'!$F$5:$F$1000, MATCH(A126, 'Base Exámenes'!$C$5:$C$1000, 0)), "")</f>
        <v>10.5166666419167</v>
      </c>
      <c r="J126" s="6">
        <f>IFERROR(INDEX('Base Exámenes'!$G$5:$G$1000, MATCH(A126, 'Base Exámenes'!$C$5:$C$1000, 0)), "")</f>
        <v>100</v>
      </c>
      <c r="K126" s="6" t="str">
        <f>IFERROR(INDEX('Base Exámenes'!$H$5:$H$1000, MATCH(A126, 'Base Exámenes'!$C$5:$C$1000,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7">
        <f>IFERROR(INDEX('Base Exámenes'!$D$5:$D$1000, MATCH(A127, 'Base Exámenes'!$C$5:$C$1000, 0)), "")</f>
        <v>46304.39957175926</v>
      </c>
      <c r="H127" s="27">
        <f>IFERROR(INDEX('Base Exámenes'!$E$5:$E$1000, MATCH(A127, 'Base Exámenes'!$C$5:$C$1000, 0)), "")</f>
        <v>46304.40319444444</v>
      </c>
      <c r="I127" s="26">
        <f>IFERROR(INDEX('Base Exámenes'!$F$5:$F$1000, MATCH(A127, 'Base Exámenes'!$C$5:$C$1000, 0)), "")</f>
        <v>5.21666666666667</v>
      </c>
      <c r="J127" s="6">
        <f>IFERROR(INDEX('Base Exámenes'!$G$5:$G$1000, MATCH(A127, 'Base Exámenes'!$C$5:$C$1000, 0)), "")</f>
        <v>90</v>
      </c>
      <c r="K127" s="6" t="str">
        <f>IFERROR(INDEX('Base Exámenes'!$H$5:$H$1000, MATCH(A127, 'Base Exámenes'!$C$5:$C$1000,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7">
        <f>IFERROR(INDEX('Base Exámenes'!$D$5:$D$1000, MATCH(A128, 'Base Exámenes'!$C$5:$C$1000, 0)), "")</f>
        <v>46296.61756944445</v>
      </c>
      <c r="H128" s="27">
        <f>IFERROR(INDEX('Base Exámenes'!$E$5:$E$1000, MATCH(A128, 'Base Exámenes'!$C$5:$C$1000, 0)), "")</f>
        <v>46296.62321759259</v>
      </c>
      <c r="I128" s="26">
        <f>IFERROR(INDEX('Base Exámenes'!$F$5:$F$1000, MATCH(A128, 'Base Exámenes'!$C$5:$C$1000, 0)), "")</f>
        <v>8.13333333333333</v>
      </c>
      <c r="J128" s="6">
        <f>IFERROR(INDEX('Base Exámenes'!$G$5:$G$1000, MATCH(A128, 'Base Exámenes'!$C$5:$C$1000, 0)), "")</f>
        <v>100</v>
      </c>
      <c r="K128" s="6" t="str">
        <f>IFERROR(INDEX('Base Exámenes'!$H$5:$H$1000, MATCH(A128, 'Base Exámenes'!$C$5:$C$1000,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7">
        <f>IFERROR(INDEX('Base Exámenes'!$D$5:$D$1000, MATCH(A129, 'Base Exámenes'!$C$5:$C$1000, 0)), "")</f>
        <v>46296.676203703704</v>
      </c>
      <c r="H129" s="27">
        <f>IFERROR(INDEX('Base Exámenes'!$E$5:$E$1000, MATCH(A129, 'Base Exámenes'!$C$5:$C$1000, 0)), "")</f>
        <v>46296.68074074074</v>
      </c>
      <c r="I129" s="26">
        <f>IFERROR(INDEX('Base Exámenes'!$F$5:$F$1000, MATCH(A129, 'Base Exámenes'!$C$5:$C$1000, 0)), "")</f>
        <v>6.53333333333333</v>
      </c>
      <c r="J129" s="6">
        <f>IFERROR(INDEX('Base Exámenes'!$G$5:$G$1000, MATCH(A129, 'Base Exámenes'!$C$5:$C$1000, 0)), "")</f>
        <v>100</v>
      </c>
      <c r="K129" s="6" t="str">
        <f>IFERROR(INDEX('Base Exámenes'!$H$5:$H$1000, MATCH(A129, 'Base Exámenes'!$C$5:$C$1000,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7">
        <f>IFERROR(INDEX('Base Exámenes'!$D$5:$D$1000, MATCH(A130, 'Base Exámenes'!$C$5:$C$1000, 0)), "")</f>
        <v>46296.48201388889</v>
      </c>
      <c r="H130" s="27">
        <f>IFERROR(INDEX('Base Exámenes'!$E$5:$E$1000, MATCH(A130, 'Base Exámenes'!$C$5:$C$1000, 0)), "")</f>
        <v>46296.491481481484</v>
      </c>
      <c r="I130" s="26">
        <f>IFERROR(INDEX('Base Exámenes'!$F$5:$F$1000, MATCH(A130, 'Base Exámenes'!$C$5:$C$1000, 0)), "")</f>
        <v>13.6333333333333</v>
      </c>
      <c r="J130" s="6">
        <f>IFERROR(INDEX('Base Exámenes'!$G$5:$G$1000, MATCH(A130, 'Base Exámenes'!$C$5:$C$1000, 0)), "")</f>
        <v>100</v>
      </c>
      <c r="K130" s="6" t="str">
        <f>IFERROR(INDEX('Base Exámenes'!$H$5:$H$1000, MATCH(A130, 'Base Exámenes'!$C$5:$C$1000,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7">
        <f>IFERROR(INDEX('Base Exámenes'!$D$5:$D$1000, MATCH(A131, 'Base Exámenes'!$C$5:$C$1000, 0)), "")</f>
        <v>46296.47424768518</v>
      </c>
      <c r="H131" s="27">
        <f>IFERROR(INDEX('Base Exámenes'!$E$5:$E$1000, MATCH(A131, 'Base Exámenes'!$C$5:$C$1000, 0)), "")</f>
        <v>46296.48637731482</v>
      </c>
      <c r="I131" s="26">
        <f>IFERROR(INDEX('Base Exámenes'!$F$5:$F$1000, MATCH(A131, 'Base Exámenes'!$C$5:$C$1000, 0)), "")</f>
        <v>17.4666666666667</v>
      </c>
      <c r="J131" s="6">
        <f>IFERROR(INDEX('Base Exámenes'!$G$5:$G$1000, MATCH(A131, 'Base Exámenes'!$C$5:$C$1000, 0)), "")</f>
        <v>100</v>
      </c>
      <c r="K131" s="6" t="str">
        <f>IFERROR(INDEX('Base Exámenes'!$H$5:$H$1000, MATCH(A131, 'Base Exámenes'!$C$5:$C$1000,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7">
        <f>IFERROR(INDEX('Base Exámenes'!$D$5:$D$1000, MATCH(A132, 'Base Exámenes'!$C$5:$C$1000, 0)), "")</f>
        <v>46296.47130787037</v>
      </c>
      <c r="H132" s="27">
        <f>IFERROR(INDEX('Base Exámenes'!$E$5:$E$1000, MATCH(A132, 'Base Exámenes'!$C$5:$C$1000, 0)), "")</f>
        <v>46296.47803240741</v>
      </c>
      <c r="I132" s="26">
        <f>IFERROR(INDEX('Base Exámenes'!$F$5:$F$1000, MATCH(A132, 'Base Exámenes'!$C$5:$C$1000, 0)), "")</f>
        <v>9.68333333333333</v>
      </c>
      <c r="J132" s="6">
        <f>IFERROR(INDEX('Base Exámenes'!$G$5:$G$1000, MATCH(A132, 'Base Exámenes'!$C$5:$C$1000, 0)), "")</f>
        <v>100</v>
      </c>
      <c r="K132" s="6" t="str">
        <f>IFERROR(INDEX('Base Exámenes'!$H$5:$H$1000, MATCH(A132, 'Base Exámenes'!$C$5:$C$1000,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7">
        <f>IFERROR(INDEX('Base Exámenes'!$D$5:$D$1000, MATCH(A133, 'Base Exámenes'!$C$5:$C$1000, 0)), "")</f>
        <v>46296.491111111114</v>
      </c>
      <c r="H133" s="27">
        <f>IFERROR(INDEX('Base Exámenes'!$E$5:$E$1000, MATCH(A133, 'Base Exámenes'!$C$5:$C$1000, 0)), "")</f>
        <v>46296.49747685185</v>
      </c>
      <c r="I133" s="26">
        <f>IFERROR(INDEX('Base Exámenes'!$F$5:$F$1000, MATCH(A133, 'Base Exámenes'!$C$5:$C$1000, 0)), "")</f>
        <v>9.16666666666667</v>
      </c>
      <c r="J133" s="6">
        <f>IFERROR(INDEX('Base Exámenes'!$G$5:$G$1000, MATCH(A133, 'Base Exámenes'!$C$5:$C$1000, 0)), "")</f>
        <v>100</v>
      </c>
      <c r="K133" s="6" t="str">
        <f>IFERROR(INDEX('Base Exámenes'!$H$5:$H$1000, MATCH(A133, 'Base Exámenes'!$C$5:$C$1000,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7">
        <f>IFERROR(INDEX('Base Exámenes'!$D$5:$D$1000, MATCH(A134, 'Base Exámenes'!$C$5:$C$1000, 0)), "")</f>
        <v>46296.472233796296</v>
      </c>
      <c r="H134" s="27">
        <f>IFERROR(INDEX('Base Exámenes'!$E$5:$E$1000, MATCH(A134, 'Base Exámenes'!$C$5:$C$1000, 0)), "")</f>
        <v>46296.48002314815</v>
      </c>
      <c r="I134" s="26">
        <f>IFERROR(INDEX('Base Exámenes'!$F$5:$F$1000, MATCH(A134, 'Base Exámenes'!$C$5:$C$1000, 0)), "")</f>
        <v>11.2166666666667</v>
      </c>
      <c r="J134" s="6">
        <f>IFERROR(INDEX('Base Exámenes'!$G$5:$G$1000, MATCH(A134, 'Base Exámenes'!$C$5:$C$1000, 0)), "")</f>
        <v>100</v>
      </c>
      <c r="K134" s="6" t="str">
        <f>IFERROR(INDEX('Base Exámenes'!$H$5:$H$1000, MATCH(A134, 'Base Exámenes'!$C$5:$C$1000,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7">
        <f>IFERROR(INDEX('Base Exámenes'!$D$5:$D$1000, MATCH(A135, 'Base Exámenes'!$C$5:$C$1000, 0)), "")</f>
        <v>46296.48653935185</v>
      </c>
      <c r="H135" s="27">
        <f>IFERROR(INDEX('Base Exámenes'!$E$5:$E$1000, MATCH(A135, 'Base Exámenes'!$C$5:$C$1000, 0)), "")</f>
        <v>46296.4949537037</v>
      </c>
      <c r="I135" s="26">
        <f>IFERROR(INDEX('Base Exámenes'!$F$5:$F$1000, MATCH(A135, 'Base Exámenes'!$C$5:$C$1000, 0)), "")</f>
        <v>12.1166666666667</v>
      </c>
      <c r="J135" s="6">
        <f>IFERROR(INDEX('Base Exámenes'!$G$5:$G$1000, MATCH(A135, 'Base Exámenes'!$C$5:$C$1000, 0)), "")</f>
        <v>100</v>
      </c>
      <c r="K135" s="6" t="str">
        <f>IFERROR(INDEX('Base Exámenes'!$H$5:$H$1000, MATCH(A135, 'Base Exámenes'!$C$5:$C$1000,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7">
        <f>IFERROR(INDEX('Base Exámenes'!$D$5:$D$1000, MATCH(A136, 'Base Exámenes'!$C$5:$C$1000, 0)), "")</f>
        <v>46296.483923611115</v>
      </c>
      <c r="H136" s="27">
        <f>IFERROR(INDEX('Base Exámenes'!$E$5:$E$1000, MATCH(A136, 'Base Exámenes'!$C$5:$C$1000, 0)), "")</f>
        <v>46296.48710648148</v>
      </c>
      <c r="I136" s="26">
        <f>IFERROR(INDEX('Base Exámenes'!$F$5:$F$1000, MATCH(A136, 'Base Exámenes'!$C$5:$C$1000, 0)), "")</f>
        <v>4.58333333333333</v>
      </c>
      <c r="J136" s="6">
        <f>IFERROR(INDEX('Base Exámenes'!$G$5:$G$1000, MATCH(A136, 'Base Exámenes'!$C$5:$C$1000, 0)), "")</f>
        <v>100</v>
      </c>
      <c r="K136" s="6" t="str">
        <f>IFERROR(INDEX('Base Exámenes'!$H$5:$H$1000, MATCH(A136, 'Base Exámenes'!$C$5:$C$1000,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7">
        <f>IFERROR(INDEX('Base Exámenes'!$D$5:$D$1000, MATCH(A137, 'Base Exámenes'!$C$5:$C$1000, 0)), "")</f>
        <v>46296.45108796296</v>
      </c>
      <c r="H137" s="27">
        <f>IFERROR(INDEX('Base Exámenes'!$E$5:$E$1000, MATCH(A137, 'Base Exámenes'!$C$5:$C$1000, 0)), "")</f>
        <v>46296.453680555554</v>
      </c>
      <c r="I137" s="26">
        <f>IFERROR(INDEX('Base Exámenes'!$F$5:$F$1000, MATCH(A137, 'Base Exámenes'!$C$5:$C$1000, 0)), "")</f>
        <v>3.73333333333333</v>
      </c>
      <c r="J137" s="6">
        <f>IFERROR(INDEX('Base Exámenes'!$G$5:$G$1000, MATCH(A137, 'Base Exámenes'!$C$5:$C$1000, 0)), "")</f>
        <v>100</v>
      </c>
      <c r="K137" s="6" t="str">
        <f>IFERROR(INDEX('Base Exámenes'!$H$5:$H$1000, MATCH(A137, 'Base Exámenes'!$C$5:$C$1000,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7">
        <f>IFERROR(INDEX('Base Exámenes'!$D$5:$D$1000, MATCH(A138, 'Base Exámenes'!$C$5:$C$1000, 0)), "")</f>
        <v>46301.42778935185</v>
      </c>
      <c r="H138" s="27">
        <f>IFERROR(INDEX('Base Exámenes'!$E$5:$E$1000, MATCH(A138, 'Base Exámenes'!$C$5:$C$1000, 0)), "")</f>
        <v>46301.440300925926</v>
      </c>
      <c r="I138" s="26">
        <f>IFERROR(INDEX('Base Exámenes'!$F$5:$F$1000, MATCH(A138, 'Base Exámenes'!$C$5:$C$1000, 0)), "")</f>
        <v>18.0166666666667</v>
      </c>
      <c r="J138" s="6">
        <f>IFERROR(INDEX('Base Exámenes'!$G$5:$G$1000, MATCH(A138, 'Base Exámenes'!$C$5:$C$1000, 0)), "")</f>
        <v>100</v>
      </c>
      <c r="K138" s="6" t="str">
        <f>IFERROR(INDEX('Base Exámenes'!$H$5:$H$1000, MATCH(A138, 'Base Exámenes'!$C$5:$C$1000,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7">
        <f>IFERROR(INDEX('Base Exámenes'!$D$5:$D$1000, MATCH(A139, 'Base Exámenes'!$C$5:$C$1000, 0)), "")</f>
        <v>46301.48449074074</v>
      </c>
      <c r="H139" s="27">
        <f>IFERROR(INDEX('Base Exámenes'!$E$5:$E$1000, MATCH(A139, 'Base Exámenes'!$C$5:$C$1000, 0)), "")</f>
        <v>46301.489282407405</v>
      </c>
      <c r="I139" s="26">
        <f>IFERROR(INDEX('Base Exámenes'!$F$5:$F$1000, MATCH(A139, 'Base Exámenes'!$C$5:$C$1000, 0)), "")</f>
        <v>6.9</v>
      </c>
      <c r="J139" s="6">
        <f>IFERROR(INDEX('Base Exámenes'!$G$5:$G$1000, MATCH(A139, 'Base Exámenes'!$C$5:$C$1000, 0)), "")</f>
        <v>100</v>
      </c>
      <c r="K139" s="6" t="str">
        <f>IFERROR(INDEX('Base Exámenes'!$H$5:$H$1000, MATCH(A139, 'Base Exámenes'!$C$5:$C$1000,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7">
        <f>IFERROR(INDEX('Base Exámenes'!$D$5:$D$1000, MATCH(A140, 'Base Exámenes'!$C$5:$C$1000, 0)), "")</f>
        <v>46304.373090277775</v>
      </c>
      <c r="H140" s="27">
        <f>IFERROR(INDEX('Base Exámenes'!$E$5:$E$1000, MATCH(A140, 'Base Exámenes'!$C$5:$C$1000, 0)), "")</f>
        <v>46304.37650462963</v>
      </c>
      <c r="I140" s="26">
        <f>IFERROR(INDEX('Base Exámenes'!$F$5:$F$1000, MATCH(A140, 'Base Exámenes'!$C$5:$C$1000, 0)), "")</f>
        <v>4.91666666666667</v>
      </c>
      <c r="J140" s="6">
        <f>IFERROR(INDEX('Base Exámenes'!$G$5:$G$1000, MATCH(A140, 'Base Exámenes'!$C$5:$C$1000, 0)), "")</f>
        <v>100</v>
      </c>
      <c r="K140" s="6" t="str">
        <f>IFERROR(INDEX('Base Exámenes'!$H$5:$H$1000, MATCH(A140, 'Base Exámenes'!$C$5:$C$1000,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Pendiente</v>
      </c>
      <c r="G141" s="27" t="str">
        <f>IFERROR(INDEX('Base Exámenes'!$D$5:$D$1000, MATCH(A141, 'Base Exámenes'!$C$5:$C$1000, 0)), "")</f>
        <v/>
      </c>
      <c r="H141" s="27" t="str">
        <f>IFERROR(INDEX('Base Exámenes'!$E$5:$E$1000, MATCH(A141, 'Base Exámenes'!$C$5:$C$1000, 0)), "")</f>
        <v/>
      </c>
      <c r="I141" s="26" t="str">
        <f>IFERROR(INDEX('Base Exámenes'!$F$5:$F$1000, MATCH(A141, 'Base Exámenes'!$C$5:$C$1000, 0)), "")</f>
        <v/>
      </c>
      <c r="J141" s="6" t="str">
        <f>IFERROR(INDEX('Base Exámenes'!$G$5:$G$1000, MATCH(A141, 'Base Exámenes'!$C$5:$C$1000, 0)), "")</f>
        <v/>
      </c>
      <c r="K141" s="6" t="str">
        <f>IFERROR(INDEX('Base Exámenes'!$H$5:$H$1000, MATCH(A141, 'Base Exámenes'!$C$5:$C$1000,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Pendiente</v>
      </c>
      <c r="G142" s="27" t="str">
        <f>IFERROR(INDEX('Base Exámenes'!$D$5:$D$1000, MATCH(A142, 'Base Exámenes'!$C$5:$C$1000, 0)), "")</f>
        <v/>
      </c>
      <c r="H142" s="27" t="str">
        <f>IFERROR(INDEX('Base Exámenes'!$E$5:$E$1000, MATCH(A142, 'Base Exámenes'!$C$5:$C$1000, 0)), "")</f>
        <v/>
      </c>
      <c r="I142" s="26" t="str">
        <f>IFERROR(INDEX('Base Exámenes'!$F$5:$F$1000, MATCH(A142, 'Base Exámenes'!$C$5:$C$1000, 0)), "")</f>
        <v/>
      </c>
      <c r="J142" s="6" t="str">
        <f>IFERROR(INDEX('Base Exámenes'!$G$5:$G$1000, MATCH(A142, 'Base Exámenes'!$C$5:$C$1000, 0)), "")</f>
        <v/>
      </c>
      <c r="K142" s="6" t="str">
        <f>IFERROR(INDEX('Base Exámenes'!$H$5:$H$1000, MATCH(A142, 'Base Exámenes'!$C$5:$C$1000,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Pendiente</v>
      </c>
      <c r="G143" s="27" t="str">
        <f>IFERROR(INDEX('Base Exámenes'!$D$5:$D$1000, MATCH(A143, 'Base Exámenes'!$C$5:$C$1000, 0)), "")</f>
        <v/>
      </c>
      <c r="H143" s="27" t="str">
        <f>IFERROR(INDEX('Base Exámenes'!$E$5:$E$1000, MATCH(A143, 'Base Exámenes'!$C$5:$C$1000, 0)), "")</f>
        <v/>
      </c>
      <c r="I143" s="26" t="str">
        <f>IFERROR(INDEX('Base Exámenes'!$F$5:$F$1000, MATCH(A143, 'Base Exámenes'!$C$5:$C$1000, 0)), "")</f>
        <v/>
      </c>
      <c r="J143" s="6" t="str">
        <f>IFERROR(INDEX('Base Exámenes'!$G$5:$G$1000, MATCH(A143, 'Base Exámenes'!$C$5:$C$1000, 0)), "")</f>
        <v/>
      </c>
      <c r="K143" s="6" t="str">
        <f>IFERROR(INDEX('Base Exámenes'!$H$5:$H$1000, MATCH(A143, 'Base Exámenes'!$C$5:$C$1000,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7" t="str">
        <f>IFERROR(INDEX('Base Exámenes'!$D$5:$D$1000, MATCH(A144, 'Base Exámenes'!$C$5:$C$1000, 0)), "")</f>
        <v/>
      </c>
      <c r="H144" s="27" t="str">
        <f>IFERROR(INDEX('Base Exámenes'!$E$5:$E$1000, MATCH(A144, 'Base Exámenes'!$C$5:$C$1000, 0)), "")</f>
        <v/>
      </c>
      <c r="I144" s="26" t="str">
        <f>IFERROR(INDEX('Base Exámenes'!$F$5:$F$1000, MATCH(A144, 'Base Exámenes'!$C$5:$C$1000, 0)), "")</f>
        <v/>
      </c>
      <c r="J144" s="6" t="str">
        <f>IFERROR(INDEX('Base Exámenes'!$G$5:$G$1000, MATCH(A144, 'Base Exámenes'!$C$5:$C$1000, 0)), "")</f>
        <v/>
      </c>
      <c r="K144" s="6" t="str">
        <f>IFERROR(INDEX('Base Exámenes'!$H$5:$H$1000, MATCH(A144, 'Base Exámenes'!$C$5:$C$1000,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Pendiente</v>
      </c>
      <c r="G145" s="27" t="str">
        <f>IFERROR(INDEX('Base Exámenes'!$D$5:$D$1000, MATCH(A145, 'Base Exámenes'!$C$5:$C$1000, 0)), "")</f>
        <v/>
      </c>
      <c r="H145" s="27" t="str">
        <f>IFERROR(INDEX('Base Exámenes'!$E$5:$E$1000, MATCH(A145, 'Base Exámenes'!$C$5:$C$1000, 0)), "")</f>
        <v/>
      </c>
      <c r="I145" s="26" t="str">
        <f>IFERROR(INDEX('Base Exámenes'!$F$5:$F$1000, MATCH(A145, 'Base Exámenes'!$C$5:$C$1000, 0)), "")</f>
        <v/>
      </c>
      <c r="J145" s="6" t="str">
        <f>IFERROR(INDEX('Base Exámenes'!$G$5:$G$1000, MATCH(A145, 'Base Exámenes'!$C$5:$C$1000, 0)), "")</f>
        <v/>
      </c>
      <c r="K145" s="6" t="str">
        <f>IFERROR(INDEX('Base Exámenes'!$H$5:$H$1000, MATCH(A145, 'Base Exámenes'!$C$5:$C$1000,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7" t="str">
        <f>IFERROR(INDEX('Base Exámenes'!$D$5:$D$1000, MATCH(A146, 'Base Exámenes'!$C$5:$C$1000, 0)), "")</f>
        <v/>
      </c>
      <c r="H146" s="27" t="str">
        <f>IFERROR(INDEX('Base Exámenes'!$E$5:$E$1000, MATCH(A146, 'Base Exámenes'!$C$5:$C$1000, 0)), "")</f>
        <v/>
      </c>
      <c r="I146" s="26" t="str">
        <f>IFERROR(INDEX('Base Exámenes'!$F$5:$F$1000, MATCH(A146, 'Base Exámenes'!$C$5:$C$1000, 0)), "")</f>
        <v/>
      </c>
      <c r="J146" s="6" t="str">
        <f>IFERROR(INDEX('Base Exámenes'!$G$5:$G$1000, MATCH(A146, 'Base Exámenes'!$C$5:$C$1000, 0)), "")</f>
        <v/>
      </c>
      <c r="K146" s="6" t="str">
        <f>IFERROR(INDEX('Base Exámenes'!$H$5:$H$1000, MATCH(A146, 'Base Exámenes'!$C$5:$C$1000,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7" t="str">
        <f>IFERROR(INDEX('Base Exámenes'!$D$5:$D$1000, MATCH(A147, 'Base Exámenes'!$C$5:$C$1000, 0)), "")</f>
        <v/>
      </c>
      <c r="H147" s="27" t="str">
        <f>IFERROR(INDEX('Base Exámenes'!$E$5:$E$1000, MATCH(A147, 'Base Exámenes'!$C$5:$C$1000, 0)), "")</f>
        <v/>
      </c>
      <c r="I147" s="26" t="str">
        <f>IFERROR(INDEX('Base Exámenes'!$F$5:$F$1000, MATCH(A147, 'Base Exámenes'!$C$5:$C$1000, 0)), "")</f>
        <v/>
      </c>
      <c r="J147" s="6" t="str">
        <f>IFERROR(INDEX('Base Exámenes'!$G$5:$G$1000, MATCH(A147, 'Base Exámenes'!$C$5:$C$1000, 0)), "")</f>
        <v/>
      </c>
      <c r="K147" s="6" t="str">
        <f>IFERROR(INDEX('Base Exámenes'!$H$5:$H$1000, MATCH(A147, 'Base Exámenes'!$C$5:$C$1000,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7" t="str">
        <f>IFERROR(INDEX('Base Exámenes'!$D$5:$D$1000, MATCH(A148, 'Base Exámenes'!$C$5:$C$1000, 0)), "")</f>
        <v/>
      </c>
      <c r="H148" s="27" t="str">
        <f>IFERROR(INDEX('Base Exámenes'!$E$5:$E$1000, MATCH(A148, 'Base Exámenes'!$C$5:$C$1000, 0)), "")</f>
        <v/>
      </c>
      <c r="I148" s="26" t="str">
        <f>IFERROR(INDEX('Base Exámenes'!$F$5:$F$1000, MATCH(A148, 'Base Exámenes'!$C$5:$C$1000, 0)), "")</f>
        <v/>
      </c>
      <c r="J148" s="6" t="str">
        <f>IFERROR(INDEX('Base Exámenes'!$G$5:$G$1000, MATCH(A148, 'Base Exámenes'!$C$5:$C$1000, 0)), "")</f>
        <v/>
      </c>
      <c r="K148" s="6" t="str">
        <f>IFERROR(INDEX('Base Exámenes'!$H$5:$H$1000, MATCH(A148, 'Base Exámenes'!$C$5:$C$1000,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7" t="str">
        <f>IFERROR(INDEX('Base Exámenes'!$D$5:$D$1000, MATCH(A149, 'Base Exámenes'!$C$5:$C$1000, 0)), "")</f>
        <v/>
      </c>
      <c r="H149" s="27" t="str">
        <f>IFERROR(INDEX('Base Exámenes'!$E$5:$E$1000, MATCH(A149, 'Base Exámenes'!$C$5:$C$1000, 0)), "")</f>
        <v/>
      </c>
      <c r="I149" s="26" t="str">
        <f>IFERROR(INDEX('Base Exámenes'!$F$5:$F$1000, MATCH(A149, 'Base Exámenes'!$C$5:$C$1000, 0)), "")</f>
        <v/>
      </c>
      <c r="J149" s="6" t="str">
        <f>IFERROR(INDEX('Base Exámenes'!$G$5:$G$1000, MATCH(A149, 'Base Exámenes'!$C$5:$C$1000, 0)), "")</f>
        <v/>
      </c>
      <c r="K149" s="6" t="str">
        <f>IFERROR(INDEX('Base Exámenes'!$H$5:$H$1000, MATCH(A149, 'Base Exámenes'!$C$5:$C$1000,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7" t="str">
        <f>IFERROR(INDEX('Base Exámenes'!$D$5:$D$1000, MATCH(A150, 'Base Exámenes'!$C$5:$C$1000, 0)), "")</f>
        <v/>
      </c>
      <c r="H150" s="27" t="str">
        <f>IFERROR(INDEX('Base Exámenes'!$E$5:$E$1000, MATCH(A150, 'Base Exámenes'!$C$5:$C$1000, 0)), "")</f>
        <v/>
      </c>
      <c r="I150" s="26" t="str">
        <f>IFERROR(INDEX('Base Exámenes'!$F$5:$F$1000, MATCH(A150, 'Base Exámenes'!$C$5:$C$1000, 0)), "")</f>
        <v/>
      </c>
      <c r="J150" s="6" t="str">
        <f>IFERROR(INDEX('Base Exámenes'!$G$5:$G$1000, MATCH(A150, 'Base Exámenes'!$C$5:$C$1000, 0)), "")</f>
        <v/>
      </c>
      <c r="K150" s="6" t="str">
        <f>IFERROR(INDEX('Base Exámenes'!$H$5:$H$1000, MATCH(A150, 'Base Exámenes'!$C$5:$C$1000,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7">
        <f>IFERROR(INDEX('Base Exámenes'!$D$5:$D$1000, MATCH(A151, 'Base Exámenes'!$C$5:$C$1000, 0)), "")</f>
        <v>46301.61615740741</v>
      </c>
      <c r="H151" s="27">
        <f>IFERROR(INDEX('Base Exámenes'!$E$5:$E$1000, MATCH(A151, 'Base Exámenes'!$C$5:$C$1000, 0)), "")</f>
        <v>46301.64126157408</v>
      </c>
      <c r="I151" s="26">
        <f>IFERROR(INDEX('Base Exámenes'!$F$5:$F$1000, MATCH(A151, 'Base Exámenes'!$C$5:$C$1000, 0)), "")</f>
        <v>36.15</v>
      </c>
      <c r="J151" s="6">
        <f>IFERROR(INDEX('Base Exámenes'!$G$5:$G$1000, MATCH(A151, 'Base Exámenes'!$C$5:$C$1000, 0)), "")</f>
        <v>100</v>
      </c>
      <c r="K151" s="6" t="str">
        <f>IFERROR(INDEX('Base Exámenes'!$H$5:$H$1000, MATCH(A151, 'Base Exámenes'!$C$5:$C$1000,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Pendiente</v>
      </c>
      <c r="G152" s="27" t="str">
        <f>IFERROR(INDEX('Base Exámenes'!$D$5:$D$1000, MATCH(A152, 'Base Exámenes'!$C$5:$C$1000, 0)), "")</f>
        <v/>
      </c>
      <c r="H152" s="27" t="str">
        <f>IFERROR(INDEX('Base Exámenes'!$E$5:$E$1000, MATCH(A152, 'Base Exámenes'!$C$5:$C$1000, 0)), "")</f>
        <v/>
      </c>
      <c r="I152" s="26" t="str">
        <f>IFERROR(INDEX('Base Exámenes'!$F$5:$F$1000, MATCH(A152, 'Base Exámenes'!$C$5:$C$1000, 0)), "")</f>
        <v/>
      </c>
      <c r="J152" s="6" t="str">
        <f>IFERROR(INDEX('Base Exámenes'!$G$5:$G$1000, MATCH(A152, 'Base Exámenes'!$C$5:$C$1000, 0)), "")</f>
        <v/>
      </c>
      <c r="K152" s="6" t="str">
        <f>IFERROR(INDEX('Base Exámenes'!$H$5:$H$1000, MATCH(A152, 'Base Exámenes'!$C$5:$C$1000,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7">
        <f>IFERROR(INDEX('Base Exámenes'!$D$5:$D$1000, MATCH(A153, 'Base Exámenes'!$C$5:$C$1000, 0)), "")</f>
        <v>46297.64716435185</v>
      </c>
      <c r="H153" s="27">
        <f>IFERROR(INDEX('Base Exámenes'!$E$5:$E$1000, MATCH(A153, 'Base Exámenes'!$C$5:$C$1000, 0)), "")</f>
        <v>46297.65186342593</v>
      </c>
      <c r="I153" s="26">
        <f>IFERROR(INDEX('Base Exámenes'!$F$5:$F$1000, MATCH(A153, 'Base Exámenes'!$C$5:$C$1000, 0)), "")</f>
        <v>6.76666666666667</v>
      </c>
      <c r="J153" s="6">
        <f>IFERROR(INDEX('Base Exámenes'!$G$5:$G$1000, MATCH(A153, 'Base Exámenes'!$C$5:$C$1000, 0)), "")</f>
        <v>90</v>
      </c>
      <c r="K153" s="6" t="str">
        <f>IFERROR(INDEX('Base Exámenes'!$H$5:$H$1000, MATCH(A153, 'Base Exámenes'!$C$5:$C$1000,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Pendiente</v>
      </c>
      <c r="G154" s="27" t="str">
        <f>IFERROR(INDEX('Base Exámenes'!$D$5:$D$1000, MATCH(A154, 'Base Exámenes'!$C$5:$C$1000, 0)), "")</f>
        <v/>
      </c>
      <c r="H154" s="27" t="str">
        <f>IFERROR(INDEX('Base Exámenes'!$E$5:$E$1000, MATCH(A154, 'Base Exámenes'!$C$5:$C$1000, 0)), "")</f>
        <v/>
      </c>
      <c r="I154" s="26" t="str">
        <f>IFERROR(INDEX('Base Exámenes'!$F$5:$F$1000, MATCH(A154, 'Base Exámenes'!$C$5:$C$1000, 0)), "")</f>
        <v/>
      </c>
      <c r="J154" s="6" t="str">
        <f>IFERROR(INDEX('Base Exámenes'!$G$5:$G$1000, MATCH(A154, 'Base Exámenes'!$C$5:$C$1000, 0)), "")</f>
        <v/>
      </c>
      <c r="K154" s="6" t="str">
        <f>IFERROR(INDEX('Base Exámenes'!$H$5:$H$1000, MATCH(A154, 'Base Exámenes'!$C$5:$C$1000,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7">
        <f>IFERROR(INDEX('Base Exámenes'!$D$5:$D$1000, MATCH(A155, 'Base Exámenes'!$C$5:$C$1000, 0)), "")</f>
        <v>46304.40576388889</v>
      </c>
      <c r="H155" s="27">
        <f>IFERROR(INDEX('Base Exámenes'!$E$5:$E$1000, MATCH(A155, 'Base Exámenes'!$C$5:$C$1000, 0)), "")</f>
        <v>46304.409317129626</v>
      </c>
      <c r="I155" s="26">
        <f>IFERROR(INDEX('Base Exámenes'!$F$5:$F$1000, MATCH(A155, 'Base Exámenes'!$C$5:$C$1000, 0)), "")</f>
        <v>5.11666666666667</v>
      </c>
      <c r="J155" s="6">
        <f>IFERROR(INDEX('Base Exámenes'!$G$5:$G$1000, MATCH(A155, 'Base Exámenes'!$C$5:$C$1000, 0)), "")</f>
        <v>100</v>
      </c>
      <c r="K155" s="6" t="str">
        <f>IFERROR(INDEX('Base Exámenes'!$H$5:$H$1000, MATCH(A155, 'Base Exámenes'!$C$5:$C$1000,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7">
        <f>IFERROR(INDEX('Base Exámenes'!$D$5:$D$1000, MATCH(A156, 'Base Exámenes'!$C$5:$C$1000, 0)), "")</f>
        <v>46297.65282407407</v>
      </c>
      <c r="H156" s="27">
        <f>IFERROR(INDEX('Base Exámenes'!$E$5:$E$1000, MATCH(A156, 'Base Exámenes'!$C$5:$C$1000, 0)), "")</f>
        <v>46297.66012731481</v>
      </c>
      <c r="I156" s="26">
        <f>IFERROR(INDEX('Base Exámenes'!$F$5:$F$1000, MATCH(A156, 'Base Exámenes'!$C$5:$C$1000, 0)), "")</f>
        <v>10.5166666666667</v>
      </c>
      <c r="J156" s="6">
        <f>IFERROR(INDEX('Base Exámenes'!$G$5:$G$1000, MATCH(A156, 'Base Exámenes'!$C$5:$C$1000, 0)), "")</f>
        <v>100</v>
      </c>
      <c r="K156" s="6" t="str">
        <f>IFERROR(INDEX('Base Exámenes'!$H$5:$H$1000, MATCH(A156, 'Base Exámenes'!$C$5:$C$1000,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7">
        <f>IFERROR(INDEX('Base Exámenes'!$D$5:$D$1000, MATCH(A157, 'Base Exámenes'!$C$5:$C$1000, 0)), "")</f>
        <v>46298.409837962965</v>
      </c>
      <c r="H157" s="27">
        <f>IFERROR(INDEX('Base Exámenes'!$E$5:$E$1000, MATCH(A157, 'Base Exámenes'!$C$5:$C$1000, 0)), "")</f>
        <v>46298.41878472222</v>
      </c>
      <c r="I157" s="26">
        <f>IFERROR(INDEX('Base Exámenes'!$F$5:$F$1000, MATCH(A157, 'Base Exámenes'!$C$5:$C$1000, 0)), "")</f>
        <v>12.8833333333333</v>
      </c>
      <c r="J157" s="6">
        <f>IFERROR(INDEX('Base Exámenes'!$G$5:$G$1000, MATCH(A157, 'Base Exámenes'!$C$5:$C$1000, 0)), "")</f>
        <v>100</v>
      </c>
      <c r="K157" s="6" t="str">
        <f>IFERROR(INDEX('Base Exámenes'!$H$5:$H$1000, MATCH(A157, 'Base Exámenes'!$C$5:$C$1000,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Pendiente</v>
      </c>
      <c r="G158" s="27" t="str">
        <f>IFERROR(INDEX('Base Exámenes'!$D$5:$D$1000, MATCH(A158, 'Base Exámenes'!$C$5:$C$1000, 0)), "")</f>
        <v/>
      </c>
      <c r="H158" s="27" t="str">
        <f>IFERROR(INDEX('Base Exámenes'!$E$5:$E$1000, MATCH(A158, 'Base Exámenes'!$C$5:$C$1000, 0)), "")</f>
        <v/>
      </c>
      <c r="I158" s="26" t="str">
        <f>IFERROR(INDEX('Base Exámenes'!$F$5:$F$1000, MATCH(A158, 'Base Exámenes'!$C$5:$C$1000, 0)), "")</f>
        <v/>
      </c>
      <c r="J158" s="6" t="str">
        <f>IFERROR(INDEX('Base Exámenes'!$G$5:$G$1000, MATCH(A158, 'Base Exámenes'!$C$5:$C$1000, 0)), "")</f>
        <v/>
      </c>
      <c r="K158" s="6" t="str">
        <f>IFERROR(INDEX('Base Exámenes'!$H$5:$H$1000, MATCH(A158, 'Base Exámenes'!$C$5:$C$1000,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7">
        <f>IFERROR(INDEX('Base Exámenes'!$D$5:$D$1000, MATCH(A159, 'Base Exámenes'!$C$5:$C$1000, 0)), "")</f>
        <v>46301.65331018518</v>
      </c>
      <c r="H159" s="27">
        <f>IFERROR(INDEX('Base Exámenes'!$E$5:$E$1000, MATCH(A159, 'Base Exámenes'!$C$5:$C$1000, 0)), "")</f>
        <v>46301.65928240741</v>
      </c>
      <c r="I159" s="26">
        <f>IFERROR(INDEX('Base Exámenes'!$F$5:$F$1000, MATCH(A159, 'Base Exámenes'!$C$5:$C$1000, 0)), "")</f>
        <v>8.6</v>
      </c>
      <c r="J159" s="6">
        <f>IFERROR(INDEX('Base Exámenes'!$G$5:$G$1000, MATCH(A159, 'Base Exámenes'!$C$5:$C$1000, 0)), "")</f>
        <v>100</v>
      </c>
      <c r="K159" s="6" t="str">
        <f>IFERROR(INDEX('Base Exámenes'!$H$5:$H$1000, MATCH(A159, 'Base Exámenes'!$C$5:$C$1000,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7">
        <f>IFERROR(INDEX('Base Exámenes'!$D$5:$D$1000, MATCH(A160, 'Base Exámenes'!$C$5:$C$1000, 0)), "")</f>
        <v>46304.42932870371</v>
      </c>
      <c r="H160" s="27">
        <f>IFERROR(INDEX('Base Exámenes'!$E$5:$E$1000, MATCH(A160, 'Base Exámenes'!$C$5:$C$1000, 0)), "")</f>
        <v>46304.444606481484</v>
      </c>
      <c r="I160" s="26">
        <f>IFERROR(INDEX('Base Exámenes'!$F$5:$F$1000, MATCH(A160, 'Base Exámenes'!$C$5:$C$1000, 0)), "")</f>
        <v>22</v>
      </c>
      <c r="J160" s="6">
        <f>IFERROR(INDEX('Base Exámenes'!$G$5:$G$1000, MATCH(A160, 'Base Exámenes'!$C$5:$C$1000, 0)), "")</f>
        <v>90</v>
      </c>
      <c r="K160" s="6" t="str">
        <f>IFERROR(INDEX('Base Exámenes'!$H$5:$H$1000, MATCH(A160, 'Base Exámenes'!$C$5:$C$1000,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Pendiente</v>
      </c>
      <c r="G161" s="27" t="str">
        <f>IFERROR(INDEX('Base Exámenes'!$D$5:$D$1000, MATCH(A161, 'Base Exámenes'!$C$5:$C$1000, 0)), "")</f>
        <v/>
      </c>
      <c r="H161" s="27" t="str">
        <f>IFERROR(INDEX('Base Exámenes'!$E$5:$E$1000, MATCH(A161, 'Base Exámenes'!$C$5:$C$1000, 0)), "")</f>
        <v/>
      </c>
      <c r="I161" s="26" t="str">
        <f>IFERROR(INDEX('Base Exámenes'!$F$5:$F$1000, MATCH(A161, 'Base Exámenes'!$C$5:$C$1000, 0)), "")</f>
        <v/>
      </c>
      <c r="J161" s="6" t="str">
        <f>IFERROR(INDEX('Base Exámenes'!$G$5:$G$1000, MATCH(A161, 'Base Exámenes'!$C$5:$C$1000, 0)), "")</f>
        <v/>
      </c>
      <c r="K161" s="6" t="str">
        <f>IFERROR(INDEX('Base Exámenes'!$H$5:$H$1000, MATCH(A161, 'Base Exámenes'!$C$5:$C$1000,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7">
        <f>IFERROR(INDEX('Base Exámenes'!$D$5:$D$1000, MATCH(A162, 'Base Exámenes'!$C$5:$C$1000, 0)), "")</f>
        <v>46302.47519675926</v>
      </c>
      <c r="H162" s="27">
        <f>IFERROR(INDEX('Base Exámenes'!$E$5:$E$1000, MATCH(A162, 'Base Exámenes'!$C$5:$C$1000, 0)), "")</f>
        <v>46302.48523148148</v>
      </c>
      <c r="I162" s="26">
        <f>IFERROR(INDEX('Base Exámenes'!$F$5:$F$1000, MATCH(A162, 'Base Exámenes'!$C$5:$C$1000, 0)), "")</f>
        <v>14.45</v>
      </c>
      <c r="J162" s="6">
        <f>IFERROR(INDEX('Base Exámenes'!$G$5:$G$1000, MATCH(A162, 'Base Exámenes'!$C$5:$C$1000, 0)), "")</f>
        <v>100</v>
      </c>
      <c r="K162" s="6" t="str">
        <f>IFERROR(INDEX('Base Exámenes'!$H$5:$H$1000, MATCH(A162, 'Base Exámenes'!$C$5:$C$1000,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Pendiente</v>
      </c>
      <c r="G163" s="27" t="str">
        <f>IFERROR(INDEX('Base Exámenes'!$D$5:$D$1000, MATCH(A163, 'Base Exámenes'!$C$5:$C$1000, 0)), "")</f>
        <v/>
      </c>
      <c r="H163" s="27" t="str">
        <f>IFERROR(INDEX('Base Exámenes'!$E$5:$E$1000, MATCH(A163, 'Base Exámenes'!$C$5:$C$1000, 0)), "")</f>
        <v/>
      </c>
      <c r="I163" s="26" t="str">
        <f>IFERROR(INDEX('Base Exámenes'!$F$5:$F$1000, MATCH(A163, 'Base Exámenes'!$C$5:$C$1000, 0)), "")</f>
        <v/>
      </c>
      <c r="J163" s="6" t="str">
        <f>IFERROR(INDEX('Base Exámenes'!$G$5:$G$1000, MATCH(A163, 'Base Exámenes'!$C$5:$C$1000, 0)), "")</f>
        <v/>
      </c>
      <c r="K163" s="6" t="str">
        <f>IFERROR(INDEX('Base Exámenes'!$H$5:$H$1000, MATCH(A163, 'Base Exámenes'!$C$5:$C$1000,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Pendiente</v>
      </c>
      <c r="G164" s="27" t="str">
        <f>IFERROR(INDEX('Base Exámenes'!$D$5:$D$1000, MATCH(A164, 'Base Exámenes'!$C$5:$C$1000, 0)), "")</f>
        <v/>
      </c>
      <c r="H164" s="27" t="str">
        <f>IFERROR(INDEX('Base Exámenes'!$E$5:$E$1000, MATCH(A164, 'Base Exámenes'!$C$5:$C$1000, 0)), "")</f>
        <v/>
      </c>
      <c r="I164" s="26" t="str">
        <f>IFERROR(INDEX('Base Exámenes'!$F$5:$F$1000, MATCH(A164, 'Base Exámenes'!$C$5:$C$1000, 0)), "")</f>
        <v/>
      </c>
      <c r="J164" s="6" t="str">
        <f>IFERROR(INDEX('Base Exámenes'!$G$5:$G$1000, MATCH(A164, 'Base Exámenes'!$C$5:$C$1000, 0)), "")</f>
        <v/>
      </c>
      <c r="K164" s="6" t="str">
        <f>IFERROR(INDEX('Base Exámenes'!$H$5:$H$1000, MATCH(A164, 'Base Exámenes'!$C$5:$C$1000,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Pendiente</v>
      </c>
      <c r="G165" s="27" t="str">
        <f>IFERROR(INDEX('Base Exámenes'!$D$5:$D$1000, MATCH(A165, 'Base Exámenes'!$C$5:$C$1000, 0)), "")</f>
        <v/>
      </c>
      <c r="H165" s="27" t="str">
        <f>IFERROR(INDEX('Base Exámenes'!$E$5:$E$1000, MATCH(A165, 'Base Exámenes'!$C$5:$C$1000, 0)), "")</f>
        <v/>
      </c>
      <c r="I165" s="26" t="str">
        <f>IFERROR(INDEX('Base Exámenes'!$F$5:$F$1000, MATCH(A165, 'Base Exámenes'!$C$5:$C$1000, 0)), "")</f>
        <v/>
      </c>
      <c r="J165" s="6" t="str">
        <f>IFERROR(INDEX('Base Exámenes'!$G$5:$G$1000, MATCH(A165, 'Base Exámenes'!$C$5:$C$1000, 0)), "")</f>
        <v/>
      </c>
      <c r="K165" s="6" t="str">
        <f>IFERROR(INDEX('Base Exámenes'!$H$5:$H$1000, MATCH(A165, 'Base Exámenes'!$C$5:$C$1000,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7">
        <f>IFERROR(INDEX('Base Exámenes'!$D$5:$D$1000, MATCH(A166, 'Base Exámenes'!$C$5:$C$1000, 0)), "")</f>
        <v>46301.67337962963</v>
      </c>
      <c r="H166" s="27">
        <f>IFERROR(INDEX('Base Exámenes'!$E$5:$E$1000, MATCH(A166, 'Base Exámenes'!$C$5:$C$1000, 0)), "")</f>
        <v>46301.68011574074</v>
      </c>
      <c r="I166" s="26">
        <f>IFERROR(INDEX('Base Exámenes'!$F$5:$F$1000, MATCH(A166, 'Base Exámenes'!$C$5:$C$1000, 0)), "")</f>
        <v>9.7</v>
      </c>
      <c r="J166" s="6">
        <f>IFERROR(INDEX('Base Exámenes'!$G$5:$G$1000, MATCH(A166, 'Base Exámenes'!$C$5:$C$1000, 0)), "")</f>
        <v>90</v>
      </c>
      <c r="K166" s="6" t="str">
        <f>IFERROR(INDEX('Base Exámenes'!$H$5:$H$1000, MATCH(A166, 'Base Exámenes'!$C$5:$C$1000,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Pendiente</v>
      </c>
      <c r="G167" s="27" t="str">
        <f>IFERROR(INDEX('Base Exámenes'!$D$5:$D$1000, MATCH(A167, 'Base Exámenes'!$C$5:$C$1000, 0)), "")</f>
        <v/>
      </c>
      <c r="H167" s="27" t="str">
        <f>IFERROR(INDEX('Base Exámenes'!$E$5:$E$1000, MATCH(A167, 'Base Exámenes'!$C$5:$C$1000, 0)), "")</f>
        <v/>
      </c>
      <c r="I167" s="26" t="str">
        <f>IFERROR(INDEX('Base Exámenes'!$F$5:$F$1000, MATCH(A167, 'Base Exámenes'!$C$5:$C$1000, 0)), "")</f>
        <v/>
      </c>
      <c r="J167" s="6" t="str">
        <f>IFERROR(INDEX('Base Exámenes'!$G$5:$G$1000, MATCH(A167, 'Base Exámenes'!$C$5:$C$1000, 0)), "")</f>
        <v/>
      </c>
      <c r="K167" s="6" t="str">
        <f>IFERROR(INDEX('Base Exámenes'!$H$5:$H$1000, MATCH(A167, 'Base Exámenes'!$C$5:$C$1000,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Pendiente</v>
      </c>
      <c r="G168" s="27" t="str">
        <f>IFERROR(INDEX('Base Exámenes'!$D$5:$D$1000, MATCH(A168, 'Base Exámenes'!$C$5:$C$1000, 0)), "")</f>
        <v/>
      </c>
      <c r="H168" s="27" t="str">
        <f>IFERROR(INDEX('Base Exámenes'!$E$5:$E$1000, MATCH(A168, 'Base Exámenes'!$C$5:$C$1000, 0)), "")</f>
        <v/>
      </c>
      <c r="I168" s="26" t="str">
        <f>IFERROR(INDEX('Base Exámenes'!$F$5:$F$1000, MATCH(A168, 'Base Exámenes'!$C$5:$C$1000, 0)), "")</f>
        <v/>
      </c>
      <c r="J168" s="6" t="str">
        <f>IFERROR(INDEX('Base Exámenes'!$G$5:$G$1000, MATCH(A168, 'Base Exámenes'!$C$5:$C$1000, 0)), "")</f>
        <v/>
      </c>
      <c r="K168" s="6" t="str">
        <f>IFERROR(INDEX('Base Exámenes'!$H$5:$H$1000, MATCH(A168, 'Base Exámenes'!$C$5:$C$1000,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7">
        <f>IFERROR(INDEX('Base Exámenes'!$D$5:$D$1000, MATCH(A169, 'Base Exámenes'!$C$5:$C$1000, 0)), "")</f>
        <v>46296.45379629629</v>
      </c>
      <c r="H169" s="27">
        <f>IFERROR(INDEX('Base Exámenes'!$E$5:$E$1000, MATCH(A169, 'Base Exámenes'!$C$5:$C$1000, 0)), "")</f>
        <v>46296.46570601852</v>
      </c>
      <c r="I169" s="26">
        <f>IFERROR(INDEX('Base Exámenes'!$F$5:$F$1000, MATCH(A169, 'Base Exámenes'!$C$5:$C$1000, 0)), "")</f>
        <v>17.15</v>
      </c>
      <c r="J169" s="6">
        <f>IFERROR(INDEX('Base Exámenes'!$G$5:$G$1000, MATCH(A169, 'Base Exámenes'!$C$5:$C$1000, 0)), "")</f>
        <v>100</v>
      </c>
      <c r="K169" s="6" t="str">
        <f>IFERROR(INDEX('Base Exámenes'!$H$5:$H$1000, MATCH(A169, 'Base Exámenes'!$C$5:$C$1000,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Pendiente</v>
      </c>
      <c r="G170" s="27" t="str">
        <f>IFERROR(INDEX('Base Exámenes'!$D$5:$D$1000, MATCH(A170, 'Base Exámenes'!$C$5:$C$1000, 0)), "")</f>
        <v/>
      </c>
      <c r="H170" s="27" t="str">
        <f>IFERROR(INDEX('Base Exámenes'!$E$5:$E$1000, MATCH(A170, 'Base Exámenes'!$C$5:$C$1000, 0)), "")</f>
        <v/>
      </c>
      <c r="I170" s="26" t="str">
        <f>IFERROR(INDEX('Base Exámenes'!$F$5:$F$1000, MATCH(A170, 'Base Exámenes'!$C$5:$C$1000, 0)), "")</f>
        <v/>
      </c>
      <c r="J170" s="6" t="str">
        <f>IFERROR(INDEX('Base Exámenes'!$G$5:$G$1000, MATCH(A170, 'Base Exámenes'!$C$5:$C$1000, 0)), "")</f>
        <v/>
      </c>
      <c r="K170" s="6" t="str">
        <f>IFERROR(INDEX('Base Exámenes'!$H$5:$H$1000, MATCH(A170, 'Base Exámenes'!$C$5:$C$1000,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7">
        <f>IFERROR(INDEX('Base Exámenes'!$D$5:$D$1000, MATCH(A171, 'Base Exámenes'!$C$5:$C$1000, 0)), "")</f>
        <v>46297.45885416667</v>
      </c>
      <c r="H171" s="27">
        <f>IFERROR(INDEX('Base Exámenes'!$E$5:$E$1000, MATCH(A171, 'Base Exámenes'!$C$5:$C$1000, 0)), "")</f>
        <v>46297.49109953704</v>
      </c>
      <c r="I171" s="26">
        <f>IFERROR(INDEX('Base Exámenes'!$F$5:$F$1000, MATCH(A171, 'Base Exámenes'!$C$5:$C$1000, 0)), "")</f>
        <v>46.4333333333333</v>
      </c>
      <c r="J171" s="6">
        <f>IFERROR(INDEX('Base Exámenes'!$G$5:$G$1000, MATCH(A171, 'Base Exámenes'!$C$5:$C$1000, 0)), "")</f>
        <v>90</v>
      </c>
      <c r="K171" s="6" t="str">
        <f>IFERROR(INDEX('Base Exámenes'!$H$5:$H$1000, MATCH(A171, 'Base Exámenes'!$C$5:$C$1000,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7" t="str">
        <f>IFERROR(INDEX('Base Exámenes'!$D$5:$D$1000, MATCH(A172, 'Base Exámenes'!$C$5:$C$1000, 0)), "")</f>
        <v/>
      </c>
      <c r="H172" s="27" t="str">
        <f>IFERROR(INDEX('Base Exámenes'!$E$5:$E$1000, MATCH(A172, 'Base Exámenes'!$C$5:$C$1000, 0)), "")</f>
        <v/>
      </c>
      <c r="I172" s="26" t="str">
        <f>IFERROR(INDEX('Base Exámenes'!$F$5:$F$1000, MATCH(A172, 'Base Exámenes'!$C$5:$C$1000, 0)), "")</f>
        <v/>
      </c>
      <c r="J172" s="6" t="str">
        <f>IFERROR(INDEX('Base Exámenes'!$G$5:$G$1000, MATCH(A172, 'Base Exámenes'!$C$5:$C$1000, 0)), "")</f>
        <v/>
      </c>
      <c r="K172" s="6" t="str">
        <f>IFERROR(INDEX('Base Exámenes'!$H$5:$H$1000, MATCH(A172, 'Base Exámenes'!$C$5:$C$1000,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Pendiente</v>
      </c>
      <c r="G173" s="27" t="str">
        <f>IFERROR(INDEX('Base Exámenes'!$D$5:$D$1000, MATCH(A173, 'Base Exámenes'!$C$5:$C$1000, 0)), "")</f>
        <v/>
      </c>
      <c r="H173" s="27" t="str">
        <f>IFERROR(INDEX('Base Exámenes'!$E$5:$E$1000, MATCH(A173, 'Base Exámenes'!$C$5:$C$1000, 0)), "")</f>
        <v/>
      </c>
      <c r="I173" s="26" t="str">
        <f>IFERROR(INDEX('Base Exámenes'!$F$5:$F$1000, MATCH(A173, 'Base Exámenes'!$C$5:$C$1000, 0)), "")</f>
        <v/>
      </c>
      <c r="J173" s="6" t="str">
        <f>IFERROR(INDEX('Base Exámenes'!$G$5:$G$1000, MATCH(A173, 'Base Exámenes'!$C$5:$C$1000, 0)), "")</f>
        <v/>
      </c>
      <c r="K173" s="6" t="str">
        <f>IFERROR(INDEX('Base Exámenes'!$H$5:$H$1000, MATCH(A173, 'Base Exámenes'!$C$5:$C$1000,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7">
        <f>IFERROR(INDEX('Base Exámenes'!$D$5:$D$1000, MATCH(A174, 'Base Exámenes'!$C$5:$C$1000, 0)), "")</f>
        <v>46296.67916666667</v>
      </c>
      <c r="H174" s="27">
        <f>IFERROR(INDEX('Base Exámenes'!$E$5:$E$1000, MATCH(A174, 'Base Exámenes'!$C$5:$C$1000, 0)), "")</f>
        <v>46296.68630787037</v>
      </c>
      <c r="I174" s="26">
        <f>IFERROR(INDEX('Base Exámenes'!$F$5:$F$1000, MATCH(A174, 'Base Exámenes'!$C$5:$C$1000, 0)), "")</f>
        <v>10.2833333333333</v>
      </c>
      <c r="J174" s="6">
        <f>IFERROR(INDEX('Base Exámenes'!$G$5:$G$1000, MATCH(A174, 'Base Exámenes'!$C$5:$C$1000, 0)), "")</f>
        <v>100</v>
      </c>
      <c r="K174" s="6" t="str">
        <f>IFERROR(INDEX('Base Exámenes'!$H$5:$H$1000, MATCH(A174, 'Base Exámenes'!$C$5:$C$1000,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7">
        <f>IFERROR(INDEX('Base Exámenes'!$D$5:$D$1000, MATCH(A175, 'Base Exámenes'!$C$5:$C$1000, 0)), "")</f>
        <v>46296.426412037035</v>
      </c>
      <c r="H175" s="27">
        <f>IFERROR(INDEX('Base Exámenes'!$E$5:$E$1000, MATCH(A175, 'Base Exámenes'!$C$5:$C$1000, 0)), "")</f>
        <v>46296.431875</v>
      </c>
      <c r="I175" s="26">
        <f>IFERROR(INDEX('Base Exámenes'!$F$5:$F$1000, MATCH(A175, 'Base Exámenes'!$C$5:$C$1000, 0)), "")</f>
        <v>7.86666666666667</v>
      </c>
      <c r="J175" s="6">
        <f>IFERROR(INDEX('Base Exámenes'!$G$5:$G$1000, MATCH(A175, 'Base Exámenes'!$C$5:$C$1000, 0)), "")</f>
        <v>100</v>
      </c>
      <c r="K175" s="6" t="str">
        <f>IFERROR(INDEX('Base Exámenes'!$H$5:$H$1000, MATCH(A175, 'Base Exámenes'!$C$5:$C$1000,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de Negocios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7">
        <f>IFERROR(INDEX('Base Exámenes'!$D$5:$D$1000, MATCH(A176, 'Base Exámenes'!$C$5:$C$1000, 0)), "")</f>
        <v>46304.40586805555</v>
      </c>
      <c r="H176" s="27">
        <f>IFERROR(INDEX('Base Exámenes'!$E$5:$E$1000, MATCH(A176, 'Base Exámenes'!$C$5:$C$1000, 0)), "")</f>
        <v>46304.41396990741</v>
      </c>
      <c r="I176" s="26">
        <f>IFERROR(INDEX('Base Exámenes'!$F$5:$F$1000, MATCH(A176, 'Base Exámenes'!$C$5:$C$1000, 0)), "")</f>
        <v>11.6666666666667</v>
      </c>
      <c r="J176" s="6">
        <f>IFERROR(INDEX('Base Exámenes'!$G$5:$G$1000, MATCH(A176, 'Base Exámenes'!$C$5:$C$1000, 0)), "")</f>
        <v>100</v>
      </c>
      <c r="K176" s="6" t="str">
        <f>IFERROR(INDEX('Base Exámenes'!$H$5:$H$1000, MATCH(A176, 'Base Exámenes'!$C$5:$C$1000,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de Negocios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7">
        <f>IFERROR(INDEX('Base Exámenes'!$D$5:$D$1000, MATCH(A177, 'Base Exámenes'!$C$5:$C$1000, 0)), "")</f>
        <v>46304.77427083333</v>
      </c>
      <c r="H177" s="27">
        <f>IFERROR(INDEX('Base Exámenes'!$E$5:$E$1000, MATCH(A177, 'Base Exámenes'!$C$5:$C$1000, 0)), "")</f>
        <v>46304.7809837963</v>
      </c>
      <c r="I177" s="26">
        <f>IFERROR(INDEX('Base Exámenes'!$F$5:$F$1000, MATCH(A177, 'Base Exámenes'!$C$5:$C$1000, 0)), "")</f>
        <v>9.66666666666667</v>
      </c>
      <c r="J177" s="6">
        <f>IFERROR(INDEX('Base Exámenes'!$G$5:$G$1000, MATCH(A177, 'Base Exámenes'!$C$5:$C$1000, 0)), "")</f>
        <v>90</v>
      </c>
      <c r="K177" s="6" t="str">
        <f>IFERROR(INDEX('Base Exámenes'!$H$5:$H$1000, MATCH(A177, 'Base Exámenes'!$C$5:$C$1000,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de Negocios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7">
        <f>IFERROR(INDEX('Base Exámenes'!$D$5:$D$1000, MATCH(A178, 'Base Exámenes'!$C$5:$C$1000, 0)), "")</f>
        <v>46304.67545138889</v>
      </c>
      <c r="H178" s="27">
        <f>IFERROR(INDEX('Base Exámenes'!$E$5:$E$1000, MATCH(A178, 'Base Exámenes'!$C$5:$C$1000, 0)), "")</f>
        <v>46304.678506944445</v>
      </c>
      <c r="I178" s="26">
        <f>IFERROR(INDEX('Base Exámenes'!$F$5:$F$1000, MATCH(A178, 'Base Exámenes'!$C$5:$C$1000, 0)), "")</f>
        <v>4.4</v>
      </c>
      <c r="J178" s="6">
        <f>IFERROR(INDEX('Base Exámenes'!$G$5:$G$1000, MATCH(A178, 'Base Exámenes'!$C$5:$C$1000, 0)), "")</f>
        <v>80</v>
      </c>
      <c r="K178" s="6" t="str">
        <f>IFERROR(INDEX('Base Exámenes'!$H$5:$H$1000, MATCH(A178, 'Base Exámenes'!$C$5:$C$1000,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de Negocios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Pendiente</v>
      </c>
      <c r="G179" s="27" t="str">
        <f>IFERROR(INDEX('Base Exámenes'!$D$5:$D$1000, MATCH(A179, 'Base Exámenes'!$C$5:$C$1000, 0)), "")</f>
        <v/>
      </c>
      <c r="H179" s="27" t="str">
        <f>IFERROR(INDEX('Base Exámenes'!$E$5:$E$1000, MATCH(A179, 'Base Exámenes'!$C$5:$C$1000, 0)), "")</f>
        <v/>
      </c>
      <c r="I179" s="26" t="str">
        <f>IFERROR(INDEX('Base Exámenes'!$F$5:$F$1000, MATCH(A179, 'Base Exámenes'!$C$5:$C$1000, 0)), "")</f>
        <v/>
      </c>
      <c r="J179" s="6" t="str">
        <f>IFERROR(INDEX('Base Exámenes'!$G$5:$G$1000, MATCH(A179, 'Base Exámenes'!$C$5:$C$1000, 0)), "")</f>
        <v/>
      </c>
      <c r="K179" s="6" t="str">
        <f>IFERROR(INDEX('Base Exámenes'!$H$5:$H$1000, MATCH(A179, 'Base Exámenes'!$C$5:$C$1000,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de Negocios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Pendiente</v>
      </c>
      <c r="G180" s="27" t="str">
        <f>IFERROR(INDEX('Base Exámenes'!$D$5:$D$1000, MATCH(A180, 'Base Exámenes'!$C$5:$C$1000, 0)), "")</f>
        <v/>
      </c>
      <c r="H180" s="27" t="str">
        <f>IFERROR(INDEX('Base Exámenes'!$E$5:$E$1000, MATCH(A180, 'Base Exámenes'!$C$5:$C$1000, 0)), "")</f>
        <v/>
      </c>
      <c r="I180" s="26" t="str">
        <f>IFERROR(INDEX('Base Exámenes'!$F$5:$F$1000, MATCH(A180, 'Base Exámenes'!$C$5:$C$1000, 0)), "")</f>
        <v/>
      </c>
      <c r="J180" s="6" t="str">
        <f>IFERROR(INDEX('Base Exámenes'!$G$5:$G$1000, MATCH(A180, 'Base Exámenes'!$C$5:$C$1000, 0)), "")</f>
        <v/>
      </c>
      <c r="K180" s="6" t="str">
        <f>IFERROR(INDEX('Base Exámenes'!$H$5:$H$1000, MATCH(A180, 'Base Exámenes'!$C$5:$C$1000,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de Negocios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7">
        <f>IFERROR(INDEX('Base Exámenes'!$D$5:$D$1000, MATCH(A181, 'Base Exámenes'!$C$5:$C$1000, 0)), "")</f>
        <v>46297.7059375</v>
      </c>
      <c r="H181" s="27">
        <f>IFERROR(INDEX('Base Exámenes'!$E$5:$E$1000, MATCH(A181, 'Base Exámenes'!$C$5:$C$1000, 0)), "")</f>
        <v>46297.71334490741</v>
      </c>
      <c r="I181" s="26">
        <f>IFERROR(INDEX('Base Exámenes'!$F$5:$F$1000, MATCH(A181, 'Base Exámenes'!$C$5:$C$1000, 0)), "")</f>
        <v>10.6666666666667</v>
      </c>
      <c r="J181" s="6">
        <f>IFERROR(INDEX('Base Exámenes'!$G$5:$G$1000, MATCH(A181, 'Base Exámenes'!$C$5:$C$1000, 0)), "")</f>
        <v>85</v>
      </c>
      <c r="K181" s="6" t="str">
        <f>IFERROR(INDEX('Base Exámenes'!$H$5:$H$1000, MATCH(A181, 'Base Exámenes'!$C$5:$C$1000,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de Negocios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7" t="str">
        <f>IFERROR(INDEX('Base Exámenes'!$D$5:$D$1000, MATCH(A182, 'Base Exámenes'!$C$5:$C$1000, 0)), "")</f>
        <v/>
      </c>
      <c r="H182" s="27" t="str">
        <f>IFERROR(INDEX('Base Exámenes'!$E$5:$E$1000, MATCH(A182, 'Base Exámenes'!$C$5:$C$1000, 0)), "")</f>
        <v/>
      </c>
      <c r="I182" s="26" t="str">
        <f>IFERROR(INDEX('Base Exámenes'!$F$5:$F$1000, MATCH(A182, 'Base Exámenes'!$C$5:$C$1000, 0)), "")</f>
        <v/>
      </c>
      <c r="J182" s="6" t="str">
        <f>IFERROR(INDEX('Base Exámenes'!$G$5:$G$1000, MATCH(A182, 'Base Exámenes'!$C$5:$C$1000, 0)), "")</f>
        <v/>
      </c>
      <c r="K182" s="6" t="str">
        <f>IFERROR(INDEX('Base Exámenes'!$H$5:$H$1000, MATCH(A182, 'Base Exámenes'!$C$5:$C$1000,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de Negocios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Pendiente</v>
      </c>
      <c r="G183" s="27" t="str">
        <f>IFERROR(INDEX('Base Exámenes'!$D$5:$D$1000, MATCH(A183, 'Base Exámenes'!$C$5:$C$1000, 0)), "")</f>
        <v/>
      </c>
      <c r="H183" s="27" t="str">
        <f>IFERROR(INDEX('Base Exámenes'!$E$5:$E$1000, MATCH(A183, 'Base Exámenes'!$C$5:$C$1000, 0)), "")</f>
        <v/>
      </c>
      <c r="I183" s="26" t="str">
        <f>IFERROR(INDEX('Base Exámenes'!$F$5:$F$1000, MATCH(A183, 'Base Exámenes'!$C$5:$C$1000, 0)), "")</f>
        <v/>
      </c>
      <c r="J183" s="6" t="str">
        <f>IFERROR(INDEX('Base Exámenes'!$G$5:$G$1000, MATCH(A183, 'Base Exámenes'!$C$5:$C$1000, 0)), "")</f>
        <v/>
      </c>
      <c r="K183" s="6" t="str">
        <f>IFERROR(INDEX('Base Exámenes'!$H$5:$H$1000, MATCH(A183, 'Base Exámenes'!$C$5:$C$1000,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7">
        <f>IFERROR(INDEX('Base Exámenes'!$D$5:$D$1000, MATCH(A184, 'Base Exámenes'!$C$5:$C$1000, 0)), "")</f>
        <v>46300.40697916667</v>
      </c>
      <c r="H184" s="27">
        <f>IFERROR(INDEX('Base Exámenes'!$E$5:$E$1000, MATCH(A184, 'Base Exámenes'!$C$5:$C$1000, 0)), "")</f>
        <v>46300.41096064815</v>
      </c>
      <c r="I184" s="26">
        <f>IFERROR(INDEX('Base Exámenes'!$F$5:$F$1000, MATCH(A184, 'Base Exámenes'!$C$5:$C$1000, 0)), "")</f>
        <v>5.73333333333333</v>
      </c>
      <c r="J184" s="6">
        <f>IFERROR(INDEX('Base Exámenes'!$G$5:$G$1000, MATCH(A184, 'Base Exámenes'!$C$5:$C$1000, 0)), "")</f>
        <v>100</v>
      </c>
      <c r="K184" s="6" t="str">
        <f>IFERROR(INDEX('Base Exámenes'!$H$5:$H$1000, MATCH(A184, 'Base Exámenes'!$C$5:$C$1000,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7" t="str">
        <f>IFERROR(INDEX('Base Exámenes'!$D$5:$D$1000, MATCH(A185, 'Base Exámenes'!$C$5:$C$1000, 0)), "")</f>
        <v/>
      </c>
      <c r="H185" s="27" t="str">
        <f>IFERROR(INDEX('Base Exámenes'!$E$5:$E$1000, MATCH(A185, 'Base Exámenes'!$C$5:$C$1000, 0)), "")</f>
        <v/>
      </c>
      <c r="I185" s="26" t="str">
        <f>IFERROR(INDEX('Base Exámenes'!$F$5:$F$1000, MATCH(A185, 'Base Exámenes'!$C$5:$C$1000, 0)), "")</f>
        <v/>
      </c>
      <c r="J185" s="6" t="str">
        <f>IFERROR(INDEX('Base Exámenes'!$G$5:$G$1000, MATCH(A185, 'Base Exámenes'!$C$5:$C$1000, 0)), "")</f>
        <v/>
      </c>
      <c r="K185" s="6" t="str">
        <f>IFERROR(INDEX('Base Exámenes'!$H$5:$H$1000, MATCH(A185, 'Base Exámenes'!$C$5:$C$1000,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7">
        <f>IFERROR(INDEX('Base Exámenes'!$D$5:$D$1000, MATCH(A186, 'Base Exámenes'!$C$5:$C$1000, 0)), "")</f>
        <v>46302.46341435185</v>
      </c>
      <c r="H186" s="27">
        <f>IFERROR(INDEX('Base Exámenes'!$E$5:$E$1000, MATCH(A186, 'Base Exámenes'!$C$5:$C$1000, 0)), "")</f>
        <v>46302.479097222225</v>
      </c>
      <c r="I186" s="26">
        <f>IFERROR(INDEX('Base Exámenes'!$F$5:$F$1000, MATCH(A186, 'Base Exámenes'!$C$5:$C$1000, 0)), "")</f>
        <v>22.5833333528</v>
      </c>
      <c r="J186" s="6">
        <f>IFERROR(INDEX('Base Exámenes'!$G$5:$G$1000, MATCH(A186, 'Base Exámenes'!$C$5:$C$1000, 0)), "")</f>
        <v>100</v>
      </c>
      <c r="K186" s="6" t="str">
        <f>IFERROR(INDEX('Base Exámenes'!$H$5:$H$1000, MATCH(A186, 'Base Exámenes'!$C$5:$C$1000,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7" t="str">
        <f>IFERROR(INDEX('Base Exámenes'!$D$5:$D$1000, MATCH(A187, 'Base Exámenes'!$C$5:$C$1000, 0)), "")</f>
        <v/>
      </c>
      <c r="H187" s="27" t="str">
        <f>IFERROR(INDEX('Base Exámenes'!$E$5:$E$1000, MATCH(A187, 'Base Exámenes'!$C$5:$C$1000, 0)), "")</f>
        <v/>
      </c>
      <c r="I187" s="26" t="str">
        <f>IFERROR(INDEX('Base Exámenes'!$F$5:$F$1000, MATCH(A187, 'Base Exámenes'!$C$5:$C$1000, 0)), "")</f>
        <v/>
      </c>
      <c r="J187" s="6" t="str">
        <f>IFERROR(INDEX('Base Exámenes'!$G$5:$G$1000, MATCH(A187, 'Base Exámenes'!$C$5:$C$1000, 0)), "")</f>
        <v/>
      </c>
      <c r="K187" s="6" t="str">
        <f>IFERROR(INDEX('Base Exámenes'!$H$5:$H$1000, MATCH(A187, 'Base Exámenes'!$C$5:$C$1000,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7" t="str">
        <f>IFERROR(INDEX('Base Exámenes'!$D$5:$D$1000, MATCH(A188, 'Base Exámenes'!$C$5:$C$1000, 0)), "")</f>
        <v/>
      </c>
      <c r="H188" s="27" t="str">
        <f>IFERROR(INDEX('Base Exámenes'!$E$5:$E$1000, MATCH(A188, 'Base Exámenes'!$C$5:$C$1000, 0)), "")</f>
        <v/>
      </c>
      <c r="I188" s="26" t="str">
        <f>IFERROR(INDEX('Base Exámenes'!$F$5:$F$1000, MATCH(A188, 'Base Exámenes'!$C$5:$C$1000, 0)), "")</f>
        <v/>
      </c>
      <c r="J188" s="6" t="str">
        <f>IFERROR(INDEX('Base Exámenes'!$G$5:$G$1000, MATCH(A188, 'Base Exámenes'!$C$5:$C$1000, 0)), "")</f>
        <v/>
      </c>
      <c r="K188" s="6" t="str">
        <f>IFERROR(INDEX('Base Exámenes'!$H$5:$H$1000, MATCH(A188, 'Base Exámenes'!$C$5:$C$1000,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7" t="str">
        <f>IFERROR(INDEX('Base Exámenes'!$D$5:$D$1000, MATCH(A189, 'Base Exámenes'!$C$5:$C$1000, 0)), "")</f>
        <v/>
      </c>
      <c r="H189" s="27" t="str">
        <f>IFERROR(INDEX('Base Exámenes'!$E$5:$E$1000, MATCH(A189, 'Base Exámenes'!$C$5:$C$1000, 0)), "")</f>
        <v/>
      </c>
      <c r="I189" s="26" t="str">
        <f>IFERROR(INDEX('Base Exámenes'!$F$5:$F$1000, MATCH(A189, 'Base Exámenes'!$C$5:$C$1000, 0)), "")</f>
        <v/>
      </c>
      <c r="J189" s="6" t="str">
        <f>IFERROR(INDEX('Base Exámenes'!$G$5:$G$1000, MATCH(A189, 'Base Exámenes'!$C$5:$C$1000, 0)), "")</f>
        <v/>
      </c>
      <c r="K189" s="6" t="str">
        <f>IFERROR(INDEX('Base Exámenes'!$H$5:$H$1000, MATCH(A189, 'Base Exámenes'!$C$5:$C$1000,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Pendiente</v>
      </c>
      <c r="G190" s="27" t="str">
        <f>IFERROR(INDEX('Base Exámenes'!$D$5:$D$1000, MATCH(A190, 'Base Exámenes'!$C$5:$C$1000, 0)), "")</f>
        <v/>
      </c>
      <c r="H190" s="27" t="str">
        <f>IFERROR(INDEX('Base Exámenes'!$E$5:$E$1000, MATCH(A190, 'Base Exámenes'!$C$5:$C$1000, 0)), "")</f>
        <v/>
      </c>
      <c r="I190" s="26" t="str">
        <f>IFERROR(INDEX('Base Exámenes'!$F$5:$F$1000, MATCH(A190, 'Base Exámenes'!$C$5:$C$1000, 0)), "")</f>
        <v/>
      </c>
      <c r="J190" s="6" t="str">
        <f>IFERROR(INDEX('Base Exámenes'!$G$5:$G$1000, MATCH(A190, 'Base Exámenes'!$C$5:$C$1000, 0)), "")</f>
        <v/>
      </c>
      <c r="K190" s="6" t="str">
        <f>IFERROR(INDEX('Base Exámenes'!$H$5:$H$1000, MATCH(A190, 'Base Exámenes'!$C$5:$C$1000,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Pendiente</v>
      </c>
      <c r="G191" s="27" t="str">
        <f>IFERROR(INDEX('Base Exámenes'!$D$5:$D$1000, MATCH(A191, 'Base Exámenes'!$C$5:$C$1000, 0)), "")</f>
        <v/>
      </c>
      <c r="H191" s="27" t="str">
        <f>IFERROR(INDEX('Base Exámenes'!$E$5:$E$1000, MATCH(A191, 'Base Exámenes'!$C$5:$C$1000, 0)), "")</f>
        <v/>
      </c>
      <c r="I191" s="26" t="str">
        <f>IFERROR(INDEX('Base Exámenes'!$F$5:$F$1000, MATCH(A191, 'Base Exámenes'!$C$5:$C$1000, 0)), "")</f>
        <v/>
      </c>
      <c r="J191" s="6" t="str">
        <f>IFERROR(INDEX('Base Exámenes'!$G$5:$G$1000, MATCH(A191, 'Base Exámenes'!$C$5:$C$1000, 0)), "")</f>
        <v/>
      </c>
      <c r="K191" s="6" t="str">
        <f>IFERROR(INDEX('Base Exámenes'!$H$5:$H$1000, MATCH(A191, 'Base Exámenes'!$C$5:$C$1000,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7" t="str">
        <f>IFERROR(INDEX('Base Exámenes'!$D$5:$D$1000, MATCH(A192, 'Base Exámenes'!$C$5:$C$1000, 0)), "")</f>
        <v/>
      </c>
      <c r="H192" s="27" t="str">
        <f>IFERROR(INDEX('Base Exámenes'!$E$5:$E$1000, MATCH(A192, 'Base Exámenes'!$C$5:$C$1000, 0)), "")</f>
        <v/>
      </c>
      <c r="I192" s="26" t="str">
        <f>IFERROR(INDEX('Base Exámenes'!$F$5:$F$1000, MATCH(A192, 'Base Exámenes'!$C$5:$C$1000, 0)), "")</f>
        <v/>
      </c>
      <c r="J192" s="6" t="str">
        <f>IFERROR(INDEX('Base Exámenes'!$G$5:$G$1000, MATCH(A192, 'Base Exámenes'!$C$5:$C$1000, 0)), "")</f>
        <v/>
      </c>
      <c r="K192" s="6" t="str">
        <f>IFERROR(INDEX('Base Exámenes'!$H$5:$H$1000, MATCH(A192, 'Base Exámenes'!$C$5:$C$1000,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7" t="str">
        <f>IFERROR(INDEX('Base Exámenes'!$D$5:$D$1000, MATCH(A193, 'Base Exámenes'!$C$5:$C$1000, 0)), "")</f>
        <v/>
      </c>
      <c r="H193" s="27" t="str">
        <f>IFERROR(INDEX('Base Exámenes'!$E$5:$E$1000, MATCH(A193, 'Base Exámenes'!$C$5:$C$1000, 0)), "")</f>
        <v/>
      </c>
      <c r="I193" s="26" t="str">
        <f>IFERROR(INDEX('Base Exámenes'!$F$5:$F$1000, MATCH(A193, 'Base Exámenes'!$C$5:$C$1000, 0)), "")</f>
        <v/>
      </c>
      <c r="J193" s="6" t="str">
        <f>IFERROR(INDEX('Base Exámenes'!$G$5:$G$1000, MATCH(A193, 'Base Exámenes'!$C$5:$C$1000, 0)), "")</f>
        <v/>
      </c>
      <c r="K193" s="6" t="str">
        <f>IFERROR(INDEX('Base Exámenes'!$H$5:$H$1000, MATCH(A193, 'Base Exámenes'!$C$5:$C$1000,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7" t="str">
        <f>IFERROR(INDEX('Base Exámenes'!$D$5:$D$1000, MATCH(A194, 'Base Exámenes'!$C$5:$C$1000, 0)), "")</f>
        <v/>
      </c>
      <c r="H194" s="27" t="str">
        <f>IFERROR(INDEX('Base Exámenes'!$E$5:$E$1000, MATCH(A194, 'Base Exámenes'!$C$5:$C$1000, 0)), "")</f>
        <v/>
      </c>
      <c r="I194" s="26" t="str">
        <f>IFERROR(INDEX('Base Exámenes'!$F$5:$F$1000, MATCH(A194, 'Base Exámenes'!$C$5:$C$1000, 0)), "")</f>
        <v/>
      </c>
      <c r="J194" s="6" t="str">
        <f>IFERROR(INDEX('Base Exámenes'!$G$5:$G$1000, MATCH(A194, 'Base Exámenes'!$C$5:$C$1000, 0)), "")</f>
        <v/>
      </c>
      <c r="K194" s="6" t="str">
        <f>IFERROR(INDEX('Base Exámenes'!$H$5:$H$1000, MATCH(A194, 'Base Exámenes'!$C$5:$C$1000,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7" t="str">
        <f>IFERROR(INDEX('Base Exámenes'!$D$5:$D$1000, MATCH(A195, 'Base Exámenes'!$C$5:$C$1000, 0)), "")</f>
        <v/>
      </c>
      <c r="H195" s="27" t="str">
        <f>IFERROR(INDEX('Base Exámenes'!$E$5:$E$1000, MATCH(A195, 'Base Exámenes'!$C$5:$C$1000, 0)), "")</f>
        <v/>
      </c>
      <c r="I195" s="26" t="str">
        <f>IFERROR(INDEX('Base Exámenes'!$F$5:$F$1000, MATCH(A195, 'Base Exámenes'!$C$5:$C$1000, 0)), "")</f>
        <v/>
      </c>
      <c r="J195" s="6" t="str">
        <f>IFERROR(INDEX('Base Exámenes'!$G$5:$G$1000, MATCH(A195, 'Base Exámenes'!$C$5:$C$1000, 0)), "")</f>
        <v/>
      </c>
      <c r="K195" s="6" t="str">
        <f>IFERROR(INDEX('Base Exámenes'!$H$5:$H$1000, MATCH(A195, 'Base Exámenes'!$C$5:$C$1000,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7" t="str">
        <f>IFERROR(INDEX('Base Exámenes'!$D$5:$D$1000, MATCH(A196, 'Base Exámenes'!$C$5:$C$1000, 0)), "")</f>
        <v/>
      </c>
      <c r="H196" s="27" t="str">
        <f>IFERROR(INDEX('Base Exámenes'!$E$5:$E$1000, MATCH(A196, 'Base Exámenes'!$C$5:$C$1000, 0)), "")</f>
        <v/>
      </c>
      <c r="I196" s="26" t="str">
        <f>IFERROR(INDEX('Base Exámenes'!$F$5:$F$1000, MATCH(A196, 'Base Exámenes'!$C$5:$C$1000, 0)), "")</f>
        <v/>
      </c>
      <c r="J196" s="6" t="str">
        <f>IFERROR(INDEX('Base Exámenes'!$G$5:$G$1000, MATCH(A196, 'Base Exámenes'!$C$5:$C$1000, 0)), "")</f>
        <v/>
      </c>
      <c r="K196" s="6" t="str">
        <f>IFERROR(INDEX('Base Exámenes'!$H$5:$H$1000, MATCH(A196, 'Base Exámenes'!$C$5:$C$1000,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7">
        <f>IFERROR(INDEX('Base Exámenes'!$D$5:$D$1000, MATCH(A197, 'Base Exámenes'!$C$5:$C$1000, 0)), "")</f>
        <v>46302.63820601852</v>
      </c>
      <c r="H197" s="27">
        <f>IFERROR(INDEX('Base Exámenes'!$E$5:$E$1000, MATCH(A197, 'Base Exámenes'!$C$5:$C$1000, 0)), "")</f>
        <v>46302.67400462963</v>
      </c>
      <c r="I197" s="26">
        <f>IFERROR(INDEX('Base Exámenes'!$F$5:$F$1000, MATCH(A197, 'Base Exámenes'!$C$5:$C$1000, 0)), "")</f>
        <v>51.55</v>
      </c>
      <c r="J197" s="6">
        <f>IFERROR(INDEX('Base Exámenes'!$G$5:$G$1000, MATCH(A197, 'Base Exámenes'!$C$5:$C$1000, 0)), "")</f>
        <v>95</v>
      </c>
      <c r="K197" s="6" t="str">
        <f>IFERROR(INDEX('Base Exámenes'!$H$5:$H$1000, MATCH(A197, 'Base Exámenes'!$C$5:$C$1000,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7" t="str">
        <f>IFERROR(INDEX('Base Exámenes'!$D$5:$D$1000, MATCH(A198, 'Base Exámenes'!$C$5:$C$1000, 0)), "")</f>
        <v/>
      </c>
      <c r="H198" s="27" t="str">
        <f>IFERROR(INDEX('Base Exámenes'!$E$5:$E$1000, MATCH(A198, 'Base Exámenes'!$C$5:$C$1000, 0)), "")</f>
        <v/>
      </c>
      <c r="I198" s="26" t="str">
        <f>IFERROR(INDEX('Base Exámenes'!$F$5:$F$1000, MATCH(A198, 'Base Exámenes'!$C$5:$C$1000, 0)), "")</f>
        <v/>
      </c>
      <c r="J198" s="6" t="str">
        <f>IFERROR(INDEX('Base Exámenes'!$G$5:$G$1000, MATCH(A198, 'Base Exámenes'!$C$5:$C$1000, 0)), "")</f>
        <v/>
      </c>
      <c r="K198" s="6" t="str">
        <f>IFERROR(INDEX('Base Exámenes'!$H$5:$H$1000, MATCH(A198, 'Base Exámenes'!$C$5:$C$1000,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7">
        <f>IFERROR(INDEX('Base Exámenes'!$D$5:$D$1000, MATCH(A199, 'Base Exámenes'!$C$5:$C$1000, 0)), "")</f>
        <v>46303.441712962966</v>
      </c>
      <c r="H199" s="27">
        <f>IFERROR(INDEX('Base Exámenes'!$E$5:$E$1000, MATCH(A199, 'Base Exámenes'!$C$5:$C$1000, 0)), "")</f>
        <v>46303.443460648145</v>
      </c>
      <c r="I199" s="26">
        <f>IFERROR(INDEX('Base Exámenes'!$F$5:$F$1000, MATCH(A199, 'Base Exámenes'!$C$5:$C$1000, 0)), "")</f>
        <v>2.5166666368</v>
      </c>
      <c r="J199" s="6">
        <f>IFERROR(INDEX('Base Exámenes'!$G$5:$G$1000, MATCH(A199, 'Base Exámenes'!$C$5:$C$1000, 0)), "")</f>
        <v>100</v>
      </c>
      <c r="K199" s="6" t="str">
        <f>IFERROR(INDEX('Base Exámenes'!$H$5:$H$1000, MATCH(A199, 'Base Exámenes'!$C$5:$C$1000,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7" t="str">
        <f>IFERROR(INDEX('Base Exámenes'!$D$5:$D$1000, MATCH(A200, 'Base Exámenes'!$C$5:$C$1000, 0)), "")</f>
        <v/>
      </c>
      <c r="H200" s="27" t="str">
        <f>IFERROR(INDEX('Base Exámenes'!$E$5:$E$1000, MATCH(A200, 'Base Exámenes'!$C$5:$C$1000, 0)), "")</f>
        <v/>
      </c>
      <c r="I200" s="26" t="str">
        <f>IFERROR(INDEX('Base Exámenes'!$F$5:$F$1000, MATCH(A200, 'Base Exámenes'!$C$5:$C$1000, 0)), "")</f>
        <v/>
      </c>
      <c r="J200" s="6" t="str">
        <f>IFERROR(INDEX('Base Exámenes'!$G$5:$G$1000, MATCH(A200, 'Base Exámenes'!$C$5:$C$1000, 0)), "")</f>
        <v/>
      </c>
      <c r="K200" s="6" t="str">
        <f>IFERROR(INDEX('Base Exámenes'!$H$5:$H$1000, MATCH(A200, 'Base Exámenes'!$C$5:$C$1000,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7" t="str">
        <f>IFERROR(INDEX('Base Exámenes'!$D$5:$D$1000, MATCH(A201, 'Base Exámenes'!$C$5:$C$1000, 0)), "")</f>
        <v/>
      </c>
      <c r="H201" s="27" t="str">
        <f>IFERROR(INDEX('Base Exámenes'!$E$5:$E$1000, MATCH(A201, 'Base Exámenes'!$C$5:$C$1000, 0)), "")</f>
        <v/>
      </c>
      <c r="I201" s="26" t="str">
        <f>IFERROR(INDEX('Base Exámenes'!$F$5:$F$1000, MATCH(A201, 'Base Exámenes'!$C$5:$C$1000, 0)), "")</f>
        <v/>
      </c>
      <c r="J201" s="6" t="str">
        <f>IFERROR(INDEX('Base Exámenes'!$G$5:$G$1000, MATCH(A201, 'Base Exámenes'!$C$5:$C$1000, 0)), "")</f>
        <v/>
      </c>
      <c r="K201" s="6" t="str">
        <f>IFERROR(INDEX('Base Exámenes'!$H$5:$H$1000, MATCH(A201, 'Base Exámenes'!$C$5:$C$1000,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7" t="str">
        <f>IFERROR(INDEX('Base Exámenes'!$D$5:$D$1000, MATCH(A202, 'Base Exámenes'!$C$5:$C$1000, 0)), "")</f>
        <v/>
      </c>
      <c r="H202" s="27" t="str">
        <f>IFERROR(INDEX('Base Exámenes'!$E$5:$E$1000, MATCH(A202, 'Base Exámenes'!$C$5:$C$1000, 0)), "")</f>
        <v/>
      </c>
      <c r="I202" s="26" t="str">
        <f>IFERROR(INDEX('Base Exámenes'!$F$5:$F$1000, MATCH(A202, 'Base Exámenes'!$C$5:$C$1000, 0)), "")</f>
        <v/>
      </c>
      <c r="J202" s="6" t="str">
        <f>IFERROR(INDEX('Base Exámenes'!$G$5:$G$1000, MATCH(A202, 'Base Exámenes'!$C$5:$C$1000, 0)), "")</f>
        <v/>
      </c>
      <c r="K202" s="6" t="str">
        <f>IFERROR(INDEX('Base Exámenes'!$H$5:$H$1000, MATCH(A202, 'Base Exámenes'!$C$5:$C$1000,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7">
        <f>IFERROR(INDEX('Base Exámenes'!$D$5:$D$1000, MATCH(A203, 'Base Exámenes'!$C$5:$C$1000, 0)), "")</f>
        <v>46302.62548611111</v>
      </c>
      <c r="H203" s="27">
        <f>IFERROR(INDEX('Base Exámenes'!$E$5:$E$1000, MATCH(A203, 'Base Exámenes'!$C$5:$C$1000, 0)), "")</f>
        <v>46302.62670138889</v>
      </c>
      <c r="I203" s="26">
        <f>IFERROR(INDEX('Base Exámenes'!$F$5:$F$1000, MATCH(A203, 'Base Exámenes'!$C$5:$C$1000, 0)), "")</f>
        <v>1.75</v>
      </c>
      <c r="J203" s="6">
        <f>IFERROR(INDEX('Base Exámenes'!$G$5:$G$1000, MATCH(A203, 'Base Exámenes'!$C$5:$C$1000, 0)), "")</f>
        <v>100</v>
      </c>
      <c r="K203" s="6" t="str">
        <f>IFERROR(INDEX('Base Exámenes'!$H$5:$H$1000, MATCH(A203, 'Base Exámenes'!$C$5:$C$1000,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Pendiente</v>
      </c>
      <c r="G204" s="27" t="str">
        <f>IFERROR(INDEX('Base Exámenes'!$D$5:$D$1000, MATCH(A204, 'Base Exámenes'!$C$5:$C$1000, 0)), "")</f>
        <v/>
      </c>
      <c r="H204" s="27" t="str">
        <f>IFERROR(INDEX('Base Exámenes'!$E$5:$E$1000, MATCH(A204, 'Base Exámenes'!$C$5:$C$1000, 0)), "")</f>
        <v/>
      </c>
      <c r="I204" s="26" t="str">
        <f>IFERROR(INDEX('Base Exámenes'!$F$5:$F$1000, MATCH(A204, 'Base Exámenes'!$C$5:$C$1000, 0)), "")</f>
        <v/>
      </c>
      <c r="J204" s="6" t="str">
        <f>IFERROR(INDEX('Base Exámenes'!$G$5:$G$1000, MATCH(A204, 'Base Exámenes'!$C$5:$C$1000, 0)), "")</f>
        <v/>
      </c>
      <c r="K204" s="6" t="str">
        <f>IFERROR(INDEX('Base Exámenes'!$H$5:$H$1000, MATCH(A204, 'Base Exámenes'!$C$5:$C$1000,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7">
        <f>IFERROR(INDEX('Base Exámenes'!$D$5:$D$1000, MATCH(A205, 'Base Exámenes'!$C$5:$C$1000, 0)), "")</f>
        <v>46305.38385416667</v>
      </c>
      <c r="H205" s="27">
        <f>IFERROR(INDEX('Base Exámenes'!$E$5:$E$1000, MATCH(A205, 'Base Exámenes'!$C$5:$C$1000, 0)), "")</f>
        <v>46305.39554398148</v>
      </c>
      <c r="I205" s="26">
        <f>IFERROR(INDEX('Base Exámenes'!$F$5:$F$1000, MATCH(A205, 'Base Exámenes'!$C$5:$C$1000, 0)), "")</f>
        <v>16.8333333333333</v>
      </c>
      <c r="J205" s="6">
        <f>IFERROR(INDEX('Base Exámenes'!$G$5:$G$1000, MATCH(A205, 'Base Exámenes'!$C$5:$C$1000, 0)), "")</f>
        <v>75</v>
      </c>
      <c r="K205" s="6" t="str">
        <f>IFERROR(INDEX('Base Exámenes'!$H$5:$H$1000, MATCH(A205, 'Base Exámenes'!$C$5:$C$1000,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7">
        <f>IFERROR(INDEX('Base Exámenes'!$D$5:$D$1000, MATCH(A206, 'Base Exámenes'!$C$5:$C$1000, 0)), "")</f>
        <v>46302.469988425924</v>
      </c>
      <c r="H206" s="27">
        <f>IFERROR(INDEX('Base Exámenes'!$E$5:$E$1000, MATCH(A206, 'Base Exámenes'!$C$5:$C$1000, 0)), "")</f>
        <v>46302.48327546296</v>
      </c>
      <c r="I206" s="26">
        <f>IFERROR(INDEX('Base Exámenes'!$F$5:$F$1000, MATCH(A206, 'Base Exámenes'!$C$5:$C$1000, 0)), "")</f>
        <v>19.1333333333333</v>
      </c>
      <c r="J206" s="6">
        <f>IFERROR(INDEX('Base Exámenes'!$G$5:$G$1000, MATCH(A206, 'Base Exámenes'!$C$5:$C$1000, 0)), "")</f>
        <v>100</v>
      </c>
      <c r="K206" s="6" t="str">
        <f>IFERROR(INDEX('Base Exámenes'!$H$5:$H$1000, MATCH(A206, 'Base Exámenes'!$C$5:$C$1000,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7" t="str">
        <f>IFERROR(INDEX('Base Exámenes'!$D$5:$D$1000, MATCH(A207, 'Base Exámenes'!$C$5:$C$1000, 0)), "")</f>
        <v/>
      </c>
      <c r="H207" s="27" t="str">
        <f>IFERROR(INDEX('Base Exámenes'!$E$5:$E$1000, MATCH(A207, 'Base Exámenes'!$C$5:$C$1000, 0)), "")</f>
        <v/>
      </c>
      <c r="I207" s="26" t="str">
        <f>IFERROR(INDEX('Base Exámenes'!$F$5:$F$1000, MATCH(A207, 'Base Exámenes'!$C$5:$C$1000, 0)), "")</f>
        <v/>
      </c>
      <c r="J207" s="6" t="str">
        <f>IFERROR(INDEX('Base Exámenes'!$G$5:$G$1000, MATCH(A207, 'Base Exámenes'!$C$5:$C$1000, 0)), "")</f>
        <v/>
      </c>
      <c r="K207" s="6" t="str">
        <f>IFERROR(INDEX('Base Exámenes'!$H$5:$H$1000, MATCH(A207, 'Base Exámenes'!$C$5:$C$1000,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7">
        <f>IFERROR(INDEX('Base Exámenes'!$D$5:$D$1000, MATCH(A208, 'Base Exámenes'!$C$5:$C$1000, 0)), "")</f>
        <v>46302.59699074074</v>
      </c>
      <c r="H208" s="27">
        <f>IFERROR(INDEX('Base Exámenes'!$E$5:$E$1000, MATCH(A208, 'Base Exámenes'!$C$5:$C$1000, 0)), "")</f>
        <v>46302.59866898148</v>
      </c>
      <c r="I208" s="26">
        <f>IFERROR(INDEX('Base Exámenes'!$F$5:$F$1000, MATCH(A208, 'Base Exámenes'!$C$5:$C$1000, 0)), "")</f>
        <v>2.41666666666667</v>
      </c>
      <c r="J208" s="6">
        <f>IFERROR(INDEX('Base Exámenes'!$G$5:$G$1000, MATCH(A208, 'Base Exámenes'!$C$5:$C$1000, 0)), "")</f>
        <v>100</v>
      </c>
      <c r="K208" s="6" t="str">
        <f>IFERROR(INDEX('Base Exámenes'!$H$5:$H$1000, MATCH(A208, 'Base Exámenes'!$C$5:$C$1000,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7" t="str">
        <f>IFERROR(INDEX('Base Exámenes'!$D$5:$D$1000, MATCH(A209, 'Base Exámenes'!$C$5:$C$1000, 0)), "")</f>
        <v/>
      </c>
      <c r="H209" s="27" t="str">
        <f>IFERROR(INDEX('Base Exámenes'!$E$5:$E$1000, MATCH(A209, 'Base Exámenes'!$C$5:$C$1000, 0)), "")</f>
        <v/>
      </c>
      <c r="I209" s="26" t="str">
        <f>IFERROR(INDEX('Base Exámenes'!$F$5:$F$1000, MATCH(A209, 'Base Exámenes'!$C$5:$C$1000, 0)), "")</f>
        <v/>
      </c>
      <c r="J209" s="6" t="str">
        <f>IFERROR(INDEX('Base Exámenes'!$G$5:$G$1000, MATCH(A209, 'Base Exámenes'!$C$5:$C$1000, 0)), "")</f>
        <v/>
      </c>
      <c r="K209" s="6" t="str">
        <f>IFERROR(INDEX('Base Exámenes'!$H$5:$H$1000, MATCH(A209, 'Base Exámenes'!$C$5:$C$1000,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Pendiente</v>
      </c>
      <c r="G210" s="27" t="str">
        <f>IFERROR(INDEX('Base Exámenes'!$D$5:$D$1000, MATCH(A210, 'Base Exámenes'!$C$5:$C$1000, 0)), "")</f>
        <v/>
      </c>
      <c r="H210" s="27" t="str">
        <f>IFERROR(INDEX('Base Exámenes'!$E$5:$E$1000, MATCH(A210, 'Base Exámenes'!$C$5:$C$1000, 0)), "")</f>
        <v/>
      </c>
      <c r="I210" s="26" t="str">
        <f>IFERROR(INDEX('Base Exámenes'!$F$5:$F$1000, MATCH(A210, 'Base Exámenes'!$C$5:$C$1000, 0)), "")</f>
        <v/>
      </c>
      <c r="J210" s="6" t="str">
        <f>IFERROR(INDEX('Base Exámenes'!$G$5:$G$1000, MATCH(A210, 'Base Exámenes'!$C$5:$C$1000, 0)), "")</f>
        <v/>
      </c>
      <c r="K210" s="6" t="str">
        <f>IFERROR(INDEX('Base Exámenes'!$H$5:$H$1000, MATCH(A210, 'Base Exámenes'!$C$5:$C$1000,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Pendiente</v>
      </c>
      <c r="G211" s="27" t="str">
        <f>IFERROR(INDEX('Base Exámenes'!$D$5:$D$1000, MATCH(A211, 'Base Exámenes'!$C$5:$C$1000, 0)), "")</f>
        <v/>
      </c>
      <c r="H211" s="27" t="str">
        <f>IFERROR(INDEX('Base Exámenes'!$E$5:$E$1000, MATCH(A211, 'Base Exámenes'!$C$5:$C$1000, 0)), "")</f>
        <v/>
      </c>
      <c r="I211" s="26" t="str">
        <f>IFERROR(INDEX('Base Exámenes'!$F$5:$F$1000, MATCH(A211, 'Base Exámenes'!$C$5:$C$1000, 0)), "")</f>
        <v/>
      </c>
      <c r="J211" s="6" t="str">
        <f>IFERROR(INDEX('Base Exámenes'!$G$5:$G$1000, MATCH(A211, 'Base Exámenes'!$C$5:$C$1000, 0)), "")</f>
        <v/>
      </c>
      <c r="K211" s="6" t="str">
        <f>IFERROR(INDEX('Base Exámenes'!$H$5:$H$1000, MATCH(A211, 'Base Exámenes'!$C$5:$C$1000,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7">
        <f>IFERROR(INDEX('Base Exámenes'!$D$5:$D$1000, MATCH(A212, 'Base Exámenes'!$C$5:$C$1000, 0)), "")</f>
        <v>46296.47090277778</v>
      </c>
      <c r="H212" s="27">
        <f>IFERROR(INDEX('Base Exámenes'!$E$5:$E$1000, MATCH(A212, 'Base Exámenes'!$C$5:$C$1000, 0)), "")</f>
        <v>46296.47634259259</v>
      </c>
      <c r="I212" s="26">
        <f>IFERROR(INDEX('Base Exámenes'!$F$5:$F$1000, MATCH(A212, 'Base Exámenes'!$C$5:$C$1000, 0)), "")</f>
        <v>7.83333333333333</v>
      </c>
      <c r="J212" s="6">
        <f>IFERROR(INDEX('Base Exámenes'!$G$5:$G$1000, MATCH(A212, 'Base Exámenes'!$C$5:$C$1000, 0)), "")</f>
        <v>100</v>
      </c>
      <c r="K212" s="6" t="str">
        <f>IFERROR(INDEX('Base Exámenes'!$H$5:$H$1000, MATCH(A212, 'Base Exámenes'!$C$5:$C$1000,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7" t="str">
        <f>IFERROR(INDEX('Base Exámenes'!$D$5:$D$1000, MATCH(A213, 'Base Exámenes'!$C$5:$C$1000, 0)), "")</f>
        <v/>
      </c>
      <c r="H213" s="27" t="str">
        <f>IFERROR(INDEX('Base Exámenes'!$E$5:$E$1000, MATCH(A213, 'Base Exámenes'!$C$5:$C$1000, 0)), "")</f>
        <v/>
      </c>
      <c r="I213" s="26" t="str">
        <f>IFERROR(INDEX('Base Exámenes'!$F$5:$F$1000, MATCH(A213, 'Base Exámenes'!$C$5:$C$1000, 0)), "")</f>
        <v/>
      </c>
      <c r="J213" s="6" t="str">
        <f>IFERROR(INDEX('Base Exámenes'!$G$5:$G$1000, MATCH(A213, 'Base Exámenes'!$C$5:$C$1000, 0)), "")</f>
        <v/>
      </c>
      <c r="K213" s="6" t="str">
        <f>IFERROR(INDEX('Base Exámenes'!$H$5:$H$1000, MATCH(A213, 'Base Exámenes'!$C$5:$C$1000,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Pendiente</v>
      </c>
      <c r="G214" s="27" t="str">
        <f>IFERROR(INDEX('Base Exámenes'!$D$5:$D$1000, MATCH(A214, 'Base Exámenes'!$C$5:$C$1000, 0)), "")</f>
        <v/>
      </c>
      <c r="H214" s="27" t="str">
        <f>IFERROR(INDEX('Base Exámenes'!$E$5:$E$1000, MATCH(A214, 'Base Exámenes'!$C$5:$C$1000, 0)), "")</f>
        <v/>
      </c>
      <c r="I214" s="26" t="str">
        <f>IFERROR(INDEX('Base Exámenes'!$F$5:$F$1000, MATCH(A214, 'Base Exámenes'!$C$5:$C$1000, 0)), "")</f>
        <v/>
      </c>
      <c r="J214" s="6" t="str">
        <f>IFERROR(INDEX('Base Exámenes'!$G$5:$G$1000, MATCH(A214, 'Base Exámenes'!$C$5:$C$1000, 0)), "")</f>
        <v/>
      </c>
      <c r="K214" s="6" t="str">
        <f>IFERROR(INDEX('Base Exámenes'!$H$5:$H$1000, MATCH(A214, 'Base Exámenes'!$C$5:$C$1000,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7">
        <f>IFERROR(INDEX('Base Exámenes'!$D$5:$D$1000, MATCH(A215, 'Base Exámenes'!$C$5:$C$1000, 0)), "")</f>
        <v>46305.39409722222</v>
      </c>
      <c r="H215" s="27">
        <f>IFERROR(INDEX('Base Exámenes'!$E$5:$E$1000, MATCH(A215, 'Base Exámenes'!$C$5:$C$1000, 0)), "")</f>
        <v>46305.407002314816</v>
      </c>
      <c r="I215" s="26">
        <f>IFERROR(INDEX('Base Exámenes'!$F$5:$F$1000, MATCH(A215, 'Base Exámenes'!$C$5:$C$1000, 0)), "")</f>
        <v>18.58333335025</v>
      </c>
      <c r="J215" s="6">
        <f>IFERROR(INDEX('Base Exámenes'!$G$5:$G$1000, MATCH(A215, 'Base Exámenes'!$C$5:$C$1000, 0)), "")</f>
        <v>100</v>
      </c>
      <c r="K215" s="6" t="str">
        <f>IFERROR(INDEX('Base Exámenes'!$H$5:$H$1000, MATCH(A215, 'Base Exámenes'!$C$5:$C$1000,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Pendiente</v>
      </c>
      <c r="G216" s="27" t="str">
        <f>IFERROR(INDEX('Base Exámenes'!$D$5:$D$1000, MATCH(A216, 'Base Exámenes'!$C$5:$C$1000, 0)), "")</f>
        <v/>
      </c>
      <c r="H216" s="27" t="str">
        <f>IFERROR(INDEX('Base Exámenes'!$E$5:$E$1000, MATCH(A216, 'Base Exámenes'!$C$5:$C$1000, 0)), "")</f>
        <v/>
      </c>
      <c r="I216" s="26" t="str">
        <f>IFERROR(INDEX('Base Exámenes'!$F$5:$F$1000, MATCH(A216, 'Base Exámenes'!$C$5:$C$1000, 0)), "")</f>
        <v/>
      </c>
      <c r="J216" s="6" t="str">
        <f>IFERROR(INDEX('Base Exámenes'!$G$5:$G$1000, MATCH(A216, 'Base Exámenes'!$C$5:$C$1000, 0)), "")</f>
        <v/>
      </c>
      <c r="K216" s="6" t="str">
        <f>IFERROR(INDEX('Base Exámenes'!$H$5:$H$1000, MATCH(A216, 'Base Exámenes'!$C$5:$C$1000,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7">
        <f>IFERROR(INDEX('Base Exámenes'!$D$5:$D$1000, MATCH(A217, 'Base Exámenes'!$C$5:$C$1000, 0)), "")</f>
        <v>46305.38912037037</v>
      </c>
      <c r="H217" s="27">
        <f>IFERROR(INDEX('Base Exámenes'!$E$5:$E$1000, MATCH(A217, 'Base Exámenes'!$C$5:$C$1000, 0)), "")</f>
        <v>46305.39891203704</v>
      </c>
      <c r="I217" s="26">
        <f>IFERROR(INDEX('Base Exámenes'!$F$5:$F$1000, MATCH(A217, 'Base Exámenes'!$C$5:$C$1000, 0)), "")</f>
        <v>14.1</v>
      </c>
      <c r="J217" s="6">
        <f>IFERROR(INDEX('Base Exámenes'!$G$5:$G$1000, MATCH(A217, 'Base Exámenes'!$C$5:$C$1000, 0)), "")</f>
        <v>100</v>
      </c>
      <c r="K217" s="6" t="str">
        <f>IFERROR(INDEX('Base Exámenes'!$H$5:$H$1000, MATCH(A217, 'Base Exámenes'!$C$5:$C$1000,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Pendiente</v>
      </c>
      <c r="G218" s="27" t="str">
        <f>IFERROR(INDEX('Base Exámenes'!$D$5:$D$1000, MATCH(A218, 'Base Exámenes'!$C$5:$C$1000, 0)), "")</f>
        <v/>
      </c>
      <c r="H218" s="27" t="str">
        <f>IFERROR(INDEX('Base Exámenes'!$E$5:$E$1000, MATCH(A218, 'Base Exámenes'!$C$5:$C$1000, 0)), "")</f>
        <v/>
      </c>
      <c r="I218" s="26" t="str">
        <f>IFERROR(INDEX('Base Exámenes'!$F$5:$F$1000, MATCH(A218, 'Base Exámenes'!$C$5:$C$1000, 0)), "")</f>
        <v/>
      </c>
      <c r="J218" s="6" t="str">
        <f>IFERROR(INDEX('Base Exámenes'!$G$5:$G$1000, MATCH(A218, 'Base Exámenes'!$C$5:$C$1000, 0)), "")</f>
        <v/>
      </c>
      <c r="K218" s="6" t="str">
        <f>IFERROR(INDEX('Base Exámenes'!$H$5:$H$1000, MATCH(A218, 'Base Exámenes'!$C$5:$C$1000,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Pendiente</v>
      </c>
      <c r="G219" s="27" t="str">
        <f>IFERROR(INDEX('Base Exámenes'!$D$5:$D$1000, MATCH(A219, 'Base Exámenes'!$C$5:$C$1000, 0)), "")</f>
        <v/>
      </c>
      <c r="H219" s="27" t="str">
        <f>IFERROR(INDEX('Base Exámenes'!$E$5:$E$1000, MATCH(A219, 'Base Exámenes'!$C$5:$C$1000, 0)), "")</f>
        <v/>
      </c>
      <c r="I219" s="26" t="str">
        <f>IFERROR(INDEX('Base Exámenes'!$F$5:$F$1000, MATCH(A219, 'Base Exámenes'!$C$5:$C$1000, 0)), "")</f>
        <v/>
      </c>
      <c r="J219" s="6" t="str">
        <f>IFERROR(INDEX('Base Exámenes'!$G$5:$G$1000, MATCH(A219, 'Base Exámenes'!$C$5:$C$1000, 0)), "")</f>
        <v/>
      </c>
      <c r="K219" s="6" t="str">
        <f>IFERROR(INDEX('Base Exámenes'!$H$5:$H$1000, MATCH(A219, 'Base Exámenes'!$C$5:$C$1000,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Pendiente</v>
      </c>
      <c r="G220" s="27" t="str">
        <f>IFERROR(INDEX('Base Exámenes'!$D$5:$D$1000, MATCH(A220, 'Base Exámenes'!$C$5:$C$1000, 0)), "")</f>
        <v/>
      </c>
      <c r="H220" s="27" t="str">
        <f>IFERROR(INDEX('Base Exámenes'!$E$5:$E$1000, MATCH(A220, 'Base Exámenes'!$C$5:$C$1000, 0)), "")</f>
        <v/>
      </c>
      <c r="I220" s="26" t="str">
        <f>IFERROR(INDEX('Base Exámenes'!$F$5:$F$1000, MATCH(A220, 'Base Exámenes'!$C$5:$C$1000, 0)), "")</f>
        <v/>
      </c>
      <c r="J220" s="6" t="str">
        <f>IFERROR(INDEX('Base Exámenes'!$G$5:$G$1000, MATCH(A220, 'Base Exámenes'!$C$5:$C$1000, 0)), "")</f>
        <v/>
      </c>
      <c r="K220" s="6" t="str">
        <f>IFERROR(INDEX('Base Exámenes'!$H$5:$H$1000, MATCH(A220, 'Base Exámenes'!$C$5:$C$1000,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7">
        <f>IFERROR(INDEX('Base Exámenes'!$D$5:$D$1000, MATCH(A221, 'Base Exámenes'!$C$5:$C$1000, 0)), "")</f>
        <v>46296.43491898148</v>
      </c>
      <c r="H221" s="27">
        <f>IFERROR(INDEX('Base Exámenes'!$E$5:$E$1000, MATCH(A221, 'Base Exámenes'!$C$5:$C$1000, 0)), "")</f>
        <v>46296.44064814815</v>
      </c>
      <c r="I221" s="26">
        <f>IFERROR(INDEX('Base Exámenes'!$F$5:$F$1000, MATCH(A221, 'Base Exámenes'!$C$5:$C$1000, 0)), "")</f>
        <v>8.25</v>
      </c>
      <c r="J221" s="6">
        <f>IFERROR(INDEX('Base Exámenes'!$G$5:$G$1000, MATCH(A221, 'Base Exámenes'!$C$5:$C$1000, 0)), "")</f>
        <v>100</v>
      </c>
      <c r="K221" s="6" t="str">
        <f>IFERROR(INDEX('Base Exámenes'!$H$5:$H$1000, MATCH(A221, 'Base Exámenes'!$C$5:$C$1000,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7">
        <f>IFERROR(INDEX('Base Exámenes'!$D$5:$D$1000, MATCH(A222, 'Base Exámenes'!$C$5:$C$1000, 0)), "")</f>
        <v>46296.48715277778</v>
      </c>
      <c r="H222" s="27">
        <f>IFERROR(INDEX('Base Exámenes'!$E$5:$E$1000, MATCH(A222, 'Base Exámenes'!$C$5:$C$1000, 0)), "")</f>
        <v>46296.49199074074</v>
      </c>
      <c r="I222" s="26">
        <f>IFERROR(INDEX('Base Exámenes'!$F$5:$F$1000, MATCH(A222, 'Base Exámenes'!$C$5:$C$1000, 0)), "")</f>
        <v>6.96666666666667</v>
      </c>
      <c r="J222" s="6">
        <f>IFERROR(INDEX('Base Exámenes'!$G$5:$G$1000, MATCH(A222, 'Base Exámenes'!$C$5:$C$1000, 0)), "")</f>
        <v>90</v>
      </c>
      <c r="K222" s="6" t="str">
        <f>IFERROR(INDEX('Base Exámenes'!$H$5:$H$1000, MATCH(A222, 'Base Exámenes'!$C$5:$C$1000,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7">
        <f>IFERROR(INDEX('Base Exámenes'!$D$5:$D$1000, MATCH(A223, 'Base Exámenes'!$C$5:$C$1000, 0)), "")</f>
        <v>46296.44636574074</v>
      </c>
      <c r="H223" s="27">
        <f>IFERROR(INDEX('Base Exámenes'!$E$5:$E$1000, MATCH(A223, 'Base Exámenes'!$C$5:$C$1000, 0)), "")</f>
        <v>46296.44844907407</v>
      </c>
      <c r="I223" s="26">
        <f>IFERROR(INDEX('Base Exámenes'!$F$5:$F$1000, MATCH(A223, 'Base Exámenes'!$C$5:$C$1000, 0)), "")</f>
        <v>3</v>
      </c>
      <c r="J223" s="6">
        <f>IFERROR(INDEX('Base Exámenes'!$G$5:$G$1000, MATCH(A223, 'Base Exámenes'!$C$5:$C$1000, 0)), "")</f>
        <v>100</v>
      </c>
      <c r="K223" s="6" t="str">
        <f>IFERROR(INDEX('Base Exámenes'!$H$5:$H$1000, MATCH(A223, 'Base Exámenes'!$C$5:$C$1000,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7">
        <f>IFERROR(INDEX('Base Exámenes'!$D$5:$D$1000, MATCH(A224, 'Base Exámenes'!$C$5:$C$1000, 0)), "")</f>
        <v>46296.44934027778</v>
      </c>
      <c r="H224" s="27">
        <f>IFERROR(INDEX('Base Exámenes'!$E$5:$E$1000, MATCH(A224, 'Base Exámenes'!$C$5:$C$1000, 0)), "")</f>
        <v>46296.45449074074</v>
      </c>
      <c r="I224" s="26">
        <f>IFERROR(INDEX('Base Exámenes'!$F$5:$F$1000, MATCH(A224, 'Base Exámenes'!$C$5:$C$1000, 0)), "")</f>
        <v>7.41666666666667</v>
      </c>
      <c r="J224" s="6">
        <f>IFERROR(INDEX('Base Exámenes'!$G$5:$G$1000, MATCH(A224, 'Base Exámenes'!$C$5:$C$1000, 0)), "")</f>
        <v>100</v>
      </c>
      <c r="K224" s="6" t="str">
        <f>IFERROR(INDEX('Base Exámenes'!$H$5:$H$1000, MATCH(A224, 'Base Exámenes'!$C$5:$C$1000,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7">
        <f>IFERROR(INDEX('Base Exámenes'!$D$5:$D$1000, MATCH(A225, 'Base Exámenes'!$C$5:$C$1000, 0)), "")</f>
        <v>46296.44304398148</v>
      </c>
      <c r="H225" s="27">
        <f>IFERROR(INDEX('Base Exámenes'!$E$5:$E$1000, MATCH(A225, 'Base Exámenes'!$C$5:$C$1000, 0)), "")</f>
        <v>46296.44540509259</v>
      </c>
      <c r="I225" s="26">
        <f>IFERROR(INDEX('Base Exámenes'!$F$5:$F$1000, MATCH(A225, 'Base Exámenes'!$C$5:$C$1000, 0)), "")</f>
        <v>3.4</v>
      </c>
      <c r="J225" s="6">
        <f>IFERROR(INDEX('Base Exámenes'!$G$5:$G$1000, MATCH(A225, 'Base Exámenes'!$C$5:$C$1000, 0)), "")</f>
        <v>100</v>
      </c>
      <c r="K225" s="6" t="str">
        <f>IFERROR(INDEX('Base Exámenes'!$H$5:$H$1000, MATCH(A225, 'Base Exámenes'!$C$5:$C$1000,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7">
        <f>IFERROR(INDEX('Base Exámenes'!$D$5:$D$1000, MATCH(A226, 'Base Exámenes'!$C$5:$C$1000, 0)), "")</f>
        <v>46296.45601851852</v>
      </c>
      <c r="H226" s="27">
        <f>IFERROR(INDEX('Base Exámenes'!$E$5:$E$1000, MATCH(A226, 'Base Exámenes'!$C$5:$C$1000, 0)), "")</f>
        <v>46296.45806712963</v>
      </c>
      <c r="I226" s="26">
        <f>IFERROR(INDEX('Base Exámenes'!$F$5:$F$1000, MATCH(A226, 'Base Exámenes'!$C$5:$C$1000, 0)), "")</f>
        <v>2.95</v>
      </c>
      <c r="J226" s="6">
        <f>IFERROR(INDEX('Base Exámenes'!$G$5:$G$1000, MATCH(A226, 'Base Exámenes'!$C$5:$C$1000, 0)), "")</f>
        <v>100</v>
      </c>
      <c r="K226" s="6" t="str">
        <f>IFERROR(INDEX('Base Exámenes'!$H$5:$H$1000, MATCH(A226, 'Base Exámenes'!$C$5:$C$1000,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7">
        <f>IFERROR(INDEX('Base Exámenes'!$D$5:$D$1000, MATCH(A227, 'Base Exámenes'!$C$5:$C$1000, 0)), "")</f>
        <v>46296.44934027778</v>
      </c>
      <c r="H227" s="27">
        <f>IFERROR(INDEX('Base Exámenes'!$E$5:$E$1000, MATCH(A227, 'Base Exámenes'!$C$5:$C$1000, 0)), "")</f>
        <v>46296.45224537037</v>
      </c>
      <c r="I227" s="26">
        <f>IFERROR(INDEX('Base Exámenes'!$F$5:$F$1000, MATCH(A227, 'Base Exámenes'!$C$5:$C$1000, 0)), "")</f>
        <v>4.18333333333333</v>
      </c>
      <c r="J227" s="6">
        <f>IFERROR(INDEX('Base Exámenes'!$G$5:$G$1000, MATCH(A227, 'Base Exámenes'!$C$5:$C$1000, 0)), "")</f>
        <v>100</v>
      </c>
      <c r="K227" s="6" t="str">
        <f>IFERROR(INDEX('Base Exámenes'!$H$5:$H$1000, MATCH(A227, 'Base Exámenes'!$C$5:$C$1000,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7" t="str">
        <f>IFERROR(INDEX('Base Exámenes'!$D$5:$D$1000, MATCH(A228, 'Base Exámenes'!$C$5:$C$1000, 0)), "")</f>
        <v/>
      </c>
      <c r="H228" s="27" t="str">
        <f>IFERROR(INDEX('Base Exámenes'!$E$5:$E$1000, MATCH(A228, 'Base Exámenes'!$C$5:$C$1000, 0)), "")</f>
        <v/>
      </c>
      <c r="I228" s="26" t="str">
        <f>IFERROR(INDEX('Base Exámenes'!$F$5:$F$1000, MATCH(A228, 'Base Exámenes'!$C$5:$C$1000, 0)), "")</f>
        <v/>
      </c>
      <c r="J228" s="6" t="str">
        <f>IFERROR(INDEX('Base Exámenes'!$G$5:$G$1000, MATCH(A228, 'Base Exámenes'!$C$5:$C$1000, 0)), "")</f>
        <v/>
      </c>
      <c r="K228" s="6" t="str">
        <f>IFERROR(INDEX('Base Exámenes'!$H$5:$H$1000, MATCH(A228, 'Base Exámenes'!$C$5:$C$1000,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7" t="str">
        <f>IFERROR(INDEX('Base Exámenes'!$D$5:$D$1000, MATCH(A229, 'Base Exámenes'!$C$5:$C$1000, 0)), "")</f>
        <v/>
      </c>
      <c r="H229" s="27" t="str">
        <f>IFERROR(INDEX('Base Exámenes'!$E$5:$E$1000, MATCH(A229, 'Base Exámenes'!$C$5:$C$1000, 0)), "")</f>
        <v/>
      </c>
      <c r="I229" s="26" t="str">
        <f>IFERROR(INDEX('Base Exámenes'!$F$5:$F$1000, MATCH(A229, 'Base Exámenes'!$C$5:$C$1000, 0)), "")</f>
        <v/>
      </c>
      <c r="J229" s="6" t="str">
        <f>IFERROR(INDEX('Base Exámenes'!$G$5:$G$1000, MATCH(A229, 'Base Exámenes'!$C$5:$C$1000, 0)), "")</f>
        <v/>
      </c>
      <c r="K229" s="6" t="str">
        <f>IFERROR(INDEX('Base Exámenes'!$H$5:$H$1000, MATCH(A229, 'Base Exámenes'!$C$5:$C$1000,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Pendiente</v>
      </c>
      <c r="G230" s="27" t="str">
        <f>IFERROR(INDEX('Base Exámenes'!$D$5:$D$1000, MATCH(A230, 'Base Exámenes'!$C$5:$C$1000, 0)), "")</f>
        <v/>
      </c>
      <c r="H230" s="27" t="str">
        <f>IFERROR(INDEX('Base Exámenes'!$E$5:$E$1000, MATCH(A230, 'Base Exámenes'!$C$5:$C$1000, 0)), "")</f>
        <v/>
      </c>
      <c r="I230" s="26" t="str">
        <f>IFERROR(INDEX('Base Exámenes'!$F$5:$F$1000, MATCH(A230, 'Base Exámenes'!$C$5:$C$1000, 0)), "")</f>
        <v/>
      </c>
      <c r="J230" s="6" t="str">
        <f>IFERROR(INDEX('Base Exámenes'!$G$5:$G$1000, MATCH(A230, 'Base Exámenes'!$C$5:$C$1000, 0)), "")</f>
        <v/>
      </c>
      <c r="K230" s="6" t="str">
        <f>IFERROR(INDEX('Base Exámenes'!$H$5:$H$1000, MATCH(A230, 'Base Exámenes'!$C$5:$C$1000,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Pendiente</v>
      </c>
      <c r="G231" s="27" t="str">
        <f>IFERROR(INDEX('Base Exámenes'!$D$5:$D$1000, MATCH(A231, 'Base Exámenes'!$C$5:$C$1000, 0)), "")</f>
        <v/>
      </c>
      <c r="H231" s="27" t="str">
        <f>IFERROR(INDEX('Base Exámenes'!$E$5:$E$1000, MATCH(A231, 'Base Exámenes'!$C$5:$C$1000, 0)), "")</f>
        <v/>
      </c>
      <c r="I231" s="26" t="str">
        <f>IFERROR(INDEX('Base Exámenes'!$F$5:$F$1000, MATCH(A231, 'Base Exámenes'!$C$5:$C$1000, 0)), "")</f>
        <v/>
      </c>
      <c r="J231" s="6" t="str">
        <f>IFERROR(INDEX('Base Exámenes'!$G$5:$G$1000, MATCH(A231, 'Base Exámenes'!$C$5:$C$1000, 0)), "")</f>
        <v/>
      </c>
      <c r="K231" s="6" t="str">
        <f>IFERROR(INDEX('Base Exámenes'!$H$5:$H$1000, MATCH(A231, 'Base Exámenes'!$C$5:$C$1000,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7" t="str">
        <f>IFERROR(INDEX('Base Exámenes'!$D$5:$D$1000, MATCH(A232, 'Base Exámenes'!$C$5:$C$1000, 0)), "")</f>
        <v/>
      </c>
      <c r="H232" s="27" t="str">
        <f>IFERROR(INDEX('Base Exámenes'!$E$5:$E$1000, MATCH(A232, 'Base Exámenes'!$C$5:$C$1000, 0)), "")</f>
        <v/>
      </c>
      <c r="I232" s="26" t="str">
        <f>IFERROR(INDEX('Base Exámenes'!$F$5:$F$1000, MATCH(A232, 'Base Exámenes'!$C$5:$C$1000, 0)), "")</f>
        <v/>
      </c>
      <c r="J232" s="6" t="str">
        <f>IFERROR(INDEX('Base Exámenes'!$G$5:$G$1000, MATCH(A232, 'Base Exámenes'!$C$5:$C$1000, 0)), "")</f>
        <v/>
      </c>
      <c r="K232" s="6" t="str">
        <f>IFERROR(INDEX('Base Exámenes'!$H$5:$H$1000, MATCH(A232, 'Base Exámenes'!$C$5:$C$1000,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Pendiente</v>
      </c>
      <c r="G233" s="27" t="str">
        <f>IFERROR(INDEX('Base Exámenes'!$D$5:$D$1000, MATCH(A233, 'Base Exámenes'!$C$5:$C$1000, 0)), "")</f>
        <v/>
      </c>
      <c r="H233" s="27" t="str">
        <f>IFERROR(INDEX('Base Exámenes'!$E$5:$E$1000, MATCH(A233, 'Base Exámenes'!$C$5:$C$1000, 0)), "")</f>
        <v/>
      </c>
      <c r="I233" s="26" t="str">
        <f>IFERROR(INDEX('Base Exámenes'!$F$5:$F$1000, MATCH(A233, 'Base Exámenes'!$C$5:$C$1000, 0)), "")</f>
        <v/>
      </c>
      <c r="J233" s="6" t="str">
        <f>IFERROR(INDEX('Base Exámenes'!$G$5:$G$1000, MATCH(A233, 'Base Exámenes'!$C$5:$C$1000, 0)), "")</f>
        <v/>
      </c>
      <c r="K233" s="6" t="str">
        <f>IFERROR(INDEX('Base Exámenes'!$H$5:$H$1000, MATCH(A233, 'Base Exámenes'!$C$5:$C$1000,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7" t="str">
        <f>IFERROR(INDEX('Base Exámenes'!$D$5:$D$1000, MATCH(A234, 'Base Exámenes'!$C$5:$C$1000, 0)), "")</f>
        <v/>
      </c>
      <c r="H234" s="27" t="str">
        <f>IFERROR(INDEX('Base Exámenes'!$E$5:$E$1000, MATCH(A234, 'Base Exámenes'!$C$5:$C$1000, 0)), "")</f>
        <v/>
      </c>
      <c r="I234" s="26" t="str">
        <f>IFERROR(INDEX('Base Exámenes'!$F$5:$F$1000, MATCH(A234, 'Base Exámenes'!$C$5:$C$1000, 0)), "")</f>
        <v/>
      </c>
      <c r="J234" s="6" t="str">
        <f>IFERROR(INDEX('Base Exámenes'!$G$5:$G$1000, MATCH(A234, 'Base Exámenes'!$C$5:$C$1000, 0)), "")</f>
        <v/>
      </c>
      <c r="K234" s="6" t="str">
        <f>IFERROR(INDEX('Base Exámenes'!$H$5:$H$1000, MATCH(A234, 'Base Exámenes'!$C$5:$C$1000,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7" t="str">
        <f>IFERROR(INDEX('Base Exámenes'!$D$5:$D$1000, MATCH(A235, 'Base Exámenes'!$C$5:$C$1000, 0)), "")</f>
        <v/>
      </c>
      <c r="H235" s="27" t="str">
        <f>IFERROR(INDEX('Base Exámenes'!$E$5:$E$1000, MATCH(A235, 'Base Exámenes'!$C$5:$C$1000, 0)), "")</f>
        <v/>
      </c>
      <c r="I235" s="26" t="str">
        <f>IFERROR(INDEX('Base Exámenes'!$F$5:$F$1000, MATCH(A235, 'Base Exámenes'!$C$5:$C$1000, 0)), "")</f>
        <v/>
      </c>
      <c r="J235" s="6" t="str">
        <f>IFERROR(INDEX('Base Exámenes'!$G$5:$G$1000, MATCH(A235, 'Base Exámenes'!$C$5:$C$1000, 0)), "")</f>
        <v/>
      </c>
      <c r="K235" s="6" t="str">
        <f>IFERROR(INDEX('Base Exámenes'!$H$5:$H$1000, MATCH(A235, 'Base Exámenes'!$C$5:$C$1000,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Pendiente</v>
      </c>
      <c r="G236" s="27" t="str">
        <f>IFERROR(INDEX('Base Exámenes'!$D$5:$D$1000, MATCH(A236, 'Base Exámenes'!$C$5:$C$1000, 0)), "")</f>
        <v/>
      </c>
      <c r="H236" s="27" t="str">
        <f>IFERROR(INDEX('Base Exámenes'!$E$5:$E$1000, MATCH(A236, 'Base Exámenes'!$C$5:$C$1000, 0)), "")</f>
        <v/>
      </c>
      <c r="I236" s="26" t="str">
        <f>IFERROR(INDEX('Base Exámenes'!$F$5:$F$1000, MATCH(A236, 'Base Exámenes'!$C$5:$C$1000, 0)), "")</f>
        <v/>
      </c>
      <c r="J236" s="6" t="str">
        <f>IFERROR(INDEX('Base Exámenes'!$G$5:$G$1000, MATCH(A236, 'Base Exámenes'!$C$5:$C$1000, 0)), "")</f>
        <v/>
      </c>
      <c r="K236" s="6" t="str">
        <f>IFERROR(INDEX('Base Exámenes'!$H$5:$H$1000, MATCH(A236, 'Base Exámenes'!$C$5:$C$1000,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7" t="str">
        <f>IFERROR(INDEX('Base Exámenes'!$D$5:$D$1000, MATCH(A237, 'Base Exámenes'!$C$5:$C$1000, 0)), "")</f>
        <v/>
      </c>
      <c r="H237" s="27" t="str">
        <f>IFERROR(INDEX('Base Exámenes'!$E$5:$E$1000, MATCH(A237, 'Base Exámenes'!$C$5:$C$1000, 0)), "")</f>
        <v/>
      </c>
      <c r="I237" s="26" t="str">
        <f>IFERROR(INDEX('Base Exámenes'!$F$5:$F$1000, MATCH(A237, 'Base Exámenes'!$C$5:$C$1000, 0)), "")</f>
        <v/>
      </c>
      <c r="J237" s="6" t="str">
        <f>IFERROR(INDEX('Base Exámenes'!$G$5:$G$1000, MATCH(A237, 'Base Exámenes'!$C$5:$C$1000, 0)), "")</f>
        <v/>
      </c>
      <c r="K237" s="6" t="str">
        <f>IFERROR(INDEX('Base Exámenes'!$H$5:$H$1000, MATCH(A237, 'Base Exámenes'!$C$5:$C$1000,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7" t="str">
        <f>IFERROR(INDEX('Base Exámenes'!$D$5:$D$1000, MATCH(A238, 'Base Exámenes'!$C$5:$C$1000, 0)), "")</f>
        <v/>
      </c>
      <c r="H238" s="27" t="str">
        <f>IFERROR(INDEX('Base Exámenes'!$E$5:$E$1000, MATCH(A238, 'Base Exámenes'!$C$5:$C$1000, 0)), "")</f>
        <v/>
      </c>
      <c r="I238" s="26" t="str">
        <f>IFERROR(INDEX('Base Exámenes'!$F$5:$F$1000, MATCH(A238, 'Base Exámenes'!$C$5:$C$1000, 0)), "")</f>
        <v/>
      </c>
      <c r="J238" s="6" t="str">
        <f>IFERROR(INDEX('Base Exámenes'!$G$5:$G$1000, MATCH(A238, 'Base Exámenes'!$C$5:$C$1000, 0)), "")</f>
        <v/>
      </c>
      <c r="K238" s="6" t="str">
        <f>IFERROR(INDEX('Base Exámenes'!$H$5:$H$1000, MATCH(A238, 'Base Exámenes'!$C$5:$C$1000,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7" t="str">
        <f>IFERROR(INDEX('Base Exámenes'!$D$5:$D$1000, MATCH(A239, 'Base Exámenes'!$C$5:$C$1000, 0)), "")</f>
        <v/>
      </c>
      <c r="H239" s="27" t="str">
        <f>IFERROR(INDEX('Base Exámenes'!$E$5:$E$1000, MATCH(A239, 'Base Exámenes'!$C$5:$C$1000, 0)), "")</f>
        <v/>
      </c>
      <c r="I239" s="26" t="str">
        <f>IFERROR(INDEX('Base Exámenes'!$F$5:$F$1000, MATCH(A239, 'Base Exámenes'!$C$5:$C$1000, 0)), "")</f>
        <v/>
      </c>
      <c r="J239" s="6" t="str">
        <f>IFERROR(INDEX('Base Exámenes'!$G$5:$G$1000, MATCH(A239, 'Base Exámenes'!$C$5:$C$1000, 0)), "")</f>
        <v/>
      </c>
      <c r="K239" s="6" t="str">
        <f>IFERROR(INDEX('Base Exámenes'!$H$5:$H$1000, MATCH(A239, 'Base Exámenes'!$C$5:$C$1000,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7" t="str">
        <f>IFERROR(INDEX('Base Exámenes'!$D$5:$D$1000, MATCH(A240, 'Base Exámenes'!$C$5:$C$1000, 0)), "")</f>
        <v/>
      </c>
      <c r="H240" s="27" t="str">
        <f>IFERROR(INDEX('Base Exámenes'!$E$5:$E$1000, MATCH(A240, 'Base Exámenes'!$C$5:$C$1000, 0)), "")</f>
        <v/>
      </c>
      <c r="I240" s="26" t="str">
        <f>IFERROR(INDEX('Base Exámenes'!$F$5:$F$1000, MATCH(A240, 'Base Exámenes'!$C$5:$C$1000, 0)), "")</f>
        <v/>
      </c>
      <c r="J240" s="6" t="str">
        <f>IFERROR(INDEX('Base Exámenes'!$G$5:$G$1000, MATCH(A240, 'Base Exámenes'!$C$5:$C$1000, 0)), "")</f>
        <v/>
      </c>
      <c r="K240" s="6" t="str">
        <f>IFERROR(INDEX('Base Exámenes'!$H$5:$H$1000, MATCH(A240, 'Base Exámenes'!$C$5:$C$1000,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7" t="str">
        <f>IFERROR(INDEX('Base Exámenes'!$D$5:$D$1000, MATCH(A241, 'Base Exámenes'!$C$5:$C$1000, 0)), "")</f>
        <v/>
      </c>
      <c r="H241" s="27" t="str">
        <f>IFERROR(INDEX('Base Exámenes'!$E$5:$E$1000, MATCH(A241, 'Base Exámenes'!$C$5:$C$1000, 0)), "")</f>
        <v/>
      </c>
      <c r="I241" s="26" t="str">
        <f>IFERROR(INDEX('Base Exámenes'!$F$5:$F$1000, MATCH(A241, 'Base Exámenes'!$C$5:$C$1000, 0)), "")</f>
        <v/>
      </c>
      <c r="J241" s="6" t="str">
        <f>IFERROR(INDEX('Base Exámenes'!$G$5:$G$1000, MATCH(A241, 'Base Exámenes'!$C$5:$C$1000, 0)), "")</f>
        <v/>
      </c>
      <c r="K241" s="6" t="str">
        <f>IFERROR(INDEX('Base Exámenes'!$H$5:$H$1000, MATCH(A241, 'Base Exámenes'!$C$5:$C$1000,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Pendiente</v>
      </c>
      <c r="G242" s="27" t="str">
        <f>IFERROR(INDEX('Base Exámenes'!$D$5:$D$1000, MATCH(A242, 'Base Exámenes'!$C$5:$C$1000, 0)), "")</f>
        <v/>
      </c>
      <c r="H242" s="27" t="str">
        <f>IFERROR(INDEX('Base Exámenes'!$E$5:$E$1000, MATCH(A242, 'Base Exámenes'!$C$5:$C$1000, 0)), "")</f>
        <v/>
      </c>
      <c r="I242" s="26" t="str">
        <f>IFERROR(INDEX('Base Exámenes'!$F$5:$F$1000, MATCH(A242, 'Base Exámenes'!$C$5:$C$1000, 0)), "")</f>
        <v/>
      </c>
      <c r="J242" s="6" t="str">
        <f>IFERROR(INDEX('Base Exámenes'!$G$5:$G$1000, MATCH(A242, 'Base Exámenes'!$C$5:$C$1000, 0)), "")</f>
        <v/>
      </c>
      <c r="K242" s="6" t="str">
        <f>IFERROR(INDEX('Base Exámenes'!$H$5:$H$1000, MATCH(A242, 'Base Exámenes'!$C$5:$C$1000,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7" t="str">
        <f>IFERROR(INDEX('Base Exámenes'!$D$5:$D$1000, MATCH(A243, 'Base Exámenes'!$C$5:$C$1000, 0)), "")</f>
        <v/>
      </c>
      <c r="H243" s="27" t="str">
        <f>IFERROR(INDEX('Base Exámenes'!$E$5:$E$1000, MATCH(A243, 'Base Exámenes'!$C$5:$C$1000, 0)), "")</f>
        <v/>
      </c>
      <c r="I243" s="26" t="str">
        <f>IFERROR(INDEX('Base Exámenes'!$F$5:$F$1000, MATCH(A243, 'Base Exámenes'!$C$5:$C$1000, 0)), "")</f>
        <v/>
      </c>
      <c r="J243" s="6" t="str">
        <f>IFERROR(INDEX('Base Exámenes'!$G$5:$G$1000, MATCH(A243, 'Base Exámenes'!$C$5:$C$1000, 0)), "")</f>
        <v/>
      </c>
      <c r="K243" s="6" t="str">
        <f>IFERROR(INDEX('Base Exámenes'!$H$5:$H$1000, MATCH(A243, 'Base Exámenes'!$C$5:$C$1000,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7">
        <f>IFERROR(INDEX('Base Exámenes'!$D$5:$D$1000, MATCH(A244, 'Base Exámenes'!$C$5:$C$1000, 0)), "")</f>
        <v>46303.39310185185</v>
      </c>
      <c r="H244" s="27">
        <f>IFERROR(INDEX('Base Exámenes'!$E$5:$E$1000, MATCH(A244, 'Base Exámenes'!$C$5:$C$1000, 0)), "")</f>
        <v>46303.39640046296</v>
      </c>
      <c r="I244" s="26">
        <f>IFERROR(INDEX('Base Exámenes'!$F$5:$F$1000, MATCH(A244, 'Base Exámenes'!$C$5:$C$1000, 0)), "")</f>
        <v>4.75</v>
      </c>
      <c r="J244" s="6">
        <f>IFERROR(INDEX('Base Exámenes'!$G$5:$G$1000, MATCH(A244, 'Base Exámenes'!$C$5:$C$1000, 0)), "")</f>
        <v>100</v>
      </c>
      <c r="K244" s="6" t="str">
        <f>IFERROR(INDEX('Base Exámenes'!$H$5:$H$1000, MATCH(A244, 'Base Exámenes'!$C$5:$C$1000,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7">
        <f>IFERROR(INDEX('Base Exámenes'!$D$5:$D$1000, MATCH(A245, 'Base Exámenes'!$C$5:$C$1000, 0)), "")</f>
        <v>46303.45815972222</v>
      </c>
      <c r="H245" s="27">
        <f>IFERROR(INDEX('Base Exámenes'!$E$5:$E$1000, MATCH(A245, 'Base Exámenes'!$C$5:$C$1000, 0)), "")</f>
        <v>46303.46199074074</v>
      </c>
      <c r="I245" s="26">
        <f>IFERROR(INDEX('Base Exámenes'!$F$5:$F$1000, MATCH(A245, 'Base Exámenes'!$C$5:$C$1000, 0)), "")</f>
        <v>5.51666666666667</v>
      </c>
      <c r="J245" s="6">
        <f>IFERROR(INDEX('Base Exámenes'!$G$5:$G$1000, MATCH(A245, 'Base Exámenes'!$C$5:$C$1000, 0)), "")</f>
        <v>100</v>
      </c>
      <c r="K245" s="6" t="str">
        <f>IFERROR(INDEX('Base Exámenes'!$H$5:$H$1000, MATCH(A245, 'Base Exámenes'!$C$5:$C$1000,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7">
        <f>IFERROR(INDEX('Base Exámenes'!$D$5:$D$1000, MATCH(A246, 'Base Exámenes'!$C$5:$C$1000, 0)), "")</f>
        <v>46302.700208333335</v>
      </c>
      <c r="H246" s="27">
        <f>IFERROR(INDEX('Base Exámenes'!$E$5:$E$1000, MATCH(A246, 'Base Exámenes'!$C$5:$C$1000, 0)), "")</f>
        <v>46302.70259259259</v>
      </c>
      <c r="I246" s="26">
        <f>IFERROR(INDEX('Base Exámenes'!$F$5:$F$1000, MATCH(A246, 'Base Exámenes'!$C$5:$C$1000, 0)), "")</f>
        <v>3.43333333333333</v>
      </c>
      <c r="J246" s="6">
        <f>IFERROR(INDEX('Base Exámenes'!$G$5:$G$1000, MATCH(A246, 'Base Exámenes'!$C$5:$C$1000, 0)), "")</f>
        <v>100</v>
      </c>
      <c r="K246" s="6" t="str">
        <f>IFERROR(INDEX('Base Exámenes'!$H$5:$H$1000, MATCH(A246, 'Base Exámenes'!$C$5:$C$1000,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7" t="str">
        <f>IFERROR(INDEX('Base Exámenes'!$D$5:$D$1000, MATCH(A247, 'Base Exámenes'!$C$5:$C$1000, 0)), "")</f>
        <v/>
      </c>
      <c r="H247" s="27" t="str">
        <f>IFERROR(INDEX('Base Exámenes'!$E$5:$E$1000, MATCH(A247, 'Base Exámenes'!$C$5:$C$1000, 0)), "")</f>
        <v/>
      </c>
      <c r="I247" s="26" t="str">
        <f>IFERROR(INDEX('Base Exámenes'!$F$5:$F$1000, MATCH(A247, 'Base Exámenes'!$C$5:$C$1000, 0)), "")</f>
        <v/>
      </c>
      <c r="J247" s="6" t="str">
        <f>IFERROR(INDEX('Base Exámenes'!$G$5:$G$1000, MATCH(A247, 'Base Exámenes'!$C$5:$C$1000, 0)), "")</f>
        <v/>
      </c>
      <c r="K247" s="6" t="str">
        <f>IFERROR(INDEX('Base Exámenes'!$H$5:$H$1000, MATCH(A247, 'Base Exámenes'!$C$5:$C$1000,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7">
        <f>IFERROR(INDEX('Base Exámenes'!$D$5:$D$1000, MATCH(A248, 'Base Exámenes'!$C$5:$C$1000, 0)), "")</f>
        <v>46296.54665509259</v>
      </c>
      <c r="H248" s="27">
        <f>IFERROR(INDEX('Base Exámenes'!$E$5:$E$1000, MATCH(A248, 'Base Exámenes'!$C$5:$C$1000, 0)), "")</f>
        <v>46296.55247685185</v>
      </c>
      <c r="I248" s="26">
        <f>IFERROR(INDEX('Base Exámenes'!$F$5:$F$1000, MATCH(A248, 'Base Exámenes'!$C$5:$C$1000, 0)), "")</f>
        <v>8.38333333333333</v>
      </c>
      <c r="J248" s="6">
        <f>IFERROR(INDEX('Base Exámenes'!$G$5:$G$1000, MATCH(A248, 'Base Exámenes'!$C$5:$C$1000, 0)), "")</f>
        <v>70</v>
      </c>
      <c r="K248" s="6" t="str">
        <f>IFERROR(INDEX('Base Exámenes'!$H$5:$H$1000, MATCH(A248, 'Base Exámenes'!$C$5:$C$1000,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7">
        <f>IFERROR(INDEX('Base Exámenes'!$D$5:$D$1000, MATCH(A249, 'Base Exámenes'!$C$5:$C$1000, 0)), "")</f>
        <v>46302.55385416667</v>
      </c>
      <c r="H249" s="27">
        <f>IFERROR(INDEX('Base Exámenes'!$E$5:$E$1000, MATCH(A249, 'Base Exámenes'!$C$5:$C$1000, 0)), "")</f>
        <v>46302.561886574076</v>
      </c>
      <c r="I249" s="26">
        <f>IFERROR(INDEX('Base Exámenes'!$F$5:$F$1000, MATCH(A249, 'Base Exámenes'!$C$5:$C$1000, 0)), "")</f>
        <v>11.5666666666667</v>
      </c>
      <c r="J249" s="6">
        <f>IFERROR(INDEX('Base Exámenes'!$G$5:$G$1000, MATCH(A249, 'Base Exámenes'!$C$5:$C$1000, 0)), "")</f>
        <v>100</v>
      </c>
      <c r="K249" s="6" t="str">
        <f>IFERROR(INDEX('Base Exámenes'!$H$5:$H$1000, MATCH(A249, 'Base Exámenes'!$C$5:$C$1000,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7">
        <f>IFERROR(INDEX('Base Exámenes'!$D$5:$D$1000, MATCH(A250, 'Base Exámenes'!$C$5:$C$1000, 0)), "")</f>
        <v>46302.5837962963</v>
      </c>
      <c r="H250" s="27">
        <f>IFERROR(INDEX('Base Exámenes'!$E$5:$E$1000, MATCH(A250, 'Base Exámenes'!$C$5:$C$1000, 0)), "")</f>
        <v>46302.58609953704</v>
      </c>
      <c r="I250" s="26">
        <f>IFERROR(INDEX('Base Exámenes'!$F$5:$F$1000, MATCH(A250, 'Base Exámenes'!$C$5:$C$1000, 0)), "")</f>
        <v>3.31666666666667</v>
      </c>
      <c r="J250" s="6">
        <f>IFERROR(INDEX('Base Exámenes'!$G$5:$G$1000, MATCH(A250, 'Base Exámenes'!$C$5:$C$1000, 0)), "")</f>
        <v>100</v>
      </c>
      <c r="K250" s="6" t="str">
        <f>IFERROR(INDEX('Base Exámenes'!$H$5:$H$1000, MATCH(A250, 'Base Exámenes'!$C$5:$C$1000,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7">
        <f>IFERROR(INDEX('Base Exámenes'!$D$5:$D$1000, MATCH(A251, 'Base Exámenes'!$C$5:$C$1000, 0)), "")</f>
        <v>46303.38890046296</v>
      </c>
      <c r="H251" s="27">
        <f>IFERROR(INDEX('Base Exámenes'!$E$5:$E$1000, MATCH(A251, 'Base Exámenes'!$C$5:$C$1000, 0)), "")</f>
        <v>46303.39013888889</v>
      </c>
      <c r="I251" s="26">
        <f>IFERROR(INDEX('Base Exámenes'!$F$5:$F$1000, MATCH(A251, 'Base Exámenes'!$C$5:$C$1000, 0)), "")</f>
        <v>1.78333333333333</v>
      </c>
      <c r="J251" s="6">
        <f>IFERROR(INDEX('Base Exámenes'!$G$5:$G$1000, MATCH(A251, 'Base Exámenes'!$C$5:$C$1000, 0)), "")</f>
        <v>100</v>
      </c>
      <c r="K251" s="6" t="str">
        <f>IFERROR(INDEX('Base Exámenes'!$H$5:$H$1000, MATCH(A251, 'Base Exámenes'!$C$5:$C$1000,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7">
        <f>IFERROR(INDEX('Base Exámenes'!$D$5:$D$1000, MATCH(A252, 'Base Exámenes'!$C$5:$C$1000, 0)), "")</f>
        <v>46302.70101851852</v>
      </c>
      <c r="H252" s="27">
        <f>IFERROR(INDEX('Base Exámenes'!$E$5:$E$1000, MATCH(A252, 'Base Exámenes'!$C$5:$C$1000, 0)), "")</f>
        <v>46302.70457175926</v>
      </c>
      <c r="I252" s="26">
        <f>IFERROR(INDEX('Base Exámenes'!$F$5:$F$1000, MATCH(A252, 'Base Exámenes'!$C$5:$C$1000, 0)), "")</f>
        <v>5.11666666666667</v>
      </c>
      <c r="J252" s="6">
        <f>IFERROR(INDEX('Base Exámenes'!$G$5:$G$1000, MATCH(A252, 'Base Exámenes'!$C$5:$C$1000, 0)), "")</f>
        <v>100</v>
      </c>
      <c r="K252" s="6" t="str">
        <f>IFERROR(INDEX('Base Exámenes'!$H$5:$H$1000, MATCH(A252, 'Base Exámenes'!$C$5:$C$1000,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7">
        <f>IFERROR(INDEX('Base Exámenes'!$D$5:$D$1000, MATCH(A253, 'Base Exámenes'!$C$5:$C$1000, 0)), "")</f>
        <v>46302.57461805556</v>
      </c>
      <c r="H253" s="27">
        <f>IFERROR(INDEX('Base Exámenes'!$E$5:$E$1000, MATCH(A253, 'Base Exámenes'!$C$5:$C$1000, 0)), "")</f>
        <v>46302.57753472222</v>
      </c>
      <c r="I253" s="26">
        <f>IFERROR(INDEX('Base Exámenes'!$F$5:$F$1000, MATCH(A253, 'Base Exámenes'!$C$5:$C$1000, 0)), "")</f>
        <v>4.2</v>
      </c>
      <c r="J253" s="6">
        <f>IFERROR(INDEX('Base Exámenes'!$G$5:$G$1000, MATCH(A253, 'Base Exámenes'!$C$5:$C$1000, 0)), "")</f>
        <v>100</v>
      </c>
      <c r="K253" s="6" t="str">
        <f>IFERROR(INDEX('Base Exámenes'!$H$5:$H$1000, MATCH(A253, 'Base Exámenes'!$C$5:$C$1000,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7">
        <f>IFERROR(INDEX('Base Exámenes'!$D$5:$D$1000, MATCH(A254, 'Base Exámenes'!$C$5:$C$1000, 0)), "")</f>
        <v>46302.63322916667</v>
      </c>
      <c r="H254" s="27">
        <f>IFERROR(INDEX('Base Exámenes'!$E$5:$E$1000, MATCH(A254, 'Base Exámenes'!$C$5:$C$1000, 0)), "")</f>
        <v>46302.637037037035</v>
      </c>
      <c r="I254" s="26">
        <f>IFERROR(INDEX('Base Exámenes'!$F$5:$F$1000, MATCH(A254, 'Base Exámenes'!$C$5:$C$1000, 0)), "")</f>
        <v>5.48333333333333</v>
      </c>
      <c r="J254" s="6">
        <f>IFERROR(INDEX('Base Exámenes'!$G$5:$G$1000, MATCH(A254, 'Base Exámenes'!$C$5:$C$1000, 0)), "")</f>
        <v>100</v>
      </c>
      <c r="K254" s="6" t="str">
        <f>IFERROR(INDEX('Base Exámenes'!$H$5:$H$1000, MATCH(A254, 'Base Exámenes'!$C$5:$C$1000,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7">
        <f>IFERROR(INDEX('Base Exámenes'!$D$5:$D$1000, MATCH(A255, 'Base Exámenes'!$C$5:$C$1000, 0)), "")</f>
        <v>46296.64094907408</v>
      </c>
      <c r="H255" s="27">
        <f>IFERROR(INDEX('Base Exámenes'!$E$5:$E$1000, MATCH(A255, 'Base Exámenes'!$C$5:$C$1000, 0)), "")</f>
        <v>46296.67511574074</v>
      </c>
      <c r="I255" s="26">
        <f>IFERROR(INDEX('Base Exámenes'!$F$5:$F$1000, MATCH(A255, 'Base Exámenes'!$C$5:$C$1000, 0)), "")</f>
        <v>49.2</v>
      </c>
      <c r="J255" s="6">
        <f>IFERROR(INDEX('Base Exámenes'!$G$5:$G$1000, MATCH(A255, 'Base Exámenes'!$C$5:$C$1000, 0)), "")</f>
        <v>75</v>
      </c>
      <c r="K255" s="6" t="str">
        <f>IFERROR(INDEX('Base Exámenes'!$H$5:$H$1000, MATCH(A255, 'Base Exámenes'!$C$5:$C$1000,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7">
        <f>IFERROR(INDEX('Base Exámenes'!$D$5:$D$1000, MATCH(A256, 'Base Exámenes'!$C$5:$C$1000, 0)), "")</f>
        <v>46302.58623842592</v>
      </c>
      <c r="H256" s="27">
        <f>IFERROR(INDEX('Base Exámenes'!$E$5:$E$1000, MATCH(A256, 'Base Exámenes'!$C$5:$C$1000, 0)), "")</f>
        <v>46302.58998842593</v>
      </c>
      <c r="I256" s="26">
        <f>IFERROR(INDEX('Base Exámenes'!$F$5:$F$1000, MATCH(A256, 'Base Exámenes'!$C$5:$C$1000, 0)), "")</f>
        <v>5.4</v>
      </c>
      <c r="J256" s="6">
        <f>IFERROR(INDEX('Base Exámenes'!$G$5:$G$1000, MATCH(A256, 'Base Exámenes'!$C$5:$C$1000, 0)), "")</f>
        <v>100</v>
      </c>
      <c r="K256" s="6" t="str">
        <f>IFERROR(INDEX('Base Exámenes'!$H$5:$H$1000, MATCH(A256, 'Base Exámenes'!$C$5:$C$1000,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7" t="str">
        <f>IFERROR(INDEX('Base Exámenes'!$D$5:$D$1000, MATCH(A257, 'Base Exámenes'!$C$5:$C$1000, 0)), "")</f>
        <v/>
      </c>
      <c r="H257" s="27" t="str">
        <f>IFERROR(INDEX('Base Exámenes'!$E$5:$E$1000, MATCH(A257, 'Base Exámenes'!$C$5:$C$1000, 0)), "")</f>
        <v/>
      </c>
      <c r="I257" s="26" t="str">
        <f>IFERROR(INDEX('Base Exámenes'!$F$5:$F$1000, MATCH(A257, 'Base Exámenes'!$C$5:$C$1000, 0)), "")</f>
        <v/>
      </c>
      <c r="J257" s="6" t="str">
        <f>IFERROR(INDEX('Base Exámenes'!$G$5:$G$1000, MATCH(A257, 'Base Exámenes'!$C$5:$C$1000, 0)), "")</f>
        <v/>
      </c>
      <c r="K257" s="6" t="str">
        <f>IFERROR(INDEX('Base Exámenes'!$H$5:$H$1000, MATCH(A257, 'Base Exámenes'!$C$5:$C$1000,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7">
        <f>IFERROR(INDEX('Base Exámenes'!$D$5:$D$1000, MATCH(A258, 'Base Exámenes'!$C$5:$C$1000, 0)), "")</f>
        <v>46302.64388888889</v>
      </c>
      <c r="H258" s="27">
        <f>IFERROR(INDEX('Base Exámenes'!$E$5:$E$1000, MATCH(A258, 'Base Exámenes'!$C$5:$C$1000, 0)), "")</f>
        <v>46302.64712962963</v>
      </c>
      <c r="I258" s="26">
        <f>IFERROR(INDEX('Base Exámenes'!$F$5:$F$1000, MATCH(A258, 'Base Exámenes'!$C$5:$C$1000, 0)), "")</f>
        <v>4.66666666666667</v>
      </c>
      <c r="J258" s="6">
        <f>IFERROR(INDEX('Base Exámenes'!$G$5:$G$1000, MATCH(A258, 'Base Exámenes'!$C$5:$C$1000, 0)), "")</f>
        <v>100</v>
      </c>
      <c r="K258" s="6" t="str">
        <f>IFERROR(INDEX('Base Exámenes'!$H$5:$H$1000, MATCH(A258, 'Base Exámenes'!$C$5:$C$1000,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Pendiente</v>
      </c>
      <c r="G259" s="27" t="str">
        <f>IFERROR(INDEX('Base Exámenes'!$D$5:$D$1000, MATCH(A259, 'Base Exámenes'!$C$5:$C$1000, 0)), "")</f>
        <v/>
      </c>
      <c r="H259" s="27" t="str">
        <f>IFERROR(INDEX('Base Exámenes'!$E$5:$E$1000, MATCH(A259, 'Base Exámenes'!$C$5:$C$1000, 0)), "")</f>
        <v/>
      </c>
      <c r="I259" s="26" t="str">
        <f>IFERROR(INDEX('Base Exámenes'!$F$5:$F$1000, MATCH(A259, 'Base Exámenes'!$C$5:$C$1000, 0)), "")</f>
        <v/>
      </c>
      <c r="J259" s="6" t="str">
        <f>IFERROR(INDEX('Base Exámenes'!$G$5:$G$1000, MATCH(A259, 'Base Exámenes'!$C$5:$C$1000, 0)), "")</f>
        <v/>
      </c>
      <c r="K259" s="6" t="str">
        <f>IFERROR(INDEX('Base Exámenes'!$H$5:$H$1000, MATCH(A259, 'Base Exámenes'!$C$5:$C$1000,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7">
        <f>IFERROR(INDEX('Base Exámenes'!$D$5:$D$1000, MATCH(A260, 'Base Exámenes'!$C$5:$C$1000, 0)), "")</f>
        <v>46297.711550925924</v>
      </c>
      <c r="H260" s="27">
        <f>IFERROR(INDEX('Base Exámenes'!$E$5:$E$1000, MATCH(A260, 'Base Exámenes'!$C$5:$C$1000, 0)), "")</f>
        <v>46297.714895833335</v>
      </c>
      <c r="I260" s="26">
        <f>IFERROR(INDEX('Base Exámenes'!$F$5:$F$1000, MATCH(A260, 'Base Exámenes'!$C$5:$C$1000, 0)), "")</f>
        <v>4.81666666666667</v>
      </c>
      <c r="J260" s="6">
        <f>IFERROR(INDEX('Base Exámenes'!$G$5:$G$1000, MATCH(A260, 'Base Exámenes'!$C$5:$C$1000, 0)), "")</f>
        <v>95</v>
      </c>
      <c r="K260" s="6" t="str">
        <f>IFERROR(INDEX('Base Exámenes'!$H$5:$H$1000, MATCH(A260, 'Base Exámenes'!$C$5:$C$1000,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7">
        <f>IFERROR(INDEX('Base Exámenes'!$D$5:$D$1000, MATCH(A261, 'Base Exámenes'!$C$5:$C$1000, 0)), "")</f>
        <v>46302.48877314815</v>
      </c>
      <c r="H261" s="27">
        <f>IFERROR(INDEX('Base Exámenes'!$E$5:$E$1000, MATCH(A261, 'Base Exámenes'!$C$5:$C$1000, 0)), "")</f>
        <v>46302.63581018519</v>
      </c>
      <c r="I261" s="26">
        <f>IFERROR(INDEX('Base Exámenes'!$F$5:$F$1000, MATCH(A261, 'Base Exámenes'!$C$5:$C$1000, 0)), "")</f>
        <v>211.733333333333</v>
      </c>
      <c r="J261" s="6">
        <f>IFERROR(INDEX('Base Exámenes'!$G$5:$G$1000, MATCH(A261, 'Base Exámenes'!$C$5:$C$1000, 0)), "")</f>
        <v>100</v>
      </c>
      <c r="K261" s="6" t="str">
        <f>IFERROR(INDEX('Base Exámenes'!$H$5:$H$1000, MATCH(A261, 'Base Exámenes'!$C$5:$C$1000,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7" t="str">
        <f>IFERROR(INDEX('Base Exámenes'!$D$5:$D$1000, MATCH(A262, 'Base Exámenes'!$C$5:$C$1000, 0)), "")</f>
        <v/>
      </c>
      <c r="H262" s="27" t="str">
        <f>IFERROR(INDEX('Base Exámenes'!$E$5:$E$1000, MATCH(A262, 'Base Exámenes'!$C$5:$C$1000, 0)), "")</f>
        <v/>
      </c>
      <c r="I262" s="26" t="str">
        <f>IFERROR(INDEX('Base Exámenes'!$F$5:$F$1000, MATCH(A262, 'Base Exámenes'!$C$5:$C$1000, 0)), "")</f>
        <v/>
      </c>
      <c r="J262" s="6" t="str">
        <f>IFERROR(INDEX('Base Exámenes'!$G$5:$G$1000, MATCH(A262, 'Base Exámenes'!$C$5:$C$1000, 0)), "")</f>
        <v/>
      </c>
      <c r="K262" s="6" t="str">
        <f>IFERROR(INDEX('Base Exámenes'!$H$5:$H$1000, MATCH(A262, 'Base Exámenes'!$C$5:$C$1000,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7" t="str">
        <f>IFERROR(INDEX('Base Exámenes'!$D$5:$D$1000, MATCH(A263, 'Base Exámenes'!$C$5:$C$1000, 0)), "")</f>
        <v/>
      </c>
      <c r="H263" s="27" t="str">
        <f>IFERROR(INDEX('Base Exámenes'!$E$5:$E$1000, MATCH(A263, 'Base Exámenes'!$C$5:$C$1000, 0)), "")</f>
        <v/>
      </c>
      <c r="I263" s="26" t="str">
        <f>IFERROR(INDEX('Base Exámenes'!$F$5:$F$1000, MATCH(A263, 'Base Exámenes'!$C$5:$C$1000, 0)), "")</f>
        <v/>
      </c>
      <c r="J263" s="6" t="str">
        <f>IFERROR(INDEX('Base Exámenes'!$G$5:$G$1000, MATCH(A263, 'Base Exámenes'!$C$5:$C$1000, 0)), "")</f>
        <v/>
      </c>
      <c r="K263" s="6" t="str">
        <f>IFERROR(INDEX('Base Exámenes'!$H$5:$H$1000, MATCH(A263, 'Base Exámenes'!$C$5:$C$1000,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Pendiente</v>
      </c>
      <c r="G264" s="27" t="str">
        <f>IFERROR(INDEX('Base Exámenes'!$D$5:$D$1000, MATCH(A264, 'Base Exámenes'!$C$5:$C$1000, 0)), "")</f>
        <v/>
      </c>
      <c r="H264" s="27" t="str">
        <f>IFERROR(INDEX('Base Exámenes'!$E$5:$E$1000, MATCH(A264, 'Base Exámenes'!$C$5:$C$1000, 0)), "")</f>
        <v/>
      </c>
      <c r="I264" s="26" t="str">
        <f>IFERROR(INDEX('Base Exámenes'!$F$5:$F$1000, MATCH(A264, 'Base Exámenes'!$C$5:$C$1000, 0)), "")</f>
        <v/>
      </c>
      <c r="J264" s="6" t="str">
        <f>IFERROR(INDEX('Base Exámenes'!$G$5:$G$1000, MATCH(A264, 'Base Exámenes'!$C$5:$C$1000, 0)), "")</f>
        <v/>
      </c>
      <c r="K264" s="6" t="str">
        <f>IFERROR(INDEX('Base Exámenes'!$H$5:$H$1000, MATCH(A264, 'Base Exámenes'!$C$5:$C$1000,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7">
        <f>IFERROR(INDEX('Base Exámenes'!$D$5:$D$1000, MATCH(A265, 'Base Exámenes'!$C$5:$C$1000, 0)), "")</f>
        <v>46300.67056712963</v>
      </c>
      <c r="H265" s="27">
        <f>IFERROR(INDEX('Base Exámenes'!$E$5:$E$1000, MATCH(A265, 'Base Exámenes'!$C$5:$C$1000, 0)), "")</f>
        <v>46300.68400462963</v>
      </c>
      <c r="I265" s="26">
        <f>IFERROR(INDEX('Base Exámenes'!$F$5:$F$1000, MATCH(A265, 'Base Exámenes'!$C$5:$C$1000, 0)), "")</f>
        <v>19.35</v>
      </c>
      <c r="J265" s="6">
        <f>IFERROR(INDEX('Base Exámenes'!$G$5:$G$1000, MATCH(A265, 'Base Exámenes'!$C$5:$C$1000, 0)), "")</f>
        <v>100</v>
      </c>
      <c r="K265" s="6" t="str">
        <f>IFERROR(INDEX('Base Exámenes'!$H$5:$H$1000, MATCH(A265, 'Base Exámenes'!$C$5:$C$1000,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7" t="str">
        <f>IFERROR(INDEX('Base Exámenes'!$D$5:$D$1000, MATCH(A266, 'Base Exámenes'!$C$5:$C$1000, 0)), "")</f>
        <v/>
      </c>
      <c r="H266" s="27" t="str">
        <f>IFERROR(INDEX('Base Exámenes'!$E$5:$E$1000, MATCH(A266, 'Base Exámenes'!$C$5:$C$1000, 0)), "")</f>
        <v/>
      </c>
      <c r="I266" s="26" t="str">
        <f>IFERROR(INDEX('Base Exámenes'!$F$5:$F$1000, MATCH(A266, 'Base Exámenes'!$C$5:$C$1000, 0)), "")</f>
        <v/>
      </c>
      <c r="J266" s="6" t="str">
        <f>IFERROR(INDEX('Base Exámenes'!$G$5:$G$1000, MATCH(A266, 'Base Exámenes'!$C$5:$C$1000, 0)), "")</f>
        <v/>
      </c>
      <c r="K266" s="6" t="str">
        <f>IFERROR(INDEX('Base Exámenes'!$H$5:$H$1000, MATCH(A266, 'Base Exámenes'!$C$5:$C$1000,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7">
        <f>IFERROR(INDEX('Base Exámenes'!$D$5:$D$1000, MATCH(A267, 'Base Exámenes'!$C$5:$C$1000, 0)), "")</f>
        <v>46300.686423611114</v>
      </c>
      <c r="H267" s="27">
        <f>IFERROR(INDEX('Base Exámenes'!$E$5:$E$1000, MATCH(A267, 'Base Exámenes'!$C$5:$C$1000, 0)), "")</f>
        <v>46300.688368055555</v>
      </c>
      <c r="I267" s="26">
        <f>IFERROR(INDEX('Base Exámenes'!$F$5:$F$1000, MATCH(A267, 'Base Exámenes'!$C$5:$C$1000, 0)), "")</f>
        <v>2.8</v>
      </c>
      <c r="J267" s="6">
        <f>IFERROR(INDEX('Base Exámenes'!$G$5:$G$1000, MATCH(A267, 'Base Exámenes'!$C$5:$C$1000, 0)), "")</f>
        <v>100</v>
      </c>
      <c r="K267" s="6" t="str">
        <f>IFERROR(INDEX('Base Exámenes'!$H$5:$H$1000, MATCH(A267, 'Base Exámenes'!$C$5:$C$1000,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7" t="str">
        <f>IFERROR(INDEX('Base Exámenes'!$D$5:$D$1000, MATCH(A268, 'Base Exámenes'!$C$5:$C$1000, 0)), "")</f>
        <v/>
      </c>
      <c r="H268" s="27" t="str">
        <f>IFERROR(INDEX('Base Exámenes'!$E$5:$E$1000, MATCH(A268, 'Base Exámenes'!$C$5:$C$1000, 0)), "")</f>
        <v/>
      </c>
      <c r="I268" s="26" t="str">
        <f>IFERROR(INDEX('Base Exámenes'!$F$5:$F$1000, MATCH(A268, 'Base Exámenes'!$C$5:$C$1000, 0)), "")</f>
        <v/>
      </c>
      <c r="J268" s="6" t="str">
        <f>IFERROR(INDEX('Base Exámenes'!$G$5:$G$1000, MATCH(A268, 'Base Exámenes'!$C$5:$C$1000, 0)), "")</f>
        <v/>
      </c>
      <c r="K268" s="6" t="str">
        <f>IFERROR(INDEX('Base Exámenes'!$H$5:$H$1000, MATCH(A268, 'Base Exámenes'!$C$5:$C$1000,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7" t="str">
        <f>IFERROR(INDEX('Base Exámenes'!$D$5:$D$1000, MATCH(A269, 'Base Exámenes'!$C$5:$C$1000, 0)), "")</f>
        <v/>
      </c>
      <c r="H269" s="27" t="str">
        <f>IFERROR(INDEX('Base Exámenes'!$E$5:$E$1000, MATCH(A269, 'Base Exámenes'!$C$5:$C$1000, 0)), "")</f>
        <v/>
      </c>
      <c r="I269" s="26" t="str">
        <f>IFERROR(INDEX('Base Exámenes'!$F$5:$F$1000, MATCH(A269, 'Base Exámenes'!$C$5:$C$1000, 0)), "")</f>
        <v/>
      </c>
      <c r="J269" s="6" t="str">
        <f>IFERROR(INDEX('Base Exámenes'!$G$5:$G$1000, MATCH(A269, 'Base Exámenes'!$C$5:$C$1000, 0)), "")</f>
        <v/>
      </c>
      <c r="K269" s="6" t="str">
        <f>IFERROR(INDEX('Base Exámenes'!$H$5:$H$1000, MATCH(A269, 'Base Exámenes'!$C$5:$C$1000,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7" t="str">
        <f>IFERROR(INDEX('Base Exámenes'!$D$5:$D$1000, MATCH(A270, 'Base Exámenes'!$C$5:$C$1000, 0)), "")</f>
        <v/>
      </c>
      <c r="H270" s="27" t="str">
        <f>IFERROR(INDEX('Base Exámenes'!$E$5:$E$1000, MATCH(A270, 'Base Exámenes'!$C$5:$C$1000, 0)), "")</f>
        <v/>
      </c>
      <c r="I270" s="26" t="str">
        <f>IFERROR(INDEX('Base Exámenes'!$F$5:$F$1000, MATCH(A270, 'Base Exámenes'!$C$5:$C$1000, 0)), "")</f>
        <v/>
      </c>
      <c r="J270" s="6" t="str">
        <f>IFERROR(INDEX('Base Exámenes'!$G$5:$G$1000, MATCH(A270, 'Base Exámenes'!$C$5:$C$1000, 0)), "")</f>
        <v/>
      </c>
      <c r="K270" s="6" t="str">
        <f>IFERROR(INDEX('Base Exámenes'!$H$5:$H$1000, MATCH(A270, 'Base Exámenes'!$C$5:$C$1000,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7" t="str">
        <f>IFERROR(INDEX('Base Exámenes'!$D$5:$D$1000, MATCH(A271, 'Base Exámenes'!$C$5:$C$1000, 0)), "")</f>
        <v/>
      </c>
      <c r="H271" s="27" t="str">
        <f>IFERROR(INDEX('Base Exámenes'!$E$5:$E$1000, MATCH(A271, 'Base Exámenes'!$C$5:$C$1000, 0)), "")</f>
        <v/>
      </c>
      <c r="I271" s="26" t="str">
        <f>IFERROR(INDEX('Base Exámenes'!$F$5:$F$1000, MATCH(A271, 'Base Exámenes'!$C$5:$C$1000, 0)), "")</f>
        <v/>
      </c>
      <c r="J271" s="6" t="str">
        <f>IFERROR(INDEX('Base Exámenes'!$G$5:$G$1000, MATCH(A271, 'Base Exámenes'!$C$5:$C$1000, 0)), "")</f>
        <v/>
      </c>
      <c r="K271" s="6" t="str">
        <f>IFERROR(INDEX('Base Exámenes'!$H$5:$H$1000, MATCH(A271, 'Base Exámenes'!$C$5:$C$1000,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7" t="str">
        <f>IFERROR(INDEX('Base Exámenes'!$D$5:$D$1000, MATCH(A272, 'Base Exámenes'!$C$5:$C$1000, 0)), "")</f>
        <v/>
      </c>
      <c r="H272" s="27" t="str">
        <f>IFERROR(INDEX('Base Exámenes'!$E$5:$E$1000, MATCH(A272, 'Base Exámenes'!$C$5:$C$1000, 0)), "")</f>
        <v/>
      </c>
      <c r="I272" s="26" t="str">
        <f>IFERROR(INDEX('Base Exámenes'!$F$5:$F$1000, MATCH(A272, 'Base Exámenes'!$C$5:$C$1000, 0)), "")</f>
        <v/>
      </c>
      <c r="J272" s="6" t="str">
        <f>IFERROR(INDEX('Base Exámenes'!$G$5:$G$1000, MATCH(A272, 'Base Exámenes'!$C$5:$C$1000, 0)), "")</f>
        <v/>
      </c>
      <c r="K272" s="6" t="str">
        <f>IFERROR(INDEX('Base Exámenes'!$H$5:$H$1000, MATCH(A272, 'Base Exámenes'!$C$5:$C$1000,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7" t="str">
        <f>IFERROR(INDEX('Base Exámenes'!$D$5:$D$1000, MATCH(A273, 'Base Exámenes'!$C$5:$C$1000, 0)), "")</f>
        <v/>
      </c>
      <c r="H273" s="27" t="str">
        <f>IFERROR(INDEX('Base Exámenes'!$E$5:$E$1000, MATCH(A273, 'Base Exámenes'!$C$5:$C$1000, 0)), "")</f>
        <v/>
      </c>
      <c r="I273" s="26" t="str">
        <f>IFERROR(INDEX('Base Exámenes'!$F$5:$F$1000, MATCH(A273, 'Base Exámenes'!$C$5:$C$1000, 0)), "")</f>
        <v/>
      </c>
      <c r="J273" s="6" t="str">
        <f>IFERROR(INDEX('Base Exámenes'!$G$5:$G$1000, MATCH(A273, 'Base Exámenes'!$C$5:$C$1000, 0)), "")</f>
        <v/>
      </c>
      <c r="K273" s="6" t="str">
        <f>IFERROR(INDEX('Base Exámenes'!$H$5:$H$1000, MATCH(A273, 'Base Exámenes'!$C$5:$C$1000,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Pendiente</v>
      </c>
      <c r="G274" s="27" t="str">
        <f>IFERROR(INDEX('Base Exámenes'!$D$5:$D$1000, MATCH(A274, 'Base Exámenes'!$C$5:$C$1000, 0)), "")</f>
        <v/>
      </c>
      <c r="H274" s="27" t="str">
        <f>IFERROR(INDEX('Base Exámenes'!$E$5:$E$1000, MATCH(A274, 'Base Exámenes'!$C$5:$C$1000, 0)), "")</f>
        <v/>
      </c>
      <c r="I274" s="26" t="str">
        <f>IFERROR(INDEX('Base Exámenes'!$F$5:$F$1000, MATCH(A274, 'Base Exámenes'!$C$5:$C$1000, 0)), "")</f>
        <v/>
      </c>
      <c r="J274" s="6" t="str">
        <f>IFERROR(INDEX('Base Exámenes'!$G$5:$G$1000, MATCH(A274, 'Base Exámenes'!$C$5:$C$1000, 0)), "")</f>
        <v/>
      </c>
      <c r="K274" s="6" t="str">
        <f>IFERROR(INDEX('Base Exámenes'!$H$5:$H$1000, MATCH(A274, 'Base Exámenes'!$C$5:$C$1000,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Pendiente</v>
      </c>
      <c r="G275" s="27" t="str">
        <f>IFERROR(INDEX('Base Exámenes'!$D$5:$D$1000, MATCH(A275, 'Base Exámenes'!$C$5:$C$1000, 0)), "")</f>
        <v/>
      </c>
      <c r="H275" s="27" t="str">
        <f>IFERROR(INDEX('Base Exámenes'!$E$5:$E$1000, MATCH(A275, 'Base Exámenes'!$C$5:$C$1000, 0)), "")</f>
        <v/>
      </c>
      <c r="I275" s="26" t="str">
        <f>IFERROR(INDEX('Base Exámenes'!$F$5:$F$1000, MATCH(A275, 'Base Exámenes'!$C$5:$C$1000, 0)), "")</f>
        <v/>
      </c>
      <c r="J275" s="6" t="str">
        <f>IFERROR(INDEX('Base Exámenes'!$G$5:$G$1000, MATCH(A275, 'Base Exámenes'!$C$5:$C$1000, 0)), "")</f>
        <v/>
      </c>
      <c r="K275" s="6" t="str">
        <f>IFERROR(INDEX('Base Exámenes'!$H$5:$H$1000, MATCH(A275, 'Base Exámenes'!$C$5:$C$1000,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Pendiente</v>
      </c>
      <c r="G276" s="27" t="str">
        <f>IFERROR(INDEX('Base Exámenes'!$D$5:$D$1000, MATCH(A276, 'Base Exámenes'!$C$5:$C$1000, 0)), "")</f>
        <v/>
      </c>
      <c r="H276" s="27" t="str">
        <f>IFERROR(INDEX('Base Exámenes'!$E$5:$E$1000, MATCH(A276, 'Base Exámenes'!$C$5:$C$1000, 0)), "")</f>
        <v/>
      </c>
      <c r="I276" s="26" t="str">
        <f>IFERROR(INDEX('Base Exámenes'!$F$5:$F$1000, MATCH(A276, 'Base Exámenes'!$C$5:$C$1000, 0)), "")</f>
        <v/>
      </c>
      <c r="J276" s="6" t="str">
        <f>IFERROR(INDEX('Base Exámenes'!$G$5:$G$1000, MATCH(A276, 'Base Exámenes'!$C$5:$C$1000, 0)), "")</f>
        <v/>
      </c>
      <c r="K276" s="6" t="str">
        <f>IFERROR(INDEX('Base Exámenes'!$H$5:$H$1000, MATCH(A276, 'Base Exámenes'!$C$5:$C$1000,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Pendiente</v>
      </c>
      <c r="G277" s="27" t="str">
        <f>IFERROR(INDEX('Base Exámenes'!$D$5:$D$1000, MATCH(A277, 'Base Exámenes'!$C$5:$C$1000, 0)), "")</f>
        <v/>
      </c>
      <c r="H277" s="27" t="str">
        <f>IFERROR(INDEX('Base Exámenes'!$E$5:$E$1000, MATCH(A277, 'Base Exámenes'!$C$5:$C$1000, 0)), "")</f>
        <v/>
      </c>
      <c r="I277" s="26" t="str">
        <f>IFERROR(INDEX('Base Exámenes'!$F$5:$F$1000, MATCH(A277, 'Base Exámenes'!$C$5:$C$1000, 0)), "")</f>
        <v/>
      </c>
      <c r="J277" s="6" t="str">
        <f>IFERROR(INDEX('Base Exámenes'!$G$5:$G$1000, MATCH(A277, 'Base Exámenes'!$C$5:$C$1000, 0)), "")</f>
        <v/>
      </c>
      <c r="K277" s="6" t="str">
        <f>IFERROR(INDEX('Base Exámenes'!$H$5:$H$1000, MATCH(A277, 'Base Exámenes'!$C$5:$C$1000,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Pendiente</v>
      </c>
      <c r="G278" s="27" t="str">
        <f>IFERROR(INDEX('Base Exámenes'!$D$5:$D$1000, MATCH(A278, 'Base Exámenes'!$C$5:$C$1000, 0)), "")</f>
        <v/>
      </c>
      <c r="H278" s="27" t="str">
        <f>IFERROR(INDEX('Base Exámenes'!$E$5:$E$1000, MATCH(A278, 'Base Exámenes'!$C$5:$C$1000, 0)), "")</f>
        <v/>
      </c>
      <c r="I278" s="26" t="str">
        <f>IFERROR(INDEX('Base Exámenes'!$F$5:$F$1000, MATCH(A278, 'Base Exámenes'!$C$5:$C$1000, 0)), "")</f>
        <v/>
      </c>
      <c r="J278" s="6" t="str">
        <f>IFERROR(INDEX('Base Exámenes'!$G$5:$G$1000, MATCH(A278, 'Base Exámenes'!$C$5:$C$1000, 0)), "")</f>
        <v/>
      </c>
      <c r="K278" s="6" t="str">
        <f>IFERROR(INDEX('Base Exámenes'!$H$5:$H$1000, MATCH(A278, 'Base Exámenes'!$C$5:$C$1000,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Pendiente</v>
      </c>
      <c r="G279" s="27" t="str">
        <f>IFERROR(INDEX('Base Exámenes'!$D$5:$D$1000, MATCH(A279, 'Base Exámenes'!$C$5:$C$1000, 0)), "")</f>
        <v/>
      </c>
      <c r="H279" s="27" t="str">
        <f>IFERROR(INDEX('Base Exámenes'!$E$5:$E$1000, MATCH(A279, 'Base Exámenes'!$C$5:$C$1000, 0)), "")</f>
        <v/>
      </c>
      <c r="I279" s="26" t="str">
        <f>IFERROR(INDEX('Base Exámenes'!$F$5:$F$1000, MATCH(A279, 'Base Exámenes'!$C$5:$C$1000, 0)), "")</f>
        <v/>
      </c>
      <c r="J279" s="6" t="str">
        <f>IFERROR(INDEX('Base Exámenes'!$G$5:$G$1000, MATCH(A279, 'Base Exámenes'!$C$5:$C$1000, 0)), "")</f>
        <v/>
      </c>
      <c r="K279" s="6" t="str">
        <f>IFERROR(INDEX('Base Exámenes'!$H$5:$H$1000, MATCH(A279, 'Base Exámenes'!$C$5:$C$1000,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Pendiente</v>
      </c>
      <c r="G280" s="27" t="str">
        <f>IFERROR(INDEX('Base Exámenes'!$D$5:$D$1000, MATCH(A280, 'Base Exámenes'!$C$5:$C$1000, 0)), "")</f>
        <v/>
      </c>
      <c r="H280" s="27" t="str">
        <f>IFERROR(INDEX('Base Exámenes'!$E$5:$E$1000, MATCH(A280, 'Base Exámenes'!$C$5:$C$1000, 0)), "")</f>
        <v/>
      </c>
      <c r="I280" s="26" t="str">
        <f>IFERROR(INDEX('Base Exámenes'!$F$5:$F$1000, MATCH(A280, 'Base Exámenes'!$C$5:$C$1000, 0)), "")</f>
        <v/>
      </c>
      <c r="J280" s="6" t="str">
        <f>IFERROR(INDEX('Base Exámenes'!$G$5:$G$1000, MATCH(A280, 'Base Exámenes'!$C$5:$C$1000, 0)), "")</f>
        <v/>
      </c>
      <c r="K280" s="6" t="str">
        <f>IFERROR(INDEX('Base Exámenes'!$H$5:$H$1000, MATCH(A280, 'Base Exámenes'!$C$5:$C$1000,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7">
        <f>IFERROR(INDEX('Base Exámenes'!$D$5:$D$1000, MATCH(A281, 'Base Exámenes'!$C$5:$C$1000, 0)), "")</f>
        <v>46301.486979166664</v>
      </c>
      <c r="H281" s="27">
        <f>IFERROR(INDEX('Base Exámenes'!$E$5:$E$1000, MATCH(A281, 'Base Exámenes'!$C$5:$C$1000, 0)), "")</f>
        <v>46301.49184027778</v>
      </c>
      <c r="I281" s="26">
        <f>IFERROR(INDEX('Base Exámenes'!$F$5:$F$1000, MATCH(A281, 'Base Exámenes'!$C$5:$C$1000, 0)), "")</f>
        <v>7</v>
      </c>
      <c r="J281" s="6">
        <f>IFERROR(INDEX('Base Exámenes'!$G$5:$G$1000, MATCH(A281, 'Base Exámenes'!$C$5:$C$1000, 0)), "")</f>
        <v>80</v>
      </c>
      <c r="K281" s="6" t="str">
        <f>IFERROR(INDEX('Base Exámenes'!$H$5:$H$1000, MATCH(A281, 'Base Exámenes'!$C$5:$C$1000,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7">
        <f>IFERROR(INDEX('Base Exámenes'!$D$5:$D$1000, MATCH(A282, 'Base Exámenes'!$C$5:$C$1000, 0)), "")</f>
        <v>46301.42581018519</v>
      </c>
      <c r="H282" s="27">
        <f>IFERROR(INDEX('Base Exámenes'!$E$5:$E$1000, MATCH(A282, 'Base Exámenes'!$C$5:$C$1000, 0)), "")</f>
        <v>46301.432337962964</v>
      </c>
      <c r="I282" s="26">
        <f>IFERROR(INDEX('Base Exámenes'!$F$5:$F$1000, MATCH(A282, 'Base Exámenes'!$C$5:$C$1000, 0)), "")</f>
        <v>9.4</v>
      </c>
      <c r="J282" s="6">
        <f>IFERROR(INDEX('Base Exámenes'!$G$5:$G$1000, MATCH(A282, 'Base Exámenes'!$C$5:$C$1000, 0)), "")</f>
        <v>100</v>
      </c>
      <c r="K282" s="6" t="str">
        <f>IFERROR(INDEX('Base Exámenes'!$H$5:$H$1000, MATCH(A282, 'Base Exámenes'!$C$5:$C$1000,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7">
        <f>IFERROR(INDEX('Base Exámenes'!$D$5:$D$1000, MATCH(A283, 'Base Exámenes'!$C$5:$C$1000, 0)), "")</f>
        <v>46303.45423611111</v>
      </c>
      <c r="H283" s="27">
        <f>IFERROR(INDEX('Base Exámenes'!$E$5:$E$1000, MATCH(A283, 'Base Exámenes'!$C$5:$C$1000, 0)), "")</f>
        <v>46303.45730324074</v>
      </c>
      <c r="I283" s="26">
        <f>IFERROR(INDEX('Base Exámenes'!$F$5:$F$1000, MATCH(A283, 'Base Exámenes'!$C$5:$C$1000, 0)), "")</f>
        <v>4.41666666666667</v>
      </c>
      <c r="J283" s="6">
        <f>IFERROR(INDEX('Base Exámenes'!$G$5:$G$1000, MATCH(A283, 'Base Exámenes'!$C$5:$C$1000, 0)), "")</f>
        <v>100</v>
      </c>
      <c r="K283" s="6" t="str">
        <f>IFERROR(INDEX('Base Exámenes'!$H$5:$H$1000, MATCH(A283, 'Base Exámenes'!$C$5:$C$1000,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Pendiente</v>
      </c>
      <c r="G284" s="27" t="str">
        <f>IFERROR(INDEX('Base Exámenes'!$D$5:$D$1000, MATCH(A284, 'Base Exámenes'!$C$5:$C$1000, 0)), "")</f>
        <v/>
      </c>
      <c r="H284" s="27" t="str">
        <f>IFERROR(INDEX('Base Exámenes'!$E$5:$E$1000, MATCH(A284, 'Base Exámenes'!$C$5:$C$1000, 0)), "")</f>
        <v/>
      </c>
      <c r="I284" s="26" t="str">
        <f>IFERROR(INDEX('Base Exámenes'!$F$5:$F$1000, MATCH(A284, 'Base Exámenes'!$C$5:$C$1000, 0)), "")</f>
        <v/>
      </c>
      <c r="J284" s="6" t="str">
        <f>IFERROR(INDEX('Base Exámenes'!$G$5:$G$1000, MATCH(A284, 'Base Exámenes'!$C$5:$C$1000, 0)), "")</f>
        <v/>
      </c>
      <c r="K284" s="6" t="str">
        <f>IFERROR(INDEX('Base Exámenes'!$H$5:$H$1000, MATCH(A284, 'Base Exámenes'!$C$5:$C$1000,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Pendiente</v>
      </c>
      <c r="G285" s="27" t="str">
        <f>IFERROR(INDEX('Base Exámenes'!$D$5:$D$1000, MATCH(A285, 'Base Exámenes'!$C$5:$C$1000, 0)), "")</f>
        <v/>
      </c>
      <c r="H285" s="27" t="str">
        <f>IFERROR(INDEX('Base Exámenes'!$E$5:$E$1000, MATCH(A285, 'Base Exámenes'!$C$5:$C$1000, 0)), "")</f>
        <v/>
      </c>
      <c r="I285" s="26" t="str">
        <f>IFERROR(INDEX('Base Exámenes'!$F$5:$F$1000, MATCH(A285, 'Base Exámenes'!$C$5:$C$1000, 0)), "")</f>
        <v/>
      </c>
      <c r="J285" s="6" t="str">
        <f>IFERROR(INDEX('Base Exámenes'!$G$5:$G$1000, MATCH(A285, 'Base Exámenes'!$C$5:$C$1000, 0)), "")</f>
        <v/>
      </c>
      <c r="K285" s="6" t="str">
        <f>IFERROR(INDEX('Base Exámenes'!$H$5:$H$1000, MATCH(A285, 'Base Exámenes'!$C$5:$C$1000,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7">
        <f>IFERROR(INDEX('Base Exámenes'!$D$5:$D$1000, MATCH(A286, 'Base Exámenes'!$C$5:$C$1000, 0)), "")</f>
        <v>46303.53456018519</v>
      </c>
      <c r="H286" s="27">
        <f>IFERROR(INDEX('Base Exámenes'!$E$5:$E$1000, MATCH(A286, 'Base Exámenes'!$C$5:$C$1000, 0)), "")</f>
        <v>46303.544328703705</v>
      </c>
      <c r="I286" s="26">
        <f>IFERROR(INDEX('Base Exámenes'!$F$5:$F$1000, MATCH(A286, 'Base Exámenes'!$C$5:$C$1000, 0)), "")</f>
        <v>14.0666666666667</v>
      </c>
      <c r="J286" s="6">
        <f>IFERROR(INDEX('Base Exámenes'!$G$5:$G$1000, MATCH(A286, 'Base Exámenes'!$C$5:$C$1000, 0)), "")</f>
        <v>100</v>
      </c>
      <c r="K286" s="6" t="str">
        <f>IFERROR(INDEX('Base Exámenes'!$H$5:$H$1000, MATCH(A286, 'Base Exámenes'!$C$5:$C$1000,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Pendiente</v>
      </c>
      <c r="G287" s="27" t="str">
        <f>IFERROR(INDEX('Base Exámenes'!$D$5:$D$1000, MATCH(A287, 'Base Exámenes'!$C$5:$C$1000, 0)), "")</f>
        <v/>
      </c>
      <c r="H287" s="27" t="str">
        <f>IFERROR(INDEX('Base Exámenes'!$E$5:$E$1000, MATCH(A287, 'Base Exámenes'!$C$5:$C$1000, 0)), "")</f>
        <v/>
      </c>
      <c r="I287" s="26" t="str">
        <f>IFERROR(INDEX('Base Exámenes'!$F$5:$F$1000, MATCH(A287, 'Base Exámenes'!$C$5:$C$1000, 0)), "")</f>
        <v/>
      </c>
      <c r="J287" s="6" t="str">
        <f>IFERROR(INDEX('Base Exámenes'!$G$5:$G$1000, MATCH(A287, 'Base Exámenes'!$C$5:$C$1000, 0)), "")</f>
        <v/>
      </c>
      <c r="K287" s="6" t="str">
        <f>IFERROR(INDEX('Base Exámenes'!$H$5:$H$1000, MATCH(A287, 'Base Exámenes'!$C$5:$C$1000,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Pendiente</v>
      </c>
      <c r="G288" s="27" t="str">
        <f>IFERROR(INDEX('Base Exámenes'!$D$5:$D$1000, MATCH(A288, 'Base Exámenes'!$C$5:$C$1000, 0)), "")</f>
        <v/>
      </c>
      <c r="H288" s="27" t="str">
        <f>IFERROR(INDEX('Base Exámenes'!$E$5:$E$1000, MATCH(A288, 'Base Exámenes'!$C$5:$C$1000, 0)), "")</f>
        <v/>
      </c>
      <c r="I288" s="26" t="str">
        <f>IFERROR(INDEX('Base Exámenes'!$F$5:$F$1000, MATCH(A288, 'Base Exámenes'!$C$5:$C$1000, 0)), "")</f>
        <v/>
      </c>
      <c r="J288" s="6" t="str">
        <f>IFERROR(INDEX('Base Exámenes'!$G$5:$G$1000, MATCH(A288, 'Base Exámenes'!$C$5:$C$1000, 0)), "")</f>
        <v/>
      </c>
      <c r="K288" s="6" t="str">
        <f>IFERROR(INDEX('Base Exámenes'!$H$5:$H$1000, MATCH(A288, 'Base Exámenes'!$C$5:$C$1000,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Pendiente</v>
      </c>
      <c r="G289" s="27" t="str">
        <f>IFERROR(INDEX('Base Exámenes'!$D$5:$D$1000, MATCH(A289, 'Base Exámenes'!$C$5:$C$1000, 0)), "")</f>
        <v/>
      </c>
      <c r="H289" s="27" t="str">
        <f>IFERROR(INDEX('Base Exámenes'!$E$5:$E$1000, MATCH(A289, 'Base Exámenes'!$C$5:$C$1000, 0)), "")</f>
        <v/>
      </c>
      <c r="I289" s="26" t="str">
        <f>IFERROR(INDEX('Base Exámenes'!$F$5:$F$1000, MATCH(A289, 'Base Exámenes'!$C$5:$C$1000, 0)), "")</f>
        <v/>
      </c>
      <c r="J289" s="6" t="str">
        <f>IFERROR(INDEX('Base Exámenes'!$G$5:$G$1000, MATCH(A289, 'Base Exámenes'!$C$5:$C$1000, 0)), "")</f>
        <v/>
      </c>
      <c r="K289" s="6" t="str">
        <f>IFERROR(INDEX('Base Exámenes'!$H$5:$H$1000, MATCH(A289, 'Base Exámenes'!$C$5:$C$1000,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Pendiente</v>
      </c>
      <c r="G290" s="27" t="str">
        <f>IFERROR(INDEX('Base Exámenes'!$D$5:$D$1000, MATCH(A290, 'Base Exámenes'!$C$5:$C$1000, 0)), "")</f>
        <v/>
      </c>
      <c r="H290" s="27" t="str">
        <f>IFERROR(INDEX('Base Exámenes'!$E$5:$E$1000, MATCH(A290, 'Base Exámenes'!$C$5:$C$1000, 0)), "")</f>
        <v/>
      </c>
      <c r="I290" s="26" t="str">
        <f>IFERROR(INDEX('Base Exámenes'!$F$5:$F$1000, MATCH(A290, 'Base Exámenes'!$C$5:$C$1000, 0)), "")</f>
        <v/>
      </c>
      <c r="J290" s="6" t="str">
        <f>IFERROR(INDEX('Base Exámenes'!$G$5:$G$1000, MATCH(A290, 'Base Exámenes'!$C$5:$C$1000, 0)), "")</f>
        <v/>
      </c>
      <c r="K290" s="6" t="str">
        <f>IFERROR(INDEX('Base Exámenes'!$H$5:$H$1000, MATCH(A290, 'Base Exámenes'!$C$5:$C$1000,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Pendiente</v>
      </c>
      <c r="G291" s="27" t="str">
        <f>IFERROR(INDEX('Base Exámenes'!$D$5:$D$1000, MATCH(A291, 'Base Exámenes'!$C$5:$C$1000, 0)), "")</f>
        <v/>
      </c>
      <c r="H291" s="27" t="str">
        <f>IFERROR(INDEX('Base Exámenes'!$E$5:$E$1000, MATCH(A291, 'Base Exámenes'!$C$5:$C$1000, 0)), "")</f>
        <v/>
      </c>
      <c r="I291" s="26" t="str">
        <f>IFERROR(INDEX('Base Exámenes'!$F$5:$F$1000, MATCH(A291, 'Base Exámenes'!$C$5:$C$1000, 0)), "")</f>
        <v/>
      </c>
      <c r="J291" s="6" t="str">
        <f>IFERROR(INDEX('Base Exámenes'!$G$5:$G$1000, MATCH(A291, 'Base Exámenes'!$C$5:$C$1000, 0)), "")</f>
        <v/>
      </c>
      <c r="K291" s="6" t="str">
        <f>IFERROR(INDEX('Base Exámenes'!$H$5:$H$1000, MATCH(A291, 'Base Exámenes'!$C$5:$C$1000,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Pendiente</v>
      </c>
      <c r="G292" s="27" t="str">
        <f>IFERROR(INDEX('Base Exámenes'!$D$5:$D$1000, MATCH(A292, 'Base Exámenes'!$C$5:$C$1000, 0)), "")</f>
        <v/>
      </c>
      <c r="H292" s="27" t="str">
        <f>IFERROR(INDEX('Base Exámenes'!$E$5:$E$1000, MATCH(A292, 'Base Exámenes'!$C$5:$C$1000, 0)), "")</f>
        <v/>
      </c>
      <c r="I292" s="26" t="str">
        <f>IFERROR(INDEX('Base Exámenes'!$F$5:$F$1000, MATCH(A292, 'Base Exámenes'!$C$5:$C$1000, 0)), "")</f>
        <v/>
      </c>
      <c r="J292" s="6" t="str">
        <f>IFERROR(INDEX('Base Exámenes'!$G$5:$G$1000, MATCH(A292, 'Base Exámenes'!$C$5:$C$1000, 0)), "")</f>
        <v/>
      </c>
      <c r="K292" s="6" t="str">
        <f>IFERROR(INDEX('Base Exámenes'!$H$5:$H$1000, MATCH(A292, 'Base Exámenes'!$C$5:$C$1000,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7">
        <f>IFERROR(INDEX('Base Exámenes'!$D$5:$D$1000, MATCH(A293, 'Base Exámenes'!$C$5:$C$1000, 0)), "")</f>
        <v>46304.695972222224</v>
      </c>
      <c r="H293" s="27">
        <f>IFERROR(INDEX('Base Exámenes'!$E$5:$E$1000, MATCH(A293, 'Base Exámenes'!$C$5:$C$1000, 0)), "")</f>
        <v>46304.703680555554</v>
      </c>
      <c r="I293" s="26">
        <f>IFERROR(INDEX('Base Exámenes'!$F$5:$F$1000, MATCH(A293, 'Base Exámenes'!$C$5:$C$1000, 0)), "")</f>
        <v>11.1</v>
      </c>
      <c r="J293" s="6">
        <f>IFERROR(INDEX('Base Exámenes'!$G$5:$G$1000, MATCH(A293, 'Base Exámenes'!$C$5:$C$1000, 0)), "")</f>
        <v>100</v>
      </c>
      <c r="K293" s="6" t="str">
        <f>IFERROR(INDEX('Base Exámenes'!$H$5:$H$1000, MATCH(A293, 'Base Exámenes'!$C$5:$C$1000,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Pendiente</v>
      </c>
      <c r="G294" s="27" t="str">
        <f>IFERROR(INDEX('Base Exámenes'!$D$5:$D$1000, MATCH(A294, 'Base Exámenes'!$C$5:$C$1000, 0)), "")</f>
        <v/>
      </c>
      <c r="H294" s="27" t="str">
        <f>IFERROR(INDEX('Base Exámenes'!$E$5:$E$1000, MATCH(A294, 'Base Exámenes'!$C$5:$C$1000, 0)), "")</f>
        <v/>
      </c>
      <c r="I294" s="26" t="str">
        <f>IFERROR(INDEX('Base Exámenes'!$F$5:$F$1000, MATCH(A294, 'Base Exámenes'!$C$5:$C$1000, 0)), "")</f>
        <v/>
      </c>
      <c r="J294" s="6" t="str">
        <f>IFERROR(INDEX('Base Exámenes'!$G$5:$G$1000, MATCH(A294, 'Base Exámenes'!$C$5:$C$1000, 0)), "")</f>
        <v/>
      </c>
      <c r="K294" s="6" t="str">
        <f>IFERROR(INDEX('Base Exámenes'!$H$5:$H$1000, MATCH(A294, 'Base Exámenes'!$C$5:$C$1000,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7">
        <f>IFERROR(INDEX('Base Exámenes'!$D$5:$D$1000, MATCH(A295, 'Base Exámenes'!$C$5:$C$1000, 0)), "")</f>
        <v>46300.62287037037</v>
      </c>
      <c r="H295" s="27">
        <f>IFERROR(INDEX('Base Exámenes'!$E$5:$E$1000, MATCH(A295, 'Base Exámenes'!$C$5:$C$1000, 0)), "")</f>
        <v>46300.628483796296</v>
      </c>
      <c r="I295" s="26">
        <f>IFERROR(INDEX('Base Exámenes'!$F$5:$F$1000, MATCH(A295, 'Base Exámenes'!$C$5:$C$1000, 0)), "")</f>
        <v>8.08333333333333</v>
      </c>
      <c r="J295" s="6">
        <f>IFERROR(INDEX('Base Exámenes'!$G$5:$G$1000, MATCH(A295, 'Base Exámenes'!$C$5:$C$1000, 0)), "")</f>
        <v>90</v>
      </c>
      <c r="K295" s="6" t="str">
        <f>IFERROR(INDEX('Base Exámenes'!$H$5:$H$1000, MATCH(A295, 'Base Exámenes'!$C$5:$C$1000, 0)), "anonymous")</f>
        <v>anonymous</v>
      </c>
    </row>
  </sheetData>
  <autoFilter ref="A4:K295"/>
  <conditionalFormatting sqref="F5:F295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tabSelected="0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5">
        <f>IF(D5&gt;0, IFERROR(_xlfn.MINIFS('Detalle individual'!$G$5:$G$295, 'Detalle individual'!$C$5:$C$295, A5), ""), "")</f>
        <v>46300.68533564815</v>
      </c>
      <c r="L5" s="25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5">
        <f>IF(D6&gt;0, IFERROR(_xlfn.MINIFS('Detalle individual'!$G$5:$G$295, 'Detalle individual'!$C$5:$C$295, A6), ""), "")</f>
        <v>46296.43667824074</v>
      </c>
      <c r="L6" s="25">
        <f>IF(D6&gt;0, IFERROR(_xlfn.MAXIFS('Detalle individual'!$H$5:$H$295, 'Detalle individual'!$C$5:$C$295, A6), ""), "")</f>
        <v>46305.39865740741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2</v>
      </c>
      <c r="E7" s="8">
        <f>C7-D7</f>
        <v>3</v>
      </c>
      <c r="F7" s="9">
        <f>IF(C7&gt;0, D7/C7, 0)</f>
        <v>0.4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5">
        <f>IF(D7&gt;0, IFERROR(_xlfn.MINIFS('Detalle individual'!$G$5:$G$295, 'Detalle individual'!$C$5:$C$295, A7), ""), "")</f>
        <v>46304.494108796294</v>
      </c>
      <c r="L7" s="25">
        <f>IF(D7&gt;0, IFERROR(_xlfn.MAXIFS('Detalle individual'!$H$5:$H$295, 'Detalle individual'!$C$5:$C$295, A7), ""), "")</f>
        <v>46304.56716435185</v>
      </c>
      <c r="M7" s="7">
        <f>IF(D7&gt;0, IFERROR(_xlfn.MINIFS('Detalle individual'!$I$5:$I$295, 'Detalle individual'!$C$5:$C$295, A7), ""), "")</f>
        <v>4.43333333333333</v>
      </c>
      <c r="N7" s="7">
        <f>IF(D7&gt;0, IFERROR(AVERAGEIFS('Detalle individual'!$I$5:$I$295, 'Detalle individual'!$C$5:$C$295, A7), ""), "")</f>
        <v>15.1083333333333</v>
      </c>
    </row>
    <row r="8">
      <c r="A8" s="5" t="inlineStr">
        <is>
          <t xml:space="preserve">AGENCIA CENTRAL  </t>
        </is>
      </c>
      <c r="B8" s="5" t="inlineStr">
        <is>
          <t>Gerencia de Negocios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6</v>
      </c>
      <c r="E8" s="8">
        <f>C8-D8</f>
        <v>12</v>
      </c>
      <c r="F8" s="9">
        <f>IF(C8&gt;0, D8/C8, 0)</f>
        <v>0.333333333333333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95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75</v>
      </c>
      <c r="K8" s="25">
        <f>IF(D8&gt;0, IFERROR(_xlfn.MINIFS('Detalle individual'!$G$5:$G$295, 'Detalle individual'!$C$5:$C$295, A8), ""), "")</f>
        <v>46302.469988425924</v>
      </c>
      <c r="L8" s="25">
        <f>IF(D8&gt;0, IFERROR(_xlfn.MAXIFS('Detalle individual'!$H$5:$H$295, 'Detalle individual'!$C$5:$C$295, A8), ""), "")</f>
        <v>46305.39554398148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15.6999999950222</v>
      </c>
    </row>
    <row r="9">
      <c r="A9" s="5" t="inlineStr">
        <is>
          <t xml:space="preserve">AGENCIA COLEGIO MEDICO </t>
        </is>
      </c>
      <c r="B9" s="5" t="inlineStr">
        <is>
          <t>Gerencia de Negocios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3</v>
      </c>
      <c r="E9" s="8">
        <f>C9-D9</f>
        <v>9</v>
      </c>
      <c r="F9" s="9">
        <f>IF(C9&gt;0, D9/C9, 0)</f>
        <v>0.25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100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100</v>
      </c>
      <c r="K9" s="25">
        <f>IF(D9&gt;0, IFERROR(_xlfn.MINIFS('Detalle individual'!$G$5:$G$295, 'Detalle individual'!$C$5:$C$295, A9), ""), "")</f>
        <v>46296.47090277778</v>
      </c>
      <c r="L9" s="25">
        <f>IF(D9&gt;0, IFERROR(_xlfn.MAXIFS('Detalle individual'!$H$5:$H$295, 'Detalle individual'!$C$5:$C$295, A9), ""), "")</f>
        <v>46305.407002314816</v>
      </c>
      <c r="M9" s="7">
        <f>IF(D9&gt;0, IFERROR(_xlfn.MINIFS('Detalle individual'!$I$5:$I$295, 'Detalle individual'!$C$5:$C$295, A9), ""), "")</f>
        <v>7.83333333333333</v>
      </c>
      <c r="N9" s="7">
        <f>IF(D9&gt;0, IFERROR(AVERAGEIFS('Detalle individual'!$I$5:$I$295, 'Detalle individual'!$C$5:$C$295, A9), ""), "")</f>
        <v>13.5055555611944</v>
      </c>
    </row>
    <row r="10">
      <c r="A10" s="5" t="inlineStr">
        <is>
          <t xml:space="preserve">AGENCIA COLONIA MEDICA  </t>
        </is>
      </c>
      <c r="B10" s="5" t="inlineStr">
        <is>
          <t>Gerencia de Negocios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5</v>
      </c>
      <c r="E10" s="8">
        <f>C10-D10</f>
        <v>11</v>
      </c>
      <c r="F10" s="9">
        <f>IF(C10&gt;0, D10/C10, 0)</f>
        <v>0.3125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95</v>
      </c>
      <c r="K10" s="25">
        <f>IF(D10&gt;0, IFERROR(_xlfn.MINIFS('Detalle individual'!$G$5:$G$295, 'Detalle individual'!$C$5:$C$295, A10), ""), "")</f>
        <v>46297.711550925924</v>
      </c>
      <c r="L10" s="25">
        <f>IF(D10&gt;0, IFERROR(_xlfn.MAXIFS('Detalle individual'!$H$5:$H$295, 'Detalle individual'!$C$5:$C$295, A10), ""), "")</f>
        <v>46302.64712962963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48.6733333333333</v>
      </c>
    </row>
    <row r="11">
      <c r="A11" s="5" t="inlineStr">
        <is>
          <t xml:space="preserve">AGENCIA MERLIOT  </t>
        </is>
      </c>
      <c r="B11" s="5" t="inlineStr">
        <is>
          <t>Gerencia de Negocios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5">
        <f>IF(D11&gt;0, IFERROR(_xlfn.MINIFS('Detalle individual'!$G$5:$G$295, 'Detalle individual'!$C$5:$C$295, A11), ""), "")</f>
        <v>46296.54665509259</v>
      </c>
      <c r="L11" s="25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0</v>
      </c>
      <c r="E12" s="8">
        <f>C12-D12</f>
        <v>8</v>
      </c>
      <c r="F12" s="9">
        <f>IF(C12&gt;0, D12/C12, 0)</f>
        <v>0</v>
      </c>
      <c r="G12" s="4" t="str">
        <f>IF(AND(C12&gt;0, D12=C12), "Completo", "Pendiente")</f>
        <v>Pendiente</v>
      </c>
      <c r="H12" s="7" t="str">
        <f>IF(D12&gt;0, IFERROR(AVERAGEIFS('Detalle individual'!$J$5:$J$295, 'Detalle individual'!$C$5:$C$295, A12), ""), "")</f>
        <v/>
      </c>
      <c r="I12" s="6" t="str">
        <f>IF(D12&gt;0, IFERROR(_xlfn.MAXIFS('Detalle individual'!$J$5:$J$295, 'Detalle individual'!$C$5:$C$295, A12), ""), "")</f>
        <v/>
      </c>
      <c r="J12" s="6" t="str">
        <f>IF(D12&gt;0, IFERROR(_xlfn.MINIFS('Detalle individual'!$J$5:$J$295, 'Detalle individual'!$C$5:$C$295, A12), ""), "")</f>
        <v/>
      </c>
      <c r="K12" s="25" t="str">
        <f>IF(D12&gt;0, IFERROR(_xlfn.MINIFS('Detalle individual'!$G$5:$G$295, 'Detalle individual'!$C$5:$C$295, A12), ""), "")</f>
        <v/>
      </c>
      <c r="L12" s="25" t="str">
        <f>IF(D12&gt;0, IFERROR(_xlfn.MAXIFS('Detalle individual'!$H$5:$H$295, 'Detalle individual'!$C$5:$C$295, A12), ""), "")</f>
        <v/>
      </c>
      <c r="M12" s="7" t="str">
        <f>IF(D12&gt;0, IFERROR(_xlfn.MINIFS('Detalle individual'!$I$5:$I$295, 'Detalle individual'!$C$5:$C$295, A12), ""), "")</f>
        <v/>
      </c>
      <c r="N12" s="7" t="str">
        <f>IF(D12&gt;0, IFERROR(AVERAGEIFS('Detalle individual'!$I$5:$I$295, 'Detalle individual'!$C$5:$C$295, A12), ""),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5">
        <f>IF(D13&gt;0, IFERROR(_xlfn.MINIFS('Detalle individual'!$G$5:$G$295, 'Detalle individual'!$C$5:$C$295, A13), ""), "")</f>
        <v>46296.43491898148</v>
      </c>
      <c r="L13" s="25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0</v>
      </c>
      <c r="E14" s="8">
        <f>C14-D14</f>
        <v>8</v>
      </c>
      <c r="F14" s="9">
        <f>IF(C14&gt;0, D14/C14, 0)</f>
        <v>0</v>
      </c>
      <c r="G14" s="4" t="str">
        <f>IF(AND(C14&gt;0, D14=C14), "Completo", "Pendiente")</f>
        <v>Pendiente</v>
      </c>
      <c r="H14" s="7" t="str">
        <f>IF(D14&gt;0, IFERROR(AVERAGEIFS('Detalle individual'!$J$5:$J$295, 'Detalle individual'!$C$5:$C$295, A14), ""), "")</f>
        <v/>
      </c>
      <c r="I14" s="6" t="str">
        <f>IF(D14&gt;0, IFERROR(_xlfn.MAXIFS('Detalle individual'!$J$5:$J$295, 'Detalle individual'!$C$5:$C$295, A14), ""), "")</f>
        <v/>
      </c>
      <c r="J14" s="6" t="str">
        <f>IF(D14&gt;0, IFERROR(_xlfn.MINIFS('Detalle individual'!$J$5:$J$295, 'Detalle individual'!$C$5:$C$295, A14), ""), "")</f>
        <v/>
      </c>
      <c r="K14" s="25" t="str">
        <f>IF(D14&gt;0, IFERROR(_xlfn.MINIFS('Detalle individual'!$G$5:$G$295, 'Detalle individual'!$C$5:$C$295, A14), ""), "")</f>
        <v/>
      </c>
      <c r="L14" s="25" t="str">
        <f>IF(D14&gt;0, IFERROR(_xlfn.MAXIFS('Detalle individual'!$H$5:$H$295, 'Detalle individual'!$C$5:$C$295, A14), ""), "")</f>
        <v/>
      </c>
      <c r="M14" s="7" t="str">
        <f>IF(D14&gt;0, IFERROR(_xlfn.MINIFS('Detalle individual'!$I$5:$I$295, 'Detalle individual'!$C$5:$C$295, A14), ""), "")</f>
        <v/>
      </c>
      <c r="N14" s="7" t="str">
        <f>IF(D14&gt;0, IFERROR(AVERAGEIFS('Detalle individual'!$I$5:$I$295, 'Detalle individual'!$C$5:$C$295, A14), ""),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0</v>
      </c>
      <c r="E15" s="8">
        <f>C15-D15</f>
        <v>7</v>
      </c>
      <c r="F15" s="9">
        <f>IF(C15&gt;0, D15/C15, 0)</f>
        <v>0</v>
      </c>
      <c r="G15" s="4" t="str">
        <f>IF(AND(C15&gt;0, D15=C15), "Completo", "Pendiente")</f>
        <v>Pendiente</v>
      </c>
      <c r="H15" s="7" t="str">
        <f>IF(D15&gt;0, IFERROR(AVERAGEIFS('Detalle individual'!$J$5:$J$295, 'Detalle individual'!$C$5:$C$295, A15), ""), "")</f>
        <v/>
      </c>
      <c r="I15" s="6" t="str">
        <f>IF(D15&gt;0, IFERROR(_xlfn.MAXIFS('Detalle individual'!$J$5:$J$295, 'Detalle individual'!$C$5:$C$295, A15), ""), "")</f>
        <v/>
      </c>
      <c r="J15" s="6" t="str">
        <f>IF(D15&gt;0, IFERROR(_xlfn.MINIFS('Detalle individual'!$J$5:$J$295, 'Detalle individual'!$C$5:$C$295, A15), ""), "")</f>
        <v/>
      </c>
      <c r="K15" s="25" t="str">
        <f>IF(D15&gt;0, IFERROR(_xlfn.MINIFS('Detalle individual'!$G$5:$G$295, 'Detalle individual'!$C$5:$C$295, A15), ""), "")</f>
        <v/>
      </c>
      <c r="L15" s="25" t="str">
        <f>IF(D15&gt;0, IFERROR(_xlfn.MAXIFS('Detalle individual'!$H$5:$H$295, 'Detalle individual'!$C$5:$C$295, A15), ""), "")</f>
        <v/>
      </c>
      <c r="M15" s="7" t="str">
        <f>IF(D15&gt;0, IFERROR(_xlfn.MINIFS('Detalle individual'!$I$5:$I$295, 'Detalle individual'!$C$5:$C$295, A15), ""), "")</f>
        <v/>
      </c>
      <c r="N15" s="7" t="str">
        <f>IF(D15&gt;0, IFERROR(AVERAGEIFS('Detalle individual'!$I$5:$I$295, 'Detalle individual'!$C$5:$C$295, A15), ""),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4</v>
      </c>
      <c r="E16" s="8">
        <f>C16-D16</f>
        <v>3</v>
      </c>
      <c r="F16" s="9">
        <f>IF(C16&gt;0, D16/C16, 0)</f>
        <v>0.571428571428571</v>
      </c>
      <c r="G16" s="4" t="str">
        <f>IF(AND(C16&gt;0, D16=C16), "Completo", "Pendiente")</f>
        <v>Pendiente</v>
      </c>
      <c r="H16" s="7">
        <f>IF(D16&gt;0, IFERROR(AVERAGEIFS('Detalle individual'!$J$5:$J$295, 'Detalle individual'!$C$5:$C$295, A16), ""), "")</f>
        <v>95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5">
        <f>IF(D16&gt;0, IFERROR(_xlfn.MINIFS('Detalle individual'!$G$5:$G$295, 'Detalle individual'!$C$5:$C$295, A16), ""), "")</f>
        <v>46301.42581018519</v>
      </c>
      <c r="L16" s="25">
        <f>IF(D16&gt;0, IFERROR(_xlfn.MAXIFS('Detalle individual'!$H$5:$H$295, 'Detalle individual'!$C$5:$C$295, A16), ""), "")</f>
        <v>46303.544328703705</v>
      </c>
      <c r="M16" s="7">
        <f>IF(D16&gt;0, IFERROR(_xlfn.MINIFS('Detalle individual'!$I$5:$I$295, 'Detalle individual'!$C$5:$C$295, A16), ""), "")</f>
        <v>4.41666666666667</v>
      </c>
      <c r="N16" s="7">
        <f>IF(D16&gt;0, IFERROR(AVERAGEIFS('Detalle individual'!$I$5:$I$295, 'Detalle individual'!$C$5:$C$295, A16), ""), "")</f>
        <v>8.72083333333333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individual'!$J$5:$J$295, 'Detalle individual'!$C$5:$C$295, A17), ""), "")</f>
        <v>100</v>
      </c>
      <c r="I17" s="6">
        <f>IF(D17&gt;0, IFERROR(_xlfn.MAXIFS('Detalle individual'!$J$5:$J$295, 'Detalle individual'!$C$5:$C$295, A17), ""), "")</f>
        <v>100</v>
      </c>
      <c r="J17" s="6">
        <f>IF(D17&gt;0, IFERROR(_xlfn.MINIFS('Detalle individual'!$J$5:$J$295, 'Detalle individual'!$C$5:$C$295, A17), ""), "")</f>
        <v>100</v>
      </c>
      <c r="K17" s="25">
        <f>IF(D17&gt;0, IFERROR(_xlfn.MINIFS('Detalle individual'!$G$5:$G$295, 'Detalle individual'!$C$5:$C$295, A17), ""), "")</f>
        <v>46305.40681712963</v>
      </c>
      <c r="L17" s="25">
        <f>IF(D17&gt;0, IFERROR(_xlfn.MAXIFS('Detalle individual'!$H$5:$H$295, 'Detalle individual'!$C$5:$C$295, A17), ""), "")</f>
        <v>46305.41128472222</v>
      </c>
      <c r="M17" s="7">
        <f>IF(D17&gt;0, IFERROR(_xlfn.MINIFS('Detalle individual'!$I$5:$I$295, 'Detalle individual'!$C$5:$C$295, A17), ""), "")</f>
        <v>2.76666666666667</v>
      </c>
      <c r="N17" s="7">
        <f>IF(D17&gt;0, IFERROR(AVERAGEIFS('Detalle individual'!$I$5:$I$295, 'Detalle individual'!$C$5:$C$295,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de Negocios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4</v>
      </c>
      <c r="E18" s="8">
        <f>C18-D18</f>
        <v>4</v>
      </c>
      <c r="F18" s="9">
        <f>IF(C18&gt;0, D18/C18, 0)</f>
        <v>0.5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88.75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80</v>
      </c>
      <c r="K18" s="25">
        <f>IF(D18&gt;0, IFERROR(_xlfn.MINIFS('Detalle individual'!$G$5:$G$295, 'Detalle individual'!$C$5:$C$295, A18), ""), "")</f>
        <v>46297.7059375</v>
      </c>
      <c r="L18" s="25">
        <f>IF(D18&gt;0, IFERROR(_xlfn.MAXIFS('Detalle individual'!$H$5:$H$295, 'Detalle individual'!$C$5:$C$295, A18), ""), "")</f>
        <v>46304.7809837963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9.1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8</v>
      </c>
      <c r="E19" s="8">
        <f>C19-D19</f>
        <v>3</v>
      </c>
      <c r="F19" s="9">
        <f>IF(C19&gt;0, D19/C19, 0)</f>
        <v>0.727272727272727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5">
        <f>IF(D19&gt;0, IFERROR(_xlfn.MINIFS('Detalle individual'!$G$5:$G$295, 'Detalle individual'!$C$5:$C$295, A19), ""), "")</f>
        <v>46296.56962962963</v>
      </c>
      <c r="L19" s="25">
        <f>IF(D19&gt;0, IFERROR(_xlfn.MAXIFS('Detalle individual'!$H$5:$H$295, 'Detalle individual'!$C$5:$C$295, A19), ""), "")</f>
        <v>46304.40027777778</v>
      </c>
      <c r="M19" s="7">
        <f>IF(D19&gt;0, IFERROR(_xlfn.MINIFS('Detalle individual'!$I$5:$I$295, 'Detalle individual'!$C$5:$C$295, A19), ""), "")</f>
        <v>4.48333333333333</v>
      </c>
      <c r="N19" s="7">
        <f>IF(D19&gt;0, IFERROR(AVERAGEIFS('Detalle individual'!$I$5:$I$295, 'Detalle individual'!$C$5:$C$295, A19), ""), "")</f>
        <v>15.9354166666667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2</v>
      </c>
      <c r="E20" s="8">
        <f>C20-D20</f>
        <v>4</v>
      </c>
      <c r="F20" s="9">
        <f>IF(C20&gt;0, D20/C20, 0)</f>
        <v>0.333333333333333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100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100</v>
      </c>
      <c r="K20" s="25">
        <f>IF(D20&gt;0, IFERROR(_xlfn.MINIFS('Detalle individual'!$G$5:$G$295, 'Detalle individual'!$C$5:$C$295, A20), ""), "")</f>
        <v>46301.48449074074</v>
      </c>
      <c r="L20" s="25">
        <f>IF(D20&gt;0, IFERROR(_xlfn.MAXIFS('Detalle individual'!$H$5:$H$295, 'Detalle individual'!$C$5:$C$295, A20), ""), "")</f>
        <v>46304.37650462963</v>
      </c>
      <c r="M20" s="7">
        <f>IF(D20&gt;0, IFERROR(_xlfn.MINIFS('Detalle individual'!$I$5:$I$295, 'Detalle individual'!$C$5:$C$295, A20), ""), "")</f>
        <v>4.91666666666667</v>
      </c>
      <c r="N20" s="7">
        <f>IF(D20&gt;0, IFERROR(AVERAGEIFS('Detalle individual'!$I$5:$I$295, 'Detalle individual'!$C$5:$C$295, A20), ""), "")</f>
        <v>5.90833333333333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5</v>
      </c>
      <c r="E21" s="8">
        <f>C21-D21</f>
        <v>2</v>
      </c>
      <c r="F21" s="9">
        <f>IF(C21&gt;0, D21/C21, 0)</f>
        <v>0.714285714285714</v>
      </c>
      <c r="G21" s="4" t="str">
        <f>IF(AND(C21&gt;0, D21=C21), "Completo", "Pendiente")</f>
        <v>Pendiente</v>
      </c>
      <c r="H21" s="7">
        <f>IF(D21&gt;0, IFERROR(AVERAGEIFS('Detalle individual'!$J$5:$J$295, 'Detalle individual'!$C$5:$C$295, A21), ""), "")</f>
        <v>96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5">
        <f>IF(D21&gt;0, IFERROR(_xlfn.MINIFS('Detalle individual'!$G$5:$G$295, 'Detalle individual'!$C$5:$C$295, A21), ""), "")</f>
        <v>46296.61756944445</v>
      </c>
      <c r="L21" s="25">
        <f>IF(D21&gt;0, IFERROR(_xlfn.MAXIFS('Detalle individual'!$H$5:$H$295, 'Detalle individual'!$C$5:$C$295, A21), ""), "")</f>
        <v>46304.404328703706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6.83999999505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7</v>
      </c>
      <c r="E22" s="8">
        <f>C22-D22</f>
        <v>6</v>
      </c>
      <c r="F22" s="9">
        <f>IF(C22&gt;0, D22/C22, 0)</f>
        <v>0.538461538461538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98.5714285714286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90</v>
      </c>
      <c r="K22" s="25">
        <f>IF(D22&gt;0, IFERROR(_xlfn.MINIFS('Detalle individual'!$G$5:$G$295, 'Detalle individual'!$C$5:$C$295, A22), ""), "")</f>
        <v>46296.61537037037</v>
      </c>
      <c r="L22" s="25">
        <f>IF(D22&gt;0, IFERROR(_xlfn.MAXIFS('Detalle individual'!$H$5:$H$295, 'Detalle individual'!$C$5:$C$295, A22), ""), "")</f>
        <v>46304.4002662037</v>
      </c>
      <c r="M22" s="7">
        <f>IF(D22&gt;0, IFERROR(_xlfn.MINIFS('Detalle individual'!$I$5:$I$295, 'Detalle individual'!$C$5:$C$295, A22), ""), "")</f>
        <v>2.88333333333333</v>
      </c>
      <c r="N22" s="7">
        <f>IF(D22&gt;0, IFERROR(AVERAGEIFS('Detalle individual'!$I$5:$I$295, 'Detalle individual'!$C$5:$C$295, A22), ""), "")</f>
        <v>8.69761904761905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7</v>
      </c>
      <c r="E23" s="8">
        <f>C23-D23</f>
        <v>6</v>
      </c>
      <c r="F23" s="9">
        <f>IF(C23&gt;0, D23/C23, 0)</f>
        <v>0.538461538461538</v>
      </c>
      <c r="G23" s="4" t="str">
        <f>IF(AND(C23&gt;0, D23=C23), "Completo", "Pendiente")</f>
        <v>Pendiente</v>
      </c>
      <c r="H23" s="7">
        <f>IF(D23&gt;0, IFERROR(AVERAGEIFS('Detalle individual'!$J$5:$J$295, 'Detalle individual'!$C$5:$C$295, A23), ""), "")</f>
        <v>97.1428571428571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5">
        <f>IF(D23&gt;0, IFERROR(_xlfn.MINIFS('Detalle individual'!$G$5:$G$295, 'Detalle individual'!$C$5:$C$295, A23), ""), "")</f>
        <v>46297.64716435185</v>
      </c>
      <c r="L23" s="25">
        <f>IF(D23&gt;0, IFERROR(_xlfn.MAXIFS('Detalle individual'!$H$5:$H$295, 'Detalle individual'!$C$5:$C$295, A23), ""), "")</f>
        <v>46304.444606481484</v>
      </c>
      <c r="M23" s="7">
        <f>IF(D23&gt;0, IFERROR(_xlfn.MINIFS('Detalle individual'!$I$5:$I$295, 'Detalle individual'!$C$5:$C$295, A23), ""), "")</f>
        <v>5.11666666666667</v>
      </c>
      <c r="N23" s="7">
        <f>IF(D23&gt;0, IFERROR(AVERAGEIFS('Detalle individual'!$I$5:$I$295, 'Detalle individual'!$C$5:$C$295, A23), ""), "")</f>
        <v>11.4761904761905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5">
        <f>IF(D24&gt;0, IFERROR(_xlfn.MINIFS('Detalle individual'!$G$5:$G$295, 'Detalle individual'!$C$5:$C$295, A24), ""), "")</f>
        <v>46298.500914351855</v>
      </c>
      <c r="L24" s="25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3</v>
      </c>
      <c r="E25" s="8">
        <f>C25-D25</f>
        <v>1</v>
      </c>
      <c r="F25" s="9">
        <f>IF(C25&gt;0, D25/C25, 0)</f>
        <v>0.75</v>
      </c>
      <c r="G25" s="4" t="str">
        <f>IF(AND(C25&gt;0, D25=C25), "Completo", "Pendiente")</f>
        <v>Pendiente</v>
      </c>
      <c r="H25" s="7">
        <f>IF(D25&gt;0, IFERROR(AVERAGEIFS('Detalle individual'!$J$5:$J$295, 'Detalle individual'!$C$5:$C$295, A25), ""), "")</f>
        <v>98.3333333333333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5">
        <f>IF(D25&gt;0, IFERROR(_xlfn.MINIFS('Detalle individual'!$G$5:$G$295, 'Detalle individual'!$C$5:$C$295, A25), ""), "")</f>
        <v>46296.56951388889</v>
      </c>
      <c r="L25" s="25">
        <f>IF(D25&gt;0, IFERROR(_xlfn.MAXIFS('Detalle individual'!$H$5:$H$295, 'Detalle individual'!$C$5:$C$295, A25), ""), "")</f>
        <v>46304.692928240744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8.38888888888889</v>
      </c>
    </row>
    <row r="26">
      <c r="A26" s="5" t="inlineStr">
        <is>
          <t>DEPARTAMENTO DE EDUCACION Y RESPONSABILIDAD SOCIAL</t>
        </is>
      </c>
      <c r="B26" s="5" t="inlineStr">
        <is>
          <t>Gerencia de Negocios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5">
        <f>IF(D26&gt;0, IFERROR(_xlfn.MINIFS('Detalle individual'!$G$5:$G$295, 'Detalle individual'!$C$5:$C$295, A26), ""), "")</f>
        <v>46301.62170138889</v>
      </c>
      <c r="L26" s="25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1</v>
      </c>
      <c r="E27" s="8">
        <f>C27-D27</f>
        <v>6</v>
      </c>
      <c r="F27" s="9">
        <f>IF(C27&gt;0, D27/C27, 0)</f>
        <v>0.142857142857143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100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100</v>
      </c>
      <c r="K27" s="25">
        <f>IF(D27&gt;0, IFERROR(_xlfn.MINIFS('Detalle individual'!$G$5:$G$295, 'Detalle individual'!$C$5:$C$295, A27), ""), "")</f>
        <v>46301.61615740741</v>
      </c>
      <c r="L27" s="25">
        <f>IF(D27&gt;0, IFERROR(_xlfn.MAXIFS('Detalle individual'!$H$5:$H$295, 'Detalle individual'!$C$5:$C$295, A27), ""), "")</f>
        <v>46301.64126157408</v>
      </c>
      <c r="M27" s="7">
        <f>IF(D27&gt;0, IFERROR(_xlfn.MINIFS('Detalle individual'!$I$5:$I$295, 'Detalle individual'!$C$5:$C$295, A27), ""), "")</f>
        <v>36.15</v>
      </c>
      <c r="N27" s="7">
        <f>IF(D27&gt;0, IFERROR(AVERAGEIFS('Detalle individual'!$I$5:$I$295, 'Detalle individual'!$C$5:$C$295, A27), ""), "")</f>
        <v>36.15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5">
        <f>IF(D28&gt;0, IFERROR(_xlfn.MINIFS('Detalle individual'!$G$5:$G$295, 'Detalle individual'!$C$5:$C$295, A28), ""), "")</f>
        <v>46300.46083333333</v>
      </c>
      <c r="L28" s="25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0</v>
      </c>
      <c r="E29" s="8">
        <f>C29-D29</f>
        <v>3</v>
      </c>
      <c r="F29" s="9">
        <f>IF(C29&gt;0, D29/C29, 0)</f>
        <v>0</v>
      </c>
      <c r="G29" s="4" t="str">
        <f>IF(AND(C29&gt;0, D29=C29), "Completo", "Pendiente")</f>
        <v>Pendiente</v>
      </c>
      <c r="H29" s="7" t="str">
        <f>IF(D29&gt;0, IFERROR(AVERAGEIFS('Detalle individual'!$J$5:$J$295, 'Detalle individual'!$C$5:$C$295, A29), ""), "")</f>
        <v/>
      </c>
      <c r="I29" s="6" t="str">
        <f>IF(D29&gt;0, IFERROR(_xlfn.MAXIFS('Detalle individual'!$J$5:$J$295, 'Detalle individual'!$C$5:$C$295, A29), ""), "")</f>
        <v/>
      </c>
      <c r="J29" s="6" t="str">
        <f>IF(D29&gt;0, IFERROR(_xlfn.MINIFS('Detalle individual'!$J$5:$J$295, 'Detalle individual'!$C$5:$C$295, A29), ""), "")</f>
        <v/>
      </c>
      <c r="K29" s="25" t="str">
        <f>IF(D29&gt;0, IFERROR(_xlfn.MINIFS('Detalle individual'!$G$5:$G$295, 'Detalle individual'!$C$5:$C$295, A29), ""), "")</f>
        <v/>
      </c>
      <c r="L29" s="25" t="str">
        <f>IF(D29&gt;0, IFERROR(_xlfn.MAXIFS('Detalle individual'!$H$5:$H$295, 'Detalle individual'!$C$5:$C$295, A29), ""), "")</f>
        <v/>
      </c>
      <c r="M29" s="7" t="str">
        <f>IF(D29&gt;0, IFERROR(_xlfn.MINIFS('Detalle individual'!$I$5:$I$295, 'Detalle individual'!$C$5:$C$295, A29), ""), "")</f>
        <v/>
      </c>
      <c r="N29" s="7" t="str">
        <f>IF(D29&gt;0, IFERROR(AVERAGEIFS('Detalle individual'!$I$5:$I$295, 'Detalle individual'!$C$5:$C$295, A29), ""),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5">
        <f>IF(D30&gt;0, IFERROR(_xlfn.MINIFS('Detalle individual'!$G$5:$G$295, 'Detalle individual'!$C$5:$C$295, A30), ""), "")</f>
        <v>46296.436574074076</v>
      </c>
      <c r="L30" s="25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5">
        <f>IF(D31&gt;0, IFERROR(_xlfn.MINIFS('Detalle individual'!$G$5:$G$295, 'Detalle individual'!$C$5:$C$295, A31), ""), "")</f>
        <v>46296.454039351855</v>
      </c>
      <c r="L31" s="25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5</v>
      </c>
      <c r="E32" s="8">
        <f>C32-D32</f>
        <v>6</v>
      </c>
      <c r="F32" s="9">
        <f>IF(C32&gt;0, D32/C32, 0)</f>
        <v>0.454545454545455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96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5">
        <f>IF(D32&gt;0, IFERROR(_xlfn.MINIFS('Detalle individual'!$G$5:$G$295, 'Detalle individual'!$C$5:$C$295, A32), ""), "")</f>
        <v>46296.426412037035</v>
      </c>
      <c r="L32" s="25">
        <f>IF(D32&gt;0, IFERROR(_xlfn.MAXIFS('Detalle individual'!$H$5:$H$295, 'Detalle individual'!$C$5:$C$295, A32), ""), "")</f>
        <v>46301.68011574074</v>
      </c>
      <c r="M32" s="7">
        <f>IF(D32&gt;0, IFERROR(_xlfn.MINIFS('Detalle individual'!$I$5:$I$295, 'Detalle individual'!$C$5:$C$295, A32), ""), "")</f>
        <v>7.86666666666667</v>
      </c>
      <c r="N32" s="7">
        <f>IF(D32&gt;0, IFERROR(AVERAGEIFS('Detalle individual'!$I$5:$I$295, 'Detalle individual'!$C$5:$C$295, A32), ""), "")</f>
        <v>18.2866666666667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16</v>
      </c>
      <c r="E33" s="8">
        <f>C33-D33</f>
        <v>1</v>
      </c>
      <c r="F33" s="9">
        <f>IF(C33&gt;0, D33/C33, 0)</f>
        <v>0.941176470588235</v>
      </c>
      <c r="G33" s="4" t="str">
        <f>IF(AND(C33&gt;0, D33=C33), "Completo", "Pendiente")</f>
        <v>Pendiente</v>
      </c>
      <c r="H33" s="7">
        <f>IF(D33&gt;0, IFERROR(AVERAGEIFS('Detalle individual'!$J$5:$J$295, 'Detalle individual'!$C$5:$C$295, A33), ""), "")</f>
        <v>85.625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5">
        <f>IF(D33&gt;0, IFERROR(_xlfn.MINIFS('Detalle individual'!$G$5:$G$295, 'Detalle individual'!$C$5:$C$295, A33), ""), "")</f>
        <v>46297.771944444445</v>
      </c>
      <c r="L33" s="25">
        <f>IF(D33&gt;0, IFERROR(_xlfn.MAXIFS('Detalle individual'!$H$5:$H$295, 'Detalle individual'!$C$5:$C$295, A33), ""), "")</f>
        <v>46304.520787037036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12.6072916666667</v>
      </c>
    </row>
    <row r="34">
      <c r="A34" s="5" t="inlineStr">
        <is>
          <t>DEPARTAMENTO DE SOLUCIONES FINANCIERAS</t>
        </is>
      </c>
      <c r="B34" s="5" t="inlineStr">
        <is>
          <t>Gerencia de Negocios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3</v>
      </c>
      <c r="E34" s="8">
        <f>C34-D34</f>
        <v>7</v>
      </c>
      <c r="F34" s="9">
        <f>IF(C34&gt;0, D34/C34, 0)</f>
        <v>0.3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93.3333333333333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80</v>
      </c>
      <c r="K34" s="25">
        <f>IF(D34&gt;0, IFERROR(_xlfn.MINIFS('Detalle individual'!$G$5:$G$295, 'Detalle individual'!$C$5:$C$295, A34), ""), "")</f>
        <v>46304.373240740744</v>
      </c>
      <c r="L34" s="25">
        <f>IF(D34&gt;0, IFERROR(_xlfn.MAXIFS('Detalle individual'!$H$5:$H$295, 'Detalle individual'!$C$5:$C$295, A34), ""), "")</f>
        <v>46305.41322916667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7.28333333333333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5">
        <f>IF(D35&gt;0, IFERROR(_xlfn.MINIFS('Detalle individual'!$G$5:$G$295, 'Detalle individual'!$C$5:$C$295, A35), ""), "")</f>
        <v>46304.40207175926</v>
      </c>
      <c r="L35" s="25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3</v>
      </c>
      <c r="E36" s="8">
        <f>C36-D36</f>
        <v>3</v>
      </c>
      <c r="F36" s="9">
        <f>IF(C36&gt;0, D36/C36, 0)</f>
        <v>0.5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98.3333333333333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5">
        <f>IF(D36&gt;0, IFERROR(_xlfn.MINIFS('Detalle individual'!$G$5:$G$295, 'Detalle individual'!$C$5:$C$295, A36), ""), "")</f>
        <v>46296.646261574075</v>
      </c>
      <c r="L36" s="25">
        <f>IF(D36&gt;0, IFERROR(_xlfn.MAXIFS('Detalle individual'!$H$5:$H$295, 'Detalle individual'!$C$5:$C$295, A36), ""), "")</f>
        <v>46304.57939814815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8.27222222222222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2</v>
      </c>
      <c r="E37" s="8">
        <f>C37-D37</f>
        <v>6</v>
      </c>
      <c r="F37" s="9">
        <f>IF(C37&gt;0, D37/C37, 0)</f>
        <v>0.25</v>
      </c>
      <c r="G37" s="4" t="str">
        <f>IF(AND(C37&gt;0, D37=C37), "Completo", "Pendiente")</f>
        <v>Pendiente</v>
      </c>
      <c r="H37" s="7">
        <f>IF(D37&gt;0, IFERROR(AVERAGEIFS('Detalle individual'!$J$5:$J$295, 'Detalle individual'!$C$5:$C$295, A37), ""), "")</f>
        <v>95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5">
        <f>IF(D37&gt;0, IFERROR(_xlfn.MINIFS('Detalle individual'!$G$5:$G$295, 'Detalle individual'!$C$5:$C$295, A37), ""), "")</f>
        <v>46300.62287037037</v>
      </c>
      <c r="L37" s="25">
        <f>IF(D37&gt;0, IFERROR(_xlfn.MAXIFS('Detalle individual'!$H$5:$H$295, 'Detalle individual'!$C$5:$C$295, A37), ""), "")</f>
        <v>46304.703680555554</v>
      </c>
      <c r="M37" s="7">
        <f>IF(D37&gt;0, IFERROR(_xlfn.MINIFS('Detalle individual'!$I$5:$I$295, 'Detalle individual'!$C$5:$C$295, A37), ""), "")</f>
        <v>8.08333333333333</v>
      </c>
      <c r="N37" s="7">
        <f>IF(D37&gt;0, IFERROR(AVERAGEIFS('Detalle individual'!$I$5:$I$295, 'Detalle individual'!$C$5:$C$295, A37), ""), "")</f>
        <v>9.59166666666667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1</v>
      </c>
      <c r="E38" s="8">
        <f>C38-D38</f>
        <v>1</v>
      </c>
      <c r="F38" s="9">
        <f>IF(C38&gt;0, D38/C38, 0)</f>
        <v>0.5</v>
      </c>
      <c r="G38" s="4" t="str">
        <f>IF(AND(C38&gt;0, D38=C38), "Completo", "Pendiente")</f>
        <v>Pendiente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5">
        <f>IF(D38&gt;0, IFERROR(_xlfn.MINIFS('Detalle individual'!$G$5:$G$295, 'Detalle individual'!$C$5:$C$295, A38), ""), "")</f>
        <v>46297.636770833335</v>
      </c>
      <c r="L38" s="25">
        <f>IF(D38&gt;0, IFERROR(_xlfn.MAXIFS('Detalle individual'!$H$5:$H$295, 'Detalle individual'!$C$5:$C$295, A38), ""), "")</f>
        <v>46297.63836805556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2.3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1</v>
      </c>
      <c r="E39" s="8">
        <f>C39-D39</f>
        <v>1</v>
      </c>
      <c r="F39" s="9">
        <f>IF(C39&gt;0, D39/C39, 0)</f>
        <v>0.5</v>
      </c>
      <c r="G39" s="4" t="str">
        <f>IF(AND(C39&gt;0, D39=C39), "Completo", "Pendiente")</f>
        <v>Pendiente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5">
        <f>IF(D39&gt;0, IFERROR(_xlfn.MINIFS('Detalle individual'!$G$5:$G$295, 'Detalle individual'!$C$5:$C$295, A39), ""), "")</f>
        <v>46296.42706018518</v>
      </c>
      <c r="L39" s="25">
        <f>IF(D39&gt;0, IFERROR(_xlfn.MAXIFS('Detalle individual'!$H$5:$H$295, 'Detalle individual'!$C$5:$C$295, A39), ""), "")</f>
        <v>46296.429560185185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3.6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5">
        <f>IF(D40&gt;0, IFERROR(_xlfn.MINIFS('Detalle individual'!$G$5:$G$295, 'Detalle individual'!$C$5:$C$295, A40), ""), "")</f>
        <v>46296.45108796296</v>
      </c>
      <c r="L40" s="25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5" t="str">
        <f>IF(D41&gt;0, IFERROR(_xlfn.MINIFS('Detalle individual'!$G$5:$G$295, 'Detalle individual'!$C$5:$C$295, A41), ""), "")</f>
        <v/>
      </c>
      <c r="L41" s="25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2</v>
      </c>
      <c r="E42" s="8">
        <f>C42-D42</f>
        <v>2</v>
      </c>
      <c r="F42" s="9">
        <f>IF(C42&gt;0, D42/C42, 0)</f>
        <v>0.5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97.5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5">
        <f>IF(D42&gt;0, IFERROR(_xlfn.MINIFS('Detalle individual'!$G$5:$G$295, 'Detalle individual'!$C$5:$C$295, A42), ""), "")</f>
        <v>46300.582349537035</v>
      </c>
      <c r="L42" s="25">
        <f>IF(D42&gt;0, IFERROR(_xlfn.MAXIFS('Detalle individual'!$H$5:$H$295, 'Detalle individual'!$C$5:$C$295, A42), ""), "")</f>
        <v>46304.407905092594</v>
      </c>
      <c r="M42" s="7">
        <f>IF(D42&gt;0, IFERROR(_xlfn.MINIFS('Detalle individual'!$I$5:$I$295, 'Detalle individual'!$C$5:$C$295, A42), ""), "")</f>
        <v>3.45</v>
      </c>
      <c r="N42" s="7">
        <f>IF(D42&gt;0, IFERROR(AVERAGEIFS('Detalle individual'!$I$5:$I$295, 'Detalle individual'!$C$5:$C$295, A42), ""), "")</f>
        <v>4.90833333333333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individual'!$J$5:$J$295, 'Detalle individual'!$C$5:$C$295, A43), ""), "")</f>
        <v>100</v>
      </c>
      <c r="I43" s="6">
        <f>IF(D43&gt;0, IFERROR(_xlfn.MAXIFS('Detalle individual'!$J$5:$J$295, 'Detalle individual'!$C$5:$C$295, A43), ""), "")</f>
        <v>100</v>
      </c>
      <c r="J43" s="6">
        <f>IF(D43&gt;0, IFERROR(_xlfn.MINIFS('Detalle individual'!$J$5:$J$295, 'Detalle individual'!$C$5:$C$295, A43), ""), "")</f>
        <v>100</v>
      </c>
      <c r="K43" s="25">
        <f>IF(D43&gt;0, IFERROR(_xlfn.MINIFS('Detalle individual'!$G$5:$G$295, 'Detalle individual'!$C$5:$C$295, A43), ""), "")</f>
        <v>46305.40667824074</v>
      </c>
      <c r="L43" s="25">
        <f>IF(D43&gt;0, IFERROR(_xlfn.MAXIFS('Detalle individual'!$H$5:$H$295, 'Detalle individual'!$C$5:$C$295, A43), ""), "")</f>
        <v>46305.40980324074</v>
      </c>
      <c r="M43" s="7">
        <f>IF(D43&gt;0, IFERROR(_xlfn.MINIFS('Detalle individual'!$I$5:$I$295, 'Detalle individual'!$C$5:$C$295, A43), ""), "")</f>
        <v>4.5</v>
      </c>
      <c r="N43" s="7">
        <f>IF(D43&gt;0, IFERROR(AVERAGEIFS('Detalle individual'!$I$5:$I$295, 'Detalle individual'!$C$5:$C$295,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5">
        <f>IF(D44&gt;0, IFERROR(_xlfn.MINIFS('Detalle individual'!$G$5:$G$295, 'Detalle individual'!$C$5:$C$295, A44), ""), "")</f>
        <v>46304.69274305556</v>
      </c>
      <c r="L44" s="25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5">
        <f>IF(D45&gt;0, IFERROR(_xlfn.MINIFS('Detalle individual'!$G$5:$G$295, 'Detalle individual'!$C$5:$C$295, A45), ""), "")</f>
        <v>46296.47011574074</v>
      </c>
      <c r="L45" s="25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5">
        <f>IF(D46&gt;0, IFERROR(_xlfn.MINIFS('Detalle individual'!$G$5:$G$295, 'Detalle individual'!$C$5:$C$295, A46), ""), "")</f>
        <v>46296.44081018519</v>
      </c>
      <c r="L46" s="25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2</v>
      </c>
      <c r="E47" s="8">
        <f>C47-D47</f>
        <v>5</v>
      </c>
      <c r="F47" s="9">
        <f>IF(C47&gt;0, D47/C47, 0)</f>
        <v>0.285714285714286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100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100</v>
      </c>
      <c r="K47" s="25">
        <f>IF(D47&gt;0, IFERROR(_xlfn.MINIFS('Detalle individual'!$G$5:$G$295, 'Detalle individual'!$C$5:$C$295, A47), ""), "")</f>
        <v>46300.40697916667</v>
      </c>
      <c r="L47" s="25">
        <f>IF(D47&gt;0, IFERROR(_xlfn.MAXIFS('Detalle individual'!$H$5:$H$295, 'Detalle individual'!$C$5:$C$295, A47), ""), "")</f>
        <v>46302.479097222225</v>
      </c>
      <c r="M47" s="7">
        <f>IF(D47&gt;0, IFERROR(_xlfn.MINIFS('Detalle individual'!$I$5:$I$295, 'Detalle individual'!$C$5:$C$295, A47), ""), "")</f>
        <v>5.73333333333333</v>
      </c>
      <c r="N47" s="7">
        <f>IF(D47&gt;0, IFERROR(AVERAGEIFS('Detalle individual'!$I$5:$I$295, 'Detalle individual'!$C$5:$C$295, A47), ""), "")</f>
        <v>14.1583333430667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tabSelected="0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5</v>
      </c>
      <c r="D5" s="8">
        <f>B5-C5</f>
        <v>2</v>
      </c>
      <c r="E5" s="9">
        <f>IF(B5&gt;0, C5/B5, 0)</f>
        <v>0.714285714285714</v>
      </c>
      <c r="F5" s="4" t="str">
        <f>IF(AND(B5&gt;0, C5=B5), "Completo", "Pendiente")</f>
        <v>Pendiente</v>
      </c>
      <c r="G5" s="7">
        <f>IF(C5&gt;0, IFERROR(AVERAGEIFS('Detalle individual'!$J$5:$J$295, 'Detalle individual'!$D$5:$D$295, A5), ""), "")</f>
        <v>96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5">
        <f>IF(C5&gt;0, IFERROR(_xlfn.MINIFS('Detalle individual'!$G$5:$G$295, 'Detalle individual'!$D$5:$D$295, A5), ""), "")</f>
        <v>46296.61756944445</v>
      </c>
      <c r="K5" s="25">
        <f>IF(C5&gt;0, IFERROR(_xlfn.MAXIFS('Detalle individual'!$H$5:$H$295, 'Detalle individual'!$D$5:$D$295, A5), ""), "")</f>
        <v>46304.404328703706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6.83999999505</v>
      </c>
    </row>
    <row r="6">
      <c r="A6" s="5" t="inlineStr">
        <is>
          <t>Gerencia Administrativa</t>
        </is>
      </c>
      <c r="B6" s="8">
        <f>COUNTIF('Detalle individual'!$D$5:$D$295, A6)</f>
        <v>32</v>
      </c>
      <c r="C6" s="8">
        <f>COUNTIFS('Detalle individual'!$D$5:$D$295, A6, 'Detalle individual'!$F$5:$F$295, "Completado")</f>
        <v>29</v>
      </c>
      <c r="D6" s="8">
        <f>B6-C6</f>
        <v>3</v>
      </c>
      <c r="E6" s="9">
        <f>IF(B6&gt;0, C6/B6, 0)</f>
        <v>0.90625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91.3793103448276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5">
        <f>IF(C6&gt;0, IFERROR(_xlfn.MINIFS('Detalle individual'!$G$5:$G$295, 'Detalle individual'!$D$5:$D$295, A6), ""), "")</f>
        <v>46296.454039351855</v>
      </c>
      <c r="K6" s="25">
        <f>IF(C6&gt;0, IFERROR(_xlfn.MAXIFS('Detalle individual'!$H$5:$H$295, 'Detalle individual'!$D$5:$D$295, A6), ""), "")</f>
        <v>46305.41128472222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10.2597701143276</v>
      </c>
    </row>
    <row r="7">
      <c r="A7" s="5" t="inlineStr">
        <is>
          <t>Gerencia General</t>
        </is>
      </c>
      <c r="B7" s="8">
        <f>COUNTIF('Detalle individual'!$D$5:$D$295, A7)</f>
        <v>13</v>
      </c>
      <c r="C7" s="8">
        <f>COUNTIFS('Detalle individual'!$D$5:$D$295, A7, 'Detalle individual'!$F$5:$F$295, "Completado")</f>
        <v>12</v>
      </c>
      <c r="D7" s="8">
        <f>B7-C7</f>
        <v>1</v>
      </c>
      <c r="E7" s="9">
        <f>IF(B7&gt;0, C7/B7, 0)</f>
        <v>0.923076923076923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98.75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85</v>
      </c>
      <c r="J7" s="25">
        <f>IF(C7&gt;0, IFERROR(_xlfn.MINIFS('Detalle individual'!$G$5:$G$295, 'Detalle individual'!$D$5:$D$295, A7), ""), "")</f>
        <v>46296.436574074076</v>
      </c>
      <c r="K7" s="25">
        <f>IF(C7&gt;0, IFERROR(_xlfn.MAXIFS('Detalle individual'!$H$5:$H$295, 'Detalle individual'!$D$5:$D$295, A7), ""), "")</f>
        <v>46305.40980324074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7.65416666666667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3</v>
      </c>
      <c r="D8" s="8">
        <f>B8-C8</f>
        <v>6</v>
      </c>
      <c r="E8" s="9">
        <f>IF(B8&gt;0, C8/B8, 0)</f>
        <v>0.333333333333333</v>
      </c>
      <c r="F8" s="4" t="str">
        <f>IF(AND(B8&gt;0, C8=B8), "Completo", "Pendiente")</f>
        <v>Pendiente</v>
      </c>
      <c r="G8" s="7">
        <f>IF(C8&gt;0, IFERROR(AVERAGEIFS('Detalle individual'!$J$5:$J$295, 'Detalle individual'!$D$5:$D$295, A8), ""), "")</f>
        <v>96.6666666666667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5">
        <f>IF(C8&gt;0, IFERROR(_xlfn.MINIFS('Detalle individual'!$G$5:$G$295, 'Detalle individual'!$D$5:$D$295, A8), ""), "")</f>
        <v>46300.62287037037</v>
      </c>
      <c r="K8" s="25">
        <f>IF(C8&gt;0, IFERROR(_xlfn.MAXIFS('Detalle individual'!$H$5:$H$295, 'Detalle individual'!$D$5:$D$295, A8), ""), "")</f>
        <v>46304.703680555554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7.25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8</v>
      </c>
      <c r="D9" s="8">
        <f>B9-C9</f>
        <v>10</v>
      </c>
      <c r="E9" s="9">
        <f>IF(B9&gt;0, C9/B9, 0)</f>
        <v>0.444444444444444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98.75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90</v>
      </c>
      <c r="J9" s="25">
        <f>IF(C9&gt;0, IFERROR(_xlfn.MINIFS('Detalle individual'!$G$5:$G$295, 'Detalle individual'!$D$5:$D$295, A9), ""), "")</f>
        <v>46296.42706018518</v>
      </c>
      <c r="K9" s="25">
        <f>IF(C9&gt;0, IFERROR(_xlfn.MAXIFS('Detalle individual'!$H$5:$H$295, 'Detalle individual'!$D$5:$D$295, A9), ""), "")</f>
        <v>46304.4002662037</v>
      </c>
      <c r="L9" s="7">
        <f>IF(C9&gt;0, IFERROR(_xlfn.MINIFS('Detalle individual'!$I$5:$I$295, 'Detalle individual'!$D$5:$D$295, A9), ""), "")</f>
        <v>2.88333333333333</v>
      </c>
      <c r="M9" s="7">
        <f>IF(C9&gt;0, IFERROR(AVERAGEIFS('Detalle individual'!$I$5:$I$295, 'Detalle individual'!$D$5:$D$295, A9), ""), "")</f>
        <v>8.06041666666667</v>
      </c>
    </row>
    <row r="10">
      <c r="A10" s="5" t="inlineStr">
        <is>
          <t>Gerencia de Negocios</t>
        </is>
      </c>
      <c r="B10" s="8">
        <f>COUNTIF('Detalle individual'!$D$5:$D$295, A10)</f>
        <v>166</v>
      </c>
      <c r="C10" s="8">
        <f>COUNTIFS('Detalle individual'!$D$5:$D$295, A10, 'Detalle individual'!$F$5:$F$295, "Completado")</f>
        <v>65</v>
      </c>
      <c r="D10" s="8">
        <f>B10-C10</f>
        <v>101</v>
      </c>
      <c r="E10" s="9">
        <f>IF(B10&gt;0, C10/B10, 0)</f>
        <v>0.391566265060241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96.5384615384615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70</v>
      </c>
      <c r="J10" s="25">
        <f>IF(C10&gt;0, IFERROR(_xlfn.MINIFS('Detalle individual'!$G$5:$G$295, 'Detalle individual'!$D$5:$D$295, A10), ""), "")</f>
        <v>46296.426412037035</v>
      </c>
      <c r="K10" s="25">
        <f>IF(C10&gt;0, IFERROR(_xlfn.MAXIFS('Detalle individual'!$H$5:$H$295, 'Detalle individual'!$D$5:$D$295, A10), ""), "")</f>
        <v>46305.41322916667</v>
      </c>
      <c r="L10" s="7">
        <f>IF(C10&gt;0, IFERROR(_xlfn.MINIFS('Detalle individual'!$I$5:$I$295, 'Detalle individual'!$D$5:$D$295, A10), ""), "")</f>
        <v>1.75</v>
      </c>
      <c r="M10" s="7">
        <f>IF(C10&gt;0, IFERROR(AVERAGEIFS('Detalle individual'!$I$5:$I$295, 'Detalle individual'!$D$5:$D$295, A10), ""), "")</f>
        <v>14.2371794872797</v>
      </c>
    </row>
    <row r="11">
      <c r="A11" s="5" t="inlineStr">
        <is>
          <t>Gerencia de Oficialía de Cumplimiento</t>
        </is>
      </c>
      <c r="B11" s="8">
        <f>COUNTIF('Detalle individual'!$D$5:$D$295, A11)</f>
        <v>7</v>
      </c>
      <c r="C11" s="8">
        <f>COUNTIFS('Detalle individual'!$D$5:$D$295, A11, 'Detalle individual'!$F$5:$F$295, "Completado")</f>
        <v>7</v>
      </c>
      <c r="D11" s="8">
        <f>B11-C11</f>
        <v>0</v>
      </c>
      <c r="E11" s="9">
        <f>IF(B11&gt;0, C11/B11, 0)</f>
        <v>1</v>
      </c>
      <c r="F11" s="4" t="str">
        <f>IF(AND(B11&gt;0, C11=B11), "Completo", "Pendiente")</f>
        <v>Completo</v>
      </c>
      <c r="G11" s="7">
        <f>IF(C11&gt;0, IFERROR(AVERAGEIFS('Detalle individual'!$J$5:$J$295, 'Detalle individual'!$D$5:$D$295, A11), ""), "")</f>
        <v>100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100</v>
      </c>
      <c r="J11" s="25">
        <f>IF(C11&gt;0, IFERROR(_xlfn.MINIFS('Detalle individual'!$G$5:$G$295, 'Detalle individual'!$D$5:$D$295, A11), ""), "")</f>
        <v>46296.47011574074</v>
      </c>
      <c r="K11" s="25">
        <f>IF(C11&gt;0, IFERROR(_xlfn.MAXIFS('Detalle individual'!$H$5:$H$295, 'Detalle individual'!$D$5:$D$295, A11), ""), "")</f>
        <v>46296.49747685185</v>
      </c>
      <c r="L11" s="7">
        <f>IF(C11&gt;0, IFERROR(_xlfn.MINIFS('Detalle individual'!$I$5:$I$295, 'Detalle individual'!$D$5:$D$295, A11), ""), "")</f>
        <v>9.16666666666667</v>
      </c>
      <c r="M11" s="7">
        <f>IF(C11&gt;0, IFERROR(AVERAGEIFS('Detalle individual'!$I$5:$I$295, 'Detalle individual'!$D$5:$D$295, A11), ""), "")</f>
        <v>11.9642857142857</v>
      </c>
    </row>
    <row r="12">
      <c r="A12" s="5" t="inlineStr">
        <is>
          <t>Gerencia de Operaciones</t>
        </is>
      </c>
      <c r="B12" s="8">
        <f>COUNTIF('Detalle individual'!$D$5:$D$295, A12)</f>
        <v>16</v>
      </c>
      <c r="C12" s="8">
        <f>COUNTIFS('Detalle individual'!$D$5:$D$295, A12, 'Detalle individual'!$F$5:$F$295, "Completado")</f>
        <v>8</v>
      </c>
      <c r="D12" s="8">
        <f>B12-C12</f>
        <v>8</v>
      </c>
      <c r="E12" s="9">
        <f>IF(B12&gt;0, C12/B12, 0)</f>
        <v>0.5</v>
      </c>
      <c r="F12" s="4" t="str">
        <f>IF(AND(B12&gt;0, C12=B12), "Completo", "Pendiente")</f>
        <v>Pendiente</v>
      </c>
      <c r="G12" s="7">
        <f>IF(C12&gt;0, IFERROR(AVERAGEIFS('Detalle individual'!$J$5:$J$295, 'Detalle individual'!$D$5:$D$295, A12), ""), "")</f>
        <v>98.75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95</v>
      </c>
      <c r="J12" s="25">
        <f>IF(C12&gt;0, IFERROR(_xlfn.MINIFS('Detalle individual'!$G$5:$G$295, 'Detalle individual'!$D$5:$D$295, A12), ""), "")</f>
        <v>46296.56951388889</v>
      </c>
      <c r="K12" s="25">
        <f>IF(C12&gt;0, IFERROR(_xlfn.MAXIFS('Detalle individual'!$H$5:$H$295, 'Detalle individual'!$D$5:$D$295, A12), ""), "")</f>
        <v>46304.692928240744</v>
      </c>
      <c r="L12" s="7">
        <f>IF(C12&gt;0, IFERROR(_xlfn.MINIFS('Detalle individual'!$I$5:$I$295, 'Detalle individual'!$D$5:$D$295, A12), ""), "")</f>
        <v>1.68333333333333</v>
      </c>
      <c r="M12" s="7">
        <f>IF(C12&gt;0, IFERROR(AVERAGEIFS('Detalle individual'!$I$5:$I$295, 'Detalle individual'!$D$5:$D$295, A12), ""), "")</f>
        <v>10.025</v>
      </c>
    </row>
    <row r="13">
      <c r="A13" s="5" t="inlineStr">
        <is>
          <t>Gerencia de Sistemas</t>
        </is>
      </c>
      <c r="B13" s="8">
        <f>COUNTIF('Detalle individual'!$D$5:$D$295, A13)</f>
        <v>23</v>
      </c>
      <c r="C13" s="8">
        <f>COUNTIFS('Detalle individual'!$D$5:$D$295, A13, 'Detalle individual'!$F$5:$F$295, "Completado")</f>
        <v>17</v>
      </c>
      <c r="D13" s="8">
        <f>B13-C13</f>
        <v>6</v>
      </c>
      <c r="E13" s="9">
        <f>IF(B13&gt;0, C13/B13, 0)</f>
        <v>0.739130434782609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99.4117647058824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5">
        <f>IF(C13&gt;0, IFERROR(_xlfn.MINIFS('Detalle individual'!$G$5:$G$295, 'Detalle individual'!$D$5:$D$295, A13), ""), "")</f>
        <v>46296.56962962963</v>
      </c>
      <c r="K13" s="25">
        <f>IF(C13&gt;0, IFERROR(_xlfn.MAXIFS('Detalle individual'!$H$5:$H$295, 'Detalle individual'!$D$5:$D$295, A13), ""), "")</f>
        <v>46304.407905092594</v>
      </c>
      <c r="L13" s="7">
        <f>IF(C13&gt;0, IFERROR(_xlfn.MINIFS('Detalle individual'!$I$5:$I$295, 'Detalle individual'!$D$5:$D$295, A13), ""), "")</f>
        <v>3.16666666666667</v>
      </c>
      <c r="M13" s="7">
        <f>IF(C13&gt;0, IFERROR(AVERAGEIFS('Detalle individual'!$I$5:$I$295, 'Detalle individual'!$D$5:$D$295, A13), ""), "")</f>
        <v>14.8254901960784</v>
      </c>
    </row>
    <row r="14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B1:R56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Seleccione una gerencia en la celda amarilla para ver sus indicadores y el avance de cada departamento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 ht="8" customHeight="1"/>
    <row r="4">
      <c r="B4" s="31" t="inlineStr">
        <is>
          <t>GERENCIA SELECCIONADA</t>
        </is>
      </c>
    </row>
    <row r="5" ht="26" customHeight="1">
      <c r="B5" s="32" t="inlineStr">
        <is>
          <t>Todas las gerencias</t>
        </is>
      </c>
      <c r="C5" s="33" t="n"/>
      <c r="D5" s="33" t="n"/>
      <c r="E5" s="33" t="n"/>
      <c r="F5" s="34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36" t="inlineStr">
        <is>
          <t>PERSONAL ESPERADO</t>
        </is>
      </c>
      <c r="D7" s="37" t="n"/>
      <c r="E7" s="38" t="n"/>
      <c r="F7" s="39" t="inlineStr">
        <is>
          <t>COMPLETADOS</t>
        </is>
      </c>
      <c r="G7" s="40" t="n"/>
      <c r="H7" s="41" t="n"/>
      <c r="I7" s="42" t="inlineStr">
        <is>
          <t>PENDIENTES</t>
        </is>
      </c>
      <c r="J7" s="43" t="n"/>
      <c r="K7" s="44" t="n"/>
      <c r="L7" s="36" t="inlineStr">
        <is>
          <t>% CUMPLIMIENTO</t>
        </is>
      </c>
      <c r="M7" s="37" t="n"/>
      <c r="N7" s="38" t="n"/>
      <c r="O7" s="45" t="inlineStr">
        <is>
          <t>NOTA PROMEDIO</t>
        </is>
      </c>
      <c r="P7" s="46" t="n"/>
    </row>
    <row r="8" ht="22" customHeight="1">
      <c r="C8" s="47">
        <f>IF($B$5="Todas las gerencias",SUM('Consolidado por Gerencia'!$B$5:$B$14),SUMIF('Consolidado por Gerencia'!$A$5:$A$14,$B$5,'Consolidado por Gerencia'!$B$5:$B$14))</f>
        <v>291</v>
      </c>
      <c r="E8" s="48" t="n"/>
      <c r="F8" s="49">
        <f>IF($B$5="Todas las gerencias",SUM('Consolidado por Gerencia'!$C$5:$C$14),SUMIF('Consolidado por Gerencia'!$A$5:$A$14,$B$5,'Consolidado por Gerencia'!$C$5:$C$14))</f>
        <v>154</v>
      </c>
      <c r="H8" s="48" t="n"/>
      <c r="I8" s="50">
        <f>C8-F8</f>
        <v>137</v>
      </c>
      <c r="K8" s="48" t="n"/>
      <c r="L8" s="51">
        <f>IF(C8&gt;0,F8/C8,0)</f>
        <v>0.529209621993127</v>
      </c>
      <c r="N8" s="48" t="n"/>
      <c r="O8" s="52">
        <f>IFERROR(IF($B$5="Todas las gerencias",AVERAGE('Detalle individual'!$J$5:$J$295),AVERAGEIFS('Detalle individual'!$J$5:$J$295,'Detalle individual'!$D$5:$D$295,$B$5)),"-")</f>
        <v>96.4285714285714</v>
      </c>
      <c r="P8" s="53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5" t="n"/>
      <c r="P9" s="53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58" t="n"/>
      <c r="P10" s="59" t="n"/>
    </row>
    <row r="11" ht="12" customHeight="1"/>
    <row r="12">
      <c r="B12" s="60" t="inlineStr">
        <is>
          <t>AVANCE POR DEPARTAMENTO (ordenado de mayor a menor cumplimiento)</t>
        </is>
      </c>
      <c r="C12" s="61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D13" s="29" t="n"/>
      <c r="E13" s="29" t="n"/>
      <c r="F13" s="29" t="n"/>
      <c r="G13" s="62" t="inlineStr">
        <is>
          <t>Gerencia</t>
        </is>
      </c>
      <c r="H13" s="29" t="n"/>
      <c r="I13" s="29" t="n"/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N13" s="29" t="n"/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OFICIALIA DE CUMPLIMIENTO</v>
      </c>
      <c r="G14" s="64" t="str">
        <f>IF($R14="","",INDEX('Cálculos'!$P:$P,$R14))</f>
        <v>Gerencia de Oficialía de Cumplimiento</v>
      </c>
      <c r="J14" s="63">
        <f>IF($R14="","",INDEX('Cálculos'!$Q:$Q,$R14))</f>
        <v>7</v>
      </c>
      <c r="K14" s="63">
        <f>IF($R14="","",INDEX('Cálculos'!$M:$M,$R14))</f>
        <v>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100</v>
      </c>
      <c r="P14" s="63" t="str">
        <f>IF($R14="","",IF(M14&gt;=1,"Completo","Pendiente"))</f>
        <v>Completo</v>
      </c>
      <c r="R14">
        <f>IFERROR(SMALL('Cálculos'!$T$20:$T$62,1),"")</f>
        <v>20</v>
      </c>
    </row>
    <row r="15" ht="18" customHeight="1">
      <c r="B15" s="63">
        <f>IF($R15="","",2)</f>
        <v>2</v>
      </c>
      <c r="C15" s="64" t="str">
        <f>IF($R15="","",INDEX('Cálculos'!$O:$O,$R15))</f>
        <v>DEPARTAMENTO DE CUSTODIA DE GARANTÍA Y VALORES</v>
      </c>
      <c r="G15" s="64" t="str">
        <f>IF($R15="","",INDEX('Cálculos'!$P:$P,$R15))</f>
        <v>Gerencia Administrativa</v>
      </c>
      <c r="J15" s="63">
        <f>IF($R15="","",INDEX('Cálculos'!$Q:$Q,$R15))</f>
        <v>6</v>
      </c>
      <c r="K15" s="63">
        <f>IF($R15="","",INDEX('Cálculos'!$M:$M,$R15))</f>
        <v>6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100</v>
      </c>
      <c r="P15" s="63" t="str">
        <f>IF($R15="","",IF(M15&gt;=1,"Completo","Pendiente"))</f>
        <v>Completo</v>
      </c>
      <c r="R15">
        <f>IFERROR(SMALL('Cálculos'!$T$20:$T$62,2),"")</f>
        <v>21</v>
      </c>
    </row>
    <row r="16" ht="18" customHeight="1">
      <c r="B16" s="63">
        <f>IF($R16="","",3)</f>
        <v>3</v>
      </c>
      <c r="C16" s="64" t="str">
        <f>IF($R16="","",INDEX('Cálculos'!$O:$O,$R16))</f>
        <v>ADMINISTRACION DE RIESGOS</v>
      </c>
      <c r="G16" s="64" t="str">
        <f>IF($R16="","",INDEX('Cálculos'!$P:$P,$R16))</f>
        <v>Gerencia General</v>
      </c>
      <c r="J16" s="63">
        <f>IF($R16="","",INDEX('Cálculos'!$Q:$Q,$R16))</f>
        <v>4</v>
      </c>
      <c r="K16" s="63">
        <f>IF($R16="","",INDEX('Cálculos'!$M:$M,$R16))</f>
        <v>4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100</v>
      </c>
      <c r="P16" s="63" t="str">
        <f>IF($R16="","",IF(M16&gt;=1,"Completo","Pendiente"))</f>
        <v>Completo</v>
      </c>
      <c r="R16">
        <f>IFERROR(SMALL('Cálculos'!$T$20:$T$62,3),"")</f>
        <v>22</v>
      </c>
    </row>
    <row r="17" ht="18" customHeight="1">
      <c r="B17" s="63">
        <f>IF($R17="","",4)</f>
        <v>4</v>
      </c>
      <c r="C17" s="64" t="str">
        <f>IF($R17="","",INDEX('Cálculos'!$O:$O,$R17))</f>
        <v>OFICIALIA DE SEGURIDAD DE LA INFORMACION</v>
      </c>
      <c r="G17" s="64" t="str">
        <f>IF($R17="","",INDEX('Cálculos'!$P:$P,$R17))</f>
        <v>Gerencia General</v>
      </c>
      <c r="J17" s="63">
        <f>IF($R17="","",INDEX('Cálculos'!$Q:$Q,$R17))</f>
        <v>4</v>
      </c>
      <c r="K17" s="63">
        <f>IF($R17="","",INDEX('Cálculos'!$M:$M,$R17))</f>
        <v>4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96.25</v>
      </c>
      <c r="P17" s="63" t="str">
        <f>IF($R17="","",IF(M17&gt;=1,"Completo","Pendiente"))</f>
        <v>Completo</v>
      </c>
      <c r="R17">
        <f>IFERROR(SMALL('Cálculos'!$T$20:$T$62,4),"")</f>
        <v>23</v>
      </c>
    </row>
    <row r="18" ht="18" customHeight="1">
      <c r="B18" s="63">
        <f>IF($R18="","",5)</f>
        <v>5</v>
      </c>
      <c r="C18" s="64" t="str">
        <f>IF($R18="","",INDEX('Cálculos'!$O:$O,$R18))</f>
        <v>DEPARTAMENTO DE PROCESOS</v>
      </c>
      <c r="G18" s="64" t="str">
        <f>IF($R18="","",INDEX('Cálculos'!$P:$P,$R18))</f>
        <v>Gerencia General</v>
      </c>
      <c r="J18" s="63">
        <f>IF($R18="","",INDEX('Cálculos'!$Q:$Q,$R18))</f>
        <v>3</v>
      </c>
      <c r="K18" s="63">
        <f>IF($R18="","",INDEX('Cálculos'!$M:$M,$R18))</f>
        <v>3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100</v>
      </c>
      <c r="P18" s="63" t="str">
        <f>IF($R18="","",IF(M18&gt;=1,"Completo","Pendiente"))</f>
        <v>Completo</v>
      </c>
      <c r="R18">
        <f>IFERROR(SMALL('Cálculos'!$T$20:$T$62,5),"")</f>
        <v>24</v>
      </c>
    </row>
    <row r="19" ht="18" customHeight="1">
      <c r="B19" s="63">
        <f>IF($R19="","",6)</f>
        <v>6</v>
      </c>
      <c r="C19" s="64" t="str">
        <f>IF($R19="","",INDEX('Cálculos'!$O:$O,$R19))</f>
        <v>CLINICA EMPRESARIAL</v>
      </c>
      <c r="G19" s="64" t="str">
        <f>IF($R19="","",INDEX('Cálculos'!$P:$P,$R19))</f>
        <v>Gerencia Administrativa</v>
      </c>
      <c r="J19" s="63">
        <f>IF($R19="","",INDEX('Cálculos'!$Q:$Q,$R19))</f>
        <v>2</v>
      </c>
      <c r="K19" s="63">
        <f>IF($R19="","",INDEX('Cálculos'!$M:$M,$R19))</f>
        <v>2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IFERROR(SMALL('Cálculos'!$T$20:$T$62,6),"")</f>
        <v>25</v>
      </c>
    </row>
    <row r="20" ht="18" customHeight="1">
      <c r="B20" s="63">
        <f>IF($R20="","",7)</f>
        <v>7</v>
      </c>
      <c r="C20" s="64" t="str">
        <f>IF($R20="","",INDEX('Cálculos'!$O:$O,$R20))</f>
        <v>DEPARTAMENTO DE SEGURIDAD</v>
      </c>
      <c r="G20" s="64" t="str">
        <f>IF($R20="","",INDEX('Cálculos'!$P:$P,$R20))</f>
        <v>Gerencia Administrativa</v>
      </c>
      <c r="J20" s="63">
        <f>IF($R20="","",INDEX('Cálculos'!$Q:$Q,$R20))</f>
        <v>2</v>
      </c>
      <c r="K20" s="63">
        <f>IF($R20="","",INDEX('Cálculos'!$M:$M,$R20))</f>
        <v>2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95</v>
      </c>
      <c r="P20" s="63" t="str">
        <f>IF($R20="","",IF(M20&gt;=1,"Completo","Pendiente"))</f>
        <v>Completo</v>
      </c>
      <c r="R20">
        <f>IFERROR(SMALL('Cálculos'!$T$20:$T$62,7),"")</f>
        <v>26</v>
      </c>
    </row>
    <row r="21" ht="18" customHeight="1">
      <c r="B21" s="63">
        <f>IF($R21="","",8)</f>
        <v>8</v>
      </c>
      <c r="C21" s="64" t="str">
        <f>IF($R21="","",INDEX('Cálculos'!$O:$O,$R21))</f>
        <v>ADMINISTRACION DE BASE DE DATOS</v>
      </c>
      <c r="G21" s="64" t="str">
        <f>IF($R21="","",INDEX('Cálculos'!$P:$P,$R21))</f>
        <v>Gerencia de Sistemas</v>
      </c>
      <c r="J21" s="63">
        <f>IF($R21="","",INDEX('Cálculos'!$Q:$Q,$R21))</f>
        <v>1</v>
      </c>
      <c r="K21" s="63">
        <f>IF($R21="","",INDEX('Cálculos'!$M:$M,$R21))</f>
        <v>1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95</v>
      </c>
      <c r="P21" s="63" t="str">
        <f>IF($R21="","",IF(M21&gt;=1,"Completo","Pendiente"))</f>
        <v>Completo</v>
      </c>
      <c r="R21">
        <f>IFERROR(SMALL('Cálculos'!$T$20:$T$62,8),"")</f>
        <v>27</v>
      </c>
    </row>
    <row r="22" ht="18" customHeight="1">
      <c r="B22" s="63">
        <f>IF($R22="","",9)</f>
        <v>9</v>
      </c>
      <c r="C22" s="64" t="str">
        <f>IF($R22="","",INDEX('Cálculos'!$O:$O,$R22))</f>
        <v>GERENCIA LEGAL Y DE CUMPLIMIENTO NORMATIVO</v>
      </c>
      <c r="G22" s="64" t="str">
        <f>IF($R22="","",INDEX('Cálculos'!$P:$P,$R22))</f>
        <v>Gerencia Legal y Cumplimiento Normativo</v>
      </c>
      <c r="J22" s="63">
        <f>IF($R22="","",INDEX('Cálculos'!$Q:$Q,$R22))</f>
        <v>1</v>
      </c>
      <c r="K22" s="63">
        <f>IF($R22="","",INDEX('Cálculos'!$M:$M,$R22))</f>
        <v>1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100</v>
      </c>
      <c r="P22" s="63" t="str">
        <f>IF($R22="","",IF(M22&gt;=1,"Completo","Pendiente"))</f>
        <v>Completo</v>
      </c>
      <c r="R22">
        <f>IFERROR(SMALL('Cálculos'!$T$20:$T$62,9),"")</f>
        <v>28</v>
      </c>
    </row>
    <row r="23" ht="18" customHeight="1">
      <c r="B23" s="63">
        <f>IF($R23="","",10)</f>
        <v>10</v>
      </c>
      <c r="C23" s="64" t="str">
        <f>IF($R23="","",INDEX('Cálculos'!$O:$O,$R23))</f>
        <v>DEPARTAMENTO DE SERVICIOS GENERALES</v>
      </c>
      <c r="G23" s="64" t="str">
        <f>IF($R23="","",INDEX('Cálculos'!$P:$P,$R23))</f>
        <v>Gerencia Administrativa</v>
      </c>
      <c r="J23" s="63">
        <f>IF($R23="","",INDEX('Cálculos'!$Q:$Q,$R23))</f>
        <v>17</v>
      </c>
      <c r="K23" s="63">
        <f>IF($R23="","",INDEX('Cálculos'!$M:$M,$R23))</f>
        <v>16</v>
      </c>
      <c r="L23" s="63">
        <f>IF($R23="","",INDEX('Cálculos'!$N:$N,$R23))</f>
        <v>1</v>
      </c>
      <c r="M23" s="65">
        <f>IF($R23="","",INDEX('Cálculos'!$R:$R,$R23))</f>
        <v>0.941176470588235</v>
      </c>
      <c r="O23" s="66">
        <f>IF($R23="","",INDEX('Cálculos'!$S:$S,$R23))</f>
        <v>85.625</v>
      </c>
      <c r="P23" s="63" t="str">
        <f>IF($R23="","",IF(M23&gt;=1,"Completo","Pendiente"))</f>
        <v>Pendiente</v>
      </c>
      <c r="R23">
        <f>IFERROR(SMALL('Cálculos'!$T$20:$T$62,10),"")</f>
        <v>29</v>
      </c>
    </row>
    <row r="24" ht="18" customHeight="1">
      <c r="B24" s="63">
        <f>IF($R24="","",11)</f>
        <v>11</v>
      </c>
      <c r="C24" s="64" t="str">
        <f>IF($R24="","",INDEX('Cálculos'!$O:$O,$R24))</f>
        <v>AGENCIA MERLIOT</v>
      </c>
      <c r="G24" s="64" t="str">
        <f>IF($R24="","",INDEX('Cálculos'!$P:$P,$R24))</f>
        <v>Gerencia de Negocios</v>
      </c>
      <c r="J24" s="63">
        <f>IF($R24="","",INDEX('Cálculos'!$Q:$Q,$R24))</f>
        <v>13</v>
      </c>
      <c r="K24" s="63">
        <f>IF($R24="","",INDEX('Cálculos'!$M:$M,$R24))</f>
        <v>12</v>
      </c>
      <c r="L24" s="63">
        <f>IF($R24="","",INDEX('Cálculos'!$N:$N,$R24))</f>
        <v>1</v>
      </c>
      <c r="M24" s="65">
        <f>IF($R24="","",INDEX('Cálculos'!$R:$R,$R24))</f>
        <v>0.923076923076923</v>
      </c>
      <c r="O24" s="66">
        <f>IF($R24="","",INDEX('Cálculos'!$S:$S,$R24))</f>
        <v>95.4166666666667</v>
      </c>
      <c r="P24" s="63" t="str">
        <f>IF($R24="","",IF(M24&gt;=1,"Completo","Pendiente"))</f>
        <v>Pendiente</v>
      </c>
      <c r="R24">
        <f>IFERROR(SMALL('Cálculos'!$T$20:$T$62,11),"")</f>
        <v>30</v>
      </c>
    </row>
    <row r="25" ht="18" customHeight="1">
      <c r="B25" s="63">
        <f>IF($R25="","",12)</f>
        <v>12</v>
      </c>
      <c r="C25" s="64" t="str">
        <f>IF($R25="","",INDEX('Cálculos'!$O:$O,$R25))</f>
        <v>AGENCIA SAN MIGUEL</v>
      </c>
      <c r="G25" s="64" t="str">
        <f>IF($R25="","",INDEX('Cálculos'!$P:$P,$R25))</f>
        <v>Gerencia de Negocios</v>
      </c>
      <c r="J25" s="63">
        <f>IF($R25="","",INDEX('Cálculos'!$Q:$Q,$R25))</f>
        <v>8</v>
      </c>
      <c r="K25" s="63">
        <f>IF($R25="","",INDEX('Cálculos'!$M:$M,$R25))</f>
        <v>7</v>
      </c>
      <c r="L25" s="63">
        <f>IF($R25="","",INDEX('Cálculos'!$N:$N,$R25))</f>
        <v>1</v>
      </c>
      <c r="M25" s="65">
        <f>IF($R25="","",INDEX('Cálculos'!$R:$R,$R25))</f>
        <v>0.875</v>
      </c>
      <c r="O25" s="66">
        <f>IF($R25="","",INDEX('Cálculos'!$S:$S,$R25))</f>
        <v>98.5714285714286</v>
      </c>
      <c r="P25" s="63" t="str">
        <f>IF($R25="","",IF(M25&gt;=1,"Completo","Pendiente"))</f>
        <v>Pendiente</v>
      </c>
      <c r="R25">
        <f>IFERROR(SMALL('Cálculos'!$T$20:$T$62,12),"")</f>
        <v>31</v>
      </c>
    </row>
    <row r="26" ht="18" customHeight="1">
      <c r="B26" s="63">
        <f>IF($R26="","",13)</f>
        <v>13</v>
      </c>
      <c r="C26" s="64" t="str">
        <f>IF($R26="","",INDEX('Cálculos'!$O:$O,$R26))</f>
        <v>DEPARTAMENTO DE OPERACIONES Y SOPORTE TECNICO</v>
      </c>
      <c r="G26" s="64" t="str">
        <f>IF($R26="","",INDEX('Cálculos'!$P:$P,$R26))</f>
        <v>Gerencia de Sistemas</v>
      </c>
      <c r="J26" s="63">
        <f>IF($R26="","",INDEX('Cálculos'!$Q:$Q,$R26))</f>
        <v>7</v>
      </c>
      <c r="K26" s="63">
        <f>IF($R26="","",INDEX('Cálculos'!$M:$M,$R26))</f>
        <v>6</v>
      </c>
      <c r="L26" s="63">
        <f>IF($R26="","",INDEX('Cálculos'!$N:$N,$R26))</f>
        <v>1</v>
      </c>
      <c r="M26" s="65">
        <f>IF($R26="","",INDEX('Cálculos'!$R:$R,$R26))</f>
        <v>0.857142857142857</v>
      </c>
      <c r="O26" s="66">
        <f>IF($R26="","",INDEX('Cálculos'!$S:$S,$R26))</f>
        <v>100</v>
      </c>
      <c r="P26" s="63" t="str">
        <f>IF($R26="","",IF(M26&gt;=1,"Completo","Pendiente"))</f>
        <v>Pendiente</v>
      </c>
      <c r="R26">
        <f>IFERROR(SMALL('Cálculos'!$T$20:$T$62,13),"")</f>
        <v>32</v>
      </c>
    </row>
    <row r="27" ht="18" customHeight="1">
      <c r="B27" s="63">
        <f>IF($R27="","",14)</f>
        <v>14</v>
      </c>
      <c r="C27" s="64" t="str">
        <f>IF($R27="","",INDEX('Cálculos'!$O:$O,$R27))</f>
        <v>DEPARTAMENTO DE DEPOSITOS</v>
      </c>
      <c r="G27" s="64" t="str">
        <f>IF($R27="","",INDEX('Cálculos'!$P:$P,$R27))</f>
        <v>Gerencia de Operaciones</v>
      </c>
      <c r="J27" s="63">
        <f>IF($R27="","",INDEX('Cálculos'!$Q:$Q,$R27))</f>
        <v>4</v>
      </c>
      <c r="K27" s="63">
        <f>IF($R27="","",INDEX('Cálculos'!$M:$M,$R27))</f>
        <v>3</v>
      </c>
      <c r="L27" s="63">
        <f>IF($R27="","",INDEX('Cálculos'!$N:$N,$R27))</f>
        <v>1</v>
      </c>
      <c r="M27" s="65">
        <f>IF($R27="","",INDEX('Cálculos'!$R:$R,$R27))</f>
        <v>0.75</v>
      </c>
      <c r="O27" s="66">
        <f>IF($R27="","",INDEX('Cálculos'!$S:$S,$R27))</f>
        <v>98.3333333333333</v>
      </c>
      <c r="P27" s="63" t="str">
        <f>IF($R27="","",IF(M27&gt;=1,"Completo","Pendiente"))</f>
        <v>Pendiente</v>
      </c>
      <c r="R27">
        <f>IFERROR(SMALL('Cálculos'!$T$20:$T$62,14),"")</f>
        <v>33</v>
      </c>
    </row>
    <row r="28" ht="18" customHeight="1">
      <c r="B28" s="63">
        <f>IF($R28="","",15)</f>
        <v>15</v>
      </c>
      <c r="C28" s="64" t="str">
        <f>IF($R28="","",INDEX('Cálculos'!$O:$O,$R28))</f>
        <v>GERENCIA DE NEGOCIOS</v>
      </c>
      <c r="G28" s="64" t="str">
        <f>IF($R28="","",INDEX('Cálculos'!$P:$P,$R28))</f>
        <v>Gerencia de Negocios</v>
      </c>
      <c r="J28" s="63">
        <f>IF($R28="","",INDEX('Cálculos'!$Q:$Q,$R28))</f>
        <v>4</v>
      </c>
      <c r="K28" s="63">
        <f>IF($R28="","",INDEX('Cálculos'!$M:$M,$R28))</f>
        <v>3</v>
      </c>
      <c r="L28" s="63">
        <f>IF($R28="","",INDEX('Cálculos'!$N:$N,$R28))</f>
        <v>1</v>
      </c>
      <c r="M28" s="65">
        <f>IF($R28="","",INDEX('Cálculos'!$R:$R,$R28))</f>
        <v>0.75</v>
      </c>
      <c r="O28" s="66">
        <f>IF($R28="","",INDEX('Cálculos'!$S:$S,$R28))</f>
        <v>100</v>
      </c>
      <c r="P28" s="63" t="str">
        <f>IF($R28="","",IF(M28&gt;=1,"Completo","Pendiente"))</f>
        <v>Pendiente</v>
      </c>
      <c r="R28">
        <f>IFERROR(SMALL('Cálculos'!$T$20:$T$62,15),"")</f>
        <v>34</v>
      </c>
    </row>
    <row r="29" ht="18" customHeight="1">
      <c r="B29" s="63">
        <f>IF($R29="","",16)</f>
        <v>16</v>
      </c>
      <c r="C29" s="64" t="str">
        <f>IF($R29="","",INDEX('Cálculos'!$O:$O,$R29))</f>
        <v>DEPARTAMENTO DE ANALISIS Y PROGRAMACIÓN</v>
      </c>
      <c r="G29" s="64" t="str">
        <f>IF($R29="","",INDEX('Cálculos'!$P:$P,$R29))</f>
        <v>Gerencia de Sistemas</v>
      </c>
      <c r="J29" s="63">
        <f>IF($R29="","",INDEX('Cálculos'!$Q:$Q,$R29))</f>
        <v>11</v>
      </c>
      <c r="K29" s="63">
        <f>IF($R29="","",INDEX('Cálculos'!$M:$M,$R29))</f>
        <v>8</v>
      </c>
      <c r="L29" s="63">
        <f>IF($R29="","",INDEX('Cálculos'!$N:$N,$R29))</f>
        <v>3</v>
      </c>
      <c r="M29" s="65">
        <f>IF($R29="","",INDEX('Cálculos'!$R:$R,$R29))</f>
        <v>0.727272727272727</v>
      </c>
      <c r="O29" s="66">
        <f>IF($R29="","",INDEX('Cálculos'!$S:$S,$R29))</f>
        <v>100</v>
      </c>
      <c r="P29" s="63" t="str">
        <f>IF($R29="","",IF(M29&gt;=1,"Completo","Pendiente"))</f>
        <v>Pendiente</v>
      </c>
      <c r="R29">
        <f>IFERROR(SMALL('Cálculos'!$T$20:$T$62,16),"")</f>
        <v>35</v>
      </c>
    </row>
    <row r="30" ht="18" customHeight="1">
      <c r="B30" s="63">
        <f>IF($R30="","",17)</f>
        <v>17</v>
      </c>
      <c r="C30" s="64" t="str">
        <f>IF($R30="","",INDEX('Cálculos'!$O:$O,$R30))</f>
        <v>DEPARTAMENTO DE AUDITORIA INTERNA</v>
      </c>
      <c r="G30" s="64" t="str">
        <f>IF($R30="","",INDEX('Cálculos'!$P:$P,$R30))</f>
        <v>Auditoría Interna</v>
      </c>
      <c r="J30" s="63">
        <f>IF($R30="","",INDEX('Cálculos'!$Q:$Q,$R30))</f>
        <v>7</v>
      </c>
      <c r="K30" s="63">
        <f>IF($R30="","",INDEX('Cálculos'!$M:$M,$R30))</f>
        <v>5</v>
      </c>
      <c r="L30" s="63">
        <f>IF($R30="","",INDEX('Cálculos'!$N:$N,$R30))</f>
        <v>2</v>
      </c>
      <c r="M30" s="65">
        <f>IF($R30="","",INDEX('Cálculos'!$R:$R,$R30))</f>
        <v>0.714285714285714</v>
      </c>
      <c r="O30" s="66">
        <f>IF($R30="","",INDEX('Cálculos'!$S:$S,$R30))</f>
        <v>96</v>
      </c>
      <c r="P30" s="63" t="str">
        <f>IF($R30="","",IF(M30&gt;=1,"Completo","Pendiente"))</f>
        <v>Pendiente</v>
      </c>
      <c r="R30">
        <f>IFERROR(SMALL('Cálculos'!$T$20:$T$62,17),"")</f>
        <v>36</v>
      </c>
    </row>
    <row r="31" ht="18" customHeight="1">
      <c r="B31" s="63">
        <f>IF($R31="","",18)</f>
        <v>18</v>
      </c>
      <c r="C31" s="64" t="str">
        <f>IF($R31="","",INDEX('Cálculos'!$O:$O,$R31))</f>
        <v>DEPARTAMENTO DE TALENTO HUMANO</v>
      </c>
      <c r="G31" s="64" t="str">
        <f>IF($R31="","",INDEX('Cálculos'!$P:$P,$R31))</f>
        <v>Gerencia Administrativa</v>
      </c>
      <c r="J31" s="63">
        <f>IF($R31="","",INDEX('Cálculos'!$Q:$Q,$R31))</f>
        <v>3</v>
      </c>
      <c r="K31" s="63">
        <f>IF($R31="","",INDEX('Cálculos'!$M:$M,$R31))</f>
        <v>2</v>
      </c>
      <c r="L31" s="63">
        <f>IF($R31="","",INDEX('Cálculos'!$N:$N,$R31))</f>
        <v>1</v>
      </c>
      <c r="M31" s="65">
        <f>IF($R31="","",INDEX('Cálculos'!$R:$R,$R31))</f>
        <v>0.666666666666667</v>
      </c>
      <c r="O31" s="66">
        <f>IF($R31="","",INDEX('Cálculos'!$S:$S,$R31))</f>
        <v>95</v>
      </c>
      <c r="P31" s="63" t="str">
        <f>IF($R31="","",IF(M31&gt;=1,"Completo","Pendiente"))</f>
        <v>Pendiente</v>
      </c>
      <c r="R31">
        <f>IFERROR(SMALL('Cálculos'!$T$20:$T$62,18),"")</f>
        <v>37</v>
      </c>
    </row>
    <row r="32" ht="18" customHeight="1">
      <c r="B32" s="63">
        <f>IF($R32="","",19)</f>
        <v>19</v>
      </c>
      <c r="C32" s="64" t="str">
        <f>IF($R32="","",INDEX('Cálculos'!$O:$O,$R32))</f>
        <v>AGENCIA USULUTAN</v>
      </c>
      <c r="G32" s="64" t="str">
        <f>IF($R32="","",INDEX('Cálculos'!$P:$P,$R32))</f>
        <v>Gerencia de Negocios</v>
      </c>
      <c r="J32" s="63">
        <f>IF($R32="","",INDEX('Cálculos'!$Q:$Q,$R32))</f>
        <v>7</v>
      </c>
      <c r="K32" s="63">
        <f>IF($R32="","",INDEX('Cálculos'!$M:$M,$R32))</f>
        <v>4</v>
      </c>
      <c r="L32" s="63">
        <f>IF($R32="","",INDEX('Cálculos'!$N:$N,$R32))</f>
        <v>3</v>
      </c>
      <c r="M32" s="65">
        <f>IF($R32="","",INDEX('Cálculos'!$R:$R,$R32))</f>
        <v>0.571428571428571</v>
      </c>
      <c r="O32" s="66">
        <f>IF($R32="","",INDEX('Cálculos'!$S:$S,$R32))</f>
        <v>95</v>
      </c>
      <c r="P32" s="63" t="str">
        <f>IF($R32="","",IF(M32&gt;=1,"Completo","Pendiente"))</f>
        <v>Pendiente</v>
      </c>
      <c r="R32">
        <f>IFERROR(SMALL('Cálculos'!$T$20:$T$62,19),"")</f>
        <v>38</v>
      </c>
    </row>
    <row r="33" ht="18" customHeight="1">
      <c r="B33" s="63">
        <f>IF($R33="","",20)</f>
        <v>20</v>
      </c>
      <c r="C33" s="64" t="str">
        <f>IF($R33="","",INDEX('Cálculos'!$O:$O,$R33))</f>
        <v>DEPARTAMENTO DE CONTABILIDAD</v>
      </c>
      <c r="G33" s="64" t="str">
        <f>IF($R33="","",INDEX('Cálculos'!$P:$P,$R33))</f>
        <v>Gerencia de Finanzas y Planificación</v>
      </c>
      <c r="J33" s="63">
        <f>IF($R33="","",INDEX('Cálculos'!$Q:$Q,$R33))</f>
        <v>13</v>
      </c>
      <c r="K33" s="63">
        <f>IF($R33="","",INDEX('Cálculos'!$M:$M,$R33))</f>
        <v>7</v>
      </c>
      <c r="L33" s="63">
        <f>IF($R33="","",INDEX('Cálculos'!$N:$N,$R33))</f>
        <v>6</v>
      </c>
      <c r="M33" s="65">
        <f>IF($R33="","",INDEX('Cálculos'!$R:$R,$R33))</f>
        <v>0.538461538461538</v>
      </c>
      <c r="O33" s="66">
        <f>IF($R33="","",INDEX('Cálculos'!$S:$S,$R33))</f>
        <v>98.5714285714286</v>
      </c>
      <c r="P33" s="63" t="str">
        <f>IF($R33="","",IF(M33&gt;=1,"Completo","Pendiente"))</f>
        <v>Pendiente</v>
      </c>
      <c r="R33">
        <f>IFERROR(SMALL('Cálculos'!$T$20:$T$62,20),"")</f>
        <v>39</v>
      </c>
    </row>
    <row r="34" ht="18" customHeight="1">
      <c r="B34" s="63">
        <f>IF($R34="","",21)</f>
        <v>21</v>
      </c>
      <c r="C34" s="64" t="str">
        <f>IF($R34="","",INDEX('Cálculos'!$O:$O,$R34))</f>
        <v>DEPARTAMENTO DE CREDITOS</v>
      </c>
      <c r="G34" s="64" t="str">
        <f>IF($R34="","",INDEX('Cálculos'!$P:$P,$R34))</f>
        <v>Gerencia de Negocios</v>
      </c>
      <c r="J34" s="63">
        <f>IF($R34="","",INDEX('Cálculos'!$Q:$Q,$R34))</f>
        <v>13</v>
      </c>
      <c r="K34" s="63">
        <f>IF($R34="","",INDEX('Cálculos'!$M:$M,$R34))</f>
        <v>7</v>
      </c>
      <c r="L34" s="63">
        <f>IF($R34="","",INDEX('Cálculos'!$N:$N,$R34))</f>
        <v>6</v>
      </c>
      <c r="M34" s="65">
        <f>IF($R34="","",INDEX('Cálculos'!$R:$R,$R34))</f>
        <v>0.538461538461538</v>
      </c>
      <c r="O34" s="66">
        <f>IF($R34="","",INDEX('Cálculos'!$S:$S,$R34))</f>
        <v>97.1428571428571</v>
      </c>
      <c r="P34" s="63" t="str">
        <f>IF($R34="","",IF(M34&gt;=1,"Completo","Pendiente"))</f>
        <v>Pendiente</v>
      </c>
      <c r="R34">
        <f>IFERROR(SMALL('Cálculos'!$T$20:$T$62,21),"")</f>
        <v>40</v>
      </c>
    </row>
    <row r="35" ht="18" customHeight="1">
      <c r="B35" s="63">
        <f>IF($R35="","",22)</f>
        <v>22</v>
      </c>
      <c r="C35" s="64" t="str">
        <f>IF($R35="","",INDEX('Cálculos'!$O:$O,$R35))</f>
        <v>DEPARTAMENTO COMERCIAL DE TARJETA DE CREDITO Y DEBITO</v>
      </c>
      <c r="G35" s="64" t="str">
        <f>IF($R35="","",INDEX('Cálculos'!$P:$P,$R35))</f>
        <v>Gerencia de Negocios</v>
      </c>
      <c r="J35" s="63">
        <f>IF($R35="","",INDEX('Cálculos'!$Q:$Q,$R35))</f>
        <v>8</v>
      </c>
      <c r="K35" s="63">
        <f>IF($R35="","",INDEX('Cálculos'!$M:$M,$R35))</f>
        <v>4</v>
      </c>
      <c r="L35" s="63">
        <f>IF($R35="","",INDEX('Cálculos'!$N:$N,$R35))</f>
        <v>4</v>
      </c>
      <c r="M35" s="65">
        <f>IF($R35="","",INDEX('Cálculos'!$R:$R,$R35))</f>
        <v>0.5</v>
      </c>
      <c r="O35" s="66">
        <f>IF($R35="","",INDEX('Cálculos'!$S:$S,$R35))</f>
        <v>88.75</v>
      </c>
      <c r="P35" s="63" t="str">
        <f>IF($R35="","",IF(M35&gt;=1,"Completo","Pendiente"))</f>
        <v>Pendiente</v>
      </c>
      <c r="R35">
        <f>IFERROR(SMALL('Cálculos'!$T$20:$T$62,22),"")</f>
        <v>41</v>
      </c>
    </row>
    <row r="36" ht="18" customHeight="1">
      <c r="B36" s="63">
        <f>IF($R36="","",23)</f>
        <v>23</v>
      </c>
      <c r="C36" s="64" t="str">
        <f>IF($R36="","",INDEX('Cálculos'!$O:$O,$R36))</f>
        <v>DEPARTAMENTO DE TARJETA DE CREDITO Y DEBITO</v>
      </c>
      <c r="G36" s="64" t="str">
        <f>IF($R36="","",INDEX('Cálculos'!$P:$P,$R36))</f>
        <v>Gerencia de Operaciones</v>
      </c>
      <c r="J36" s="63">
        <f>IF($R36="","",INDEX('Cálculos'!$Q:$Q,$R36))</f>
        <v>6</v>
      </c>
      <c r="K36" s="63">
        <f>IF($R36="","",INDEX('Cálculos'!$M:$M,$R36))</f>
        <v>3</v>
      </c>
      <c r="L36" s="63">
        <f>IF($R36="","",INDEX('Cálculos'!$N:$N,$R36))</f>
        <v>3</v>
      </c>
      <c r="M36" s="65">
        <f>IF($R36="","",INDEX('Cálculos'!$R:$R,$R36))</f>
        <v>0.5</v>
      </c>
      <c r="O36" s="66">
        <f>IF($R36="","",INDEX('Cálculos'!$S:$S,$R36))</f>
        <v>98.3333333333333</v>
      </c>
      <c r="P36" s="63" t="str">
        <f>IF($R36="","",IF(M36&gt;=1,"Completo","Pendiente"))</f>
        <v>Pendiente</v>
      </c>
      <c r="R36">
        <f>IFERROR(SMALL('Cálculos'!$T$20:$T$62,23),"")</f>
        <v>42</v>
      </c>
    </row>
    <row r="37" ht="18" customHeight="1">
      <c r="B37" s="63">
        <f>IF($R37="","",24)</f>
        <v>24</v>
      </c>
      <c r="C37" s="64" t="str">
        <f>IF($R37="","",INDEX('Cálculos'!$O:$O,$R37))</f>
        <v>GERENCIA DE SISTEMAS</v>
      </c>
      <c r="G37" s="64" t="str">
        <f>IF($R37="","",INDEX('Cálculos'!$P:$P,$R37))</f>
        <v>Gerencia de Sistemas</v>
      </c>
      <c r="J37" s="63">
        <f>IF($R37="","",INDEX('Cálculos'!$Q:$Q,$R37))</f>
        <v>4</v>
      </c>
      <c r="K37" s="63">
        <f>IF($R37="","",INDEX('Cálculos'!$M:$M,$R37))</f>
        <v>2</v>
      </c>
      <c r="L37" s="63">
        <f>IF($R37="","",INDEX('Cálculos'!$N:$N,$R37))</f>
        <v>2</v>
      </c>
      <c r="M37" s="65">
        <f>IF($R37="","",INDEX('Cálculos'!$R:$R,$R37))</f>
        <v>0.5</v>
      </c>
      <c r="O37" s="66">
        <f>IF($R37="","",INDEX('Cálculos'!$S:$S,$R37))</f>
        <v>97.5</v>
      </c>
      <c r="P37" s="63" t="str">
        <f>IF($R37="","",IF(M37&gt;=1,"Completo","Pendiente"))</f>
        <v>Pendiente</v>
      </c>
      <c r="R37">
        <f>IFERROR(SMALL('Cálculos'!$T$20:$T$62,24),"")</f>
        <v>43</v>
      </c>
    </row>
    <row r="38" ht="18" customHeight="1">
      <c r="B38" s="63">
        <f>IF($R38="","",25)</f>
        <v>25</v>
      </c>
      <c r="C38" s="64" t="str">
        <f>IF($R38="","",INDEX('Cálculos'!$O:$O,$R38))</f>
        <v>GERENCIA ADMINISTRATIVA</v>
      </c>
      <c r="G38" s="64" t="str">
        <f>IF($R38="","",INDEX('Cálculos'!$P:$P,$R38))</f>
        <v>Gerencia Administrativa</v>
      </c>
      <c r="J38" s="63">
        <f>IF($R38="","",INDEX('Cálculos'!$Q:$Q,$R38))</f>
        <v>2</v>
      </c>
      <c r="K38" s="63">
        <f>IF($R38="","",INDEX('Cálculos'!$M:$M,$R38))</f>
        <v>1</v>
      </c>
      <c r="L38" s="63">
        <f>IF($R38="","",INDEX('Cálculos'!$N:$N,$R38))</f>
        <v>1</v>
      </c>
      <c r="M38" s="65">
        <f>IF($R38="","",INDEX('Cálculos'!$R:$R,$R38))</f>
        <v>0.5</v>
      </c>
      <c r="O38" s="66">
        <f>IF($R38="","",INDEX('Cálculos'!$S:$S,$R38))</f>
        <v>100</v>
      </c>
      <c r="P38" s="63" t="str">
        <f>IF($R38="","",IF(M38&gt;=1,"Completo","Pendiente"))</f>
        <v>Pendiente</v>
      </c>
      <c r="R38">
        <f>IFERROR(SMALL('Cálculos'!$T$20:$T$62,25),"")</f>
        <v>44</v>
      </c>
    </row>
    <row r="39" ht="18" customHeight="1">
      <c r="B39" s="63">
        <f>IF($R39="","",26)</f>
        <v>26</v>
      </c>
      <c r="C39" s="64" t="str">
        <f>IF($R39="","",INDEX('Cálculos'!$O:$O,$R39))</f>
        <v>GERENCIA DE FINANZAS Y PLANIFICACIÓN</v>
      </c>
      <c r="G39" s="64" t="str">
        <f>IF($R39="","",INDEX('Cálculos'!$P:$P,$R39))</f>
        <v>Gerencia de Finanzas y Planificación</v>
      </c>
      <c r="J39" s="63">
        <f>IF($R39="","",INDEX('Cálculos'!$Q:$Q,$R39))</f>
        <v>2</v>
      </c>
      <c r="K39" s="63">
        <f>IF($R39="","",INDEX('Cálculos'!$M:$M,$R39))</f>
        <v>1</v>
      </c>
      <c r="L39" s="63">
        <f>IF($R39="","",INDEX('Cálculos'!$N:$N,$R39))</f>
        <v>1</v>
      </c>
      <c r="M39" s="65">
        <f>IF($R39="","",INDEX('Cálculos'!$R:$R,$R39))</f>
        <v>0.5</v>
      </c>
      <c r="O39" s="66">
        <f>IF($R39="","",INDEX('Cálculos'!$S:$S,$R39))</f>
        <v>100</v>
      </c>
      <c r="P39" s="63" t="str">
        <f>IF($R39="","",IF(M39&gt;=1,"Completo","Pendiente"))</f>
        <v>Pendiente</v>
      </c>
      <c r="R39">
        <f>IFERROR(SMALL('Cálculos'!$T$20:$T$62,26),"")</f>
        <v>45</v>
      </c>
    </row>
    <row r="40" ht="18" customHeight="1">
      <c r="B40" s="63">
        <f>IF($R40="","",27)</f>
        <v>27</v>
      </c>
      <c r="C40" s="64" t="str">
        <f>IF($R40="","",INDEX('Cálculos'!$O:$O,$R40))</f>
        <v>GERENCIA GENERAL</v>
      </c>
      <c r="G40" s="64" t="str">
        <f>IF($R40="","",INDEX('Cálculos'!$P:$P,$R40))</f>
        <v>Gerencia General</v>
      </c>
      <c r="J40" s="63">
        <f>IF($R40="","",INDEX('Cálculos'!$Q:$Q,$R40))</f>
        <v>2</v>
      </c>
      <c r="K40" s="63">
        <f>IF($R40="","",INDEX('Cálculos'!$M:$M,$R40))</f>
        <v>1</v>
      </c>
      <c r="L40" s="63">
        <f>IF($R40="","",INDEX('Cálculos'!$N:$N,$R40))</f>
        <v>1</v>
      </c>
      <c r="M40" s="65">
        <f>IF($R40="","",INDEX('Cálculos'!$R:$R,$R40))</f>
        <v>0.5</v>
      </c>
      <c r="O40" s="66">
        <f>IF($R40="","",INDEX('Cálculos'!$S:$S,$R40))</f>
        <v>100</v>
      </c>
      <c r="P40" s="63" t="str">
        <f>IF($R40="","",IF(M40&gt;=1,"Completo","Pendiente"))</f>
        <v>Pendiente</v>
      </c>
      <c r="R40">
        <f>IFERROR(SMALL('Cálculos'!$T$20:$T$62,27),"")</f>
        <v>46</v>
      </c>
    </row>
    <row r="41" ht="18" customHeight="1">
      <c r="B41" s="63">
        <f>IF($R41="","",28)</f>
        <v>28</v>
      </c>
      <c r="C41" s="64" t="str">
        <f>IF($R41="","",INDEX('Cálculos'!$O:$O,$R41))</f>
        <v>DEPARTAMENTO DE SEGUROS</v>
      </c>
      <c r="G41" s="64" t="str">
        <f>IF($R41="","",INDEX('Cálculos'!$P:$P,$R41))</f>
        <v>Gerencia de Negocios</v>
      </c>
      <c r="J41" s="63">
        <f>IF($R41="","",INDEX('Cálculos'!$Q:$Q,$R41))</f>
        <v>11</v>
      </c>
      <c r="K41" s="63">
        <f>IF($R41="","",INDEX('Cálculos'!$M:$M,$R41))</f>
        <v>5</v>
      </c>
      <c r="L41" s="63">
        <f>IF($R41="","",INDEX('Cálculos'!$N:$N,$R41))</f>
        <v>6</v>
      </c>
      <c r="M41" s="65">
        <f>IF($R41="","",INDEX('Cálculos'!$R:$R,$R41))</f>
        <v>0.454545454545455</v>
      </c>
      <c r="O41" s="66">
        <f>IF($R41="","",INDEX('Cálculos'!$S:$S,$R41))</f>
        <v>96</v>
      </c>
      <c r="P41" s="63" t="str">
        <f>IF($R41="","",IF(M41&gt;=1,"Completo","Pendiente"))</f>
        <v>Pendiente</v>
      </c>
      <c r="R41">
        <f>IFERROR(SMALL('Cálculos'!$T$20:$T$62,28),"")</f>
        <v>47</v>
      </c>
    </row>
    <row r="42" ht="18" customHeight="1">
      <c r="B42" s="63">
        <f>IF($R42="","",29)</f>
        <v>29</v>
      </c>
      <c r="C42" s="64" t="str">
        <f>IF($R42="","",INDEX('Cálculos'!$O:$O,$R42))</f>
        <v>ADMINISTRACIÓN DE CARTERAS</v>
      </c>
      <c r="G42" s="64" t="str">
        <f>IF($R42="","",INDEX('Cálculos'!$P:$P,$R42))</f>
        <v>Gerencia de Operaciones</v>
      </c>
      <c r="J42" s="63">
        <f>IF($R42="","",INDEX('Cálculos'!$Q:$Q,$R42))</f>
        <v>5</v>
      </c>
      <c r="K42" s="63">
        <f>IF($R42="","",INDEX('Cálculos'!$M:$M,$R42))</f>
        <v>2</v>
      </c>
      <c r="L42" s="63">
        <f>IF($R42="","",INDEX('Cálculos'!$N:$N,$R42))</f>
        <v>3</v>
      </c>
      <c r="M42" s="65">
        <f>IF($R42="","",INDEX('Cálculos'!$R:$R,$R42))</f>
        <v>0.4</v>
      </c>
      <c r="O42" s="66">
        <f>IF($R42="","",INDEX('Cálculos'!$S:$S,$R42))</f>
        <v>100</v>
      </c>
      <c r="P42" s="63" t="str">
        <f>IF($R42="","",IF(M42&gt;=1,"Completo","Pendiente"))</f>
        <v>Pendiente</v>
      </c>
      <c r="R42">
        <f>IFERROR(SMALL('Cálculos'!$T$20:$T$62,29),"")</f>
        <v>48</v>
      </c>
    </row>
    <row r="43" ht="18" customHeight="1">
      <c r="B43" s="63">
        <f>IF($R43="","",30)</f>
        <v>30</v>
      </c>
      <c r="C43" s="64" t="str">
        <f>IF($R43="","",INDEX('Cálculos'!$O:$O,$R43))</f>
        <v>AGENCIA CENTRAL</v>
      </c>
      <c r="G43" s="64" t="str">
        <f>IF($R43="","",INDEX('Cálculos'!$P:$P,$R43))</f>
        <v>Gerencia de Negocios</v>
      </c>
      <c r="J43" s="63">
        <f>IF($R43="","",INDEX('Cálculos'!$Q:$Q,$R43))</f>
        <v>18</v>
      </c>
      <c r="K43" s="63">
        <f>IF($R43="","",INDEX('Cálculos'!$M:$M,$R43))</f>
        <v>6</v>
      </c>
      <c r="L43" s="63">
        <f>IF($R43="","",INDEX('Cálculos'!$N:$N,$R43))</f>
        <v>12</v>
      </c>
      <c r="M43" s="65">
        <f>IF($R43="","",INDEX('Cálculos'!$R:$R,$R43))</f>
        <v>0.333333333333333</v>
      </c>
      <c r="O43" s="66">
        <f>IF($R43="","",INDEX('Cálculos'!$S:$S,$R43))</f>
        <v>95</v>
      </c>
      <c r="P43" s="63" t="str">
        <f>IF($R43="","",IF(M43&gt;=1,"Completo","Pendiente"))</f>
        <v>Pendiente</v>
      </c>
      <c r="R43">
        <f>IFERROR(SMALL('Cálculos'!$T$20:$T$62,30),"")</f>
        <v>49</v>
      </c>
    </row>
    <row r="44" ht="18" customHeight="1">
      <c r="B44" s="63">
        <f>IF($R44="","",31)</f>
        <v>31</v>
      </c>
      <c r="C44" s="64" t="str">
        <f>IF($R44="","",INDEX('Cálculos'!$O:$O,$R44))</f>
        <v>DEPARTAMENTO DE ATENCION A ASOCIADO Y CLIENTE</v>
      </c>
      <c r="G44" s="64" t="str">
        <f>IF($R44="","",INDEX('Cálculos'!$P:$P,$R44))</f>
        <v>Gerencia de Negocios</v>
      </c>
      <c r="J44" s="63">
        <f>IF($R44="","",INDEX('Cálculos'!$Q:$Q,$R44))</f>
        <v>6</v>
      </c>
      <c r="K44" s="63">
        <f>IF($R44="","",INDEX('Cálculos'!$M:$M,$R44))</f>
        <v>2</v>
      </c>
      <c r="L44" s="63">
        <f>IF($R44="","",INDEX('Cálculos'!$N:$N,$R44))</f>
        <v>4</v>
      </c>
      <c r="M44" s="65">
        <f>IF($R44="","",INDEX('Cálculos'!$R:$R,$R44))</f>
        <v>0.333333333333333</v>
      </c>
      <c r="O44" s="66">
        <f>IF($R44="","",INDEX('Cálculos'!$S:$S,$R44))</f>
        <v>100</v>
      </c>
      <c r="P44" s="63" t="str">
        <f>IF($R44="","",IF(M44&gt;=1,"Completo","Pendiente"))</f>
        <v>Pendiente</v>
      </c>
      <c r="R44">
        <f>IFERROR(SMALL('Cálculos'!$T$20:$T$62,31),"")</f>
        <v>50</v>
      </c>
    </row>
    <row r="45" ht="18" customHeight="1">
      <c r="B45" s="63">
        <f>IF($R45="","",32)</f>
        <v>32</v>
      </c>
      <c r="C45" s="64" t="str">
        <f>IF($R45="","",INDEX('Cálculos'!$O:$O,$R45))</f>
        <v>DEPARTAMENTO DE EDUCACION Y RESPONSABILIDAD SOCIAL</v>
      </c>
      <c r="G45" s="64" t="str">
        <f>IF($R45="","",INDEX('Cálculos'!$P:$P,$R45))</f>
        <v>Gerencia de Negocios</v>
      </c>
      <c r="J45" s="63">
        <f>IF($R45="","",INDEX('Cálculos'!$Q:$Q,$R45))</f>
        <v>3</v>
      </c>
      <c r="K45" s="63">
        <f>IF($R45="","",INDEX('Cálculos'!$M:$M,$R45))</f>
        <v>1</v>
      </c>
      <c r="L45" s="63">
        <f>IF($R45="","",INDEX('Cálculos'!$N:$N,$R45))</f>
        <v>2</v>
      </c>
      <c r="M45" s="65">
        <f>IF($R45="","",INDEX('Cálculos'!$R:$R,$R45))</f>
        <v>0.333333333333333</v>
      </c>
      <c r="O45" s="66">
        <f>IF($R45="","",INDEX('Cálculos'!$S:$S,$R45))</f>
        <v>100</v>
      </c>
      <c r="P45" s="63" t="str">
        <f>IF($R45="","",IF(M45&gt;=1,"Completo","Pendiente"))</f>
        <v>Pendiente</v>
      </c>
      <c r="R45">
        <f>IFERROR(SMALL('Cálculos'!$T$20:$T$62,32),"")</f>
        <v>51</v>
      </c>
    </row>
    <row r="46" ht="18" customHeight="1">
      <c r="B46" s="63">
        <f>IF($R46="","",33)</f>
        <v>33</v>
      </c>
      <c r="C46" s="64" t="str">
        <f>IF($R46="","",INDEX('Cálculos'!$O:$O,$R46))</f>
        <v>AGENCIA COLONIA MEDICA</v>
      </c>
      <c r="G46" s="64" t="str">
        <f>IF($R46="","",INDEX('Cálculos'!$P:$P,$R46))</f>
        <v>Gerencia de Negocios</v>
      </c>
      <c r="J46" s="63">
        <f>IF($R46="","",INDEX('Cálculos'!$Q:$Q,$R46))</f>
        <v>16</v>
      </c>
      <c r="K46" s="63">
        <f>IF($R46="","",INDEX('Cálculos'!$M:$M,$R46))</f>
        <v>5</v>
      </c>
      <c r="L46" s="63">
        <f>IF($R46="","",INDEX('Cálculos'!$N:$N,$R46))</f>
        <v>11</v>
      </c>
      <c r="M46" s="65">
        <f>IF($R46="","",INDEX('Cálculos'!$R:$R,$R46))</f>
        <v>0.3125</v>
      </c>
      <c r="O46" s="66">
        <f>IF($R46="","",INDEX('Cálculos'!$S:$S,$R46))</f>
        <v>99</v>
      </c>
      <c r="P46" s="63" t="str">
        <f>IF($R46="","",IF(M46&gt;=1,"Completo","Pendiente"))</f>
        <v>Pendiente</v>
      </c>
      <c r="R46">
        <f>IFERROR(SMALL('Cálculos'!$T$20:$T$62,33),"")</f>
        <v>52</v>
      </c>
    </row>
    <row r="47" ht="18" customHeight="1">
      <c r="B47" s="63">
        <f>IF($R47="","",34)</f>
        <v>34</v>
      </c>
      <c r="C47" s="64" t="str">
        <f>IF($R47="","",INDEX('Cálculos'!$O:$O,$R47))</f>
        <v>DEPARTAMENTO DE SOLUCIONES FINANCIERAS</v>
      </c>
      <c r="G47" s="64" t="str">
        <f>IF($R47="","",INDEX('Cálculos'!$P:$P,$R47))</f>
        <v>Gerencia de Negocios</v>
      </c>
      <c r="J47" s="63">
        <f>IF($R47="","",INDEX('Cálculos'!$Q:$Q,$R47))</f>
        <v>10</v>
      </c>
      <c r="K47" s="63">
        <f>IF($R47="","",INDEX('Cálculos'!$M:$M,$R47))</f>
        <v>3</v>
      </c>
      <c r="L47" s="63">
        <f>IF($R47="","",INDEX('Cálculos'!$N:$N,$R47))</f>
        <v>7</v>
      </c>
      <c r="M47" s="65">
        <f>IF($R47="","",INDEX('Cálculos'!$R:$R,$R47))</f>
        <v>0.3</v>
      </c>
      <c r="O47" s="66">
        <f>IF($R47="","",INDEX('Cálculos'!$S:$S,$R47))</f>
        <v>93.3333333333333</v>
      </c>
      <c r="P47" s="63" t="str">
        <f>IF($R47="","",IF(M47&gt;=1,"Completo","Pendiente"))</f>
        <v>Pendiente</v>
      </c>
      <c r="R47">
        <f>IFERROR(SMALL('Cálculos'!$T$20:$T$62,34),"")</f>
        <v>53</v>
      </c>
    </row>
    <row r="48" ht="18" customHeight="1">
      <c r="B48" s="63">
        <f>IF($R48="","",35)</f>
        <v>35</v>
      </c>
      <c r="C48" s="64" t="str">
        <f>IF($R48="","",INDEX('Cálculos'!$O:$O,$R48))</f>
        <v>SUB GERENCIA DE CANALES</v>
      </c>
      <c r="G48" s="64" t="str">
        <f>IF($R48="","",INDEX('Cálculos'!$P:$P,$R48))</f>
        <v>Gerencia de Negocios</v>
      </c>
      <c r="J48" s="63">
        <f>IF($R48="","",INDEX('Cálculos'!$Q:$Q,$R48))</f>
        <v>7</v>
      </c>
      <c r="K48" s="63">
        <f>IF($R48="","",INDEX('Cálculos'!$M:$M,$R48))</f>
        <v>2</v>
      </c>
      <c r="L48" s="63">
        <f>IF($R48="","",INDEX('Cálculos'!$N:$N,$R48))</f>
        <v>5</v>
      </c>
      <c r="M48" s="65">
        <f>IF($R48="","",INDEX('Cálculos'!$R:$R,$R48))</f>
        <v>0.285714285714286</v>
      </c>
      <c r="O48" s="66">
        <f>IF($R48="","",INDEX('Cálculos'!$S:$S,$R48))</f>
        <v>100</v>
      </c>
      <c r="P48" s="63" t="str">
        <f>IF($R48="","",IF(M48&gt;=1,"Completo","Pendiente"))</f>
        <v>Pendiente</v>
      </c>
      <c r="R48">
        <f>IFERROR(SMALL('Cálculos'!$T$20:$T$62,35),"")</f>
        <v>54</v>
      </c>
    </row>
    <row r="49" ht="18" customHeight="1">
      <c r="B49" s="63">
        <f>IF($R49="","",36)</f>
        <v>36</v>
      </c>
      <c r="C49" s="64" t="str">
        <f>IF($R49="","",INDEX('Cálculos'!$O:$O,$R49))</f>
        <v>AGENCIA COLEGIO MEDICO</v>
      </c>
      <c r="G49" s="64" t="str">
        <f>IF($R49="","",INDEX('Cálculos'!$P:$P,$R49))</f>
        <v>Gerencia de Negocios</v>
      </c>
      <c r="J49" s="63">
        <f>IF($R49="","",INDEX('Cálculos'!$Q:$Q,$R49))</f>
        <v>12</v>
      </c>
      <c r="K49" s="63">
        <f>IF($R49="","",INDEX('Cálculos'!$M:$M,$R49))</f>
        <v>3</v>
      </c>
      <c r="L49" s="63">
        <f>IF($R49="","",INDEX('Cálculos'!$N:$N,$R49))</f>
        <v>9</v>
      </c>
      <c r="M49" s="65">
        <f>IF($R49="","",INDEX('Cálculos'!$R:$R,$R49))</f>
        <v>0.25</v>
      </c>
      <c r="O49" s="66">
        <f>IF($R49="","",INDEX('Cálculos'!$S:$S,$R49))</f>
        <v>100</v>
      </c>
      <c r="P49" s="63" t="str">
        <f>IF($R49="","",IF(M49&gt;=1,"Completo","Pendiente"))</f>
        <v>Pendiente</v>
      </c>
      <c r="R49">
        <f>IFERROR(SMALL('Cálculos'!$T$20:$T$62,36),"")</f>
        <v>55</v>
      </c>
    </row>
    <row r="50" ht="18" customHeight="1">
      <c r="B50" s="63">
        <f>IF($R50="","",37)</f>
        <v>37</v>
      </c>
      <c r="C50" s="64" t="str">
        <f>IF($R50="","",INDEX('Cálculos'!$O:$O,$R50))</f>
        <v>DEPARTAMENTO LEGAL</v>
      </c>
      <c r="G50" s="64" t="str">
        <f>IF($R50="","",INDEX('Cálculos'!$P:$P,$R50))</f>
        <v>Gerencia Legal y Cumplimiento Normativo</v>
      </c>
      <c r="J50" s="63">
        <f>IF($R50="","",INDEX('Cálculos'!$Q:$Q,$R50))</f>
        <v>8</v>
      </c>
      <c r="K50" s="63">
        <f>IF($R50="","",INDEX('Cálculos'!$M:$M,$R50))</f>
        <v>2</v>
      </c>
      <c r="L50" s="63">
        <f>IF($R50="","",INDEX('Cálculos'!$N:$N,$R50))</f>
        <v>6</v>
      </c>
      <c r="M50" s="65">
        <f>IF($R50="","",INDEX('Cálculos'!$R:$R,$R50))</f>
        <v>0.25</v>
      </c>
      <c r="O50" s="66">
        <f>IF($R50="","",INDEX('Cálculos'!$S:$S,$R50))</f>
        <v>95</v>
      </c>
      <c r="P50" s="63" t="str">
        <f>IF($R50="","",IF(M50&gt;=1,"Completo","Pendiente"))</f>
        <v>Pendiente</v>
      </c>
      <c r="R50">
        <f>IFERROR(SMALL('Cálculos'!$T$20:$T$62,37),"")</f>
        <v>56</v>
      </c>
    </row>
    <row r="51" ht="18" customHeight="1">
      <c r="B51" s="63">
        <f>IF($R51="","",38)</f>
        <v>38</v>
      </c>
      <c r="C51" s="64" t="str">
        <f>IF($R51="","",INDEX('Cálculos'!$O:$O,$R51))</f>
        <v>DEPARTAMENTO DE MERCADEO</v>
      </c>
      <c r="G51" s="64" t="str">
        <f>IF($R51="","",INDEX('Cálculos'!$P:$P,$R51))</f>
        <v>Gerencia de Negocios</v>
      </c>
      <c r="J51" s="63">
        <f>IF($R51="","",INDEX('Cálculos'!$Q:$Q,$R51))</f>
        <v>7</v>
      </c>
      <c r="K51" s="63">
        <f>IF($R51="","",INDEX('Cálculos'!$M:$M,$R51))</f>
        <v>1</v>
      </c>
      <c r="L51" s="63">
        <f>IF($R51="","",INDEX('Cálculos'!$N:$N,$R51))</f>
        <v>6</v>
      </c>
      <c r="M51" s="65">
        <f>IF($R51="","",INDEX('Cálculos'!$R:$R,$R51))</f>
        <v>0.142857142857143</v>
      </c>
      <c r="O51" s="66">
        <f>IF($R51="","",INDEX('Cálculos'!$S:$S,$R51))</f>
        <v>100</v>
      </c>
      <c r="P51" s="63" t="str">
        <f>IF($R51="","",IF(M51&gt;=1,"Completo","Pendiente"))</f>
        <v>Pendiente</v>
      </c>
      <c r="R51">
        <f>IFERROR(SMALL('Cálculos'!$T$20:$T$62,38),"")</f>
        <v>57</v>
      </c>
    </row>
    <row r="52" ht="18" customHeight="1">
      <c r="B52" s="63">
        <f>IF($R52="","",39)</f>
        <v>39</v>
      </c>
      <c r="C52" s="64" t="str">
        <f>IF($R52="","",INDEX('Cálculos'!$O:$O,$R52))</f>
        <v>AGENCIA PLAZA MUNDO</v>
      </c>
      <c r="G52" s="64" t="str">
        <f>IF($R52="","",INDEX('Cálculos'!$P:$P,$R52))</f>
        <v>Gerencia de Negocios</v>
      </c>
      <c r="J52" s="63">
        <f>IF($R52="","",INDEX('Cálculos'!$Q:$Q,$R52))</f>
        <v>8</v>
      </c>
      <c r="K52" s="63">
        <f>IF($R52="","",INDEX('Cálculos'!$M:$M,$R52))</f>
        <v>0</v>
      </c>
      <c r="L52" s="63">
        <f>IF($R52="","",INDEX('Cálculos'!$N:$N,$R52))</f>
        <v>8</v>
      </c>
      <c r="M52" s="65">
        <f>IF($R52="","",INDEX('Cálculos'!$R:$R,$R52))</f>
        <v>0</v>
      </c>
      <c r="O52" s="66" t="str">
        <f>IF($R52="","",INDEX('Cálculos'!$S:$S,$R52))</f>
        <v/>
      </c>
      <c r="P52" s="63" t="str">
        <f>IF($R52="","",IF(M52&gt;=1,"Completo","Pendiente"))</f>
        <v>Pendiente</v>
      </c>
      <c r="R52">
        <f>IFERROR(SMALL('Cálculos'!$T$20:$T$62,39),"")</f>
        <v>58</v>
      </c>
    </row>
    <row r="53" ht="18" customHeight="1">
      <c r="B53" s="63">
        <f>IF($R53="","",40)</f>
        <v>40</v>
      </c>
      <c r="C53" s="64" t="str">
        <f>IF($R53="","",INDEX('Cálculos'!$O:$O,$R53))</f>
        <v>AGENCIA SANTA ANA</v>
      </c>
      <c r="G53" s="64" t="str">
        <f>IF($R53="","",INDEX('Cálculos'!$P:$P,$R53))</f>
        <v>Gerencia de Negocios</v>
      </c>
      <c r="J53" s="63">
        <f>IF($R53="","",INDEX('Cálculos'!$Q:$Q,$R53))</f>
        <v>8</v>
      </c>
      <c r="K53" s="63">
        <f>IF($R53="","",INDEX('Cálculos'!$M:$M,$R53))</f>
        <v>0</v>
      </c>
      <c r="L53" s="63">
        <f>IF($R53="","",INDEX('Cálculos'!$N:$N,$R53))</f>
        <v>8</v>
      </c>
      <c r="M53" s="65">
        <f>IF($R53="","",INDEX('Cálculos'!$R:$R,$R53))</f>
        <v>0</v>
      </c>
      <c r="O53" s="66" t="str">
        <f>IF($R53="","",INDEX('Cálculos'!$S:$S,$R53))</f>
        <v/>
      </c>
      <c r="P53" s="63" t="str">
        <f>IF($R53="","",IF(M53&gt;=1,"Completo","Pendiente"))</f>
        <v>Pendiente</v>
      </c>
      <c r="R53">
        <f>IFERROR(SMALL('Cálculos'!$T$20:$T$62,40),"")</f>
        <v>59</v>
      </c>
    </row>
    <row r="54" ht="18" customHeight="1">
      <c r="B54" s="63">
        <f>IF($R54="","",41)</f>
        <v>41</v>
      </c>
      <c r="C54" s="64" t="str">
        <f>IF($R54="","",INDEX('Cálculos'!$O:$O,$R54))</f>
        <v>AGENCIA SONSONATE</v>
      </c>
      <c r="G54" s="64" t="str">
        <f>IF($R54="","",INDEX('Cálculos'!$P:$P,$R54))</f>
        <v>Gerencia de Negocios</v>
      </c>
      <c r="J54" s="63">
        <f>IF($R54="","",INDEX('Cálculos'!$Q:$Q,$R54))</f>
        <v>7</v>
      </c>
      <c r="K54" s="63">
        <f>IF($R54="","",INDEX('Cálculos'!$M:$M,$R54))</f>
        <v>0</v>
      </c>
      <c r="L54" s="63">
        <f>IF($R54="","",INDEX('Cálculos'!$N:$N,$R54))</f>
        <v>7</v>
      </c>
      <c r="M54" s="65">
        <f>IF($R54="","",INDEX('Cálculos'!$R:$R,$R54))</f>
        <v>0</v>
      </c>
      <c r="O54" s="66" t="str">
        <f>IF($R54="","",INDEX('Cálculos'!$S:$S,$R54))</f>
        <v/>
      </c>
      <c r="P54" s="63" t="str">
        <f>IF($R54="","",IF(M54&gt;=1,"Completo","Pendiente"))</f>
        <v>Pendiente</v>
      </c>
      <c r="R54">
        <f>IFERROR(SMALL('Cálculos'!$T$20:$T$62,41),"")</f>
        <v>60</v>
      </c>
    </row>
    <row r="55" ht="18" customHeight="1">
      <c r="B55" s="63">
        <f>IF($R55="","",42)</f>
        <v>42</v>
      </c>
      <c r="C55" s="64" t="str">
        <f>IF($R55="","",INDEX('Cálculos'!$O:$O,$R55))</f>
        <v>DEPARTAMENTO DE PLANIFICACIÓN Y ANALISIS</v>
      </c>
      <c r="G55" s="64" t="str">
        <f>IF($R55="","",INDEX('Cálculos'!$P:$P,$R55))</f>
        <v>Gerencia de Finanzas y Planificación</v>
      </c>
      <c r="J55" s="63">
        <f>IF($R55="","",INDEX('Cálculos'!$Q:$Q,$R55))</f>
        <v>3</v>
      </c>
      <c r="K55" s="63">
        <f>IF($R55="","",INDEX('Cálculos'!$M:$M,$R55))</f>
        <v>0</v>
      </c>
      <c r="L55" s="63">
        <f>IF($R55="","",INDEX('Cálculos'!$N:$N,$R55))</f>
        <v>3</v>
      </c>
      <c r="M55" s="65">
        <f>IF($R55="","",INDEX('Cálculos'!$R:$R,$R55))</f>
        <v>0</v>
      </c>
      <c r="O55" s="66" t="str">
        <f>IF($R55="","",INDEX('Cálculos'!$S:$S,$R55))</f>
        <v/>
      </c>
      <c r="P55" s="63" t="str">
        <f>IF($R55="","",IF(M55&gt;=1,"Completo","Pendiente"))</f>
        <v>Pendiente</v>
      </c>
      <c r="R55">
        <f>IFERROR(SMALL('Cálculos'!$T$20:$T$62,42),"")</f>
        <v>61</v>
      </c>
    </row>
    <row r="56" ht="18" customHeight="1">
      <c r="B56" s="63">
        <f>IF($R56="","",43)</f>
        <v>43</v>
      </c>
      <c r="C56" s="64" t="str">
        <f>IF($R56="","",INDEX('Cálculos'!$O:$O,$R56))</f>
        <v>GERENCIA DE OPERACIONES</v>
      </c>
      <c r="G56" s="64" t="str">
        <f>IF($R56="","",INDEX('Cálculos'!$P:$P,$R56))</f>
        <v>Gerencia de Operaciones</v>
      </c>
      <c r="J56" s="63">
        <f>IF($R56="","",INDEX('Cálculos'!$Q:$Q,$R56))</f>
        <v>1</v>
      </c>
      <c r="K56" s="63">
        <f>IF($R56="","",INDEX('Cálculos'!$M:$M,$R56))</f>
        <v>0</v>
      </c>
      <c r="L56" s="63">
        <f>IF($R56="","",INDEX('Cálculos'!$N:$N,$R56))</f>
        <v>1</v>
      </c>
      <c r="M56" s="65">
        <f>IF($R56="","",INDEX('Cálculos'!$R:$R,$R56))</f>
        <v>0</v>
      </c>
      <c r="O56" s="66" t="str">
        <f>IF($R56="","",INDEX('Cálculos'!$S:$S,$R56))</f>
        <v/>
      </c>
      <c r="P56" s="63" t="str">
        <f>IF($R56="","",IF(M56&gt;=1,"Completo","Pendiente"))</f>
        <v>Pendiente</v>
      </c>
      <c r="R56">
        <f>IFERROR(SMALL('Cálculos'!$T$20:$T$62,43),"")</f>
        <v>62</v>
      </c>
    </row>
  </sheetData>
  <mergeCells count="153">
    <mergeCell ref="O7:P7"/>
    <mergeCell ref="G38:I38"/>
    <mergeCell ref="C52:F52"/>
    <mergeCell ref="M43:N43"/>
    <mergeCell ref="C39:F39"/>
    <mergeCell ref="G13:I13"/>
    <mergeCell ref="C32:F32"/>
    <mergeCell ref="C37:F37"/>
    <mergeCell ref="G15:I15"/>
    <mergeCell ref="C13:F13"/>
    <mergeCell ref="G24:I24"/>
    <mergeCell ref="M35:N35"/>
    <mergeCell ref="M54:N54"/>
    <mergeCell ref="C15:F15"/>
    <mergeCell ref="G26:I26"/>
    <mergeCell ref="C7:E7"/>
    <mergeCell ref="C24:F24"/>
    <mergeCell ref="M16:N16"/>
    <mergeCell ref="G16:I16"/>
    <mergeCell ref="M25:N25"/>
    <mergeCell ref="I10:K10"/>
    <mergeCell ref="G50:I50"/>
    <mergeCell ref="C26:F26"/>
    <mergeCell ref="M36:N36"/>
    <mergeCell ref="C54:F54"/>
    <mergeCell ref="M18:N18"/>
    <mergeCell ref="M33:N33"/>
    <mergeCell ref="M45:N45"/>
    <mergeCell ref="C41:F41"/>
    <mergeCell ref="G52:I52"/>
    <mergeCell ref="C50:F50"/>
    <mergeCell ref="M17:N17"/>
    <mergeCell ref="G36:I36"/>
    <mergeCell ref="G42:I42"/>
    <mergeCell ref="C56:F56"/>
    <mergeCell ref="M47:N47"/>
    <mergeCell ref="C43:F43"/>
    <mergeCell ref="M19:N19"/>
    <mergeCell ref="M50:N50"/>
    <mergeCell ref="F7:H7"/>
    <mergeCell ref="C27:F27"/>
    <mergeCell ref="B12:P12"/>
    <mergeCell ref="C36:F36"/>
    <mergeCell ref="C17:F17"/>
    <mergeCell ref="G28:I28"/>
    <mergeCell ref="G37:I37"/>
    <mergeCell ref="M44:N44"/>
    <mergeCell ref="B1:P1"/>
    <mergeCell ref="C19:F19"/>
    <mergeCell ref="G30:I30"/>
    <mergeCell ref="C28:F28"/>
    <mergeCell ref="L10:N10"/>
    <mergeCell ref="G14:I14"/>
    <mergeCell ref="M51:N51"/>
    <mergeCell ref="C30:F30"/>
    <mergeCell ref="G55:I55"/>
    <mergeCell ref="G51:I51"/>
    <mergeCell ref="C14:F14"/>
    <mergeCell ref="M13:N13"/>
    <mergeCell ref="G54:I54"/>
    <mergeCell ref="G32:I32"/>
    <mergeCell ref="M21:N21"/>
    <mergeCell ref="G41:I41"/>
    <mergeCell ref="H5:P5"/>
    <mergeCell ref="M27:N27"/>
    <mergeCell ref="G56:I56"/>
    <mergeCell ref="M41:N41"/>
    <mergeCell ref="G43:I43"/>
    <mergeCell ref="C40:F40"/>
    <mergeCell ref="M24:N24"/>
    <mergeCell ref="G27:I27"/>
    <mergeCell ref="B5:F5"/>
    <mergeCell ref="C8:E9"/>
    <mergeCell ref="G17:I17"/>
    <mergeCell ref="M53:N53"/>
    <mergeCell ref="C10:E10"/>
    <mergeCell ref="B4:F4"/>
    <mergeCell ref="M34:N34"/>
    <mergeCell ref="G19:I19"/>
    <mergeCell ref="G53:I53"/>
    <mergeCell ref="M55:N55"/>
    <mergeCell ref="M52:N52"/>
    <mergeCell ref="G34:I34"/>
    <mergeCell ref="M49:N49"/>
    <mergeCell ref="M39:N39"/>
    <mergeCell ref="M48:N48"/>
    <mergeCell ref="C18:F18"/>
    <mergeCell ref="C53:F53"/>
    <mergeCell ref="C34:F34"/>
    <mergeCell ref="G45:I45"/>
    <mergeCell ref="G20:I20"/>
    <mergeCell ref="G29:I29"/>
    <mergeCell ref="M31:N31"/>
    <mergeCell ref="M40:N40"/>
    <mergeCell ref="G47:I47"/>
    <mergeCell ref="C45:F45"/>
    <mergeCell ref="M15:N15"/>
    <mergeCell ref="G44:I44"/>
    <mergeCell ref="G22:I22"/>
    <mergeCell ref="M37:N37"/>
    <mergeCell ref="C20:F20"/>
    <mergeCell ref="G31:I31"/>
    <mergeCell ref="G46:I46"/>
    <mergeCell ref="C29:F29"/>
    <mergeCell ref="G40:I40"/>
    <mergeCell ref="F8:H9"/>
    <mergeCell ref="C47:F47"/>
    <mergeCell ref="G21:I21"/>
    <mergeCell ref="M26:N26"/>
    <mergeCell ref="C44:F44"/>
    <mergeCell ref="C22:F22"/>
    <mergeCell ref="C31:F31"/>
    <mergeCell ref="M29:N29"/>
    <mergeCell ref="M23:N23"/>
    <mergeCell ref="M38:N38"/>
    <mergeCell ref="G23:I23"/>
    <mergeCell ref="C46:F46"/>
    <mergeCell ref="C21:F21"/>
    <mergeCell ref="I8:K9"/>
    <mergeCell ref="C51:F51"/>
    <mergeCell ref="I7:K7"/>
    <mergeCell ref="C48:F48"/>
    <mergeCell ref="C23:F23"/>
    <mergeCell ref="B2:P2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22:N22"/>
    <mergeCell ref="G25:I25"/>
    <mergeCell ref="M30:N30"/>
    <mergeCell ref="C35:F35"/>
    <mergeCell ref="M46:N46"/>
    <mergeCell ref="M28:N28"/>
    <mergeCell ref="M42:N42"/>
    <mergeCell ref="C16:F16"/>
    <mergeCell ref="L8:N9"/>
    <mergeCell ref="C25:F25"/>
    <mergeCell ref="C55:F55"/>
    <mergeCell ref="L7:N7"/>
    <mergeCell ref="F10:H10"/>
    <mergeCell ref="M32:N32"/>
    <mergeCell ref="M14:N14"/>
    <mergeCell ref="G39:I39"/>
    <mergeCell ref="G48:I48"/>
    <mergeCell ref="M56:N56"/>
  </mergeCells>
  <conditionalFormatting sqref="P14:P56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56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56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0" showErrorMessage="0" allowBlank="0" errorTitle="Valor no válido" error="Seleccione una gerencia de la lista." promptTitle="Gerencia" prompt="Elija una gerencia o 'Todas las gerencias'." type="list">
      <formula1>'Cálculos'!$V$5:$V$14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Evaluación de Gestión Integral de Riesgos · avance institucional y por gerencia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>
      <c r="B3" s="31" t="inlineStr">
        <is>
          <t>Datos actualizados al:</t>
        </is>
      </c>
      <c r="E3" s="67">
        <f>MAX('Detalle individual'!$H$5:$H$295)</f>
        <v>46305.41322916667</v>
      </c>
    </row>
    <row r="4" ht="8" customHeight="1"/>
    <row r="5">
      <c r="B5" s="36" t="inlineStr">
        <is>
          <t>PERSONAL ESPERADO</t>
        </is>
      </c>
      <c r="C5" s="37" t="n"/>
      <c r="D5" s="38" t="n"/>
      <c r="E5" s="39" t="inlineStr">
        <is>
          <t>COMPLETADOS</t>
        </is>
      </c>
      <c r="F5" s="40" t="n"/>
      <c r="G5" s="41" t="n"/>
      <c r="H5" s="42" t="inlineStr">
        <is>
          <t>PENDIENTES</t>
        </is>
      </c>
      <c r="I5" s="43" t="n"/>
      <c r="J5" s="44" t="n"/>
      <c r="K5" s="36" t="inlineStr">
        <is>
          <t>% CUMPLIMIENTO</t>
        </is>
      </c>
      <c r="L5" s="37" t="n"/>
      <c r="M5" s="38" t="n"/>
      <c r="N5" s="36" t="inlineStr">
        <is>
          <t>NOTA PROMEDIO</t>
        </is>
      </c>
      <c r="O5" s="37" t="n"/>
      <c r="P5" s="38" t="n"/>
    </row>
    <row r="6" ht="22" customHeight="1">
      <c r="B6" s="47">
        <f>SUM('Consolidado por Gerencia'!$B$5:$B$14)</f>
        <v>291</v>
      </c>
      <c r="D6" s="48" t="n"/>
      <c r="E6" s="49">
        <f>SUM('Consolidado por Gerencia'!$C$5:$C$14)</f>
        <v>154</v>
      </c>
      <c r="G6" s="48" t="n"/>
      <c r="H6" s="50">
        <f>SUM('Consolidado por Gerencia'!$D$5:$D$14)</f>
        <v>137</v>
      </c>
      <c r="J6" s="48" t="n"/>
      <c r="K6" s="51">
        <f>IF(B6&gt;0,E6/B6,0)</f>
        <v>0.529209621993127</v>
      </c>
      <c r="M6" s="48" t="n"/>
      <c r="N6" s="68">
        <f>IFERROR(AVERAGE('Detalle individual'!$J$5:$J$295),"-")</f>
        <v>96.4285714285714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19">
    <mergeCell ref="N6:P7"/>
    <mergeCell ref="B2:P2"/>
    <mergeCell ref="B8:D8"/>
    <mergeCell ref="N5:P5"/>
    <mergeCell ref="B1:P1"/>
    <mergeCell ref="N8:P8"/>
    <mergeCell ref="K6:M7"/>
    <mergeCell ref="K8:M8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2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Ordenado de mayor a menor % de cumplimiento · la barra muestra completados (azul) y pendientes (gris)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</sheetData>
  <mergeCells count="2"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K299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</row>
    <row r="2" ht="22" customHeight="1">
      <c r="B2" s="30" t="inlineStr">
        <is>
          <t>Use los filtros amarillos para ver quién completó y quién tiene pendiente el examen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8" customHeight="1"/>
    <row r="4" ht="22" customHeight="1">
      <c r="B4" s="70" t="inlineStr">
        <is>
          <t>Gerencia:</t>
        </is>
      </c>
      <c r="D4" s="71" t="inlineStr">
        <is>
          <t>Todas las gerencias</t>
        </is>
      </c>
      <c r="E4" s="72" t="n"/>
      <c r="G4" s="73" t="inlineStr">
        <is>
          <t>Colaboradores mostrados</t>
        </is>
      </c>
      <c r="H4" s="74">
        <f>COUNT(K9:K299)</f>
        <v>291</v>
      </c>
    </row>
    <row r="5" ht="22" customHeight="1">
      <c r="B5" s="70" t="inlineStr">
        <is>
          <t>Departamento:</t>
        </is>
      </c>
      <c r="D5" s="71" t="inlineStr">
        <is>
          <t>Todos los departamentos</t>
        </is>
      </c>
      <c r="E5" s="72" t="n"/>
      <c r="G5" s="73" t="inlineStr">
        <is>
          <t>Completados</t>
        </is>
      </c>
      <c r="H5" s="75">
        <f>COUNTIF(H9:H299,"Completado")</f>
        <v>154</v>
      </c>
    </row>
    <row r="6" ht="22" customHeight="1">
      <c r="B6" s="70" t="inlineStr">
        <is>
          <t>Estado:</t>
        </is>
      </c>
      <c r="D6" s="71" t="inlineStr">
        <is>
          <t>Todos</t>
        </is>
      </c>
      <c r="E6" s="72" t="n"/>
      <c r="G6" s="73" t="inlineStr">
        <is>
          <t>Pendientes</t>
        </is>
      </c>
      <c r="H6" s="76">
        <f>COUNTIF(H9:H299,"Pendiente")</f>
        <v>137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16</v>
      </c>
      <c r="D9" s="64" t="str">
        <f>IF($K9="","",TRIM(INDEX('Detalle individual'!$B:$B,$K9)))</f>
        <v>YANETH MARLENY LANDAVERDE MORALES</v>
      </c>
      <c r="E9" s="64" t="str">
        <f>IF($K9="","",TRIM(INDEX('Detalle individual'!$E:$E,$K9)))</f>
        <v>JEFE DE ADMINISTRACION DE CARTERA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IFERROR(MOD(SMALL('Cálculos'!$Z$5:$Z$295,1),300),"")</f>
        <v>79</v>
      </c>
    </row>
    <row r="10">
      <c r="B10" s="63">
        <f>IF($K10="","",2)</f>
        <v>2</v>
      </c>
      <c r="C10" s="63" t="str">
        <f>IF($K10="","",INDEX('Detalle individual'!$A:$A,$K10))</f>
        <v>477</v>
      </c>
      <c r="D10" s="64" t="str">
        <f>IF($K10="","",TRIM(INDEX('Detalle individual'!$B:$B,$K10)))</f>
        <v>GEMA YESENIA VILLALOBOS HERNANDEZ</v>
      </c>
      <c r="E10" s="64" t="str">
        <f>IF($K10="","",TRIM(INDEX('Detalle individual'!$E:$E,$K10)))</f>
        <v>ANALISTA DE CARTERAS</v>
      </c>
      <c r="F10" s="64" t="str">
        <f>IF($K10="","",TRIM(INDEX('Detalle individual'!$C:$C,$K10)))</f>
        <v>ADMINISTRACIÓN DE CARTERAS</v>
      </c>
      <c r="G10" s="64" t="str">
        <f>IF($K10="","",INDEX('Detalle individual'!$D:$D,$K10))</f>
        <v>Gerencia de Operaciones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IFERROR(MOD(SMALL('Cálculos'!$Z$5:$Z$295,2),300),"")</f>
        <v>80</v>
      </c>
    </row>
    <row r="11">
      <c r="B11" s="63">
        <f>IF($K11="","",3)</f>
        <v>3</v>
      </c>
      <c r="C11" s="63" t="str">
        <f>IF($K11="","",INDEX('Detalle individual'!$A:$A,$K11))</f>
        <v>732</v>
      </c>
      <c r="D11" s="64" t="str">
        <f>IF($K11="","",TRIM(INDEX('Detalle individual'!$B:$B,$K11)))</f>
        <v>RICARDO JOSUE CACAO ROVELO</v>
      </c>
      <c r="E11" s="64" t="str">
        <f>IF($K11="","",TRIM(INDEX('Detalle individual'!$E:$E,$K11)))</f>
        <v>ANALISTA DE CARTERAS</v>
      </c>
      <c r="F11" s="64" t="str">
        <f>IF($K11="","",TRIM(INDEX('Detalle individual'!$C:$C,$K11)))</f>
        <v>ADMINISTRACIÓN DE CARTERAS</v>
      </c>
      <c r="G11" s="64" t="str">
        <f>IF($K11="","",INDEX('Detalle individual'!$D:$D,$K11))</f>
        <v>Gerencia de Operaciones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IFERROR(MOD(SMALL('Cálculos'!$Z$5:$Z$295,3),300),"")</f>
        <v>82</v>
      </c>
    </row>
    <row r="12">
      <c r="B12" s="63">
        <f>IF($K12="","",4)</f>
        <v>4</v>
      </c>
      <c r="C12" s="63" t="str">
        <f>IF($K12="","",INDEX('Detalle individual'!$A:$A,$K12))</f>
        <v>33</v>
      </c>
      <c r="D12" s="64" t="str">
        <f>IF($K12="","",TRIM(INDEX('Detalle individual'!$B:$B,$K12)))</f>
        <v>CAROLINA ELIZABETH RAMIREZ PONCE</v>
      </c>
      <c r="E12" s="64" t="str">
        <f>IF($K12="","",TRIM(INDEX('Detalle individual'!$E:$E,$K12)))</f>
        <v>SUBJEFE DE AGENCIA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IFERROR(MOD(SMALL('Cálculos'!$Z$5:$Z$295,4),300),"")</f>
        <v>191</v>
      </c>
    </row>
    <row r="13">
      <c r="B13" s="63">
        <f>IF($K13="","",5)</f>
        <v>5</v>
      </c>
      <c r="C13" s="63" t="str">
        <f>IF($K13="","",INDEX('Detalle individual'!$A:$A,$K13))</f>
        <v>49</v>
      </c>
      <c r="D13" s="64" t="str">
        <f>IF($K13="","",TRIM(INDEX('Detalle individual'!$B:$B,$K13)))</f>
        <v>GRISELDA DEL CARMEN DOMINGUEZ MERINO</v>
      </c>
      <c r="E13" s="64" t="str">
        <f>IF($K13="","",TRIM(INDEX('Detalle individual'!$E:$E,$K13)))</f>
        <v>EJECUTIVO DE NEGOCIOS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IFERROR(MOD(SMALL('Cálculos'!$Z$5:$Z$295,5),300),"")</f>
        <v>192</v>
      </c>
    </row>
    <row r="14">
      <c r="B14" s="63">
        <f>IF($K14="","",6)</f>
        <v>6</v>
      </c>
      <c r="C14" s="63" t="str">
        <f>IF($K14="","",INDEX('Detalle individual'!$A:$A,$K14))</f>
        <v>234</v>
      </c>
      <c r="D14" s="64" t="str">
        <f>IF($K14="","",TRIM(INDEX('Detalle individual'!$B:$B,$K14)))</f>
        <v>LETICIA ESMERALDA ROSA</v>
      </c>
      <c r="E14" s="64" t="str">
        <f>IF($K14="","",TRIM(INDEX('Detalle individual'!$E:$E,$K14)))</f>
        <v>EJECUTIVO DE NEGOCIOS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IFERROR(MOD(SMALL('Cálculos'!$Z$5:$Z$295,6),300),"")</f>
        <v>193</v>
      </c>
    </row>
    <row r="15">
      <c r="B15" s="63">
        <f>IF($K15="","",7)</f>
        <v>7</v>
      </c>
      <c r="C15" s="63" t="str">
        <f>IF($K15="","",INDEX('Detalle individual'!$A:$A,$K15))</f>
        <v>253</v>
      </c>
      <c r="D15" s="64" t="str">
        <f>IF($K15="","",TRIM(INDEX('Detalle individual'!$B:$B,$K15)))</f>
        <v>ELSY GUADALUPE COREA AGUILUZ</v>
      </c>
      <c r="E15" s="64" t="str">
        <f>IF($K15="","",TRIM(INDEX('Detalle individual'!$E:$E,$K15)))</f>
        <v>EJECUTIVO DE NEGOCIOS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IFERROR(MOD(SMALL('Cálculos'!$Z$5:$Z$295,7),300),"")</f>
        <v>194</v>
      </c>
    </row>
    <row r="16">
      <c r="B16" s="63">
        <f>IF($K16="","",8)</f>
        <v>8</v>
      </c>
      <c r="C16" s="63" t="str">
        <f>IF($K16="","",INDEX('Detalle individual'!$A:$A,$K16))</f>
        <v>385</v>
      </c>
      <c r="D16" s="64" t="str">
        <f>IF($K16="","",TRIM(INDEX('Detalle individual'!$B:$B,$K16)))</f>
        <v>BLANCA ARACELY MORENO HERNANDEZ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IFERROR(MOD(SMALL('Cálculos'!$Z$5:$Z$295,8),300),"")</f>
        <v>195</v>
      </c>
    </row>
    <row r="17">
      <c r="B17" s="63">
        <f>IF($K17="","",9)</f>
        <v>9</v>
      </c>
      <c r="C17" s="63" t="str">
        <f>IF($K17="","",INDEX('Detalle individual'!$A:$A,$K17))</f>
        <v>440</v>
      </c>
      <c r="D17" s="64" t="str">
        <f>IF($K17="","",TRIM(INDEX('Detalle individual'!$B:$B,$K17)))</f>
        <v>KARLA MERCEDES DELEON DELGADO</v>
      </c>
      <c r="E17" s="64" t="str">
        <f>IF($K17="","",TRIM(INDEX('Detalle individual'!$E:$E,$K17)))</f>
        <v>JEFE DE AGENCIA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IFERROR(MOD(SMALL('Cálculos'!$Z$5:$Z$295,9),300),"")</f>
        <v>196</v>
      </c>
    </row>
    <row r="18">
      <c r="B18" s="63">
        <f>IF($K18="","",10)</f>
        <v>10</v>
      </c>
      <c r="C18" s="63" t="str">
        <f>IF($K18="","",INDEX('Detalle individual'!$A:$A,$K18))</f>
        <v>739</v>
      </c>
      <c r="D18" s="64" t="str">
        <f>IF($K18="","",TRIM(INDEX('Detalle individual'!$B:$B,$K18)))</f>
        <v>JOHANA PATRICIA LUNA RAMOS</v>
      </c>
      <c r="E18" s="64" t="str">
        <f>IF($K18="","",TRIM(INDEX('Detalle individual'!$E:$E,$K18)))</f>
        <v>CAJERO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IFERROR(MOD(SMALL('Cálculos'!$Z$5:$Z$295,10),300),"")</f>
        <v>198</v>
      </c>
    </row>
    <row r="19">
      <c r="B19" s="63">
        <f>IF($K19="","",11)</f>
        <v>11</v>
      </c>
      <c r="C19" s="63" t="str">
        <f>IF($K19="","",INDEX('Detalle individual'!$A:$A,$K19))</f>
        <v>768</v>
      </c>
      <c r="D19" s="64" t="str">
        <f>IF($K19="","",TRIM(INDEX('Detalle individual'!$B:$B,$K19)))</f>
        <v>KATHERINE MICHELLE LOPEZ LOPEZ</v>
      </c>
      <c r="E19" s="64" t="str">
        <f>IF($K19="","",TRIM(INDEX('Detalle individual'!$E:$E,$K19)))</f>
        <v>AUXILIAR DE OPERACIONES Y ATENCION EN AGENCIA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IFERROR(MOD(SMALL('Cálculos'!$Z$5:$Z$295,11),300),"")</f>
        <v>200</v>
      </c>
    </row>
    <row r="20">
      <c r="B20" s="63">
        <f>IF($K20="","",12)</f>
        <v>12</v>
      </c>
      <c r="C20" s="63" t="str">
        <f>IF($K20="","",INDEX('Detalle individual'!$A:$A,$K20))</f>
        <v>848</v>
      </c>
      <c r="D20" s="64" t="str">
        <f>IF($K20="","",TRIM(INDEX('Detalle individual'!$B:$B,$K20)))</f>
        <v>JAZMIN ABIGAIL VASQUEZ AVELAR</v>
      </c>
      <c r="E20" s="64" t="str">
        <f>IF($K20="","",TRIM(INDEX('Detalle individual'!$E:$E,$K20)))</f>
        <v>CAJERO</v>
      </c>
      <c r="F20" s="64" t="str">
        <f>IF($K20="","",TRIM(INDEX('Detalle individual'!$C:$C,$K20)))</f>
        <v>AGENCIA CENTRAL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IFERROR(MOD(SMALL('Cálculos'!$Z$5:$Z$295,12),300),"")</f>
        <v>201</v>
      </c>
    </row>
    <row r="21">
      <c r="B21" s="63">
        <f>IF($K21="","",13)</f>
        <v>13</v>
      </c>
      <c r="C21" s="63" t="str">
        <f>IF($K21="","",INDEX('Detalle individual'!$A:$A,$K21))</f>
        <v>857</v>
      </c>
      <c r="D21" s="64" t="str">
        <f>IF($K21="","",TRIM(INDEX('Detalle individual'!$B:$B,$K21)))</f>
        <v>ESTHER ABIGAIL FLORES GRANDE</v>
      </c>
      <c r="E21" s="64" t="str">
        <f>IF($K21="","",TRIM(INDEX('Detalle individual'!$E:$E,$K21)))</f>
        <v>AUXILIAR DE OPERACIONES Y ATENCION EN AGENCIA</v>
      </c>
      <c r="F21" s="64" t="str">
        <f>IF($K21="","",TRIM(INDEX('Detalle individual'!$C:$C,$K21)))</f>
        <v>AGENCIA CENTRAL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IFERROR(MOD(SMALL('Cálculos'!$Z$5:$Z$295,13),300),"")</f>
        <v>202</v>
      </c>
    </row>
    <row r="22">
      <c r="B22" s="63">
        <f>IF($K22="","",14)</f>
        <v>14</v>
      </c>
      <c r="C22" s="63" t="str">
        <f>IF($K22="","",INDEX('Detalle individual'!$A:$A,$K22))</f>
        <v>956</v>
      </c>
      <c r="D22" s="64" t="str">
        <f>IF($K22="","",TRIM(INDEX('Detalle individual'!$B:$B,$K22)))</f>
        <v>ANGELA GABRIELA REYES MOLINA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CENTRAL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IFERROR(MOD(SMALL('Cálculos'!$Z$5:$Z$295,14),300),"")</f>
        <v>204</v>
      </c>
    </row>
    <row r="23">
      <c r="B23" s="63">
        <f>IF($K23="","",15)</f>
        <v>15</v>
      </c>
      <c r="C23" s="63" t="str">
        <f>IF($K23="","",INDEX('Detalle individual'!$A:$A,$K23))</f>
        <v>974</v>
      </c>
      <c r="D23" s="64" t="str">
        <f>IF($K23="","",TRIM(INDEX('Detalle individual'!$B:$B,$K23)))</f>
        <v>LEIDY VANESSA GUZMAN SERVELLON</v>
      </c>
      <c r="E23" s="64" t="str">
        <f>IF($K23="","",TRIM(INDEX('Detalle individual'!$E:$E,$K23)))</f>
        <v>CAJERO</v>
      </c>
      <c r="F23" s="64" t="str">
        <f>IF($K23="","",TRIM(INDEX('Detalle individual'!$C:$C,$K23)))</f>
        <v>AGENCIA CENTRAL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IFERROR(MOD(SMALL('Cálculos'!$Z$5:$Z$295,15),300),"")</f>
        <v>207</v>
      </c>
    </row>
    <row r="24">
      <c r="B24" s="63">
        <f>IF($K24="","",16)</f>
        <v>16</v>
      </c>
      <c r="C24" s="63" t="str">
        <f>IF($K24="","",INDEX('Detalle individual'!$A:$A,$K24))</f>
        <v>26</v>
      </c>
      <c r="D24" s="64" t="str">
        <f>IF($K24="","",TRIM(INDEX('Detalle individual'!$B:$B,$K24)))</f>
        <v>FLOR IMELDA VILLALOBOS ARDON</v>
      </c>
      <c r="E24" s="64" t="str">
        <f>IF($K24="","",TRIM(INDEX('Detalle individual'!$E:$E,$K24)))</f>
        <v>EJECUTIVO DE NEGOCIOS</v>
      </c>
      <c r="F24" s="64" t="str">
        <f>IF($K24="","",TRIM(INDEX('Detalle individual'!$C:$C,$K24)))</f>
        <v>AGENCIA COLEGIO MEDICO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IFERROR(MOD(SMALL('Cálculos'!$Z$5:$Z$295,16),300),"")</f>
        <v>209</v>
      </c>
    </row>
    <row r="25">
      <c r="B25" s="63">
        <f>IF($K25="","",17)</f>
        <v>17</v>
      </c>
      <c r="C25" s="63" t="str">
        <f>IF($K25="","",INDEX('Detalle individual'!$A:$A,$K25))</f>
        <v>29</v>
      </c>
      <c r="D25" s="64" t="str">
        <f>IF($K25="","",TRIM(INDEX('Detalle individual'!$B:$B,$K25)))</f>
        <v>YANIRA ELIZABETH ORTEGA MIRANDA</v>
      </c>
      <c r="E25" s="64" t="str">
        <f>IF($K25="","",TRIM(INDEX('Detalle individual'!$E:$E,$K25)))</f>
        <v>SUBJEFE DE AGENCIA</v>
      </c>
      <c r="F25" s="64" t="str">
        <f>IF($K25="","",TRIM(INDEX('Detalle individual'!$C:$C,$K25)))</f>
        <v>AGENCIA COLEGIO MEDICO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IFERROR(MOD(SMALL('Cálculos'!$Z$5:$Z$295,17),300),"")</f>
        <v>210</v>
      </c>
    </row>
    <row r="26">
      <c r="B26" s="63">
        <f>IF($K26="","",18)</f>
        <v>18</v>
      </c>
      <c r="C26" s="63" t="str">
        <f>IF($K26="","",INDEX('Detalle individual'!$A:$A,$K26))</f>
        <v>190</v>
      </c>
      <c r="D26" s="64" t="str">
        <f>IF($K26="","",TRIM(INDEX('Detalle individual'!$B:$B,$K26)))</f>
        <v>MERCI ANTONIA CERON MEJIA</v>
      </c>
      <c r="E26" s="64" t="str">
        <f>IF($K26="","",TRIM(INDEX('Detalle individual'!$E:$E,$K26)))</f>
        <v>EJECUTIVO DE NEGOCIOS</v>
      </c>
      <c r="F26" s="64" t="str">
        <f>IF($K26="","",TRIM(INDEX('Detalle individual'!$C:$C,$K26)))</f>
        <v>AGENCIA COLEGIO MEDICO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IFERROR(MOD(SMALL('Cálculos'!$Z$5:$Z$295,18),300),"")</f>
        <v>211</v>
      </c>
    </row>
    <row r="27">
      <c r="B27" s="63">
        <f>IF($K27="","",19)</f>
        <v>19</v>
      </c>
      <c r="C27" s="63" t="str">
        <f>IF($K27="","",INDEX('Detalle individual'!$A:$A,$K27))</f>
        <v>466</v>
      </c>
      <c r="D27" s="64" t="str">
        <f>IF($K27="","",TRIM(INDEX('Detalle individual'!$B:$B,$K27)))</f>
        <v>DORIS ELISA HERNANDEZ</v>
      </c>
      <c r="E27" s="64" t="str">
        <f>IF($K27="","",TRIM(INDEX('Detalle individual'!$E:$E,$K27)))</f>
        <v>SERVICIOS VARIOS</v>
      </c>
      <c r="F27" s="64" t="str">
        <f>IF($K27="","",TRIM(INDEX('Detalle individual'!$C:$C,$K27)))</f>
        <v>AGENCIA COLEGIO MEDICO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IFERROR(MOD(SMALL('Cálculos'!$Z$5:$Z$295,19),300),"")</f>
        <v>213</v>
      </c>
    </row>
    <row r="28">
      <c r="B28" s="63">
        <f>IF($K28="","",20)</f>
        <v>20</v>
      </c>
      <c r="C28" s="63" t="str">
        <f>IF($K28="","",INDEX('Detalle individual'!$A:$A,$K28))</f>
        <v>536</v>
      </c>
      <c r="D28" s="64" t="str">
        <f>IF($K28="","",TRIM(INDEX('Detalle individual'!$B:$B,$K28)))</f>
        <v>MARTHA ESPERANZA VALTEZ GARCIA</v>
      </c>
      <c r="E28" s="64" t="str">
        <f>IF($K28="","",TRIM(INDEX('Detalle individual'!$E:$E,$K28)))</f>
        <v>CAJERO</v>
      </c>
      <c r="F28" s="64" t="str">
        <f>IF($K28="","",TRIM(INDEX('Detalle individual'!$C:$C,$K28)))</f>
        <v>AGENCIA COLEGIO MEDICO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IFERROR(MOD(SMALL('Cálculos'!$Z$5:$Z$295,20),300),"")</f>
        <v>214</v>
      </c>
    </row>
    <row r="29">
      <c r="B29" s="63">
        <f>IF($K29="","",21)</f>
        <v>21</v>
      </c>
      <c r="C29" s="63" t="str">
        <f>IF($K29="","",INDEX('Detalle individual'!$A:$A,$K29))</f>
        <v>811</v>
      </c>
      <c r="D29" s="64" t="str">
        <f>IF($K29="","",TRIM(INDEX('Detalle individual'!$B:$B,$K29)))</f>
        <v>JACQUELINE ADRIANA CHAVEZ SARAVIA</v>
      </c>
      <c r="E29" s="64" t="str">
        <f>IF($K29="","",TRIM(INDEX('Detalle individual'!$E:$E,$K29)))</f>
        <v>CAJERO</v>
      </c>
      <c r="F29" s="64" t="str">
        <f>IF($K29="","",TRIM(INDEX('Detalle individual'!$C:$C,$K29)))</f>
        <v>AGENCIA COLEGIO MEDICO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IFERROR(MOD(SMALL('Cálculos'!$Z$5:$Z$295,21),300),"")</f>
        <v>216</v>
      </c>
    </row>
    <row r="30">
      <c r="B30" s="63">
        <f>IF($K30="","",22)</f>
        <v>22</v>
      </c>
      <c r="C30" s="63" t="str">
        <f>IF($K30="","",INDEX('Detalle individual'!$A:$A,$K30))</f>
        <v>890</v>
      </c>
      <c r="D30" s="64" t="str">
        <f>IF($K30="","",TRIM(INDEX('Detalle individual'!$B:$B,$K30)))</f>
        <v>WILBER ERNESTO DIAZ GONZALEZ</v>
      </c>
      <c r="E30" s="64" t="str">
        <f>IF($K30="","",TRIM(INDEX('Detalle individual'!$E:$E,$K30)))</f>
        <v>CAJERO</v>
      </c>
      <c r="F30" s="64" t="str">
        <f>IF($K30="","",TRIM(INDEX('Detalle individual'!$C:$C,$K30)))</f>
        <v>AGENCIA COLEGIO MEDICO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IFERROR(MOD(SMALL('Cálculos'!$Z$5:$Z$295,22),300),"")</f>
        <v>218</v>
      </c>
    </row>
    <row r="31">
      <c r="B31" s="63">
        <f>IF($K31="","",23)</f>
        <v>23</v>
      </c>
      <c r="C31" s="63" t="str">
        <f>IF($K31="","",INDEX('Detalle individual'!$A:$A,$K31))</f>
        <v>971</v>
      </c>
      <c r="D31" s="64" t="str">
        <f>IF($K31="","",TRIM(INDEX('Detalle individual'!$B:$B,$K31)))</f>
        <v>JAQUELIN JAZMIN ROMERO FLORES</v>
      </c>
      <c r="E31" s="64" t="str">
        <f>IF($K31="","",TRIM(INDEX('Detalle individual'!$E:$E,$K31)))</f>
        <v>CAJERO</v>
      </c>
      <c r="F31" s="64" t="str">
        <f>IF($K31="","",TRIM(INDEX('Detalle individual'!$C:$C,$K31)))</f>
        <v>AGENCIA COLEGIO MEDICO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IFERROR(MOD(SMALL('Cálculos'!$Z$5:$Z$295,23),300),"")</f>
        <v>219</v>
      </c>
    </row>
    <row r="32">
      <c r="B32" s="63">
        <f>IF($K32="","",24)</f>
        <v>24</v>
      </c>
      <c r="C32" s="63" t="str">
        <f>IF($K32="","",INDEX('Detalle individual'!$A:$A,$K32))</f>
        <v>975</v>
      </c>
      <c r="D32" s="64" t="str">
        <f>IF($K32="","",TRIM(INDEX('Detalle individual'!$B:$B,$K32)))</f>
        <v>GABRIELA CONCEPCION GARCIA GUTIERREZ</v>
      </c>
      <c r="E32" s="64" t="str">
        <f>IF($K32="","",TRIM(INDEX('Detalle individual'!$E:$E,$K32)))</f>
        <v>AUXILIAR DE ATENCION AL ASOCIADO EN AGENCIA</v>
      </c>
      <c r="F32" s="64" t="str">
        <f>IF($K32="","",TRIM(INDEX('Detalle individual'!$C:$C,$K32)))</f>
        <v>AGENCIA COLEGIO MEDICO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IFERROR(MOD(SMALL('Cálculos'!$Z$5:$Z$295,24),300),"")</f>
        <v>220</v>
      </c>
    </row>
    <row r="33">
      <c r="B33" s="63">
        <f>IF($K33="","",25)</f>
        <v>25</v>
      </c>
      <c r="C33" s="63" t="str">
        <f>IF($K33="","",INDEX('Detalle individual'!$A:$A,$K33))</f>
        <v>19</v>
      </c>
      <c r="D33" s="64" t="str">
        <f>IF($K33="","",TRIM(INDEX('Detalle individual'!$B:$B,$K33)))</f>
        <v>ANA MARGARITA SERRANO RUBIO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COLONIA MEDICA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IFERROR(MOD(SMALL('Cálculos'!$Z$5:$Z$295,25),300),"")</f>
        <v>257</v>
      </c>
    </row>
    <row r="34">
      <c r="B34" s="63">
        <f>IF($K34="","",26)</f>
        <v>26</v>
      </c>
      <c r="C34" s="63" t="str">
        <f>IF($K34="","",INDEX('Detalle individual'!$A:$A,$K34))</f>
        <v>179</v>
      </c>
      <c r="D34" s="64" t="str">
        <f>IF($K34="","",TRIM(INDEX('Detalle individual'!$B:$B,$K34)))</f>
        <v>JULIO RAFAEL FLORES HENRIQUEZ</v>
      </c>
      <c r="E34" s="64" t="str">
        <f>IF($K34="","",TRIM(INDEX('Detalle individual'!$E:$E,$K34)))</f>
        <v>JEFE DE AGENCIA</v>
      </c>
      <c r="F34" s="64" t="str">
        <f>IF($K34="","",TRIM(INDEX('Detalle individual'!$C:$C,$K34)))</f>
        <v>AGENCIA COLONIA MEDICA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IFERROR(MOD(SMALL('Cálculos'!$Z$5:$Z$295,26),300),"")</f>
        <v>259</v>
      </c>
    </row>
    <row r="35">
      <c r="B35" s="63">
        <f>IF($K35="","",27)</f>
        <v>27</v>
      </c>
      <c r="C35" s="63" t="str">
        <f>IF($K35="","",INDEX('Detalle individual'!$A:$A,$K35))</f>
        <v>624</v>
      </c>
      <c r="D35" s="64" t="str">
        <f>IF($K35="","",TRIM(INDEX('Detalle individual'!$B:$B,$K35)))</f>
        <v>JULIO ENRIQUE CAMPOS ANDRADE</v>
      </c>
      <c r="E35" s="64" t="str">
        <f>IF($K35="","",TRIM(INDEX('Detalle individual'!$E:$E,$K35)))</f>
        <v>EJECUTIVO DE NEGOCIOS</v>
      </c>
      <c r="F35" s="64" t="str">
        <f>IF($K35="","",TRIM(INDEX('Detalle individual'!$C:$C,$K35)))</f>
        <v>AGENCIA COLONIA MEDICA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IFERROR(MOD(SMALL('Cálculos'!$Z$5:$Z$295,27),300),"")</f>
        <v>262</v>
      </c>
    </row>
    <row r="36">
      <c r="B36" s="63">
        <f>IF($K36="","",28)</f>
        <v>28</v>
      </c>
      <c r="C36" s="63" t="str">
        <f>IF($K36="","",INDEX('Detalle individual'!$A:$A,$K36))</f>
        <v>674</v>
      </c>
      <c r="D36" s="64" t="str">
        <f>IF($K36="","",TRIM(INDEX('Detalle individual'!$B:$B,$K36)))</f>
        <v>ALFREDO ARMANDO RAMOS ESCOBAR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COLONIA MEDICA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IFERROR(MOD(SMALL('Cálculos'!$Z$5:$Z$295,28),300),"")</f>
        <v>263</v>
      </c>
    </row>
    <row r="37">
      <c r="B37" s="63">
        <f>IF($K37="","",29)</f>
        <v>29</v>
      </c>
      <c r="C37" s="63" t="str">
        <f>IF($K37="","",INDEX('Detalle individual'!$A:$A,$K37))</f>
        <v>722</v>
      </c>
      <c r="D37" s="64" t="str">
        <f>IF($K37="","",TRIM(INDEX('Detalle individual'!$B:$B,$K37)))</f>
        <v>INGRID PAOLA CORADO HERNANDEZ</v>
      </c>
      <c r="E37" s="64" t="str">
        <f>IF($K37="","",TRIM(INDEX('Detalle individual'!$E:$E,$K37)))</f>
        <v>CAJERO</v>
      </c>
      <c r="F37" s="64" t="str">
        <f>IF($K37="","",TRIM(INDEX('Detalle individual'!$C:$C,$K37)))</f>
        <v>AGENCIA COLONIA MEDICA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IFERROR(MOD(SMALL('Cálculos'!$Z$5:$Z$295,29),300),"")</f>
        <v>264</v>
      </c>
    </row>
    <row r="38">
      <c r="B38" s="63">
        <f>IF($K38="","",30)</f>
        <v>30</v>
      </c>
      <c r="C38" s="63" t="str">
        <f>IF($K38="","",INDEX('Detalle individual'!$A:$A,$K38))</f>
        <v>735</v>
      </c>
      <c r="D38" s="64" t="str">
        <f>IF($K38="","",TRIM(INDEX('Detalle individual'!$B:$B,$K38)))</f>
        <v>YHANA MILET VALLE HERNANDEZ</v>
      </c>
      <c r="E38" s="64" t="str">
        <f>IF($K38="","",TRIM(INDEX('Detalle individual'!$E:$E,$K38)))</f>
        <v>CAJERO</v>
      </c>
      <c r="F38" s="64" t="str">
        <f>IF($K38="","",TRIM(INDEX('Detalle individual'!$C:$C,$K38)))</f>
        <v>AGENCIA COLONIA MEDICA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IFERROR(MOD(SMALL('Cálculos'!$Z$5:$Z$295,30),300),"")</f>
        <v>266</v>
      </c>
    </row>
    <row r="39">
      <c r="B39" s="63">
        <f>IF($K39="","",31)</f>
        <v>31</v>
      </c>
      <c r="C39" s="63" t="str">
        <f>IF($K39="","",INDEX('Detalle individual'!$A:$A,$K39))</f>
        <v>855</v>
      </c>
      <c r="D39" s="64" t="str">
        <f>IF($K39="","",TRIM(INDEX('Detalle individual'!$B:$B,$K39)))</f>
        <v>STEFFANY MARIELOS MIRO HERNANDEZ</v>
      </c>
      <c r="E39" s="64" t="str">
        <f>IF($K39="","",TRIM(INDEX('Detalle individual'!$E:$E,$K39)))</f>
        <v>CAJERO</v>
      </c>
      <c r="F39" s="64" t="str">
        <f>IF($K39="","",TRIM(INDEX('Detalle individual'!$C:$C,$K39)))</f>
        <v>AGENCIA COLONIA MEDICA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IFERROR(MOD(SMALL('Cálculos'!$Z$5:$Z$295,31),300),"")</f>
        <v>268</v>
      </c>
    </row>
    <row r="40">
      <c r="B40" s="63">
        <f>IF($K40="","",32)</f>
        <v>32</v>
      </c>
      <c r="C40" s="63" t="str">
        <f>IF($K40="","",INDEX('Detalle individual'!$A:$A,$K40))</f>
        <v>873</v>
      </c>
      <c r="D40" s="64" t="str">
        <f>IF($K40="","",TRIM(INDEX('Detalle individual'!$B:$B,$K40)))</f>
        <v>FLOR DE MARIA ROSALES SORTO</v>
      </c>
      <c r="E40" s="64" t="str">
        <f>IF($K40="","",TRIM(INDEX('Detalle individual'!$E:$E,$K40)))</f>
        <v>CAJERO</v>
      </c>
      <c r="F40" s="64" t="str">
        <f>IF($K40="","",TRIM(INDEX('Detalle individual'!$C:$C,$K40)))</f>
        <v>AGENCIA COLONIA MEDICA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IFERROR(MOD(SMALL('Cálculos'!$Z$5:$Z$295,32),300),"")</f>
        <v>269</v>
      </c>
    </row>
    <row r="41">
      <c r="B41" s="63">
        <f>IF($K41="","",33)</f>
        <v>33</v>
      </c>
      <c r="C41" s="63" t="str">
        <f>IF($K41="","",INDEX('Detalle individual'!$A:$A,$K41))</f>
        <v>891</v>
      </c>
      <c r="D41" s="64" t="str">
        <f>IF($K41="","",TRIM(INDEX('Detalle individual'!$B:$B,$K41)))</f>
        <v>YESENIA LISSETH BARAHONA VALLE</v>
      </c>
      <c r="E41" s="64" t="str">
        <f>IF($K41="","",TRIM(INDEX('Detalle individual'!$E:$E,$K41)))</f>
        <v>AUXILIAR DE ATENCION AL ASOCIADO EN AGENCIA</v>
      </c>
      <c r="F41" s="64" t="str">
        <f>IF($K41="","",TRIM(INDEX('Detalle individual'!$C:$C,$K41)))</f>
        <v>AGENCIA COLONIA MEDICA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IFERROR(MOD(SMALL('Cálculos'!$Z$5:$Z$295,33),300),"")</f>
        <v>270</v>
      </c>
    </row>
    <row r="42">
      <c r="B42" s="63">
        <f>IF($K42="","",34)</f>
        <v>34</v>
      </c>
      <c r="C42" s="63" t="str">
        <f>IF($K42="","",INDEX('Detalle individual'!$A:$A,$K42))</f>
        <v>913</v>
      </c>
      <c r="D42" s="64" t="str">
        <f>IF($K42="","",TRIM(INDEX('Detalle individual'!$B:$B,$K42)))</f>
        <v>FLOR DEL CARMEN GONZALEZ HERNANDEZ</v>
      </c>
      <c r="E42" s="64" t="str">
        <f>IF($K42="","",TRIM(INDEX('Detalle individual'!$E:$E,$K42)))</f>
        <v>SERVICIOS VARIOS</v>
      </c>
      <c r="F42" s="64" t="str">
        <f>IF($K42="","",TRIM(INDEX('Detalle individual'!$C:$C,$K42)))</f>
        <v>AGENCIA COLONIA MEDICA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IFERROR(MOD(SMALL('Cálculos'!$Z$5:$Z$295,34),300),"")</f>
        <v>271</v>
      </c>
    </row>
    <row r="43">
      <c r="B43" s="63">
        <f>IF($K43="","",35)</f>
        <v>35</v>
      </c>
      <c r="C43" s="63" t="str">
        <f>IF($K43="","",INDEX('Detalle individual'!$A:$A,$K43))</f>
        <v>933</v>
      </c>
      <c r="D43" s="64" t="str">
        <f>IF($K43="","",TRIM(INDEX('Detalle individual'!$B:$B,$K43)))</f>
        <v>JACQUELINE GUADALUPE CEA ALVARADO</v>
      </c>
      <c r="E43" s="64" t="str">
        <f>IF($K43="","",TRIM(INDEX('Detalle individual'!$E:$E,$K43)))</f>
        <v>EJECUTIVO DE NEGOCIOS</v>
      </c>
      <c r="F43" s="64" t="str">
        <f>IF($K43="","",TRIM(INDEX('Detalle individual'!$C:$C,$K43)))</f>
        <v>AGENCIA COLONIA MEDICA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IFERROR(MOD(SMALL('Cálculos'!$Z$5:$Z$295,35),300),"")</f>
        <v>272</v>
      </c>
    </row>
    <row r="44">
      <c r="B44" s="63">
        <f>IF($K44="","",36)</f>
        <v>36</v>
      </c>
      <c r="C44" s="63" t="str">
        <f>IF($K44="","",INDEX('Detalle individual'!$A:$A,$K44))</f>
        <v>657</v>
      </c>
      <c r="D44" s="64" t="str">
        <f>IF($K44="","",TRIM(INDEX('Detalle individual'!$B:$B,$K44)))</f>
        <v>CLELIA DESIREE CAMPOS COSS</v>
      </c>
      <c r="E44" s="64" t="str">
        <f>IF($K44="","",TRIM(INDEX('Detalle individual'!$E:$E,$K44)))</f>
        <v>SERVICIOS VARIOS</v>
      </c>
      <c r="F44" s="64" t="str">
        <f>IF($K44="","",TRIM(INDEX('Detalle individual'!$C:$C,$K44)))</f>
        <v>AGENCIA MERLIOT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IFERROR(MOD(SMALL('Cálculos'!$Z$5:$Z$295,36),300),"")</f>
        <v>247</v>
      </c>
    </row>
    <row r="45">
      <c r="B45" s="63">
        <f>IF($K45="","",37)</f>
        <v>37</v>
      </c>
      <c r="C45" s="63" t="str">
        <f>IF($K45="","",INDEX('Detalle individual'!$A:$A,$K45))</f>
        <v>59</v>
      </c>
      <c r="D45" s="64" t="str">
        <f>IF($K45="","",TRIM(INDEX('Detalle individual'!$B:$B,$K45)))</f>
        <v>ZOILA AYDEE LARIOS</v>
      </c>
      <c r="E45" s="64" t="str">
        <f>IF($K45="","",TRIM(INDEX('Detalle individual'!$E:$E,$K45)))</f>
        <v>SERVICIOS VARIOS</v>
      </c>
      <c r="F45" s="64" t="str">
        <f>IF($K45="","",TRIM(INDEX('Detalle individual'!$C:$C,$K45)))</f>
        <v>AGENCIA PLAZA MUNDO</v>
      </c>
      <c r="G45" s="64" t="str">
        <f>IF($K45="","",INDEX('Detalle individual'!$D:$D,$K45))</f>
        <v>Gerencia de Negocios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IFERROR(MOD(SMALL('Cálculos'!$Z$5:$Z$295,37),300),"")</f>
        <v>273</v>
      </c>
    </row>
    <row r="46">
      <c r="B46" s="63">
        <f>IF($K46="","",38)</f>
        <v>38</v>
      </c>
      <c r="C46" s="63" t="str">
        <f>IF($K46="","",INDEX('Detalle individual'!$A:$A,$K46))</f>
        <v>331</v>
      </c>
      <c r="D46" s="64" t="str">
        <f>IF($K46="","",TRIM(INDEX('Detalle individual'!$B:$B,$K46)))</f>
        <v>NORMA ARACELY GUILLEN</v>
      </c>
      <c r="E46" s="64" t="str">
        <f>IF($K46="","",TRIM(INDEX('Detalle individual'!$E:$E,$K46)))</f>
        <v>SUBJEFE DE AGENCIA</v>
      </c>
      <c r="F46" s="64" t="str">
        <f>IF($K46="","",TRIM(INDEX('Detalle individual'!$C:$C,$K46)))</f>
        <v>AGENCIA PLAZA MUNDO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IFERROR(MOD(SMALL('Cálculos'!$Z$5:$Z$295,38),300),"")</f>
        <v>274</v>
      </c>
    </row>
    <row r="47">
      <c r="B47" s="63">
        <f>IF($K47="","",39)</f>
        <v>39</v>
      </c>
      <c r="C47" s="63" t="str">
        <f>IF($K47="","",INDEX('Detalle individual'!$A:$A,$K47))</f>
        <v>535</v>
      </c>
      <c r="D47" s="64" t="str">
        <f>IF($K47="","",TRIM(INDEX('Detalle individual'!$B:$B,$K47)))</f>
        <v>ROSARIO DEL CARMEN PEREZ LOPEZ</v>
      </c>
      <c r="E47" s="64" t="str">
        <f>IF($K47="","",TRIM(INDEX('Detalle individual'!$E:$E,$K47)))</f>
        <v>JEFE DE AGENCIA</v>
      </c>
      <c r="F47" s="64" t="str">
        <f>IF($K47="","",TRIM(INDEX('Detalle individual'!$C:$C,$K47)))</f>
        <v>AGENCIA PLAZA MUNDO</v>
      </c>
      <c r="G47" s="64" t="str">
        <f>IF($K47="","",INDEX('Detalle individual'!$D:$D,$K47))</f>
        <v>Gerencia de Negocios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IFERROR(MOD(SMALL('Cálculos'!$Z$5:$Z$295,39),300),"")</f>
        <v>275</v>
      </c>
    </row>
    <row r="48">
      <c r="B48" s="63">
        <f>IF($K48="","",40)</f>
        <v>40</v>
      </c>
      <c r="C48" s="63" t="str">
        <f>IF($K48="","",INDEX('Detalle individual'!$A:$A,$K48))</f>
        <v>616</v>
      </c>
      <c r="D48" s="64" t="str">
        <f>IF($K48="","",TRIM(INDEX('Detalle individual'!$B:$B,$K48)))</f>
        <v>GABRIELA JEANNETTE BOLAÑOS HERRERA</v>
      </c>
      <c r="E48" s="64" t="str">
        <f>IF($K48="","",TRIM(INDEX('Detalle individual'!$E:$E,$K48)))</f>
        <v>EJECUTIVA DE SEGUROS</v>
      </c>
      <c r="F48" s="64" t="str">
        <f>IF($K48="","",TRIM(INDEX('Detalle individual'!$C:$C,$K48)))</f>
        <v>AGENCIA PLAZA MUNDO</v>
      </c>
      <c r="G48" s="64" t="str">
        <f>IF($K48="","",INDEX('Detalle individual'!$D:$D,$K48))</f>
        <v>Gerencia de Negocios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IFERROR(MOD(SMALL('Cálculos'!$Z$5:$Z$295,40),300),"")</f>
        <v>276</v>
      </c>
    </row>
    <row r="49">
      <c r="B49" s="63">
        <f>IF($K49="","",41)</f>
        <v>41</v>
      </c>
      <c r="C49" s="63" t="str">
        <f>IF($K49="","",INDEX('Detalle individual'!$A:$A,$K49))</f>
        <v>675</v>
      </c>
      <c r="D49" s="64" t="str">
        <f>IF($K49="","",TRIM(INDEX('Detalle individual'!$B:$B,$K49)))</f>
        <v>NANCY CAROLINA FUENTES SORTO</v>
      </c>
      <c r="E49" s="64" t="str">
        <f>IF($K49="","",TRIM(INDEX('Detalle individual'!$E:$E,$K49)))</f>
        <v>CAJERO</v>
      </c>
      <c r="F49" s="64" t="str">
        <f>IF($K49="","",TRIM(INDEX('Detalle individual'!$C:$C,$K49)))</f>
        <v>AGENCIA PLAZA MUNDO</v>
      </c>
      <c r="G49" s="64" t="str">
        <f>IF($K49="","",INDEX('Detalle individual'!$D:$D,$K49))</f>
        <v>Gerencia de Negocios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IFERROR(MOD(SMALL('Cálculos'!$Z$5:$Z$295,41),300),"")</f>
        <v>277</v>
      </c>
    </row>
    <row r="50">
      <c r="B50" s="63">
        <f>IF($K50="","",42)</f>
        <v>42</v>
      </c>
      <c r="C50" s="63" t="str">
        <f>IF($K50="","",INDEX('Detalle individual'!$A:$A,$K50))</f>
        <v>748</v>
      </c>
      <c r="D50" s="64" t="str">
        <f>IF($K50="","",TRIM(INDEX('Detalle individual'!$B:$B,$K50)))</f>
        <v>WALTER ALBERTO BARAHONA DIAZ</v>
      </c>
      <c r="E50" s="64" t="str">
        <f>IF($K50="","",TRIM(INDEX('Detalle individual'!$E:$E,$K50)))</f>
        <v>CAJERO</v>
      </c>
      <c r="F50" s="64" t="str">
        <f>IF($K50="","",TRIM(INDEX('Detalle individual'!$C:$C,$K50)))</f>
        <v>AGENCIA PLAZA MUNDO</v>
      </c>
      <c r="G50" s="64" t="str">
        <f>IF($K50="","",INDEX('Detalle individual'!$D:$D,$K50))</f>
        <v>Gerencia de Negocios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IFERROR(MOD(SMALL('Cálculos'!$Z$5:$Z$295,42),300),"")</f>
        <v>278</v>
      </c>
    </row>
    <row r="51">
      <c r="B51" s="63">
        <f>IF($K51="","",43)</f>
        <v>43</v>
      </c>
      <c r="C51" s="63" t="str">
        <f>IF($K51="","",INDEX('Detalle individual'!$A:$A,$K51))</f>
        <v>876</v>
      </c>
      <c r="D51" s="64" t="str">
        <f>IF($K51="","",TRIM(INDEX('Detalle individual'!$B:$B,$K51)))</f>
        <v>PAOLA JEANNETTE ROMERO HERNANDEZ</v>
      </c>
      <c r="E51" s="64" t="str">
        <f>IF($K51="","",TRIM(INDEX('Detalle individual'!$E:$E,$K51)))</f>
        <v>CAJERO</v>
      </c>
      <c r="F51" s="64" t="str">
        <f>IF($K51="","",TRIM(INDEX('Detalle individual'!$C:$C,$K51)))</f>
        <v>AGENCIA PLAZA MUNDO</v>
      </c>
      <c r="G51" s="64" t="str">
        <f>IF($K51="","",INDEX('Detalle individual'!$D:$D,$K51))</f>
        <v>Gerencia de Negocios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IFERROR(MOD(SMALL('Cálculos'!$Z$5:$Z$295,43),300),"")</f>
        <v>279</v>
      </c>
    </row>
    <row r="52">
      <c r="B52" s="63">
        <f>IF($K52="","",44)</f>
        <v>44</v>
      </c>
      <c r="C52" s="63" t="str">
        <f>IF($K52="","",INDEX('Detalle individual'!$A:$A,$K52))</f>
        <v>955</v>
      </c>
      <c r="D52" s="64" t="str">
        <f>IF($K52="","",TRIM(INDEX('Detalle individual'!$B:$B,$K52)))</f>
        <v>ERIKA IVETH MANCIA HERNANDEZ</v>
      </c>
      <c r="E52" s="64" t="str">
        <f>IF($K52="","",TRIM(INDEX('Detalle individual'!$E:$E,$K52)))</f>
        <v>CAJERO</v>
      </c>
      <c r="F52" s="64" t="str">
        <f>IF($K52="","",TRIM(INDEX('Detalle individual'!$C:$C,$K52)))</f>
        <v>AGENCIA PLAZA MUNDO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IFERROR(MOD(SMALL('Cálculos'!$Z$5:$Z$295,44),300),"")</f>
        <v>280</v>
      </c>
    </row>
    <row r="53">
      <c r="B53" s="63">
        <f>IF($K53="","",45)</f>
        <v>45</v>
      </c>
      <c r="C53" s="63" t="str">
        <f>IF($K53="","",INDEX('Detalle individual'!$A:$A,$K53))</f>
        <v>861</v>
      </c>
      <c r="D53" s="64" t="str">
        <f>IF($K53="","",TRIM(INDEX('Detalle individual'!$B:$B,$K53)))</f>
        <v>SANDRA MARINA BERRIOS SANTOS</v>
      </c>
      <c r="E53" s="64" t="str">
        <f>IF($K53="","",TRIM(INDEX('Detalle individual'!$E:$E,$K53)))</f>
        <v>CAJERO</v>
      </c>
      <c r="F53" s="64" t="str">
        <f>IF($K53="","",TRIM(INDEX('Detalle individual'!$C:$C,$K53)))</f>
        <v>AGENCIA SAN MIGUEL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IFERROR(MOD(SMALL('Cálculos'!$Z$5:$Z$295,45),300),"")</f>
        <v>228</v>
      </c>
    </row>
    <row r="54">
      <c r="B54" s="63">
        <f>IF($K54="","",46)</f>
        <v>46</v>
      </c>
      <c r="C54" s="63" t="str">
        <f>IF($K54="","",INDEX('Detalle individual'!$A:$A,$K54))</f>
        <v>168</v>
      </c>
      <c r="D54" s="64" t="str">
        <f>IF($K54="","",TRIM(INDEX('Detalle individual'!$B:$B,$K54)))</f>
        <v>ANA MARIA GIRON</v>
      </c>
      <c r="E54" s="64" t="str">
        <f>IF($K54="","",TRIM(INDEX('Detalle individual'!$E:$E,$K54)))</f>
        <v>EJECUTIVO DE NEGOCIOS</v>
      </c>
      <c r="F54" s="64" t="str">
        <f>IF($K54="","",TRIM(INDEX('Detalle individual'!$C:$C,$K54)))</f>
        <v>AGENCIA SANTA ANA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IFERROR(MOD(SMALL('Cálculos'!$Z$5:$Z$295,46),300),"")</f>
        <v>229</v>
      </c>
    </row>
    <row r="55">
      <c r="B55" s="63">
        <f>IF($K55="","",47)</f>
        <v>47</v>
      </c>
      <c r="C55" s="63" t="str">
        <f>IF($K55="","",INDEX('Detalle individual'!$A:$A,$K55))</f>
        <v>295</v>
      </c>
      <c r="D55" s="64" t="str">
        <f>IF($K55="","",TRIM(INDEX('Detalle individual'!$B:$B,$K55)))</f>
        <v>GLENDA MARAYA SALAZAR GONZALEZ</v>
      </c>
      <c r="E55" s="64" t="str">
        <f>IF($K55="","",TRIM(INDEX('Detalle individual'!$E:$E,$K55)))</f>
        <v>JEFE DE AGENCIA</v>
      </c>
      <c r="F55" s="64" t="str">
        <f>IF($K55="","",TRIM(INDEX('Detalle individual'!$C:$C,$K55)))</f>
        <v>AGENCIA SANTA ANA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IFERROR(MOD(SMALL('Cálculos'!$Z$5:$Z$295,47),300),"")</f>
        <v>230</v>
      </c>
    </row>
    <row r="56">
      <c r="B56" s="63">
        <f>IF($K56="","",48)</f>
        <v>48</v>
      </c>
      <c r="C56" s="63" t="str">
        <f>IF($K56="","",INDEX('Detalle individual'!$A:$A,$K56))</f>
        <v>312</v>
      </c>
      <c r="D56" s="64" t="str">
        <f>IF($K56="","",TRIM(INDEX('Detalle individual'!$B:$B,$K56)))</f>
        <v>JEANNETTE ANGELINNE HERNANDEZ MEJIA</v>
      </c>
      <c r="E56" s="64" t="str">
        <f>IF($K56="","",TRIM(INDEX('Detalle individual'!$E:$E,$K56)))</f>
        <v>SUBJEFE DE AGENCIA</v>
      </c>
      <c r="F56" s="64" t="str">
        <f>IF($K56="","",TRIM(INDEX('Detalle individual'!$C:$C,$K56)))</f>
        <v>AGENCIA SANTA ANA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IFERROR(MOD(SMALL('Cálculos'!$Z$5:$Z$295,48),300),"")</f>
        <v>231</v>
      </c>
    </row>
    <row r="57">
      <c r="B57" s="63">
        <f>IF($K57="","",49)</f>
        <v>49</v>
      </c>
      <c r="C57" s="63" t="str">
        <f>IF($K57="","",INDEX('Detalle individual'!$A:$A,$K57))</f>
        <v>747</v>
      </c>
      <c r="D57" s="64" t="str">
        <f>IF($K57="","",TRIM(INDEX('Detalle individual'!$B:$B,$K57)))</f>
        <v>IRVIN ADEMIR PERAZA MOLINA</v>
      </c>
      <c r="E57" s="64" t="str">
        <f>IF($K57="","",TRIM(INDEX('Detalle individual'!$E:$E,$K57)))</f>
        <v>EJECUTIVO DE SEGUROS</v>
      </c>
      <c r="F57" s="64" t="str">
        <f>IF($K57="","",TRIM(INDEX('Detalle individual'!$C:$C,$K57)))</f>
        <v>AGENCIA SANTA ANA</v>
      </c>
      <c r="G57" s="64" t="str">
        <f>IF($K57="","",INDEX('Detalle individual'!$D:$D,$K57))</f>
        <v>Gerencia de Negocios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IFERROR(MOD(SMALL('Cálculos'!$Z$5:$Z$295,49),300),"")</f>
        <v>232</v>
      </c>
    </row>
    <row r="58">
      <c r="B58" s="63">
        <f>IF($K58="","",50)</f>
        <v>50</v>
      </c>
      <c r="C58" s="63" t="str">
        <f>IF($K58="","",INDEX('Detalle individual'!$A:$A,$K58))</f>
        <v>818</v>
      </c>
      <c r="D58" s="64" t="str">
        <f>IF($K58="","",TRIM(INDEX('Detalle individual'!$B:$B,$K58)))</f>
        <v>ANDREA YAMILETH ESCOBAR CHICA</v>
      </c>
      <c r="E58" s="64" t="str">
        <f>IF($K58="","",TRIM(INDEX('Detalle individual'!$E:$E,$K58)))</f>
        <v>CAJERO</v>
      </c>
      <c r="F58" s="64" t="str">
        <f>IF($K58="","",TRIM(INDEX('Detalle individual'!$C:$C,$K58)))</f>
        <v>AGENCIA SANTA ANA</v>
      </c>
      <c r="G58" s="64" t="str">
        <f>IF($K58="","",INDEX('Detalle individual'!$D:$D,$K58))</f>
        <v>Gerencia de Negocios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IFERROR(MOD(SMALL('Cálculos'!$Z$5:$Z$295,50),300),"")</f>
        <v>233</v>
      </c>
    </row>
    <row r="59">
      <c r="B59" s="63">
        <f>IF($K59="","",51)</f>
        <v>51</v>
      </c>
      <c r="C59" s="63" t="str">
        <f>IF($K59="","",INDEX('Detalle individual'!$A:$A,$K59))</f>
        <v>840</v>
      </c>
      <c r="D59" s="64" t="str">
        <f>IF($K59="","",TRIM(INDEX('Detalle individual'!$B:$B,$K59)))</f>
        <v>SOFIA AZMINIA MENA ARGUETA</v>
      </c>
      <c r="E59" s="64" t="str">
        <f>IF($K59="","",TRIM(INDEX('Detalle individual'!$E:$E,$K59)))</f>
        <v>CAJERO</v>
      </c>
      <c r="F59" s="64" t="str">
        <f>IF($K59="","",TRIM(INDEX('Detalle individual'!$C:$C,$K59)))</f>
        <v>AGENCIA SANTA ANA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IFERROR(MOD(SMALL('Cálculos'!$Z$5:$Z$295,51),300),"")</f>
        <v>234</v>
      </c>
    </row>
    <row r="60">
      <c r="B60" s="63">
        <f>IF($K60="","",52)</f>
        <v>52</v>
      </c>
      <c r="C60" s="63" t="str">
        <f>IF($K60="","",INDEX('Detalle individual'!$A:$A,$K60))</f>
        <v>910</v>
      </c>
      <c r="D60" s="64" t="str">
        <f>IF($K60="","",TRIM(INDEX('Detalle individual'!$B:$B,$K60)))</f>
        <v>JOSE CRISTOBAL LOPEZ ESQUIVEL</v>
      </c>
      <c r="E60" s="64" t="str">
        <f>IF($K60="","",TRIM(INDEX('Detalle individual'!$E:$E,$K60)))</f>
        <v>MENSAJERO</v>
      </c>
      <c r="F60" s="64" t="str">
        <f>IF($K60="","",TRIM(INDEX('Detalle individual'!$C:$C,$K60)))</f>
        <v>AGENCIA SANTA ANA</v>
      </c>
      <c r="G60" s="64" t="str">
        <f>IF($K60="","",INDEX('Detalle individual'!$D:$D,$K60))</f>
        <v>Gerencia de Negocios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IFERROR(MOD(SMALL('Cálculos'!$Z$5:$Z$295,52),300),"")</f>
        <v>235</v>
      </c>
    </row>
    <row r="61">
      <c r="B61" s="63">
        <f>IF($K61="","",53)</f>
        <v>53</v>
      </c>
      <c r="C61" s="63" t="str">
        <f>IF($K61="","",INDEX('Detalle individual'!$A:$A,$K61))</f>
        <v>954</v>
      </c>
      <c r="D61" s="64" t="str">
        <f>IF($K61="","",TRIM(INDEX('Detalle individual'!$B:$B,$K61)))</f>
        <v>LUIS GERARDO DUEÑAS VALLE</v>
      </c>
      <c r="E61" s="64" t="str">
        <f>IF($K61="","",TRIM(INDEX('Detalle individual'!$E:$E,$K61)))</f>
        <v>CAJERO</v>
      </c>
      <c r="F61" s="64" t="str">
        <f>IF($K61="","",TRIM(INDEX('Detalle individual'!$C:$C,$K61)))</f>
        <v>AGENCIA SANTA ANA</v>
      </c>
      <c r="G61" s="64" t="str">
        <f>IF($K61="","",INDEX('Detalle individual'!$D:$D,$K61))</f>
        <v>Gerencia de Negocios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IFERROR(MOD(SMALL('Cálculos'!$Z$5:$Z$295,53),300),"")</f>
        <v>236</v>
      </c>
    </row>
    <row r="62">
      <c r="B62" s="63">
        <f>IF($K62="","",54)</f>
        <v>54</v>
      </c>
      <c r="C62" s="63" t="str">
        <f>IF($K62="","",INDEX('Detalle individual'!$A:$A,$K62))</f>
        <v>287</v>
      </c>
      <c r="D62" s="64" t="str">
        <f>IF($K62="","",TRIM(INDEX('Detalle individual'!$B:$B,$K62)))</f>
        <v>MARIA ANGELICA ESCOBAR RENDEROS</v>
      </c>
      <c r="E62" s="64" t="str">
        <f>IF($K62="","",TRIM(INDEX('Detalle individual'!$E:$E,$K62)))</f>
        <v>JEFE DE AGENCIA</v>
      </c>
      <c r="F62" s="64" t="str">
        <f>IF($K62="","",TRIM(INDEX('Detalle individual'!$C:$C,$K62)))</f>
        <v>AGENCIA SONSONATE</v>
      </c>
      <c r="G62" s="64" t="str">
        <f>IF($K62="","",INDEX('Detalle individual'!$D:$D,$K62))</f>
        <v>Gerencia de Negocios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IFERROR(MOD(SMALL('Cálculos'!$Z$5:$Z$295,54),300),"")</f>
        <v>237</v>
      </c>
    </row>
    <row r="63">
      <c r="B63" s="63">
        <f>IF($K63="","",55)</f>
        <v>55</v>
      </c>
      <c r="C63" s="63" t="str">
        <f>IF($K63="","",INDEX('Detalle individual'!$A:$A,$K63))</f>
        <v>448</v>
      </c>
      <c r="D63" s="64" t="str">
        <f>IF($K63="","",TRIM(INDEX('Detalle individual'!$B:$B,$K63)))</f>
        <v>JOSE ALEXANDER TORRES PEREZ</v>
      </c>
      <c r="E63" s="64" t="str">
        <f>IF($K63="","",TRIM(INDEX('Detalle individual'!$E:$E,$K63)))</f>
        <v>MENSAJERO</v>
      </c>
      <c r="F63" s="64" t="str">
        <f>IF($K63="","",TRIM(INDEX('Detalle individual'!$C:$C,$K63)))</f>
        <v>AGENCIA SONSONATE</v>
      </c>
      <c r="G63" s="64" t="str">
        <f>IF($K63="","",INDEX('Detalle individual'!$D:$D,$K63))</f>
        <v>Gerencia de Negocios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IFERROR(MOD(SMALL('Cálculos'!$Z$5:$Z$295,55),300),"")</f>
        <v>238</v>
      </c>
    </row>
    <row r="64">
      <c r="B64" s="63">
        <f>IF($K64="","",56)</f>
        <v>56</v>
      </c>
      <c r="C64" s="63" t="str">
        <f>IF($K64="","",INDEX('Detalle individual'!$A:$A,$K64))</f>
        <v>526</v>
      </c>
      <c r="D64" s="64" t="str">
        <f>IF($K64="","",TRIM(INDEX('Detalle individual'!$B:$B,$K64)))</f>
        <v>XIOMARA BEATRIZ MARTINEZ SERMEÑO</v>
      </c>
      <c r="E64" s="64" t="str">
        <f>IF($K64="","",TRIM(INDEX('Detalle individual'!$E:$E,$K64)))</f>
        <v>SUBJEFE DE AGENCIA</v>
      </c>
      <c r="F64" s="64" t="str">
        <f>IF($K64="","",TRIM(INDEX('Detalle individual'!$C:$C,$K64)))</f>
        <v>AGENCIA SONSONATE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IFERROR(MOD(SMALL('Cálculos'!$Z$5:$Z$295,56),300),"")</f>
        <v>239</v>
      </c>
    </row>
    <row r="65">
      <c r="B65" s="63">
        <f>IF($K65="","",57)</f>
        <v>57</v>
      </c>
      <c r="C65" s="63" t="str">
        <f>IF($K65="","",INDEX('Detalle individual'!$A:$A,$K65))</f>
        <v>559</v>
      </c>
      <c r="D65" s="64" t="str">
        <f>IF($K65="","",TRIM(INDEX('Detalle individual'!$B:$B,$K65)))</f>
        <v>JOSUE ALEXANDER PEREZ HENRIQUEZ</v>
      </c>
      <c r="E65" s="64" t="str">
        <f>IF($K65="","",TRIM(INDEX('Detalle individual'!$E:$E,$K65)))</f>
        <v>EJECUTIVO DE NEGOCIOS</v>
      </c>
      <c r="F65" s="64" t="str">
        <f>IF($K65="","",TRIM(INDEX('Detalle individual'!$C:$C,$K65)))</f>
        <v>AGENCIA SONSONATE</v>
      </c>
      <c r="G65" s="64" t="str">
        <f>IF($K65="","",INDEX('Detalle individual'!$D:$D,$K65))</f>
        <v>Gerencia de Negocios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IFERROR(MOD(SMALL('Cálculos'!$Z$5:$Z$295,57),300),"")</f>
        <v>240</v>
      </c>
    </row>
    <row r="66">
      <c r="B66" s="63">
        <f>IF($K66="","",58)</f>
        <v>58</v>
      </c>
      <c r="C66" s="63" t="str">
        <f>IF($K66="","",INDEX('Detalle individual'!$A:$A,$K66))</f>
        <v>575</v>
      </c>
      <c r="D66" s="64" t="str">
        <f>IF($K66="","",TRIM(INDEX('Detalle individual'!$B:$B,$K66)))</f>
        <v>JESSICA YAMILETH LEIVA VASQUEZ</v>
      </c>
      <c r="E66" s="64" t="str">
        <f>IF($K66="","",TRIM(INDEX('Detalle individual'!$E:$E,$K66)))</f>
        <v>EJECUTIVA DE SEGUROS</v>
      </c>
      <c r="F66" s="64" t="str">
        <f>IF($K66="","",TRIM(INDEX('Detalle individual'!$C:$C,$K66)))</f>
        <v>AGENCIA SONSONATE</v>
      </c>
      <c r="G66" s="64" t="str">
        <f>IF($K66="","",INDEX('Detalle individual'!$D:$D,$K66))</f>
        <v>Gerencia de Negocios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IFERROR(MOD(SMALL('Cálculos'!$Z$5:$Z$295,58),300),"")</f>
        <v>241</v>
      </c>
    </row>
    <row r="67">
      <c r="B67" s="63">
        <f>IF($K67="","",59)</f>
        <v>59</v>
      </c>
      <c r="C67" s="63" t="str">
        <f>IF($K67="","",INDEX('Detalle individual'!$A:$A,$K67))</f>
        <v>755</v>
      </c>
      <c r="D67" s="64" t="str">
        <f>IF($K67="","",TRIM(INDEX('Detalle individual'!$B:$B,$K67)))</f>
        <v>MIGUEL ANGEL LEON MENA</v>
      </c>
      <c r="E67" s="64" t="str">
        <f>IF($K67="","",TRIM(INDEX('Detalle individual'!$E:$E,$K67)))</f>
        <v>CAJERO</v>
      </c>
      <c r="F67" s="64" t="str">
        <f>IF($K67="","",TRIM(INDEX('Detalle individual'!$C:$C,$K67)))</f>
        <v>AGENCIA SONSONATE</v>
      </c>
      <c r="G67" s="64" t="str">
        <f>IF($K67="","",INDEX('Detalle individual'!$D:$D,$K67))</f>
        <v>Gerencia de Negocios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IFERROR(MOD(SMALL('Cálculos'!$Z$5:$Z$295,59),300),"")</f>
        <v>242</v>
      </c>
    </row>
    <row r="68">
      <c r="B68" s="63">
        <f>IF($K68="","",60)</f>
        <v>60</v>
      </c>
      <c r="C68" s="63" t="str">
        <f>IF($K68="","",INDEX('Detalle individual'!$A:$A,$K68))</f>
        <v>849</v>
      </c>
      <c r="D68" s="64" t="str">
        <f>IF($K68="","",TRIM(INDEX('Detalle individual'!$B:$B,$K68)))</f>
        <v>KARLA MARCELA ESCOBAR TRIGUEROS</v>
      </c>
      <c r="E68" s="64" t="str">
        <f>IF($K68="","",TRIM(INDEX('Detalle individual'!$E:$E,$K68)))</f>
        <v>CAJERO</v>
      </c>
      <c r="F68" s="64" t="str">
        <f>IF($K68="","",TRIM(INDEX('Detalle individual'!$C:$C,$K68)))</f>
        <v>AGENCIA SONSONATE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IFERROR(MOD(SMALL('Cálculos'!$Z$5:$Z$295,60),300),"")</f>
        <v>243</v>
      </c>
    </row>
    <row r="69">
      <c r="B69" s="63">
        <f>IF($K69="","",61)</f>
        <v>61</v>
      </c>
      <c r="C69" s="63" t="str">
        <f>IF($K69="","",INDEX('Detalle individual'!$A:$A,$K69))</f>
        <v>917</v>
      </c>
      <c r="D69" s="64" t="str">
        <f>IF($K69="","",TRIM(INDEX('Detalle individual'!$B:$B,$K69)))</f>
        <v>LUIS MANUEL VALENCIA GUERRERO</v>
      </c>
      <c r="E69" s="64" t="str">
        <f>IF($K69="","",TRIM(INDEX('Detalle individual'!$E:$E,$K69)))</f>
        <v>SUBJEFE DE AGENCIA</v>
      </c>
      <c r="F69" s="64" t="str">
        <f>IF($K69="","",TRIM(INDEX('Detalle individual'!$C:$C,$K69)))</f>
        <v>AGENCIA USULUTAN</v>
      </c>
      <c r="G69" s="64" t="str">
        <f>IF($K69="","",INDEX('Detalle individual'!$D:$D,$K69))</f>
        <v>Gerencia de Negocios</v>
      </c>
      <c r="H69" s="63" t="str">
        <f>IF($K69="","",INDEX('Detalle individual'!$F:$F,$K69))</f>
        <v>Pendiente</v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>
        <f>IFERROR(MOD(SMALL('Cálculos'!$Z$5:$Z$295,61),300),"")</f>
        <v>284</v>
      </c>
    </row>
    <row r="70">
      <c r="B70" s="63">
        <f>IF($K70="","",62)</f>
        <v>62</v>
      </c>
      <c r="C70" s="63" t="str">
        <f>IF($K70="","",INDEX('Detalle individual'!$A:$A,$K70))</f>
        <v>951</v>
      </c>
      <c r="D70" s="64" t="str">
        <f>IF($K70="","",TRIM(INDEX('Detalle individual'!$B:$B,$K70)))</f>
        <v>MELVIN ELISEO HERNANDEZ MACHADO</v>
      </c>
      <c r="E70" s="64" t="str">
        <f>IF($K70="","",TRIM(INDEX('Detalle individual'!$E:$E,$K70)))</f>
        <v>EJECUTIVO DE NEGOCIOS</v>
      </c>
      <c r="F70" s="64" t="str">
        <f>IF($K70="","",TRIM(INDEX('Detalle individual'!$C:$C,$K70)))</f>
        <v>AGENCIA USULUTAN</v>
      </c>
      <c r="G70" s="64" t="str">
        <f>IF($K70="","",INDEX('Detalle individual'!$D:$D,$K70))</f>
        <v>Gerencia de Negocios</v>
      </c>
      <c r="H70" s="63" t="str">
        <f>IF($K70="","",INDEX('Detalle individual'!$F:$F,$K70))</f>
        <v>Pendiente</v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>
        <f>IFERROR(MOD(SMALL('Cálculos'!$Z$5:$Z$295,62),300),"")</f>
        <v>285</v>
      </c>
    </row>
    <row r="71">
      <c r="B71" s="63">
        <f>IF($K71="","",63)</f>
        <v>63</v>
      </c>
      <c r="C71" s="63" t="str">
        <f>IF($K71="","",INDEX('Detalle individual'!$A:$A,$K71))</f>
        <v>970</v>
      </c>
      <c r="D71" s="64" t="str">
        <f>IF($K71="","",TRIM(INDEX('Detalle individual'!$B:$B,$K71)))</f>
        <v>EDUARDO JOSE GAMEZ VILLATORO</v>
      </c>
      <c r="E71" s="64" t="str">
        <f>IF($K71="","",TRIM(INDEX('Detalle individual'!$E:$E,$K71)))</f>
        <v>CAJERO</v>
      </c>
      <c r="F71" s="64" t="str">
        <f>IF($K71="","",TRIM(INDEX('Detalle individual'!$C:$C,$K71)))</f>
        <v>AGENCIA USULUTAN</v>
      </c>
      <c r="G71" s="64" t="str">
        <f>IF($K71="","",INDEX('Detalle individual'!$D:$D,$K71))</f>
        <v>Gerencia de Negocios</v>
      </c>
      <c r="H71" s="63" t="str">
        <f>IF($K71="","",INDEX('Detalle individual'!$F:$F,$K71))</f>
        <v>Pendiente</v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>
        <f>IFERROR(MOD(SMALL('Cálculos'!$Z$5:$Z$295,63),300),"")</f>
        <v>287</v>
      </c>
    </row>
    <row r="72">
      <c r="B72" s="63">
        <f>IF($K72="","",64)</f>
        <v>64</v>
      </c>
      <c r="C72" s="63" t="str">
        <f>IF($K72="","",INDEX('Detalle individual'!$A:$A,$K72))</f>
        <v>655</v>
      </c>
      <c r="D72" s="64" t="str">
        <f>IF($K72="","",TRIM(INDEX('Detalle individual'!$B:$B,$K72)))</f>
        <v>JOSE ALEXANDER ABREGO</v>
      </c>
      <c r="E72" s="64" t="str">
        <f>IF($K72="","",TRIM(INDEX('Detalle individual'!$E:$E,$K72)))</f>
        <v>EJECUTIVO DE NEGOCIOS</v>
      </c>
      <c r="F72" s="64" t="str">
        <f>IF($K72="","",TRIM(INDEX('Detalle individual'!$C:$C,$K72)))</f>
        <v>DEPARTAMENTO COMERCIAL DE TARJETA DE CREDITO Y DEBITO</v>
      </c>
      <c r="G72" s="64" t="str">
        <f>IF($K72="","",INDEX('Detalle individual'!$D:$D,$K72))</f>
        <v>Gerencia de Negocios</v>
      </c>
      <c r="H72" s="63" t="str">
        <f>IF($K72="","",INDEX('Detalle individual'!$F:$F,$K72))</f>
        <v>Pendiente</v>
      </c>
      <c r="I72" s="77" t="str">
        <f>IF($K72="","",IF(INDEX('Detalle individual'!$F:$F,$K72)="Completado",INDEX('Detalle individual'!$H:$H,$K72),""))</f>
        <v/>
      </c>
      <c r="J72" s="78" t="str">
        <f>IF($K72="","",IF(INDEX('Detalle individual'!$F:$F,$K72)="Completado",INDEX('Detalle individual'!$J:$J,$K72),""))</f>
        <v/>
      </c>
      <c r="K72">
        <f>IFERROR(MOD(SMALL('Cálculos'!$Z$5:$Z$295,64),300),"")</f>
        <v>179</v>
      </c>
    </row>
    <row r="73">
      <c r="B73" s="63">
        <f>IF($K73="","",65)</f>
        <v>65</v>
      </c>
      <c r="C73" s="63" t="str">
        <f>IF($K73="","",INDEX('Detalle individual'!$A:$A,$K73))</f>
        <v>669</v>
      </c>
      <c r="D73" s="64" t="str">
        <f>IF($K73="","",TRIM(INDEX('Detalle individual'!$B:$B,$K73)))</f>
        <v>ANTONIO ALEXANDER ALFARO ARGUETA</v>
      </c>
      <c r="E73" s="64" t="str">
        <f>IF($K73="","",TRIM(INDEX('Detalle individual'!$E:$E,$K73)))</f>
        <v>EJECUTIVO DE NEGOCIOS</v>
      </c>
      <c r="F73" s="64" t="str">
        <f>IF($K73="","",TRIM(INDEX('Detalle individual'!$C:$C,$K73)))</f>
        <v>DEPARTAMENTO COMERCIAL DE TARJETA DE CREDITO Y DEBITO</v>
      </c>
      <c r="G73" s="64" t="str">
        <f>IF($K73="","",INDEX('Detalle individual'!$D:$D,$K73))</f>
        <v>Gerencia de Negocios</v>
      </c>
      <c r="H73" s="63" t="str">
        <f>IF($K73="","",INDEX('Detalle individual'!$F:$F,$K73))</f>
        <v>Pendiente</v>
      </c>
      <c r="I73" s="77" t="str">
        <f>IF($K73="","",IF(INDEX('Detalle individual'!$F:$F,$K73)="Completado",INDEX('Detalle individual'!$H:$H,$K73),""))</f>
        <v/>
      </c>
      <c r="J73" s="78" t="str">
        <f>IF($K73="","",IF(INDEX('Detalle individual'!$F:$F,$K73)="Completado",INDEX('Detalle individual'!$J:$J,$K73),""))</f>
        <v/>
      </c>
      <c r="K73">
        <f>IFERROR(MOD(SMALL('Cálculos'!$Z$5:$Z$295,65),300),"")</f>
        <v>180</v>
      </c>
    </row>
    <row r="74">
      <c r="B74" s="63">
        <f>IF($K74="","",66)</f>
        <v>66</v>
      </c>
      <c r="C74" s="63" t="str">
        <f>IF($K74="","",INDEX('Detalle individual'!$A:$A,$K74))</f>
        <v>835</v>
      </c>
      <c r="D74" s="64" t="str">
        <f>IF($K74="","",TRIM(INDEX('Detalle individual'!$B:$B,$K74)))</f>
        <v>LUIS ALBERTO MEJIA DELGADO</v>
      </c>
      <c r="E74" s="64" t="str">
        <f>IF($K74="","",TRIM(INDEX('Detalle individual'!$E:$E,$K74)))</f>
        <v>EJECUTIVO DE NEGOCIOS</v>
      </c>
      <c r="F74" s="64" t="str">
        <f>IF($K74="","",TRIM(INDEX('Detalle individual'!$C:$C,$K74)))</f>
        <v>DEPARTAMENTO COMERCIAL DE TARJETA DE CREDITO Y DEBITO</v>
      </c>
      <c r="G74" s="64" t="str">
        <f>IF($K74="","",INDEX('Detalle individual'!$D:$D,$K74))</f>
        <v>Gerencia de Negocios</v>
      </c>
      <c r="H74" s="63" t="str">
        <f>IF($K74="","",INDEX('Detalle individual'!$F:$F,$K74))</f>
        <v>Pendiente</v>
      </c>
      <c r="I74" s="77" t="str">
        <f>IF($K74="","",IF(INDEX('Detalle individual'!$F:$F,$K74)="Completado",INDEX('Detalle individual'!$H:$H,$K74),""))</f>
        <v/>
      </c>
      <c r="J74" s="78" t="str">
        <f>IF($K74="","",IF(INDEX('Detalle individual'!$F:$F,$K74)="Completado",INDEX('Detalle individual'!$J:$J,$K74),""))</f>
        <v/>
      </c>
      <c r="K74">
        <f>IFERROR(MOD(SMALL('Cálculos'!$Z$5:$Z$295,66),300),"")</f>
        <v>182</v>
      </c>
    </row>
    <row r="75">
      <c r="B75" s="63">
        <f>IF($K75="","",67)</f>
        <v>67</v>
      </c>
      <c r="C75" s="63" t="str">
        <f>IF($K75="","",INDEX('Detalle individual'!$A:$A,$K75))</f>
        <v>858</v>
      </c>
      <c r="D75" s="64" t="str">
        <f>IF($K75="","",TRIM(INDEX('Detalle individual'!$B:$B,$K75)))</f>
        <v>GABRIEL FRANCISCO MOLINA DIAZ</v>
      </c>
      <c r="E75" s="64" t="str">
        <f>IF($K75="","",TRIM(INDEX('Detalle individual'!$E:$E,$K75)))</f>
        <v>EJECUTIVO DE NEGOCIOS</v>
      </c>
      <c r="F75" s="64" t="str">
        <f>IF($K75="","",TRIM(INDEX('Detalle individual'!$C:$C,$K75)))</f>
        <v>DEPARTAMENTO COMERCIAL DE TARJETA DE CREDITO Y DEBITO</v>
      </c>
      <c r="G75" s="64" t="str">
        <f>IF($K75="","",INDEX('Detalle individual'!$D:$D,$K75))</f>
        <v>Gerencia de Negocios</v>
      </c>
      <c r="H75" s="63" t="str">
        <f>IF($K75="","",INDEX('Detalle individual'!$F:$F,$K75))</f>
        <v>Pendiente</v>
      </c>
      <c r="I75" s="77" t="str">
        <f>IF($K75="","",IF(INDEX('Detalle individual'!$F:$F,$K75)="Completado",INDEX('Detalle individual'!$H:$H,$K75),""))</f>
        <v/>
      </c>
      <c r="J75" s="78" t="str">
        <f>IF($K75="","",IF(INDEX('Detalle individual'!$F:$F,$K75)="Completado",INDEX('Detalle individual'!$J:$J,$K75),""))</f>
        <v/>
      </c>
      <c r="K75">
        <f>IFERROR(MOD(SMALL('Cálculos'!$Z$5:$Z$295,67),300),"")</f>
        <v>183</v>
      </c>
    </row>
    <row r="76">
      <c r="B76" s="63">
        <f>IF($K76="","",68)</f>
        <v>68</v>
      </c>
      <c r="C76" s="63" t="str">
        <f>IF($K76="","",INDEX('Detalle individual'!$A:$A,$K76))</f>
        <v>410</v>
      </c>
      <c r="D76" s="64" t="str">
        <f>IF($K76="","",TRIM(INDEX('Detalle individual'!$B:$B,$K76)))</f>
        <v>CLAUDIA MARGARITA CAMPOS GONZÁLEZ</v>
      </c>
      <c r="E76" s="64" t="str">
        <f>IF($K76="","",TRIM(INDEX('Detalle individual'!$E:$E,$K76)))</f>
        <v>JEFE DE ANALISIS Y PROGRAMACION</v>
      </c>
      <c r="F76" s="64" t="str">
        <f>IF($K76="","",TRIM(INDEX('Detalle individual'!$C:$C,$K76)))</f>
        <v>DEPARTAMENTO DE ANALISIS Y PROGRAMACIÓN</v>
      </c>
      <c r="G76" s="64" t="str">
        <f>IF($K76="","",INDEX('Detalle individual'!$D:$D,$K76))</f>
        <v>Gerencia de Sistemas</v>
      </c>
      <c r="H76" s="63" t="str">
        <f>IF($K76="","",INDEX('Detalle individual'!$F:$F,$K76))</f>
        <v>Pendiente</v>
      </c>
      <c r="I76" s="77" t="str">
        <f>IF($K76="","",IF(INDEX('Detalle individual'!$F:$F,$K76)="Completado",INDEX('Detalle individual'!$H:$H,$K76),""))</f>
        <v/>
      </c>
      <c r="J76" s="78" t="str">
        <f>IF($K76="","",IF(INDEX('Detalle individual'!$F:$F,$K76)="Completado",INDEX('Detalle individual'!$J:$J,$K76),""))</f>
        <v/>
      </c>
      <c r="K76">
        <f>IFERROR(MOD(SMALL('Cálculos'!$Z$5:$Z$295,68),300),"")</f>
        <v>113</v>
      </c>
    </row>
    <row r="77">
      <c r="B77" s="63">
        <f>IF($K77="","",69)</f>
        <v>69</v>
      </c>
      <c r="C77" s="63" t="str">
        <f>IF($K77="","",INDEX('Detalle individual'!$A:$A,$K77))</f>
        <v>752</v>
      </c>
      <c r="D77" s="64" t="str">
        <f>IF($K77="","",TRIM(INDEX('Detalle individual'!$B:$B,$K77)))</f>
        <v>JEAN HARRY MIRANDA ARAUJO</v>
      </c>
      <c r="E77" s="64" t="str">
        <f>IF($K77="","",TRIM(INDEX('Detalle individual'!$E:$E,$K77)))</f>
        <v>ANALISTA PROGRAMADOR</v>
      </c>
      <c r="F77" s="64" t="str">
        <f>IF($K77="","",TRIM(INDEX('Detalle individual'!$C:$C,$K77)))</f>
        <v>DEPARTAMENTO DE ANALISIS Y PROGRAMACIÓN</v>
      </c>
      <c r="G77" s="64" t="str">
        <f>IF($K77="","",INDEX('Detalle individual'!$D:$D,$K77))</f>
        <v>Gerencia de Sistemas</v>
      </c>
      <c r="H77" s="63" t="str">
        <f>IF($K77="","",INDEX('Detalle individual'!$F:$F,$K77))</f>
        <v>Pendiente</v>
      </c>
      <c r="I77" s="77" t="str">
        <f>IF($K77="","",IF(INDEX('Detalle individual'!$F:$F,$K77)="Completado",INDEX('Detalle individual'!$H:$H,$K77),""))</f>
        <v/>
      </c>
      <c r="J77" s="78" t="str">
        <f>IF($K77="","",IF(INDEX('Detalle individual'!$F:$F,$K77)="Completado",INDEX('Detalle individual'!$J:$J,$K77),""))</f>
        <v/>
      </c>
      <c r="K77">
        <f>IFERROR(MOD(SMALL('Cálculos'!$Z$5:$Z$295,69),300),"")</f>
        <v>116</v>
      </c>
    </row>
    <row r="78">
      <c r="B78" s="63">
        <f>IF($K78="","",70)</f>
        <v>70</v>
      </c>
      <c r="C78" s="63" t="str">
        <f>IF($K78="","",INDEX('Detalle individual'!$A:$A,$K78))</f>
        <v>899</v>
      </c>
      <c r="D78" s="64" t="str">
        <f>IF($K78="","",TRIM(INDEX('Detalle individual'!$B:$B,$K78)))</f>
        <v>ALEJANDRA VERONICA CENTENO LOPEZ</v>
      </c>
      <c r="E78" s="64" t="str">
        <f>IF($K78="","",TRIM(INDEX('Detalle individual'!$E:$E,$K78)))</f>
        <v>ANALISTA PROGRAMADOR</v>
      </c>
      <c r="F78" s="64" t="str">
        <f>IF($K78="","",TRIM(INDEX('Detalle individual'!$C:$C,$K78)))</f>
        <v>DEPARTAMENTO DE ANALISIS Y PROGRAMACIÓN</v>
      </c>
      <c r="G78" s="64" t="str">
        <f>IF($K78="","",INDEX('Detalle individual'!$D:$D,$K78))</f>
        <v>Gerencia de Sistemas</v>
      </c>
      <c r="H78" s="63" t="str">
        <f>IF($K78="","",INDEX('Detalle individual'!$F:$F,$K78))</f>
        <v>Pendiente</v>
      </c>
      <c r="I78" s="77" t="str">
        <f>IF($K78="","",IF(INDEX('Detalle individual'!$F:$F,$K78)="Completado",INDEX('Detalle individual'!$H:$H,$K78),""))</f>
        <v/>
      </c>
      <c r="J78" s="78" t="str">
        <f>IF($K78="","",IF(INDEX('Detalle individual'!$F:$F,$K78)="Completado",INDEX('Detalle individual'!$J:$J,$K78),""))</f>
        <v/>
      </c>
      <c r="K78">
        <f>IFERROR(MOD(SMALL('Cálculos'!$Z$5:$Z$295,70),300),"")</f>
        <v>121</v>
      </c>
    </row>
    <row r="79">
      <c r="B79" s="63">
        <f>IF($K79="","",71)</f>
        <v>71</v>
      </c>
      <c r="C79" s="63" t="str">
        <f>IF($K79="","",INDEX('Detalle individual'!$A:$A,$K79))</f>
        <v>744</v>
      </c>
      <c r="D79" s="64" t="str">
        <f>IF($K79="","",TRIM(INDEX('Detalle individual'!$B:$B,$K79)))</f>
        <v>KARLA PATRICIA ROBLES CORTEZ</v>
      </c>
      <c r="E79" s="64" t="str">
        <f>IF($K79="","",TRIM(INDEX('Detalle individual'!$E:$E,$K79)))</f>
        <v>ASISTENTE TECNICO DE AFILIACION</v>
      </c>
      <c r="F79" s="64" t="str">
        <f>IF($K79="","",TRIM(INDEX('Detalle individual'!$C:$C,$K79)))</f>
        <v>DEPARTAMENTO DE ATENCION A ASOCIADO Y CLIENTE</v>
      </c>
      <c r="G79" s="64" t="str">
        <f>IF($K79="","",INDEX('Detalle individual'!$D:$D,$K79))</f>
        <v>Gerencia de Negocios</v>
      </c>
      <c r="H79" s="63" t="str">
        <f>IF($K79="","",INDEX('Detalle individual'!$F:$F,$K79))</f>
        <v>Pendiente</v>
      </c>
      <c r="I79" s="77" t="str">
        <f>IF($K79="","",IF(INDEX('Detalle individual'!$F:$F,$K79)="Completado",INDEX('Detalle individual'!$H:$H,$K79),""))</f>
        <v/>
      </c>
      <c r="J79" s="78" t="str">
        <f>IF($K79="","",IF(INDEX('Detalle individual'!$F:$F,$K79)="Completado",INDEX('Detalle individual'!$J:$J,$K79),""))</f>
        <v/>
      </c>
      <c r="K79">
        <f>IFERROR(MOD(SMALL('Cálculos'!$Z$5:$Z$295,71),300),"")</f>
        <v>141</v>
      </c>
    </row>
    <row r="80">
      <c r="B80" s="63">
        <f>IF($K80="","",72)</f>
        <v>72</v>
      </c>
      <c r="C80" s="63" t="str">
        <f>IF($K80="","",INDEX('Detalle individual'!$A:$A,$K80))</f>
        <v>887</v>
      </c>
      <c r="D80" s="64" t="str">
        <f>IF($K80="","",TRIM(INDEX('Detalle individual'!$B:$B,$K80)))</f>
        <v>EMERSON ULISES BELTRAN CORTEZ</v>
      </c>
      <c r="E80" s="64" t="str">
        <f>IF($K80="","",TRIM(INDEX('Detalle individual'!$E:$E,$K80)))</f>
        <v>AUXILIAR DE ATENCION A ASOCIADOS</v>
      </c>
      <c r="F80" s="64" t="str">
        <f>IF($K80="","",TRIM(INDEX('Detalle individual'!$C:$C,$K80)))</f>
        <v>DEPARTAMENTO DE ATENCION A ASOCIADO Y CLIENTE</v>
      </c>
      <c r="G80" s="64" t="str">
        <f>IF($K80="","",INDEX('Detalle individual'!$D:$D,$K80))</f>
        <v>Gerencia de Negocios</v>
      </c>
      <c r="H80" s="63" t="str">
        <f>IF($K80="","",INDEX('Detalle individual'!$F:$F,$K80))</f>
        <v>Pendiente</v>
      </c>
      <c r="I80" s="77" t="str">
        <f>IF($K80="","",IF(INDEX('Detalle individual'!$F:$F,$K80)="Completado",INDEX('Detalle individual'!$H:$H,$K80),""))</f>
        <v/>
      </c>
      <c r="J80" s="78" t="str">
        <f>IF($K80="","",IF(INDEX('Detalle individual'!$F:$F,$K80)="Completado",INDEX('Detalle individual'!$J:$J,$K80),""))</f>
        <v/>
      </c>
      <c r="K80">
        <f>IFERROR(MOD(SMALL('Cálculos'!$Z$5:$Z$295,72),300),"")</f>
        <v>142</v>
      </c>
    </row>
    <row r="81">
      <c r="B81" s="63">
        <f>IF($K81="","",73)</f>
        <v>73</v>
      </c>
      <c r="C81" s="63" t="str">
        <f>IF($K81="","",INDEX('Detalle individual'!$A:$A,$K81))</f>
        <v>945</v>
      </c>
      <c r="D81" s="64" t="str">
        <f>IF($K81="","",TRIM(INDEX('Detalle individual'!$B:$B,$K81)))</f>
        <v>FABIOLA ELIZABETH TICAS GOMEZ</v>
      </c>
      <c r="E81" s="64" t="str">
        <f>IF($K81="","",TRIM(INDEX('Detalle individual'!$E:$E,$K81)))</f>
        <v>RECEPCIONISTA</v>
      </c>
      <c r="F81" s="64" t="str">
        <f>IF($K81="","",TRIM(INDEX('Detalle individual'!$C:$C,$K81)))</f>
        <v>DEPARTAMENTO DE ATENCION A ASOCIADO Y CLIENTE</v>
      </c>
      <c r="G81" s="64" t="str">
        <f>IF($K81="","",INDEX('Detalle individual'!$D:$D,$K81))</f>
        <v>Gerencia de Negocios</v>
      </c>
      <c r="H81" s="63" t="str">
        <f>IF($K81="","",INDEX('Detalle individual'!$F:$F,$K81))</f>
        <v>Pendiente</v>
      </c>
      <c r="I81" s="77" t="str">
        <f>IF($K81="","",IF(INDEX('Detalle individual'!$F:$F,$K81)="Completado",INDEX('Detalle individual'!$H:$H,$K81),""))</f>
        <v/>
      </c>
      <c r="J81" s="78" t="str">
        <f>IF($K81="","",IF(INDEX('Detalle individual'!$F:$F,$K81)="Completado",INDEX('Detalle individual'!$J:$J,$K81),""))</f>
        <v/>
      </c>
      <c r="K81">
        <f>IFERROR(MOD(SMALL('Cálculos'!$Z$5:$Z$295,73),300),"")</f>
        <v>143</v>
      </c>
    </row>
    <row r="82">
      <c r="B82" s="63">
        <f>IF($K82="","",74)</f>
        <v>74</v>
      </c>
      <c r="C82" s="63" t="str">
        <f>IF($K82="","",INDEX('Detalle individual'!$A:$A,$K82))</f>
        <v>981</v>
      </c>
      <c r="D82" s="64" t="str">
        <f>IF($K82="","",TRIM(INDEX('Detalle individual'!$B:$B,$K82)))</f>
        <v>ALAN RODRIGO BENITEZ RODRIGUEZ</v>
      </c>
      <c r="E82" s="64" t="str">
        <f>IF($K82="","",TRIM(INDEX('Detalle individual'!$E:$E,$K82)))</f>
        <v>PASANTE</v>
      </c>
      <c r="F82" s="64" t="str">
        <f>IF($K82="","",TRIM(INDEX('Detalle individual'!$C:$C,$K82)))</f>
        <v>DEPARTAMENTO DE ATENCION A ASOCIADO Y CLIENTE</v>
      </c>
      <c r="G82" s="64" t="str">
        <f>IF($K82="","",INDEX('Detalle individual'!$D:$D,$K82))</f>
        <v>Gerencia de Negocios</v>
      </c>
      <c r="H82" s="63" t="str">
        <f>IF($K82="","",INDEX('Detalle individual'!$F:$F,$K82))</f>
        <v>Pendiente</v>
      </c>
      <c r="I82" s="77" t="str">
        <f>IF($K82="","",IF(INDEX('Detalle individual'!$F:$F,$K82)="Completado",INDEX('Detalle individual'!$H:$H,$K82),""))</f>
        <v/>
      </c>
      <c r="J82" s="78" t="str">
        <f>IF($K82="","",IF(INDEX('Detalle individual'!$F:$F,$K82)="Completado",INDEX('Detalle individual'!$J:$J,$K82),""))</f>
        <v/>
      </c>
      <c r="K82">
        <f>IFERROR(MOD(SMALL('Cálculos'!$Z$5:$Z$295,74),300),"")</f>
        <v>144</v>
      </c>
    </row>
    <row r="83">
      <c r="B83" s="63">
        <f>IF($K83="","",75)</f>
        <v>75</v>
      </c>
      <c r="C83" s="63" t="str">
        <f>IF($K83="","",INDEX('Detalle individual'!$A:$A,$K83))</f>
        <v>330</v>
      </c>
      <c r="D83" s="64" t="str">
        <f>IF($K83="","",TRIM(INDEX('Detalle individual'!$B:$B,$K83)))</f>
        <v>MERALYS CHAVEZ RODRIGUEZ</v>
      </c>
      <c r="E83" s="64" t="str">
        <f>IF($K83="","",TRIM(INDEX('Detalle individual'!$E:$E,$K83)))</f>
        <v>AUDITOR INTERNO</v>
      </c>
      <c r="F83" s="64" t="str">
        <f>IF($K83="","",TRIM(INDEX('Detalle individual'!$C:$C,$K83)))</f>
        <v>DEPARTAMENTO DE AUDITORIA INTERNA</v>
      </c>
      <c r="G83" s="64" t="str">
        <f>IF($K83="","",INDEX('Detalle individual'!$D:$D,$K83))</f>
        <v>Auditoría Interna</v>
      </c>
      <c r="H83" s="63" t="str">
        <f>IF($K83="","",INDEX('Detalle individual'!$F:$F,$K83))</f>
        <v>Pendiente</v>
      </c>
      <c r="I83" s="77" t="str">
        <f>IF($K83="","",IF(INDEX('Detalle individual'!$F:$F,$K83)="Completado",INDEX('Detalle individual'!$H:$H,$K83),""))</f>
        <v/>
      </c>
      <c r="J83" s="78" t="str">
        <f>IF($K83="","",IF(INDEX('Detalle individual'!$F:$F,$K83)="Completado",INDEX('Detalle individual'!$J:$J,$K83),""))</f>
        <v/>
      </c>
      <c r="K83">
        <f>IFERROR(MOD(SMALL('Cálculos'!$Z$5:$Z$295,75),300),"")</f>
        <v>123</v>
      </c>
    </row>
    <row r="84">
      <c r="B84" s="63">
        <f>IF($K84="","",76)</f>
        <v>76</v>
      </c>
      <c r="C84" s="63" t="str">
        <f>IF($K84="","",INDEX('Detalle individual'!$A:$A,$K84))</f>
        <v>534</v>
      </c>
      <c r="D84" s="64" t="str">
        <f>IF($K84="","",TRIM(INDEX('Detalle individual'!$B:$B,$K84)))</f>
        <v>NELSON DANILO BENITEZ MENDEZ</v>
      </c>
      <c r="E84" s="64" t="str">
        <f>IF($K84="","",TRIM(INDEX('Detalle individual'!$E:$E,$K84)))</f>
        <v>AUDITOR DE SISTEMAS</v>
      </c>
      <c r="F84" s="64" t="str">
        <f>IF($K84="","",TRIM(INDEX('Detalle individual'!$C:$C,$K84)))</f>
        <v>DEPARTAMENTO DE AUDITORIA INTERNA</v>
      </c>
      <c r="G84" s="64" t="str">
        <f>IF($K84="","",INDEX('Detalle individual'!$D:$D,$K84))</f>
        <v>Auditoría Interna</v>
      </c>
      <c r="H84" s="63" t="str">
        <f>IF($K84="","",INDEX('Detalle individual'!$F:$F,$K84))</f>
        <v>Pendiente</v>
      </c>
      <c r="I84" s="77" t="str">
        <f>IF($K84="","",IF(INDEX('Detalle individual'!$F:$F,$K84)="Completado",INDEX('Detalle individual'!$H:$H,$K84),""))</f>
        <v/>
      </c>
      <c r="J84" s="78" t="str">
        <f>IF($K84="","",IF(INDEX('Detalle individual'!$F:$F,$K84)="Completado",INDEX('Detalle individual'!$J:$J,$K84),""))</f>
        <v/>
      </c>
      <c r="K84">
        <f>IFERROR(MOD(SMALL('Cálculos'!$Z$5:$Z$295,76),300),"")</f>
        <v>125</v>
      </c>
    </row>
    <row r="85">
      <c r="B85" s="63">
        <f>IF($K85="","",77)</f>
        <v>77</v>
      </c>
      <c r="C85" s="63" t="str">
        <f>IF($K85="","",INDEX('Detalle individual'!$A:$A,$K85))</f>
        <v>70</v>
      </c>
      <c r="D85" s="64" t="str">
        <f>IF($K85="","",TRIM(INDEX('Detalle individual'!$B:$B,$K85)))</f>
        <v>RUBIA ESTELA LEIVA SIBRIAN</v>
      </c>
      <c r="E85" s="64" t="str">
        <f>IF($K85="","",TRIM(INDEX('Detalle individual'!$E:$E,$K85)))</f>
        <v>ASISTENTE TECNICO DE PAGOS</v>
      </c>
      <c r="F85" s="64" t="str">
        <f>IF($K85="","",TRIM(INDEX('Detalle individual'!$C:$C,$K85)))</f>
        <v>DEPARTAMENTO DE CONTABILIDAD</v>
      </c>
      <c r="G85" s="64" t="str">
        <f>IF($K85="","",INDEX('Detalle individual'!$D:$D,$K85))</f>
        <v>Gerencia de Finanzas y Planificación</v>
      </c>
      <c r="H85" s="63" t="str">
        <f>IF($K85="","",INDEX('Detalle individual'!$F:$F,$K85))</f>
        <v>Pendiente</v>
      </c>
      <c r="I85" s="77" t="str">
        <f>IF($K85="","",IF(INDEX('Detalle individual'!$F:$F,$K85)="Completado",INDEX('Detalle individual'!$H:$H,$K85),""))</f>
        <v/>
      </c>
      <c r="J85" s="78" t="str">
        <f>IF($K85="","",IF(INDEX('Detalle individual'!$F:$F,$K85)="Completado",INDEX('Detalle individual'!$J:$J,$K85),""))</f>
        <v/>
      </c>
      <c r="K85">
        <f>IFERROR(MOD(SMALL('Cálculos'!$Z$5:$Z$295,77),300),"")</f>
        <v>85</v>
      </c>
    </row>
    <row r="86">
      <c r="B86" s="63">
        <f>IF($K86="","",78)</f>
        <v>78</v>
      </c>
      <c r="C86" s="63" t="str">
        <f>IF($K86="","",INDEX('Detalle individual'!$A:$A,$K86))</f>
        <v>235</v>
      </c>
      <c r="D86" s="64" t="str">
        <f>IF($K86="","",TRIM(INDEX('Detalle individual'!$B:$B,$K86)))</f>
        <v>CLAUDIA MARLENE CABRERA SANCHEZ</v>
      </c>
      <c r="E86" s="64" t="str">
        <f>IF($K86="","",TRIM(INDEX('Detalle individual'!$E:$E,$K86)))</f>
        <v>SUPERVISOR DE CONTABILIDAD</v>
      </c>
      <c r="F86" s="64" t="str">
        <f>IF($K86="","",TRIM(INDEX('Detalle individual'!$C:$C,$K86)))</f>
        <v>DEPARTAMENTO DE CONTABILIDAD</v>
      </c>
      <c r="G86" s="64" t="str">
        <f>IF($K86="","",INDEX('Detalle individual'!$D:$D,$K86))</f>
        <v>Gerencia de Finanzas y Planificación</v>
      </c>
      <c r="H86" s="63" t="str">
        <f>IF($K86="","",INDEX('Detalle individual'!$F:$F,$K86))</f>
        <v>Pendiente</v>
      </c>
      <c r="I86" s="77" t="str">
        <f>IF($K86="","",IF(INDEX('Detalle individual'!$F:$F,$K86)="Completado",INDEX('Detalle individual'!$H:$H,$K86),""))</f>
        <v/>
      </c>
      <c r="J86" s="78" t="str">
        <f>IF($K86="","",IF(INDEX('Detalle individual'!$F:$F,$K86)="Completado",INDEX('Detalle individual'!$J:$J,$K86),""))</f>
        <v/>
      </c>
      <c r="K86">
        <f>IFERROR(MOD(SMALL('Cálculos'!$Z$5:$Z$295,78),300),"")</f>
        <v>86</v>
      </c>
    </row>
    <row r="87">
      <c r="B87" s="63">
        <f>IF($K87="","",79)</f>
        <v>79</v>
      </c>
      <c r="C87" s="63" t="str">
        <f>IF($K87="","",INDEX('Detalle individual'!$A:$A,$K87))</f>
        <v>374</v>
      </c>
      <c r="D87" s="64" t="str">
        <f>IF($K87="","",TRIM(INDEX('Detalle individual'!$B:$B,$K87)))</f>
        <v>THELMA JUDITH QUINTANILLA VALLE</v>
      </c>
      <c r="E87" s="64" t="str">
        <f>IF($K87="","",TRIM(INDEX('Detalle individual'!$E:$E,$K87)))</f>
        <v>AUXILIAR CONTABLE DE DIGITALIZACION</v>
      </c>
      <c r="F87" s="64" t="str">
        <f>IF($K87="","",TRIM(INDEX('Detalle individual'!$C:$C,$K87)))</f>
        <v>DEPARTAMENTO DE CONTABILIDAD</v>
      </c>
      <c r="G87" s="64" t="str">
        <f>IF($K87="","",INDEX('Detalle individual'!$D:$D,$K87))</f>
        <v>Gerencia de Finanzas y Planificación</v>
      </c>
      <c r="H87" s="63" t="str">
        <f>IF($K87="","",INDEX('Detalle individual'!$F:$F,$K87))</f>
        <v>Pendiente</v>
      </c>
      <c r="I87" s="77" t="str">
        <f>IF($K87="","",IF(INDEX('Detalle individual'!$F:$F,$K87)="Completado",INDEX('Detalle individual'!$H:$H,$K87),""))</f>
        <v/>
      </c>
      <c r="J87" s="78" t="str">
        <f>IF($K87="","",IF(INDEX('Detalle individual'!$F:$F,$K87)="Completado",INDEX('Detalle individual'!$J:$J,$K87),""))</f>
        <v/>
      </c>
      <c r="K87">
        <f>IFERROR(MOD(SMALL('Cálculos'!$Z$5:$Z$295,79),300),"")</f>
        <v>88</v>
      </c>
    </row>
    <row r="88">
      <c r="B88" s="63">
        <f>IF($K88="","",80)</f>
        <v>80</v>
      </c>
      <c r="C88" s="63" t="str">
        <f>IF($K88="","",INDEX('Detalle individual'!$A:$A,$K88))</f>
        <v>571</v>
      </c>
      <c r="D88" s="64" t="str">
        <f>IF($K88="","",TRIM(INDEX('Detalle individual'!$B:$B,$K88)))</f>
        <v>MILAGRO TRINIDAD ROMERO MONTERROSA</v>
      </c>
      <c r="E88" s="64" t="str">
        <f>IF($K88="","",TRIM(INDEX('Detalle individual'!$E:$E,$K88)))</f>
        <v>ASISTENTE TECNICO DE IMPUESTOS</v>
      </c>
      <c r="F88" s="64" t="str">
        <f>IF($K88="","",TRIM(INDEX('Detalle individual'!$C:$C,$K88)))</f>
        <v>DEPARTAMENTO DE CONTABILIDAD</v>
      </c>
      <c r="G88" s="64" t="str">
        <f>IF($K88="","",INDEX('Detalle individual'!$D:$D,$K88))</f>
        <v>Gerencia de Finanzas y Planificación</v>
      </c>
      <c r="H88" s="63" t="str">
        <f>IF($K88="","",INDEX('Detalle individual'!$F:$F,$K88))</f>
        <v>Pendiente</v>
      </c>
      <c r="I88" s="77" t="str">
        <f>IF($K88="","",IF(INDEX('Detalle individual'!$F:$F,$K88)="Completado",INDEX('Detalle individual'!$H:$H,$K88),""))</f>
        <v/>
      </c>
      <c r="J88" s="78" t="str">
        <f>IF($K88="","",IF(INDEX('Detalle individual'!$F:$F,$K88)="Completado",INDEX('Detalle individual'!$J:$J,$K88),""))</f>
        <v/>
      </c>
      <c r="K88">
        <f>IFERROR(MOD(SMALL('Cálculos'!$Z$5:$Z$295,80),300),"")</f>
        <v>89</v>
      </c>
    </row>
    <row r="89">
      <c r="B89" s="63">
        <f>IF($K89="","",81)</f>
        <v>81</v>
      </c>
      <c r="C89" s="63" t="str">
        <f>IF($K89="","",INDEX('Detalle individual'!$A:$A,$K89))</f>
        <v>749</v>
      </c>
      <c r="D89" s="64" t="str">
        <f>IF($K89="","",TRIM(INDEX('Detalle individual'!$B:$B,$K89)))</f>
        <v>JENNIFER MARCELA MORALES TORRES</v>
      </c>
      <c r="E89" s="64" t="str">
        <f>IF($K89="","",TRIM(INDEX('Detalle individual'!$E:$E,$K89)))</f>
        <v>CONTADOR BANCARIO</v>
      </c>
      <c r="F89" s="64" t="str">
        <f>IF($K89="","",TRIM(INDEX('Detalle individual'!$C:$C,$K89)))</f>
        <v>DEPARTAMENTO DE CONTABILIDAD</v>
      </c>
      <c r="G89" s="64" t="str">
        <f>IF($K89="","",INDEX('Detalle individual'!$D:$D,$K89))</f>
        <v>Gerencia de Finanzas y Planificación</v>
      </c>
      <c r="H89" s="63" t="str">
        <f>IF($K89="","",INDEX('Detalle individual'!$F:$F,$K89))</f>
        <v>Pendiente</v>
      </c>
      <c r="I89" s="77" t="str">
        <f>IF($K89="","",IF(INDEX('Detalle individual'!$F:$F,$K89)="Completado",INDEX('Detalle individual'!$H:$H,$K89),""))</f>
        <v/>
      </c>
      <c r="J89" s="78" t="str">
        <f>IF($K89="","",IF(INDEX('Detalle individual'!$F:$F,$K89)="Completado",INDEX('Detalle individual'!$J:$J,$K89),""))</f>
        <v/>
      </c>
      <c r="K89">
        <f>IFERROR(MOD(SMALL('Cálculos'!$Z$5:$Z$295,81),300),"")</f>
        <v>92</v>
      </c>
    </row>
    <row r="90">
      <c r="B90" s="63">
        <f>IF($K90="","",82)</f>
        <v>82</v>
      </c>
      <c r="C90" s="63" t="str">
        <f>IF($K90="","",INDEX('Detalle individual'!$A:$A,$K90))</f>
        <v>916</v>
      </c>
      <c r="D90" s="64" t="str">
        <f>IF($K90="","",TRIM(INDEX('Detalle individual'!$B:$B,$K90)))</f>
        <v>JORDAN ALEXANDER FLORES HERRERA</v>
      </c>
      <c r="E90" s="64" t="str">
        <f>IF($K90="","",TRIM(INDEX('Detalle individual'!$E:$E,$K90)))</f>
        <v>AUXILIAR CONTABLE DE DIGITALIZACION</v>
      </c>
      <c r="F90" s="64" t="str">
        <f>IF($K90="","",TRIM(INDEX('Detalle individual'!$C:$C,$K90)))</f>
        <v>DEPARTAMENTO DE CONTABILIDAD</v>
      </c>
      <c r="G90" s="64" t="str">
        <f>IF($K90="","",INDEX('Detalle individual'!$D:$D,$K90))</f>
        <v>Gerencia de Finanzas y Planificación</v>
      </c>
      <c r="H90" s="63" t="str">
        <f>IF($K90="","",INDEX('Detalle individual'!$F:$F,$K90))</f>
        <v>Pendiente</v>
      </c>
      <c r="I90" s="77" t="str">
        <f>IF($K90="","",IF(INDEX('Detalle individual'!$F:$F,$K90)="Completado",INDEX('Detalle individual'!$H:$H,$K90),""))</f>
        <v/>
      </c>
      <c r="J90" s="78" t="str">
        <f>IF($K90="","",IF(INDEX('Detalle individual'!$F:$F,$K90)="Completado",INDEX('Detalle individual'!$J:$J,$K90),""))</f>
        <v/>
      </c>
      <c r="K90">
        <f>IFERROR(MOD(SMALL('Cálculos'!$Z$5:$Z$295,82),300),"")</f>
        <v>97</v>
      </c>
    </row>
    <row r="91">
      <c r="B91" s="63">
        <f>IF($K91="","",83)</f>
        <v>83</v>
      </c>
      <c r="C91" s="63" t="str">
        <f>IF($K91="","",INDEX('Detalle individual'!$A:$A,$K91))</f>
        <v>207</v>
      </c>
      <c r="D91" s="64" t="str">
        <f>IF($K91="","",TRIM(INDEX('Detalle individual'!$B:$B,$K91)))</f>
        <v>ANA ESTER ERAZO ORTIZ</v>
      </c>
      <c r="E91" s="64" t="str">
        <f>IF($K91="","",TRIM(INDEX('Detalle individual'!$E:$E,$K91)))</f>
        <v>ANALISTA DE CREDITOS</v>
      </c>
      <c r="F91" s="64" t="str">
        <f>IF($K91="","",TRIM(INDEX('Detalle individual'!$C:$C,$K91)))</f>
        <v>DEPARTAMENTO DE CREDITOS</v>
      </c>
      <c r="G91" s="64" t="str">
        <f>IF($K91="","",INDEX('Detalle individual'!$D:$D,$K91))</f>
        <v>Gerencia de Negocios</v>
      </c>
      <c r="H91" s="63" t="str">
        <f>IF($K91="","",INDEX('Detalle individual'!$F:$F,$K91))</f>
        <v>Pendiente</v>
      </c>
      <c r="I91" s="77" t="str">
        <f>IF($K91="","",IF(INDEX('Detalle individual'!$F:$F,$K91)="Completado",INDEX('Detalle individual'!$H:$H,$K91),""))</f>
        <v/>
      </c>
      <c r="J91" s="78" t="str">
        <f>IF($K91="","",IF(INDEX('Detalle individual'!$F:$F,$K91)="Completado",INDEX('Detalle individual'!$J:$J,$K91),""))</f>
        <v/>
      </c>
      <c r="K91">
        <f>IFERROR(MOD(SMALL('Cálculos'!$Z$5:$Z$295,83),300),"")</f>
        <v>152</v>
      </c>
    </row>
    <row r="92">
      <c r="B92" s="63">
        <f>IF($K92="","",84)</f>
        <v>84</v>
      </c>
      <c r="C92" s="63" t="str">
        <f>IF($K92="","",INDEX('Detalle individual'!$A:$A,$K92))</f>
        <v>377</v>
      </c>
      <c r="D92" s="64" t="str">
        <f>IF($K92="","",TRIM(INDEX('Detalle individual'!$B:$B,$K92)))</f>
        <v>MABEL GERALDINE RAMIREZ PORTILLO</v>
      </c>
      <c r="E92" s="64" t="str">
        <f>IF($K92="","",TRIM(INDEX('Detalle individual'!$E:$E,$K92)))</f>
        <v>SUPERVISOR DE ANALISTAS DE CREDITOS</v>
      </c>
      <c r="F92" s="64" t="str">
        <f>IF($K92="","",TRIM(INDEX('Detalle individual'!$C:$C,$K92)))</f>
        <v>DEPARTAMENTO DE CREDITOS</v>
      </c>
      <c r="G92" s="64" t="str">
        <f>IF($K92="","",INDEX('Detalle individual'!$D:$D,$K92))</f>
        <v>Gerencia de Negocios</v>
      </c>
      <c r="H92" s="63" t="str">
        <f>IF($K92="","",INDEX('Detalle individual'!$F:$F,$K92))</f>
        <v>Pendiente</v>
      </c>
      <c r="I92" s="77" t="str">
        <f>IF($K92="","",IF(INDEX('Detalle individual'!$F:$F,$K92)="Completado",INDEX('Detalle individual'!$H:$H,$K92),""))</f>
        <v/>
      </c>
      <c r="J92" s="78" t="str">
        <f>IF($K92="","",IF(INDEX('Detalle individual'!$F:$F,$K92)="Completado",INDEX('Detalle individual'!$J:$J,$K92),""))</f>
        <v/>
      </c>
      <c r="K92">
        <f>IFERROR(MOD(SMALL('Cálculos'!$Z$5:$Z$295,84),300),"")</f>
        <v>154</v>
      </c>
    </row>
    <row r="93">
      <c r="B93" s="63">
        <f>IF($K93="","",85)</f>
        <v>85</v>
      </c>
      <c r="C93" s="63" t="str">
        <f>IF($K93="","",INDEX('Detalle individual'!$A:$A,$K93))</f>
        <v>730</v>
      </c>
      <c r="D93" s="64" t="str">
        <f>IF($K93="","",TRIM(INDEX('Detalle individual'!$B:$B,$K93)))</f>
        <v>YANETH HERNANDEZ YANES</v>
      </c>
      <c r="E93" s="64" t="str">
        <f>IF($K93="","",TRIM(INDEX('Detalle individual'!$E:$E,$K93)))</f>
        <v>JEFE DE CREDITOS</v>
      </c>
      <c r="F93" s="64" t="str">
        <f>IF($K93="","",TRIM(INDEX('Detalle individual'!$C:$C,$K93)))</f>
        <v>DEPARTAMENTO DE CREDITOS</v>
      </c>
      <c r="G93" s="64" t="str">
        <f>IF($K93="","",INDEX('Detalle individual'!$D:$D,$K93))</f>
        <v>Gerencia de Negocios</v>
      </c>
      <c r="H93" s="63" t="str">
        <f>IF($K93="","",INDEX('Detalle individual'!$F:$F,$K93))</f>
        <v>Pendiente</v>
      </c>
      <c r="I93" s="77" t="str">
        <f>IF($K93="","",IF(INDEX('Detalle individual'!$F:$F,$K93)="Completado",INDEX('Detalle individual'!$H:$H,$K93),""))</f>
        <v/>
      </c>
      <c r="J93" s="78" t="str">
        <f>IF($K93="","",IF(INDEX('Detalle individual'!$F:$F,$K93)="Completado",INDEX('Detalle individual'!$J:$J,$K93),""))</f>
        <v/>
      </c>
      <c r="K93">
        <f>IFERROR(MOD(SMALL('Cálculos'!$Z$5:$Z$295,85),300),"")</f>
        <v>158</v>
      </c>
    </row>
    <row r="94">
      <c r="B94" s="63">
        <f>IF($K94="","",86)</f>
        <v>86</v>
      </c>
      <c r="C94" s="63" t="str">
        <f>IF($K94="","",INDEX('Detalle individual'!$A:$A,$K94))</f>
        <v>809</v>
      </c>
      <c r="D94" s="64" t="str">
        <f>IF($K94="","",TRIM(INDEX('Detalle individual'!$B:$B,$K94)))</f>
        <v>KARLA VANESSA GARCIA OLIVA</v>
      </c>
      <c r="E94" s="64" t="str">
        <f>IF($K94="","",TRIM(INDEX('Detalle individual'!$E:$E,$K94)))</f>
        <v>ANALISTA DE CREDITOS</v>
      </c>
      <c r="F94" s="64" t="str">
        <f>IF($K94="","",TRIM(INDEX('Detalle individual'!$C:$C,$K94)))</f>
        <v>DEPARTAMENTO DE CREDITOS</v>
      </c>
      <c r="G94" s="64" t="str">
        <f>IF($K94="","",INDEX('Detalle individual'!$D:$D,$K94))</f>
        <v>Gerencia de Negocios</v>
      </c>
      <c r="H94" s="63" t="str">
        <f>IF($K94="","",INDEX('Detalle individual'!$F:$F,$K94))</f>
        <v>Pendiente</v>
      </c>
      <c r="I94" s="77" t="str">
        <f>IF($K94="","",IF(INDEX('Detalle individual'!$F:$F,$K94)="Completado",INDEX('Detalle individual'!$H:$H,$K94),""))</f>
        <v/>
      </c>
      <c r="J94" s="78" t="str">
        <f>IF($K94="","",IF(INDEX('Detalle individual'!$F:$F,$K94)="Completado",INDEX('Detalle individual'!$J:$J,$K94),""))</f>
        <v/>
      </c>
      <c r="K94">
        <f>IFERROR(MOD(SMALL('Cálculos'!$Z$5:$Z$295,86),300),"")</f>
        <v>161</v>
      </c>
    </row>
    <row r="95">
      <c r="B95" s="63">
        <f>IF($K95="","",87)</f>
        <v>87</v>
      </c>
      <c r="C95" s="63" t="str">
        <f>IF($K95="","",INDEX('Detalle individual'!$A:$A,$K95))</f>
        <v>939</v>
      </c>
      <c r="D95" s="64" t="str">
        <f>IF($K95="","",TRIM(INDEX('Detalle individual'!$B:$B,$K95)))</f>
        <v>MARIO LEONEL CANDRAY FLORES</v>
      </c>
      <c r="E95" s="64" t="str">
        <f>IF($K95="","",TRIM(INDEX('Detalle individual'!$E:$E,$K95)))</f>
        <v>ANALISTA DE CREDITOS</v>
      </c>
      <c r="F95" s="64" t="str">
        <f>IF($K95="","",TRIM(INDEX('Detalle individual'!$C:$C,$K95)))</f>
        <v>DEPARTAMENTO DE CREDITOS</v>
      </c>
      <c r="G95" s="64" t="str">
        <f>IF($K95="","",INDEX('Detalle individual'!$D:$D,$K95))</f>
        <v>Gerencia de Negocios</v>
      </c>
      <c r="H95" s="63" t="str">
        <f>IF($K95="","",INDEX('Detalle individual'!$F:$F,$K95))</f>
        <v>Pendiente</v>
      </c>
      <c r="I95" s="77" t="str">
        <f>IF($K95="","",IF(INDEX('Detalle individual'!$F:$F,$K95)="Completado",INDEX('Detalle individual'!$H:$H,$K95),""))</f>
        <v/>
      </c>
      <c r="J95" s="78" t="str">
        <f>IF($K95="","",IF(INDEX('Detalle individual'!$F:$F,$K95)="Completado",INDEX('Detalle individual'!$J:$J,$K95),""))</f>
        <v/>
      </c>
      <c r="K95">
        <f>IFERROR(MOD(SMALL('Cálculos'!$Z$5:$Z$295,87),300),"")</f>
        <v>163</v>
      </c>
    </row>
    <row r="96">
      <c r="B96" s="63">
        <f>IF($K96="","",88)</f>
        <v>88</v>
      </c>
      <c r="C96" s="63" t="str">
        <f>IF($K96="","",INDEX('Detalle individual'!$A:$A,$K96))</f>
        <v>979</v>
      </c>
      <c r="D96" s="64" t="str">
        <f>IF($K96="","",TRIM(INDEX('Detalle individual'!$B:$B,$K96)))</f>
        <v>MARIA LILIAN MENJIVAR GUARDADO</v>
      </c>
      <c r="E96" s="64" t="str">
        <f>IF($K96="","",TRIM(INDEX('Detalle individual'!$E:$E,$K96)))</f>
        <v>ANALISTA DE CREDITOS</v>
      </c>
      <c r="F96" s="64" t="str">
        <f>IF($K96="","",TRIM(INDEX('Detalle individual'!$C:$C,$K96)))</f>
        <v>DEPARTAMENTO DE CREDITOS</v>
      </c>
      <c r="G96" s="64" t="str">
        <f>IF($K96="","",INDEX('Detalle individual'!$D:$D,$K96))</f>
        <v>Gerencia de Negocios</v>
      </c>
      <c r="H96" s="63" t="str">
        <f>IF($K96="","",INDEX('Detalle individual'!$F:$F,$K96))</f>
        <v>Pendiente</v>
      </c>
      <c r="I96" s="77" t="str">
        <f>IF($K96="","",IF(INDEX('Detalle individual'!$F:$F,$K96)="Completado",INDEX('Detalle individual'!$H:$H,$K96),""))</f>
        <v/>
      </c>
      <c r="J96" s="78" t="str">
        <f>IF($K96="","",IF(INDEX('Detalle individual'!$F:$F,$K96)="Completado",INDEX('Detalle individual'!$J:$J,$K96),""))</f>
        <v/>
      </c>
      <c r="K96">
        <f>IFERROR(MOD(SMALL('Cálculos'!$Z$5:$Z$295,88),300),"")</f>
        <v>164</v>
      </c>
    </row>
    <row r="97">
      <c r="B97" s="63">
        <f>IF($K97="","",89)</f>
        <v>89</v>
      </c>
      <c r="C97" s="63" t="str">
        <f>IF($K97="","",INDEX('Detalle individual'!$A:$A,$K97))</f>
        <v>284</v>
      </c>
      <c r="D97" s="64" t="str">
        <f>IF($K97="","",TRIM(INDEX('Detalle individual'!$B:$B,$K97)))</f>
        <v>MARIO ANTONIO NAVARRO PINEDA</v>
      </c>
      <c r="E97" s="64" t="str">
        <f>IF($K97="","",TRIM(INDEX('Detalle individual'!$E:$E,$K97)))</f>
        <v>JEFE DE DEPOSITOS</v>
      </c>
      <c r="F97" s="64" t="str">
        <f>IF($K97="","",TRIM(INDEX('Detalle individual'!$C:$C,$K97)))</f>
        <v>DEPARTAMENTO DE DEPOSITOS</v>
      </c>
      <c r="G97" s="64" t="str">
        <f>IF($K97="","",INDEX('Detalle individual'!$D:$D,$K97))</f>
        <v>Gerencia de Operaciones</v>
      </c>
      <c r="H97" s="63" t="str">
        <f>IF($K97="","",INDEX('Detalle individual'!$F:$F,$K97))</f>
        <v>Pendiente</v>
      </c>
      <c r="I97" s="77" t="str">
        <f>IF($K97="","",IF(INDEX('Detalle individual'!$F:$F,$K97)="Completado",INDEX('Detalle individual'!$H:$H,$K97),""))</f>
        <v/>
      </c>
      <c r="J97" s="78" t="str">
        <f>IF($K97="","",IF(INDEX('Detalle individual'!$F:$F,$K97)="Completado",INDEX('Detalle individual'!$J:$J,$K97),""))</f>
        <v/>
      </c>
      <c r="K97">
        <f>IFERROR(MOD(SMALL('Cálculos'!$Z$5:$Z$295,89),300),"")</f>
        <v>75</v>
      </c>
    </row>
    <row r="98">
      <c r="B98" s="63">
        <f>IF($K98="","",90)</f>
        <v>90</v>
      </c>
      <c r="C98" s="63" t="str">
        <f>IF($K98="","",INDEX('Detalle individual'!$A:$A,$K98))</f>
        <v>847</v>
      </c>
      <c r="D98" s="64" t="str">
        <f>IF($K98="","",TRIM(INDEX('Detalle individual'!$B:$B,$K98)))</f>
        <v>ZULEYMA ALEJANDRA VASQUEZ MARIN</v>
      </c>
      <c r="E98" s="64" t="str">
        <f>IF($K98="","",TRIM(INDEX('Detalle individual'!$E:$E,$K98)))</f>
        <v>JEFE DE EDUCACION Y RESPONSABILIDAD SOCIAL</v>
      </c>
      <c r="F98" s="64" t="str">
        <f>IF($K98="","",TRIM(INDEX('Detalle individual'!$C:$C,$K98)))</f>
        <v>DEPARTAMENTO DE EDUCACION Y RESPONSABILIDAD SOCIAL</v>
      </c>
      <c r="G98" s="64" t="str">
        <f>IF($K98="","",INDEX('Detalle individual'!$D:$D,$K98))</f>
        <v>Gerencia de Negocios</v>
      </c>
      <c r="H98" s="63" t="str">
        <f>IF($K98="","",INDEX('Detalle individual'!$F:$F,$K98))</f>
        <v>Pendiente</v>
      </c>
      <c r="I98" s="77" t="str">
        <f>IF($K98="","",IF(INDEX('Detalle individual'!$F:$F,$K98)="Completado",INDEX('Detalle individual'!$H:$H,$K98),""))</f>
        <v/>
      </c>
      <c r="J98" s="78" t="str">
        <f>IF($K98="","",IF(INDEX('Detalle individual'!$F:$F,$K98)="Completado",INDEX('Detalle individual'!$J:$J,$K98),""))</f>
        <v/>
      </c>
      <c r="K98">
        <f>IFERROR(MOD(SMALL('Cálculos'!$Z$5:$Z$295,90),300),"")</f>
        <v>56</v>
      </c>
    </row>
    <row r="99">
      <c r="B99" s="63">
        <f>IF($K99="","",91)</f>
        <v>91</v>
      </c>
      <c r="C99" s="63" t="str">
        <f>IF($K99="","",INDEX('Detalle individual'!$A:$A,$K99))</f>
        <v>919</v>
      </c>
      <c r="D99" s="64" t="str">
        <f>IF($K99="","",TRIM(INDEX('Detalle individual'!$B:$B,$K99)))</f>
        <v>CARLOS EDUARDO SERVELLON PEREZ</v>
      </c>
      <c r="E99" s="64" t="str">
        <f>IF($K99="","",TRIM(INDEX('Detalle individual'!$E:$E,$K99)))</f>
        <v>AUXILIAR DE EDUCACION Y RESPONSABILIDAD SOCIAL</v>
      </c>
      <c r="F99" s="64" t="str">
        <f>IF($K99="","",TRIM(INDEX('Detalle individual'!$C:$C,$K99)))</f>
        <v>DEPARTAMENTO DE EDUCACION Y RESPONSABILIDAD SOCIAL</v>
      </c>
      <c r="G99" s="64" t="str">
        <f>IF($K99="","",INDEX('Detalle individual'!$D:$D,$K99))</f>
        <v>Gerencia de Negocios</v>
      </c>
      <c r="H99" s="63" t="str">
        <f>IF($K99="","",INDEX('Detalle individual'!$F:$F,$K99))</f>
        <v>Pendiente</v>
      </c>
      <c r="I99" s="77" t="str">
        <f>IF($K99="","",IF(INDEX('Detalle individual'!$F:$F,$K99)="Completado",INDEX('Detalle individual'!$H:$H,$K99),""))</f>
        <v/>
      </c>
      <c r="J99" s="78" t="str">
        <f>IF($K99="","",IF(INDEX('Detalle individual'!$F:$F,$K99)="Completado",INDEX('Detalle individual'!$J:$J,$K99),""))</f>
        <v/>
      </c>
      <c r="K99">
        <f>IFERROR(MOD(SMALL('Cálculos'!$Z$5:$Z$295,91),300),"")</f>
        <v>58</v>
      </c>
    </row>
    <row r="100">
      <c r="B100" s="63">
        <f>IF($K100="","",92)</f>
        <v>92</v>
      </c>
      <c r="C100" s="63" t="str">
        <f>IF($K100="","",INDEX('Detalle individual'!$A:$A,$K100))</f>
        <v>219</v>
      </c>
      <c r="D100" s="64" t="str">
        <f>IF($K100="","",TRIM(INDEX('Detalle individual'!$B:$B,$K100)))</f>
        <v>IVONNE LISSETH DE JESUS RODRIGUEZ FLORES</v>
      </c>
      <c r="E100" s="64" t="str">
        <f>IF($K100="","",TRIM(INDEX('Detalle individual'!$E:$E,$K100)))</f>
        <v>ASISTENTE TELEMARKETING</v>
      </c>
      <c r="F100" s="64" t="str">
        <f>IF($K100="","",TRIM(INDEX('Detalle individual'!$C:$C,$K100)))</f>
        <v>DEPARTAMENTO DE MERCADEO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Pendiente</v>
      </c>
      <c r="I100" s="77" t="str">
        <f>IF($K100="","",IF(INDEX('Detalle individual'!$F:$F,$K100)="Completado",INDEX('Detalle individual'!$H:$H,$K100),""))</f>
        <v/>
      </c>
      <c r="J100" s="78" t="str">
        <f>IF($K100="","",IF(INDEX('Detalle individual'!$F:$F,$K100)="Completado",INDEX('Detalle individual'!$J:$J,$K100),""))</f>
        <v/>
      </c>
      <c r="K100">
        <f>IFERROR(MOD(SMALL('Cálculos'!$Z$5:$Z$295,92),300),"")</f>
        <v>145</v>
      </c>
    </row>
    <row r="101">
      <c r="B101" s="63">
        <f>IF($K101="","",93)</f>
        <v>93</v>
      </c>
      <c r="C101" s="63" t="str">
        <f>IF($K101="","",INDEX('Detalle individual'!$A:$A,$K101))</f>
        <v>361</v>
      </c>
      <c r="D101" s="64" t="str">
        <f>IF($K101="","",TRIM(INDEX('Detalle individual'!$B:$B,$K101)))</f>
        <v>JOSE CARLOS IRENEO HERNANDEZ RODRIGUEZ</v>
      </c>
      <c r="E101" s="64" t="str">
        <f>IF($K101="","",TRIM(INDEX('Detalle individual'!$E:$E,$K101)))</f>
        <v>ASISTENTE TECNICO DE MERCADEO</v>
      </c>
      <c r="F101" s="64" t="str">
        <f>IF($K101="","",TRIM(INDEX('Detalle individual'!$C:$C,$K101)))</f>
        <v>DEPARTAMENTO DE MERCADEO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Pendiente</v>
      </c>
      <c r="I101" s="77" t="str">
        <f>IF($K101="","",IF(INDEX('Detalle individual'!$F:$F,$K101)="Completado",INDEX('Detalle individual'!$H:$H,$K101),""))</f>
        <v/>
      </c>
      <c r="J101" s="78" t="str">
        <f>IF($K101="","",IF(INDEX('Detalle individual'!$F:$F,$K101)="Completado",INDEX('Detalle individual'!$J:$J,$K101),""))</f>
        <v/>
      </c>
      <c r="K101">
        <f>IFERROR(MOD(SMALL('Cálculos'!$Z$5:$Z$295,93),300),"")</f>
        <v>146</v>
      </c>
    </row>
    <row r="102">
      <c r="B102" s="63">
        <f>IF($K102="","",94)</f>
        <v>94</v>
      </c>
      <c r="C102" s="63" t="str">
        <f>IF($K102="","",INDEX('Detalle individual'!$A:$A,$K102))</f>
        <v>591</v>
      </c>
      <c r="D102" s="64" t="str">
        <f>IF($K102="","",TRIM(INDEX('Detalle individual'!$B:$B,$K102)))</f>
        <v>CARMEN MARIA GUTIERREZ ESTRADA</v>
      </c>
      <c r="E102" s="64" t="str">
        <f>IF($K102="","",TRIM(INDEX('Detalle individual'!$E:$E,$K102)))</f>
        <v>JEFE DE MERCADEO</v>
      </c>
      <c r="F102" s="64" t="str">
        <f>IF($K102="","",TRIM(INDEX('Detalle individual'!$C:$C,$K102)))</f>
        <v>DEPARTAMENTO DE MERCADEO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Pendiente</v>
      </c>
      <c r="I102" s="77" t="str">
        <f>IF($K102="","",IF(INDEX('Detalle individual'!$F:$F,$K102)="Completado",INDEX('Detalle individual'!$H:$H,$K102),""))</f>
        <v/>
      </c>
      <c r="J102" s="78" t="str">
        <f>IF($K102="","",IF(INDEX('Detalle individual'!$F:$F,$K102)="Completado",INDEX('Detalle individual'!$J:$J,$K102),""))</f>
        <v/>
      </c>
      <c r="K102">
        <f>IFERROR(MOD(SMALL('Cálculos'!$Z$5:$Z$295,94),300),"")</f>
        <v>147</v>
      </c>
    </row>
    <row r="103">
      <c r="B103" s="63">
        <f>IF($K103="","",95)</f>
        <v>95</v>
      </c>
      <c r="C103" s="63" t="str">
        <f>IF($K103="","",INDEX('Detalle individual'!$A:$A,$K103))</f>
        <v>723</v>
      </c>
      <c r="D103" s="64" t="str">
        <f>IF($K103="","",TRIM(INDEX('Detalle individual'!$B:$B,$K103)))</f>
        <v>LUIS FAUSTONY VASQUEZ CIENFUEGOS</v>
      </c>
      <c r="E103" s="64" t="str">
        <f>IF($K103="","",TRIM(INDEX('Detalle individual'!$E:$E,$K103)))</f>
        <v>GESTOR DE DOCUMENTOS</v>
      </c>
      <c r="F103" s="64" t="str">
        <f>IF($K103="","",TRIM(INDEX('Detalle individual'!$C:$C,$K103)))</f>
        <v>DEPARTAMENTO DE MERCADEO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Pendiente</v>
      </c>
      <c r="I103" s="77" t="str">
        <f>IF($K103="","",IF(INDEX('Detalle individual'!$F:$F,$K103)="Completado",INDEX('Detalle individual'!$H:$H,$K103),""))</f>
        <v/>
      </c>
      <c r="J103" s="78" t="str">
        <f>IF($K103="","",IF(INDEX('Detalle individual'!$F:$F,$K103)="Completado",INDEX('Detalle individual'!$J:$J,$K103),""))</f>
        <v/>
      </c>
      <c r="K103">
        <f>IFERROR(MOD(SMALL('Cálculos'!$Z$5:$Z$295,95),300),"")</f>
        <v>148</v>
      </c>
    </row>
    <row r="104">
      <c r="B104" s="63">
        <f>IF($K104="","",96)</f>
        <v>96</v>
      </c>
      <c r="C104" s="63" t="str">
        <f>IF($K104="","",INDEX('Detalle individual'!$A:$A,$K104))</f>
        <v>895</v>
      </c>
      <c r="D104" s="64" t="str">
        <f>IF($K104="","",TRIM(INDEX('Detalle individual'!$B:$B,$K104)))</f>
        <v>MARIA ALEJANDRA BATRES ALVARADO</v>
      </c>
      <c r="E104" s="64" t="str">
        <f>IF($K104="","",TRIM(INDEX('Detalle individual'!$E:$E,$K104)))</f>
        <v>DISEÑADOR GRAFICO</v>
      </c>
      <c r="F104" s="64" t="str">
        <f>IF($K104="","",TRIM(INDEX('Detalle individual'!$C:$C,$K104)))</f>
        <v>DEPARTAMENTO DE MERCADEO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Pendiente</v>
      </c>
      <c r="I104" s="77" t="str">
        <f>IF($K104="","",IF(INDEX('Detalle individual'!$F:$F,$K104)="Completado",INDEX('Detalle individual'!$H:$H,$K104),""))</f>
        <v/>
      </c>
      <c r="J104" s="78" t="str">
        <f>IF($K104="","",IF(INDEX('Detalle individual'!$F:$F,$K104)="Completado",INDEX('Detalle individual'!$J:$J,$K104),""))</f>
        <v/>
      </c>
      <c r="K104">
        <f>IFERROR(MOD(SMALL('Cálculos'!$Z$5:$Z$295,96),300),"")</f>
        <v>149</v>
      </c>
    </row>
    <row r="105">
      <c r="B105" s="63">
        <f>IF($K105="","",97)</f>
        <v>97</v>
      </c>
      <c r="C105" s="63" t="str">
        <f>IF($K105="","",INDEX('Detalle individual'!$A:$A,$K105))</f>
        <v>897</v>
      </c>
      <c r="D105" s="64" t="str">
        <f>IF($K105="","",TRIM(INDEX('Detalle individual'!$B:$B,$K105)))</f>
        <v>GERARDO ALEXANDER MARTINEZ RIVERA</v>
      </c>
      <c r="E105" s="64" t="str">
        <f>IF($K105="","",TRIM(INDEX('Detalle individual'!$E:$E,$K105)))</f>
        <v>ANALISTA DE COMUNICACIONES</v>
      </c>
      <c r="F105" s="64" t="str">
        <f>IF($K105="","",TRIM(INDEX('Detalle individual'!$C:$C,$K105)))</f>
        <v>DEPARTAMENTO DE MERCADEO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Pendiente</v>
      </c>
      <c r="I105" s="77" t="str">
        <f>IF($K105="","",IF(INDEX('Detalle individual'!$F:$F,$K105)="Completado",INDEX('Detalle individual'!$H:$H,$K105),""))</f>
        <v/>
      </c>
      <c r="J105" s="78" t="str">
        <f>IF($K105="","",IF(INDEX('Detalle individual'!$F:$F,$K105)="Completado",INDEX('Detalle individual'!$J:$J,$K105),""))</f>
        <v/>
      </c>
      <c r="K105">
        <f>IFERROR(MOD(SMALL('Cálculos'!$Z$5:$Z$295,97),300),"")</f>
        <v>150</v>
      </c>
    </row>
    <row r="106">
      <c r="B106" s="63">
        <f>IF($K106="","",98)</f>
        <v>98</v>
      </c>
      <c r="C106" s="63" t="str">
        <f>IF($K106="","",INDEX('Detalle individual'!$A:$A,$K106))</f>
        <v>90</v>
      </c>
      <c r="D106" s="64" t="str">
        <f>IF($K106="","",TRIM(INDEX('Detalle individual'!$B:$B,$K106)))</f>
        <v>HUGO MARVIN SERRANO SARAVIA</v>
      </c>
      <c r="E106" s="64" t="str">
        <f>IF($K106="","",TRIM(INDEX('Detalle individual'!$E:$E,$K106)))</f>
        <v>OPERADOR DE SISTEMAS</v>
      </c>
      <c r="F106" s="64" t="str">
        <f>IF($K106="","",TRIM(INDEX('Detalle individual'!$C:$C,$K106)))</f>
        <v>DEPARTAMENTO DE OPERACIONES Y SOPORTE TECNICO</v>
      </c>
      <c r="G106" s="64" t="str">
        <f>IF($K106="","",INDEX('Detalle individual'!$D:$D,$K106))</f>
        <v>Gerencia de Sistemas</v>
      </c>
      <c r="H106" s="63" t="str">
        <f>IF($K106="","",INDEX('Detalle individual'!$F:$F,$K106))</f>
        <v>Pendiente</v>
      </c>
      <c r="I106" s="77" t="str">
        <f>IF($K106="","",IF(INDEX('Detalle individual'!$F:$F,$K106)="Completado",INDEX('Detalle individual'!$H:$H,$K106),""))</f>
        <v/>
      </c>
      <c r="J106" s="78" t="str">
        <f>IF($K106="","",IF(INDEX('Detalle individual'!$F:$F,$K106)="Completado",INDEX('Detalle individual'!$J:$J,$K106),""))</f>
        <v/>
      </c>
      <c r="K106">
        <f>IFERROR(MOD(SMALL('Cálculos'!$Z$5:$Z$295,98),300),"")</f>
        <v>104</v>
      </c>
    </row>
    <row r="107">
      <c r="B107" s="63">
        <f>IF($K107="","",99)</f>
        <v>99</v>
      </c>
      <c r="C107" s="63" t="str">
        <f>IF($K107="","",INDEX('Detalle individual'!$A:$A,$K107))</f>
        <v>191</v>
      </c>
      <c r="D107" s="64" t="str">
        <f>IF($K107="","",TRIM(INDEX('Detalle individual'!$B:$B,$K107)))</f>
        <v>ESTER ALEYDA GODOY CAMPOS</v>
      </c>
      <c r="E107" s="64" t="str">
        <f>IF($K107="","",TRIM(INDEX('Detalle individual'!$E:$E,$K107)))</f>
        <v>ASISTENTE TECNICO DE PLANIFICACION</v>
      </c>
      <c r="F107" s="64" t="str">
        <f>IF($K107="","",TRIM(INDEX('Detalle individual'!$C:$C,$K107)))</f>
        <v>DEPARTAMENTO DE PLANIFICACIÓN Y ANALISIS</v>
      </c>
      <c r="G107" s="64" t="str">
        <f>IF($K107="","",INDEX('Detalle individual'!$D:$D,$K107))</f>
        <v>Gerencia de Finanzas y Planificación</v>
      </c>
      <c r="H107" s="63" t="str">
        <f>IF($K107="","",INDEX('Detalle individual'!$F:$F,$K107))</f>
        <v>Pendiente</v>
      </c>
      <c r="I107" s="77" t="str">
        <f>IF($K107="","",IF(INDEX('Detalle individual'!$F:$F,$K107)="Completado",INDEX('Detalle individual'!$H:$H,$K107),""))</f>
        <v/>
      </c>
      <c r="J107" s="78" t="str">
        <f>IF($K107="","",IF(INDEX('Detalle individual'!$F:$F,$K107)="Completado",INDEX('Detalle individual'!$J:$J,$K107),""))</f>
        <v/>
      </c>
      <c r="K107">
        <f>IFERROR(MOD(SMALL('Cálculos'!$Z$5:$Z$295,99),300),"")</f>
        <v>98</v>
      </c>
    </row>
    <row r="108">
      <c r="B108" s="63">
        <f>IF($K108="","",100)</f>
        <v>100</v>
      </c>
      <c r="C108" s="63" t="str">
        <f>IF($K108="","",INDEX('Detalle individual'!$A:$A,$K108))</f>
        <v>839</v>
      </c>
      <c r="D108" s="64" t="str">
        <f>IF($K108="","",TRIM(INDEX('Detalle individual'!$B:$B,$K108)))</f>
        <v>RAFAEL ANDRES MARAVILLA GUERRA</v>
      </c>
      <c r="E108" s="64" t="str">
        <f>IF($K108="","",TRIM(INDEX('Detalle individual'!$E:$E,$K108)))</f>
        <v>ASISTENTE DE ANALISIS Y NORMATIVAS</v>
      </c>
      <c r="F108" s="64" t="str">
        <f>IF($K108="","",TRIM(INDEX('Detalle individual'!$C:$C,$K108)))</f>
        <v>DEPARTAMENTO DE PLANIFICACIÓN Y ANALISIS</v>
      </c>
      <c r="G108" s="64" t="str">
        <f>IF($K108="","",INDEX('Detalle individual'!$D:$D,$K108))</f>
        <v>Gerencia de Finanzas y Planificación</v>
      </c>
      <c r="H108" s="63" t="str">
        <f>IF($K108="","",INDEX('Detalle individual'!$F:$F,$K108))</f>
        <v>Pendiente</v>
      </c>
      <c r="I108" s="77" t="str">
        <f>IF($K108="","",IF(INDEX('Detalle individual'!$F:$F,$K108)="Completado",INDEX('Detalle individual'!$H:$H,$K108),""))</f>
        <v/>
      </c>
      <c r="J108" s="78" t="str">
        <f>IF($K108="","",IF(INDEX('Detalle individual'!$F:$F,$K108)="Completado",INDEX('Detalle individual'!$J:$J,$K108),""))</f>
        <v/>
      </c>
      <c r="K108">
        <f>IFERROR(MOD(SMALL('Cálculos'!$Z$5:$Z$295,100),300),"")</f>
        <v>99</v>
      </c>
    </row>
    <row r="109">
      <c r="B109" s="63">
        <f>IF($K109="","",101)</f>
        <v>101</v>
      </c>
      <c r="C109" s="63" t="str">
        <f>IF($K109="","",INDEX('Detalle individual'!$A:$A,$K109))</f>
        <v>946</v>
      </c>
      <c r="D109" s="64" t="str">
        <f>IF($K109="","",TRIM(INDEX('Detalle individual'!$B:$B,$K109)))</f>
        <v>EFRAIN ANTONIO AYALA LOPEZ</v>
      </c>
      <c r="E109" s="64" t="str">
        <f>IF($K109="","",TRIM(INDEX('Detalle individual'!$E:$E,$K109)))</f>
        <v>JEFE DE PLANIFICACION Y ANALISIS</v>
      </c>
      <c r="F109" s="64" t="str">
        <f>IF($K109="","",TRIM(INDEX('Detalle individual'!$C:$C,$K109)))</f>
        <v>DEPARTAMENTO DE PLANIFICACIÓN Y ANALISIS</v>
      </c>
      <c r="G109" s="64" t="str">
        <f>IF($K109="","",INDEX('Detalle individual'!$D:$D,$K109))</f>
        <v>Gerencia de Finanzas y Planificación</v>
      </c>
      <c r="H109" s="63" t="str">
        <f>IF($K109="","",INDEX('Detalle individual'!$F:$F,$K109))</f>
        <v>Pendiente</v>
      </c>
      <c r="I109" s="77" t="str">
        <f>IF($K109="","",IF(INDEX('Detalle individual'!$F:$F,$K109)="Completado",INDEX('Detalle individual'!$H:$H,$K109),""))</f>
        <v/>
      </c>
      <c r="J109" s="78" t="str">
        <f>IF($K109="","",IF(INDEX('Detalle individual'!$F:$F,$K109)="Completado",INDEX('Detalle individual'!$J:$J,$K109),""))</f>
        <v/>
      </c>
      <c r="K109">
        <f>IFERROR(MOD(SMALL('Cálculos'!$Z$5:$Z$295,101),300),"")</f>
        <v>100</v>
      </c>
    </row>
    <row r="110">
      <c r="B110" s="63">
        <f>IF($K110="","",102)</f>
        <v>102</v>
      </c>
      <c r="C110" s="63" t="str">
        <f>IF($K110="","",INDEX('Detalle individual'!$A:$A,$K110))</f>
        <v>544</v>
      </c>
      <c r="D110" s="64" t="str">
        <f>IF($K110="","",TRIM(INDEX('Detalle individual'!$B:$B,$K110)))</f>
        <v>CLAUDIA MARISOL MADRID BARRIENTOS</v>
      </c>
      <c r="E110" s="64" t="str">
        <f>IF($K110="","",TRIM(INDEX('Detalle individual'!$E:$E,$K110)))</f>
        <v>GESTOR DE RECLAMOS Y SUSCRIPCIONES</v>
      </c>
      <c r="F110" s="64" t="str">
        <f>IF($K110="","",TRIM(INDEX('Detalle individual'!$C:$C,$K110)))</f>
        <v>DEPARTAMENTO DE SEGUROS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Pendiente</v>
      </c>
      <c r="I110" s="77" t="str">
        <f>IF($K110="","",IF(INDEX('Detalle individual'!$F:$F,$K110)="Completado",INDEX('Detalle individual'!$H:$H,$K110),""))</f>
        <v/>
      </c>
      <c r="J110" s="78" t="str">
        <f>IF($K110="","",IF(INDEX('Detalle individual'!$F:$F,$K110)="Completado",INDEX('Detalle individual'!$J:$J,$K110),""))</f>
        <v/>
      </c>
      <c r="K110">
        <f>IFERROR(MOD(SMALL('Cálculos'!$Z$5:$Z$295,102),300),"")</f>
        <v>165</v>
      </c>
    </row>
    <row r="111">
      <c r="B111" s="63">
        <f>IF($K111="","",103)</f>
        <v>103</v>
      </c>
      <c r="C111" s="63" t="str">
        <f>IF($K111="","",INDEX('Detalle individual'!$A:$A,$K111))</f>
        <v>639</v>
      </c>
      <c r="D111" s="64" t="str">
        <f>IF($K111="","",TRIM(INDEX('Detalle individual'!$B:$B,$K111)))</f>
        <v>CARLOS ALEXANDER ROMERO ROMERO</v>
      </c>
      <c r="E111" s="64" t="str">
        <f>IF($K111="","",TRIM(INDEX('Detalle individual'!$E:$E,$K111)))</f>
        <v>GESTOR DE CARTERA DE SEGUROS</v>
      </c>
      <c r="F111" s="64" t="str">
        <f>IF($K111="","",TRIM(INDEX('Detalle individual'!$C:$C,$K111)))</f>
        <v>DEPARTAMENTO DE SEGUROS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Pendiente</v>
      </c>
      <c r="I111" s="77" t="str">
        <f>IF($K111="","",IF(INDEX('Detalle individual'!$F:$F,$K111)="Completado",INDEX('Detalle individual'!$H:$H,$K111),""))</f>
        <v/>
      </c>
      <c r="J111" s="78" t="str">
        <f>IF($K111="","",IF(INDEX('Detalle individual'!$F:$F,$K111)="Completado",INDEX('Detalle individual'!$J:$J,$K111),""))</f>
        <v/>
      </c>
      <c r="K111">
        <f>IFERROR(MOD(SMALL('Cálculos'!$Z$5:$Z$295,103),300),"")</f>
        <v>167</v>
      </c>
    </row>
    <row r="112">
      <c r="B112" s="63">
        <f>IF($K112="","",104)</f>
        <v>104</v>
      </c>
      <c r="C112" s="63" t="str">
        <f>IF($K112="","",INDEX('Detalle individual'!$A:$A,$K112))</f>
        <v>643</v>
      </c>
      <c r="D112" s="64" t="str">
        <f>IF($K112="","",TRIM(INDEX('Detalle individual'!$B:$B,$K112)))</f>
        <v>LISSETTE MARICELA SANCHEZ MOLINA</v>
      </c>
      <c r="E112" s="64" t="str">
        <f>IF($K112="","",TRIM(INDEX('Detalle individual'!$E:$E,$K112)))</f>
        <v>ASISTENTE DE SEGUROS</v>
      </c>
      <c r="F112" s="64" t="str">
        <f>IF($K112="","",TRIM(INDEX('Detalle individual'!$C:$C,$K112)))</f>
        <v>DEPARTAMENTO DE SEGUROS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Pendiente</v>
      </c>
      <c r="I112" s="77" t="str">
        <f>IF($K112="","",IF(INDEX('Detalle individual'!$F:$F,$K112)="Completado",INDEX('Detalle individual'!$H:$H,$K112),""))</f>
        <v/>
      </c>
      <c r="J112" s="78" t="str">
        <f>IF($K112="","",IF(INDEX('Detalle individual'!$F:$F,$K112)="Completado",INDEX('Detalle individual'!$J:$J,$K112),""))</f>
        <v/>
      </c>
      <c r="K112">
        <f>IFERROR(MOD(SMALL('Cálculos'!$Z$5:$Z$295,104),300),"")</f>
        <v>168</v>
      </c>
    </row>
    <row r="113">
      <c r="B113" s="63">
        <f>IF($K113="","",105)</f>
        <v>105</v>
      </c>
      <c r="C113" s="63" t="str">
        <f>IF($K113="","",INDEX('Detalle individual'!$A:$A,$K113))</f>
        <v>792</v>
      </c>
      <c r="D113" s="64" t="str">
        <f>IF($K113="","",TRIM(INDEX('Detalle individual'!$B:$B,$K113)))</f>
        <v>JENNYFER AYLIN ESCOBAR ZAMORA</v>
      </c>
      <c r="E113" s="64" t="str">
        <f>IF($K113="","",TRIM(INDEX('Detalle individual'!$E:$E,$K113)))</f>
        <v>COORDINADOR COMERCIAL DE SEGUROS</v>
      </c>
      <c r="F113" s="64" t="str">
        <f>IF($K113="","",TRIM(INDEX('Detalle individual'!$C:$C,$K113)))</f>
        <v>DEPARTAMENTO DE SEGUROS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Pendiente</v>
      </c>
      <c r="I113" s="77" t="str">
        <f>IF($K113="","",IF(INDEX('Detalle individual'!$F:$F,$K113)="Completado",INDEX('Detalle individual'!$H:$H,$K113),""))</f>
        <v/>
      </c>
      <c r="J113" s="78" t="str">
        <f>IF($K113="","",IF(INDEX('Detalle individual'!$F:$F,$K113)="Completado",INDEX('Detalle individual'!$J:$J,$K113),""))</f>
        <v/>
      </c>
      <c r="K113">
        <f>IFERROR(MOD(SMALL('Cálculos'!$Z$5:$Z$295,105),300),"")</f>
        <v>170</v>
      </c>
    </row>
    <row r="114">
      <c r="B114" s="63">
        <f>IF($K114="","",106)</f>
        <v>106</v>
      </c>
      <c r="C114" s="63" t="str">
        <f>IF($K114="","",INDEX('Detalle individual'!$A:$A,$K114))</f>
        <v>802</v>
      </c>
      <c r="D114" s="64" t="str">
        <f>IF($K114="","",TRIM(INDEX('Detalle individual'!$B:$B,$K114)))</f>
        <v>ERIKA VANESSA ALEMAN MIJANGO</v>
      </c>
      <c r="E114" s="64" t="str">
        <f>IF($K114="","",TRIM(INDEX('Detalle individual'!$E:$E,$K114)))</f>
        <v>EJECUTIVO DE VENTA DE SEGUROS</v>
      </c>
      <c r="F114" s="64" t="str">
        <f>IF($K114="","",TRIM(INDEX('Detalle individual'!$C:$C,$K114)))</f>
        <v>DEPARTAMENTO DE SEGUROS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Pendiente</v>
      </c>
      <c r="I114" s="77" t="str">
        <f>IF($K114="","",IF(INDEX('Detalle individual'!$F:$F,$K114)="Completado",INDEX('Detalle individual'!$H:$H,$K114),""))</f>
        <v/>
      </c>
      <c r="J114" s="78" t="str">
        <f>IF($K114="","",IF(INDEX('Detalle individual'!$F:$F,$K114)="Completado",INDEX('Detalle individual'!$J:$J,$K114),""))</f>
        <v/>
      </c>
      <c r="K114">
        <f>IFERROR(MOD(SMALL('Cálculos'!$Z$5:$Z$295,106),300),"")</f>
        <v>172</v>
      </c>
    </row>
    <row r="115">
      <c r="B115" s="63">
        <f>IF($K115="","",107)</f>
        <v>107</v>
      </c>
      <c r="C115" s="63" t="str">
        <f>IF($K115="","",INDEX('Detalle individual'!$A:$A,$K115))</f>
        <v>805</v>
      </c>
      <c r="D115" s="64" t="str">
        <f>IF($K115="","",TRIM(INDEX('Detalle individual'!$B:$B,$K115)))</f>
        <v>JUANA HAZEL GARCIA COREAS</v>
      </c>
      <c r="E115" s="64" t="str">
        <f>IF($K115="","",TRIM(INDEX('Detalle individual'!$E:$E,$K115)))</f>
        <v>EJECUTIVO DE VENTA DE SEGUROS</v>
      </c>
      <c r="F115" s="64" t="str">
        <f>IF($K115="","",TRIM(INDEX('Detalle individual'!$C:$C,$K115)))</f>
        <v>DEPARTAMENTO DE SEGUROS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Pendiente</v>
      </c>
      <c r="I115" s="77" t="str">
        <f>IF($K115="","",IF(INDEX('Detalle individual'!$F:$F,$K115)="Completado",INDEX('Detalle individual'!$H:$H,$K115),""))</f>
        <v/>
      </c>
      <c r="J115" s="78" t="str">
        <f>IF($K115="","",IF(INDEX('Detalle individual'!$F:$F,$K115)="Completado",INDEX('Detalle individual'!$J:$J,$K115),""))</f>
        <v/>
      </c>
      <c r="K115">
        <f>IFERROR(MOD(SMALL('Cálculos'!$Z$5:$Z$295,107),300),"")</f>
        <v>173</v>
      </c>
    </row>
    <row r="116">
      <c r="B116" s="63">
        <f>IF($K116="","",108)</f>
        <v>108</v>
      </c>
      <c r="C116" s="63" t="str">
        <f>IF($K116="","",INDEX('Detalle individual'!$A:$A,$K116))</f>
        <v>436</v>
      </c>
      <c r="D116" s="64" t="str">
        <f>IF($K116="","",TRIM(INDEX('Detalle individual'!$B:$B,$K116)))</f>
        <v>MAURICIO ANTONIO RAMIREZ PEREZ</v>
      </c>
      <c r="E116" s="64" t="str">
        <f>IF($K116="","",TRIM(INDEX('Detalle individual'!$E:$E,$K116)))</f>
        <v>AUXILIAR DE MANTENIMIENTO</v>
      </c>
      <c r="F116" s="64" t="str">
        <f>IF($K116="","",TRIM(INDEX('Detalle individual'!$C:$C,$K116)))</f>
        <v>DEPARTAMENTO DE SERVICIOS GENERALES</v>
      </c>
      <c r="G116" s="64" t="str">
        <f>IF($K116="","",INDEX('Detalle individual'!$D:$D,$K116))</f>
        <v>Gerencia Administrativa</v>
      </c>
      <c r="H116" s="63" t="str">
        <f>IF($K116="","",INDEX('Detalle individual'!$F:$F,$K116))</f>
        <v>Pendiente</v>
      </c>
      <c r="I116" s="77" t="str">
        <f>IF($K116="","",IF(INDEX('Detalle individual'!$F:$F,$K116)="Completado",INDEX('Detalle individual'!$H:$H,$K116),""))</f>
        <v/>
      </c>
      <c r="J116" s="78" t="str">
        <f>IF($K116="","",IF(INDEX('Detalle individual'!$F:$F,$K116)="Completado",INDEX('Detalle individual'!$J:$J,$K116),""))</f>
        <v/>
      </c>
      <c r="K116">
        <f>IFERROR(MOD(SMALL('Cálculos'!$Z$5:$Z$295,108),300),"")</f>
        <v>31</v>
      </c>
    </row>
    <row r="117">
      <c r="B117" s="63">
        <f>IF($K117="","",109)</f>
        <v>109</v>
      </c>
      <c r="C117" s="63" t="str">
        <f>IF($K117="","",INDEX('Detalle individual'!$A:$A,$K117))</f>
        <v>34</v>
      </c>
      <c r="D117" s="64" t="str">
        <f>IF($K117="","",TRIM(INDEX('Detalle individual'!$B:$B,$K117)))</f>
        <v>YENIS MARILU ESCOBAR SORTO</v>
      </c>
      <c r="E117" s="64" t="str">
        <f>IF($K117="","",TRIM(INDEX('Detalle individual'!$E:$E,$K117)))</f>
        <v>EJECUTIVO DE SOLUCIONES FINANCIERAS</v>
      </c>
      <c r="F117" s="64" t="str">
        <f>IF($K117="","",TRIM(INDEX('Detalle individual'!$C:$C,$K117)))</f>
        <v>DEPARTAMENTO DE SOLUCIONES FINANCIERAS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Pendiente</v>
      </c>
      <c r="I117" s="77" t="str">
        <f>IF($K117="","",IF(INDEX('Detalle individual'!$F:$F,$K117)="Completado",INDEX('Detalle individual'!$H:$H,$K117),""))</f>
        <v/>
      </c>
      <c r="J117" s="78" t="str">
        <f>IF($K117="","",IF(INDEX('Detalle individual'!$F:$F,$K117)="Completado",INDEX('Detalle individual'!$J:$J,$K117),""))</f>
        <v/>
      </c>
      <c r="K117">
        <f>IFERROR(MOD(SMALL('Cálculos'!$Z$5:$Z$295,109),300),"")</f>
        <v>59</v>
      </c>
    </row>
    <row r="118">
      <c r="B118" s="63">
        <f>IF($K118="","",110)</f>
        <v>110</v>
      </c>
      <c r="C118" s="63" t="str">
        <f>IF($K118="","",INDEX('Detalle individual'!$A:$A,$K118))</f>
        <v>182</v>
      </c>
      <c r="D118" s="64" t="str">
        <f>IF($K118="","",TRIM(INDEX('Detalle individual'!$B:$B,$K118)))</f>
        <v>ROSA ELIZABETH RIVAS AGUILUZ</v>
      </c>
      <c r="E118" s="64" t="str">
        <f>IF($K118="","",TRIM(INDEX('Detalle individual'!$E:$E,$K118)))</f>
        <v>EJECUTIVO DE SOLUCIONES FINANCIERAS</v>
      </c>
      <c r="F118" s="64" t="str">
        <f>IF($K118="","",TRIM(INDEX('Detalle individual'!$C:$C,$K118)))</f>
        <v>DEPARTAMENTO DE SOLUCIONES FINANCIERAS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Pendiente</v>
      </c>
      <c r="I118" s="77" t="str">
        <f>IF($K118="","",IF(INDEX('Detalle individual'!$F:$F,$K118)="Completado",INDEX('Detalle individual'!$H:$H,$K118),""))</f>
        <v/>
      </c>
      <c r="J118" s="78" t="str">
        <f>IF($K118="","",IF(INDEX('Detalle individual'!$F:$F,$K118)="Completado",INDEX('Detalle individual'!$J:$J,$K118),""))</f>
        <v/>
      </c>
      <c r="K118">
        <f>IFERROR(MOD(SMALL('Cálculos'!$Z$5:$Z$295,110),300),"")</f>
        <v>60</v>
      </c>
    </row>
    <row r="119">
      <c r="B119" s="63">
        <f>IF($K119="","",111)</f>
        <v>111</v>
      </c>
      <c r="C119" s="63" t="str">
        <f>IF($K119="","",INDEX('Detalle individual'!$A:$A,$K119))</f>
        <v>263</v>
      </c>
      <c r="D119" s="64" t="str">
        <f>IF($K119="","",TRIM(INDEX('Detalle individual'!$B:$B,$K119)))</f>
        <v>XOCHILT VERONICA NOUBLEAU</v>
      </c>
      <c r="E119" s="64" t="str">
        <f>IF($K119="","",TRIM(INDEX('Detalle individual'!$E:$E,$K119)))</f>
        <v>EJECUTIVO DE SOLUCIONES FINANCIERAS</v>
      </c>
      <c r="F119" s="64" t="str">
        <f>IF($K119="","",TRIM(INDEX('Detalle individual'!$C:$C,$K119)))</f>
        <v>DEPARTAMENTO DE SOLUCIONES FINANCIERAS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Pendiente</v>
      </c>
      <c r="I119" s="77" t="str">
        <f>IF($K119="","",IF(INDEX('Detalle individual'!$F:$F,$K119)="Completado",INDEX('Detalle individual'!$H:$H,$K119),""))</f>
        <v/>
      </c>
      <c r="J119" s="78" t="str">
        <f>IF($K119="","",IF(INDEX('Detalle individual'!$F:$F,$K119)="Completado",INDEX('Detalle individual'!$J:$J,$K119),""))</f>
        <v/>
      </c>
      <c r="K119">
        <f>IFERROR(MOD(SMALL('Cálculos'!$Z$5:$Z$295,111),300),"")</f>
        <v>61</v>
      </c>
    </row>
    <row r="120">
      <c r="B120" s="63">
        <f>IF($K120="","",112)</f>
        <v>112</v>
      </c>
      <c r="C120" s="63" t="str">
        <f>IF($K120="","",INDEX('Detalle individual'!$A:$A,$K120))</f>
        <v>298</v>
      </c>
      <c r="D120" s="64" t="str">
        <f>IF($K120="","",TRIM(INDEX('Detalle individual'!$B:$B,$K120)))</f>
        <v>SANDRA GUADALUPE ROQUE SANCHEZ</v>
      </c>
      <c r="E120" s="64" t="str">
        <f>IF($K120="","",TRIM(INDEX('Detalle individual'!$E:$E,$K120)))</f>
        <v>EJECUTIVO DE SOLUCIONES FINANCIERAS</v>
      </c>
      <c r="F120" s="64" t="str">
        <f>IF($K120="","",TRIM(INDEX('Detalle individual'!$C:$C,$K120)))</f>
        <v>DEPARTAMENTO DE SOLUCIONES FINANCIERAS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Pendiente</v>
      </c>
      <c r="I120" s="77" t="str">
        <f>IF($K120="","",IF(INDEX('Detalle individual'!$F:$F,$K120)="Completado",INDEX('Detalle individual'!$H:$H,$K120),""))</f>
        <v/>
      </c>
      <c r="J120" s="78" t="str">
        <f>IF($K120="","",IF(INDEX('Detalle individual'!$F:$F,$K120)="Completado",INDEX('Detalle individual'!$J:$J,$K120),""))</f>
        <v/>
      </c>
      <c r="K120">
        <f>IFERROR(MOD(SMALL('Cálculos'!$Z$5:$Z$295,112),300),"")</f>
        <v>63</v>
      </c>
    </row>
    <row r="121">
      <c r="B121" s="63">
        <f>IF($K121="","",113)</f>
        <v>113</v>
      </c>
      <c r="C121" s="63" t="str">
        <f>IF($K121="","",INDEX('Detalle individual'!$A:$A,$K121))</f>
        <v>528</v>
      </c>
      <c r="D121" s="64" t="str">
        <f>IF($K121="","",TRIM(INDEX('Detalle individual'!$B:$B,$K121)))</f>
        <v>ANA GRISELDA SIGÜENZA MARTINEZ</v>
      </c>
      <c r="E121" s="64" t="str">
        <f>IF($K121="","",TRIM(INDEX('Detalle individual'!$E:$E,$K121)))</f>
        <v>AUXILIAR DE DEPARTAMENTO DE SOLUCIONES FINANCIERAS</v>
      </c>
      <c r="F121" s="64" t="str">
        <f>IF($K121="","",TRIM(INDEX('Detalle individual'!$C:$C,$K121)))</f>
        <v>DEPARTAMENTO DE SOLUCIONES FINANCIERAS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Pendiente</v>
      </c>
      <c r="I121" s="77" t="str">
        <f>IF($K121="","",IF(INDEX('Detalle individual'!$F:$F,$K121)="Completado",INDEX('Detalle individual'!$H:$H,$K121),""))</f>
        <v/>
      </c>
      <c r="J121" s="78" t="str">
        <f>IF($K121="","",IF(INDEX('Detalle individual'!$F:$F,$K121)="Completado",INDEX('Detalle individual'!$J:$J,$K121),""))</f>
        <v/>
      </c>
      <c r="K121">
        <f>IFERROR(MOD(SMALL('Cálculos'!$Z$5:$Z$295,113),300),"")</f>
        <v>66</v>
      </c>
    </row>
    <row r="122">
      <c r="B122" s="63">
        <f>IF($K122="","",114)</f>
        <v>114</v>
      </c>
      <c r="C122" s="63" t="str">
        <f>IF($K122="","",INDEX('Detalle individual'!$A:$A,$K122))</f>
        <v>573</v>
      </c>
      <c r="D122" s="64" t="str">
        <f>IF($K122="","",TRIM(INDEX('Detalle individual'!$B:$B,$K122)))</f>
        <v>JUAN PABLO HENRIQUEZ RAMIREZ</v>
      </c>
      <c r="E122" s="64" t="str">
        <f>IF($K122="","",TRIM(INDEX('Detalle individual'!$E:$E,$K122)))</f>
        <v>EJECUTIVO DE SOLUCIONES FINANCIERAS</v>
      </c>
      <c r="F122" s="64" t="str">
        <f>IF($K122="","",TRIM(INDEX('Detalle individual'!$C:$C,$K122)))</f>
        <v>DEPARTAMENTO DE SOLUCIONES FINANCIERAS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Pendiente</v>
      </c>
      <c r="I122" s="77" t="str">
        <f>IF($K122="","",IF(INDEX('Detalle individual'!$F:$F,$K122)="Completado",INDEX('Detalle individual'!$H:$H,$K122),""))</f>
        <v/>
      </c>
      <c r="J122" s="78" t="str">
        <f>IF($K122="","",IF(INDEX('Detalle individual'!$F:$F,$K122)="Completado",INDEX('Detalle individual'!$J:$J,$K122),""))</f>
        <v/>
      </c>
      <c r="K122">
        <f>IFERROR(MOD(SMALL('Cálculos'!$Z$5:$Z$295,114),300),"")</f>
        <v>67</v>
      </c>
    </row>
    <row r="123">
      <c r="B123" s="63">
        <f>IF($K123="","",115)</f>
        <v>115</v>
      </c>
      <c r="C123" s="63" t="str">
        <f>IF($K123="","",INDEX('Detalle individual'!$A:$A,$K123))</f>
        <v>885</v>
      </c>
      <c r="D123" s="64" t="str">
        <f>IF($K123="","",TRIM(INDEX('Detalle individual'!$B:$B,$K123)))</f>
        <v>ALBA BEATRIZ MELENDEZ PRUDENCIO</v>
      </c>
      <c r="E123" s="64" t="str">
        <f>IF($K123="","",TRIM(INDEX('Detalle individual'!$E:$E,$K123)))</f>
        <v>ASISTENTE DE RECUPERACION JUDICIAL Y CARTERA CASTIGADA</v>
      </c>
      <c r="F123" s="64" t="str">
        <f>IF($K123="","",TRIM(INDEX('Detalle individual'!$C:$C,$K123)))</f>
        <v>DEPARTAMENTO DE SOLUCIONES FINANCIERAS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Pendiente</v>
      </c>
      <c r="I123" s="77" t="str">
        <f>IF($K123="","",IF(INDEX('Detalle individual'!$F:$F,$K123)="Completado",INDEX('Detalle individual'!$H:$H,$K123),""))</f>
        <v/>
      </c>
      <c r="J123" s="78" t="str">
        <f>IF($K123="","",IF(INDEX('Detalle individual'!$F:$F,$K123)="Completado",INDEX('Detalle individual'!$J:$J,$K123),""))</f>
        <v/>
      </c>
      <c r="K123">
        <f>IFERROR(MOD(SMALL('Cálculos'!$Z$5:$Z$295,115),300),"")</f>
        <v>68</v>
      </c>
    </row>
    <row r="124">
      <c r="B124" s="63">
        <f>IF($K124="","",116)</f>
        <v>116</v>
      </c>
      <c r="C124" s="63" t="str">
        <f>IF($K124="","",INDEX('Detalle individual'!$A:$A,$K124))</f>
        <v>65</v>
      </c>
      <c r="D124" s="64" t="str">
        <f>IF($K124="","",TRIM(INDEX('Detalle individual'!$B:$B,$K124)))</f>
        <v>DORA ALICIA CASTILLO</v>
      </c>
      <c r="E124" s="64" t="str">
        <f>IF($K124="","",TRIM(INDEX('Detalle individual'!$E:$E,$K124)))</f>
        <v>JEFE DE TALENTO HUMANO</v>
      </c>
      <c r="F124" s="64" t="str">
        <f>IF($K124="","",TRIM(INDEX('Detalle individual'!$C:$C,$K124)))</f>
        <v>DEPARTAMENTO DE TALENTO HUMANO</v>
      </c>
      <c r="G124" s="64" t="str">
        <f>IF($K124="","",INDEX('Detalle individual'!$D:$D,$K124))</f>
        <v>Gerencia Administrativa</v>
      </c>
      <c r="H124" s="63" t="str">
        <f>IF($K124="","",INDEX('Detalle individual'!$F:$F,$K124))</f>
        <v>Pendiente</v>
      </c>
      <c r="I124" s="77" t="str">
        <f>IF($K124="","",IF(INDEX('Detalle individual'!$F:$F,$K124)="Completado",INDEX('Detalle individual'!$H:$H,$K124),""))</f>
        <v/>
      </c>
      <c r="J124" s="78" t="str">
        <f>IF($K124="","",IF(INDEX('Detalle individual'!$F:$F,$K124)="Completado",INDEX('Detalle individual'!$J:$J,$K124),""))</f>
        <v/>
      </c>
      <c r="K124">
        <f>IFERROR(MOD(SMALL('Cálculos'!$Z$5:$Z$295,116),300),"")</f>
        <v>49</v>
      </c>
    </row>
    <row r="125">
      <c r="B125" s="63">
        <f>IF($K125="","",117)</f>
        <v>117</v>
      </c>
      <c r="C125" s="63" t="str">
        <f>IF($K125="","",INDEX('Detalle individual'!$A:$A,$K125))</f>
        <v>389</v>
      </c>
      <c r="D125" s="64" t="str">
        <f>IF($K125="","",TRIM(INDEX('Detalle individual'!$B:$B,$K125)))</f>
        <v>CLAUDIA CAROLINA HERNANDEZ DE PAZ</v>
      </c>
      <c r="E125" s="64" t="str">
        <f>IF($K125="","",TRIM(INDEX('Detalle individual'!$E:$E,$K125)))</f>
        <v>ASISTENTE TECNICO DE INTERCAMBIO DE TARJETAS</v>
      </c>
      <c r="F125" s="64" t="str">
        <f>IF($K125="","",TRIM(INDEX('Detalle individual'!$C:$C,$K125)))</f>
        <v>DEPARTAMENTO DE TARJETA DE CREDITO Y DEBITO</v>
      </c>
      <c r="G125" s="64" t="str">
        <f>IF($K125="","",INDEX('Detalle individual'!$D:$D,$K125))</f>
        <v>Gerencia de Operaciones</v>
      </c>
      <c r="H125" s="63" t="str">
        <f>IF($K125="","",INDEX('Detalle individual'!$F:$F,$K125))</f>
        <v>Pendiente</v>
      </c>
      <c r="I125" s="77" t="str">
        <f>IF($K125="","",IF(INDEX('Detalle individual'!$F:$F,$K125)="Completado",INDEX('Detalle individual'!$H:$H,$K125),""))</f>
        <v/>
      </c>
      <c r="J125" s="78" t="str">
        <f>IF($K125="","",IF(INDEX('Detalle individual'!$F:$F,$K125)="Completado",INDEX('Detalle individual'!$J:$J,$K125),""))</f>
        <v/>
      </c>
      <c r="K125">
        <f>IFERROR(MOD(SMALL('Cálculos'!$Z$5:$Z$295,117),300),"")</f>
        <v>69</v>
      </c>
    </row>
    <row r="126">
      <c r="B126" s="63">
        <f>IF($K126="","",118)</f>
        <v>118</v>
      </c>
      <c r="C126" s="63" t="str">
        <f>IF($K126="","",INDEX('Detalle individual'!$A:$A,$K126))</f>
        <v>399</v>
      </c>
      <c r="D126" s="64" t="str">
        <f>IF($K126="","",TRIM(INDEX('Detalle individual'!$B:$B,$K126)))</f>
        <v>GEOVANNI LIZAMA PORTILLO</v>
      </c>
      <c r="E126" s="64" t="str">
        <f>IF($K126="","",TRIM(INDEX('Detalle individual'!$E:$E,$K126)))</f>
        <v>JEFE DE TARJETA DE CREDITO Y DEBITO</v>
      </c>
      <c r="F126" s="64" t="str">
        <f>IF($K126="","",TRIM(INDEX('Detalle individual'!$C:$C,$K126)))</f>
        <v>DEPARTAMENTO DE TARJETA DE CREDITO Y DEBITO</v>
      </c>
      <c r="G126" s="64" t="str">
        <f>IF($K126="","",INDEX('Detalle individual'!$D:$D,$K126))</f>
        <v>Gerencia de Operaciones</v>
      </c>
      <c r="H126" s="63" t="str">
        <f>IF($K126="","",INDEX('Detalle individual'!$F:$F,$K126))</f>
        <v>Pendiente</v>
      </c>
      <c r="I126" s="77" t="str">
        <f>IF($K126="","",IF(INDEX('Detalle individual'!$F:$F,$K126)="Completado",INDEX('Detalle individual'!$H:$H,$K126),""))</f>
        <v/>
      </c>
      <c r="J126" s="78" t="str">
        <f>IF($K126="","",IF(INDEX('Detalle individual'!$F:$F,$K126)="Completado",INDEX('Detalle individual'!$J:$J,$K126),""))</f>
        <v/>
      </c>
      <c r="K126">
        <f>IFERROR(MOD(SMALL('Cálculos'!$Z$5:$Z$295,118),300),"")</f>
        <v>70</v>
      </c>
    </row>
    <row r="127">
      <c r="B127" s="63">
        <f>IF($K127="","",119)</f>
        <v>119</v>
      </c>
      <c r="C127" s="63" t="str">
        <f>IF($K127="","",INDEX('Detalle individual'!$A:$A,$K127))</f>
        <v>725</v>
      </c>
      <c r="D127" s="64" t="str">
        <f>IF($K127="","",TRIM(INDEX('Detalle individual'!$B:$B,$K127)))</f>
        <v>ANA BEATRIZ QUINTEROS AVELAR</v>
      </c>
      <c r="E127" s="64" t="str">
        <f>IF($K127="","",TRIM(INDEX('Detalle individual'!$E:$E,$K127)))</f>
        <v>ASISTENTE TECNICO DE OPERACIONES DE TARJETAS</v>
      </c>
      <c r="F127" s="64" t="str">
        <f>IF($K127="","",TRIM(INDEX('Detalle individual'!$C:$C,$K127)))</f>
        <v>DEPARTAMENTO DE TARJETA DE CREDITO Y DEBITO</v>
      </c>
      <c r="G127" s="64" t="str">
        <f>IF($K127="","",INDEX('Detalle individual'!$D:$D,$K127))</f>
        <v>Gerencia de Operaciones</v>
      </c>
      <c r="H127" s="63" t="str">
        <f>IF($K127="","",INDEX('Detalle individual'!$F:$F,$K127))</f>
        <v>Pendiente</v>
      </c>
      <c r="I127" s="77" t="str">
        <f>IF($K127="","",IF(INDEX('Detalle individual'!$F:$F,$K127)="Completado",INDEX('Detalle individual'!$H:$H,$K127),""))</f>
        <v/>
      </c>
      <c r="J127" s="78" t="str">
        <f>IF($K127="","",IF(INDEX('Detalle individual'!$F:$F,$K127)="Completado",INDEX('Detalle individual'!$J:$J,$K127),""))</f>
        <v/>
      </c>
      <c r="K127">
        <f>IFERROR(MOD(SMALL('Cálculos'!$Z$5:$Z$295,119),300),"")</f>
        <v>72</v>
      </c>
    </row>
    <row r="128">
      <c r="B128" s="63">
        <f>IF($K128="","",120)</f>
        <v>120</v>
      </c>
      <c r="C128" s="63" t="str">
        <f>IF($K128="","",INDEX('Detalle individual'!$A:$A,$K128))</f>
        <v>442</v>
      </c>
      <c r="D128" s="64" t="str">
        <f>IF($K128="","",TRIM(INDEX('Detalle individual'!$B:$B,$K128)))</f>
        <v>JUAN JOSE CAÑAS COMAYAGUA</v>
      </c>
      <c r="E128" s="64" t="str">
        <f>IF($K128="","",TRIM(INDEX('Detalle individual'!$E:$E,$K128)))</f>
        <v>JEFE DE DEPARTAMENTO LEGAL</v>
      </c>
      <c r="F128" s="64" t="str">
        <f>IF($K128="","",TRIM(INDEX('Detalle individual'!$C:$C,$K128)))</f>
        <v>DEPARTAMENTO LEGAL</v>
      </c>
      <c r="G128" s="64" t="str">
        <f>IF($K128="","",INDEX('Detalle individual'!$D:$D,$K128))</f>
        <v>Gerencia Legal y Cumplimiento Normativo</v>
      </c>
      <c r="H128" s="63" t="str">
        <f>IF($K128="","",INDEX('Detalle individual'!$F:$F,$K128))</f>
        <v>Pendiente</v>
      </c>
      <c r="I128" s="77" t="str">
        <f>IF($K128="","",IF(INDEX('Detalle individual'!$F:$F,$K128)="Completado",INDEX('Detalle individual'!$H:$H,$K128),""))</f>
        <v/>
      </c>
      <c r="J128" s="78" t="str">
        <f>IF($K128="","",IF(INDEX('Detalle individual'!$F:$F,$K128)="Completado",INDEX('Detalle individual'!$J:$J,$K128),""))</f>
        <v/>
      </c>
      <c r="K128">
        <f>IFERROR(MOD(SMALL('Cálculos'!$Z$5:$Z$295,120),300),"")</f>
        <v>288</v>
      </c>
    </row>
    <row r="129">
      <c r="B129" s="63">
        <f>IF($K129="","",121)</f>
        <v>121</v>
      </c>
      <c r="C129" s="63" t="str">
        <f>IF($K129="","",INDEX('Detalle individual'!$A:$A,$K129))</f>
        <v>592</v>
      </c>
      <c r="D129" s="64" t="str">
        <f>IF($K129="","",TRIM(INDEX('Detalle individual'!$B:$B,$K129)))</f>
        <v>CARLOS RENE CASTILLO GAMEZ</v>
      </c>
      <c r="E129" s="64" t="str">
        <f>IF($K129="","",TRIM(INDEX('Detalle individual'!$E:$E,$K129)))</f>
        <v>ASISTENTE TECNICO LEGAL</v>
      </c>
      <c r="F129" s="64" t="str">
        <f>IF($K129="","",TRIM(INDEX('Detalle individual'!$C:$C,$K129)))</f>
        <v>DEPARTAMENTO LEGAL</v>
      </c>
      <c r="G129" s="64" t="str">
        <f>IF($K129="","",INDEX('Detalle individual'!$D:$D,$K129))</f>
        <v>Gerencia Legal y Cumplimiento Normativo</v>
      </c>
      <c r="H129" s="63" t="str">
        <f>IF($K129="","",INDEX('Detalle individual'!$F:$F,$K129))</f>
        <v>Pendiente</v>
      </c>
      <c r="I129" s="77" t="str">
        <f>IF($K129="","",IF(INDEX('Detalle individual'!$F:$F,$K129)="Completado",INDEX('Detalle individual'!$H:$H,$K129),""))</f>
        <v/>
      </c>
      <c r="J129" s="78" t="str">
        <f>IF($K129="","",IF(INDEX('Detalle individual'!$F:$F,$K129)="Completado",INDEX('Detalle individual'!$J:$J,$K129),""))</f>
        <v/>
      </c>
      <c r="K129">
        <f>IFERROR(MOD(SMALL('Cálculos'!$Z$5:$Z$295,121),300),"")</f>
        <v>289</v>
      </c>
    </row>
    <row r="130">
      <c r="B130" s="63">
        <f>IF($K130="","",122)</f>
        <v>122</v>
      </c>
      <c r="C130" s="63" t="str">
        <f>IF($K130="","",INDEX('Detalle individual'!$A:$A,$K130))</f>
        <v>814</v>
      </c>
      <c r="D130" s="64" t="str">
        <f>IF($K130="","",TRIM(INDEX('Detalle individual'!$B:$B,$K130)))</f>
        <v>ANDREA RAQUEL MONTOYA ALARCON</v>
      </c>
      <c r="E130" s="64" t="str">
        <f>IF($K130="","",TRIM(INDEX('Detalle individual'!$E:$E,$K130)))</f>
        <v>AUXILIAR JURIDICO DE ESCRITURACION</v>
      </c>
      <c r="F130" s="64" t="str">
        <f>IF($K130="","",TRIM(INDEX('Detalle individual'!$C:$C,$K130)))</f>
        <v>DEPARTAMENTO LEGAL</v>
      </c>
      <c r="G130" s="64" t="str">
        <f>IF($K130="","",INDEX('Detalle individual'!$D:$D,$K130))</f>
        <v>Gerencia Legal y Cumplimiento Normativo</v>
      </c>
      <c r="H130" s="63" t="str">
        <f>IF($K130="","",INDEX('Detalle individual'!$F:$F,$K130))</f>
        <v>Pendiente</v>
      </c>
      <c r="I130" s="77" t="str">
        <f>IF($K130="","",IF(INDEX('Detalle individual'!$F:$F,$K130)="Completado",INDEX('Detalle individual'!$H:$H,$K130),""))</f>
        <v/>
      </c>
      <c r="J130" s="78" t="str">
        <f>IF($K130="","",IF(INDEX('Detalle individual'!$F:$F,$K130)="Completado",INDEX('Detalle individual'!$J:$J,$K130),""))</f>
        <v/>
      </c>
      <c r="K130">
        <f>IFERROR(MOD(SMALL('Cálculos'!$Z$5:$Z$295,122),300),"")</f>
        <v>290</v>
      </c>
    </row>
    <row r="131">
      <c r="B131" s="63">
        <f>IF($K131="","",123)</f>
        <v>123</v>
      </c>
      <c r="C131" s="63" t="str">
        <f>IF($K131="","",INDEX('Detalle individual'!$A:$A,$K131))</f>
        <v>831</v>
      </c>
      <c r="D131" s="64" t="str">
        <f>IF($K131="","",TRIM(INDEX('Detalle individual'!$B:$B,$K131)))</f>
        <v>NICOLLE ALEXANDRA MARINERO GALLARDO</v>
      </c>
      <c r="E131" s="64" t="str">
        <f>IF($K131="","",TRIM(INDEX('Detalle individual'!$E:$E,$K131)))</f>
        <v>AUXILIAR JURIDICO NOTARIAL</v>
      </c>
      <c r="F131" s="64" t="str">
        <f>IF($K131="","",TRIM(INDEX('Detalle individual'!$C:$C,$K131)))</f>
        <v>DEPARTAMENTO LEGAL</v>
      </c>
      <c r="G131" s="64" t="str">
        <f>IF($K131="","",INDEX('Detalle individual'!$D:$D,$K131))</f>
        <v>Gerencia Legal y Cumplimiento Normativo</v>
      </c>
      <c r="H131" s="63" t="str">
        <f>IF($K131="","",INDEX('Detalle individual'!$F:$F,$K131))</f>
        <v>Pendiente</v>
      </c>
      <c r="I131" s="77" t="str">
        <f>IF($K131="","",IF(INDEX('Detalle individual'!$F:$F,$K131)="Completado",INDEX('Detalle individual'!$H:$H,$K131),""))</f>
        <v/>
      </c>
      <c r="J131" s="78" t="str">
        <f>IF($K131="","",IF(INDEX('Detalle individual'!$F:$F,$K131)="Completado",INDEX('Detalle individual'!$J:$J,$K131),""))</f>
        <v/>
      </c>
      <c r="K131">
        <f>IFERROR(MOD(SMALL('Cálculos'!$Z$5:$Z$295,123),300),"")</f>
        <v>291</v>
      </c>
    </row>
    <row r="132">
      <c r="B132" s="63">
        <f>IF($K132="","",124)</f>
        <v>124</v>
      </c>
      <c r="C132" s="63" t="str">
        <f>IF($K132="","",INDEX('Detalle individual'!$A:$A,$K132))</f>
        <v>843</v>
      </c>
      <c r="D132" s="64" t="str">
        <f>IF($K132="","",TRIM(INDEX('Detalle individual'!$B:$B,$K132)))</f>
        <v>DANIELA MARIA FUENTES MEDINA</v>
      </c>
      <c r="E132" s="64" t="str">
        <f>IF($K132="","",TRIM(INDEX('Detalle individual'!$E:$E,$K132)))</f>
        <v>AUXILIAR JURIDICO DE CONTRATACION</v>
      </c>
      <c r="F132" s="64" t="str">
        <f>IF($K132="","",TRIM(INDEX('Detalle individual'!$C:$C,$K132)))</f>
        <v>DEPARTAMENTO LEGAL</v>
      </c>
      <c r="G132" s="64" t="str">
        <f>IF($K132="","",INDEX('Detalle individual'!$D:$D,$K132))</f>
        <v>Gerencia Legal y Cumplimiento Normativo</v>
      </c>
      <c r="H132" s="63" t="str">
        <f>IF($K132="","",INDEX('Detalle individual'!$F:$F,$K132))</f>
        <v>Pendiente</v>
      </c>
      <c r="I132" s="77" t="str">
        <f>IF($K132="","",IF(INDEX('Detalle individual'!$F:$F,$K132)="Completado",INDEX('Detalle individual'!$H:$H,$K132),""))</f>
        <v/>
      </c>
      <c r="J132" s="78" t="str">
        <f>IF($K132="","",IF(INDEX('Detalle individual'!$F:$F,$K132)="Completado",INDEX('Detalle individual'!$J:$J,$K132),""))</f>
        <v/>
      </c>
      <c r="K132">
        <f>IFERROR(MOD(SMALL('Cálculos'!$Z$5:$Z$295,124),300),"")</f>
        <v>292</v>
      </c>
    </row>
    <row r="133">
      <c r="B133" s="63">
        <f>IF($K133="","",125)</f>
        <v>125</v>
      </c>
      <c r="C133" s="63" t="str">
        <f>IF($K133="","",INDEX('Detalle individual'!$A:$A,$K133))</f>
        <v>905</v>
      </c>
      <c r="D133" s="64" t="str">
        <f>IF($K133="","",TRIM(INDEX('Detalle individual'!$B:$B,$K133)))</f>
        <v>CHRISTIAN ENRIQUE CAMPOS PRIVADO</v>
      </c>
      <c r="E133" s="64" t="str">
        <f>IF($K133="","",TRIM(INDEX('Detalle individual'!$E:$E,$K133)))</f>
        <v>ASISTENTE TECNICO LEGAL</v>
      </c>
      <c r="F133" s="64" t="str">
        <f>IF($K133="","",TRIM(INDEX('Detalle individual'!$C:$C,$K133)))</f>
        <v>DEPARTAMENTO LEGAL</v>
      </c>
      <c r="G133" s="64" t="str">
        <f>IF($K133="","",INDEX('Detalle individual'!$D:$D,$K133))</f>
        <v>Gerencia Legal y Cumplimiento Normativo</v>
      </c>
      <c r="H133" s="63" t="str">
        <f>IF($K133="","",INDEX('Detalle individual'!$F:$F,$K133))</f>
        <v>Pendiente</v>
      </c>
      <c r="I133" s="77" t="str">
        <f>IF($K133="","",IF(INDEX('Detalle individual'!$F:$F,$K133)="Completado",INDEX('Detalle individual'!$H:$H,$K133),""))</f>
        <v/>
      </c>
      <c r="J133" s="78" t="str">
        <f>IF($K133="","",IF(INDEX('Detalle individual'!$F:$F,$K133)="Completado",INDEX('Detalle individual'!$J:$J,$K133),""))</f>
        <v/>
      </c>
      <c r="K133">
        <f>IFERROR(MOD(SMALL('Cálculos'!$Z$5:$Z$295,125),300),"")</f>
        <v>294</v>
      </c>
    </row>
    <row r="134">
      <c r="B134" s="63">
        <f>IF($K134="","",126)</f>
        <v>126</v>
      </c>
      <c r="C134" s="63" t="str">
        <f>IF($K134="","",INDEX('Detalle individual'!$A:$A,$K134))</f>
        <v>45</v>
      </c>
      <c r="D134" s="64" t="str">
        <f>IF($K134="","",TRIM(INDEX('Detalle individual'!$B:$B,$K134)))</f>
        <v>MARTA LILLIAN VIGIL QUIJANO</v>
      </c>
      <c r="E134" s="64" t="str">
        <f>IF($K134="","",TRIM(INDEX('Detalle individual'!$E:$E,$K134)))</f>
        <v>ASISTENTE ADMINISTRATIVO DE GERENCIA ADMINISTRATIVA</v>
      </c>
      <c r="F134" s="64" t="str">
        <f>IF($K134="","",TRIM(INDEX('Detalle individual'!$C:$C,$K134)))</f>
        <v>GERENCIA ADMINISTRATIVA</v>
      </c>
      <c r="G134" s="64" t="str">
        <f>IF($K134="","",INDEX('Detalle individual'!$D:$D,$K134))</f>
        <v>Gerencia Administrativa</v>
      </c>
      <c r="H134" s="63" t="str">
        <f>IF($K134="","",INDEX('Detalle individual'!$F:$F,$K134))</f>
        <v>Pendiente</v>
      </c>
      <c r="I134" s="77" t="str">
        <f>IF($K134="","",IF(INDEX('Detalle individual'!$F:$F,$K134)="Completado",INDEX('Detalle individual'!$H:$H,$K134),""))</f>
        <v/>
      </c>
      <c r="J134" s="78" t="str">
        <f>IF($K134="","",IF(INDEX('Detalle individual'!$F:$F,$K134)="Completado",INDEX('Detalle individual'!$J:$J,$K134),""))</f>
        <v/>
      </c>
      <c r="K134">
        <f>IFERROR(MOD(SMALL('Cálculos'!$Z$5:$Z$295,126),300),"")</f>
        <v>25</v>
      </c>
    </row>
    <row r="135">
      <c r="B135" s="63">
        <f>IF($K135="","",127)</f>
        <v>127</v>
      </c>
      <c r="C135" s="63" t="str">
        <f>IF($K135="","",INDEX('Detalle individual'!$A:$A,$K135))</f>
        <v>942</v>
      </c>
      <c r="D135" s="64" t="str">
        <f>IF($K135="","",TRIM(INDEX('Detalle individual'!$B:$B,$K135)))</f>
        <v>PAULA MARIA CALDERON PEREZ</v>
      </c>
      <c r="E135" s="64" t="str">
        <f>IF($K135="","",TRIM(INDEX('Detalle individual'!$E:$E,$K135)))</f>
        <v>ASISTENTE DE GERENCIA DE FINANZAS</v>
      </c>
      <c r="F135" s="64" t="str">
        <f>IF($K135="","",TRIM(INDEX('Detalle individual'!$C:$C,$K135)))</f>
        <v>GERENCIA DE FINANZAS Y PLANIFICACIÓN</v>
      </c>
      <c r="G135" s="64" t="str">
        <f>IF($K135="","",INDEX('Detalle individual'!$D:$D,$K135))</f>
        <v>Gerencia de Finanzas y Planificación</v>
      </c>
      <c r="H135" s="63" t="str">
        <f>IF($K135="","",INDEX('Detalle individual'!$F:$F,$K135))</f>
        <v>Pendiente</v>
      </c>
      <c r="I135" s="77" t="str">
        <f>IF($K135="","",IF(INDEX('Detalle individual'!$F:$F,$K135)="Completado",INDEX('Detalle individual'!$H:$H,$K135),""))</f>
        <v/>
      </c>
      <c r="J135" s="78" t="str">
        <f>IF($K135="","",IF(INDEX('Detalle individual'!$F:$F,$K135)="Completado",INDEX('Detalle individual'!$J:$J,$K135),""))</f>
        <v/>
      </c>
      <c r="K135">
        <f>IFERROR(MOD(SMALL('Cálculos'!$Z$5:$Z$295,127),300),"")</f>
        <v>84</v>
      </c>
    </row>
    <row r="136">
      <c r="B136" s="63">
        <f>IF($K136="","",128)</f>
        <v>128</v>
      </c>
      <c r="C136" s="63" t="str">
        <f>IF($K136="","",INDEX('Detalle individual'!$A:$A,$K136))</f>
        <v>741</v>
      </c>
      <c r="D136" s="64" t="str">
        <f>IF($K136="","",TRIM(INDEX('Detalle individual'!$B:$B,$K136)))</f>
        <v>JOSE HUMBERTO BARILLAS BURGOS</v>
      </c>
      <c r="E136" s="64" t="str">
        <f>IF($K136="","",TRIM(INDEX('Detalle individual'!$E:$E,$K136)))</f>
        <v>GERENTE DE NEGOCIOS</v>
      </c>
      <c r="F136" s="64" t="str">
        <f>IF($K136="","",TRIM(INDEX('Detalle individual'!$C:$C,$K136)))</f>
        <v>GERENCIA DE NEGOCIOS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Pendiente</v>
      </c>
      <c r="I136" s="77" t="str">
        <f>IF($K136="","",IF(INDEX('Detalle individual'!$F:$F,$K136)="Completado",INDEX('Detalle individual'!$H:$H,$K136),""))</f>
        <v/>
      </c>
      <c r="J136" s="78" t="str">
        <f>IF($K136="","",IF(INDEX('Detalle individual'!$F:$F,$K136)="Completado",INDEX('Detalle individual'!$J:$J,$K136),""))</f>
        <v/>
      </c>
      <c r="K136">
        <f>IFERROR(MOD(SMALL('Cálculos'!$Z$5:$Z$295,128),300),"")</f>
        <v>11</v>
      </c>
    </row>
    <row r="137">
      <c r="B137" s="63">
        <f>IF($K137="","",129)</f>
        <v>129</v>
      </c>
      <c r="C137" s="63" t="str">
        <f>IF($K137="","",INDEX('Detalle individual'!$A:$A,$K137))</f>
        <v>41</v>
      </c>
      <c r="D137" s="64" t="str">
        <f>IF($K137="","",TRIM(INDEX('Detalle individual'!$B:$B,$K137)))</f>
        <v>ROQUE RAFAEL REYES ESPINAL</v>
      </c>
      <c r="E137" s="64" t="str">
        <f>IF($K137="","",TRIM(INDEX('Detalle individual'!$E:$E,$K137)))</f>
        <v>GERENTE DE OPERACIONES</v>
      </c>
      <c r="F137" s="64" t="str">
        <f>IF($K137="","",TRIM(INDEX('Detalle individual'!$C:$C,$K137)))</f>
        <v>GERENCIA DE OPERACIONES</v>
      </c>
      <c r="G137" s="64" t="str">
        <f>IF($K137="","",INDEX('Detalle individual'!$D:$D,$K137))</f>
        <v>Gerencia de Operaciones</v>
      </c>
      <c r="H137" s="63" t="str">
        <f>IF($K137="","",INDEX('Detalle individual'!$F:$F,$K137))</f>
        <v>Pendiente</v>
      </c>
      <c r="I137" s="77" t="str">
        <f>IF($K137="","",IF(INDEX('Detalle individual'!$F:$F,$K137)="Completado",INDEX('Detalle individual'!$H:$H,$K137),""))</f>
        <v/>
      </c>
      <c r="J137" s="78" t="str">
        <f>IF($K137="","",IF(INDEX('Detalle individual'!$F:$F,$K137)="Completado",INDEX('Detalle individual'!$J:$J,$K137),""))</f>
        <v/>
      </c>
      <c r="K137">
        <f>IFERROR(MOD(SMALL('Cálculos'!$Z$5:$Z$295,129),300),"")</f>
        <v>7</v>
      </c>
    </row>
    <row r="138">
      <c r="B138" s="63">
        <f>IF($K138="","",130)</f>
        <v>130</v>
      </c>
      <c r="C138" s="63" t="str">
        <f>IF($K138="","",INDEX('Detalle individual'!$A:$A,$K138))</f>
        <v>878</v>
      </c>
      <c r="D138" s="64" t="str">
        <f>IF($K138="","",TRIM(INDEX('Detalle individual'!$B:$B,$K138)))</f>
        <v>ALEX VIRGILIO AGUILAR ARIAS</v>
      </c>
      <c r="E138" s="64" t="str">
        <f>IF($K138="","",TRIM(INDEX('Detalle individual'!$E:$E,$K138)))</f>
        <v>GERENTE DE SISTEMAS</v>
      </c>
      <c r="F138" s="64" t="str">
        <f>IF($K138="","",TRIM(INDEX('Detalle individual'!$C:$C,$K138)))</f>
        <v>GERENCIA DE SISTEMAS</v>
      </c>
      <c r="G138" s="64" t="str">
        <f>IF($K138="","",INDEX('Detalle individual'!$D:$D,$K138))</f>
        <v>Gerencia de Sistemas</v>
      </c>
      <c r="H138" s="63" t="str">
        <f>IF($K138="","",INDEX('Detalle individual'!$F:$F,$K138))</f>
        <v>Pendiente</v>
      </c>
      <c r="I138" s="77" t="str">
        <f>IF($K138="","",IF(INDEX('Detalle individual'!$F:$F,$K138)="Completado",INDEX('Detalle individual'!$H:$H,$K138),""))</f>
        <v/>
      </c>
      <c r="J138" s="78" t="str">
        <f>IF($K138="","",IF(INDEX('Detalle individual'!$F:$F,$K138)="Completado",INDEX('Detalle individual'!$J:$J,$K138),""))</f>
        <v/>
      </c>
      <c r="K138">
        <f>IFERROR(MOD(SMALL('Cálculos'!$Z$5:$Z$295,130),300),"")</f>
        <v>9</v>
      </c>
    </row>
    <row r="139">
      <c r="B139" s="63">
        <f>IF($K139="","",131)</f>
        <v>131</v>
      </c>
      <c r="C139" s="63" t="str">
        <f>IF($K139="","",INDEX('Detalle individual'!$A:$A,$K139))</f>
        <v>393</v>
      </c>
      <c r="D139" s="64" t="str">
        <f>IF($K139="","",TRIM(INDEX('Detalle individual'!$B:$B,$K139)))</f>
        <v>FLOR MARISELA TORRES VELASQUEZ</v>
      </c>
      <c r="E139" s="64" t="str">
        <f>IF($K139="","",TRIM(INDEX('Detalle individual'!$E:$E,$K139)))</f>
        <v>LIDER DE PROYECTOS TECNOLOGICOS</v>
      </c>
      <c r="F139" s="64" t="str">
        <f>IF($K139="","",TRIM(INDEX('Detalle individual'!$C:$C,$K139)))</f>
        <v>GERENCIA DE SISTEMAS</v>
      </c>
      <c r="G139" s="64" t="str">
        <f>IF($K139="","",INDEX('Detalle individual'!$D:$D,$K139))</f>
        <v>Gerencia de Sistemas</v>
      </c>
      <c r="H139" s="63" t="str">
        <f>IF($K139="","",INDEX('Detalle individual'!$F:$F,$K139))</f>
        <v>Pendiente</v>
      </c>
      <c r="I139" s="77" t="str">
        <f>IF($K139="","",IF(INDEX('Detalle individual'!$F:$F,$K139)="Completado",INDEX('Detalle individual'!$H:$H,$K139),""))</f>
        <v/>
      </c>
      <c r="J139" s="78" t="str">
        <f>IF($K139="","",IF(INDEX('Detalle individual'!$F:$F,$K139)="Completado",INDEX('Detalle individual'!$J:$J,$K139),""))</f>
        <v/>
      </c>
      <c r="K139">
        <f>IFERROR(MOD(SMALL('Cálculos'!$Z$5:$Z$295,131),300),"")</f>
        <v>101</v>
      </c>
    </row>
    <row r="140">
      <c r="B140" s="63">
        <f>IF($K140="","",132)</f>
        <v>132</v>
      </c>
      <c r="C140" s="63" t="str">
        <f>IF($K140="","",INDEX('Detalle individual'!$A:$A,$K140))</f>
        <v>977</v>
      </c>
      <c r="D140" s="64" t="str">
        <f>IF($K140="","",TRIM(INDEX('Detalle individual'!$B:$B,$K140)))</f>
        <v>NELSON ULISES CAMPOS FLORES</v>
      </c>
      <c r="E140" s="64" t="str">
        <f>IF($K140="","",TRIM(INDEX('Detalle individual'!$E:$E,$K140)))</f>
        <v>GERENTE GENERAL</v>
      </c>
      <c r="F140" s="64" t="str">
        <f>IF($K140="","",TRIM(INDEX('Detalle individual'!$C:$C,$K140)))</f>
        <v>GERENCIA GENERAL</v>
      </c>
      <c r="G140" s="64" t="str">
        <f>IF($K140="","",INDEX('Detalle individual'!$D:$D,$K140))</f>
        <v>Gerencia General</v>
      </c>
      <c r="H140" s="63" t="str">
        <f>IF($K140="","",INDEX('Detalle individual'!$F:$F,$K140))</f>
        <v>Pendiente</v>
      </c>
      <c r="I140" s="77" t="str">
        <f>IF($K140="","",IF(INDEX('Detalle individual'!$F:$F,$K140)="Completado",INDEX('Detalle individual'!$H:$H,$K140),""))</f>
        <v/>
      </c>
      <c r="J140" s="78" t="str">
        <f>IF($K140="","",IF(INDEX('Detalle individual'!$F:$F,$K140)="Completado",INDEX('Detalle individual'!$J:$J,$K140),""))</f>
        <v/>
      </c>
      <c r="K140">
        <f>IFERROR(MOD(SMALL('Cálculos'!$Z$5:$Z$295,132),300),"")</f>
        <v>5</v>
      </c>
    </row>
    <row r="141">
      <c r="B141" s="63">
        <f>IF($K141="","",133)</f>
        <v>133</v>
      </c>
      <c r="C141" s="63" t="str">
        <f>IF($K141="","",INDEX('Detalle individual'!$A:$A,$K141))</f>
        <v>581</v>
      </c>
      <c r="D141" s="64" t="str">
        <f>IF($K141="","",TRIM(INDEX('Detalle individual'!$B:$B,$K141)))</f>
        <v>JUAN CARLOS AGUILAR ASCENCIO</v>
      </c>
      <c r="E141" s="64" t="str">
        <f>IF($K141="","",TRIM(INDEX('Detalle individual'!$E:$E,$K141)))</f>
        <v>CAJERO MOVIL</v>
      </c>
      <c r="F141" s="64" t="str">
        <f>IF($K141="","",TRIM(INDEX('Detalle individual'!$C:$C,$K141)))</f>
        <v>SUB GERENCIA DE CANALES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Pendiente</v>
      </c>
      <c r="I141" s="77" t="str">
        <f>IF($K141="","",IF(INDEX('Detalle individual'!$F:$F,$K141)="Completado",INDEX('Detalle individual'!$H:$H,$K141),""))</f>
        <v/>
      </c>
      <c r="J141" s="78" t="str">
        <f>IF($K141="","",IF(INDEX('Detalle individual'!$F:$F,$K141)="Completado",INDEX('Detalle individual'!$J:$J,$K141),""))</f>
        <v/>
      </c>
      <c r="K141">
        <f>IFERROR(MOD(SMALL('Cálculos'!$Z$5:$Z$295,133),300),"")</f>
        <v>185</v>
      </c>
    </row>
    <row r="142">
      <c r="B142" s="63">
        <f>IF($K142="","",134)</f>
        <v>134</v>
      </c>
      <c r="C142" s="63" t="str">
        <f>IF($K142="","",INDEX('Detalle individual'!$A:$A,$K142))</f>
        <v>651</v>
      </c>
      <c r="D142" s="64" t="str">
        <f>IF($K142="","",TRIM(INDEX('Detalle individual'!$B:$B,$K142)))</f>
        <v>LUIS FERNANDO MORAN GARCIA</v>
      </c>
      <c r="E142" s="64" t="str">
        <f>IF($K142="","",TRIM(INDEX('Detalle individual'!$E:$E,$K142)))</f>
        <v>JEFE MOVIL DE AGENCIAS</v>
      </c>
      <c r="F142" s="64" t="str">
        <f>IF($K142="","",TRIM(INDEX('Detalle individual'!$C:$C,$K142)))</f>
        <v>SUB GERENCIA DE CANALES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Pendiente</v>
      </c>
      <c r="I142" s="77" t="str">
        <f>IF($K142="","",IF(INDEX('Detalle individual'!$F:$F,$K142)="Completado",INDEX('Detalle individual'!$H:$H,$K142),""))</f>
        <v/>
      </c>
      <c r="J142" s="78" t="str">
        <f>IF($K142="","",IF(INDEX('Detalle individual'!$F:$F,$K142)="Completado",INDEX('Detalle individual'!$J:$J,$K142),""))</f>
        <v/>
      </c>
      <c r="K142">
        <f>IFERROR(MOD(SMALL('Cálculos'!$Z$5:$Z$295,134),300),"")</f>
        <v>187</v>
      </c>
    </row>
    <row r="143">
      <c r="B143" s="63">
        <f>IF($K143="","",135)</f>
        <v>135</v>
      </c>
      <c r="C143" s="63" t="str">
        <f>IF($K143="","",INDEX('Detalle individual'!$A:$A,$K143))</f>
        <v>713</v>
      </c>
      <c r="D143" s="64" t="str">
        <f>IF($K143="","",TRIM(INDEX('Detalle individual'!$B:$B,$K143)))</f>
        <v>SANDRA VERONICA ACEVEDO BELTRAN</v>
      </c>
      <c r="E143" s="64" t="str">
        <f>IF($K143="","",TRIM(INDEX('Detalle individual'!$E:$E,$K143)))</f>
        <v>ASISTENTE PARA CORRESPONSALES FINANCIEROS</v>
      </c>
      <c r="F143" s="64" t="str">
        <f>IF($K143="","",TRIM(INDEX('Detalle individual'!$C:$C,$K143)))</f>
        <v>SUB GERENCIA DE CANALES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Pendiente</v>
      </c>
      <c r="I143" s="77" t="str">
        <f>IF($K143="","",IF(INDEX('Detalle individual'!$F:$F,$K143)="Completado",INDEX('Detalle individual'!$H:$H,$K143),""))</f>
        <v/>
      </c>
      <c r="J143" s="78" t="str">
        <f>IF($K143="","",IF(INDEX('Detalle individual'!$F:$F,$K143)="Completado",INDEX('Detalle individual'!$J:$J,$K143),""))</f>
        <v/>
      </c>
      <c r="K143">
        <f>IFERROR(MOD(SMALL('Cálculos'!$Z$5:$Z$295,135),300),"")</f>
        <v>188</v>
      </c>
    </row>
    <row r="144">
      <c r="B144" s="63">
        <f>IF($K144="","",136)</f>
        <v>136</v>
      </c>
      <c r="C144" s="63" t="str">
        <f>IF($K144="","",INDEX('Detalle individual'!$A:$A,$K144))</f>
        <v>854</v>
      </c>
      <c r="D144" s="64" t="str">
        <f>IF($K144="","",TRIM(INDEX('Detalle individual'!$B:$B,$K144)))</f>
        <v>REBECA ABIGAIL VEGA FLORES</v>
      </c>
      <c r="E144" s="64" t="str">
        <f>IF($K144="","",TRIM(INDEX('Detalle individual'!$E:$E,$K144)))</f>
        <v>CAJERO MOVIL</v>
      </c>
      <c r="F144" s="64" t="str">
        <f>IF($K144="","",TRIM(INDEX('Detalle individual'!$C:$C,$K144)))</f>
        <v>SUB GERENCIA DE CANALES</v>
      </c>
      <c r="G144" s="64" t="str">
        <f>IF($K144="","",INDEX('Detalle individual'!$D:$D,$K144))</f>
        <v>Gerencia de Negocios</v>
      </c>
      <c r="H144" s="63" t="str">
        <f>IF($K144="","",INDEX('Detalle individual'!$F:$F,$K144))</f>
        <v>Pendiente</v>
      </c>
      <c r="I144" s="77" t="str">
        <f>IF($K144="","",IF(INDEX('Detalle individual'!$F:$F,$K144)="Completado",INDEX('Detalle individual'!$H:$H,$K144),""))</f>
        <v/>
      </c>
      <c r="J144" s="78" t="str">
        <f>IF($K144="","",IF(INDEX('Detalle individual'!$F:$F,$K144)="Completado",INDEX('Detalle individual'!$J:$J,$K144),""))</f>
        <v/>
      </c>
      <c r="K144">
        <f>IFERROR(MOD(SMALL('Cálculos'!$Z$5:$Z$295,136),300),"")</f>
        <v>189</v>
      </c>
    </row>
    <row r="145">
      <c r="B145" s="63">
        <f>IF($K145="","",137)</f>
        <v>137</v>
      </c>
      <c r="C145" s="63" t="str">
        <f>IF($K145="","",INDEX('Detalle individual'!$A:$A,$K145))</f>
        <v>968</v>
      </c>
      <c r="D145" s="64" t="str">
        <f>IF($K145="","",TRIM(INDEX('Detalle individual'!$B:$B,$K145)))</f>
        <v>SAMUEL ALBERTO SALGUERO RODRIGUEZ</v>
      </c>
      <c r="E145" s="64" t="str">
        <f>IF($K145="","",TRIM(INDEX('Detalle individual'!$E:$E,$K145)))</f>
        <v>CAJERO MOVIL</v>
      </c>
      <c r="F145" s="64" t="str">
        <f>IF($K145="","",TRIM(INDEX('Detalle individual'!$C:$C,$K145)))</f>
        <v>SUB GERENCIA DE CANALES</v>
      </c>
      <c r="G145" s="64" t="str">
        <f>IF($K145="","",INDEX('Detalle individual'!$D:$D,$K145))</f>
        <v>Gerencia de Negocios</v>
      </c>
      <c r="H145" s="63" t="str">
        <f>IF($K145="","",INDEX('Detalle individual'!$F:$F,$K145))</f>
        <v>Pendiente</v>
      </c>
      <c r="I145" s="77" t="str">
        <f>IF($K145="","",IF(INDEX('Detalle individual'!$F:$F,$K145)="Completado",INDEX('Detalle individual'!$H:$H,$K145),""))</f>
        <v/>
      </c>
      <c r="J145" s="78" t="str">
        <f>IF($K145="","",IF(INDEX('Detalle individual'!$F:$F,$K145)="Completado",INDEX('Detalle individual'!$J:$J,$K145),""))</f>
        <v/>
      </c>
      <c r="K145">
        <f>IFERROR(MOD(SMALL('Cálculos'!$Z$5:$Z$295,137),300),"")</f>
        <v>190</v>
      </c>
    </row>
    <row r="146">
      <c r="B146" s="63">
        <f>IF($K146="","",138)</f>
        <v>138</v>
      </c>
      <c r="C146" s="63" t="str">
        <f>IF($K146="","",INDEX('Detalle individual'!$A:$A,$K146))</f>
        <v>409</v>
      </c>
      <c r="D146" s="64" t="str">
        <f>IF($K146="","",TRIM(INDEX('Detalle individual'!$B:$B,$K146)))</f>
        <v>PEDRO ERNESTO MORÁN RAMÍREZ</v>
      </c>
      <c r="E146" s="64" t="str">
        <f>IF($K146="","",TRIM(INDEX('Detalle individual'!$E:$E,$K146)))</f>
        <v>ADMINISTRADOR DE BASE DE DATOS</v>
      </c>
      <c r="F146" s="64" t="str">
        <f>IF($K146="","",TRIM(INDEX('Detalle individual'!$C:$C,$K146)))</f>
        <v>ADMINISTRACION DE BASE DE DATOS</v>
      </c>
      <c r="G146" s="64" t="str">
        <f>IF($K146="","",INDEX('Detalle individual'!$D:$D,$K146))</f>
        <v>Gerencia de Sistemas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46300.696018518516</v>
      </c>
      <c r="J146" s="78">
        <f>IF($K146="","",IF(INDEX('Detalle individual'!$F:$F,$K146)="Completado",INDEX('Detalle individual'!$J:$J,$K146),""))</f>
        <v>95</v>
      </c>
      <c r="K146">
        <f>IFERROR(MOD(SMALL('Cálculos'!$Z$5:$Z$295,138),300),"")</f>
        <v>122</v>
      </c>
    </row>
    <row r="147">
      <c r="B147" s="63">
        <f>IF($K147="","",139)</f>
        <v>139</v>
      </c>
      <c r="C147" s="63" t="str">
        <f>IF($K147="","",INDEX('Detalle individual'!$A:$A,$K147))</f>
        <v>572</v>
      </c>
      <c r="D147" s="64" t="str">
        <f>IF($K147="","",TRIM(INDEX('Detalle individual'!$B:$B,$K147)))</f>
        <v>PAMELA GIOVANNA AGUILAR SERBELLON</v>
      </c>
      <c r="E147" s="64" t="str">
        <f>IF($K147="","",TRIM(INDEX('Detalle individual'!$E:$E,$K147)))</f>
        <v>GESTOR DE COBROS Y PAGOS DE SEGUROS</v>
      </c>
      <c r="F147" s="64" t="str">
        <f>IF($K147="","",TRIM(INDEX('Detalle individual'!$C:$C,$K147)))</f>
        <v>ADMINISTRACIÓN DE CARTERAS</v>
      </c>
      <c r="G147" s="64" t="str">
        <f>IF($K147="","",INDEX('Detalle individual'!$D:$D,$K147))</f>
        <v>Gerencia de Operaciones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46304.51201388889</v>
      </c>
      <c r="J147" s="78">
        <f>IF($K147="","",IF(INDEX('Detalle individual'!$F:$F,$K147)="Completado",INDEX('Detalle individual'!$J:$J,$K147),""))</f>
        <v>100</v>
      </c>
      <c r="K147">
        <f>IFERROR(MOD(SMALL('Cálculos'!$Z$5:$Z$295,139),300),"")</f>
        <v>81</v>
      </c>
    </row>
    <row r="148">
      <c r="B148" s="63">
        <f>IF($K148="","",140)</f>
        <v>140</v>
      </c>
      <c r="C148" s="63" t="str">
        <f>IF($K148="","",INDEX('Detalle individual'!$A:$A,$K148))</f>
        <v>931</v>
      </c>
      <c r="D148" s="64" t="str">
        <f>IF($K148="","",TRIM(INDEX('Detalle individual'!$B:$B,$K148)))</f>
        <v>LOYDA ARACELY RAMOS CAÑENGUEZ</v>
      </c>
      <c r="E148" s="64" t="str">
        <f>IF($K148="","",TRIM(INDEX('Detalle individual'!$E:$E,$K148)))</f>
        <v>ANALISTA DE PRESTAMOS</v>
      </c>
      <c r="F148" s="64" t="str">
        <f>IF($K148="","",TRIM(INDEX('Detalle individual'!$C:$C,$K148)))</f>
        <v>ADMINISTRACIÓN DE CARTERAS</v>
      </c>
      <c r="G148" s="64" t="str">
        <f>IF($K148="","",INDEX('Detalle individual'!$D:$D,$K148))</f>
        <v>Gerencia de Operaciones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46304.56716435185</v>
      </c>
      <c r="J148" s="78">
        <f>IF($K148="","",IF(INDEX('Detalle individual'!$F:$F,$K148)="Completado",INDEX('Detalle individual'!$J:$J,$K148),""))</f>
        <v>100</v>
      </c>
      <c r="K148">
        <f>IFERROR(MOD(SMALL('Cálculos'!$Z$5:$Z$295,140),300),"")</f>
        <v>83</v>
      </c>
    </row>
    <row r="149">
      <c r="B149" s="63">
        <f>IF($K149="","",141)</f>
        <v>141</v>
      </c>
      <c r="C149" s="63" t="str">
        <f>IF($K149="","",INDEX('Detalle individual'!$A:$A,$K149))</f>
        <v>290</v>
      </c>
      <c r="D149" s="64" t="str">
        <f>IF($K149="","",TRIM(INDEX('Detalle individual'!$B:$B,$K149)))</f>
        <v>MELVIN ENRIQUE PORTILLO VALLE</v>
      </c>
      <c r="E149" s="64" t="str">
        <f>IF($K149="","",TRIM(INDEX('Detalle individual'!$E:$E,$K149)))</f>
        <v>ANALISTA DE RIESGOS FINANCIEROS</v>
      </c>
      <c r="F149" s="64" t="str">
        <f>IF($K149="","",TRIM(INDEX('Detalle individual'!$C:$C,$K149)))</f>
        <v>ADMINISTRACION DE RIESGOS</v>
      </c>
      <c r="G149" s="64" t="str">
        <f>IF($K149="","",INDEX('Detalle individual'!$D:$D,$K149))</f>
        <v>Gerencia General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46304.40962962963</v>
      </c>
      <c r="J149" s="78">
        <f>IF($K149="","",IF(INDEX('Detalle individual'!$F:$F,$K149)="Completado",INDEX('Detalle individual'!$J:$J,$K149),""))</f>
        <v>100</v>
      </c>
      <c r="K149">
        <f>IFERROR(MOD(SMALL('Cálculos'!$Z$5:$Z$295,141),300),"")</f>
        <v>14</v>
      </c>
    </row>
    <row r="150">
      <c r="B150" s="63">
        <f>IF($K150="","",142)</f>
        <v>142</v>
      </c>
      <c r="C150" s="63" t="str">
        <f>IF($K150="","",INDEX('Detalle individual'!$A:$A,$K150))</f>
        <v>408</v>
      </c>
      <c r="D150" s="64" t="str">
        <f>IF($K150="","",TRIM(INDEX('Detalle individual'!$B:$B,$K150)))</f>
        <v>SARA PATRICIA GONZALEZ JIMENEZ</v>
      </c>
      <c r="E150" s="64" t="str">
        <f>IF($K150="","",TRIM(INDEX('Detalle individual'!$E:$E,$K150)))</f>
        <v>ASISTENTE TECNICO DE RIESGOS</v>
      </c>
      <c r="F150" s="64" t="str">
        <f>IF($K150="","",TRIM(INDEX('Detalle individual'!$C:$C,$K150)))</f>
        <v>ADMINISTRACION DE RIESGOS</v>
      </c>
      <c r="G150" s="64" t="str">
        <f>IF($K150="","",INDEX('Detalle individual'!$D:$D,$K150))</f>
        <v>Gerencia General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46296.438796296294</v>
      </c>
      <c r="J150" s="78">
        <f>IF($K150="","",IF(INDEX('Detalle individual'!$F:$F,$K150)="Completado",INDEX('Detalle individual'!$J:$J,$K150),""))</f>
        <v>100</v>
      </c>
      <c r="K150">
        <f>IFERROR(MOD(SMALL('Cálculos'!$Z$5:$Z$295,142),300),"")</f>
        <v>15</v>
      </c>
    </row>
    <row r="151">
      <c r="B151" s="63">
        <f>IF($K151="","",143)</f>
        <v>143</v>
      </c>
      <c r="C151" s="63" t="str">
        <f>IF($K151="","",INDEX('Detalle individual'!$A:$A,$K151))</f>
        <v>433</v>
      </c>
      <c r="D151" s="64" t="str">
        <f>IF($K151="","",TRIM(INDEX('Detalle individual'!$B:$B,$K151)))</f>
        <v>SILVIA IVETH MARTINEZ RAMIREZ</v>
      </c>
      <c r="E151" s="64" t="str">
        <f>IF($K151="","",TRIM(INDEX('Detalle individual'!$E:$E,$K151)))</f>
        <v>ANALISTA DE RIESGO OPERACIONAL</v>
      </c>
      <c r="F151" s="64" t="str">
        <f>IF($K151="","",TRIM(INDEX('Detalle individual'!$C:$C,$K151)))</f>
        <v>ADMINISTRACION DE RIESGOS</v>
      </c>
      <c r="G151" s="64" t="str">
        <f>IF($K151="","",INDEX('Detalle individual'!$D:$D,$K151))</f>
        <v>Gerencia General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46300.6309837963</v>
      </c>
      <c r="J151" s="78">
        <f>IF($K151="","",IF(INDEX('Detalle individual'!$F:$F,$K151)="Completado",INDEX('Detalle individual'!$J:$J,$K151),""))</f>
        <v>100</v>
      </c>
      <c r="K151">
        <f>IFERROR(MOD(SMALL('Cálculos'!$Z$5:$Z$295,143),300),"")</f>
        <v>16</v>
      </c>
    </row>
    <row r="152">
      <c r="B152" s="63">
        <f>IF($K152="","",144)</f>
        <v>144</v>
      </c>
      <c r="C152" s="63" t="str">
        <f>IF($K152="","",INDEX('Detalle individual'!$A:$A,$K152))</f>
        <v>928</v>
      </c>
      <c r="D152" s="64" t="str">
        <f>IF($K152="","",TRIM(INDEX('Detalle individual'!$B:$B,$K152)))</f>
        <v>HENRRY DANIEL ESCAMILLA ZALDAÑA</v>
      </c>
      <c r="E152" s="64" t="str">
        <f>IF($K152="","",TRIM(INDEX('Detalle individual'!$E:$E,$K152)))</f>
        <v>JEFE DE ADMINISTRACION DE RIESGOS</v>
      </c>
      <c r="F152" s="64" t="str">
        <f>IF($K152="","",TRIM(INDEX('Detalle individual'!$C:$C,$K152)))</f>
        <v>ADMINISTRACION DE RIESGOS</v>
      </c>
      <c r="G152" s="64" t="str">
        <f>IF($K152="","",INDEX('Detalle individual'!$D:$D,$K152))</f>
        <v>Gerencia General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46305.39865740741</v>
      </c>
      <c r="J152" s="78">
        <f>IF($K152="","",IF(INDEX('Detalle individual'!$F:$F,$K152)="Completado",INDEX('Detalle individual'!$J:$J,$K152),""))</f>
        <v>100</v>
      </c>
      <c r="K152">
        <f>IFERROR(MOD(SMALL('Cálculos'!$Z$5:$Z$295,144),300),"")</f>
        <v>17</v>
      </c>
    </row>
    <row r="153">
      <c r="B153" s="63">
        <f>IF($K153="","",145)</f>
        <v>145</v>
      </c>
      <c r="C153" s="63" t="str">
        <f>IF($K153="","",INDEX('Detalle individual'!$A:$A,$K153))</f>
        <v>542</v>
      </c>
      <c r="D153" s="64" t="str">
        <f>IF($K153="","",TRIM(INDEX('Detalle individual'!$B:$B,$K153)))</f>
        <v>ANA SILVIA ROQUE SANCHEZ</v>
      </c>
      <c r="E153" s="64" t="str">
        <f>IF($K153="","",TRIM(INDEX('Detalle individual'!$E:$E,$K153)))</f>
        <v>EJECUTIVA DE SEGUROS</v>
      </c>
      <c r="F153" s="64" t="str">
        <f>IF($K153="","",TRIM(INDEX('Detalle individual'!$C:$C,$K153)))</f>
        <v>AGENCIA CENTRAL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46302.67400462963</v>
      </c>
      <c r="J153" s="78">
        <f>IF($K153="","",IF(INDEX('Detalle individual'!$F:$F,$K153)="Completado",INDEX('Detalle individual'!$J:$J,$K153),""))</f>
        <v>95</v>
      </c>
      <c r="K153">
        <f>IFERROR(MOD(SMALL('Cálculos'!$Z$5:$Z$295,145),300),"")</f>
        <v>197</v>
      </c>
    </row>
    <row r="154">
      <c r="B154" s="63">
        <f>IF($K154="","",146)</f>
        <v>146</v>
      </c>
      <c r="C154" s="63" t="str">
        <f>IF($K154="","",INDEX('Detalle individual'!$A:$A,$K154))</f>
        <v>757</v>
      </c>
      <c r="D154" s="64" t="str">
        <f>IF($K154="","",TRIM(INDEX('Detalle individual'!$B:$B,$K154)))</f>
        <v>MARIA DE LOS ANGELES OSORIO GIL</v>
      </c>
      <c r="E154" s="64" t="str">
        <f>IF($K154="","",TRIM(INDEX('Detalle individual'!$E:$E,$K154)))</f>
        <v>CAJERO</v>
      </c>
      <c r="F154" s="64" t="str">
        <f>IF($K154="","",TRIM(INDEX('Detalle individual'!$C:$C,$K154)))</f>
        <v>AGENCIA CENTRAL</v>
      </c>
      <c r="G154" s="64" t="str">
        <f>IF($K154="","",INDEX('Detalle individual'!$D:$D,$K154))</f>
        <v>Gerencia de Negocios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46303.443460648145</v>
      </c>
      <c r="J154" s="78">
        <f>IF($K154="","",IF(INDEX('Detalle individual'!$F:$F,$K154)="Completado",INDEX('Detalle individual'!$J:$J,$K154),""))</f>
        <v>100</v>
      </c>
      <c r="K154">
        <f>IFERROR(MOD(SMALL('Cálculos'!$Z$5:$Z$295,146),300),"")</f>
        <v>199</v>
      </c>
    </row>
    <row r="155">
      <c r="B155" s="63">
        <f>IF($K155="","",147)</f>
        <v>147</v>
      </c>
      <c r="C155" s="63" t="str">
        <f>IF($K155="","",INDEX('Detalle individual'!$A:$A,$K155))</f>
        <v>953</v>
      </c>
      <c r="D155" s="64" t="str">
        <f>IF($K155="","",TRIM(INDEX('Detalle individual'!$B:$B,$K155)))</f>
        <v>JESUS ADRIAN MENA AVALOS</v>
      </c>
      <c r="E155" s="64" t="str">
        <f>IF($K155="","",TRIM(INDEX('Detalle individual'!$E:$E,$K155)))</f>
        <v>CAJERO</v>
      </c>
      <c r="F155" s="64" t="str">
        <f>IF($K155="","",TRIM(INDEX('Detalle individual'!$C:$C,$K155)))</f>
        <v>AGENCIA CENTRAL</v>
      </c>
      <c r="G155" s="64" t="str">
        <f>IF($K155="","",INDEX('Detalle individual'!$D:$D,$K155))</f>
        <v>Gerencia de Negocios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46302.62670138889</v>
      </c>
      <c r="J155" s="78">
        <f>IF($K155="","",IF(INDEX('Detalle individual'!$F:$F,$K155)="Completado",INDEX('Detalle individual'!$J:$J,$K155),""))</f>
        <v>100</v>
      </c>
      <c r="K155">
        <f>IFERROR(MOD(SMALL('Cálculos'!$Z$5:$Z$295,147),300),"")</f>
        <v>203</v>
      </c>
    </row>
    <row r="156">
      <c r="B156" s="63">
        <f>IF($K156="","",148)</f>
        <v>148</v>
      </c>
      <c r="C156" s="63" t="str">
        <f>IF($K156="","",INDEX('Detalle individual'!$A:$A,$K156))</f>
        <v>958</v>
      </c>
      <c r="D156" s="64" t="str">
        <f>IF($K156="","",TRIM(INDEX('Detalle individual'!$B:$B,$K156)))</f>
        <v>ALEXANDRA DANIELA PINEDA JIMENEZ</v>
      </c>
      <c r="E156" s="64" t="str">
        <f>IF($K156="","",TRIM(INDEX('Detalle individual'!$E:$E,$K156)))</f>
        <v>AUXILIAR DE ATENCION A ASOCIADOS</v>
      </c>
      <c r="F156" s="64" t="str">
        <f>IF($K156="","",TRIM(INDEX('Detalle individual'!$C:$C,$K156)))</f>
        <v>AGENCIA CENTRAL</v>
      </c>
      <c r="G156" s="64" t="str">
        <f>IF($K156="","",INDEX('Detalle individual'!$D:$D,$K156))</f>
        <v>Gerencia de Negocios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46305.39554398148</v>
      </c>
      <c r="J156" s="78">
        <f>IF($K156="","",IF(INDEX('Detalle individual'!$F:$F,$K156)="Completado",INDEX('Detalle individual'!$J:$J,$K156),""))</f>
        <v>75</v>
      </c>
      <c r="K156">
        <f>IFERROR(MOD(SMALL('Cálculos'!$Z$5:$Z$295,148),300),"")</f>
        <v>205</v>
      </c>
    </row>
    <row r="157">
      <c r="B157" s="63">
        <f>IF($K157="","",149)</f>
        <v>149</v>
      </c>
      <c r="C157" s="63" t="str">
        <f>IF($K157="","",INDEX('Detalle individual'!$A:$A,$K157))</f>
        <v>960</v>
      </c>
      <c r="D157" s="64" t="str">
        <f>IF($K157="","",TRIM(INDEX('Detalle individual'!$B:$B,$K157)))</f>
        <v>LORENA DEL CARMEN MEJIA HERRERA</v>
      </c>
      <c r="E157" s="64" t="str">
        <f>IF($K157="","",TRIM(INDEX('Detalle individual'!$E:$E,$K157)))</f>
        <v>CAJERO</v>
      </c>
      <c r="F157" s="64" t="str">
        <f>IF($K157="","",TRIM(INDEX('Detalle individual'!$C:$C,$K157)))</f>
        <v>AGENCIA CENTRAL</v>
      </c>
      <c r="G157" s="64" t="str">
        <f>IF($K157="","",INDEX('Detalle individual'!$D:$D,$K157))</f>
        <v>Gerencia de Negocios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46302.48327546296</v>
      </c>
      <c r="J157" s="78">
        <f>IF($K157="","",IF(INDEX('Detalle individual'!$F:$F,$K157)="Completado",INDEX('Detalle individual'!$J:$J,$K157),""))</f>
        <v>100</v>
      </c>
      <c r="K157">
        <f>IFERROR(MOD(SMALL('Cálculos'!$Z$5:$Z$295,149),300),"")</f>
        <v>206</v>
      </c>
    </row>
    <row r="158">
      <c r="B158" s="63">
        <f>IF($K158="","",150)</f>
        <v>150</v>
      </c>
      <c r="C158" s="63" t="str">
        <f>IF($K158="","",INDEX('Detalle individual'!$A:$A,$K158))</f>
        <v>976</v>
      </c>
      <c r="D158" s="64" t="str">
        <f>IF($K158="","",TRIM(INDEX('Detalle individual'!$B:$B,$K158)))</f>
        <v>KEVIN ARTURO ANDRADE PALACIOS</v>
      </c>
      <c r="E158" s="64" t="str">
        <f>IF($K158="","",TRIM(INDEX('Detalle individual'!$E:$E,$K158)))</f>
        <v>CAJERO</v>
      </c>
      <c r="F158" s="64" t="str">
        <f>IF($K158="","",TRIM(INDEX('Detalle individual'!$C:$C,$K158)))</f>
        <v>AGENCIA CENTRAL</v>
      </c>
      <c r="G158" s="64" t="str">
        <f>IF($K158="","",INDEX('Detalle individual'!$D:$D,$K158))</f>
        <v>Gerencia de Negocios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46302.59866898148</v>
      </c>
      <c r="J158" s="78">
        <f>IF($K158="","",IF(INDEX('Detalle individual'!$F:$F,$K158)="Completado",INDEX('Detalle individual'!$J:$J,$K158),""))</f>
        <v>100</v>
      </c>
      <c r="K158">
        <f>IFERROR(MOD(SMALL('Cálculos'!$Z$5:$Z$295,150),300),"")</f>
        <v>208</v>
      </c>
    </row>
    <row r="159">
      <c r="B159" s="63">
        <f>IF($K159="","",151)</f>
        <v>151</v>
      </c>
      <c r="C159" s="63" t="str">
        <f>IF($K159="","",INDEX('Detalle individual'!$A:$A,$K159))</f>
        <v>360</v>
      </c>
      <c r="D159" s="64" t="str">
        <f>IF($K159="","",TRIM(INDEX('Detalle individual'!$B:$B,$K159)))</f>
        <v>PATRICIA ESMERALDA PORTILLO CESPEDES</v>
      </c>
      <c r="E159" s="64" t="str">
        <f>IF($K159="","",TRIM(INDEX('Detalle individual'!$E:$E,$K159)))</f>
        <v>JEFE DE AGENCIA</v>
      </c>
      <c r="F159" s="64" t="str">
        <f>IF($K159="","",TRIM(INDEX('Detalle individual'!$C:$C,$K159)))</f>
        <v>AGENCIA COLEGIO MEDICO</v>
      </c>
      <c r="G159" s="64" t="str">
        <f>IF($K159="","",INDEX('Detalle individual'!$D:$D,$K159))</f>
        <v>Gerencia de Negocios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46296.47634259259</v>
      </c>
      <c r="J159" s="78">
        <f>IF($K159="","",IF(INDEX('Detalle individual'!$F:$F,$K159)="Completado",INDEX('Detalle individual'!$J:$J,$K159),""))</f>
        <v>100</v>
      </c>
      <c r="K159">
        <f>IFERROR(MOD(SMALL('Cálculos'!$Z$5:$Z$295,151),300),"")</f>
        <v>212</v>
      </c>
    </row>
    <row r="160">
      <c r="B160" s="63">
        <f>IF($K160="","",152)</f>
        <v>152</v>
      </c>
      <c r="C160" s="63" t="str">
        <f>IF($K160="","",INDEX('Detalle individual'!$A:$A,$K160))</f>
        <v>543</v>
      </c>
      <c r="D160" s="64" t="str">
        <f>IF($K160="","",TRIM(INDEX('Detalle individual'!$B:$B,$K160)))</f>
        <v>CLAUDIA ELENA GUARDADO VARELA</v>
      </c>
      <c r="E160" s="64" t="str">
        <f>IF($K160="","",TRIM(INDEX('Detalle individual'!$E:$E,$K160)))</f>
        <v>EJECUTIVA DE SEGUROS</v>
      </c>
      <c r="F160" s="64" t="str">
        <f>IF($K160="","",TRIM(INDEX('Detalle individual'!$C:$C,$K160)))</f>
        <v>AGENCIA COLEGIO MEDICO</v>
      </c>
      <c r="G160" s="64" t="str">
        <f>IF($K160="","",INDEX('Detalle individual'!$D:$D,$K160))</f>
        <v>Gerencia de Negocios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46305.407002314816</v>
      </c>
      <c r="J160" s="78">
        <f>IF($K160="","",IF(INDEX('Detalle individual'!$F:$F,$K160)="Completado",INDEX('Detalle individual'!$J:$J,$K160),""))</f>
        <v>100</v>
      </c>
      <c r="K160">
        <f>IFERROR(MOD(SMALL('Cálculos'!$Z$5:$Z$295,152),300),"")</f>
        <v>215</v>
      </c>
    </row>
    <row r="161">
      <c r="B161" s="63">
        <f>IF($K161="","",153)</f>
        <v>153</v>
      </c>
      <c r="C161" s="63" t="str">
        <f>IF($K161="","",INDEX('Detalle individual'!$A:$A,$K161))</f>
        <v>841</v>
      </c>
      <c r="D161" s="64" t="str">
        <f>IF($K161="","",TRIM(INDEX('Detalle individual'!$B:$B,$K161)))</f>
        <v>KRISSIA ANDREA DOMINGUEZ OSORIO</v>
      </c>
      <c r="E161" s="64" t="str">
        <f>IF($K161="","",TRIM(INDEX('Detalle individual'!$E:$E,$K161)))</f>
        <v>CAJERO</v>
      </c>
      <c r="F161" s="64" t="str">
        <f>IF($K161="","",TRIM(INDEX('Detalle individual'!$C:$C,$K161)))</f>
        <v>AGENCIA COLEGIO MEDICO</v>
      </c>
      <c r="G161" s="64" t="str">
        <f>IF($K161="","",INDEX('Detalle individual'!$D:$D,$K161))</f>
        <v>Gerencia de Negocios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46305.39891203704</v>
      </c>
      <c r="J161" s="78">
        <f>IF($K161="","",IF(INDEX('Detalle individual'!$F:$F,$K161)="Completado",INDEX('Detalle individual'!$J:$J,$K161),""))</f>
        <v>100</v>
      </c>
      <c r="K161">
        <f>IFERROR(MOD(SMALL('Cálculos'!$Z$5:$Z$295,153),300),"")</f>
        <v>217</v>
      </c>
    </row>
    <row r="162">
      <c r="B162" s="63">
        <f>IF($K162="","",154)</f>
        <v>154</v>
      </c>
      <c r="C162" s="63" t="str">
        <f>IF($K162="","",INDEX('Detalle individual'!$A:$A,$K162))</f>
        <v>89</v>
      </c>
      <c r="D162" s="64" t="str">
        <f>IF($K162="","",TRIM(INDEX('Detalle individual'!$B:$B,$K162)))</f>
        <v>PATRICIA JEANNETTE FLORES MARTINEZ</v>
      </c>
      <c r="E162" s="64" t="str">
        <f>IF($K162="","",TRIM(INDEX('Detalle individual'!$E:$E,$K162)))</f>
        <v>AUXILIAR DE OPERACIONES Y ATENCION EN AGENCIA</v>
      </c>
      <c r="F162" s="64" t="str">
        <f>IF($K162="","",TRIM(INDEX('Detalle individual'!$C:$C,$K162)))</f>
        <v>AGENCIA COLONIA MEDICA</v>
      </c>
      <c r="G162" s="64" t="str">
        <f>IF($K162="","",INDEX('Detalle individual'!$D:$D,$K162))</f>
        <v>Gerencia de Negocios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46302.64712962963</v>
      </c>
      <c r="J162" s="78">
        <f>IF($K162="","",IF(INDEX('Detalle individual'!$F:$F,$K162)="Completado",INDEX('Detalle individual'!$J:$J,$K162),""))</f>
        <v>100</v>
      </c>
      <c r="K162">
        <f>IFERROR(MOD(SMALL('Cálculos'!$Z$5:$Z$295,154),300),"")</f>
        <v>258</v>
      </c>
    </row>
    <row r="163">
      <c r="B163" s="63">
        <f>IF($K163="","",155)</f>
        <v>155</v>
      </c>
      <c r="C163" s="63" t="str">
        <f>IF($K163="","",INDEX('Detalle individual'!$A:$A,$K163))</f>
        <v>308</v>
      </c>
      <c r="D163" s="64" t="str">
        <f>IF($K163="","",TRIM(INDEX('Detalle individual'!$B:$B,$K163)))</f>
        <v>JENNIFFER IVETTE MORALES PEREZ</v>
      </c>
      <c r="E163" s="64" t="str">
        <f>IF($K163="","",TRIM(INDEX('Detalle individual'!$E:$E,$K163)))</f>
        <v>EJECUTIVO DE NEGOCIOS</v>
      </c>
      <c r="F163" s="64" t="str">
        <f>IF($K163="","",TRIM(INDEX('Detalle individual'!$C:$C,$K163)))</f>
        <v>AGENCIA COLONIA MEDICA</v>
      </c>
      <c r="G163" s="64" t="str">
        <f>IF($K163="","",INDEX('Detalle individual'!$D:$D,$K163))</f>
        <v>Gerencia de Negocios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46297.714895833335</v>
      </c>
      <c r="J163" s="78">
        <f>IF($K163="","",IF(INDEX('Detalle individual'!$F:$F,$K163)="Completado",INDEX('Detalle individual'!$J:$J,$K163),""))</f>
        <v>95</v>
      </c>
      <c r="K163">
        <f>IFERROR(MOD(SMALL('Cálculos'!$Z$5:$Z$295,155),300),"")</f>
        <v>260</v>
      </c>
    </row>
    <row r="164">
      <c r="B164" s="63">
        <f>IF($K164="","",156)</f>
        <v>156</v>
      </c>
      <c r="C164" s="63" t="str">
        <f>IF($K164="","",INDEX('Detalle individual'!$A:$A,$K164))</f>
        <v>412</v>
      </c>
      <c r="D164" s="64" t="str">
        <f>IF($K164="","",TRIM(INDEX('Detalle individual'!$B:$B,$K164)))</f>
        <v>CARMEN DE JESÚS GONZÁLEZ BLANCO</v>
      </c>
      <c r="E164" s="64" t="str">
        <f>IF($K164="","",TRIM(INDEX('Detalle individual'!$E:$E,$K164)))</f>
        <v>EJECUTIVA DE SEGUROS</v>
      </c>
      <c r="F164" s="64" t="str">
        <f>IF($K164="","",TRIM(INDEX('Detalle individual'!$C:$C,$K164)))</f>
        <v>AGENCIA COLONIA MEDICA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46302.63581018519</v>
      </c>
      <c r="J164" s="78">
        <f>IF($K164="","",IF(INDEX('Detalle individual'!$F:$F,$K164)="Completado",INDEX('Detalle individual'!$J:$J,$K164),""))</f>
        <v>100</v>
      </c>
      <c r="K164">
        <f>IFERROR(MOD(SMALL('Cálculos'!$Z$5:$Z$295,156),300),"")</f>
        <v>261</v>
      </c>
    </row>
    <row r="165">
      <c r="B165" s="63">
        <f>IF($K165="","",157)</f>
        <v>157</v>
      </c>
      <c r="C165" s="63" t="str">
        <f>IF($K165="","",INDEX('Detalle individual'!$A:$A,$K165))</f>
        <v>728</v>
      </c>
      <c r="D165" s="64" t="str">
        <f>IF($K165="","",TRIM(INDEX('Detalle individual'!$B:$B,$K165)))</f>
        <v>DIANA MARISOL BATRES BARAHONA</v>
      </c>
      <c r="E165" s="64" t="str">
        <f>IF($K165="","",TRIM(INDEX('Detalle individual'!$E:$E,$K165)))</f>
        <v>SUBJEFE DE AGENCIA</v>
      </c>
      <c r="F165" s="64" t="str">
        <f>IF($K165="","",TRIM(INDEX('Detalle individual'!$C:$C,$K165)))</f>
        <v>AGENCIA COLONIA MEDICA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46300.68400462963</v>
      </c>
      <c r="J165" s="78">
        <f>IF($K165="","",IF(INDEX('Detalle individual'!$F:$F,$K165)="Completado",INDEX('Detalle individual'!$J:$J,$K165),""))</f>
        <v>100</v>
      </c>
      <c r="K165">
        <f>IFERROR(MOD(SMALL('Cálculos'!$Z$5:$Z$295,157),300),"")</f>
        <v>265</v>
      </c>
    </row>
    <row r="166">
      <c r="B166" s="63">
        <f>IF($K166="","",158)</f>
        <v>158</v>
      </c>
      <c r="C166" s="63" t="str">
        <f>IF($K166="","",INDEX('Detalle individual'!$A:$A,$K166))</f>
        <v>801</v>
      </c>
      <c r="D166" s="64" t="str">
        <f>IF($K166="","",TRIM(INDEX('Detalle individual'!$B:$B,$K166)))</f>
        <v>ZULMA BEATRIZ RIVAS RIVERA</v>
      </c>
      <c r="E166" s="64" t="str">
        <f>IF($K166="","",TRIM(INDEX('Detalle individual'!$E:$E,$K166)))</f>
        <v>CAJERO</v>
      </c>
      <c r="F166" s="64" t="str">
        <f>IF($K166="","",TRIM(INDEX('Detalle individual'!$C:$C,$K166)))</f>
        <v>AGENCIA COLONIA MEDICA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46300.688368055555</v>
      </c>
      <c r="J166" s="78">
        <f>IF($K166="","",IF(INDEX('Detalle individual'!$F:$F,$K166)="Completado",INDEX('Detalle individual'!$J:$J,$K166),""))</f>
        <v>100</v>
      </c>
      <c r="K166">
        <f>IFERROR(MOD(SMALL('Cálculos'!$Z$5:$Z$295,158),300),"")</f>
        <v>267</v>
      </c>
    </row>
    <row r="167">
      <c r="B167" s="63">
        <f>IF($K167="","",159)</f>
        <v>159</v>
      </c>
      <c r="C167" s="63" t="str">
        <f>IF($K167="","",INDEX('Detalle individual'!$A:$A,$K167))</f>
        <v>159</v>
      </c>
      <c r="D167" s="64" t="str">
        <f>IF($K167="","",TRIM(INDEX('Detalle individual'!$B:$B,$K167)))</f>
        <v>PATRICIA GUADALUPE GUARDADO OSEGUEDA</v>
      </c>
      <c r="E167" s="64" t="str">
        <f>IF($K167="","",TRIM(INDEX('Detalle individual'!$E:$E,$K167)))</f>
        <v>EJECUTIVO DE NEGOCIOS</v>
      </c>
      <c r="F167" s="64" t="str">
        <f>IF($K167="","",TRIM(INDEX('Detalle individual'!$C:$C,$K167)))</f>
        <v>AGENCIA MERLIOT</v>
      </c>
      <c r="G167" s="64" t="str">
        <f>IF($K167="","",INDEX('Detalle individual'!$D:$D,$K167))</f>
        <v>Gerencia de Negocios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46303.39640046296</v>
      </c>
      <c r="J167" s="78">
        <f>IF($K167="","",IF(INDEX('Detalle individual'!$F:$F,$K167)="Completado",INDEX('Detalle individual'!$J:$J,$K167),""))</f>
        <v>100</v>
      </c>
      <c r="K167">
        <f>IFERROR(MOD(SMALL('Cálculos'!$Z$5:$Z$295,159),300),"")</f>
        <v>244</v>
      </c>
    </row>
    <row r="168">
      <c r="B168" s="63">
        <f>IF($K168="","",160)</f>
        <v>160</v>
      </c>
      <c r="C168" s="63" t="str">
        <f>IF($K168="","",INDEX('Detalle individual'!$A:$A,$K168))</f>
        <v>251</v>
      </c>
      <c r="D168" s="64" t="str">
        <f>IF($K168="","",TRIM(INDEX('Detalle individual'!$B:$B,$K168)))</f>
        <v>NURIA LISSETH AGUILAR AGUILAR</v>
      </c>
      <c r="E168" s="64" t="str">
        <f>IF($K168="","",TRIM(INDEX('Detalle individual'!$E:$E,$K168)))</f>
        <v>EJECUTIVO DE NEGOCIOS</v>
      </c>
      <c r="F168" s="64" t="str">
        <f>IF($K168="","",TRIM(INDEX('Detalle individual'!$C:$C,$K168)))</f>
        <v>AGENCIA MERLIOT</v>
      </c>
      <c r="G168" s="64" t="str">
        <f>IF($K168="","",INDEX('Detalle individual'!$D:$D,$K168))</f>
        <v>Gerencia de Negocios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46303.46199074074</v>
      </c>
      <c r="J168" s="78">
        <f>IF($K168="","",IF(INDEX('Detalle individual'!$F:$F,$K168)="Completado",INDEX('Detalle individual'!$J:$J,$K168),""))</f>
        <v>100</v>
      </c>
      <c r="K168">
        <f>IFERROR(MOD(SMALL('Cálculos'!$Z$5:$Z$295,160),300),"")</f>
        <v>245</v>
      </c>
    </row>
    <row r="169">
      <c r="B169" s="63">
        <f>IF($K169="","",161)</f>
        <v>161</v>
      </c>
      <c r="C169" s="63" t="str">
        <f>IF($K169="","",INDEX('Detalle individual'!$A:$A,$K169))</f>
        <v>343</v>
      </c>
      <c r="D169" s="64" t="str">
        <f>IF($K169="","",TRIM(INDEX('Detalle individual'!$B:$B,$K169)))</f>
        <v>FATIMA BERENICE MEDINA ESCALANTE</v>
      </c>
      <c r="E169" s="64" t="str">
        <f>IF($K169="","",TRIM(INDEX('Detalle individual'!$E:$E,$K169)))</f>
        <v>JEFE DE AGENCIA</v>
      </c>
      <c r="F169" s="64" t="str">
        <f>IF($K169="","",TRIM(INDEX('Detalle individual'!$C:$C,$K169)))</f>
        <v>AGENCIA MERLIOT</v>
      </c>
      <c r="G169" s="64" t="str">
        <f>IF($K169="","",INDEX('Detalle individual'!$D:$D,$K169))</f>
        <v>Gerencia de Negocios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46302.70259259259</v>
      </c>
      <c r="J169" s="78">
        <f>IF($K169="","",IF(INDEX('Detalle individual'!$F:$F,$K169)="Completado",INDEX('Detalle individual'!$J:$J,$K169),""))</f>
        <v>100</v>
      </c>
      <c r="K169">
        <f>IFERROR(MOD(SMALL('Cálculos'!$Z$5:$Z$295,161),300),"")</f>
        <v>246</v>
      </c>
    </row>
    <row r="170">
      <c r="B170" s="63">
        <f>IF($K170="","",162)</f>
        <v>162</v>
      </c>
      <c r="C170" s="63" t="str">
        <f>IF($K170="","",INDEX('Detalle individual'!$A:$A,$K170))</f>
        <v>671</v>
      </c>
      <c r="D170" s="64" t="str">
        <f>IF($K170="","",TRIM(INDEX('Detalle individual'!$B:$B,$K170)))</f>
        <v>MILTON ALEXANDER CUELLAR GARCIA</v>
      </c>
      <c r="E170" s="64" t="str">
        <f>IF($K170="","",TRIM(INDEX('Detalle individual'!$E:$E,$K170)))</f>
        <v>CAJERO</v>
      </c>
      <c r="F170" s="64" t="str">
        <f>IF($K170="","",TRIM(INDEX('Detalle individual'!$C:$C,$K170)))</f>
        <v>AGENCIA MERLIOT</v>
      </c>
      <c r="G170" s="64" t="str">
        <f>IF($K170="","",INDEX('Detalle individual'!$D:$D,$K170))</f>
        <v>Gerencia de Negocios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46296.55247685185</v>
      </c>
      <c r="J170" s="78">
        <f>IF($K170="","",IF(INDEX('Detalle individual'!$F:$F,$K170)="Completado",INDEX('Detalle individual'!$J:$J,$K170),""))</f>
        <v>70</v>
      </c>
      <c r="K170">
        <f>IFERROR(MOD(SMALL('Cálculos'!$Z$5:$Z$295,162),300),"")</f>
        <v>248</v>
      </c>
    </row>
    <row r="171">
      <c r="B171" s="63">
        <f>IF($K171="","",163)</f>
        <v>163</v>
      </c>
      <c r="C171" s="63" t="str">
        <f>IF($K171="","",INDEX('Detalle individual'!$A:$A,$K171))</f>
        <v>700</v>
      </c>
      <c r="D171" s="64" t="str">
        <f>IF($K171="","",TRIM(INDEX('Detalle individual'!$B:$B,$K171)))</f>
        <v>JENNIFFER MIREYA AYALA ZEPEDA</v>
      </c>
      <c r="E171" s="64" t="str">
        <f>IF($K171="","",TRIM(INDEX('Detalle individual'!$E:$E,$K171)))</f>
        <v>SUBJEFE DE AGENCIA</v>
      </c>
      <c r="F171" s="64" t="str">
        <f>IF($K171="","",TRIM(INDEX('Detalle individual'!$C:$C,$K171)))</f>
        <v>AGENCIA MERLIOT</v>
      </c>
      <c r="G171" s="64" t="str">
        <f>IF($K171="","",INDEX('Detalle individual'!$D:$D,$K171))</f>
        <v>Gerencia de Negocios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46302.561886574076</v>
      </c>
      <c r="J171" s="78">
        <f>IF($K171="","",IF(INDEX('Detalle individual'!$F:$F,$K171)="Completado",INDEX('Detalle individual'!$J:$J,$K171),""))</f>
        <v>100</v>
      </c>
      <c r="K171">
        <f>IFERROR(MOD(SMALL('Cálculos'!$Z$5:$Z$295,163),300),"")</f>
        <v>249</v>
      </c>
    </row>
    <row r="172">
      <c r="B172" s="63">
        <f>IF($K172="","",164)</f>
        <v>164</v>
      </c>
      <c r="C172" s="63" t="str">
        <f>IF($K172="","",INDEX('Detalle individual'!$A:$A,$K172))</f>
        <v>827</v>
      </c>
      <c r="D172" s="64" t="str">
        <f>IF($K172="","",TRIM(INDEX('Detalle individual'!$B:$B,$K172)))</f>
        <v>KELLY IDALIA CHAVEZ ABREGO</v>
      </c>
      <c r="E172" s="64" t="str">
        <f>IF($K172="","",TRIM(INDEX('Detalle individual'!$E:$E,$K172)))</f>
        <v>CAJERO</v>
      </c>
      <c r="F172" s="64" t="str">
        <f>IF($K172="","",TRIM(INDEX('Detalle individual'!$C:$C,$K172)))</f>
        <v>AGENCIA MERLIOT</v>
      </c>
      <c r="G172" s="64" t="str">
        <f>IF($K172="","",INDEX('Detalle individual'!$D:$D,$K172))</f>
        <v>Gerencia de Negocios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46302.58609953704</v>
      </c>
      <c r="J172" s="78">
        <f>IF($K172="","",IF(INDEX('Detalle individual'!$F:$F,$K172)="Completado",INDEX('Detalle individual'!$J:$J,$K172),""))</f>
        <v>100</v>
      </c>
      <c r="K172">
        <f>IFERROR(MOD(SMALL('Cálculos'!$Z$5:$Z$295,164),300),"")</f>
        <v>250</v>
      </c>
    </row>
    <row r="173">
      <c r="B173" s="63">
        <f>IF($K173="","",165)</f>
        <v>165</v>
      </c>
      <c r="C173" s="63" t="str">
        <f>IF($K173="","",INDEX('Detalle individual'!$A:$A,$K173))</f>
        <v>892</v>
      </c>
      <c r="D173" s="64" t="str">
        <f>IF($K173="","",TRIM(INDEX('Detalle individual'!$B:$B,$K173)))</f>
        <v>DIANA VANESSA RODRIGUEZ SORIANO</v>
      </c>
      <c r="E173" s="64" t="str">
        <f>IF($K173="","",TRIM(INDEX('Detalle individual'!$E:$E,$K173)))</f>
        <v>EJECUTIVA DE SEGUROS</v>
      </c>
      <c r="F173" s="64" t="str">
        <f>IF($K173="","",TRIM(INDEX('Detalle individual'!$C:$C,$K173)))</f>
        <v>AGENCIA MERLIOT</v>
      </c>
      <c r="G173" s="64" t="str">
        <f>IF($K173="","",INDEX('Detalle individual'!$D:$D,$K173))</f>
        <v>Gerencia de Negocios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46303.39013888889</v>
      </c>
      <c r="J173" s="78">
        <f>IF($K173="","",IF(INDEX('Detalle individual'!$F:$F,$K173)="Completado",INDEX('Detalle individual'!$J:$J,$K173),""))</f>
        <v>100</v>
      </c>
      <c r="K173">
        <f>IFERROR(MOD(SMALL('Cálculos'!$Z$5:$Z$295,165),300),"")</f>
        <v>251</v>
      </c>
    </row>
    <row r="174">
      <c r="B174" s="63">
        <f>IF($K174="","",166)</f>
        <v>166</v>
      </c>
      <c r="C174" s="63" t="str">
        <f>IF($K174="","",INDEX('Detalle individual'!$A:$A,$K174))</f>
        <v>909</v>
      </c>
      <c r="D174" s="64" t="str">
        <f>IF($K174="","",TRIM(INDEX('Detalle individual'!$B:$B,$K174)))</f>
        <v>GLADYS LISETH HERNANDEZ CRUZ</v>
      </c>
      <c r="E174" s="64" t="str">
        <f>IF($K174="","",TRIM(INDEX('Detalle individual'!$E:$E,$K174)))</f>
        <v>CAJERO</v>
      </c>
      <c r="F174" s="64" t="str">
        <f>IF($K174="","",TRIM(INDEX('Detalle individual'!$C:$C,$K174)))</f>
        <v>AGENCIA MERLIOT</v>
      </c>
      <c r="G174" s="64" t="str">
        <f>IF($K174="","",INDEX('Detalle individual'!$D:$D,$K174))</f>
        <v>Gerencia de Negocios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46302.70457175926</v>
      </c>
      <c r="J174" s="78">
        <f>IF($K174="","",IF(INDEX('Detalle individual'!$F:$F,$K174)="Completado",INDEX('Detalle individual'!$J:$J,$K174),""))</f>
        <v>100</v>
      </c>
      <c r="K174">
        <f>IFERROR(MOD(SMALL('Cálculos'!$Z$5:$Z$295,166),300),"")</f>
        <v>252</v>
      </c>
    </row>
    <row r="175">
      <c r="B175" s="63">
        <f>IF($K175="","",167)</f>
        <v>167</v>
      </c>
      <c r="C175" s="63" t="str">
        <f>IF($K175="","",INDEX('Detalle individual'!$A:$A,$K175))</f>
        <v>922</v>
      </c>
      <c r="D175" s="64" t="str">
        <f>IF($K175="","",TRIM(INDEX('Detalle individual'!$B:$B,$K175)))</f>
        <v>MADELINE ADRIANA GOMEZ GARCIA</v>
      </c>
      <c r="E175" s="64" t="str">
        <f>IF($K175="","",TRIM(INDEX('Detalle individual'!$E:$E,$K175)))</f>
        <v>CAJERO</v>
      </c>
      <c r="F175" s="64" t="str">
        <f>IF($K175="","",TRIM(INDEX('Detalle individual'!$C:$C,$K175)))</f>
        <v>AGENCIA MERLIOT</v>
      </c>
      <c r="G175" s="64" t="str">
        <f>IF($K175="","",INDEX('Detalle individual'!$D:$D,$K175))</f>
        <v>Gerencia de Negocios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46302.57753472222</v>
      </c>
      <c r="J175" s="78">
        <f>IF($K175="","",IF(INDEX('Detalle individual'!$F:$F,$K175)="Completado",INDEX('Detalle individual'!$J:$J,$K175),""))</f>
        <v>100</v>
      </c>
      <c r="K175">
        <f>IFERROR(MOD(SMALL('Cálculos'!$Z$5:$Z$295,167),300),"")</f>
        <v>253</v>
      </c>
    </row>
    <row r="176">
      <c r="B176" s="63">
        <f>IF($K176="","",168)</f>
        <v>168</v>
      </c>
      <c r="C176" s="63" t="str">
        <f>IF($K176="","",INDEX('Detalle individual'!$A:$A,$K176))</f>
        <v>936</v>
      </c>
      <c r="D176" s="64" t="str">
        <f>IF($K176="","",TRIM(INDEX('Detalle individual'!$B:$B,$K176)))</f>
        <v>MARISELA GUADALUPE MEJIA CRUZ</v>
      </c>
      <c r="E176" s="64" t="str">
        <f>IF($K176="","",TRIM(INDEX('Detalle individual'!$E:$E,$K176)))</f>
        <v>CAJERO</v>
      </c>
      <c r="F176" s="64" t="str">
        <f>IF($K176="","",TRIM(INDEX('Detalle individual'!$C:$C,$K176)))</f>
        <v>AGENCIA MERLIOT</v>
      </c>
      <c r="G176" s="64" t="str">
        <f>IF($K176="","",INDEX('Detalle individual'!$D:$D,$K176))</f>
        <v>Gerencia de Negocios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46302.637037037035</v>
      </c>
      <c r="J176" s="78">
        <f>IF($K176="","",IF(INDEX('Detalle individual'!$F:$F,$K176)="Completado",INDEX('Detalle individual'!$J:$J,$K176),""))</f>
        <v>100</v>
      </c>
      <c r="K176">
        <f>IFERROR(MOD(SMALL('Cálculos'!$Z$5:$Z$295,168),300),"")</f>
        <v>254</v>
      </c>
    </row>
    <row r="177">
      <c r="B177" s="63">
        <f>IF($K177="","",169)</f>
        <v>169</v>
      </c>
      <c r="C177" s="63" t="str">
        <f>IF($K177="","",INDEX('Detalle individual'!$A:$A,$K177))</f>
        <v>944</v>
      </c>
      <c r="D177" s="64" t="str">
        <f>IF($K177="","",TRIM(INDEX('Detalle individual'!$B:$B,$K177)))</f>
        <v>JOSSELYN IVONNE GARCIA HERNANDEZ</v>
      </c>
      <c r="E177" s="64" t="str">
        <f>IF($K177="","",TRIM(INDEX('Detalle individual'!$E:$E,$K177)))</f>
        <v>AUXILIAR DE ATENCION A ASOCIADOS</v>
      </c>
      <c r="F177" s="64" t="str">
        <f>IF($K177="","",TRIM(INDEX('Detalle individual'!$C:$C,$K177)))</f>
        <v>AGENCIA MERLIOT</v>
      </c>
      <c r="G177" s="64" t="str">
        <f>IF($K177="","",INDEX('Detalle individual'!$D:$D,$K177))</f>
        <v>Gerencia de Negocios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46296.67511574074</v>
      </c>
      <c r="J177" s="78">
        <f>IF($K177="","",IF(INDEX('Detalle individual'!$F:$F,$K177)="Completado",INDEX('Detalle individual'!$J:$J,$K177),""))</f>
        <v>75</v>
      </c>
      <c r="K177">
        <f>IFERROR(MOD(SMALL('Cálculos'!$Z$5:$Z$295,169),300),"")</f>
        <v>255</v>
      </c>
    </row>
    <row r="178">
      <c r="B178" s="63">
        <f>IF($K178="","",170)</f>
        <v>170</v>
      </c>
      <c r="C178" s="63" t="str">
        <f>IF($K178="","",INDEX('Detalle individual'!$A:$A,$K178))</f>
        <v>967</v>
      </c>
      <c r="D178" s="64" t="str">
        <f>IF($K178="","",TRIM(INDEX('Detalle individual'!$B:$B,$K178)))</f>
        <v>MAVERICK JOSSIMAR GONZALEZ MUÑOZ</v>
      </c>
      <c r="E178" s="64" t="str">
        <f>IF($K178="","",TRIM(INDEX('Detalle individual'!$E:$E,$K178)))</f>
        <v>CAJERO</v>
      </c>
      <c r="F178" s="64" t="str">
        <f>IF($K178="","",TRIM(INDEX('Detalle individual'!$C:$C,$K178)))</f>
        <v>AGENCIA MERLIOT</v>
      </c>
      <c r="G178" s="64" t="str">
        <f>IF($K178="","",INDEX('Detalle individual'!$D:$D,$K178))</f>
        <v>Gerencia de Negocios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46302.58998842593</v>
      </c>
      <c r="J178" s="78">
        <f>IF($K178="","",IF(INDEX('Detalle individual'!$F:$F,$K178)="Completado",INDEX('Detalle individual'!$J:$J,$K178),""))</f>
        <v>100</v>
      </c>
      <c r="K178">
        <f>IFERROR(MOD(SMALL('Cálculos'!$Z$5:$Z$295,170),300),"")</f>
        <v>256</v>
      </c>
    </row>
    <row r="179">
      <c r="B179" s="63">
        <f>IF($K179="","",171)</f>
        <v>171</v>
      </c>
      <c r="C179" s="63" t="str">
        <f>IF($K179="","",INDEX('Detalle individual'!$A:$A,$K179))</f>
        <v>197</v>
      </c>
      <c r="D179" s="64" t="str">
        <f>IF($K179="","",TRIM(INDEX('Detalle individual'!$B:$B,$K179)))</f>
        <v>THELMA ESPERANZA FIGUEROA SORTO</v>
      </c>
      <c r="E179" s="64" t="str">
        <f>IF($K179="","",TRIM(INDEX('Detalle individual'!$E:$E,$K179)))</f>
        <v>EJECUTIVO DE NEGOCIOS</v>
      </c>
      <c r="F179" s="64" t="str">
        <f>IF($K179="","",TRIM(INDEX('Detalle individual'!$C:$C,$K179)))</f>
        <v>AGENCIA SAN MIGUEL</v>
      </c>
      <c r="G179" s="64" t="str">
        <f>IF($K179="","",INDEX('Detalle individual'!$D:$D,$K179))</f>
        <v>Gerencia de Negocios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46296.44064814815</v>
      </c>
      <c r="J179" s="78">
        <f>IF($K179="","",IF(INDEX('Detalle individual'!$F:$F,$K179)="Completado",INDEX('Detalle individual'!$J:$J,$K179),""))</f>
        <v>100</v>
      </c>
      <c r="K179">
        <f>IFERROR(MOD(SMALL('Cálculos'!$Z$5:$Z$295,171),300),"")</f>
        <v>221</v>
      </c>
    </row>
    <row r="180">
      <c r="B180" s="63">
        <f>IF($K180="","",172)</f>
        <v>172</v>
      </c>
      <c r="C180" s="63" t="str">
        <f>IF($K180="","",INDEX('Detalle individual'!$A:$A,$K180))</f>
        <v>200</v>
      </c>
      <c r="D180" s="64" t="str">
        <f>IF($K180="","",TRIM(INDEX('Detalle individual'!$B:$B,$K180)))</f>
        <v>JOSE MANUEL SERRANO ROVIRA</v>
      </c>
      <c r="E180" s="64" t="str">
        <f>IF($K180="","",TRIM(INDEX('Detalle individual'!$E:$E,$K180)))</f>
        <v>JEFE DE AGENCIA</v>
      </c>
      <c r="F180" s="64" t="str">
        <f>IF($K180="","",TRIM(INDEX('Detalle individual'!$C:$C,$K180)))</f>
        <v>AGENCIA SAN MIGUEL</v>
      </c>
      <c r="G180" s="64" t="str">
        <f>IF($K180="","",INDEX('Detalle individual'!$D:$D,$K180))</f>
        <v>Gerencia de Negocios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46296.49199074074</v>
      </c>
      <c r="J180" s="78">
        <f>IF($K180="","",IF(INDEX('Detalle individual'!$F:$F,$K180)="Completado",INDEX('Detalle individual'!$J:$J,$K180),""))</f>
        <v>90</v>
      </c>
      <c r="K180">
        <f>IFERROR(MOD(SMALL('Cálculos'!$Z$5:$Z$295,172),300),"")</f>
        <v>222</v>
      </c>
    </row>
    <row r="181">
      <c r="B181" s="63">
        <f>IF($K181="","",173)</f>
        <v>173</v>
      </c>
      <c r="C181" s="63" t="str">
        <f>IF($K181="","",INDEX('Detalle individual'!$A:$A,$K181))</f>
        <v>390</v>
      </c>
      <c r="D181" s="64" t="str">
        <f>IF($K181="","",TRIM(INDEX('Detalle individual'!$B:$B,$K181)))</f>
        <v>MARTHA LORENA GONZALEZ GONZALEZ</v>
      </c>
      <c r="E181" s="64" t="str">
        <f>IF($K181="","",TRIM(INDEX('Detalle individual'!$E:$E,$K181)))</f>
        <v>AUXILIAR DE OPERACIONES Y ATENCION EN AGENCIA</v>
      </c>
      <c r="F181" s="64" t="str">
        <f>IF($K181="","",TRIM(INDEX('Detalle individual'!$C:$C,$K181)))</f>
        <v>AGENCIA SAN MIGUEL</v>
      </c>
      <c r="G181" s="64" t="str">
        <f>IF($K181="","",INDEX('Detalle individual'!$D:$D,$K181))</f>
        <v>Gerencia de Negocios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46296.44844907407</v>
      </c>
      <c r="J181" s="78">
        <f>IF($K181="","",IF(INDEX('Detalle individual'!$F:$F,$K181)="Completado",INDEX('Detalle individual'!$J:$J,$K181),""))</f>
        <v>100</v>
      </c>
      <c r="K181">
        <f>IFERROR(MOD(SMALL('Cálculos'!$Z$5:$Z$295,173),300),"")</f>
        <v>223</v>
      </c>
    </row>
    <row r="182">
      <c r="B182" s="63">
        <f>IF($K182="","",174)</f>
        <v>174</v>
      </c>
      <c r="C182" s="63" t="str">
        <f>IF($K182="","",INDEX('Detalle individual'!$A:$A,$K182))</f>
        <v>545</v>
      </c>
      <c r="D182" s="64" t="str">
        <f>IF($K182="","",TRIM(INDEX('Detalle individual'!$B:$B,$K182)))</f>
        <v>LEIBY NATHALY ROMERO VANEGAS</v>
      </c>
      <c r="E182" s="64" t="str">
        <f>IF($K182="","",TRIM(INDEX('Detalle individual'!$E:$E,$K182)))</f>
        <v>SUBJEFE DE AGENCIA</v>
      </c>
      <c r="F182" s="64" t="str">
        <f>IF($K182="","",TRIM(INDEX('Detalle individual'!$C:$C,$K182)))</f>
        <v>AGENCIA SAN MIGUEL</v>
      </c>
      <c r="G182" s="64" t="str">
        <f>IF($K182="","",INDEX('Detalle individual'!$D:$D,$K182))</f>
        <v>Gerencia de Negocios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46296.45449074074</v>
      </c>
      <c r="J182" s="78">
        <f>IF($K182="","",IF(INDEX('Detalle individual'!$F:$F,$K182)="Completado",INDEX('Detalle individual'!$J:$J,$K182),""))</f>
        <v>100</v>
      </c>
      <c r="K182">
        <f>IFERROR(MOD(SMALL('Cálculos'!$Z$5:$Z$295,174),300),"")</f>
        <v>224</v>
      </c>
    </row>
    <row r="183">
      <c r="B183" s="63">
        <f>IF($K183="","",175)</f>
        <v>175</v>
      </c>
      <c r="C183" s="63" t="str">
        <f>IF($K183="","",INDEX('Detalle individual'!$A:$A,$K183))</f>
        <v>776</v>
      </c>
      <c r="D183" s="64" t="str">
        <f>IF($K183="","",TRIM(INDEX('Detalle individual'!$B:$B,$K183)))</f>
        <v>DIEGO GERARDO GUANDIQUE TORRES</v>
      </c>
      <c r="E183" s="64" t="str">
        <f>IF($K183="","",TRIM(INDEX('Detalle individual'!$E:$E,$K183)))</f>
        <v>CAJERO</v>
      </c>
      <c r="F183" s="64" t="str">
        <f>IF($K183="","",TRIM(INDEX('Detalle individual'!$C:$C,$K183)))</f>
        <v>AGENCIA SAN MIGUEL</v>
      </c>
      <c r="G183" s="64" t="str">
        <f>IF($K183="","",INDEX('Detalle individual'!$D:$D,$K183))</f>
        <v>Gerencia de Negocios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46296.44540509259</v>
      </c>
      <c r="J183" s="78">
        <f>IF($K183="","",IF(INDEX('Detalle individual'!$F:$F,$K183)="Completado",INDEX('Detalle individual'!$J:$J,$K183),""))</f>
        <v>100</v>
      </c>
      <c r="K183">
        <f>IFERROR(MOD(SMALL('Cálculos'!$Z$5:$Z$295,175),300),"")</f>
        <v>225</v>
      </c>
    </row>
    <row r="184">
      <c r="B184" s="63">
        <f>IF($K184="","",176)</f>
        <v>176</v>
      </c>
      <c r="C184" s="63" t="str">
        <f>IF($K184="","",INDEX('Detalle individual'!$A:$A,$K184))</f>
        <v>777</v>
      </c>
      <c r="D184" s="64" t="str">
        <f>IF($K184="","",TRIM(INDEX('Detalle individual'!$B:$B,$K184)))</f>
        <v>MARCELINA YAMILETH LOPEZ VASQUEZ</v>
      </c>
      <c r="E184" s="64" t="str">
        <f>IF($K184="","",TRIM(INDEX('Detalle individual'!$E:$E,$K184)))</f>
        <v>CAJERO</v>
      </c>
      <c r="F184" s="64" t="str">
        <f>IF($K184="","",TRIM(INDEX('Detalle individual'!$C:$C,$K184)))</f>
        <v>AGENCIA SAN MIGUEL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46296.45806712963</v>
      </c>
      <c r="J184" s="78">
        <f>IF($K184="","",IF(INDEX('Detalle individual'!$F:$F,$K184)="Completado",INDEX('Detalle individual'!$J:$J,$K184),""))</f>
        <v>100</v>
      </c>
      <c r="K184">
        <f>IFERROR(MOD(SMALL('Cálculos'!$Z$5:$Z$295,176),300),"")</f>
        <v>226</v>
      </c>
    </row>
    <row r="185">
      <c r="B185" s="63">
        <f>IF($K185="","",177)</f>
        <v>177</v>
      </c>
      <c r="C185" s="63" t="str">
        <f>IF($K185="","",INDEX('Detalle individual'!$A:$A,$K185))</f>
        <v>807</v>
      </c>
      <c r="D185" s="64" t="str">
        <f>IF($K185="","",TRIM(INDEX('Detalle individual'!$B:$B,$K185)))</f>
        <v>MARCELA GUADALUPE CRESPO BENAVIDEZ</v>
      </c>
      <c r="E185" s="64" t="str">
        <f>IF($K185="","",TRIM(INDEX('Detalle individual'!$E:$E,$K185)))</f>
        <v>EJECUTIVA DE SEGUROS</v>
      </c>
      <c r="F185" s="64" t="str">
        <f>IF($K185="","",TRIM(INDEX('Detalle individual'!$C:$C,$K185)))</f>
        <v>AGENCIA SAN MIGUEL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46296.45224537037</v>
      </c>
      <c r="J185" s="78">
        <f>IF($K185="","",IF(INDEX('Detalle individual'!$F:$F,$K185)="Completado",INDEX('Detalle individual'!$J:$J,$K185),""))</f>
        <v>100</v>
      </c>
      <c r="K185">
        <f>IFERROR(MOD(SMALL('Cálculos'!$Z$5:$Z$295,177),300),"")</f>
        <v>227</v>
      </c>
    </row>
    <row r="186">
      <c r="B186" s="63">
        <f>IF($K186="","",178)</f>
        <v>178</v>
      </c>
      <c r="C186" s="63" t="str">
        <f>IF($K186="","",INDEX('Detalle individual'!$A:$A,$K186))</f>
        <v>456</v>
      </c>
      <c r="D186" s="64" t="str">
        <f>IF($K186="","",TRIM(INDEX('Detalle individual'!$B:$B,$K186)))</f>
        <v>LUCIANO DE JESUS SARAVIA BELTRAN</v>
      </c>
      <c r="E186" s="64" t="str">
        <f>IF($K186="","",TRIM(INDEX('Detalle individual'!$E:$E,$K186)))</f>
        <v>MENSAJERO</v>
      </c>
      <c r="F186" s="64" t="str">
        <f>IF($K186="","",TRIM(INDEX('Detalle individual'!$C:$C,$K186)))</f>
        <v>AGENCIA USULUTAN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46301.49184027778</v>
      </c>
      <c r="J186" s="78">
        <f>IF($K186="","",IF(INDEX('Detalle individual'!$F:$F,$K186)="Completado",INDEX('Detalle individual'!$J:$J,$K186),""))</f>
        <v>80</v>
      </c>
      <c r="K186">
        <f>IFERROR(MOD(SMALL('Cálculos'!$Z$5:$Z$295,178),300),"")</f>
        <v>281</v>
      </c>
    </row>
    <row r="187">
      <c r="B187" s="63">
        <f>IF($K187="","",179)</f>
        <v>179</v>
      </c>
      <c r="C187" s="63" t="str">
        <f>IF($K187="","",INDEX('Detalle individual'!$A:$A,$K187))</f>
        <v>903</v>
      </c>
      <c r="D187" s="64" t="str">
        <f>IF($K187="","",TRIM(INDEX('Detalle individual'!$B:$B,$K187)))</f>
        <v>WENDY YAMILETH MARQUEZ VASQUEZ</v>
      </c>
      <c r="E187" s="64" t="str">
        <f>IF($K187="","",TRIM(INDEX('Detalle individual'!$E:$E,$K187)))</f>
        <v>JEFE DE AGENCIA</v>
      </c>
      <c r="F187" s="64" t="str">
        <f>IF($K187="","",TRIM(INDEX('Detalle individual'!$C:$C,$K187)))</f>
        <v>AGENCIA USULUTAN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46301.432337962964</v>
      </c>
      <c r="J187" s="78">
        <f>IF($K187="","",IF(INDEX('Detalle individual'!$F:$F,$K187)="Completado",INDEX('Detalle individual'!$J:$J,$K187),""))</f>
        <v>100</v>
      </c>
      <c r="K187">
        <f>IFERROR(MOD(SMALL('Cálculos'!$Z$5:$Z$295,179),300),"")</f>
        <v>282</v>
      </c>
    </row>
    <row r="188">
      <c r="B188" s="63">
        <f>IF($K188="","",180)</f>
        <v>180</v>
      </c>
      <c r="C188" s="63" t="str">
        <f>IF($K188="","",INDEX('Detalle individual'!$A:$A,$K188))</f>
        <v>912</v>
      </c>
      <c r="D188" s="64" t="str">
        <f>IF($K188="","",TRIM(INDEX('Detalle individual'!$B:$B,$K188)))</f>
        <v>HECTOR MAURICIO GONZÁLEZ VÁSQUEZ</v>
      </c>
      <c r="E188" s="64" t="str">
        <f>IF($K188="","",TRIM(INDEX('Detalle individual'!$E:$E,$K188)))</f>
        <v>EJECUTIVO DE SEGUROS</v>
      </c>
      <c r="F188" s="64" t="str">
        <f>IF($K188="","",TRIM(INDEX('Detalle individual'!$C:$C,$K188)))</f>
        <v>AGENCIA USULUTAN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46303.45730324074</v>
      </c>
      <c r="J188" s="78">
        <f>IF($K188="","",IF(INDEX('Detalle individual'!$F:$F,$K188)="Completado",INDEX('Detalle individual'!$J:$J,$K188),""))</f>
        <v>100</v>
      </c>
      <c r="K188">
        <f>IFERROR(MOD(SMALL('Cálculos'!$Z$5:$Z$295,180),300),"")</f>
        <v>283</v>
      </c>
    </row>
    <row r="189">
      <c r="B189" s="63">
        <f>IF($K189="","",181)</f>
        <v>181</v>
      </c>
      <c r="C189" s="63" t="str">
        <f>IF($K189="","",INDEX('Detalle individual'!$A:$A,$K189))</f>
        <v>961</v>
      </c>
      <c r="D189" s="64" t="str">
        <f>IF($K189="","",TRIM(INDEX('Detalle individual'!$B:$B,$K189)))</f>
        <v>FATIMA LISSETTE HERNANDEZ MEJIA</v>
      </c>
      <c r="E189" s="64" t="str">
        <f>IF($K189="","",TRIM(INDEX('Detalle individual'!$E:$E,$K189)))</f>
        <v>CAJERO</v>
      </c>
      <c r="F189" s="64" t="str">
        <f>IF($K189="","",TRIM(INDEX('Detalle individual'!$C:$C,$K189)))</f>
        <v>AGENCIA USULUTAN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46303.544328703705</v>
      </c>
      <c r="J189" s="78">
        <f>IF($K189="","",IF(INDEX('Detalle individual'!$F:$F,$K189)="Completado",INDEX('Detalle individual'!$J:$J,$K189),""))</f>
        <v>100</v>
      </c>
      <c r="K189">
        <f>IFERROR(MOD(SMALL('Cálculos'!$Z$5:$Z$295,181),300),"")</f>
        <v>286</v>
      </c>
    </row>
    <row r="190">
      <c r="B190" s="63">
        <f>IF($K190="","",182)</f>
        <v>182</v>
      </c>
      <c r="C190" s="63" t="str">
        <f>IF($K190="","",INDEX('Detalle individual'!$A:$A,$K190))</f>
        <v>590</v>
      </c>
      <c r="D190" s="64" t="str">
        <f>IF($K190="","",TRIM(INDEX('Detalle individual'!$B:$B,$K190)))</f>
        <v>LORENA ELIZABETH GALDAMEZ NUÑEZ</v>
      </c>
      <c r="E190" s="64" t="str">
        <f>IF($K190="","",TRIM(INDEX('Detalle individual'!$E:$E,$K190)))</f>
        <v>MEDICO</v>
      </c>
      <c r="F190" s="64" t="str">
        <f>IF($K190="","",TRIM(INDEX('Detalle individual'!$C:$C,$K190)))</f>
        <v>CLINICA EMPRESARIAL</v>
      </c>
      <c r="G190" s="64" t="str">
        <f>IF($K190="","",INDEX('Detalle individual'!$D:$D,$K190))</f>
        <v>Gerencia Administrativa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46305.408738425926</v>
      </c>
      <c r="J190" s="78">
        <f>IF($K190="","",IF(INDEX('Detalle individual'!$F:$F,$K190)="Completado",INDEX('Detalle individual'!$J:$J,$K190),""))</f>
        <v>100</v>
      </c>
      <c r="K190">
        <f>IFERROR(MOD(SMALL('Cálculos'!$Z$5:$Z$295,182),300),"")</f>
        <v>54</v>
      </c>
    </row>
    <row r="191">
      <c r="B191" s="63">
        <f>IF($K191="","",183)</f>
        <v>183</v>
      </c>
      <c r="C191" s="63" t="str">
        <f>IF($K191="","",INDEX('Detalle individual'!$A:$A,$K191))</f>
        <v>609</v>
      </c>
      <c r="D191" s="64" t="str">
        <f>IF($K191="","",TRIM(INDEX('Detalle individual'!$B:$B,$K191)))</f>
        <v>GLADIS OSIRIS VALLE HERNANDEZ</v>
      </c>
      <c r="E191" s="64" t="str">
        <f>IF($K191="","",TRIM(INDEX('Detalle individual'!$E:$E,$K191)))</f>
        <v>ENFERMERA</v>
      </c>
      <c r="F191" s="64" t="str">
        <f>IF($K191="","",TRIM(INDEX('Detalle individual'!$C:$C,$K191)))</f>
        <v>CLINICA EMPRESARIAL</v>
      </c>
      <c r="G191" s="64" t="str">
        <f>IF($K191="","",INDEX('Detalle individual'!$D:$D,$K191))</f>
        <v>Gerencia Administrativa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46305.41128472222</v>
      </c>
      <c r="J191" s="78">
        <f>IF($K191="","",IF(INDEX('Detalle individual'!$F:$F,$K191)="Completado",INDEX('Detalle individual'!$J:$J,$K191),""))</f>
        <v>100</v>
      </c>
      <c r="K191">
        <f>IFERROR(MOD(SMALL('Cálculos'!$Z$5:$Z$295,183),300),"")</f>
        <v>55</v>
      </c>
    </row>
    <row r="192">
      <c r="B192" s="63">
        <f>IF($K192="","",184)</f>
        <v>184</v>
      </c>
      <c r="C192" s="63" t="str">
        <f>IF($K192="","",INDEX('Detalle individual'!$A:$A,$K192))</f>
        <v>422</v>
      </c>
      <c r="D192" s="64" t="str">
        <f>IF($K192="","",TRIM(INDEX('Detalle individual'!$B:$B,$K192)))</f>
        <v>CLAUDIA VERONICA LARA RODAS</v>
      </c>
      <c r="E192" s="64" t="str">
        <f>IF($K192="","",TRIM(INDEX('Detalle individual'!$E:$E,$K192)))</f>
        <v>ASISTENTE COMERCIAL DE TARJETA DE CREDITO</v>
      </c>
      <c r="F192" s="64" t="str">
        <f>IF($K192="","",TRIM(INDEX('Detalle individual'!$C:$C,$K192)))</f>
        <v>DEPARTAMENTO COMERCIAL DE TARJETA DE CREDITO Y DEBITO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46304.41396990741</v>
      </c>
      <c r="J192" s="78">
        <f>IF($K192="","",IF(INDEX('Detalle individual'!$F:$F,$K192)="Completado",INDEX('Detalle individual'!$J:$J,$K192),""))</f>
        <v>100</v>
      </c>
      <c r="K192">
        <f>IFERROR(MOD(SMALL('Cálculos'!$Z$5:$Z$295,184),300),"")</f>
        <v>176</v>
      </c>
    </row>
    <row r="193">
      <c r="B193" s="63">
        <f>IF($K193="","",185)</f>
        <v>185</v>
      </c>
      <c r="C193" s="63" t="str">
        <f>IF($K193="","",INDEX('Detalle individual'!$A:$A,$K193))</f>
        <v>533</v>
      </c>
      <c r="D193" s="64" t="str">
        <f>IF($K193="","",TRIM(INDEX('Detalle individual'!$B:$B,$K193)))</f>
        <v>LIDIA PATRICIA MORALES AVALOS</v>
      </c>
      <c r="E193" s="64" t="str">
        <f>IF($K193="","",TRIM(INDEX('Detalle individual'!$E:$E,$K193)))</f>
        <v>JEFE COMERCIAL DE TARJETA DE CREDITO</v>
      </c>
      <c r="F193" s="64" t="str">
        <f>IF($K193="","",TRIM(INDEX('Detalle individual'!$C:$C,$K193)))</f>
        <v>DEPARTAMENTO COMERCIAL DE TARJETA DE CREDITO Y DEBITO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46304.7809837963</v>
      </c>
      <c r="J193" s="78">
        <f>IF($K193="","",IF(INDEX('Detalle individual'!$F:$F,$K193)="Completado",INDEX('Detalle individual'!$J:$J,$K193),""))</f>
        <v>90</v>
      </c>
      <c r="K193">
        <f>IFERROR(MOD(SMALL('Cálculos'!$Z$5:$Z$295,185),300),"")</f>
        <v>177</v>
      </c>
    </row>
    <row r="194">
      <c r="B194" s="63">
        <f>IF($K194="","",186)</f>
        <v>186</v>
      </c>
      <c r="C194" s="63" t="str">
        <f>IF($K194="","",INDEX('Detalle individual'!$A:$A,$K194))</f>
        <v>654</v>
      </c>
      <c r="D194" s="64" t="str">
        <f>IF($K194="","",TRIM(INDEX('Detalle individual'!$B:$B,$K194)))</f>
        <v>GABRIELA ALEJANDRA RODRIGUEZ ARIAS</v>
      </c>
      <c r="E194" s="64" t="str">
        <f>IF($K194="","",TRIM(INDEX('Detalle individual'!$E:$E,$K194)))</f>
        <v>AUXILIAR DE ATENCION AL CLIENTE</v>
      </c>
      <c r="F194" s="64" t="str">
        <f>IF($K194="","",TRIM(INDEX('Detalle individual'!$C:$C,$K194)))</f>
        <v>DEPARTAMENTO COMERCIAL DE TARJETA DE CREDITO Y DEBITO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46304.678506944445</v>
      </c>
      <c r="J194" s="78">
        <f>IF($K194="","",IF(INDEX('Detalle individual'!$F:$F,$K194)="Completado",INDEX('Detalle individual'!$J:$J,$K194),""))</f>
        <v>80</v>
      </c>
      <c r="K194">
        <f>IFERROR(MOD(SMALL('Cálculos'!$Z$5:$Z$295,186),300),"")</f>
        <v>178</v>
      </c>
    </row>
    <row r="195">
      <c r="B195" s="63">
        <f>IF($K195="","",187)</f>
        <v>187</v>
      </c>
      <c r="C195" s="63" t="str">
        <f>IF($K195="","",INDEX('Detalle individual'!$A:$A,$K195))</f>
        <v>715</v>
      </c>
      <c r="D195" s="64" t="str">
        <f>IF($K195="","",TRIM(INDEX('Detalle individual'!$B:$B,$K195)))</f>
        <v>KAREN MARCELA BARILLAS MOLINA</v>
      </c>
      <c r="E195" s="64" t="str">
        <f>IF($K195="","",TRIM(INDEX('Detalle individual'!$E:$E,$K195)))</f>
        <v>AUXILIAR DE ATENCION AL TARJETAHABIENTE</v>
      </c>
      <c r="F195" s="64" t="str">
        <f>IF($K195="","",TRIM(INDEX('Detalle individual'!$C:$C,$K195)))</f>
        <v>DEPARTAMENTO COMERCIAL DE TARJETA DE CREDITO Y DEBITO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46297.71334490741</v>
      </c>
      <c r="J195" s="78">
        <f>IF($K195="","",IF(INDEX('Detalle individual'!$F:$F,$K195)="Completado",INDEX('Detalle individual'!$J:$J,$K195),""))</f>
        <v>85</v>
      </c>
      <c r="K195">
        <f>IFERROR(MOD(SMALL('Cálculos'!$Z$5:$Z$295,187),300),"")</f>
        <v>181</v>
      </c>
    </row>
    <row r="196">
      <c r="B196" s="63">
        <f>IF($K196="","",188)</f>
        <v>188</v>
      </c>
      <c r="C196" s="63" t="str">
        <f>IF($K196="","",INDEX('Detalle individual'!$A:$A,$K196))</f>
        <v>239</v>
      </c>
      <c r="D196" s="64" t="str">
        <f>IF($K196="","",TRIM(INDEX('Detalle individual'!$B:$B,$K196)))</f>
        <v>CELINA MARGARITA GUTIERREZ RODRIGUEZ</v>
      </c>
      <c r="E196" s="64" t="str">
        <f>IF($K196="","",TRIM(INDEX('Detalle individual'!$E:$E,$K196)))</f>
        <v>ANALISTA PROGRAMADOR SENIOR</v>
      </c>
      <c r="F196" s="64" t="str">
        <f>IF($K196="","",TRIM(INDEX('Detalle individual'!$C:$C,$K196)))</f>
        <v>DEPARTAMENTO DE ANALISIS Y PROGRAMACIÓN</v>
      </c>
      <c r="G196" s="64" t="str">
        <f>IF($K196="","",INDEX('Detalle individual'!$D:$D,$K196))</f>
        <v>Gerencia de Sistemas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46296.65938657407</v>
      </c>
      <c r="J196" s="78">
        <f>IF($K196="","",IF(INDEX('Detalle individual'!$F:$F,$K196)="Completado",INDEX('Detalle individual'!$J:$J,$K196),""))</f>
        <v>100</v>
      </c>
      <c r="K196">
        <f>IFERROR(MOD(SMALL('Cálculos'!$Z$5:$Z$295,188),300),"")</f>
        <v>111</v>
      </c>
    </row>
    <row r="197">
      <c r="B197" s="63">
        <f>IF($K197="","",189)</f>
        <v>189</v>
      </c>
      <c r="C197" s="63" t="str">
        <f>IF($K197="","",INDEX('Detalle individual'!$A:$A,$K197))</f>
        <v>320</v>
      </c>
      <c r="D197" s="64" t="str">
        <f>IF($K197="","",TRIM(INDEX('Detalle individual'!$B:$B,$K197)))</f>
        <v>HILDA MARGARITA ABREGO BRAN</v>
      </c>
      <c r="E197" s="64" t="str">
        <f>IF($K197="","",TRIM(INDEX('Detalle individual'!$E:$E,$K197)))</f>
        <v>ANALISTA QA</v>
      </c>
      <c r="F197" s="64" t="str">
        <f>IF($K197="","",TRIM(INDEX('Detalle individual'!$C:$C,$K197)))</f>
        <v>DEPARTAMENTO DE ANALISIS Y PROGRAMACIÓN</v>
      </c>
      <c r="G197" s="64" t="str">
        <f>IF($K197="","",INDEX('Detalle individual'!$D:$D,$K197))</f>
        <v>Gerencia de Sistemas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46296.59023148148</v>
      </c>
      <c r="J197" s="78">
        <f>IF($K197="","",IF(INDEX('Detalle individual'!$F:$F,$K197)="Completado",INDEX('Detalle individual'!$J:$J,$K197),""))</f>
        <v>100</v>
      </c>
      <c r="K197">
        <f>IFERROR(MOD(SMALL('Cálculos'!$Z$5:$Z$295,189),300),"")</f>
        <v>112</v>
      </c>
    </row>
    <row r="198">
      <c r="B198" s="63">
        <f>IF($K198="","",190)</f>
        <v>190</v>
      </c>
      <c r="C198" s="63" t="str">
        <f>IF($K198="","",INDEX('Detalle individual'!$A:$A,$K198))</f>
        <v>474</v>
      </c>
      <c r="D198" s="64" t="str">
        <f>IF($K198="","",TRIM(INDEX('Detalle individual'!$B:$B,$K198)))</f>
        <v>GLADIS EVELIN CASTILLO TORRES</v>
      </c>
      <c r="E198" s="64" t="str">
        <f>IF($K198="","",TRIM(INDEX('Detalle individual'!$E:$E,$K198)))</f>
        <v>ANALISTA PROGRAMADOR SENIOR</v>
      </c>
      <c r="F198" s="64" t="str">
        <f>IF($K198="","",TRIM(INDEX('Detalle individual'!$C:$C,$K198)))</f>
        <v>DEPARTAMENTO DE ANALISIS Y PROGRAMACIÓN</v>
      </c>
      <c r="G198" s="64" t="str">
        <f>IF($K198="","",INDEX('Detalle individual'!$D:$D,$K198))</f>
        <v>Gerencia de Sistemas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46297.48825231481</v>
      </c>
      <c r="J198" s="78">
        <f>IF($K198="","",IF(INDEX('Detalle individual'!$F:$F,$K198)="Completado",INDEX('Detalle individual'!$J:$J,$K198),""))</f>
        <v>100</v>
      </c>
      <c r="K198">
        <f>IFERROR(MOD(SMALL('Cálculos'!$Z$5:$Z$295,190),300),"")</f>
        <v>114</v>
      </c>
    </row>
    <row r="199">
      <c r="B199" s="63">
        <f>IF($K199="","",191)</f>
        <v>191</v>
      </c>
      <c r="C199" s="63" t="str">
        <f>IF($K199="","",INDEX('Detalle individual'!$A:$A,$K199))</f>
        <v>680</v>
      </c>
      <c r="D199" s="64" t="str">
        <f>IF($K199="","",TRIM(INDEX('Detalle individual'!$B:$B,$K199)))</f>
        <v>CARLOS FRANCISCO HERNANDEZ MUÑOZ</v>
      </c>
      <c r="E199" s="64" t="str">
        <f>IF($K199="","",TRIM(INDEX('Detalle individual'!$E:$E,$K199)))</f>
        <v>ANALISTA QA</v>
      </c>
      <c r="F199" s="64" t="str">
        <f>IF($K199="","",TRIM(INDEX('Detalle individual'!$C:$C,$K199)))</f>
        <v>DEPARTAMENTO DE ANALISIS Y PROGRAMACIÓN</v>
      </c>
      <c r="G199" s="64" t="str">
        <f>IF($K199="","",INDEX('Detalle individual'!$D:$D,$K199))</f>
        <v>Gerencia de Sistemas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46300.39171296296</v>
      </c>
      <c r="J199" s="78">
        <f>IF($K199="","",IF(INDEX('Detalle individual'!$F:$F,$K199)="Completado",INDEX('Detalle individual'!$J:$J,$K199),""))</f>
        <v>100</v>
      </c>
      <c r="K199">
        <f>IFERROR(MOD(SMALL('Cálculos'!$Z$5:$Z$295,191),300),"")</f>
        <v>115</v>
      </c>
    </row>
    <row r="200">
      <c r="B200" s="63">
        <f>IF($K200="","",192)</f>
        <v>192</v>
      </c>
      <c r="C200" s="63" t="str">
        <f>IF($K200="","",INDEX('Detalle individual'!$A:$A,$K200))</f>
        <v>783</v>
      </c>
      <c r="D200" s="64" t="str">
        <f>IF($K200="","",TRIM(INDEX('Detalle individual'!$B:$B,$K200)))</f>
        <v>JONATHAN ALEXIS BERRIOS MENJIVAR</v>
      </c>
      <c r="E200" s="64" t="str">
        <f>IF($K200="","",TRIM(INDEX('Detalle individual'!$E:$E,$K200)))</f>
        <v>ANALISTA PROGRAMADOR</v>
      </c>
      <c r="F200" s="64" t="str">
        <f>IF($K200="","",TRIM(INDEX('Detalle individual'!$C:$C,$K200)))</f>
        <v>DEPARTAMENTO DE ANALISIS Y PROGRAMACIÓN</v>
      </c>
      <c r="G200" s="64" t="str">
        <f>IF($K200="","",INDEX('Detalle individual'!$D:$D,$K200))</f>
        <v>Gerencia de Sistemas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46304.40027777778</v>
      </c>
      <c r="J200" s="78">
        <f>IF($K200="","",IF(INDEX('Detalle individual'!$F:$F,$K200)="Completado",INDEX('Detalle individual'!$J:$J,$K200),""))</f>
        <v>100</v>
      </c>
      <c r="K200">
        <f>IFERROR(MOD(SMALL('Cálculos'!$Z$5:$Z$295,192),300),"")</f>
        <v>117</v>
      </c>
    </row>
    <row r="201">
      <c r="B201" s="63">
        <f>IF($K201="","",193)</f>
        <v>193</v>
      </c>
      <c r="C201" s="63" t="str">
        <f>IF($K201="","",INDEX('Detalle individual'!$A:$A,$K201))</f>
        <v>806</v>
      </c>
      <c r="D201" s="64" t="str">
        <f>IF($K201="","",TRIM(INDEX('Detalle individual'!$B:$B,$K201)))</f>
        <v>BYRON WILFREDO MENJIVAR MELENDEZ</v>
      </c>
      <c r="E201" s="64" t="str">
        <f>IF($K201="","",TRIM(INDEX('Detalle individual'!$E:$E,$K201)))</f>
        <v>ANALISTA PROGRAMADOR</v>
      </c>
      <c r="F201" s="64" t="str">
        <f>IF($K201="","",TRIM(INDEX('Detalle individual'!$C:$C,$K201)))</f>
        <v>DEPARTAMENTO DE ANALISIS Y PROGRAMACIÓN</v>
      </c>
      <c r="G201" s="64" t="str">
        <f>IF($K201="","",INDEX('Detalle individual'!$D:$D,$K201))</f>
        <v>Gerencia de Sistemas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46304.384618055556</v>
      </c>
      <c r="J201" s="78">
        <f>IF($K201="","",IF(INDEX('Detalle individual'!$F:$F,$K201)="Completado",INDEX('Detalle individual'!$J:$J,$K201),""))</f>
        <v>100</v>
      </c>
      <c r="K201">
        <f>IFERROR(MOD(SMALL('Cálculos'!$Z$5:$Z$295,193),300),"")</f>
        <v>118</v>
      </c>
    </row>
    <row r="202">
      <c r="B202" s="63">
        <f>IF($K202="","",194)</f>
        <v>194</v>
      </c>
      <c r="C202" s="63" t="str">
        <f>IF($K202="","",INDEX('Detalle individual'!$A:$A,$K202))</f>
        <v>824</v>
      </c>
      <c r="D202" s="64" t="str">
        <f>IF($K202="","",TRIM(INDEX('Detalle individual'!$B:$B,$K202)))</f>
        <v>RODRIGO FERNANDO FIGUEROA RIVAS</v>
      </c>
      <c r="E202" s="64" t="str">
        <f>IF($K202="","",TRIM(INDEX('Detalle individual'!$E:$E,$K202)))</f>
        <v>ANALISTA PROGRAMADOR JUNIOR</v>
      </c>
      <c r="F202" s="64" t="str">
        <f>IF($K202="","",TRIM(INDEX('Detalle individual'!$C:$C,$K202)))</f>
        <v>DEPARTAMENTO DE ANALISIS Y PROGRAMACIÓN</v>
      </c>
      <c r="G202" s="64" t="str">
        <f>IF($K202="","",INDEX('Detalle individual'!$D:$D,$K202))</f>
        <v>Gerencia de Sistemas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46304.38784722222</v>
      </c>
      <c r="J202" s="78">
        <f>IF($K202="","",IF(INDEX('Detalle individual'!$F:$F,$K202)="Completado",INDEX('Detalle individual'!$J:$J,$K202),""))</f>
        <v>100</v>
      </c>
      <c r="K202">
        <f>IFERROR(MOD(SMALL('Cálculos'!$Z$5:$Z$295,194),300),"")</f>
        <v>119</v>
      </c>
    </row>
    <row r="203">
      <c r="B203" s="63">
        <f>IF($K203="","",195)</f>
        <v>195</v>
      </c>
      <c r="C203" s="63" t="str">
        <f>IF($K203="","",INDEX('Detalle individual'!$A:$A,$K203))</f>
        <v>879</v>
      </c>
      <c r="D203" s="64" t="str">
        <f>IF($K203="","",TRIM(INDEX('Detalle individual'!$B:$B,$K203)))</f>
        <v>MILAGRO NATIVIDAD ESCOBAR MELENDEZ</v>
      </c>
      <c r="E203" s="64" t="str">
        <f>IF($K203="","",TRIM(INDEX('Detalle individual'!$E:$E,$K203)))</f>
        <v>ANALISTA PROGRAMADOR</v>
      </c>
      <c r="F203" s="64" t="str">
        <f>IF($K203="","",TRIM(INDEX('Detalle individual'!$C:$C,$K203)))</f>
        <v>DEPARTAMENTO DE ANALISIS Y PROGRAMACIÓN</v>
      </c>
      <c r="G203" s="64" t="str">
        <f>IF($K203="","",INDEX('Detalle individual'!$D:$D,$K203))</f>
        <v>Gerencia de Sistemas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46304.394837962966</v>
      </c>
      <c r="J203" s="78">
        <f>IF($K203="","",IF(INDEX('Detalle individual'!$F:$F,$K203)="Completado",INDEX('Detalle individual'!$J:$J,$K203),""))</f>
        <v>100</v>
      </c>
      <c r="K203">
        <f>IFERROR(MOD(SMALL('Cálculos'!$Z$5:$Z$295,195),300),"")</f>
        <v>120</v>
      </c>
    </row>
    <row r="204">
      <c r="B204" s="63">
        <f>IF($K204="","",196)</f>
        <v>196</v>
      </c>
      <c r="C204" s="63" t="str">
        <f>IF($K204="","",INDEX('Detalle individual'!$A:$A,$K204))</f>
        <v>166</v>
      </c>
      <c r="D204" s="64" t="str">
        <f>IF($K204="","",TRIM(INDEX('Detalle individual'!$B:$B,$K204)))</f>
        <v>MARIA FRANCISCA DE LA LUZ HERNANDEZ HERNANDEZ</v>
      </c>
      <c r="E204" s="64" t="str">
        <f>IF($K204="","",TRIM(INDEX('Detalle individual'!$E:$E,$K204)))</f>
        <v>JEFE DE ATENCION A ASOCIADOS Y CLIENTES</v>
      </c>
      <c r="F204" s="64" t="str">
        <f>IF($K204="","",TRIM(INDEX('Detalle individual'!$C:$C,$K204)))</f>
        <v>DEPARTAMENTO DE ATENCION A ASOCIADO Y CLIENTE</v>
      </c>
      <c r="G204" s="64" t="str">
        <f>IF($K204="","",INDEX('Detalle individual'!$D:$D,$K204))</f>
        <v>Gerencia de Negocios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46301.489282407405</v>
      </c>
      <c r="J204" s="78">
        <f>IF($K204="","",IF(INDEX('Detalle individual'!$F:$F,$K204)="Completado",INDEX('Detalle individual'!$J:$J,$K204),""))</f>
        <v>100</v>
      </c>
      <c r="K204">
        <f>IFERROR(MOD(SMALL('Cálculos'!$Z$5:$Z$295,196),300),"")</f>
        <v>139</v>
      </c>
    </row>
    <row r="205">
      <c r="B205" s="63">
        <f>IF($K205="","",197)</f>
        <v>197</v>
      </c>
      <c r="C205" s="63" t="str">
        <f>IF($K205="","",INDEX('Detalle individual'!$A:$A,$K205))</f>
        <v>712</v>
      </c>
      <c r="D205" s="64" t="str">
        <f>IF($K205="","",TRIM(INDEX('Detalle individual'!$B:$B,$K205)))</f>
        <v>EDGARDO ISAIAS PEÑATE RIVAS</v>
      </c>
      <c r="E205" s="64" t="str">
        <f>IF($K205="","",TRIM(INDEX('Detalle individual'!$E:$E,$K205)))</f>
        <v>ASISTENTE TECNICO DEL FONDO DE SOLIDARIDAD</v>
      </c>
      <c r="F205" s="64" t="str">
        <f>IF($K205="","",TRIM(INDEX('Detalle individual'!$C:$C,$K205)))</f>
        <v>DEPARTAMENTO DE ATENCION A ASOCIADO Y CLIENTE</v>
      </c>
      <c r="G205" s="64" t="str">
        <f>IF($K205="","",INDEX('Detalle individual'!$D:$D,$K205))</f>
        <v>Gerencia de Negocios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46304.37650462963</v>
      </c>
      <c r="J205" s="78">
        <f>IF($K205="","",IF(INDEX('Detalle individual'!$F:$F,$K205)="Completado",INDEX('Detalle individual'!$J:$J,$K205),""))</f>
        <v>100</v>
      </c>
      <c r="K205">
        <f>IFERROR(MOD(SMALL('Cálculos'!$Z$5:$Z$295,197),300),"")</f>
        <v>140</v>
      </c>
    </row>
    <row r="206">
      <c r="B206" s="63">
        <f>IF($K206="","",198)</f>
        <v>198</v>
      </c>
      <c r="C206" s="63" t="str">
        <f>IF($K206="","",INDEX('Detalle individual'!$A:$A,$K206))</f>
        <v>424</v>
      </c>
      <c r="D206" s="64" t="str">
        <f>IF($K206="","",TRIM(INDEX('Detalle individual'!$B:$B,$K206)))</f>
        <v>MAYRA LISSETTE LOPEZ SANCHEZ</v>
      </c>
      <c r="E206" s="64" t="str">
        <f>IF($K206="","",TRIM(INDEX('Detalle individual'!$E:$E,$K206)))</f>
        <v>SUPERVISOR DE AUDITORIA INTERNA</v>
      </c>
      <c r="F206" s="64" t="str">
        <f>IF($K206="","",TRIM(INDEX('Detalle individual'!$C:$C,$K206)))</f>
        <v>DEPARTAMENTO DE AUDITORIA INTERNA</v>
      </c>
      <c r="G206" s="64" t="str">
        <f>IF($K206="","",INDEX('Detalle individual'!$D:$D,$K206))</f>
        <v>Auditoría Interna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46304.404328703706</v>
      </c>
      <c r="J206" s="78">
        <f>IF($K206="","",IF(INDEX('Detalle individual'!$F:$F,$K206)="Completado",INDEX('Detalle individual'!$J:$J,$K206),""))</f>
        <v>90</v>
      </c>
      <c r="K206">
        <f>IFERROR(MOD(SMALL('Cálculos'!$Z$5:$Z$295,198),300),"")</f>
        <v>124</v>
      </c>
    </row>
    <row r="207">
      <c r="B207" s="63">
        <f>IF($K207="","",199)</f>
        <v>199</v>
      </c>
      <c r="C207" s="63" t="str">
        <f>IF($K207="","",INDEX('Detalle individual'!$A:$A,$K207))</f>
        <v>548</v>
      </c>
      <c r="D207" s="64" t="str">
        <f>IF($K207="","",TRIM(INDEX('Detalle individual'!$B:$B,$K207)))</f>
        <v>ZORAIDA LORENA LOPEZ MEDINA</v>
      </c>
      <c r="E207" s="64" t="str">
        <f>IF($K207="","",TRIM(INDEX('Detalle individual'!$E:$E,$K207)))</f>
        <v>ASISTENTE DE AUDITORIA INTERNA</v>
      </c>
      <c r="F207" s="64" t="str">
        <f>IF($K207="","",TRIM(INDEX('Detalle individual'!$C:$C,$K207)))</f>
        <v>DEPARTAMENTO DE AUDITORIA INTERNA</v>
      </c>
      <c r="G207" s="64" t="str">
        <f>IF($K207="","",INDEX('Detalle individual'!$D:$D,$K207))</f>
        <v>Auditoría Interna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46296.711550925924</v>
      </c>
      <c r="J207" s="78">
        <f>IF($K207="","",IF(INDEX('Detalle individual'!$F:$F,$K207)="Completado",INDEX('Detalle individual'!$J:$J,$K207),""))</f>
        <v>100</v>
      </c>
      <c r="K207">
        <f>IFERROR(MOD(SMALL('Cálculos'!$Z$5:$Z$295,199),300),"")</f>
        <v>126</v>
      </c>
    </row>
    <row r="208">
      <c r="B208" s="63">
        <f>IF($K208="","",200)</f>
        <v>200</v>
      </c>
      <c r="C208" s="63" t="str">
        <f>IF($K208="","",INDEX('Detalle individual'!$A:$A,$K208))</f>
        <v>742</v>
      </c>
      <c r="D208" s="64" t="str">
        <f>IF($K208="","",TRIM(INDEX('Detalle individual'!$B:$B,$K208)))</f>
        <v>PATRICIA GUADALUPE SEGOVIA RAMIREZ</v>
      </c>
      <c r="E208" s="64" t="str">
        <f>IF($K208="","",TRIM(INDEX('Detalle individual'!$E:$E,$K208)))</f>
        <v>ASISTENTE DE AUDITORIA INTERNA</v>
      </c>
      <c r="F208" s="64" t="str">
        <f>IF($K208="","",TRIM(INDEX('Detalle individual'!$C:$C,$K208)))</f>
        <v>DEPARTAMENTO DE AUDITORIA INTERNA</v>
      </c>
      <c r="G208" s="64" t="str">
        <f>IF($K208="","",INDEX('Detalle individual'!$D:$D,$K208))</f>
        <v>Auditoría Interna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46304.40319444444</v>
      </c>
      <c r="J208" s="78">
        <f>IF($K208="","",IF(INDEX('Detalle individual'!$F:$F,$K208)="Completado",INDEX('Detalle individual'!$J:$J,$K208),""))</f>
        <v>90</v>
      </c>
      <c r="K208">
        <f>IFERROR(MOD(SMALL('Cálculos'!$Z$5:$Z$295,200),300),"")</f>
        <v>127</v>
      </c>
    </row>
    <row r="209">
      <c r="B209" s="63">
        <f>IF($K209="","",201)</f>
        <v>201</v>
      </c>
      <c r="C209" s="63" t="str">
        <f>IF($K209="","",INDEX('Detalle individual'!$A:$A,$K209))</f>
        <v>750</v>
      </c>
      <c r="D209" s="64" t="str">
        <f>IF($K209="","",TRIM(INDEX('Detalle individual'!$B:$B,$K209)))</f>
        <v>MARLON ANTONIO BONILLA GARCIA</v>
      </c>
      <c r="E209" s="64" t="str">
        <f>IF($K209="","",TRIM(INDEX('Detalle individual'!$E:$E,$K209)))</f>
        <v>ASISTENTE DE AUDITORIA INTERNA</v>
      </c>
      <c r="F209" s="64" t="str">
        <f>IF($K209="","",TRIM(INDEX('Detalle individual'!$C:$C,$K209)))</f>
        <v>DEPARTAMENTO DE AUDITORIA INTERNA</v>
      </c>
      <c r="G209" s="64" t="str">
        <f>IF($K209="","",INDEX('Detalle individual'!$D:$D,$K209))</f>
        <v>Auditoría Interna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46296.62321759259</v>
      </c>
      <c r="J209" s="78">
        <f>IF($K209="","",IF(INDEX('Detalle individual'!$F:$F,$K209)="Completado",INDEX('Detalle individual'!$J:$J,$K209),""))</f>
        <v>100</v>
      </c>
      <c r="K209">
        <f>IFERROR(MOD(SMALL('Cálculos'!$Z$5:$Z$295,201),300),"")</f>
        <v>128</v>
      </c>
    </row>
    <row r="210">
      <c r="B210" s="63">
        <f>IF($K210="","",202)</f>
        <v>202</v>
      </c>
      <c r="C210" s="63" t="str">
        <f>IF($K210="","",INDEX('Detalle individual'!$A:$A,$K210))</f>
        <v>865</v>
      </c>
      <c r="D210" s="64" t="str">
        <f>IF($K210="","",TRIM(INDEX('Detalle individual'!$B:$B,$K210)))</f>
        <v>MARIA ELENA VALLE BENAVIDES</v>
      </c>
      <c r="E210" s="64" t="str">
        <f>IF($K210="","",TRIM(INDEX('Detalle individual'!$E:$E,$K210)))</f>
        <v>ASISTENTE DE AUDITORIA INTERNA</v>
      </c>
      <c r="F210" s="64" t="str">
        <f>IF($K210="","",TRIM(INDEX('Detalle individual'!$C:$C,$K210)))</f>
        <v>DEPARTAMENTO DE AUDITORIA INTERNA</v>
      </c>
      <c r="G210" s="64" t="str">
        <f>IF($K210="","",INDEX('Detalle individual'!$D:$D,$K210))</f>
        <v>Auditoría Interna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46296.68074074074</v>
      </c>
      <c r="J210" s="78">
        <f>IF($K210="","",IF(INDEX('Detalle individual'!$F:$F,$K210)="Completado",INDEX('Detalle individual'!$J:$J,$K210),""))</f>
        <v>100</v>
      </c>
      <c r="K210">
        <f>IFERROR(MOD(SMALL('Cálculos'!$Z$5:$Z$295,202),300),"")</f>
        <v>129</v>
      </c>
    </row>
    <row r="211">
      <c r="B211" s="63">
        <f>IF($K211="","",203)</f>
        <v>203</v>
      </c>
      <c r="C211" s="63" t="str">
        <f>IF($K211="","",INDEX('Detalle individual'!$A:$A,$K211))</f>
        <v>373</v>
      </c>
      <c r="D211" s="64" t="str">
        <f>IF($K211="","",TRIM(INDEX('Detalle individual'!$B:$B,$K211)))</f>
        <v>MARTA ELIZABETH RODRIGUEZ INESTROZA</v>
      </c>
      <c r="E211" s="64" t="str">
        <f>IF($K211="","",TRIM(INDEX('Detalle individual'!$E:$E,$K211)))</f>
        <v>CONTADOR GENERAL</v>
      </c>
      <c r="F211" s="64" t="str">
        <f>IF($K211="","",TRIM(INDEX('Detalle individual'!$C:$C,$K211)))</f>
        <v>DEPARTAMENTO DE CONTABILIDAD</v>
      </c>
      <c r="G211" s="64" t="str">
        <f>IF($K211="","",INDEX('Detalle individual'!$D:$D,$K211))</f>
        <v>Gerencia de Finanzas y Planificación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46296.82847222222</v>
      </c>
      <c r="J211" s="78">
        <f>IF($K211="","",IF(INDEX('Detalle individual'!$F:$F,$K211)="Completado",INDEX('Detalle individual'!$J:$J,$K211),""))</f>
        <v>100</v>
      </c>
      <c r="K211">
        <f>IFERROR(MOD(SMALL('Cálculos'!$Z$5:$Z$295,203),300),"")</f>
        <v>87</v>
      </c>
    </row>
    <row r="212">
      <c r="B212" s="63">
        <f>IF($K212="","",204)</f>
        <v>204</v>
      </c>
      <c r="C212" s="63" t="str">
        <f>IF($K212="","",INDEX('Detalle individual'!$A:$A,$K212))</f>
        <v>676</v>
      </c>
      <c r="D212" s="64" t="str">
        <f>IF($K212="","",TRIM(INDEX('Detalle individual'!$B:$B,$K212)))</f>
        <v>DANIEL ENRIQUE FLORES RAMIREZ</v>
      </c>
      <c r="E212" s="64" t="str">
        <f>IF($K212="","",TRIM(INDEX('Detalle individual'!$E:$E,$K212)))</f>
        <v>ASISTENTE TECNICO DE TARJETA DE CREDITO Y DEBITO</v>
      </c>
      <c r="F212" s="64" t="str">
        <f>IF($K212="","",TRIM(INDEX('Detalle individual'!$C:$C,$K212)))</f>
        <v>DEPARTAMENTO DE CONTABILIDAD</v>
      </c>
      <c r="G212" s="64" t="str">
        <f>IF($K212="","",INDEX('Detalle individual'!$D:$D,$K212))</f>
        <v>Gerencia de Finanzas y Planificación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46304.36083333333</v>
      </c>
      <c r="J212" s="78">
        <f>IF($K212="","",IF(INDEX('Detalle individual'!$F:$F,$K212)="Completado",INDEX('Detalle individual'!$J:$J,$K212),""))</f>
        <v>100</v>
      </c>
      <c r="K212">
        <f>IFERROR(MOD(SMALL('Cálculos'!$Z$5:$Z$295,204),300),"")</f>
        <v>90</v>
      </c>
    </row>
    <row r="213">
      <c r="B213" s="63">
        <f>IF($K213="","",205)</f>
        <v>205</v>
      </c>
      <c r="C213" s="63" t="str">
        <f>IF($K213="","",INDEX('Detalle individual'!$A:$A,$K213))</f>
        <v>733</v>
      </c>
      <c r="D213" s="64" t="str">
        <f>IF($K213="","",TRIM(INDEX('Detalle individual'!$B:$B,$K213)))</f>
        <v>ROSSEMARY YAMILETH LOBATO MARTINEZ</v>
      </c>
      <c r="E213" s="64" t="str">
        <f>IF($K213="","",TRIM(INDEX('Detalle individual'!$E:$E,$K213)))</f>
        <v>ASISTENTE TECNICO DE PAGOS</v>
      </c>
      <c r="F213" s="64" t="str">
        <f>IF($K213="","",TRIM(INDEX('Detalle individual'!$C:$C,$K213)))</f>
        <v>DEPARTAMENTO DE CONTABILIDAD</v>
      </c>
      <c r="G213" s="64" t="str">
        <f>IF($K213="","",INDEX('Detalle individual'!$D:$D,$K213))</f>
        <v>Gerencia de Finanzas y Planificación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46300.31707175926</v>
      </c>
      <c r="J213" s="78">
        <f>IF($K213="","",IF(INDEX('Detalle individual'!$F:$F,$K213)="Completado",INDEX('Detalle individual'!$J:$J,$K213),""))</f>
        <v>100</v>
      </c>
      <c r="K213">
        <f>IFERROR(MOD(SMALL('Cálculos'!$Z$5:$Z$295,205),300),"")</f>
        <v>91</v>
      </c>
    </row>
    <row r="214">
      <c r="B214" s="63">
        <f>IF($K214="","",206)</f>
        <v>206</v>
      </c>
      <c r="C214" s="63" t="str">
        <f>IF($K214="","",INDEX('Detalle individual'!$A:$A,$K214))</f>
        <v>778</v>
      </c>
      <c r="D214" s="64" t="str">
        <f>IF($K214="","",TRIM(INDEX('Detalle individual'!$B:$B,$K214)))</f>
        <v>ERICK RODRIGO ORTIZ TURCIOS</v>
      </c>
      <c r="E214" s="64" t="str">
        <f>IF($K214="","",TRIM(INDEX('Detalle individual'!$E:$E,$K214)))</f>
        <v>ASISTENTE TECNICO DE AGENCIA CENTRAL</v>
      </c>
      <c r="F214" s="64" t="str">
        <f>IF($K214="","",TRIM(INDEX('Detalle individual'!$C:$C,$K214)))</f>
        <v>DEPARTAMENTO DE CONTABILIDAD</v>
      </c>
      <c r="G214" s="64" t="str">
        <f>IF($K214="","",INDEX('Detalle individual'!$D:$D,$K214))</f>
        <v>Gerencia de Finanzas y Planificación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46304.33385416667</v>
      </c>
      <c r="J214" s="78">
        <f>IF($K214="","",IF(INDEX('Detalle individual'!$F:$F,$K214)="Completado",INDEX('Detalle individual'!$J:$J,$K214),""))</f>
        <v>100</v>
      </c>
      <c r="K214">
        <f>IFERROR(MOD(SMALL('Cálculos'!$Z$5:$Z$295,206),300),"")</f>
        <v>93</v>
      </c>
    </row>
    <row r="215">
      <c r="B215" s="63">
        <f>IF($K215="","",207)</f>
        <v>207</v>
      </c>
      <c r="C215" s="63" t="str">
        <f>IF($K215="","",INDEX('Detalle individual'!$A:$A,$K215))</f>
        <v>784</v>
      </c>
      <c r="D215" s="64" t="str">
        <f>IF($K215="","",TRIM(INDEX('Detalle individual'!$B:$B,$K215)))</f>
        <v>BRIAN ADONAY BARRERA ALVARADO</v>
      </c>
      <c r="E215" s="64" t="str">
        <f>IF($K215="","",TRIM(INDEX('Detalle individual'!$E:$E,$K215)))</f>
        <v>CONTADOR DE AGENCIAS</v>
      </c>
      <c r="F215" s="64" t="str">
        <f>IF($K215="","",TRIM(INDEX('Detalle individual'!$C:$C,$K215)))</f>
        <v>DEPARTAMENTO DE CONTABILIDAD</v>
      </c>
      <c r="G215" s="64" t="str">
        <f>IF($K215="","",INDEX('Detalle individual'!$D:$D,$K215))</f>
        <v>Gerencia de Finanzas y Planificación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46296.62540509259</v>
      </c>
      <c r="J215" s="78">
        <f>IF($K215="","",IF(INDEX('Detalle individual'!$F:$F,$K215)="Completado",INDEX('Detalle individual'!$J:$J,$K215),""))</f>
        <v>100</v>
      </c>
      <c r="K215">
        <f>IFERROR(MOD(SMALL('Cálculos'!$Z$5:$Z$295,207),300),"")</f>
        <v>94</v>
      </c>
    </row>
    <row r="216">
      <c r="B216" s="63">
        <f>IF($K216="","",208)</f>
        <v>208</v>
      </c>
      <c r="C216" s="63" t="str">
        <f>IF($K216="","",INDEX('Detalle individual'!$A:$A,$K216))</f>
        <v>850</v>
      </c>
      <c r="D216" s="64" t="str">
        <f>IF($K216="","",TRIM(INDEX('Detalle individual'!$B:$B,$K216)))</f>
        <v>ALMA BEATRIZ RAMIREZ SANDOVAL</v>
      </c>
      <c r="E216" s="64" t="str">
        <f>IF($K216="","",TRIM(INDEX('Detalle individual'!$E:$E,$K216)))</f>
        <v>CONTADOR DE AGENCIA NO MONETARIA</v>
      </c>
      <c r="F216" s="64" t="str">
        <f>IF($K216="","",TRIM(INDEX('Detalle individual'!$C:$C,$K216)))</f>
        <v>DEPARTAMENTO DE CONTABILIDAD</v>
      </c>
      <c r="G216" s="64" t="str">
        <f>IF($K216="","",INDEX('Detalle individual'!$D:$D,$K216))</f>
        <v>Gerencia de Finanzas y Planificación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46304.4002662037</v>
      </c>
      <c r="J216" s="78">
        <f>IF($K216="","",IF(INDEX('Detalle individual'!$F:$F,$K216)="Completado",INDEX('Detalle individual'!$J:$J,$K216),""))</f>
        <v>90</v>
      </c>
      <c r="K216">
        <f>IFERROR(MOD(SMALL('Cálculos'!$Z$5:$Z$295,208),300),"")</f>
        <v>95</v>
      </c>
    </row>
    <row r="217">
      <c r="B217" s="63">
        <f>IF($K217="","",209)</f>
        <v>209</v>
      </c>
      <c r="C217" s="63" t="str">
        <f>IF($K217="","",INDEX('Detalle individual'!$A:$A,$K217))</f>
        <v>872</v>
      </c>
      <c r="D217" s="64" t="str">
        <f>IF($K217="","",TRIM(INDEX('Detalle individual'!$B:$B,$K217)))</f>
        <v>JOSUE ELIAZAR MARTINEZ RECINOS</v>
      </c>
      <c r="E217" s="64" t="str">
        <f>IF($K217="","",TRIM(INDEX('Detalle individual'!$E:$E,$K217)))</f>
        <v>CONTADOR DE AGENCIAS</v>
      </c>
      <c r="F217" s="64" t="str">
        <f>IF($K217="","",TRIM(INDEX('Detalle individual'!$C:$C,$K217)))</f>
        <v>DEPARTAMENTO DE CONTABILIDAD</v>
      </c>
      <c r="G217" s="64" t="str">
        <f>IF($K217="","",INDEX('Detalle individual'!$D:$D,$K217))</f>
        <v>Gerencia de Finanzas y Planificación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46301.438738425924</v>
      </c>
      <c r="J217" s="78">
        <f>IF($K217="","",IF(INDEX('Detalle individual'!$F:$F,$K217)="Completado",INDEX('Detalle individual'!$J:$J,$K217),""))</f>
        <v>100</v>
      </c>
      <c r="K217">
        <f>IFERROR(MOD(SMALL('Cálculos'!$Z$5:$Z$295,209),300),"")</f>
        <v>96</v>
      </c>
    </row>
    <row r="218">
      <c r="B218" s="63">
        <f>IF($K218="","",210)</f>
        <v>210</v>
      </c>
      <c r="C218" s="63" t="str">
        <f>IF($K218="","",INDEX('Detalle individual'!$A:$A,$K218))</f>
        <v>345</v>
      </c>
      <c r="D218" s="64" t="str">
        <f>IF($K218="","",TRIM(INDEX('Detalle individual'!$B:$B,$K218)))</f>
        <v>ANA EVELYN ROQUE GALEANO</v>
      </c>
      <c r="E218" s="64" t="str">
        <f>IF($K218="","",TRIM(INDEX('Detalle individual'!$E:$E,$K218)))</f>
        <v>AUXILIAR DE CREDITOS</v>
      </c>
      <c r="F218" s="64" t="str">
        <f>IF($K218="","",TRIM(INDEX('Detalle individual'!$C:$C,$K218)))</f>
        <v>DEPARTAMENTO DE CREDITOS</v>
      </c>
      <c r="G218" s="64" t="str">
        <f>IF($K218="","",INDEX('Detalle individual'!$D:$D,$K218))</f>
        <v>Gerencia de Negocios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46297.65186342593</v>
      </c>
      <c r="J218" s="78">
        <f>IF($K218="","",IF(INDEX('Detalle individual'!$F:$F,$K218)="Completado",INDEX('Detalle individual'!$J:$J,$K218),""))</f>
        <v>90</v>
      </c>
      <c r="K218">
        <f>IFERROR(MOD(SMALL('Cálculos'!$Z$5:$Z$295,210),300),"")</f>
        <v>153</v>
      </c>
    </row>
    <row r="219">
      <c r="B219" s="63">
        <f>IF($K219="","",211)</f>
        <v>211</v>
      </c>
      <c r="C219" s="63" t="str">
        <f>IF($K219="","",INDEX('Detalle individual'!$A:$A,$K219))</f>
        <v>470</v>
      </c>
      <c r="D219" s="64" t="str">
        <f>IF($K219="","",TRIM(INDEX('Detalle individual'!$B:$B,$K219)))</f>
        <v>ROSALBA RODRIGUEZ JIMENEZ</v>
      </c>
      <c r="E219" s="64" t="str">
        <f>IF($K219="","",TRIM(INDEX('Detalle individual'!$E:$E,$K219)))</f>
        <v>ANALISTA DE CREDITOS</v>
      </c>
      <c r="F219" s="64" t="str">
        <f>IF($K219="","",TRIM(INDEX('Detalle individual'!$C:$C,$K219)))</f>
        <v>DEPARTAMENTO DE CREDITOS</v>
      </c>
      <c r="G219" s="64" t="str">
        <f>IF($K219="","",INDEX('Detalle individual'!$D:$D,$K219))</f>
        <v>Gerencia de Negocios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46304.409317129626</v>
      </c>
      <c r="J219" s="78">
        <f>IF($K219="","",IF(INDEX('Detalle individual'!$F:$F,$K219)="Completado",INDEX('Detalle individual'!$J:$J,$K219),""))</f>
        <v>100</v>
      </c>
      <c r="K219">
        <f>IFERROR(MOD(SMALL('Cálculos'!$Z$5:$Z$295,211),300),"")</f>
        <v>155</v>
      </c>
    </row>
    <row r="220">
      <c r="B220" s="63">
        <f>IF($K220="","",212)</f>
        <v>212</v>
      </c>
      <c r="C220" s="63" t="str">
        <f>IF($K220="","",INDEX('Detalle individual'!$A:$A,$K220))</f>
        <v>492</v>
      </c>
      <c r="D220" s="64" t="str">
        <f>IF($K220="","",TRIM(INDEX('Detalle individual'!$B:$B,$K220)))</f>
        <v>CINDIA IVETTE ZEPEDA VASQUEZ</v>
      </c>
      <c r="E220" s="64" t="str">
        <f>IF($K220="","",TRIM(INDEX('Detalle individual'!$E:$E,$K220)))</f>
        <v>AUXILIAR DE CREDITOS</v>
      </c>
      <c r="F220" s="64" t="str">
        <f>IF($K220="","",TRIM(INDEX('Detalle individual'!$C:$C,$K220)))</f>
        <v>DEPARTAMENTO DE CREDITOS</v>
      </c>
      <c r="G220" s="64" t="str">
        <f>IF($K220="","",INDEX('Detalle individual'!$D:$D,$K220))</f>
        <v>Gerencia de Negocios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46297.66012731481</v>
      </c>
      <c r="J220" s="78">
        <f>IF($K220="","",IF(INDEX('Detalle individual'!$F:$F,$K220)="Completado",INDEX('Detalle individual'!$J:$J,$K220),""))</f>
        <v>100</v>
      </c>
      <c r="K220">
        <f>IFERROR(MOD(SMALL('Cálculos'!$Z$5:$Z$295,212),300),"")</f>
        <v>156</v>
      </c>
    </row>
    <row r="221">
      <c r="B221" s="63">
        <f>IF($K221="","",213)</f>
        <v>213</v>
      </c>
      <c r="C221" s="63" t="str">
        <f>IF($K221="","",INDEX('Detalle individual'!$A:$A,$K221))</f>
        <v>719</v>
      </c>
      <c r="D221" s="64" t="str">
        <f>IF($K221="","",TRIM(INDEX('Detalle individual'!$B:$B,$K221)))</f>
        <v>INGRID ALEJANDRINA LISSETH GUZMAN SANCHEZ</v>
      </c>
      <c r="E221" s="64" t="str">
        <f>IF($K221="","",TRIM(INDEX('Detalle individual'!$E:$E,$K221)))</f>
        <v>AUXILIAR DE CREDITOS</v>
      </c>
      <c r="F221" s="64" t="str">
        <f>IF($K221="","",TRIM(INDEX('Detalle individual'!$C:$C,$K221)))</f>
        <v>DEPARTAMENTO DE CREDITOS</v>
      </c>
      <c r="G221" s="64" t="str">
        <f>IF($K221="","",INDEX('Detalle individual'!$D:$D,$K221))</f>
        <v>Gerencia de Negocios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46298.41878472222</v>
      </c>
      <c r="J221" s="78">
        <f>IF($K221="","",IF(INDEX('Detalle individual'!$F:$F,$K221)="Completado",INDEX('Detalle individual'!$J:$J,$K221),""))</f>
        <v>100</v>
      </c>
      <c r="K221">
        <f>IFERROR(MOD(SMALL('Cálculos'!$Z$5:$Z$295,213),300),"")</f>
        <v>157</v>
      </c>
    </row>
    <row r="222">
      <c r="B222" s="63">
        <f>IF($K222="","",214)</f>
        <v>214</v>
      </c>
      <c r="C222" s="63" t="str">
        <f>IF($K222="","",INDEX('Detalle individual'!$A:$A,$K222))</f>
        <v>780</v>
      </c>
      <c r="D222" s="64" t="str">
        <f>IF($K222="","",TRIM(INDEX('Detalle individual'!$B:$B,$K222)))</f>
        <v>JUAN ANTONIO DE JESUS NUNFIO</v>
      </c>
      <c r="E222" s="64" t="str">
        <f>IF($K222="","",TRIM(INDEX('Detalle individual'!$E:$E,$K222)))</f>
        <v>ANALISTA DE CREDITOS</v>
      </c>
      <c r="F222" s="64" t="str">
        <f>IF($K222="","",TRIM(INDEX('Detalle individual'!$C:$C,$K222)))</f>
        <v>DEPARTAMENTO DE CREDITOS</v>
      </c>
      <c r="G222" s="64" t="str">
        <f>IF($K222="","",INDEX('Detalle individual'!$D:$D,$K222))</f>
        <v>Gerencia de Negocios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46301.65928240741</v>
      </c>
      <c r="J222" s="78">
        <f>IF($K222="","",IF(INDEX('Detalle individual'!$F:$F,$K222)="Completado",INDEX('Detalle individual'!$J:$J,$K222),""))</f>
        <v>100</v>
      </c>
      <c r="K222">
        <f>IFERROR(MOD(SMALL('Cálculos'!$Z$5:$Z$295,214),300),"")</f>
        <v>159</v>
      </c>
    </row>
    <row r="223">
      <c r="B223" s="63">
        <f>IF($K223="","",215)</f>
        <v>215</v>
      </c>
      <c r="C223" s="63" t="str">
        <f>IF($K223="","",INDEX('Detalle individual'!$A:$A,$K223))</f>
        <v>781</v>
      </c>
      <c r="D223" s="64" t="str">
        <f>IF($K223="","",TRIM(INDEX('Detalle individual'!$B:$B,$K223)))</f>
        <v>SOFIA SOLEDAD CASTRO VALLE</v>
      </c>
      <c r="E223" s="64" t="str">
        <f>IF($K223="","",TRIM(INDEX('Detalle individual'!$E:$E,$K223)))</f>
        <v>AUXILIAR DE CREDITOS</v>
      </c>
      <c r="F223" s="64" t="str">
        <f>IF($K223="","",TRIM(INDEX('Detalle individual'!$C:$C,$K223)))</f>
        <v>DEPARTAMENTO DE CREDITOS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46304.444606481484</v>
      </c>
      <c r="J223" s="78">
        <f>IF($K223="","",IF(INDEX('Detalle individual'!$F:$F,$K223)="Completado",INDEX('Detalle individual'!$J:$J,$K223),""))</f>
        <v>90</v>
      </c>
      <c r="K223">
        <f>IFERROR(MOD(SMALL('Cálculos'!$Z$5:$Z$295,215),300),"")</f>
        <v>160</v>
      </c>
    </row>
    <row r="224">
      <c r="B224" s="63">
        <f>IF($K224="","",216)</f>
        <v>216</v>
      </c>
      <c r="C224" s="63" t="str">
        <f>IF($K224="","",INDEX('Detalle individual'!$A:$A,$K224))</f>
        <v>837</v>
      </c>
      <c r="D224" s="64" t="str">
        <f>IF($K224="","",TRIM(INDEX('Detalle individual'!$B:$B,$K224)))</f>
        <v>DAYANA ABIGAIL CHAVEZ CORDOVA</v>
      </c>
      <c r="E224" s="64" t="str">
        <f>IF($K224="","",TRIM(INDEX('Detalle individual'!$E:$E,$K224)))</f>
        <v>GESTOR DE EXPEDIENTES</v>
      </c>
      <c r="F224" s="64" t="str">
        <f>IF($K224="","",TRIM(INDEX('Detalle individual'!$C:$C,$K224)))</f>
        <v>DEPARTAMENTO DE CREDITOS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46302.48523148148</v>
      </c>
      <c r="J224" s="78">
        <f>IF($K224="","",IF(INDEX('Detalle individual'!$F:$F,$K224)="Completado",INDEX('Detalle individual'!$J:$J,$K224),""))</f>
        <v>100</v>
      </c>
      <c r="K224">
        <f>IFERROR(MOD(SMALL('Cálculos'!$Z$5:$Z$295,216),300),"")</f>
        <v>162</v>
      </c>
    </row>
    <row r="225">
      <c r="B225" s="63">
        <f>IF($K225="","",217)</f>
        <v>217</v>
      </c>
      <c r="C225" s="63" t="str">
        <f>IF($K225="","",INDEX('Detalle individual'!$A:$A,$K225))</f>
        <v>539</v>
      </c>
      <c r="D225" s="64" t="str">
        <f>IF($K225="","",TRIM(INDEX('Detalle individual'!$B:$B,$K225)))</f>
        <v>JESICA XIOMARA RAMOS PEÑA</v>
      </c>
      <c r="E225" s="64" t="str">
        <f>IF($K225="","",TRIM(INDEX('Detalle individual'!$E:$E,$K225)))</f>
        <v>JEFE DE CUSTODIA DE GARANTÍA Y VALORES</v>
      </c>
      <c r="F225" s="64" t="str">
        <f>IF($K225="","",TRIM(INDEX('Detalle individual'!$C:$C,$K225)))</f>
        <v>DEPARTAMENTO DE CUSTODIA DE GARANTÍA Y VALORES</v>
      </c>
      <c r="G225" s="64" t="str">
        <f>IF($K225="","",INDEX('Detalle individual'!$D:$D,$K225))</f>
        <v>Gerencia Administrativa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46304.70379629629</v>
      </c>
      <c r="J225" s="78">
        <f>IF($K225="","",IF(INDEX('Detalle individual'!$F:$F,$K225)="Completado",INDEX('Detalle individual'!$J:$J,$K225),""))</f>
        <v>100</v>
      </c>
      <c r="K225">
        <f>IFERROR(MOD(SMALL('Cálculos'!$Z$5:$Z$295,217),300),"")</f>
        <v>43</v>
      </c>
    </row>
    <row r="226">
      <c r="B226" s="63">
        <f>IF($K226="","",218)</f>
        <v>218</v>
      </c>
      <c r="C226" s="63" t="str">
        <f>IF($K226="","",INDEX('Detalle individual'!$A:$A,$K226))</f>
        <v>678</v>
      </c>
      <c r="D226" s="64" t="str">
        <f>IF($K226="","",TRIM(INDEX('Detalle individual'!$B:$B,$K226)))</f>
        <v>CARLOS ALBERTO VELASQUEZ ALVARADO</v>
      </c>
      <c r="E226" s="64" t="str">
        <f>IF($K226="","",TRIM(INDEX('Detalle individual'!$E:$E,$K226)))</f>
        <v>ANALISTA DE ARCHIVO CENTRAL</v>
      </c>
      <c r="F226" s="64" t="str">
        <f>IF($K226="","",TRIM(INDEX('Detalle individual'!$C:$C,$K226)))</f>
        <v>DEPARTAMENTO DE CUSTODIA DE GARANTÍA Y VALORES</v>
      </c>
      <c r="G226" s="64" t="str">
        <f>IF($K226="","",INDEX('Detalle individual'!$D:$D,$K226))</f>
        <v>Gerencia Administrativa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46304.422789351855</v>
      </c>
      <c r="J226" s="78">
        <f>IF($K226="","",IF(INDEX('Detalle individual'!$F:$F,$K226)="Completado",INDEX('Detalle individual'!$J:$J,$K226),""))</f>
        <v>100</v>
      </c>
      <c r="K226">
        <f>IFERROR(MOD(SMALL('Cálculos'!$Z$5:$Z$295,218),300),"")</f>
        <v>44</v>
      </c>
    </row>
    <row r="227">
      <c r="B227" s="63">
        <f>IF($K227="","",219)</f>
        <v>219</v>
      </c>
      <c r="C227" s="63" t="str">
        <f>IF($K227="","",INDEX('Detalle individual'!$A:$A,$K227))</f>
        <v>740</v>
      </c>
      <c r="D227" s="64" t="str">
        <f>IF($K227="","",TRIM(INDEX('Detalle individual'!$B:$B,$K227)))</f>
        <v>RAFAEL ERNESTO LOPEZ MARTINEZ</v>
      </c>
      <c r="E227" s="64" t="str">
        <f>IF($K227="","",TRIM(INDEX('Detalle individual'!$E:$E,$K227)))</f>
        <v>ASISTENTE ADMINISTRATIVO CUSTODIA DE GARANTIA Y VALORES</v>
      </c>
      <c r="F227" s="64" t="str">
        <f>IF($K227="","",TRIM(INDEX('Detalle individual'!$C:$C,$K227)))</f>
        <v>DEPARTAMENTO DE CUSTODIA DE GARANTÍA Y VALORES</v>
      </c>
      <c r="G227" s="64" t="str">
        <f>IF($K227="","",INDEX('Detalle individual'!$D:$D,$K227))</f>
        <v>Gerencia Administrativa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46304.685949074075</v>
      </c>
      <c r="J227" s="78">
        <f>IF($K227="","",IF(INDEX('Detalle individual'!$F:$F,$K227)="Completado",INDEX('Detalle individual'!$J:$J,$K227),""))</f>
        <v>100</v>
      </c>
      <c r="K227">
        <f>IFERROR(MOD(SMALL('Cálculos'!$Z$5:$Z$295,219),300),"")</f>
        <v>45</v>
      </c>
    </row>
    <row r="228">
      <c r="B228" s="63">
        <f>IF($K228="","",220)</f>
        <v>220</v>
      </c>
      <c r="C228" s="63" t="str">
        <f>IF($K228="","",INDEX('Detalle individual'!$A:$A,$K228))</f>
        <v>934</v>
      </c>
      <c r="D228" s="64" t="str">
        <f>IF($K228="","",TRIM(INDEX('Detalle individual'!$B:$B,$K228)))</f>
        <v>JOSE FRANCISCO ZECEÑA MUÑOZ</v>
      </c>
      <c r="E228" s="64" t="str">
        <f>IF($K228="","",TRIM(INDEX('Detalle individual'!$E:$E,$K228)))</f>
        <v>AUXILIAR DE CUSTODIA DE VALORES</v>
      </c>
      <c r="F228" s="64" t="str">
        <f>IF($K228="","",TRIM(INDEX('Detalle individual'!$C:$C,$K228)))</f>
        <v>DEPARTAMENTO DE CUSTODIA DE GARANTÍA Y VALORES</v>
      </c>
      <c r="G228" s="64" t="str">
        <f>IF($K228="","",INDEX('Detalle individual'!$D:$D,$K228))</f>
        <v>Gerencia Administrativa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46304.67644675926</v>
      </c>
      <c r="J228" s="78">
        <f>IF($K228="","",IF(INDEX('Detalle individual'!$F:$F,$K228)="Completado",INDEX('Detalle individual'!$J:$J,$K228),""))</f>
        <v>100</v>
      </c>
      <c r="K228">
        <f>IFERROR(MOD(SMALL('Cálculos'!$Z$5:$Z$295,220),300),"")</f>
        <v>46</v>
      </c>
    </row>
    <row r="229">
      <c r="B229" s="63">
        <f>IF($K229="","",221)</f>
        <v>221</v>
      </c>
      <c r="C229" s="63" t="str">
        <f>IF($K229="","",INDEX('Detalle individual'!$A:$A,$K229))</f>
        <v>949</v>
      </c>
      <c r="D229" s="64" t="str">
        <f>IF($K229="","",TRIM(INDEX('Detalle individual'!$B:$B,$K229)))</f>
        <v>ALEJANDRO JOSE ARGUETA CORTEZ</v>
      </c>
      <c r="E229" s="64" t="str">
        <f>IF($K229="","",TRIM(INDEX('Detalle individual'!$E:$E,$K229)))</f>
        <v>AUXILIAR DE CUSTODIA DE VALORES</v>
      </c>
      <c r="F229" s="64" t="str">
        <f>IF($K229="","",TRIM(INDEX('Detalle individual'!$C:$C,$K229)))</f>
        <v>DEPARTAMENTO DE CUSTODIA DE GARANTÍA Y VALORES</v>
      </c>
      <c r="G229" s="64" t="str">
        <f>IF($K229="","",INDEX('Detalle individual'!$D:$D,$K229))</f>
        <v>Gerencia Administrativa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46304.682708333334</v>
      </c>
      <c r="J229" s="78">
        <f>IF($K229="","",IF(INDEX('Detalle individual'!$F:$F,$K229)="Completado",INDEX('Detalle individual'!$J:$J,$K229),""))</f>
        <v>100</v>
      </c>
      <c r="K229">
        <f>IFERROR(MOD(SMALL('Cálculos'!$Z$5:$Z$295,221),300),"")</f>
        <v>47</v>
      </c>
    </row>
    <row r="230">
      <c r="B230" s="63">
        <f>IF($K230="","",222)</f>
        <v>222</v>
      </c>
      <c r="C230" s="63" t="str">
        <f>IF($K230="","",INDEX('Detalle individual'!$A:$A,$K230))</f>
        <v>973</v>
      </c>
      <c r="D230" s="64" t="str">
        <f>IF($K230="","",TRIM(INDEX('Detalle individual'!$B:$B,$K230)))</f>
        <v>HUGO ROLANDO VELASCO RIVERA</v>
      </c>
      <c r="E230" s="64" t="str">
        <f>IF($K230="","",TRIM(INDEX('Detalle individual'!$E:$E,$K230)))</f>
        <v>AUXILIAR DE CUSTODIA DE VALORES</v>
      </c>
      <c r="F230" s="64" t="str">
        <f>IF($K230="","",TRIM(INDEX('Detalle individual'!$C:$C,$K230)))</f>
        <v>DEPARTAMENTO DE CUSTODIA DE GARANTÍA Y VALORES</v>
      </c>
      <c r="G230" s="64" t="str">
        <f>IF($K230="","",INDEX('Detalle individual'!$D:$D,$K230))</f>
        <v>Gerencia Administrativa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46298.51430555555</v>
      </c>
      <c r="J230" s="78">
        <f>IF($K230="","",IF(INDEX('Detalle individual'!$F:$F,$K230)="Completado",INDEX('Detalle individual'!$J:$J,$K230),""))</f>
        <v>100</v>
      </c>
      <c r="K230">
        <f>IFERROR(MOD(SMALL('Cálculos'!$Z$5:$Z$295,222),300),"")</f>
        <v>48</v>
      </c>
    </row>
    <row r="231">
      <c r="B231" s="63">
        <f>IF($K231="","",223)</f>
        <v>223</v>
      </c>
      <c r="C231" s="63" t="str">
        <f>IF($K231="","",INDEX('Detalle individual'!$A:$A,$K231))</f>
        <v>632</v>
      </c>
      <c r="D231" s="64" t="str">
        <f>IF($K231="","",TRIM(INDEX('Detalle individual'!$B:$B,$K231)))</f>
        <v>LUCILA MARGARITA CORCIO QUINTANILLA</v>
      </c>
      <c r="E231" s="64" t="str">
        <f>IF($K231="","",TRIM(INDEX('Detalle individual'!$E:$E,$K231)))</f>
        <v>ASISTENTE COMPENSADOR DE CHEQUES</v>
      </c>
      <c r="F231" s="64" t="str">
        <f>IF($K231="","",TRIM(INDEX('Detalle individual'!$C:$C,$K231)))</f>
        <v>DEPARTAMENTO DE DEPOSITOS</v>
      </c>
      <c r="G231" s="64" t="str">
        <f>IF($K231="","",INDEX('Detalle individual'!$D:$D,$K231))</f>
        <v>Gerencia de Operaciones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46296.57800925926</v>
      </c>
      <c r="J231" s="78">
        <f>IF($K231="","",IF(INDEX('Detalle individual'!$F:$F,$K231)="Completado",INDEX('Detalle individual'!$J:$J,$K231),""))</f>
        <v>100</v>
      </c>
      <c r="K231">
        <f>IFERROR(MOD(SMALL('Cálculos'!$Z$5:$Z$295,223),300),"")</f>
        <v>76</v>
      </c>
    </row>
    <row r="232">
      <c r="B232" s="63">
        <f>IF($K232="","",224)</f>
        <v>224</v>
      </c>
      <c r="C232" s="63" t="str">
        <f>IF($K232="","",INDEX('Detalle individual'!$A:$A,$K232))</f>
        <v>773</v>
      </c>
      <c r="D232" s="64" t="str">
        <f>IF($K232="","",TRIM(INDEX('Detalle individual'!$B:$B,$K232)))</f>
        <v>HELLEN ESTEFANI RODRIGUEZ GARCIA</v>
      </c>
      <c r="E232" s="64" t="str">
        <f>IF($K232="","",TRIM(INDEX('Detalle individual'!$E:$E,$K232)))</f>
        <v>ASISTENTE COMPENSADOR DE CHEQUES</v>
      </c>
      <c r="F232" s="64" t="str">
        <f>IF($K232="","",TRIM(INDEX('Detalle individual'!$C:$C,$K232)))</f>
        <v>DEPARTAMENTO DE DEPOSITOS</v>
      </c>
      <c r="G232" s="64" t="str">
        <f>IF($K232="","",INDEX('Detalle individual'!$D:$D,$K232))</f>
        <v>Gerencia de Operaciones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46297.47550925926</v>
      </c>
      <c r="J232" s="78">
        <f>IF($K232="","",IF(INDEX('Detalle individual'!$F:$F,$K232)="Completado",INDEX('Detalle individual'!$J:$J,$K232),""))</f>
        <v>95</v>
      </c>
      <c r="K232">
        <f>IFERROR(MOD(SMALL('Cálculos'!$Z$5:$Z$295,224),300),"")</f>
        <v>77</v>
      </c>
    </row>
    <row r="233">
      <c r="B233" s="63">
        <f>IF($K233="","",225)</f>
        <v>225</v>
      </c>
      <c r="C233" s="63" t="str">
        <f>IF($K233="","",INDEX('Detalle individual'!$A:$A,$K233))</f>
        <v>787</v>
      </c>
      <c r="D233" s="64" t="str">
        <f>IF($K233="","",TRIM(INDEX('Detalle individual'!$B:$B,$K233)))</f>
        <v>WALTER OSWALDO SANCHEZ RIVAS</v>
      </c>
      <c r="E233" s="64" t="str">
        <f>IF($K233="","",TRIM(INDEX('Detalle individual'!$E:$E,$K233)))</f>
        <v>ASISTENTE COMPENSADOR DE CHEQUES</v>
      </c>
      <c r="F233" s="64" t="str">
        <f>IF($K233="","",TRIM(INDEX('Detalle individual'!$C:$C,$K233)))</f>
        <v>DEPARTAMENTO DE DEPOSITOS</v>
      </c>
      <c r="G233" s="64" t="str">
        <f>IF($K233="","",INDEX('Detalle individual'!$D:$D,$K233))</f>
        <v>Gerencia de Operaciones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46304.692928240744</v>
      </c>
      <c r="J233" s="78">
        <f>IF($K233="","",IF(INDEX('Detalle individual'!$F:$F,$K233)="Completado",INDEX('Detalle individual'!$J:$J,$K233),""))</f>
        <v>100</v>
      </c>
      <c r="K233">
        <f>IFERROR(MOD(SMALL('Cálculos'!$Z$5:$Z$295,225),300),"")</f>
        <v>78</v>
      </c>
    </row>
    <row r="234">
      <c r="B234" s="63">
        <f>IF($K234="","",226)</f>
        <v>226</v>
      </c>
      <c r="C234" s="63" t="str">
        <f>IF($K234="","",INDEX('Detalle individual'!$A:$A,$K234))</f>
        <v>853</v>
      </c>
      <c r="D234" s="64" t="str">
        <f>IF($K234="","",TRIM(INDEX('Detalle individual'!$B:$B,$K234)))</f>
        <v>STEPHANIE CAROLINA MALDONADO FLORES</v>
      </c>
      <c r="E234" s="64" t="str">
        <f>IF($K234="","",TRIM(INDEX('Detalle individual'!$E:$E,$K234)))</f>
        <v>ASISTENTE TECNICO DEPARTAMENTO DE EDUCACION Y RESPONSABILIDA</v>
      </c>
      <c r="F234" s="64" t="str">
        <f>IF($K234="","",TRIM(INDEX('Detalle individual'!$C:$C,$K234)))</f>
        <v>DEPARTAMENTO DE EDUCACION Y RESPONSABILIDAD SOCIAL</v>
      </c>
      <c r="G234" s="64" t="str">
        <f>IF($K234="","",INDEX('Detalle individual'!$D:$D,$K234))</f>
        <v>Gerencia de Negocios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46301.64635416667</v>
      </c>
      <c r="J234" s="78">
        <f>IF($K234="","",IF(INDEX('Detalle individual'!$F:$F,$K234)="Completado",INDEX('Detalle individual'!$J:$J,$K234),""))</f>
        <v>100</v>
      </c>
      <c r="K234">
        <f>IFERROR(MOD(SMALL('Cálculos'!$Z$5:$Z$295,226),300),"")</f>
        <v>57</v>
      </c>
    </row>
    <row r="235">
      <c r="B235" s="63">
        <f>IF($K235="","",227)</f>
        <v>227</v>
      </c>
      <c r="C235" s="63" t="str">
        <f>IF($K235="","",INDEX('Detalle individual'!$A:$A,$K235))</f>
        <v>982</v>
      </c>
      <c r="D235" s="64" t="str">
        <f>IF($K235="","",TRIM(INDEX('Detalle individual'!$B:$B,$K235)))</f>
        <v>ALEJANDRA ABIGAIL RAMIREZ ROMERO</v>
      </c>
      <c r="E235" s="64" t="str">
        <f>IF($K235="","",TRIM(INDEX('Detalle individual'!$E:$E,$K235)))</f>
        <v>DISEÑADOR GRAFICO</v>
      </c>
      <c r="F235" s="64" t="str">
        <f>IF($K235="","",TRIM(INDEX('Detalle individual'!$C:$C,$K235)))</f>
        <v>DEPARTAMENTO DE MERCADEO</v>
      </c>
      <c r="G235" s="64" t="str">
        <f>IF($K235="","",INDEX('Detalle individual'!$D:$D,$K235))</f>
        <v>Gerencia de Negocios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46301.64126157408</v>
      </c>
      <c r="J235" s="78">
        <f>IF($K235="","",IF(INDEX('Detalle individual'!$F:$F,$K235)="Completado",INDEX('Detalle individual'!$J:$J,$K235),""))</f>
        <v>100</v>
      </c>
      <c r="K235">
        <f>IFERROR(MOD(SMALL('Cálculos'!$Z$5:$Z$295,227),300),"")</f>
        <v>151</v>
      </c>
    </row>
    <row r="236">
      <c r="B236" s="63">
        <f>IF($K236="","",228)</f>
        <v>228</v>
      </c>
      <c r="C236" s="63" t="str">
        <f>IF($K236="","",INDEX('Detalle individual'!$A:$A,$K236))</f>
        <v>119</v>
      </c>
      <c r="D236" s="64" t="str">
        <f>IF($K236="","",TRIM(INDEX('Detalle individual'!$B:$B,$K236)))</f>
        <v>JUAN JOSE LOPEZ ALFARO</v>
      </c>
      <c r="E236" s="64" t="str">
        <f>IF($K236="","",TRIM(INDEX('Detalle individual'!$E:$E,$K236)))</f>
        <v>OPERADOR DE SISTEMAS</v>
      </c>
      <c r="F236" s="64" t="str">
        <f>IF($K236="","",TRIM(INDEX('Detalle individual'!$C:$C,$K236)))</f>
        <v>DEPARTAMENTO DE OPERACIONES Y SOPORTE TECNICO</v>
      </c>
      <c r="G236" s="64" t="str">
        <f>IF($K236="","",INDEX('Detalle individual'!$D:$D,$K236))</f>
        <v>Gerencia de Sistemas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46302.441828703704</v>
      </c>
      <c r="J236" s="78">
        <f>IF($K236="","",IF(INDEX('Detalle individual'!$F:$F,$K236)="Completado",INDEX('Detalle individual'!$J:$J,$K236),""))</f>
        <v>100</v>
      </c>
      <c r="K236">
        <f>IFERROR(MOD(SMALL('Cálculos'!$Z$5:$Z$295,228),300),"")</f>
        <v>105</v>
      </c>
    </row>
    <row r="237">
      <c r="B237" s="63">
        <f>IF($K237="","",229)</f>
        <v>229</v>
      </c>
      <c r="C237" s="63" t="str">
        <f>IF($K237="","",INDEX('Detalle individual'!$A:$A,$K237))</f>
        <v>221</v>
      </c>
      <c r="D237" s="64" t="str">
        <f>IF($K237="","",TRIM(INDEX('Detalle individual'!$B:$B,$K237)))</f>
        <v>CARLOS ORLANDO GARCIA VELASQUEZ</v>
      </c>
      <c r="E237" s="64" t="str">
        <f>IF($K237="","",TRIM(INDEX('Detalle individual'!$E:$E,$K237)))</f>
        <v>TECNICO EN SOPORTE</v>
      </c>
      <c r="F237" s="64" t="str">
        <f>IF($K237="","",TRIM(INDEX('Detalle individual'!$C:$C,$K237)))</f>
        <v>DEPARTAMENTO DE OPERACIONES Y SOPORTE TECNICO</v>
      </c>
      <c r="G237" s="64" t="str">
        <f>IF($K237="","",INDEX('Detalle individual'!$D:$D,$K237))</f>
        <v>Gerencia de Sistemas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46300.58950231481</v>
      </c>
      <c r="J237" s="78">
        <f>IF($K237="","",IF(INDEX('Detalle individual'!$F:$F,$K237)="Completado",INDEX('Detalle individual'!$J:$J,$K237),""))</f>
        <v>100</v>
      </c>
      <c r="K237">
        <f>IFERROR(MOD(SMALL('Cálculos'!$Z$5:$Z$295,229),300),"")</f>
        <v>106</v>
      </c>
    </row>
    <row r="238">
      <c r="B238" s="63">
        <f>IF($K238="","",230)</f>
        <v>230</v>
      </c>
      <c r="C238" s="63" t="str">
        <f>IF($K238="","",INDEX('Detalle individual'!$A:$A,$K238))</f>
        <v>259</v>
      </c>
      <c r="D238" s="64" t="str">
        <f>IF($K238="","",TRIM(INDEX('Detalle individual'!$B:$B,$K238)))</f>
        <v>EDGAR MARGARITO POZO SHUPAN</v>
      </c>
      <c r="E238" s="64" t="str">
        <f>IF($K238="","",TRIM(INDEX('Detalle individual'!$E:$E,$K238)))</f>
        <v>TECNICO EN SOPORTE</v>
      </c>
      <c r="F238" s="64" t="str">
        <f>IF($K238="","",TRIM(INDEX('Detalle individual'!$C:$C,$K238)))</f>
        <v>DEPARTAMENTO DE OPERACIONES Y SOPORTE TECNICO</v>
      </c>
      <c r="G238" s="64" t="str">
        <f>IF($K238="","",INDEX('Detalle individual'!$D:$D,$K238))</f>
        <v>Gerencia de Sistemas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46300.63810185185</v>
      </c>
      <c r="J238" s="78">
        <f>IF($K238="","",IF(INDEX('Detalle individual'!$F:$F,$K238)="Completado",INDEX('Detalle individual'!$J:$J,$K238),""))</f>
        <v>100</v>
      </c>
      <c r="K238">
        <f>IFERROR(MOD(SMALL('Cálculos'!$Z$5:$Z$295,230),300),"")</f>
        <v>107</v>
      </c>
    </row>
    <row r="239">
      <c r="B239" s="63">
        <f>IF($K239="","",231)</f>
        <v>231</v>
      </c>
      <c r="C239" s="63" t="str">
        <f>IF($K239="","",INDEX('Detalle individual'!$A:$A,$K239))</f>
        <v>281</v>
      </c>
      <c r="D239" s="64" t="str">
        <f>IF($K239="","",TRIM(INDEX('Detalle individual'!$B:$B,$K239)))</f>
        <v>CARLOS ALFONSO MOLINA CARDONA</v>
      </c>
      <c r="E239" s="64" t="str">
        <f>IF($K239="","",TRIM(INDEX('Detalle individual'!$E:$E,$K239)))</f>
        <v>OPERADOR DE SISTEMAS</v>
      </c>
      <c r="F239" s="64" t="str">
        <f>IF($K239="","",TRIM(INDEX('Detalle individual'!$C:$C,$K239)))</f>
        <v>DEPARTAMENTO DE OPERACIONES Y SOPORTE TECNICO</v>
      </c>
      <c r="G239" s="64" t="str">
        <f>IF($K239="","",INDEX('Detalle individual'!$D:$D,$K239))</f>
        <v>Gerencia de Sistemas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46300.48065972222</v>
      </c>
      <c r="J239" s="78">
        <f>IF($K239="","",IF(INDEX('Detalle individual'!$F:$F,$K239)="Completado",INDEX('Detalle individual'!$J:$J,$K239),""))</f>
        <v>100</v>
      </c>
      <c r="K239">
        <f>IFERROR(MOD(SMALL('Cálculos'!$Z$5:$Z$295,231),300),"")</f>
        <v>108</v>
      </c>
    </row>
    <row r="240">
      <c r="B240" s="63">
        <f>IF($K240="","",232)</f>
        <v>232</v>
      </c>
      <c r="C240" s="63" t="str">
        <f>IF($K240="","",INDEX('Detalle individual'!$A:$A,$K240))</f>
        <v>490</v>
      </c>
      <c r="D240" s="64" t="str">
        <f>IF($K240="","",TRIM(INDEX('Detalle individual'!$B:$B,$K240)))</f>
        <v>JULIO ADOLFO MOLINA ARRIOLA</v>
      </c>
      <c r="E240" s="64" t="str">
        <f>IF($K240="","",TRIM(INDEX('Detalle individual'!$E:$E,$K240)))</f>
        <v>OPERADOR DE SISTEMAS</v>
      </c>
      <c r="F240" s="64" t="str">
        <f>IF($K240="","",TRIM(INDEX('Detalle individual'!$C:$C,$K240)))</f>
        <v>DEPARTAMENTO DE OPERACIONES Y SOPORTE TECNICO</v>
      </c>
      <c r="G240" s="64" t="str">
        <f>IF($K240="","",INDEX('Detalle individual'!$D:$D,$K240))</f>
        <v>Gerencia de Sistemas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46301.436527777776</v>
      </c>
      <c r="J240" s="78">
        <f>IF($K240="","",IF(INDEX('Detalle individual'!$F:$F,$K240)="Completado",INDEX('Detalle individual'!$J:$J,$K240),""))</f>
        <v>100</v>
      </c>
      <c r="K240">
        <f>IFERROR(MOD(SMALL('Cálculos'!$Z$5:$Z$295,232),300),"")</f>
        <v>109</v>
      </c>
    </row>
    <row r="241">
      <c r="B241" s="63">
        <f>IF($K241="","",233)</f>
        <v>233</v>
      </c>
      <c r="C241" s="63" t="str">
        <f>IF($K241="","",INDEX('Detalle individual'!$A:$A,$K241))</f>
        <v>880</v>
      </c>
      <c r="D241" s="64" t="str">
        <f>IF($K241="","",TRIM(INDEX('Detalle individual'!$B:$B,$K241)))</f>
        <v>JORGE ALBERTO BARRERA</v>
      </c>
      <c r="E241" s="64" t="str">
        <f>IF($K241="","",TRIM(INDEX('Detalle individual'!$E:$E,$K241)))</f>
        <v>JEFE DE OPERACIONES Y SOPORTE TECNICO</v>
      </c>
      <c r="F241" s="64" t="str">
        <f>IF($K241="","",TRIM(INDEX('Detalle individual'!$C:$C,$K241)))</f>
        <v>DEPARTAMENTO DE OPERACIONES Y SOPORTE TECNICO</v>
      </c>
      <c r="G241" s="64" t="str">
        <f>IF($K241="","",INDEX('Detalle individual'!$D:$D,$K241))</f>
        <v>Gerencia de Sistemas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46300.5841087963</v>
      </c>
      <c r="J241" s="78">
        <f>IF($K241="","",IF(INDEX('Detalle individual'!$F:$F,$K241)="Completado",INDEX('Detalle individual'!$J:$J,$K241),""))</f>
        <v>100</v>
      </c>
      <c r="K241">
        <f>IFERROR(MOD(SMALL('Cálculos'!$Z$5:$Z$295,233),300),"")</f>
        <v>110</v>
      </c>
    </row>
    <row r="242">
      <c r="B242" s="63">
        <f>IF($K242="","",234)</f>
        <v>234</v>
      </c>
      <c r="C242" s="63" t="str">
        <f>IF($K242="","",INDEX('Detalle individual'!$A:$A,$K242))</f>
        <v>318</v>
      </c>
      <c r="D242" s="64" t="str">
        <f>IF($K242="","",TRIM(INDEX('Detalle individual'!$B:$B,$K242)))</f>
        <v>CLAUDIA CAROLINA HENRIQUEZ VELASCO</v>
      </c>
      <c r="E242" s="64" t="str">
        <f>IF($K242="","",TRIM(INDEX('Detalle individual'!$E:$E,$K242)))</f>
        <v>JEFE DE PROCESOS</v>
      </c>
      <c r="F242" s="64" t="str">
        <f>IF($K242="","",TRIM(INDEX('Detalle individual'!$C:$C,$K242)))</f>
        <v>DEPARTAMENTO DE PROCESOS</v>
      </c>
      <c r="G242" s="64" t="str">
        <f>IF($K242="","",INDEX('Detalle individual'!$D:$D,$K242))</f>
        <v>Gerencia General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46296.44149305556</v>
      </c>
      <c r="J242" s="78">
        <f>IF($K242="","",IF(INDEX('Detalle individual'!$F:$F,$K242)="Completado",INDEX('Detalle individual'!$J:$J,$K242),""))</f>
        <v>100</v>
      </c>
      <c r="K242">
        <f>IFERROR(MOD(SMALL('Cálculos'!$Z$5:$Z$295,234),300),"")</f>
        <v>18</v>
      </c>
    </row>
    <row r="243">
      <c r="B243" s="63">
        <f>IF($K243="","",235)</f>
        <v>235</v>
      </c>
      <c r="C243" s="63" t="str">
        <f>IF($K243="","",INDEX('Detalle individual'!$A:$A,$K243))</f>
        <v>817</v>
      </c>
      <c r="D243" s="64" t="str">
        <f>IF($K243="","",TRIM(INDEX('Detalle individual'!$B:$B,$K243)))</f>
        <v>MAURICIO EDGARDO MIRANDA CAMPOS</v>
      </c>
      <c r="E243" s="64" t="str">
        <f>IF($K243="","",TRIM(INDEX('Detalle individual'!$E:$E,$K243)))</f>
        <v>ANALISTA DE PROCESOS</v>
      </c>
      <c r="F243" s="64" t="str">
        <f>IF($K243="","",TRIM(INDEX('Detalle individual'!$C:$C,$K243)))</f>
        <v>DEPARTAMENTO DE PROCESOS</v>
      </c>
      <c r="G243" s="64" t="str">
        <f>IF($K243="","",INDEX('Detalle individual'!$D:$D,$K243))</f>
        <v>Gerencia General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46296.44137731481</v>
      </c>
      <c r="J243" s="78">
        <f>IF($K243="","",IF(INDEX('Detalle individual'!$F:$F,$K243)="Completado",INDEX('Detalle individual'!$J:$J,$K243),""))</f>
        <v>100</v>
      </c>
      <c r="K243">
        <f>IFERROR(MOD(SMALL('Cálculos'!$Z$5:$Z$295,235),300),"")</f>
        <v>19</v>
      </c>
    </row>
    <row r="244">
      <c r="B244" s="63">
        <f>IF($K244="","",236)</f>
        <v>236</v>
      </c>
      <c r="C244" s="63" t="str">
        <f>IF($K244="","",INDEX('Detalle individual'!$A:$A,$K244))</f>
        <v>932</v>
      </c>
      <c r="D244" s="64" t="str">
        <f>IF($K244="","",TRIM(INDEX('Detalle individual'!$B:$B,$K244)))</f>
        <v>HECTOR SEBASTIAN LOPEZ GRANADOS</v>
      </c>
      <c r="E244" s="64" t="str">
        <f>IF($K244="","",TRIM(INDEX('Detalle individual'!$E:$E,$K244)))</f>
        <v>ASISTENTE TECNICO DE PROCESOS</v>
      </c>
      <c r="F244" s="64" t="str">
        <f>IF($K244="","",TRIM(INDEX('Detalle individual'!$C:$C,$K244)))</f>
        <v>DEPARTAMENTO DE PROCESOS</v>
      </c>
      <c r="G244" s="64" t="str">
        <f>IF($K244="","",INDEX('Detalle individual'!$D:$D,$K244))</f>
        <v>Gerencia General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46296.44143518519</v>
      </c>
      <c r="J244" s="78">
        <f>IF($K244="","",IF(INDEX('Detalle individual'!$F:$F,$K244)="Completado",INDEX('Detalle individual'!$J:$J,$K244),""))</f>
        <v>100</v>
      </c>
      <c r="K244">
        <f>IFERROR(MOD(SMALL('Cálculos'!$Z$5:$Z$295,236),300),"")</f>
        <v>20</v>
      </c>
    </row>
    <row r="245">
      <c r="B245" s="63">
        <f>IF($K245="","",237)</f>
        <v>237</v>
      </c>
      <c r="C245" s="63" t="str">
        <f>IF($K245="","",INDEX('Detalle individual'!$A:$A,$K245))</f>
        <v>452</v>
      </c>
      <c r="D245" s="64" t="str">
        <f>IF($K245="","",TRIM(INDEX('Detalle individual'!$B:$B,$K245)))</f>
        <v>SERGIO ARTURO CALDERON SALAZAR</v>
      </c>
      <c r="E245" s="64" t="str">
        <f>IF($K245="","",TRIM(INDEX('Detalle individual'!$E:$E,$K245)))</f>
        <v>COORDINADOR DE SEGURIDAD</v>
      </c>
      <c r="F245" s="64" t="str">
        <f>IF($K245="","",TRIM(INDEX('Detalle individual'!$C:$C,$K245)))</f>
        <v>DEPARTAMENTO DE SEGURIDAD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46296.46072916667</v>
      </c>
      <c r="J245" s="78">
        <f>IF($K245="","",IF(INDEX('Detalle individual'!$F:$F,$K245)="Completado",INDEX('Detalle individual'!$J:$J,$K245),""))</f>
        <v>90</v>
      </c>
      <c r="K245">
        <f>IFERROR(MOD(SMALL('Cálculos'!$Z$5:$Z$295,237),300),"")</f>
        <v>52</v>
      </c>
    </row>
    <row r="246">
      <c r="B246" s="63">
        <f>IF($K246="","",238)</f>
        <v>238</v>
      </c>
      <c r="C246" s="63" t="str">
        <f>IF($K246="","",INDEX('Detalle individual'!$A:$A,$K246))</f>
        <v>901</v>
      </c>
      <c r="D246" s="64" t="str">
        <f>IF($K246="","",TRIM(INDEX('Detalle individual'!$B:$B,$K246)))</f>
        <v>CARLOS ALEJANDRO MARAVILLA MENDEZ</v>
      </c>
      <c r="E246" s="64" t="str">
        <f>IF($K246="","",TRIM(INDEX('Detalle individual'!$E:$E,$K246)))</f>
        <v>OPERADOR DE MONITOREO DE LOS SISTEMAS DE SEGURIDAD</v>
      </c>
      <c r="F246" s="64" t="str">
        <f>IF($K246="","",TRIM(INDEX('Detalle individual'!$C:$C,$K246)))</f>
        <v>DEPARTAMENTO DE SEGURIDAD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46296.45633101852</v>
      </c>
      <c r="J246" s="78">
        <f>IF($K246="","",IF(INDEX('Detalle individual'!$F:$F,$K246)="Completado",INDEX('Detalle individual'!$J:$J,$K246),""))</f>
        <v>100</v>
      </c>
      <c r="K246">
        <f>IFERROR(MOD(SMALL('Cálculos'!$Z$5:$Z$295,238),300),"")</f>
        <v>53</v>
      </c>
    </row>
    <row r="247">
      <c r="B247" s="63">
        <f>IF($K247="","",239)</f>
        <v>239</v>
      </c>
      <c r="C247" s="63" t="str">
        <f>IF($K247="","",INDEX('Detalle individual'!$A:$A,$K247))</f>
        <v>589</v>
      </c>
      <c r="D247" s="64" t="str">
        <f>IF($K247="","",TRIM(INDEX('Detalle individual'!$B:$B,$K247)))</f>
        <v>CLELIA LIZETH ORTIZ GALDAMEZ</v>
      </c>
      <c r="E247" s="64" t="str">
        <f>IF($K247="","",TRIM(INDEX('Detalle individual'!$E:$E,$K247)))</f>
        <v>AUXILIAR DE ADMINISTRACION DE SEGUROS</v>
      </c>
      <c r="F247" s="64" t="str">
        <f>IF($K247="","",TRIM(INDEX('Detalle individual'!$C:$C,$K247)))</f>
        <v>DEPARTAMENTO DE SEGUROS</v>
      </c>
      <c r="G247" s="64" t="str">
        <f>IF($K247="","",INDEX('Detalle individual'!$D:$D,$K247))</f>
        <v>Gerencia de Negocios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46301.68011574074</v>
      </c>
      <c r="J247" s="78">
        <f>IF($K247="","",IF(INDEX('Detalle individual'!$F:$F,$K247)="Completado",INDEX('Detalle individual'!$J:$J,$K247),""))</f>
        <v>90</v>
      </c>
      <c r="K247">
        <f>IFERROR(MOD(SMALL('Cálculos'!$Z$5:$Z$295,239),300),"")</f>
        <v>166</v>
      </c>
    </row>
    <row r="248">
      <c r="B248" s="63">
        <f>IF($K248="","",240)</f>
        <v>240</v>
      </c>
      <c r="C248" s="63" t="str">
        <f>IF($K248="","",INDEX('Detalle individual'!$A:$A,$K248))</f>
        <v>689</v>
      </c>
      <c r="D248" s="64" t="str">
        <f>IF($K248="","",TRIM(INDEX('Detalle individual'!$B:$B,$K248)))</f>
        <v>RAUL ERNESTO PALACIOS LANDAVERDE</v>
      </c>
      <c r="E248" s="64" t="str">
        <f>IF($K248="","",TRIM(INDEX('Detalle individual'!$E:$E,$K248)))</f>
        <v>TECNICO DEL SEGURO DE SALUD</v>
      </c>
      <c r="F248" s="64" t="str">
        <f>IF($K248="","",TRIM(INDEX('Detalle individual'!$C:$C,$K248)))</f>
        <v>DEPARTAMENTO DE SEGUROS</v>
      </c>
      <c r="G248" s="64" t="str">
        <f>IF($K248="","",INDEX('Detalle individual'!$D:$D,$K248))</f>
        <v>Gerencia de Negocios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46296.46570601852</v>
      </c>
      <c r="J248" s="78">
        <f>IF($K248="","",IF(INDEX('Detalle individual'!$F:$F,$K248)="Completado",INDEX('Detalle individual'!$J:$J,$K248),""))</f>
        <v>100</v>
      </c>
      <c r="K248">
        <f>IFERROR(MOD(SMALL('Cálculos'!$Z$5:$Z$295,240),300),"")</f>
        <v>169</v>
      </c>
    </row>
    <row r="249">
      <c r="B249" s="63">
        <f>IF($K249="","",241)</f>
        <v>241</v>
      </c>
      <c r="C249" s="63" t="str">
        <f>IF($K249="","",INDEX('Detalle individual'!$A:$A,$K249))</f>
        <v>793</v>
      </c>
      <c r="D249" s="64" t="str">
        <f>IF($K249="","",TRIM(INDEX('Detalle individual'!$B:$B,$K249)))</f>
        <v>KRIZIA BETSABE FLORES MARTINEZ</v>
      </c>
      <c r="E249" s="64" t="str">
        <f>IF($K249="","",TRIM(INDEX('Detalle individual'!$E:$E,$K249)))</f>
        <v>JEFE DE SEGUROS</v>
      </c>
      <c r="F249" s="64" t="str">
        <f>IF($K249="","",TRIM(INDEX('Detalle individual'!$C:$C,$K249)))</f>
        <v>DEPARTAMENTO DE SEGUROS</v>
      </c>
      <c r="G249" s="64" t="str">
        <f>IF($K249="","",INDEX('Detalle individual'!$D:$D,$K249))</f>
        <v>Gerencia de Negocios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46297.49109953704</v>
      </c>
      <c r="J249" s="78">
        <f>IF($K249="","",IF(INDEX('Detalle individual'!$F:$F,$K249)="Completado",INDEX('Detalle individual'!$J:$J,$K249),""))</f>
        <v>90</v>
      </c>
      <c r="K249">
        <f>IFERROR(MOD(SMALL('Cálculos'!$Z$5:$Z$295,241),300),"")</f>
        <v>171</v>
      </c>
    </row>
    <row r="250">
      <c r="B250" s="63">
        <f>IF($K250="","",242)</f>
        <v>242</v>
      </c>
      <c r="C250" s="63" t="str">
        <f>IF($K250="","",INDEX('Detalle individual'!$A:$A,$K250))</f>
        <v>869</v>
      </c>
      <c r="D250" s="64" t="str">
        <f>IF($K250="","",TRIM(INDEX('Detalle individual'!$B:$B,$K250)))</f>
        <v>JENNIFER BETSABE MARAVILLA MORENO</v>
      </c>
      <c r="E250" s="64" t="str">
        <f>IF($K250="","",TRIM(INDEX('Detalle individual'!$E:$E,$K250)))</f>
        <v>EJECUTIVO DE VENTA DE SEGUROS</v>
      </c>
      <c r="F250" s="64" t="str">
        <f>IF($K250="","",TRIM(INDEX('Detalle individual'!$C:$C,$K250)))</f>
        <v>DEPARTAMENTO DE SEGUROS</v>
      </c>
      <c r="G250" s="64" t="str">
        <f>IF($K250="","",INDEX('Detalle individual'!$D:$D,$K250))</f>
        <v>Gerencia de Negocios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46296.68630787037</v>
      </c>
      <c r="J250" s="78">
        <f>IF($K250="","",IF(INDEX('Detalle individual'!$F:$F,$K250)="Completado",INDEX('Detalle individual'!$J:$J,$K250),""))</f>
        <v>100</v>
      </c>
      <c r="K250">
        <f>IFERROR(MOD(SMALL('Cálculos'!$Z$5:$Z$295,242),300),"")</f>
        <v>174</v>
      </c>
    </row>
    <row r="251">
      <c r="B251" s="63">
        <f>IF($K251="","",243)</f>
        <v>243</v>
      </c>
      <c r="C251" s="63" t="str">
        <f>IF($K251="","",INDEX('Detalle individual'!$A:$A,$K251))</f>
        <v>894</v>
      </c>
      <c r="D251" s="64" t="str">
        <f>IF($K251="","",TRIM(INDEX('Detalle individual'!$B:$B,$K251)))</f>
        <v>HENRY OSWALDO PINEDA GARCIA</v>
      </c>
      <c r="E251" s="64" t="str">
        <f>IF($K251="","",TRIM(INDEX('Detalle individual'!$E:$E,$K251)))</f>
        <v>EJECUTIVO MOVIL DE SEGUROS</v>
      </c>
      <c r="F251" s="64" t="str">
        <f>IF($K251="","",TRIM(INDEX('Detalle individual'!$C:$C,$K251)))</f>
        <v>DEPARTAMENTO DE SEGUROS</v>
      </c>
      <c r="G251" s="64" t="str">
        <f>IF($K251="","",INDEX('Detalle individual'!$D:$D,$K251))</f>
        <v>Gerencia de Negocios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46296.431875</v>
      </c>
      <c r="J251" s="78">
        <f>IF($K251="","",IF(INDEX('Detalle individual'!$F:$F,$K251)="Completado",INDEX('Detalle individual'!$J:$J,$K251),""))</f>
        <v>100</v>
      </c>
      <c r="K251">
        <f>IFERROR(MOD(SMALL('Cálculos'!$Z$5:$Z$295,243),300),"")</f>
        <v>175</v>
      </c>
    </row>
    <row r="252">
      <c r="B252" s="63">
        <f>IF($K252="","",244)</f>
        <v>244</v>
      </c>
      <c r="C252" s="63" t="str">
        <f>IF($K252="","",INDEX('Detalle individual'!$A:$A,$K252))</f>
        <v>55</v>
      </c>
      <c r="D252" s="64" t="str">
        <f>IF($K252="","",TRIM(INDEX('Detalle individual'!$B:$B,$K252)))</f>
        <v>LEONEL EDGARDO SALAZAR RAMIREZ</v>
      </c>
      <c r="E252" s="64" t="str">
        <f>IF($K252="","",TRIM(INDEX('Detalle individual'!$E:$E,$K252)))</f>
        <v>MENSAJERO</v>
      </c>
      <c r="F252" s="64" t="str">
        <f>IF($K252="","",TRIM(INDEX('Detalle individual'!$C:$C,$K252)))</f>
        <v>DEPARTAMENTO DE SERVICIOS GENERALES</v>
      </c>
      <c r="G252" s="64" t="str">
        <f>IF($K252="","",INDEX('Detalle individual'!$D:$D,$K252))</f>
        <v>Gerencia Administrativa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46300.81421296296</v>
      </c>
      <c r="J252" s="78">
        <f>IF($K252="","",IF(INDEX('Detalle individual'!$F:$F,$K252)="Completado",INDEX('Detalle individual'!$J:$J,$K252),""))</f>
        <v>90</v>
      </c>
      <c r="K252">
        <f>IFERROR(MOD(SMALL('Cálculos'!$Z$5:$Z$295,244),300),"")</f>
        <v>26</v>
      </c>
    </row>
    <row r="253">
      <c r="B253" s="63">
        <f>IF($K253="","",245)</f>
        <v>245</v>
      </c>
      <c r="C253" s="63" t="str">
        <f>IF($K253="","",INDEX('Detalle individual'!$A:$A,$K253))</f>
        <v>222</v>
      </c>
      <c r="D253" s="64" t="str">
        <f>IF($K253="","",TRIM(INDEX('Detalle individual'!$B:$B,$K253)))</f>
        <v>MARIA GUADALUPE MARTINEZ MURCIA</v>
      </c>
      <c r="E253" s="64" t="str">
        <f>IF($K253="","",TRIM(INDEX('Detalle individual'!$E:$E,$K253)))</f>
        <v>AUXILIAR DE COMPRAS</v>
      </c>
      <c r="F253" s="64" t="str">
        <f>IF($K253="","",TRIM(INDEX('Detalle individual'!$C:$C,$K253)))</f>
        <v>DEPARTAMENTO DE SERVICIOS GENERALES</v>
      </c>
      <c r="G253" s="64" t="str">
        <f>IF($K253="","",INDEX('Detalle individual'!$D:$D,$K253))</f>
        <v>Gerencia Administrativa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46300.665671296294</v>
      </c>
      <c r="J253" s="78">
        <f>IF($K253="","",IF(INDEX('Detalle individual'!$F:$F,$K253)="Completado",INDEX('Detalle individual'!$J:$J,$K253),""))</f>
        <v>100</v>
      </c>
      <c r="K253">
        <f>IFERROR(MOD(SMALL('Cálculos'!$Z$5:$Z$295,245),300),"")</f>
        <v>27</v>
      </c>
    </row>
    <row r="254">
      <c r="B254" s="63">
        <f>IF($K254="","",246)</f>
        <v>246</v>
      </c>
      <c r="C254" s="63" t="str">
        <f>IF($K254="","",INDEX('Detalle individual'!$A:$A,$K254))</f>
        <v>224</v>
      </c>
      <c r="D254" s="64" t="str">
        <f>IF($K254="","",TRIM(INDEX('Detalle individual'!$B:$B,$K254)))</f>
        <v>JESUS REYES GUZMAN FUENTES</v>
      </c>
      <c r="E254" s="64" t="str">
        <f>IF($K254="","",TRIM(INDEX('Detalle individual'!$E:$E,$K254)))</f>
        <v>MENSAJERO</v>
      </c>
      <c r="F254" s="64" t="str">
        <f>IF($K254="","",TRIM(INDEX('Detalle individual'!$C:$C,$K254)))</f>
        <v>DEPARTAMENTO DE SERVICIOS GENERALES</v>
      </c>
      <c r="G254" s="64" t="str">
        <f>IF($K254="","",INDEX('Detalle individual'!$D:$D,$K254))</f>
        <v>Gerencia Administrativa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46297.84905092593</v>
      </c>
      <c r="J254" s="78">
        <f>IF($K254="","",IF(INDEX('Detalle individual'!$F:$F,$K254)="Completado",INDEX('Detalle individual'!$J:$J,$K254),""))</f>
        <v>80</v>
      </c>
      <c r="K254">
        <f>IFERROR(MOD(SMALL('Cálculos'!$Z$5:$Z$295,246),300),"")</f>
        <v>28</v>
      </c>
    </row>
    <row r="255">
      <c r="B255" s="63">
        <f>IF($K255="","",247)</f>
        <v>247</v>
      </c>
      <c r="C255" s="63" t="str">
        <f>IF($K255="","",INDEX('Detalle individual'!$A:$A,$K255))</f>
        <v>387</v>
      </c>
      <c r="D255" s="64" t="str">
        <f>IF($K255="","",TRIM(INDEX('Detalle individual'!$B:$B,$K255)))</f>
        <v>CELINA CECILIA ANZORA BERNAL</v>
      </c>
      <c r="E255" s="64" t="str">
        <f>IF($K255="","",TRIM(INDEX('Detalle individual'!$E:$E,$K255)))</f>
        <v>SERVICIOS VARIOS</v>
      </c>
      <c r="F255" s="64" t="str">
        <f>IF($K255="","",TRIM(INDEX('Detalle individual'!$C:$C,$K255)))</f>
        <v>DEPARTAMENTO DE SERVICIOS GENERALES</v>
      </c>
      <c r="G255" s="64" t="str">
        <f>IF($K255="","",INDEX('Detalle individual'!$D:$D,$K255))</f>
        <v>Gerencia Administrativa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46298.4184375</v>
      </c>
      <c r="J255" s="78">
        <f>IF($K255="","",IF(INDEX('Detalle individual'!$F:$F,$K255)="Completado",INDEX('Detalle individual'!$J:$J,$K255),""))</f>
        <v>90</v>
      </c>
      <c r="K255">
        <f>IFERROR(MOD(SMALL('Cálculos'!$Z$5:$Z$295,247),300),"")</f>
        <v>29</v>
      </c>
    </row>
    <row r="256">
      <c r="B256" s="63">
        <f>IF($K256="","",248)</f>
        <v>248</v>
      </c>
      <c r="C256" s="63" t="str">
        <f>IF($K256="","",INDEX('Detalle individual'!$A:$A,$K256))</f>
        <v>430</v>
      </c>
      <c r="D256" s="64" t="str">
        <f>IF($K256="","",TRIM(INDEX('Detalle individual'!$B:$B,$K256)))</f>
        <v>MARIO ROSALES VASQUEZ</v>
      </c>
      <c r="E256" s="64" t="str">
        <f>IF($K256="","",TRIM(INDEX('Detalle individual'!$E:$E,$K256)))</f>
        <v>MENSAJERO</v>
      </c>
      <c r="F256" s="64" t="str">
        <f>IF($K256="","",TRIM(INDEX('Detalle individual'!$C:$C,$K256)))</f>
        <v>DEPARTAMENTO DE SERVICIOS GENERALES</v>
      </c>
      <c r="G256" s="64" t="str">
        <f>IF($K256="","",INDEX('Detalle individual'!$D:$D,$K256))</f>
        <v>Gerencia Administrativa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46298.34488425926</v>
      </c>
      <c r="J256" s="78">
        <f>IF($K256="","",IF(INDEX('Detalle individual'!$F:$F,$K256)="Completado",INDEX('Detalle individual'!$J:$J,$K256),""))</f>
        <v>40</v>
      </c>
      <c r="K256">
        <f>IFERROR(MOD(SMALL('Cálculos'!$Z$5:$Z$295,248),300),"")</f>
        <v>30</v>
      </c>
    </row>
    <row r="257">
      <c r="B257" s="63">
        <f>IF($K257="","",249)</f>
        <v>249</v>
      </c>
      <c r="C257" s="63" t="str">
        <f>IF($K257="","",INDEX('Detalle individual'!$A:$A,$K257))</f>
        <v>522</v>
      </c>
      <c r="D257" s="64" t="str">
        <f>IF($K257="","",TRIM(INDEX('Detalle individual'!$B:$B,$K257)))</f>
        <v>MARGARITA GUADALUPE HENRIQUEZ ELIAS</v>
      </c>
      <c r="E257" s="64" t="str">
        <f>IF($K257="","",TRIM(INDEX('Detalle individual'!$E:$E,$K257)))</f>
        <v>SERVICIOS VARIOS</v>
      </c>
      <c r="F257" s="64" t="str">
        <f>IF($K257="","",TRIM(INDEX('Detalle individual'!$C:$C,$K257)))</f>
        <v>DEPARTAMENTO DE SERVICIOS GENERALES</v>
      </c>
      <c r="G257" s="64" t="str">
        <f>IF($K257="","",INDEX('Detalle individual'!$D:$D,$K257))</f>
        <v>Gerencia Administrativa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46297.85355324074</v>
      </c>
      <c r="J257" s="78">
        <f>IF($K257="","",IF(INDEX('Detalle individual'!$F:$F,$K257)="Completado",INDEX('Detalle individual'!$J:$J,$K257),""))</f>
        <v>85</v>
      </c>
      <c r="K257">
        <f>IFERROR(MOD(SMALL('Cálculos'!$Z$5:$Z$295,249),300),"")</f>
        <v>32</v>
      </c>
    </row>
    <row r="258">
      <c r="B258" s="63">
        <f>IF($K258="","",250)</f>
        <v>250</v>
      </c>
      <c r="C258" s="63" t="str">
        <f>IF($K258="","",INDEX('Detalle individual'!$A:$A,$K258))</f>
        <v>587</v>
      </c>
      <c r="D258" s="64" t="str">
        <f>IF($K258="","",TRIM(INDEX('Detalle individual'!$B:$B,$K258)))</f>
        <v>JOSE ROSALIO GARCIA SOTO</v>
      </c>
      <c r="E258" s="64" t="str">
        <f>IF($K258="","",TRIM(INDEX('Detalle individual'!$E:$E,$K258)))</f>
        <v>JARDINERO</v>
      </c>
      <c r="F258" s="64" t="str">
        <f>IF($K258="","",TRIM(INDEX('Detalle individual'!$C:$C,$K258)))</f>
        <v>DEPARTAMENTO DE SERVICIOS GENERALES</v>
      </c>
      <c r="G258" s="64" t="str">
        <f>IF($K258="","",INDEX('Detalle individual'!$D:$D,$K258))</f>
        <v>Gerencia Administrativa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46298.41559027778</v>
      </c>
      <c r="J258" s="78">
        <f>IF($K258="","",IF(INDEX('Detalle individual'!$F:$F,$K258)="Completado",INDEX('Detalle individual'!$J:$J,$K258),""))</f>
        <v>90</v>
      </c>
      <c r="K258">
        <f>IFERROR(MOD(SMALL('Cálculos'!$Z$5:$Z$295,250),300),"")</f>
        <v>33</v>
      </c>
    </row>
    <row r="259">
      <c r="B259" s="63">
        <f>IF($K259="","",251)</f>
        <v>251</v>
      </c>
      <c r="C259" s="63" t="str">
        <f>IF($K259="","",INDEX('Detalle individual'!$A:$A,$K259))</f>
        <v>599</v>
      </c>
      <c r="D259" s="64" t="str">
        <f>IF($K259="","",TRIM(INDEX('Detalle individual'!$B:$B,$K259)))</f>
        <v>MAIRA ELIZABETH PEREZ LEIVA</v>
      </c>
      <c r="E259" s="64" t="str">
        <f>IF($K259="","",TRIM(INDEX('Detalle individual'!$E:$E,$K259)))</f>
        <v>JEFE DE SERVICIOS GENERALES</v>
      </c>
      <c r="F259" s="64" t="str">
        <f>IF($K259="","",TRIM(INDEX('Detalle individual'!$C:$C,$K259)))</f>
        <v>DEPARTAMENTO DE SERVICIOS GENERALES</v>
      </c>
      <c r="G259" s="64" t="str">
        <f>IF($K259="","",INDEX('Detalle individual'!$D:$D,$K259))</f>
        <v>Gerencia Administrativa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46300.748703703706</v>
      </c>
      <c r="J259" s="78">
        <f>IF($K259="","",IF(INDEX('Detalle individual'!$F:$F,$K259)="Completado",INDEX('Detalle individual'!$J:$J,$K259),""))</f>
        <v>100</v>
      </c>
      <c r="K259">
        <f>IFERROR(MOD(SMALL('Cálculos'!$Z$5:$Z$295,251),300),"")</f>
        <v>34</v>
      </c>
    </row>
    <row r="260">
      <c r="B260" s="63">
        <f>IF($K260="","",252)</f>
        <v>252</v>
      </c>
      <c r="C260" s="63" t="str">
        <f>IF($K260="","",INDEX('Detalle individual'!$A:$A,$K260))</f>
        <v>684</v>
      </c>
      <c r="D260" s="64" t="str">
        <f>IF($K260="","",TRIM(INDEX('Detalle individual'!$B:$B,$K260)))</f>
        <v>ILIANA CAROLINA FLAMENCO FLORES</v>
      </c>
      <c r="E260" s="64" t="str">
        <f>IF($K260="","",TRIM(INDEX('Detalle individual'!$E:$E,$K260)))</f>
        <v>SERVICIOS VARIOS</v>
      </c>
      <c r="F260" s="64" t="str">
        <f>IF($K260="","",TRIM(INDEX('Detalle individual'!$C:$C,$K260)))</f>
        <v>DEPARTAMENTO DE SERVICIOS GENERALES</v>
      </c>
      <c r="G260" s="64" t="str">
        <f>IF($K260="","",INDEX('Detalle individual'!$D:$D,$K260))</f>
        <v>Gerencia Administrativa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46298.300208333334</v>
      </c>
      <c r="J260" s="78">
        <f>IF($K260="","",IF(INDEX('Detalle individual'!$F:$F,$K260)="Completado",INDEX('Detalle individual'!$J:$J,$K260),""))</f>
        <v>80</v>
      </c>
      <c r="K260">
        <f>IFERROR(MOD(SMALL('Cálculos'!$Z$5:$Z$295,252),300),"")</f>
        <v>35</v>
      </c>
    </row>
    <row r="261">
      <c r="B261" s="63">
        <f>IF($K261="","",253)</f>
        <v>253</v>
      </c>
      <c r="C261" s="63" t="str">
        <f>IF($K261="","",INDEX('Detalle individual'!$A:$A,$K261))</f>
        <v>803</v>
      </c>
      <c r="D261" s="64" t="str">
        <f>IF($K261="","",TRIM(INDEX('Detalle individual'!$B:$B,$K261)))</f>
        <v>CHRISTIAN GEORGE FIGUEROA BLANCO</v>
      </c>
      <c r="E261" s="64" t="str">
        <f>IF($K261="","",TRIM(INDEX('Detalle individual'!$E:$E,$K261)))</f>
        <v>MENSAJERO</v>
      </c>
      <c r="F261" s="64" t="str">
        <f>IF($K261="","",TRIM(INDEX('Detalle individual'!$C:$C,$K261)))</f>
        <v>DEPARTAMENTO DE SERVICIOS GENERALES</v>
      </c>
      <c r="G261" s="64" t="str">
        <f>IF($K261="","",INDEX('Detalle individual'!$D:$D,$K261))</f>
        <v>Gerencia Administrativa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46300.70883101852</v>
      </c>
      <c r="J261" s="78">
        <f>IF($K261="","",IF(INDEX('Detalle individual'!$F:$F,$K261)="Completado",INDEX('Detalle individual'!$J:$J,$K261),""))</f>
        <v>60</v>
      </c>
      <c r="K261">
        <f>IFERROR(MOD(SMALL('Cálculos'!$Z$5:$Z$295,253),300),"")</f>
        <v>36</v>
      </c>
    </row>
    <row r="262">
      <c r="B262" s="63">
        <f>IF($K262="","",254)</f>
        <v>254</v>
      </c>
      <c r="C262" s="63" t="str">
        <f>IF($K262="","",INDEX('Detalle individual'!$A:$A,$K262))</f>
        <v>830</v>
      </c>
      <c r="D262" s="64" t="str">
        <f>IF($K262="","",TRIM(INDEX('Detalle individual'!$B:$B,$K262)))</f>
        <v>GERMAN ALBERTO CAMPOS TORRES</v>
      </c>
      <c r="E262" s="64" t="str">
        <f>IF($K262="","",TRIM(INDEX('Detalle individual'!$E:$E,$K262)))</f>
        <v>TECNICO EN MANTENIMIENTO</v>
      </c>
      <c r="F262" s="64" t="str">
        <f>IF($K262="","",TRIM(INDEX('Detalle individual'!$C:$C,$K262)))</f>
        <v>DEPARTAMENTO DE SERVICIOS GENERALES</v>
      </c>
      <c r="G262" s="64" t="str">
        <f>IF($K262="","",INDEX('Detalle individual'!$D:$D,$K262))</f>
        <v>Gerencia Administrativa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46300.39962962963</v>
      </c>
      <c r="J262" s="78">
        <f>IF($K262="","",IF(INDEX('Detalle individual'!$F:$F,$K262)="Completado",INDEX('Detalle individual'!$J:$J,$K262),""))</f>
        <v>95</v>
      </c>
      <c r="K262">
        <f>IFERROR(MOD(SMALL('Cálculos'!$Z$5:$Z$295,254),300),"")</f>
        <v>37</v>
      </c>
    </row>
    <row r="263">
      <c r="B263" s="63">
        <f>IF($K263="","",255)</f>
        <v>255</v>
      </c>
      <c r="C263" s="63" t="str">
        <f>IF($K263="","",INDEX('Detalle individual'!$A:$A,$K263))</f>
        <v>852</v>
      </c>
      <c r="D263" s="64" t="str">
        <f>IF($K263="","",TRIM(INDEX('Detalle individual'!$B:$B,$K263)))</f>
        <v>JONATHAN ENRIQUE AQUINO SANCHEZ</v>
      </c>
      <c r="E263" s="64" t="str">
        <f>IF($K263="","",TRIM(INDEX('Detalle individual'!$E:$E,$K263)))</f>
        <v>SERVICIOS VARIOS</v>
      </c>
      <c r="F263" s="64" t="str">
        <f>IF($K263="","",TRIM(INDEX('Detalle individual'!$C:$C,$K263)))</f>
        <v>DEPARTAMENTO DE SERVICIOS GENERALES</v>
      </c>
      <c r="G263" s="64" t="str">
        <f>IF($K263="","",INDEX('Detalle individual'!$D:$D,$K263))</f>
        <v>Gerencia Administrativa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46300.53921296296</v>
      </c>
      <c r="J263" s="78">
        <f>IF($K263="","",IF(INDEX('Detalle individual'!$F:$F,$K263)="Completado",INDEX('Detalle individual'!$J:$J,$K263),""))</f>
        <v>90</v>
      </c>
      <c r="K263">
        <f>IFERROR(MOD(SMALL('Cálculos'!$Z$5:$Z$295,255),300),"")</f>
        <v>38</v>
      </c>
    </row>
    <row r="264">
      <c r="B264" s="63">
        <f>IF($K264="","",256)</f>
        <v>256</v>
      </c>
      <c r="C264" s="63" t="str">
        <f>IF($K264="","",INDEX('Detalle individual'!$A:$A,$K264))</f>
        <v>875</v>
      </c>
      <c r="D264" s="64" t="str">
        <f>IF($K264="","",TRIM(INDEX('Detalle individual'!$B:$B,$K264)))</f>
        <v>BELLY EMERSON RIVERA ASCENCIO</v>
      </c>
      <c r="E264" s="64" t="str">
        <f>IF($K264="","",TRIM(INDEX('Detalle individual'!$E:$E,$K264)))</f>
        <v>SERVICIOS VARIOS</v>
      </c>
      <c r="F264" s="64" t="str">
        <f>IF($K264="","",TRIM(INDEX('Detalle individual'!$C:$C,$K264)))</f>
        <v>DEPARTAMENTO DE SERVICIOS GENERALES</v>
      </c>
      <c r="G264" s="64" t="str">
        <f>IF($K264="","",INDEX('Detalle individual'!$D:$D,$K264))</f>
        <v>Gerencia Administrativa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46298.41583333333</v>
      </c>
      <c r="J264" s="78">
        <f>IF($K264="","",IF(INDEX('Detalle individual'!$F:$F,$K264)="Completado",INDEX('Detalle individual'!$J:$J,$K264),""))</f>
        <v>100</v>
      </c>
      <c r="K264">
        <f>IFERROR(MOD(SMALL('Cálculos'!$Z$5:$Z$295,256),300),"")</f>
        <v>39</v>
      </c>
    </row>
    <row r="265">
      <c r="B265" s="63">
        <f>IF($K265="","",257)</f>
        <v>257</v>
      </c>
      <c r="C265" s="63" t="str">
        <f>IF($K265="","",INDEX('Detalle individual'!$A:$A,$K265))</f>
        <v>926</v>
      </c>
      <c r="D265" s="64" t="str">
        <f>IF($K265="","",TRIM(INDEX('Detalle individual'!$B:$B,$K265)))</f>
        <v>ANDRES VLADIMIR LUNA GUEVARA</v>
      </c>
      <c r="E265" s="64" t="str">
        <f>IF($K265="","",TRIM(INDEX('Detalle individual'!$E:$E,$K265)))</f>
        <v>MENSAJERO</v>
      </c>
      <c r="F265" s="64" t="str">
        <f>IF($K265="","",TRIM(INDEX('Detalle individual'!$C:$C,$K265)))</f>
        <v>DEPARTAMENTO DE SERVICIOS GENERALES</v>
      </c>
      <c r="G265" s="64" t="str">
        <f>IF($K265="","",INDEX('Detalle individual'!$D:$D,$K265))</f>
        <v>Gerencia Administrativa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46300.60789351852</v>
      </c>
      <c r="J265" s="78">
        <f>IF($K265="","",IF(INDEX('Detalle individual'!$F:$F,$K265)="Completado",INDEX('Detalle individual'!$J:$J,$K265),""))</f>
        <v>90</v>
      </c>
      <c r="K265">
        <f>IFERROR(MOD(SMALL('Cálculos'!$Z$5:$Z$295,257),300),"")</f>
        <v>40</v>
      </c>
    </row>
    <row r="266">
      <c r="B266" s="63">
        <f>IF($K266="","",258)</f>
        <v>258</v>
      </c>
      <c r="C266" s="63" t="str">
        <f>IF($K266="","",INDEX('Detalle individual'!$A:$A,$K266))</f>
        <v>959</v>
      </c>
      <c r="D266" s="64" t="str">
        <f>IF($K266="","",TRIM(INDEX('Detalle individual'!$B:$B,$K266)))</f>
        <v>XIOMARA JEANNETTE ESCOBAR PORTILLO</v>
      </c>
      <c r="E266" s="64" t="str">
        <f>IF($K266="","",TRIM(INDEX('Detalle individual'!$E:$E,$K266)))</f>
        <v>SERVICIOS VARIOS</v>
      </c>
      <c r="F266" s="64" t="str">
        <f>IF($K266="","",TRIM(INDEX('Detalle individual'!$C:$C,$K266)))</f>
        <v>DEPARTAMENTO DE SERVICIOS GENERALES</v>
      </c>
      <c r="G266" s="64" t="str">
        <f>IF($K266="","",INDEX('Detalle individual'!$D:$D,$K266))</f>
        <v>Gerencia Administrativa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46297.78946759259</v>
      </c>
      <c r="J266" s="78">
        <f>IF($K266="","",IF(INDEX('Detalle individual'!$F:$F,$K266)="Completado",INDEX('Detalle individual'!$J:$J,$K266),""))</f>
        <v>90</v>
      </c>
      <c r="K266">
        <f>IFERROR(MOD(SMALL('Cálculos'!$Z$5:$Z$295,258),300),"")</f>
        <v>41</v>
      </c>
    </row>
    <row r="267">
      <c r="B267" s="63">
        <f>IF($K267="","",259)</f>
        <v>259</v>
      </c>
      <c r="C267" s="63" t="str">
        <f>IF($K267="","",INDEX('Detalle individual'!$A:$A,$K267))</f>
        <v>972</v>
      </c>
      <c r="D267" s="64" t="str">
        <f>IF($K267="","",TRIM(INDEX('Detalle individual'!$B:$B,$K267)))</f>
        <v>GEOVANNY GABRIEL RODRIGUEZ SOLORZANO</v>
      </c>
      <c r="E267" s="64" t="str">
        <f>IF($K267="","",TRIM(INDEX('Detalle individual'!$E:$E,$K267)))</f>
        <v>AUXILIAR DE ACTIVO FIJO Y ALMACEN</v>
      </c>
      <c r="F267" s="64" t="str">
        <f>IF($K267="","",TRIM(INDEX('Detalle individual'!$C:$C,$K267)))</f>
        <v>DEPARTAMENTO DE SERVICIOS GENERALES</v>
      </c>
      <c r="G267" s="64" t="str">
        <f>IF($K267="","",INDEX('Detalle individual'!$D:$D,$K267))</f>
        <v>Gerencia Administrativa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46304.520787037036</v>
      </c>
      <c r="J267" s="78">
        <f>IF($K267="","",IF(INDEX('Detalle individual'!$F:$F,$K267)="Completado",INDEX('Detalle individual'!$J:$J,$K267),""))</f>
        <v>90</v>
      </c>
      <c r="K267">
        <f>IFERROR(MOD(SMALL('Cálculos'!$Z$5:$Z$295,259),300),"")</f>
        <v>42</v>
      </c>
    </row>
    <row r="268">
      <c r="B268" s="63">
        <f>IF($K268="","",260)</f>
        <v>260</v>
      </c>
      <c r="C268" s="63" t="str">
        <f>IF($K268="","",INDEX('Detalle individual'!$A:$A,$K268))</f>
        <v>289</v>
      </c>
      <c r="D268" s="64" t="str">
        <f>IF($K268="","",TRIM(INDEX('Detalle individual'!$B:$B,$K268)))</f>
        <v>ANA SILVIA MARTINEZ RODRIGUEZ</v>
      </c>
      <c r="E268" s="64" t="str">
        <f>IF($K268="","",TRIM(INDEX('Detalle individual'!$E:$E,$K268)))</f>
        <v>EJECUTIVO DE SOLUCIONES FINANCIERAS</v>
      </c>
      <c r="F268" s="64" t="str">
        <f>IF($K268="","",TRIM(INDEX('Detalle individual'!$C:$C,$K268)))</f>
        <v>DEPARTAMENTO DE SOLUCIONES FINANCIERAS</v>
      </c>
      <c r="G268" s="64" t="str">
        <f>IF($K268="","",INDEX('Detalle individual'!$D:$D,$K268))</f>
        <v>Gerencia de Negocios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46305.41322916667</v>
      </c>
      <c r="J268" s="78">
        <f>IF($K268="","",IF(INDEX('Detalle individual'!$F:$F,$K268)="Completado",INDEX('Detalle individual'!$J:$J,$K268),""))</f>
        <v>100</v>
      </c>
      <c r="K268">
        <f>IFERROR(MOD(SMALL('Cálculos'!$Z$5:$Z$295,260),300),"")</f>
        <v>62</v>
      </c>
    </row>
    <row r="269">
      <c r="B269" s="63">
        <f>IF($K269="","",261)</f>
        <v>261</v>
      </c>
      <c r="C269" s="63" t="str">
        <f>IF($K269="","",INDEX('Detalle individual'!$A:$A,$K269))</f>
        <v>439</v>
      </c>
      <c r="D269" s="64" t="str">
        <f>IF($K269="","",TRIM(INDEX('Detalle individual'!$B:$B,$K269)))</f>
        <v>ILIANA DESIREE ALFARO</v>
      </c>
      <c r="E269" s="64" t="str">
        <f>IF($K269="","",TRIM(INDEX('Detalle individual'!$E:$E,$K269)))</f>
        <v>EJECUTIVO DE SOLUCIONES FINANCIERAS</v>
      </c>
      <c r="F269" s="64" t="str">
        <f>IF($K269="","",TRIM(INDEX('Detalle individual'!$C:$C,$K269)))</f>
        <v>DEPARTAMENTO DE SOLUCIONES FINANCIERAS</v>
      </c>
      <c r="G269" s="64" t="str">
        <f>IF($K269="","",INDEX('Detalle individual'!$D:$D,$K269))</f>
        <v>Gerencia de Negocios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46304.38547453703</v>
      </c>
      <c r="J269" s="78">
        <f>IF($K269="","",IF(INDEX('Detalle individual'!$F:$F,$K269)="Completado",INDEX('Detalle individual'!$J:$J,$K269),""))</f>
        <v>80</v>
      </c>
      <c r="K269">
        <f>IFERROR(MOD(SMALL('Cálculos'!$Z$5:$Z$295,261),300),"")</f>
        <v>64</v>
      </c>
    </row>
    <row r="270">
      <c r="B270" s="63">
        <f>IF($K270="","",262)</f>
        <v>262</v>
      </c>
      <c r="C270" s="63" t="str">
        <f>IF($K270="","",INDEX('Detalle individual'!$A:$A,$K270))</f>
        <v>472</v>
      </c>
      <c r="D270" s="64" t="str">
        <f>IF($K270="","",TRIM(INDEX('Detalle individual'!$B:$B,$K270)))</f>
        <v>CARLOS ROBERTO AGUILAR SANTOS</v>
      </c>
      <c r="E270" s="64" t="str">
        <f>IF($K270="","",TRIM(INDEX('Detalle individual'!$E:$E,$K270)))</f>
        <v>JEFE DE SOLUCIONES FINANCIERAS</v>
      </c>
      <c r="F270" s="64" t="str">
        <f>IF($K270="","",TRIM(INDEX('Detalle individual'!$C:$C,$K270)))</f>
        <v>DEPARTAMENTO DE SOLUCIONES FINANCIERAS</v>
      </c>
      <c r="G270" s="64" t="str">
        <f>IF($K270="","",INDEX('Detalle individual'!$D:$D,$K270))</f>
        <v>Gerencia de Negocios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46304.37534722222</v>
      </c>
      <c r="J270" s="78">
        <f>IF($K270="","",IF(INDEX('Detalle individual'!$F:$F,$K270)="Completado",INDEX('Detalle individual'!$J:$J,$K270),""))</f>
        <v>100</v>
      </c>
      <c r="K270">
        <f>IFERROR(MOD(SMALL('Cálculos'!$Z$5:$Z$295,262),300),"")</f>
        <v>65</v>
      </c>
    </row>
    <row r="271">
      <c r="B271" s="63">
        <f>IF($K271="","",263)</f>
        <v>263</v>
      </c>
      <c r="C271" s="63" t="str">
        <f>IF($K271="","",INDEX('Detalle individual'!$A:$A,$K271))</f>
        <v>948</v>
      </c>
      <c r="D271" s="64" t="str">
        <f>IF($K271="","",TRIM(INDEX('Detalle individual'!$B:$B,$K271)))</f>
        <v>NELSON KILDER QUIJADA ECHEVERRIA</v>
      </c>
      <c r="E271" s="64" t="str">
        <f>IF($K271="","",TRIM(INDEX('Detalle individual'!$E:$E,$K271)))</f>
        <v>ASISTENTE TECNICO DE TALENTO HUMANO</v>
      </c>
      <c r="F271" s="64" t="str">
        <f>IF($K271="","",TRIM(INDEX('Detalle individual'!$C:$C,$K271)))</f>
        <v>DEPARTAMENTO DE TALENTO HUMANO</v>
      </c>
      <c r="G271" s="64" t="str">
        <f>IF($K271="","",INDEX('Detalle individual'!$D:$D,$K271))</f>
        <v>Gerencia Administrativa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46304.406006944446</v>
      </c>
      <c r="J271" s="78">
        <f>IF($K271="","",IF(INDEX('Detalle individual'!$F:$F,$K271)="Completado",INDEX('Detalle individual'!$J:$J,$K271),""))</f>
        <v>100</v>
      </c>
      <c r="K271">
        <f>IFERROR(MOD(SMALL('Cálculos'!$Z$5:$Z$295,263),300),"")</f>
        <v>50</v>
      </c>
    </row>
    <row r="272">
      <c r="B272" s="63">
        <f>IF($K272="","",264)</f>
        <v>264</v>
      </c>
      <c r="C272" s="63" t="str">
        <f>IF($K272="","",INDEX('Detalle individual'!$A:$A,$K272))</f>
        <v>962</v>
      </c>
      <c r="D272" s="64" t="str">
        <f>IF($K272="","",TRIM(INDEX('Detalle individual'!$B:$B,$K272)))</f>
        <v>HELEN GLORIBEL PLATERO SANCHEZ</v>
      </c>
      <c r="E272" s="64" t="str">
        <f>IF($K272="","",TRIM(INDEX('Detalle individual'!$E:$E,$K272)))</f>
        <v>ANALISTA DE DESARROLLO ORGANIZACIONAL</v>
      </c>
      <c r="F272" s="64" t="str">
        <f>IF($K272="","",TRIM(INDEX('Detalle individual'!$C:$C,$K272)))</f>
        <v>DEPARTAMENTO DE TALENTO HUMANO</v>
      </c>
      <c r="G272" s="64" t="str">
        <f>IF($K272="","",INDEX('Detalle individual'!$D:$D,$K272))</f>
        <v>Gerencia Administrativa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46304.52142361111</v>
      </c>
      <c r="J272" s="78">
        <f>IF($K272="","",IF(INDEX('Detalle individual'!$F:$F,$K272)="Completado",INDEX('Detalle individual'!$J:$J,$K272),""))</f>
        <v>90</v>
      </c>
      <c r="K272">
        <f>IFERROR(MOD(SMALL('Cálculos'!$Z$5:$Z$295,264),300),"")</f>
        <v>51</v>
      </c>
    </row>
    <row r="273">
      <c r="B273" s="63">
        <f>IF($K273="","",265)</f>
        <v>265</v>
      </c>
      <c r="C273" s="63" t="str">
        <f>IF($K273="","",INDEX('Detalle individual'!$A:$A,$K273))</f>
        <v>459</v>
      </c>
      <c r="D273" s="64" t="str">
        <f>IF($K273="","",TRIM(INDEX('Detalle individual'!$B:$B,$K273)))</f>
        <v>LUIS ALEXANDER RAMIREZ MONTALVO</v>
      </c>
      <c r="E273" s="64" t="str">
        <f>IF($K273="","",TRIM(INDEX('Detalle individual'!$E:$E,$K273)))</f>
        <v>ASISTENTE TECNICO DE EMISION DE TARJETA</v>
      </c>
      <c r="F273" s="64" t="str">
        <f>IF($K273="","",TRIM(INDEX('Detalle individual'!$C:$C,$K273)))</f>
        <v>DEPARTAMENTO DE TARJETA DE CREDITO Y DEBITO</v>
      </c>
      <c r="G273" s="64" t="str">
        <f>IF($K273="","",INDEX('Detalle individual'!$D:$D,$K273))</f>
        <v>Gerencia de Operaciones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46304.57939814815</v>
      </c>
      <c r="J273" s="78">
        <f>IF($K273="","",IF(INDEX('Detalle individual'!$F:$F,$K273)="Completado",INDEX('Detalle individual'!$J:$J,$K273),""))</f>
        <v>95</v>
      </c>
      <c r="K273">
        <f>IFERROR(MOD(SMALL('Cálculos'!$Z$5:$Z$295,265),300),"")</f>
        <v>71</v>
      </c>
    </row>
    <row r="274">
      <c r="B274" s="63">
        <f>IF($K274="","",266)</f>
        <v>266</v>
      </c>
      <c r="C274" s="63" t="str">
        <f>IF($K274="","",INDEX('Detalle individual'!$A:$A,$K274))</f>
        <v>952</v>
      </c>
      <c r="D274" s="64" t="str">
        <f>IF($K274="","",TRIM(INDEX('Detalle individual'!$B:$B,$K274)))</f>
        <v>ANDREA CAROLINA RUMUALDO MARTINEZ</v>
      </c>
      <c r="E274" s="64" t="str">
        <f>IF($K274="","",TRIM(INDEX('Detalle individual'!$E:$E,$K274)))</f>
        <v>AUXILIAR DE CONTROL DE CALIDAD</v>
      </c>
      <c r="F274" s="64" t="str">
        <f>IF($K274="","",TRIM(INDEX('Detalle individual'!$C:$C,$K274)))</f>
        <v>DEPARTAMENTO DE TARJETA DE CREDITO Y DEBITO</v>
      </c>
      <c r="G274" s="64" t="str">
        <f>IF($K274="","",INDEX('Detalle individual'!$D:$D,$K274))</f>
        <v>Gerencia de Operaciones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46296.65724537037</v>
      </c>
      <c r="J274" s="78">
        <f>IF($K274="","",IF(INDEX('Detalle individual'!$F:$F,$K274)="Completado",INDEX('Detalle individual'!$J:$J,$K274),""))</f>
        <v>100</v>
      </c>
      <c r="K274">
        <f>IFERROR(MOD(SMALL('Cálculos'!$Z$5:$Z$295,266),300),"")</f>
        <v>73</v>
      </c>
    </row>
    <row r="275">
      <c r="B275" s="63">
        <f>IF($K275="","",267)</f>
        <v>267</v>
      </c>
      <c r="C275" s="63" t="str">
        <f>IF($K275="","",INDEX('Detalle individual'!$A:$A,$K275))</f>
        <v>980</v>
      </c>
      <c r="D275" s="64" t="str">
        <f>IF($K275="","",TRIM(INDEX('Detalle individual'!$B:$B,$K275)))</f>
        <v>FATIMA ELIZABETH LEMUS RODRIGUEZ</v>
      </c>
      <c r="E275" s="64" t="str">
        <f>IF($K275="","",TRIM(INDEX('Detalle individual'!$E:$E,$K275)))</f>
        <v>AUXILIAR DE EMISION DE TARJETA</v>
      </c>
      <c r="F275" s="64" t="str">
        <f>IF($K275="","",TRIM(INDEX('Detalle individual'!$C:$C,$K275)))</f>
        <v>DEPARTAMENTO DE TARJETA DE CREDITO Y DEBITO</v>
      </c>
      <c r="G275" s="64" t="str">
        <f>IF($K275="","",INDEX('Detalle individual'!$D:$D,$K275))</f>
        <v>Gerencia de Operaciones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46296.71346064815</v>
      </c>
      <c r="J275" s="78">
        <f>IF($K275="","",IF(INDEX('Detalle individual'!$F:$F,$K275)="Completado",INDEX('Detalle individual'!$J:$J,$K275),""))</f>
        <v>100</v>
      </c>
      <c r="K275">
        <f>IFERROR(MOD(SMALL('Cálculos'!$Z$5:$Z$295,267),300),"")</f>
        <v>74</v>
      </c>
    </row>
    <row r="276">
      <c r="B276" s="63">
        <f>IF($K276="","",268)</f>
        <v>268</v>
      </c>
      <c r="C276" s="63" t="str">
        <f>IF($K276="","",INDEX('Detalle individual'!$A:$A,$K276))</f>
        <v>893</v>
      </c>
      <c r="D276" s="64" t="str">
        <f>IF($K276="","",TRIM(INDEX('Detalle individual'!$B:$B,$K276)))</f>
        <v>ALEJANDRA MARIA GONZALEZ BENAVIDES</v>
      </c>
      <c r="E276" s="64" t="str">
        <f>IF($K276="","",TRIM(INDEX('Detalle individual'!$E:$E,$K276)))</f>
        <v>AUXILIAR JURIDICO JUDICIAL</v>
      </c>
      <c r="F276" s="64" t="str">
        <f>IF($K276="","",TRIM(INDEX('Detalle individual'!$C:$C,$K276)))</f>
        <v>DEPARTAMENTO LEGAL</v>
      </c>
      <c r="G276" s="64" t="str">
        <f>IF($K276="","",INDEX('Detalle individual'!$D:$D,$K276))</f>
        <v>Gerencia Legal y Cumplimiento Normativo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46304.703680555554</v>
      </c>
      <c r="J276" s="78">
        <f>IF($K276="","",IF(INDEX('Detalle individual'!$F:$F,$K276)="Completado",INDEX('Detalle individual'!$J:$J,$K276),""))</f>
        <v>100</v>
      </c>
      <c r="K276">
        <f>IFERROR(MOD(SMALL('Cálculos'!$Z$5:$Z$295,268),300),"")</f>
        <v>293</v>
      </c>
    </row>
    <row r="277">
      <c r="B277" s="63">
        <f>IF($K277="","",269)</f>
        <v>269</v>
      </c>
      <c r="C277" s="63" t="str">
        <f>IF($K277="","",INDEX('Detalle individual'!$A:$A,$K277))</f>
        <v>929</v>
      </c>
      <c r="D277" s="64" t="str">
        <f>IF($K277="","",TRIM(INDEX('Detalle individual'!$B:$B,$K277)))</f>
        <v>GABRIELA LOURDES AREVALO SANCHEZ</v>
      </c>
      <c r="E277" s="64" t="str">
        <f>IF($K277="","",TRIM(INDEX('Detalle individual'!$E:$E,$K277)))</f>
        <v>AUXILIAR JURIDICO DE CONTRATACION</v>
      </c>
      <c r="F277" s="64" t="str">
        <f>IF($K277="","",TRIM(INDEX('Detalle individual'!$C:$C,$K277)))</f>
        <v>DEPARTAMENTO LEGAL</v>
      </c>
      <c r="G277" s="64" t="str">
        <f>IF($K277="","",INDEX('Detalle individual'!$D:$D,$K277))</f>
        <v>Gerencia Legal y Cumplimiento Normativo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46300.628483796296</v>
      </c>
      <c r="J277" s="78">
        <f>IF($K277="","",IF(INDEX('Detalle individual'!$F:$F,$K277)="Completado",INDEX('Detalle individual'!$J:$J,$K277),""))</f>
        <v>90</v>
      </c>
      <c r="K277">
        <f>IFERROR(MOD(SMALL('Cálculos'!$Z$5:$Z$295,269),300),"")</f>
        <v>295</v>
      </c>
    </row>
    <row r="278">
      <c r="B278" s="63">
        <f>IF($K278="","",270)</f>
        <v>270</v>
      </c>
      <c r="C278" s="63" t="str">
        <f>IF($K278="","",INDEX('Detalle individual'!$A:$A,$K278))</f>
        <v>349</v>
      </c>
      <c r="D278" s="64" t="str">
        <f>IF($K278="","",TRIM(INDEX('Detalle individual'!$B:$B,$K278)))</f>
        <v>CARLA EUGENIA HERNANDEZ MENJIVAR</v>
      </c>
      <c r="E278" s="64" t="str">
        <f>IF($K278="","",TRIM(INDEX('Detalle individual'!$E:$E,$K278)))</f>
        <v>GERENTE ADMINISTRATIVA</v>
      </c>
      <c r="F278" s="64" t="str">
        <f>IF($K278="","",TRIM(INDEX('Detalle individual'!$C:$C,$K278)))</f>
        <v>GERENCIA ADMINISTRATIVA</v>
      </c>
      <c r="G278" s="64" t="str">
        <f>IF($K278="","",INDEX('Detalle individual'!$D:$D,$K278))</f>
        <v>Gerencia Administrativa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46297.63836805556</v>
      </c>
      <c r="J278" s="78">
        <f>IF($K278="","",IF(INDEX('Detalle individual'!$F:$F,$K278)="Completado",INDEX('Detalle individual'!$J:$J,$K278),""))</f>
        <v>100</v>
      </c>
      <c r="K278">
        <f>IFERROR(MOD(SMALL('Cálculos'!$Z$5:$Z$295,270),300),"")</f>
        <v>6</v>
      </c>
    </row>
    <row r="279">
      <c r="B279" s="63">
        <f>IF($K279="","",271)</f>
        <v>271</v>
      </c>
      <c r="C279" s="63" t="str">
        <f>IF($K279="","",INDEX('Detalle individual'!$A:$A,$K279))</f>
        <v>524</v>
      </c>
      <c r="D279" s="64" t="str">
        <f>IF($K279="","",TRIM(INDEX('Detalle individual'!$B:$B,$K279)))</f>
        <v>JOSE AUGUSTO DE LA O GALLEGOS</v>
      </c>
      <c r="E279" s="64" t="str">
        <f>IF($K279="","",TRIM(INDEX('Detalle individual'!$E:$E,$K279)))</f>
        <v>GERENTE DE FINANZAS Y PLANIFICACION</v>
      </c>
      <c r="F279" s="64" t="str">
        <f>IF($K279="","",TRIM(INDEX('Detalle individual'!$C:$C,$K279)))</f>
        <v>GERENCIA DE FINANZAS Y PLANIFICACIÓN</v>
      </c>
      <c r="G279" s="64" t="str">
        <f>IF($K279="","",INDEX('Detalle individual'!$D:$D,$K279))</f>
        <v>Gerencia de Finanzas y Planificación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46296.429560185185</v>
      </c>
      <c r="J279" s="78">
        <f>IF($K279="","",IF(INDEX('Detalle individual'!$F:$F,$K279)="Completado",INDEX('Detalle individual'!$J:$J,$K279),""))</f>
        <v>100</v>
      </c>
      <c r="K279">
        <f>IFERROR(MOD(SMALL('Cálculos'!$Z$5:$Z$295,271),300),"")</f>
        <v>8</v>
      </c>
    </row>
    <row r="280">
      <c r="B280" s="63">
        <f>IF($K280="","",272)</f>
        <v>272</v>
      </c>
      <c r="C280" s="63" t="str">
        <f>IF($K280="","",INDEX('Detalle individual'!$A:$A,$K280))</f>
        <v>583</v>
      </c>
      <c r="D280" s="64" t="str">
        <f>IF($K280="","",TRIM(INDEX('Detalle individual'!$B:$B,$K280)))</f>
        <v>HECTOR JOSE MENJIVAR SOMOZA</v>
      </c>
      <c r="E280" s="64" t="str">
        <f>IF($K280="","",TRIM(INDEX('Detalle individual'!$E:$E,$K280)))</f>
        <v>ANALISTA DE INTELIGENCIA DE NEGOCIOS</v>
      </c>
      <c r="F280" s="64" t="str">
        <f>IF($K280="","",TRIM(INDEX('Detalle individual'!$C:$C,$K280)))</f>
        <v>GERENCIA DE NEGOCIOS</v>
      </c>
      <c r="G280" s="64" t="str">
        <f>IF($K280="","",INDEX('Detalle individual'!$D:$D,$K280))</f>
        <v>Gerencia de Negocios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46296.48710648148</v>
      </c>
      <c r="J280" s="78">
        <f>IF($K280="","",IF(INDEX('Detalle individual'!$F:$F,$K280)="Completado",INDEX('Detalle individual'!$J:$J,$K280),""))</f>
        <v>100</v>
      </c>
      <c r="K280">
        <f>IFERROR(MOD(SMALL('Cálculos'!$Z$5:$Z$295,272),300),"")</f>
        <v>136</v>
      </c>
    </row>
    <row r="281">
      <c r="B281" s="63">
        <f>IF($K281="","",273)</f>
        <v>273</v>
      </c>
      <c r="C281" s="63" t="str">
        <f>IF($K281="","",INDEX('Detalle individual'!$A:$A,$K281))</f>
        <v>633</v>
      </c>
      <c r="D281" s="64" t="str">
        <f>IF($K281="","",TRIM(INDEX('Detalle individual'!$B:$B,$K281)))</f>
        <v>VICTOR ADONAY PEREZ CASTILLO</v>
      </c>
      <c r="E281" s="64" t="str">
        <f>IF($K281="","",TRIM(INDEX('Detalle individual'!$E:$E,$K281)))</f>
        <v>ASISTENTE PARA CANALES ELECTRONICOS Y OPERACIONES EN AGENCIA</v>
      </c>
      <c r="F281" s="64" t="str">
        <f>IF($K281="","",TRIM(INDEX('Detalle individual'!$C:$C,$K281)))</f>
        <v>GERENCIA DE NEGOCIOS</v>
      </c>
      <c r="G281" s="64" t="str">
        <f>IF($K281="","",INDEX('Detalle individual'!$D:$D,$K281))</f>
        <v>Gerencia de Negocios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46296.453680555554</v>
      </c>
      <c r="J281" s="78">
        <f>IF($K281="","",IF(INDEX('Detalle individual'!$F:$F,$K281)="Completado",INDEX('Detalle individual'!$J:$J,$K281),""))</f>
        <v>100</v>
      </c>
      <c r="K281">
        <f>IFERROR(MOD(SMALL('Cálculos'!$Z$5:$Z$295,273),300),"")</f>
        <v>137</v>
      </c>
    </row>
    <row r="282">
      <c r="B282" s="63">
        <f>IF($K282="","",274)</f>
        <v>274</v>
      </c>
      <c r="C282" s="63" t="str">
        <f>IF($K282="","",INDEX('Detalle individual'!$A:$A,$K282))</f>
        <v>782</v>
      </c>
      <c r="D282" s="64" t="str">
        <f>IF($K282="","",TRIM(INDEX('Detalle individual'!$B:$B,$K282)))</f>
        <v>WANDA ILIANA MORENO QUINTEROS</v>
      </c>
      <c r="E282" s="64" t="str">
        <f>IF($K282="","",TRIM(INDEX('Detalle individual'!$E:$E,$K282)))</f>
        <v>ADMINISTRADOR DE PLATAFORMAS Y TRANSFORMACION DIGITAL DE CRE</v>
      </c>
      <c r="F282" s="64" t="str">
        <f>IF($K282="","",TRIM(INDEX('Detalle individual'!$C:$C,$K282)))</f>
        <v>GERENCIA DE NEGOCIOS</v>
      </c>
      <c r="G282" s="64" t="str">
        <f>IF($K282="","",INDEX('Detalle individual'!$D:$D,$K282))</f>
        <v>Gerencia de Negocios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46301.440300925926</v>
      </c>
      <c r="J282" s="78">
        <f>IF($K282="","",IF(INDEX('Detalle individual'!$F:$F,$K282)="Completado",INDEX('Detalle individual'!$J:$J,$K282),""))</f>
        <v>100</v>
      </c>
      <c r="K282">
        <f>IFERROR(MOD(SMALL('Cálculos'!$Z$5:$Z$295,274),300),"")</f>
        <v>138</v>
      </c>
    </row>
    <row r="283">
      <c r="B283" s="63">
        <f>IF($K283="","",275)</f>
        <v>275</v>
      </c>
      <c r="C283" s="63" t="str">
        <f>IF($K283="","",INDEX('Detalle individual'!$A:$A,$K283))</f>
        <v>804</v>
      </c>
      <c r="D283" s="64" t="str">
        <f>IF($K283="","",TRIM(INDEX('Detalle individual'!$B:$B,$K283)))</f>
        <v>FERMIN ABIEL VIERA LINARES</v>
      </c>
      <c r="E283" s="64" t="str">
        <f>IF($K283="","",TRIM(INDEX('Detalle individual'!$E:$E,$K283)))</f>
        <v>ANALISTA DE CAMBIOS Y SEGURIDAD</v>
      </c>
      <c r="F283" s="64" t="str">
        <f>IF($K283="","",TRIM(INDEX('Detalle individual'!$C:$C,$K283)))</f>
        <v>GERENCIA DE SISTEMAS</v>
      </c>
      <c r="G283" s="64" t="str">
        <f>IF($K283="","",INDEX('Detalle individual'!$D:$D,$K283))</f>
        <v>Gerencia de Sistemas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46304.407905092594</v>
      </c>
      <c r="J283" s="78">
        <f>IF($K283="","",IF(INDEX('Detalle individual'!$F:$F,$K283)="Completado",INDEX('Detalle individual'!$J:$J,$K283),""))</f>
        <v>100</v>
      </c>
      <c r="K283">
        <f>IFERROR(MOD(SMALL('Cálculos'!$Z$5:$Z$295,275),300),"")</f>
        <v>102</v>
      </c>
    </row>
    <row r="284">
      <c r="B284" s="63">
        <f>IF($K284="","",276)</f>
        <v>276</v>
      </c>
      <c r="C284" s="63" t="str">
        <f>IF($K284="","",INDEX('Detalle individual'!$A:$A,$K284))</f>
        <v>883</v>
      </c>
      <c r="D284" s="64" t="str">
        <f>IF($K284="","",TRIM(INDEX('Detalle individual'!$B:$B,$K284)))</f>
        <v>ISMAEL HUMBERTO GUERRERO FLORES</v>
      </c>
      <c r="E284" s="64" t="str">
        <f>IF($K284="","",TRIM(INDEX('Detalle individual'!$E:$E,$K284)))</f>
        <v>ADMINISTRADOR DE SEGURIDAD INFORMATICA</v>
      </c>
      <c r="F284" s="64" t="str">
        <f>IF($K284="","",TRIM(INDEX('Detalle individual'!$C:$C,$K284)))</f>
        <v>GERENCIA DE SISTEMAS</v>
      </c>
      <c r="G284" s="64" t="str">
        <f>IF($K284="","",INDEX('Detalle individual'!$D:$D,$K284))</f>
        <v>Gerencia de Sistemas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46300.58474537037</v>
      </c>
      <c r="J284" s="78">
        <f>IF($K284="","",IF(INDEX('Detalle individual'!$F:$F,$K284)="Completado",INDEX('Detalle individual'!$J:$J,$K284),""))</f>
        <v>95</v>
      </c>
      <c r="K284">
        <f>IFERROR(MOD(SMALL('Cálculos'!$Z$5:$Z$295,276),300),"")</f>
        <v>103</v>
      </c>
    </row>
    <row r="285">
      <c r="B285" s="63">
        <f>IF($K285="","",277)</f>
        <v>277</v>
      </c>
      <c r="C285" s="63" t="str">
        <f>IF($K285="","",INDEX('Detalle individual'!$A:$A,$K285))</f>
        <v>17</v>
      </c>
      <c r="D285" s="64" t="str">
        <f>IF($K285="","",TRIM(INDEX('Detalle individual'!$B:$B,$K285)))</f>
        <v>ANTONIA SARAI BELTRAN CARBALLO</v>
      </c>
      <c r="E285" s="64" t="str">
        <f>IF($K285="","",TRIM(INDEX('Detalle individual'!$E:$E,$K285)))</f>
        <v>ASISTENTE ADMINISTRATIVO DE GERENCIA GENERAL</v>
      </c>
      <c r="F285" s="64" t="str">
        <f>IF($K285="","",TRIM(INDEX('Detalle individual'!$C:$C,$K285)))</f>
        <v>GERENCIA GENERAL</v>
      </c>
      <c r="G285" s="64" t="str">
        <f>IF($K285="","",INDEX('Detalle individual'!$D:$D,$K285))</f>
        <v>Gerencia General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46305.40980324074</v>
      </c>
      <c r="J285" s="78">
        <f>IF($K285="","",IF(INDEX('Detalle individual'!$F:$F,$K285)="Completado",INDEX('Detalle individual'!$J:$J,$K285),""))</f>
        <v>100</v>
      </c>
      <c r="K285">
        <f>IFERROR(MOD(SMALL('Cálculos'!$Z$5:$Z$295,277),300),"")</f>
        <v>13</v>
      </c>
    </row>
    <row r="286">
      <c r="B286" s="63">
        <f>IF($K286="","",278)</f>
        <v>278</v>
      </c>
      <c r="C286" s="63" t="str">
        <f>IF($K286="","",INDEX('Detalle individual'!$A:$A,$K286))</f>
        <v>570</v>
      </c>
      <c r="D286" s="64" t="str">
        <f>IF($K286="","",TRIM(INDEX('Detalle individual'!$B:$B,$K286)))</f>
        <v>ANDREA VICTORIA MAYORGA RODRIGUEZ</v>
      </c>
      <c r="E286" s="64" t="str">
        <f>IF($K286="","",TRIM(INDEX('Detalle individual'!$E:$E,$K286)))</f>
        <v>GERENTE LEGAL Y DE CUMPLIMIENTO NORMATIVO</v>
      </c>
      <c r="F286" s="64" t="str">
        <f>IF($K286="","",TRIM(INDEX('Detalle individual'!$C:$C,$K286)))</f>
        <v>GERENCIA LEGAL Y DE CUMPLIMIENTO NORMATIVO</v>
      </c>
      <c r="G286" s="64" t="str">
        <f>IF($K286="","",INDEX('Detalle individual'!$D:$D,$K286))</f>
        <v>Gerencia Legal y Cumplimiento Normativo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46304.69452546296</v>
      </c>
      <c r="J286" s="78">
        <f>IF($K286="","",IF(INDEX('Detalle individual'!$F:$F,$K286)="Completado",INDEX('Detalle individual'!$J:$J,$K286),""))</f>
        <v>100</v>
      </c>
      <c r="K286">
        <f>IFERROR(MOD(SMALL('Cálculos'!$Z$5:$Z$295,278),300),"")</f>
        <v>12</v>
      </c>
    </row>
    <row r="287">
      <c r="B287" s="63">
        <f>IF($K287="","",279)</f>
        <v>279</v>
      </c>
      <c r="C287" s="63" t="str">
        <f>IF($K287="","",INDEX('Detalle individual'!$A:$A,$K287))</f>
        <v>862</v>
      </c>
      <c r="D287" s="64" t="str">
        <f>IF($K287="","",TRIM(INDEX('Detalle individual'!$B:$B,$K287)))</f>
        <v>GEORGI ROBERTO CASTILLO CHACON</v>
      </c>
      <c r="E287" s="64" t="str">
        <f>IF($K287="","",TRIM(INDEX('Detalle individual'!$E:$E,$K287)))</f>
        <v>GERENTE DE OFICIALIA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46296.47738425926</v>
      </c>
      <c r="J287" s="78">
        <f>IF($K287="","",IF(INDEX('Detalle individual'!$F:$F,$K287)="Completado",INDEX('Detalle individual'!$J:$J,$K287),""))</f>
        <v>100</v>
      </c>
      <c r="K287">
        <f>IFERROR(MOD(SMALL('Cálculos'!$Z$5:$Z$295,279),300),"")</f>
        <v>10</v>
      </c>
    </row>
    <row r="288">
      <c r="B288" s="63">
        <f>IF($K288="","",280)</f>
        <v>280</v>
      </c>
      <c r="C288" s="63" t="str">
        <f>IF($K288="","",INDEX('Detalle individual'!$A:$A,$K288))</f>
        <v>443</v>
      </c>
      <c r="D288" s="64" t="str">
        <f>IF($K288="","",TRIM(INDEX('Detalle individual'!$B:$B,$K288)))</f>
        <v>JOSSELINE LIZBETH VENTURA RIVAS</v>
      </c>
      <c r="E288" s="64" t="str">
        <f>IF($K288="","",TRIM(INDEX('Detalle individual'!$E:$E,$K288)))</f>
        <v>ANALISTA DE CUMPLIMIENTO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46296.491481481484</v>
      </c>
      <c r="J288" s="78">
        <f>IF($K288="","",IF(INDEX('Detalle individual'!$F:$F,$K288)="Completado",INDEX('Detalle individual'!$J:$J,$K288),""))</f>
        <v>100</v>
      </c>
      <c r="K288">
        <f>IFERROR(MOD(SMALL('Cálculos'!$Z$5:$Z$295,280),300),"")</f>
        <v>130</v>
      </c>
    </row>
    <row r="289">
      <c r="B289" s="63">
        <f>IF($K289="","",281)</f>
        <v>281</v>
      </c>
      <c r="C289" s="63" t="str">
        <f>IF($K289="","",INDEX('Detalle individual'!$A:$A,$K289))</f>
        <v>860</v>
      </c>
      <c r="D289" s="64" t="str">
        <f>IF($K289="","",TRIM(INDEX('Detalle individual'!$B:$B,$K289)))</f>
        <v>JOHANNA LISSETH ROMERO RIVAS</v>
      </c>
      <c r="E289" s="64" t="str">
        <f>IF($K289="","",TRIM(INDEX('Detalle individual'!$E:$E,$K289)))</f>
        <v>ANALISTA DE OFICIALIA DE CUMPLIMIENTO Y OFICIAL DE CUMPLIMIE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46296.48637731482</v>
      </c>
      <c r="J289" s="78">
        <f>IF($K289="","",IF(INDEX('Detalle individual'!$F:$F,$K289)="Completado",INDEX('Detalle individual'!$J:$J,$K289),""))</f>
        <v>100</v>
      </c>
      <c r="K289">
        <f>IFERROR(MOD(SMALL('Cálculos'!$Z$5:$Z$295,281),300),"")</f>
        <v>131</v>
      </c>
    </row>
    <row r="290">
      <c r="B290" s="63">
        <f>IF($K290="","",282)</f>
        <v>282</v>
      </c>
      <c r="C290" s="63" t="str">
        <f>IF($K290="","",INDEX('Detalle individual'!$A:$A,$K290))</f>
        <v>914</v>
      </c>
      <c r="D290" s="64" t="str">
        <f>IF($K290="","",TRIM(INDEX('Detalle individual'!$B:$B,$K290)))</f>
        <v>FIDEL ISAIAS CASTELLON CALVIO</v>
      </c>
      <c r="E290" s="64" t="str">
        <f>IF($K290="","",TRIM(INDEX('Detalle individual'!$E:$E,$K290)))</f>
        <v>ADMINISTRADOR DE MONITOR PLUS Y ANALISTA DE CUMPLIMIENTO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46296.47803240741</v>
      </c>
      <c r="J290" s="78">
        <f>IF($K290="","",IF(INDEX('Detalle individual'!$F:$F,$K290)="Completado",INDEX('Detalle individual'!$J:$J,$K290),""))</f>
        <v>100</v>
      </c>
      <c r="K290">
        <f>IFERROR(MOD(SMALL('Cálculos'!$Z$5:$Z$295,282),300),"")</f>
        <v>132</v>
      </c>
    </row>
    <row r="291">
      <c r="B291" s="63">
        <f>IF($K291="","",283)</f>
        <v>283</v>
      </c>
      <c r="C291" s="63" t="str">
        <f>IF($K291="","",INDEX('Detalle individual'!$A:$A,$K291))</f>
        <v>983</v>
      </c>
      <c r="D291" s="64" t="str">
        <f>IF($K291="","",TRIM(INDEX('Detalle individual'!$B:$B,$K291)))</f>
        <v>LILIAN LISET MAGAÑA SANTOS</v>
      </c>
      <c r="E291" s="64" t="str">
        <f>IF($K291="","",TRIM(INDEX('Detalle individual'!$E:$E,$K291)))</f>
        <v>PASANTE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46296.49747685185</v>
      </c>
      <c r="J291" s="78">
        <f>IF($K291="","",IF(INDEX('Detalle individual'!$F:$F,$K291)="Completado",INDEX('Detalle individual'!$J:$J,$K291),""))</f>
        <v>100</v>
      </c>
      <c r="K291">
        <f>IFERROR(MOD(SMALL('Cálculos'!$Z$5:$Z$295,283),300),"")</f>
        <v>133</v>
      </c>
    </row>
    <row r="292">
      <c r="B292" s="63">
        <f>IF($K292="","",284)</f>
        <v>284</v>
      </c>
      <c r="C292" s="63" t="str">
        <f>IF($K292="","",INDEX('Detalle individual'!$A:$A,$K292))</f>
        <v>984</v>
      </c>
      <c r="D292" s="64" t="str">
        <f>IF($K292="","",TRIM(INDEX('Detalle individual'!$B:$B,$K292)))</f>
        <v>NICO EDUARDO CIUDAD REAL MOOIJ</v>
      </c>
      <c r="E292" s="64" t="str">
        <f>IF($K292="","",TRIM(INDEX('Detalle individual'!$E:$E,$K292)))</f>
        <v>PASANTE</v>
      </c>
      <c r="F292" s="64" t="str">
        <f>IF($K292="","",TRIM(INDEX('Detalle individual'!$C:$C,$K292)))</f>
        <v>OFICIALIA DE CUMPLIMIENTO</v>
      </c>
      <c r="G292" s="64" t="str">
        <f>IF($K292="","",INDEX('Detalle individual'!$D:$D,$K292))</f>
        <v>Gerencia de Oficialía de Cumplimiento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46296.48002314815</v>
      </c>
      <c r="J292" s="78">
        <f>IF($K292="","",IF(INDEX('Detalle individual'!$F:$F,$K292)="Completado",INDEX('Detalle individual'!$J:$J,$K292),""))</f>
        <v>100</v>
      </c>
      <c r="K292">
        <f>IFERROR(MOD(SMALL('Cálculos'!$Z$5:$Z$295,284),300),"")</f>
        <v>134</v>
      </c>
    </row>
    <row r="293">
      <c r="B293" s="63">
        <f>IF($K293="","",285)</f>
        <v>285</v>
      </c>
      <c r="C293" s="63" t="str">
        <f>IF($K293="","",INDEX('Detalle individual'!$A:$A,$K293))</f>
        <v>985</v>
      </c>
      <c r="D293" s="64" t="str">
        <f>IF($K293="","",TRIM(INDEX('Detalle individual'!$B:$B,$K293)))</f>
        <v>JORGE MATEO GUTIERREZ FLORES</v>
      </c>
      <c r="E293" s="64" t="str">
        <f>IF($K293="","",TRIM(INDEX('Detalle individual'!$E:$E,$K293)))</f>
        <v>PASANTE</v>
      </c>
      <c r="F293" s="64" t="str">
        <f>IF($K293="","",TRIM(INDEX('Detalle individual'!$C:$C,$K293)))</f>
        <v>OFICIALIA DE CUMPLIMIENTO</v>
      </c>
      <c r="G293" s="64" t="str">
        <f>IF($K293="","",INDEX('Detalle individual'!$D:$D,$K293))</f>
        <v>Gerencia de Oficialía de Cumplimiento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46296.4949537037</v>
      </c>
      <c r="J293" s="78">
        <f>IF($K293="","",IF(INDEX('Detalle individual'!$F:$F,$K293)="Completado",INDEX('Detalle individual'!$J:$J,$K293),""))</f>
        <v>100</v>
      </c>
      <c r="K293">
        <f>IFERROR(MOD(SMALL('Cálculos'!$Z$5:$Z$295,285),300),"")</f>
        <v>135</v>
      </c>
    </row>
    <row r="294">
      <c r="B294" s="63">
        <f>IF($K294="","",286)</f>
        <v>286</v>
      </c>
      <c r="C294" s="63" t="str">
        <f>IF($K294="","",INDEX('Detalle individual'!$A:$A,$K294))</f>
        <v>710</v>
      </c>
      <c r="D294" s="64" t="str">
        <f>IF($K294="","",TRIM(INDEX('Detalle individual'!$B:$B,$K294)))</f>
        <v>MARIA AZUCENA BONILLA RIVERA</v>
      </c>
      <c r="E294" s="64" t="str">
        <f>IF($K294="","",TRIM(INDEX('Detalle individual'!$E:$E,$K294)))</f>
        <v>OFICIAL DE SEGURIDAD DE LA INFORMACION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46296.448969907404</v>
      </c>
      <c r="J294" s="78">
        <f>IF($K294="","",IF(INDEX('Detalle individual'!$F:$F,$K294)="Completado",INDEX('Detalle individual'!$J:$J,$K294),""))</f>
        <v>100</v>
      </c>
      <c r="K294">
        <f>IFERROR(MOD(SMALL('Cálculos'!$Z$5:$Z$295,286),300),"")</f>
        <v>21</v>
      </c>
    </row>
    <row r="295">
      <c r="B295" s="63">
        <f>IF($K295="","",287)</f>
        <v>287</v>
      </c>
      <c r="C295" s="63" t="str">
        <f>IF($K295="","",INDEX('Detalle individual'!$A:$A,$K295))</f>
        <v>907</v>
      </c>
      <c r="D295" s="64" t="str">
        <f>IF($K295="","",TRIM(INDEX('Detalle individual'!$B:$B,$K295)))</f>
        <v>JENNIFER GEORGINA ALVARADO HERNANDEZ</v>
      </c>
      <c r="E295" s="64" t="str">
        <f>IF($K295="","",TRIM(INDEX('Detalle individual'!$E:$E,$K295)))</f>
        <v>ANALISTA DE MONITOREO DEL FRAUDE DIGITAL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46296.44850694444</v>
      </c>
      <c r="J295" s="78">
        <f>IF($K295="","",IF(INDEX('Detalle individual'!$F:$F,$K295)="Completado",INDEX('Detalle individual'!$J:$J,$K295),""))</f>
        <v>85</v>
      </c>
      <c r="K295">
        <f>IFERROR(MOD(SMALL('Cálculos'!$Z$5:$Z$295,287),300),"")</f>
        <v>22</v>
      </c>
    </row>
    <row r="296">
      <c r="B296" s="63">
        <f>IF($K296="","",288)</f>
        <v>288</v>
      </c>
      <c r="C296" s="63" t="str">
        <f>IF($K296="","",INDEX('Detalle individual'!$A:$A,$K296))</f>
        <v>918</v>
      </c>
      <c r="D296" s="64" t="str">
        <f>IF($K296="","",TRIM(INDEX('Detalle individual'!$B:$B,$K296)))</f>
        <v>MARVIN ALONSO FRANCO RAMIREZ</v>
      </c>
      <c r="E296" s="64" t="str">
        <f>IF($K296="","",TRIM(INDEX('Detalle individual'!$E:$E,$K296)))</f>
        <v>ANALISTA DE SEGURIDAD DE LA INFORMACION</v>
      </c>
      <c r="F296" s="64" t="str">
        <f>IF($K296="","",TRIM(INDEX('Detalle individual'!$C:$C,$K296)))</f>
        <v>OFICIALIA DE SEGURIDAD DE LA INFORMACION</v>
      </c>
      <c r="G296" s="64" t="str">
        <f>IF($K296="","",INDEX('Detalle individual'!$D:$D,$K296))</f>
        <v>Gerencia General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46296.44851851852</v>
      </c>
      <c r="J296" s="78">
        <f>IF($K296="","",IF(INDEX('Detalle individual'!$F:$F,$K296)="Completado",INDEX('Detalle individual'!$J:$J,$K296),""))</f>
        <v>100</v>
      </c>
      <c r="K296">
        <f>IFERROR(MOD(SMALL('Cálculos'!$Z$5:$Z$295,288),300),"")</f>
        <v>23</v>
      </c>
    </row>
    <row r="297">
      <c r="B297" s="63">
        <f>IF($K297="","",289)</f>
        <v>289</v>
      </c>
      <c r="C297" s="63" t="str">
        <f>IF($K297="","",INDEX('Detalle individual'!$A:$A,$K297))</f>
        <v>950</v>
      </c>
      <c r="D297" s="64" t="str">
        <f>IF($K297="","",TRIM(INDEX('Detalle individual'!$B:$B,$K297)))</f>
        <v>VALERIA MICHELLE QUINTANILLA FLORES</v>
      </c>
      <c r="E297" s="64" t="str">
        <f>IF($K297="","",TRIM(INDEX('Detalle individual'!$E:$E,$K297)))</f>
        <v>ANALISTA TECNICO DE PROTECCION DE DATOS</v>
      </c>
      <c r="F297" s="64" t="str">
        <f>IF($K297="","",TRIM(INDEX('Detalle individual'!$C:$C,$K297)))</f>
        <v>OFICIALIA DE SEGURIDAD DE LA INFORMACION</v>
      </c>
      <c r="G297" s="64" t="str">
        <f>IF($K297="","",INDEX('Detalle individual'!$D:$D,$K297))</f>
        <v>Gerencia General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46296.44909722222</v>
      </c>
      <c r="J297" s="78">
        <f>IF($K297="","",IF(INDEX('Detalle individual'!$F:$F,$K297)="Completado",INDEX('Detalle individual'!$J:$J,$K297),""))</f>
        <v>100</v>
      </c>
      <c r="K297">
        <f>IFERROR(MOD(SMALL('Cálculos'!$Z$5:$Z$295,289),300),"")</f>
        <v>24</v>
      </c>
    </row>
    <row r="298">
      <c r="B298" s="63">
        <f>IF($K298="","",290)</f>
        <v>290</v>
      </c>
      <c r="C298" s="63" t="str">
        <f>IF($K298="","",INDEX('Detalle individual'!$A:$A,$K298))</f>
        <v>215</v>
      </c>
      <c r="D298" s="64" t="str">
        <f>IF($K298="","",TRIM(INDEX('Detalle individual'!$B:$B,$K298)))</f>
        <v>LUIS MARCELO CRUZ VIGIL</v>
      </c>
      <c r="E298" s="64" t="str">
        <f>IF($K298="","",TRIM(INDEX('Detalle individual'!$E:$E,$K298)))</f>
        <v>SUB GERENTE DE CANALES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46300.41096064815</v>
      </c>
      <c r="J298" s="78">
        <f>IF($K298="","",IF(INDEX('Detalle individual'!$F:$F,$K298)="Completado",INDEX('Detalle individual'!$J:$J,$K298),""))</f>
        <v>100</v>
      </c>
      <c r="K298">
        <f>IFERROR(MOD(SMALL('Cálculos'!$Z$5:$Z$295,290),300),"")</f>
        <v>184</v>
      </c>
    </row>
    <row r="299">
      <c r="B299" s="63">
        <f>IF($K299="","",291)</f>
        <v>291</v>
      </c>
      <c r="C299" s="63" t="str">
        <f>IF($K299="","",INDEX('Detalle individual'!$A:$A,$K299))</f>
        <v>585</v>
      </c>
      <c r="D299" s="64" t="str">
        <f>IF($K299="","",TRIM(INDEX('Detalle individual'!$B:$B,$K299)))</f>
        <v>NANCY ROCIO MENJIVAR RIVAS</v>
      </c>
      <c r="E299" s="64" t="str">
        <f>IF($K299="","",TRIM(INDEX('Detalle individual'!$E:$E,$K299)))</f>
        <v>EJECUTIVO MOVIL DE SEGUROS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46302.479097222225</v>
      </c>
      <c r="J299" s="78">
        <f>IF($K299="","",IF(INDEX('Detalle individual'!$F:$F,$K299)="Completado",INDEX('Detalle individual'!$J:$J,$K299),""))</f>
        <v>100</v>
      </c>
      <c r="K299">
        <f>IFERROR(MOD(SMALL('Cálculos'!$Z$5:$Z$295,291),300),"")</f>
        <v>186</v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299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299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0" showErrorMessage="0" allowBlank="0" errorTitle="Valor no válido" error="Seleccione un valor de la lista." promptTitle="Gerencia" prompt="Haga clic en la flecha para elegir." type="list">
      <formula1>'Cálculos'!$V$5:$V$14</formula1>
    </dataValidation>
    <dataValidation sqref="D5" showDropDown="0" showInputMessage="0" showErrorMessage="0" allowBlank="0" errorTitle="Valor no válido" error="Seleccione un valor de la lista." promptTitle="Departamento" prompt="Haga clic en la flecha para elegir." type="list">
      <formula1>'Cálculos'!$W$5:$W$48</formula1>
    </dataValidation>
    <dataValidation sqref="D6" showDropDown="0" showInputMessage="0" showErrorMessage="0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1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MAURICIO ANTONIO RAMIREZ PEREZ </t>
        </is>
      </c>
      <c r="B7" s="4" t="inlineStr">
        <is>
          <t>436</t>
        </is>
      </c>
      <c r="C7" s="5" t="inlineStr">
        <is>
          <t>AUXILIAR DE MANTENIMIENTO</t>
        </is>
      </c>
      <c r="D7" s="5" t="inlineStr">
        <is>
          <t>DEPARTAMENTO DE SERVICIOS GENERALES</t>
        </is>
      </c>
      <c r="E7" s="5" t="inlineStr">
        <is>
          <t>Gerencia Administrativa</t>
        </is>
      </c>
    </row>
    <row r="8">
      <c r="A8" s="5" t="inlineStr">
        <is>
          <t xml:space="preserve">DORA ALICIA CASTILLO </t>
        </is>
      </c>
      <c r="B8" s="4" t="inlineStr">
        <is>
          <t>65</t>
        </is>
      </c>
      <c r="C8" s="5" t="inlineStr">
        <is>
          <t>JEFE DE TALENTO HUMANO</t>
        </is>
      </c>
      <c r="D8" s="5" t="inlineStr">
        <is>
          <t>DEPARTAMENTO DE TALENTO HUMANO</t>
        </is>
      </c>
      <c r="E8" s="5" t="inlineStr">
        <is>
          <t>Gerencia Administrativa</t>
        </is>
      </c>
    </row>
    <row r="9">
      <c r="A9" s="5" t="inlineStr">
        <is>
          <t>MARTA LILLIAN VIGIL QUIJANO</t>
        </is>
      </c>
      <c r="B9" s="4" t="inlineStr">
        <is>
          <t>45</t>
        </is>
      </c>
      <c r="C9" s="5" t="inlineStr">
        <is>
          <t>ASISTENTE ADMINISTRATIVO DE GERENCIA  ADMINISTRATIVA</t>
        </is>
      </c>
      <c r="D9" s="5" t="inlineStr">
        <is>
          <t>GERENCIA  ADMINISTRATIVA</t>
        </is>
      </c>
      <c r="E9" s="5" t="inlineStr">
        <is>
          <t>Gerencia Administrativa</t>
        </is>
      </c>
    </row>
    <row r="10">
      <c r="A10" s="5" t="inlineStr">
        <is>
          <t xml:space="preserve">NELSON ULISES CAMPOS FLORES </t>
        </is>
      </c>
      <c r="B10" s="4" t="inlineStr">
        <is>
          <t>977</t>
        </is>
      </c>
      <c r="C10" s="5" t="inlineStr">
        <is>
          <t>GERENTE GENERAL</t>
        </is>
      </c>
      <c r="D10" s="5" t="inlineStr">
        <is>
          <t>GERENCIA GENERAL</t>
        </is>
      </c>
      <c r="E10" s="5" t="inlineStr">
        <is>
          <t>Gerencia General</t>
        </is>
      </c>
    </row>
    <row r="11">
      <c r="A11" s="5" t="inlineStr">
        <is>
          <t xml:space="preserve">ANDREA RAQUEL MONTOYA ALARCON </t>
        </is>
      </c>
      <c r="B11" s="4" t="inlineStr">
        <is>
          <t>814</t>
        </is>
      </c>
      <c r="C11" s="5" t="inlineStr">
        <is>
          <t>AUXILIAR JURIDICO DE ESCRITURACION</t>
        </is>
      </c>
      <c r="D11" s="5" t="inlineStr">
        <is>
          <t>DEPARTAMENTO LEGAL</t>
        </is>
      </c>
      <c r="E11" s="5" t="inlineStr">
        <is>
          <t>Gerencia Legal y Cumplimiento Normativo</t>
        </is>
      </c>
    </row>
    <row r="12">
      <c r="A12" s="5" t="inlineStr">
        <is>
          <t xml:space="preserve">CARLOS RENE CASTILLO GAMEZ </t>
        </is>
      </c>
      <c r="B12" s="4" t="inlineStr">
        <is>
          <t>592</t>
        </is>
      </c>
      <c r="C12" s="5" t="inlineStr">
        <is>
          <t>ASISTENTE TECNICO LEGAL</t>
        </is>
      </c>
      <c r="D12" s="5" t="inlineStr">
        <is>
          <t>DEPARTAMENTO LEGAL</t>
        </is>
      </c>
      <c r="E12" s="5" t="inlineStr">
        <is>
          <t>Gerencia Legal y Cumplimiento Normativo</t>
        </is>
      </c>
    </row>
    <row r="13">
      <c r="A13" s="5" t="inlineStr">
        <is>
          <t xml:space="preserve">CHRISTIAN ENRIQUE CAMPOS PRIVADO </t>
        </is>
      </c>
      <c r="B13" s="4" t="inlineStr">
        <is>
          <t>905</t>
        </is>
      </c>
      <c r="C13" s="5" t="inlineStr">
        <is>
          <t>ASISTENTE TECNICO LEGAL</t>
        </is>
      </c>
      <c r="D13" s="5" t="inlineStr">
        <is>
          <t>DEPARTAMENTO LEGAL</t>
        </is>
      </c>
      <c r="E13" s="5" t="inlineStr">
        <is>
          <t>Gerencia Legal y Cumplimiento Normativo</t>
        </is>
      </c>
    </row>
    <row r="14">
      <c r="A14" s="5" t="inlineStr">
        <is>
          <t xml:space="preserve">DANIELA MARIA FUENTES MEDINA </t>
        </is>
      </c>
      <c r="B14" s="4" t="inlineStr">
        <is>
          <t>843</t>
        </is>
      </c>
      <c r="C14" s="5" t="inlineStr">
        <is>
          <t>AUXILIAR JURIDICO DE CONTRATACION</t>
        </is>
      </c>
      <c r="D14" s="5" t="inlineStr">
        <is>
          <t>DEPARTAMENTO LEGAL</t>
        </is>
      </c>
      <c r="E14" s="5" t="inlineStr">
        <is>
          <t>Gerencia Legal y Cumplimiento Normativo</t>
        </is>
      </c>
    </row>
    <row r="15">
      <c r="A15" s="5" t="inlineStr">
        <is>
          <t xml:space="preserve">JUAN JOSE CAÑAS COMAYAGUA </t>
        </is>
      </c>
      <c r="B15" s="4" t="inlineStr">
        <is>
          <t>442</t>
        </is>
      </c>
      <c r="C15" s="5" t="inlineStr">
        <is>
          <t>JEFE DE DEPARTAMENTO LEGAL</t>
        </is>
      </c>
      <c r="D15" s="5" t="inlineStr">
        <is>
          <t>DEPARTAMENTO LEGAL</t>
        </is>
      </c>
      <c r="E15" s="5" t="inlineStr">
        <is>
          <t>Gerencia Legal y Cumplimiento Normativo</t>
        </is>
      </c>
    </row>
    <row r="16">
      <c r="A16" s="5" t="inlineStr">
        <is>
          <t xml:space="preserve">NICOLLE ALEXANDRA MARINERO GALLARDO </t>
        </is>
      </c>
      <c r="B16" s="4" t="inlineStr">
        <is>
          <t>831</t>
        </is>
      </c>
      <c r="C16" s="5" t="inlineStr">
        <is>
          <t>AUXILIAR JURIDICO NOTARIAL</t>
        </is>
      </c>
      <c r="D16" s="5" t="inlineStr">
        <is>
          <t>DEPARTAMENTO LEGAL</t>
        </is>
      </c>
      <c r="E16" s="5" t="inlineStr">
        <is>
          <t>Gerencia Legal y Cumplimiento Normativo</t>
        </is>
      </c>
    </row>
    <row r="17">
      <c r="A17" s="5" t="inlineStr">
        <is>
          <t xml:space="preserve">CLAUDIA MARLENE CABRERA SANCHEZ </t>
        </is>
      </c>
      <c r="B17" s="4" t="inlineStr">
        <is>
          <t>235</t>
        </is>
      </c>
      <c r="C17" s="5" t="inlineStr">
        <is>
          <t>SUPERVISOR DE CONTABILIDAD</t>
        </is>
      </c>
      <c r="D17" s="5" t="inlineStr">
        <is>
          <t>DEPARTAMENTO DE CONTABILIDAD</t>
        </is>
      </c>
      <c r="E17" s="5" t="inlineStr">
        <is>
          <t>Gerencia de Finanzas y Planificación</t>
        </is>
      </c>
    </row>
    <row r="18">
      <c r="A18" s="5" t="inlineStr">
        <is>
          <t>JENNIFER MARCELA MORALES  TORRES</t>
        </is>
      </c>
      <c r="B18" s="4" t="inlineStr">
        <is>
          <t>749</t>
        </is>
      </c>
      <c r="C18" s="5" t="inlineStr">
        <is>
          <t>CONTADOR BANCARIO</t>
        </is>
      </c>
      <c r="D18" s="5" t="inlineStr">
        <is>
          <t>DEPARTAMENTO DE CONTABILIDAD</t>
        </is>
      </c>
      <c r="E18" s="5" t="inlineStr">
        <is>
          <t>Gerencia de Finanzas y Planificación</t>
        </is>
      </c>
    </row>
    <row r="19">
      <c r="A19" s="5" t="inlineStr">
        <is>
          <t xml:space="preserve">JORDAN ALEXANDER FLORES HERRERA </t>
        </is>
      </c>
      <c r="B19" s="4" t="inlineStr">
        <is>
          <t>916</t>
        </is>
      </c>
      <c r="C19" s="5" t="inlineStr">
        <is>
          <t>AUXILIAR CONTABLE DE DIGITALIZACION</t>
        </is>
      </c>
      <c r="D19" s="5" t="inlineStr">
        <is>
          <t>DEPARTAMENTO DE CONTABILIDAD</t>
        </is>
      </c>
      <c r="E19" s="5" t="inlineStr">
        <is>
          <t>Gerencia de Finanzas y Planificación</t>
        </is>
      </c>
    </row>
    <row r="20">
      <c r="A20" s="5" t="inlineStr">
        <is>
          <t xml:space="preserve">MILAGRO TRINIDAD ROMERO MONTERROSA </t>
        </is>
      </c>
      <c r="B20" s="4" t="inlineStr">
        <is>
          <t>571</t>
        </is>
      </c>
      <c r="C20" s="5" t="inlineStr">
        <is>
          <t>ASISTENTE TECNICO DE IMPUESTOS</t>
        </is>
      </c>
      <c r="D20" s="5" t="inlineStr">
        <is>
          <t>DEPARTAMENTO DE CONTABILIDAD</t>
        </is>
      </c>
      <c r="E20" s="5" t="inlineStr">
        <is>
          <t>Gerencia de Finanzas y Planificación</t>
        </is>
      </c>
    </row>
    <row r="21">
      <c r="A21" s="5" t="inlineStr">
        <is>
          <t xml:space="preserve">RUBIA ESTELA LEIVA SIBRIAN </t>
        </is>
      </c>
      <c r="B21" s="4" t="inlineStr">
        <is>
          <t>70</t>
        </is>
      </c>
      <c r="C21" s="5" t="inlineStr">
        <is>
          <t>ASISTENTE TECNICO DE PAGOS</t>
        </is>
      </c>
      <c r="D21" s="5" t="inlineStr">
        <is>
          <t>DEPARTAMENTO DE CONTABILIDAD</t>
        </is>
      </c>
      <c r="E21" s="5" t="inlineStr">
        <is>
          <t>Gerencia de Finanzas y Planificación</t>
        </is>
      </c>
    </row>
    <row r="22">
      <c r="A22" s="5" t="inlineStr">
        <is>
          <t xml:space="preserve">THELMA JUDITH QUINTANILLA VALLE </t>
        </is>
      </c>
      <c r="B22" s="4" t="inlineStr">
        <is>
          <t>374</t>
        </is>
      </c>
      <c r="C22" s="5" t="inlineStr">
        <is>
          <t>AUXILIAR CONTABLE DE DIGITALIZACION</t>
        </is>
      </c>
      <c r="D22" s="5" t="inlineStr">
        <is>
          <t>DEPARTAMENTO DE CONTABILIDAD</t>
        </is>
      </c>
      <c r="E22" s="5" t="inlineStr">
        <is>
          <t>Gerencia de Finanzas y Planificación</t>
        </is>
      </c>
    </row>
    <row r="23">
      <c r="A23" s="5" t="inlineStr">
        <is>
          <t xml:space="preserve">EFRAIN ANTONIO  AYALA LOPEZ  </t>
        </is>
      </c>
      <c r="B23" s="4" t="inlineStr">
        <is>
          <t>946</t>
        </is>
      </c>
      <c r="C23" s="5" t="inlineStr">
        <is>
          <t>JEFE DE PLANIFICACION Y ANALISIS</t>
        </is>
      </c>
      <c r="D23" s="5" t="inlineStr">
        <is>
          <t>DEPARTAMENTO DE PLANIFICACIÓN Y ANALISIS</t>
        </is>
      </c>
      <c r="E23" s="5" t="inlineStr">
        <is>
          <t>Gerencia de Finanzas y Planificación</t>
        </is>
      </c>
    </row>
    <row r="24">
      <c r="A24" s="5" t="inlineStr">
        <is>
          <t xml:space="preserve">ESTER ALEYDA GODOY CAMPOS </t>
        </is>
      </c>
      <c r="B24" s="4" t="inlineStr">
        <is>
          <t>191</t>
        </is>
      </c>
      <c r="C24" s="5" t="inlineStr">
        <is>
          <t>ASISTENTE TECNICO DE PLANIFICACION</t>
        </is>
      </c>
      <c r="D24" s="5" t="inlineStr">
        <is>
          <t>DEPARTAMENTO DE PLANIFICACIÓN Y ANALISIS</t>
        </is>
      </c>
      <c r="E24" s="5" t="inlineStr">
        <is>
          <t>Gerencia de Finanzas y Planificación</t>
        </is>
      </c>
    </row>
    <row r="25">
      <c r="A25" s="5" t="inlineStr">
        <is>
          <t xml:space="preserve">RAFAEL ANDRES MARAVILLA GUERRA </t>
        </is>
      </c>
      <c r="B25" s="4" t="inlineStr">
        <is>
          <t>839</t>
        </is>
      </c>
      <c r="C25" s="5" t="inlineStr">
        <is>
          <t>ASISTENTE DE ANALISIS Y NORMATIVAS</t>
        </is>
      </c>
      <c r="D25" s="5" t="inlineStr">
        <is>
          <t>DEPARTAMENTO DE PLANIFICACIÓN Y ANALISIS</t>
        </is>
      </c>
      <c r="E25" s="5" t="inlineStr">
        <is>
          <t>Gerencia de Finanzas y Planificación</t>
        </is>
      </c>
    </row>
    <row r="26">
      <c r="A26" s="5" t="inlineStr">
        <is>
          <t xml:space="preserve">PAULA MARIA CALDERON PEREZ </t>
        </is>
      </c>
      <c r="B26" s="4" t="inlineStr">
        <is>
          <t>942</t>
        </is>
      </c>
      <c r="C26" s="5" t="inlineStr">
        <is>
          <t>ASISTENTE DE GERENCIA DE FINANZAS</t>
        </is>
      </c>
      <c r="D26" s="5" t="inlineStr">
        <is>
          <t>GERENCIA DE FINANZAS Y PLANIFICACIÓN</t>
        </is>
      </c>
      <c r="E26" s="5" t="inlineStr">
        <is>
          <t>Gerencia de Finanzas y Planificación</t>
        </is>
      </c>
    </row>
    <row r="27">
      <c r="A27" s="5" t="inlineStr">
        <is>
          <t xml:space="preserve">ANGELA GABRIELA  REYES MOLINA </t>
        </is>
      </c>
      <c r="B27" s="4" t="inlineStr">
        <is>
          <t>956</t>
        </is>
      </c>
      <c r="C27" s="5" t="inlineStr">
        <is>
          <t>CAJERO</t>
        </is>
      </c>
      <c r="D27" s="5" t="inlineStr">
        <is>
          <t xml:space="preserve">AGENCIA CENTRAL  </t>
        </is>
      </c>
      <c r="E27" s="5" t="inlineStr">
        <is>
          <t>Gerencia de Negocios</t>
        </is>
      </c>
    </row>
    <row r="28">
      <c r="A28" s="5" t="inlineStr">
        <is>
          <t xml:space="preserve">BLANCA ARACELY MORENO HERNANDEZ </t>
        </is>
      </c>
      <c r="B28" s="4" t="inlineStr">
        <is>
          <t>385</t>
        </is>
      </c>
      <c r="C28" s="5" t="inlineStr">
        <is>
          <t>AUXILIAR DE OPERACIONES Y ATENCION EN  AGENCIA</t>
        </is>
      </c>
      <c r="D28" s="5" t="inlineStr">
        <is>
          <t xml:space="preserve">AGENCIA CENTRAL  </t>
        </is>
      </c>
      <c r="E28" s="5" t="inlineStr">
        <is>
          <t>Gerencia de Negocios</t>
        </is>
      </c>
    </row>
    <row r="29">
      <c r="A29" s="5" t="inlineStr">
        <is>
          <t xml:space="preserve">CAROLINA ELIZABETH RAMIREZ PONCE </t>
        </is>
      </c>
      <c r="B29" s="4" t="inlineStr">
        <is>
          <t>33</t>
        </is>
      </c>
      <c r="C29" s="5" t="inlineStr">
        <is>
          <t>SUBJEFE DE  AGENCIA</t>
        </is>
      </c>
      <c r="D29" s="5" t="inlineStr">
        <is>
          <t xml:space="preserve">AGENCIA CENTRAL  </t>
        </is>
      </c>
      <c r="E29" s="5" t="inlineStr">
        <is>
          <t>Gerencia de Negocios</t>
        </is>
      </c>
    </row>
    <row r="30">
      <c r="A30" s="5" t="inlineStr">
        <is>
          <t xml:space="preserve">ELSY GUADALUPE COREA AGUILUZ </t>
        </is>
      </c>
      <c r="B30" s="4" t="inlineStr">
        <is>
          <t>253</t>
        </is>
      </c>
      <c r="C30" s="5" t="inlineStr">
        <is>
          <t>EJECUTIVO DE NEGOCIOS</t>
        </is>
      </c>
      <c r="D30" s="5" t="inlineStr">
        <is>
          <t xml:space="preserve">AGENCIA CENTRAL  </t>
        </is>
      </c>
      <c r="E30" s="5" t="inlineStr">
        <is>
          <t>Gerencia de Negocios</t>
        </is>
      </c>
    </row>
    <row r="31">
      <c r="A31" s="5" t="inlineStr">
        <is>
          <t xml:space="preserve">ESTHER ABIGAIL FLORES GRANDE </t>
        </is>
      </c>
      <c r="B31" s="4" t="inlineStr">
        <is>
          <t>857</t>
        </is>
      </c>
      <c r="C31" s="5" t="inlineStr">
        <is>
          <t>AUXILIAR DE OPERACIONES Y ATENCION EN  AGENCIA</t>
        </is>
      </c>
      <c r="D31" s="5" t="inlineStr">
        <is>
          <t xml:space="preserve">AGENCIA CENTRAL  </t>
        </is>
      </c>
      <c r="E31" s="5" t="inlineStr">
        <is>
          <t>Gerencia de Negocios</t>
        </is>
      </c>
    </row>
    <row r="32">
      <c r="A32" s="5" t="inlineStr">
        <is>
          <t>GRISELDA DEL CARMEN DOMINGUEZ MERINO</t>
        </is>
      </c>
      <c r="B32" s="4" t="inlineStr">
        <is>
          <t>49</t>
        </is>
      </c>
      <c r="C32" s="5" t="inlineStr">
        <is>
          <t>EJECUTIVO DE NEGOCIOS</t>
        </is>
      </c>
      <c r="D32" s="5" t="inlineStr">
        <is>
          <t xml:space="preserve">AGENCIA CENTRAL  </t>
        </is>
      </c>
      <c r="E32" s="5" t="inlineStr">
        <is>
          <t>Gerencia de Negocios</t>
        </is>
      </c>
    </row>
    <row r="33">
      <c r="A33" s="5" t="inlineStr">
        <is>
          <t xml:space="preserve">JAZMIN ABIGAIL VASQUEZ AVELAR </t>
        </is>
      </c>
      <c r="B33" s="4" t="inlineStr">
        <is>
          <t>848</t>
        </is>
      </c>
      <c r="C33" s="5" t="inlineStr">
        <is>
          <t>CAJERO</t>
        </is>
      </c>
      <c r="D33" s="5" t="inlineStr">
        <is>
          <t xml:space="preserve">AGENCIA CENTRAL  </t>
        </is>
      </c>
      <c r="E33" s="5" t="inlineStr">
        <is>
          <t>Gerencia de Negocios</t>
        </is>
      </c>
    </row>
    <row r="34">
      <c r="A34" s="5" t="inlineStr">
        <is>
          <t xml:space="preserve">JOHANA PATRICIA LUNA RAMOS </t>
        </is>
      </c>
      <c r="B34" s="4" t="inlineStr">
        <is>
          <t>739</t>
        </is>
      </c>
      <c r="C34" s="5" t="inlineStr">
        <is>
          <t>CAJERO</t>
        </is>
      </c>
      <c r="D34" s="5" t="inlineStr">
        <is>
          <t xml:space="preserve">AGENCIA CENTRAL  </t>
        </is>
      </c>
      <c r="E34" s="5" t="inlineStr">
        <is>
          <t>Gerencia de Negocios</t>
        </is>
      </c>
    </row>
    <row r="35">
      <c r="A35" s="5" t="inlineStr">
        <is>
          <t xml:space="preserve">KARLA MERCEDES DELEON DELGADO </t>
        </is>
      </c>
      <c r="B35" s="4" t="inlineStr">
        <is>
          <t>440</t>
        </is>
      </c>
      <c r="C35" s="5" t="inlineStr">
        <is>
          <t xml:space="preserve">JEFE DE AGENCIA  </t>
        </is>
      </c>
      <c r="D35" s="5" t="inlineStr">
        <is>
          <t xml:space="preserve">AGENCIA CENTRAL  </t>
        </is>
      </c>
      <c r="E35" s="5" t="inlineStr">
        <is>
          <t>Gerencia de Negocios</t>
        </is>
      </c>
    </row>
    <row r="36">
      <c r="A36" s="5" t="inlineStr">
        <is>
          <t xml:space="preserve">KATHERINE MICHELLE LOPEZ LOPEZ </t>
        </is>
      </c>
      <c r="B36" s="4" t="inlineStr">
        <is>
          <t>768</t>
        </is>
      </c>
      <c r="C36" s="5" t="inlineStr">
        <is>
          <t>AUXILIAR DE OPERACIONES Y ATENCION EN  AGENCIA</t>
        </is>
      </c>
      <c r="D36" s="5" t="inlineStr">
        <is>
          <t xml:space="preserve">AGENCIA CENTRAL  </t>
        </is>
      </c>
      <c r="E36" s="5" t="inlineStr">
        <is>
          <t>Gerencia de Negocios</t>
        </is>
      </c>
    </row>
    <row r="37">
      <c r="A37" s="5" t="inlineStr">
        <is>
          <t xml:space="preserve">LEIDY VANESSA GUZMAN SERVELLON  </t>
        </is>
      </c>
      <c r="B37" s="4" t="inlineStr">
        <is>
          <t>974</t>
        </is>
      </c>
      <c r="C37" s="5" t="inlineStr">
        <is>
          <t>CAJERO</t>
        </is>
      </c>
      <c r="D37" s="5" t="inlineStr">
        <is>
          <t xml:space="preserve">AGENCIA CENTRAL  </t>
        </is>
      </c>
      <c r="E37" s="5" t="inlineStr">
        <is>
          <t>Gerencia de Negocios</t>
        </is>
      </c>
    </row>
    <row r="38">
      <c r="A38" s="5" t="inlineStr">
        <is>
          <t xml:space="preserve">LETICIA ESMERALDA ROSA </t>
        </is>
      </c>
      <c r="B38" s="4" t="inlineStr">
        <is>
          <t>234</t>
        </is>
      </c>
      <c r="C38" s="5" t="inlineStr">
        <is>
          <t>EJECUTIVO DE NEGOCIOS</t>
        </is>
      </c>
      <c r="D38" s="5" t="inlineStr">
        <is>
          <t xml:space="preserve">AGENCIA CENTRAL  </t>
        </is>
      </c>
      <c r="E38" s="5" t="inlineStr">
        <is>
          <t>Gerencia de Negocios</t>
        </is>
      </c>
    </row>
    <row r="39">
      <c r="A39" s="5" t="inlineStr">
        <is>
          <t xml:space="preserve">DORIS ELISA HERNANDEZ </t>
        </is>
      </c>
      <c r="B39" s="4" t="inlineStr">
        <is>
          <t>466</t>
        </is>
      </c>
      <c r="C39" s="5" t="inlineStr">
        <is>
          <t>SERVICIOS VARIOS</t>
        </is>
      </c>
      <c r="D39" s="5" t="inlineStr">
        <is>
          <t xml:space="preserve">AGENCIA COLEGIO MEDICO </t>
        </is>
      </c>
      <c r="E39" s="5" t="inlineStr">
        <is>
          <t>Gerencia de Negocios</t>
        </is>
      </c>
    </row>
    <row r="40">
      <c r="A40" s="5" t="inlineStr">
        <is>
          <t>FLOR IMELDA VILLALOBOS ARDON</t>
        </is>
      </c>
      <c r="B40" s="4" t="inlineStr">
        <is>
          <t>26</t>
        </is>
      </c>
      <c r="C40" s="5" t="inlineStr">
        <is>
          <t>EJECUTIVO DE NEGOCIOS</t>
        </is>
      </c>
      <c r="D40" s="5" t="inlineStr">
        <is>
          <t xml:space="preserve">AGENCIA COLEGIO MEDICO </t>
        </is>
      </c>
      <c r="E40" s="5" t="inlineStr">
        <is>
          <t>Gerencia de Negocios</t>
        </is>
      </c>
    </row>
    <row r="41">
      <c r="A41" s="5" t="inlineStr">
        <is>
          <t xml:space="preserve">GABRIELA CONCEPCION GARCIA GUTIERREZ </t>
        </is>
      </c>
      <c r="B41" s="4" t="inlineStr">
        <is>
          <t>975</t>
        </is>
      </c>
      <c r="C41" s="5" t="inlineStr">
        <is>
          <t>AUXILIAR DE ATENCION AL ASOCIADO EN AGENCIA</t>
        </is>
      </c>
      <c r="D41" s="5" t="inlineStr">
        <is>
          <t xml:space="preserve">AGENCIA COLEGIO MEDICO </t>
        </is>
      </c>
      <c r="E41" s="5" t="inlineStr">
        <is>
          <t>Gerencia de Negocios</t>
        </is>
      </c>
    </row>
    <row r="42">
      <c r="A42" s="5" t="inlineStr">
        <is>
          <t xml:space="preserve">JACQUELINE ADRIANA CHAVEZ SARAVIA </t>
        </is>
      </c>
      <c r="B42" s="4" t="inlineStr">
        <is>
          <t>811</t>
        </is>
      </c>
      <c r="C42" s="5" t="inlineStr">
        <is>
          <t>CAJERO</t>
        </is>
      </c>
      <c r="D42" s="5" t="inlineStr">
        <is>
          <t xml:space="preserve">AGENCIA COLEGIO MEDICO </t>
        </is>
      </c>
      <c r="E42" s="5" t="inlineStr">
        <is>
          <t>Gerencia de Negocios</t>
        </is>
      </c>
    </row>
    <row r="43">
      <c r="A43" s="5" t="inlineStr">
        <is>
          <t xml:space="preserve">JAQUELIN JAZMIN ROMERO FLORES </t>
        </is>
      </c>
      <c r="B43" s="4" t="inlineStr">
        <is>
          <t>971</t>
        </is>
      </c>
      <c r="C43" s="5" t="inlineStr">
        <is>
          <t>CAJERO</t>
        </is>
      </c>
      <c r="D43" s="5" t="inlineStr">
        <is>
          <t xml:space="preserve">AGENCIA COLEGIO MEDICO </t>
        </is>
      </c>
      <c r="E43" s="5" t="inlineStr">
        <is>
          <t>Gerencia de Negocios</t>
        </is>
      </c>
    </row>
    <row r="44">
      <c r="A44" s="5" t="inlineStr">
        <is>
          <t xml:space="preserve">MARTHA ESPERANZA VALTEZ GARCIA </t>
        </is>
      </c>
      <c r="B44" s="4" t="inlineStr">
        <is>
          <t>536</t>
        </is>
      </c>
      <c r="C44" s="5" t="inlineStr">
        <is>
          <t>CAJERO</t>
        </is>
      </c>
      <c r="D44" s="5" t="inlineStr">
        <is>
          <t xml:space="preserve">AGENCIA COLEGIO MEDICO </t>
        </is>
      </c>
      <c r="E44" s="5" t="inlineStr">
        <is>
          <t>Gerencia de Negocios</t>
        </is>
      </c>
    </row>
    <row r="45">
      <c r="A45" s="5" t="inlineStr">
        <is>
          <t xml:space="preserve">MERCI ANTONIA CERON MEJIA </t>
        </is>
      </c>
      <c r="B45" s="4" t="inlineStr">
        <is>
          <t>190</t>
        </is>
      </c>
      <c r="C45" s="5" t="inlineStr">
        <is>
          <t>EJECUTIVO DE NEGOCIOS</t>
        </is>
      </c>
      <c r="D45" s="5" t="inlineStr">
        <is>
          <t xml:space="preserve">AGENCIA COLEGIO MEDICO </t>
        </is>
      </c>
      <c r="E45" s="5" t="inlineStr">
        <is>
          <t>Gerencia de Negocios</t>
        </is>
      </c>
    </row>
    <row r="46">
      <c r="A46" s="5" t="inlineStr">
        <is>
          <t xml:space="preserve">WILBER ERNESTO DIAZ GONZALEZ </t>
        </is>
      </c>
      <c r="B46" s="4" t="inlineStr">
        <is>
          <t>890</t>
        </is>
      </c>
      <c r="C46" s="5" t="inlineStr">
        <is>
          <t>CAJERO</t>
        </is>
      </c>
      <c r="D46" s="5" t="inlineStr">
        <is>
          <t xml:space="preserve">AGENCIA COLEGIO MEDICO </t>
        </is>
      </c>
      <c r="E46" s="5" t="inlineStr">
        <is>
          <t>Gerencia de Negocios</t>
        </is>
      </c>
    </row>
    <row r="47">
      <c r="A47" s="5" t="inlineStr">
        <is>
          <t>YANIRA ELIZABETH ORTEGA MIRANDA</t>
        </is>
      </c>
      <c r="B47" s="4" t="inlineStr">
        <is>
          <t>29</t>
        </is>
      </c>
      <c r="C47" s="5" t="inlineStr">
        <is>
          <t>SUBJEFE DE  AGENCIA</t>
        </is>
      </c>
      <c r="D47" s="5" t="inlineStr">
        <is>
          <t xml:space="preserve">AGENCIA COLEGIO MEDICO </t>
        </is>
      </c>
      <c r="E47" s="5" t="inlineStr">
        <is>
          <t>Gerencia de Negocios</t>
        </is>
      </c>
    </row>
    <row r="48">
      <c r="A48" s="5" t="inlineStr">
        <is>
          <t xml:space="preserve">ALFREDO ARMANDO RAMOS ESCOBAR </t>
        </is>
      </c>
      <c r="B48" s="4" t="inlineStr">
        <is>
          <t>674</t>
        </is>
      </c>
      <c r="C48" s="5" t="inlineStr">
        <is>
          <t>CAJERO</t>
        </is>
      </c>
      <c r="D48" s="5" t="inlineStr">
        <is>
          <t xml:space="preserve">AGENCIA COLONIA MEDICA  </t>
        </is>
      </c>
      <c r="E48" s="5" t="inlineStr">
        <is>
          <t>Gerencia de Negocios</t>
        </is>
      </c>
    </row>
    <row r="49">
      <c r="A49" s="5" t="inlineStr">
        <is>
          <t>ANA MARGARITA SERRANO RUBIO</t>
        </is>
      </c>
      <c r="B49" s="4" t="inlineStr">
        <is>
          <t>19</t>
        </is>
      </c>
      <c r="C49" s="5" t="inlineStr">
        <is>
          <t>CAJERO</t>
        </is>
      </c>
      <c r="D49" s="5" t="inlineStr">
        <is>
          <t xml:space="preserve">AGENCIA COLONIA MEDICA  </t>
        </is>
      </c>
      <c r="E49" s="5" t="inlineStr">
        <is>
          <t>Gerencia de Negocios</t>
        </is>
      </c>
    </row>
    <row r="50">
      <c r="A50" s="5" t="inlineStr">
        <is>
          <t xml:space="preserve">FLOR DE MARIA ROSALES SORTO </t>
        </is>
      </c>
      <c r="B50" s="4" t="inlineStr">
        <is>
          <t>873</t>
        </is>
      </c>
      <c r="C50" s="5" t="inlineStr">
        <is>
          <t>CAJERO</t>
        </is>
      </c>
      <c r="D50" s="5" t="inlineStr">
        <is>
          <t xml:space="preserve">AGENCIA COLONIA MEDICA  </t>
        </is>
      </c>
      <c r="E50" s="5" t="inlineStr">
        <is>
          <t>Gerencia de Negocios</t>
        </is>
      </c>
    </row>
    <row r="51">
      <c r="A51" s="5" t="inlineStr">
        <is>
          <t xml:space="preserve">FLOR DEL CARMEN GONZALEZ HERNANDEZ </t>
        </is>
      </c>
      <c r="B51" s="4" t="inlineStr">
        <is>
          <t>913</t>
        </is>
      </c>
      <c r="C51" s="5" t="inlineStr">
        <is>
          <t>SERVICIOS VARIOS</t>
        </is>
      </c>
      <c r="D51" s="5" t="inlineStr">
        <is>
          <t xml:space="preserve">AGENCIA COLONIA MEDICA  </t>
        </is>
      </c>
      <c r="E51" s="5" t="inlineStr">
        <is>
          <t>Gerencia de Negocios</t>
        </is>
      </c>
    </row>
    <row r="52">
      <c r="A52" s="5" t="inlineStr">
        <is>
          <t xml:space="preserve">INGRID PAOLA  CORADO HERNANDEZ </t>
        </is>
      </c>
      <c r="B52" s="4" t="inlineStr">
        <is>
          <t>722</t>
        </is>
      </c>
      <c r="C52" s="5" t="inlineStr">
        <is>
          <t>CAJERO</t>
        </is>
      </c>
      <c r="D52" s="5" t="inlineStr">
        <is>
          <t xml:space="preserve">AGENCIA COLONIA MEDICA  </t>
        </is>
      </c>
      <c r="E52" s="5" t="inlineStr">
        <is>
          <t>Gerencia de Negocios</t>
        </is>
      </c>
    </row>
    <row r="53">
      <c r="A53" s="5" t="inlineStr">
        <is>
          <t xml:space="preserve">JACQUELINE GUADALUPE CEA ALVARADO </t>
        </is>
      </c>
      <c r="B53" s="4" t="inlineStr">
        <is>
          <t>933</t>
        </is>
      </c>
      <c r="C53" s="5" t="inlineStr">
        <is>
          <t>EJECUTIVO DE NEGOCIOS</t>
        </is>
      </c>
      <c r="D53" s="5" t="inlineStr">
        <is>
          <t xml:space="preserve">AGENCIA COLONIA MEDICA  </t>
        </is>
      </c>
      <c r="E53" s="5" t="inlineStr">
        <is>
          <t>Gerencia de Negocios</t>
        </is>
      </c>
    </row>
    <row r="54">
      <c r="A54" s="5" t="inlineStr">
        <is>
          <t xml:space="preserve">JULIO ENRIQUE  CAMPOS ANDRADE </t>
        </is>
      </c>
      <c r="B54" s="4" t="inlineStr">
        <is>
          <t>624</t>
        </is>
      </c>
      <c r="C54" s="5" t="inlineStr">
        <is>
          <t>EJECUTIVO DE NEGOCIOS</t>
        </is>
      </c>
      <c r="D54" s="5" t="inlineStr">
        <is>
          <t xml:space="preserve">AGENCIA COLONIA MEDICA  </t>
        </is>
      </c>
      <c r="E54" s="5" t="inlineStr">
        <is>
          <t>Gerencia de Negocios</t>
        </is>
      </c>
    </row>
    <row r="55">
      <c r="A55" s="5" t="inlineStr">
        <is>
          <t xml:space="preserve">JULIO RAFAEL FLORES HENRIQUEZ </t>
        </is>
      </c>
      <c r="B55" s="4" t="inlineStr">
        <is>
          <t>179</t>
        </is>
      </c>
      <c r="C55" s="5" t="inlineStr">
        <is>
          <t xml:space="preserve">JEFE DE AGENCIA  </t>
        </is>
      </c>
      <c r="D55" s="5" t="inlineStr">
        <is>
          <t xml:space="preserve">AGENCIA COLONIA MEDICA  </t>
        </is>
      </c>
      <c r="E55" s="5" t="inlineStr">
        <is>
          <t>Gerencia de Negocios</t>
        </is>
      </c>
    </row>
    <row r="56">
      <c r="A56" s="5" t="inlineStr">
        <is>
          <t xml:space="preserve">STEFFANY MARIELOS MIRO HERNANDEZ </t>
        </is>
      </c>
      <c r="B56" s="4" t="inlineStr">
        <is>
          <t>855</t>
        </is>
      </c>
      <c r="C56" s="5" t="inlineStr">
        <is>
          <t>CAJERO</t>
        </is>
      </c>
      <c r="D56" s="5" t="inlineStr">
        <is>
          <t xml:space="preserve">AGENCIA COLONIA MEDICA  </t>
        </is>
      </c>
      <c r="E56" s="5" t="inlineStr">
        <is>
          <t>Gerencia de Negocios</t>
        </is>
      </c>
    </row>
    <row r="57">
      <c r="A57" s="5" t="inlineStr">
        <is>
          <t xml:space="preserve">YESENIA LISSETH BARAHONA VALLE </t>
        </is>
      </c>
      <c r="B57" s="4" t="inlineStr">
        <is>
          <t>891</t>
        </is>
      </c>
      <c r="C57" s="5" t="inlineStr">
        <is>
          <t>AUXILIAR DE ATENCION AL ASOCIADO EN AGENCIA</t>
        </is>
      </c>
      <c r="D57" s="5" t="inlineStr">
        <is>
          <t xml:space="preserve">AGENCIA COLONIA MEDICA  </t>
        </is>
      </c>
      <c r="E57" s="5" t="inlineStr">
        <is>
          <t>Gerencia de Negocios</t>
        </is>
      </c>
    </row>
    <row r="58">
      <c r="A58" s="5" t="inlineStr">
        <is>
          <t>YHANA MILET  VALLE  HERNANDEZ</t>
        </is>
      </c>
      <c r="B58" s="4" t="inlineStr">
        <is>
          <t>735</t>
        </is>
      </c>
      <c r="C58" s="5" t="inlineStr">
        <is>
          <t>CAJERO</t>
        </is>
      </c>
      <c r="D58" s="5" t="inlineStr">
        <is>
          <t xml:space="preserve">AGENCIA COLONIA MEDICA  </t>
        </is>
      </c>
      <c r="E58" s="5" t="inlineStr">
        <is>
          <t>Gerencia de Negocios</t>
        </is>
      </c>
    </row>
    <row r="59">
      <c r="A59" s="5" t="inlineStr">
        <is>
          <t>CLELIA DESIREE CAMPOS COSS</t>
        </is>
      </c>
      <c r="B59" s="4" t="inlineStr">
        <is>
          <t>657</t>
        </is>
      </c>
      <c r="C59" s="5" t="inlineStr">
        <is>
          <t>SERVICIOS VARIOS</t>
        </is>
      </c>
      <c r="D59" s="5" t="inlineStr">
        <is>
          <t xml:space="preserve">AGENCIA MERLIOT  </t>
        </is>
      </c>
      <c r="E59" s="5" t="inlineStr">
        <is>
          <t>Gerencia de Negocios</t>
        </is>
      </c>
    </row>
    <row r="60">
      <c r="A60" s="5" t="inlineStr">
        <is>
          <t xml:space="preserve">ERIKA IVETH MANCIA HERNANDEZ </t>
        </is>
      </c>
      <c r="B60" s="4" t="inlineStr">
        <is>
          <t>955</t>
        </is>
      </c>
      <c r="C60" s="5" t="inlineStr">
        <is>
          <t>CAJERO</t>
        </is>
      </c>
      <c r="D60" s="5" t="inlineStr">
        <is>
          <t xml:space="preserve">AGENCIA PLAZA MUNDO  </t>
        </is>
      </c>
      <c r="E60" s="5" t="inlineStr">
        <is>
          <t>Gerencia de Negocios</t>
        </is>
      </c>
    </row>
    <row r="61">
      <c r="A61" s="5" t="inlineStr">
        <is>
          <t xml:space="preserve">GABRIELA JEANNETTE BOLAÑOS HERRERA </t>
        </is>
      </c>
      <c r="B61" s="4" t="inlineStr">
        <is>
          <t>616</t>
        </is>
      </c>
      <c r="C61" s="5" t="inlineStr">
        <is>
          <t>EJECUTIVA DE SEGUROS</t>
        </is>
      </c>
      <c r="D61" s="5" t="inlineStr">
        <is>
          <t xml:space="preserve">AGENCIA PLAZA MUNDO  </t>
        </is>
      </c>
      <c r="E61" s="5" t="inlineStr">
        <is>
          <t>Gerencia de Negocios</t>
        </is>
      </c>
    </row>
    <row r="62">
      <c r="A62" s="5" t="inlineStr">
        <is>
          <t xml:space="preserve">NANCY CAROLINA FUENTES SORTO </t>
        </is>
      </c>
      <c r="B62" s="4" t="inlineStr">
        <is>
          <t>675</t>
        </is>
      </c>
      <c r="C62" s="5" t="inlineStr">
        <is>
          <t>CAJERO</t>
        </is>
      </c>
      <c r="D62" s="5" t="inlineStr">
        <is>
          <t xml:space="preserve">AGENCIA PLAZA MUNDO  </t>
        </is>
      </c>
      <c r="E62" s="5" t="inlineStr">
        <is>
          <t>Gerencia de Negocios</t>
        </is>
      </c>
    </row>
    <row r="63">
      <c r="A63" s="5" t="inlineStr">
        <is>
          <t xml:space="preserve">NORMA ARACELY GUILLEN </t>
        </is>
      </c>
      <c r="B63" s="4" t="inlineStr">
        <is>
          <t>331</t>
        </is>
      </c>
      <c r="C63" s="5" t="inlineStr">
        <is>
          <t>SUBJEFE DE  AGENCIA</t>
        </is>
      </c>
      <c r="D63" s="5" t="inlineStr">
        <is>
          <t xml:space="preserve">AGENCIA PLAZA MUNDO  </t>
        </is>
      </c>
      <c r="E63" s="5" t="inlineStr">
        <is>
          <t>Gerencia de Negocios</t>
        </is>
      </c>
    </row>
    <row r="64">
      <c r="A64" s="5" t="inlineStr">
        <is>
          <t xml:space="preserve">PAOLA JEANNETTE ROMERO HERNANDEZ  </t>
        </is>
      </c>
      <c r="B64" s="4" t="inlineStr">
        <is>
          <t>876</t>
        </is>
      </c>
      <c r="C64" s="5" t="inlineStr">
        <is>
          <t>CAJERO</t>
        </is>
      </c>
      <c r="D64" s="5" t="inlineStr">
        <is>
          <t xml:space="preserve">AGENCIA PLAZA MUNDO  </t>
        </is>
      </c>
      <c r="E64" s="5" t="inlineStr">
        <is>
          <t>Gerencia de Negocios</t>
        </is>
      </c>
    </row>
    <row r="65">
      <c r="A65" s="5" t="inlineStr">
        <is>
          <t xml:space="preserve">ROSARIO DEL CARMEN PEREZ LOPEZ </t>
        </is>
      </c>
      <c r="B65" s="4" t="inlineStr">
        <is>
          <t>535</t>
        </is>
      </c>
      <c r="C65" s="5" t="inlineStr">
        <is>
          <t xml:space="preserve">JEFE DE AGENCIA  </t>
        </is>
      </c>
      <c r="D65" s="5" t="inlineStr">
        <is>
          <t xml:space="preserve">AGENCIA PLAZA MUNDO  </t>
        </is>
      </c>
      <c r="E65" s="5" t="inlineStr">
        <is>
          <t>Gerencia de Negocios</t>
        </is>
      </c>
    </row>
    <row r="66">
      <c r="A66" s="5" t="inlineStr">
        <is>
          <t xml:space="preserve">WALTER ALBERTO BARAHONA DIAZ </t>
        </is>
      </c>
      <c r="B66" s="4" t="inlineStr">
        <is>
          <t>748</t>
        </is>
      </c>
      <c r="C66" s="5" t="inlineStr">
        <is>
          <t>CAJERO</t>
        </is>
      </c>
      <c r="D66" s="5" t="inlineStr">
        <is>
          <t xml:space="preserve">AGENCIA PLAZA MUNDO  </t>
        </is>
      </c>
      <c r="E66" s="5" t="inlineStr">
        <is>
          <t>Gerencia de Negocios</t>
        </is>
      </c>
    </row>
    <row r="67">
      <c r="A67" s="5" t="inlineStr">
        <is>
          <t xml:space="preserve">ZOILA AYDEE LARIOS  </t>
        </is>
      </c>
      <c r="B67" s="4" t="inlineStr">
        <is>
          <t>59</t>
        </is>
      </c>
      <c r="C67" s="5" t="inlineStr">
        <is>
          <t>SERVICIOS VARIOS</t>
        </is>
      </c>
      <c r="D67" s="5" t="inlineStr">
        <is>
          <t xml:space="preserve">AGENCIA PLAZA MUNDO  </t>
        </is>
      </c>
      <c r="E67" s="5" t="inlineStr">
        <is>
          <t>Gerencia de Negocios</t>
        </is>
      </c>
    </row>
    <row r="68">
      <c r="A68" s="5" t="inlineStr">
        <is>
          <t xml:space="preserve">SANDRA MARINA  BERRIOS SANTOS </t>
        </is>
      </c>
      <c r="B68" s="4" t="inlineStr">
        <is>
          <t>861</t>
        </is>
      </c>
      <c r="C68" s="5" t="inlineStr">
        <is>
          <t>CAJERO</t>
        </is>
      </c>
      <c r="D68" s="5" t="inlineStr">
        <is>
          <t xml:space="preserve">AGENCIA SAN  MIGUEL  </t>
        </is>
      </c>
      <c r="E68" s="5" t="inlineStr">
        <is>
          <t>Gerencia de Negocios</t>
        </is>
      </c>
    </row>
    <row r="69">
      <c r="A69" s="5" t="inlineStr">
        <is>
          <t xml:space="preserve">ANA MARIA GIRON </t>
        </is>
      </c>
      <c r="B69" s="4" t="inlineStr">
        <is>
          <t>168</t>
        </is>
      </c>
      <c r="C69" s="5" t="inlineStr">
        <is>
          <t>EJECUTIVO DE NEGOCIOS</t>
        </is>
      </c>
      <c r="D69" s="5" t="inlineStr">
        <is>
          <t xml:space="preserve">AGENCIA SANTA  ANA  </t>
        </is>
      </c>
      <c r="E69" s="5" t="inlineStr">
        <is>
          <t>Gerencia de Negocios</t>
        </is>
      </c>
    </row>
    <row r="70">
      <c r="A70" s="5" t="inlineStr">
        <is>
          <t xml:space="preserve">ANDREA YAMILETH ESCOBAR CHICA </t>
        </is>
      </c>
      <c r="B70" s="4" t="inlineStr">
        <is>
          <t>818</t>
        </is>
      </c>
      <c r="C70" s="5" t="inlineStr">
        <is>
          <t>CAJERO</t>
        </is>
      </c>
      <c r="D70" s="5" t="inlineStr">
        <is>
          <t xml:space="preserve">AGENCIA SANTA  ANA  </t>
        </is>
      </c>
      <c r="E70" s="5" t="inlineStr">
        <is>
          <t>Gerencia de Negocios</t>
        </is>
      </c>
    </row>
    <row r="71">
      <c r="A71" s="5" t="inlineStr">
        <is>
          <t xml:space="preserve">GLENDA MARAYA SALAZAR GONZALEZ </t>
        </is>
      </c>
      <c r="B71" s="4" t="inlineStr">
        <is>
          <t>295</t>
        </is>
      </c>
      <c r="C71" s="5" t="inlineStr">
        <is>
          <t xml:space="preserve">JEFE DE AGENCIA  </t>
        </is>
      </c>
      <c r="D71" s="5" t="inlineStr">
        <is>
          <t xml:space="preserve">AGENCIA SANTA  ANA  </t>
        </is>
      </c>
      <c r="E71" s="5" t="inlineStr">
        <is>
          <t>Gerencia de Negocios</t>
        </is>
      </c>
    </row>
    <row r="72">
      <c r="A72" s="5" t="inlineStr">
        <is>
          <t xml:space="preserve">IRVIN ADEMIR PERAZA MOLINA </t>
        </is>
      </c>
      <c r="B72" s="4" t="inlineStr">
        <is>
          <t>747</t>
        </is>
      </c>
      <c r="C72" s="5" t="inlineStr">
        <is>
          <t>EJECUTIVO DE SEGUROS</t>
        </is>
      </c>
      <c r="D72" s="5" t="inlineStr">
        <is>
          <t xml:space="preserve">AGENCIA SANTA  ANA  </t>
        </is>
      </c>
      <c r="E72" s="5" t="inlineStr">
        <is>
          <t>Gerencia de Negocios</t>
        </is>
      </c>
    </row>
    <row r="73">
      <c r="A73" s="5" t="inlineStr">
        <is>
          <t xml:space="preserve">JEANNETTE ANGELINNE HERNANDEZ MEJIA </t>
        </is>
      </c>
      <c r="B73" s="4" t="inlineStr">
        <is>
          <t>312</t>
        </is>
      </c>
      <c r="C73" s="5" t="inlineStr">
        <is>
          <t>SUBJEFE DE  AGENCIA</t>
        </is>
      </c>
      <c r="D73" s="5" t="inlineStr">
        <is>
          <t xml:space="preserve">AGENCIA SANTA  ANA  </t>
        </is>
      </c>
      <c r="E73" s="5" t="inlineStr">
        <is>
          <t>Gerencia de Negocios</t>
        </is>
      </c>
    </row>
    <row r="74">
      <c r="A74" s="5" t="inlineStr">
        <is>
          <t xml:space="preserve">JOSE CRISTOBAL LOPEZ ESQUIVEL </t>
        </is>
      </c>
      <c r="B74" s="4" t="inlineStr">
        <is>
          <t>910</t>
        </is>
      </c>
      <c r="C74" s="5" t="inlineStr">
        <is>
          <t>MENSAJERO</t>
        </is>
      </c>
      <c r="D74" s="5" t="inlineStr">
        <is>
          <t xml:space="preserve">AGENCIA SANTA  ANA  </t>
        </is>
      </c>
      <c r="E74" s="5" t="inlineStr">
        <is>
          <t>Gerencia de Negocios</t>
        </is>
      </c>
    </row>
    <row r="75">
      <c r="A75" s="5" t="inlineStr">
        <is>
          <t xml:space="preserve">LUIS GERARDO DUEÑAS VALLE </t>
        </is>
      </c>
      <c r="B75" s="4" t="inlineStr">
        <is>
          <t>954</t>
        </is>
      </c>
      <c r="C75" s="5" t="inlineStr">
        <is>
          <t>CAJERO</t>
        </is>
      </c>
      <c r="D75" s="5" t="inlineStr">
        <is>
          <t xml:space="preserve">AGENCIA SANTA  ANA  </t>
        </is>
      </c>
      <c r="E75" s="5" t="inlineStr">
        <is>
          <t>Gerencia de Negocios</t>
        </is>
      </c>
    </row>
    <row r="76">
      <c r="A76" s="5" t="inlineStr">
        <is>
          <t xml:space="preserve">SOFIA AZMINIA MENA ARGUETA </t>
        </is>
      </c>
      <c r="B76" s="4" t="inlineStr">
        <is>
          <t>840</t>
        </is>
      </c>
      <c r="C76" s="5" t="inlineStr">
        <is>
          <t>CAJERO</t>
        </is>
      </c>
      <c r="D76" s="5" t="inlineStr">
        <is>
          <t xml:space="preserve">AGENCIA SANTA  ANA  </t>
        </is>
      </c>
      <c r="E76" s="5" t="inlineStr">
        <is>
          <t>Gerencia de Negocios</t>
        </is>
      </c>
    </row>
    <row r="77">
      <c r="A77" s="5" t="inlineStr">
        <is>
          <t xml:space="preserve">JESSICA YAMILETH LEIVA VASQUEZ </t>
        </is>
      </c>
      <c r="B77" s="4" t="inlineStr">
        <is>
          <t>575</t>
        </is>
      </c>
      <c r="C77" s="5" t="inlineStr">
        <is>
          <t>EJECUTIVA DE SEGUROS</t>
        </is>
      </c>
      <c r="D77" s="5" t="inlineStr">
        <is>
          <t xml:space="preserve">AGENCIA SONSONATE  </t>
        </is>
      </c>
      <c r="E77" s="5" t="inlineStr">
        <is>
          <t>Gerencia de Negocios</t>
        </is>
      </c>
    </row>
    <row r="78">
      <c r="A78" s="5" t="inlineStr">
        <is>
          <t xml:space="preserve">JOSE ALEXANDER TORRES PEREZ </t>
        </is>
      </c>
      <c r="B78" s="4" t="inlineStr">
        <is>
          <t>448</t>
        </is>
      </c>
      <c r="C78" s="5" t="inlineStr">
        <is>
          <t>MENSAJERO</t>
        </is>
      </c>
      <c r="D78" s="5" t="inlineStr">
        <is>
          <t xml:space="preserve">AGENCIA SONSONATE  </t>
        </is>
      </c>
      <c r="E78" s="5" t="inlineStr">
        <is>
          <t>Gerencia de Negocios</t>
        </is>
      </c>
    </row>
    <row r="79">
      <c r="A79" s="5" t="inlineStr">
        <is>
          <t xml:space="preserve">JOSUE ALEXANDER PEREZ HENRIQUEZ </t>
        </is>
      </c>
      <c r="B79" s="4" t="inlineStr">
        <is>
          <t>559</t>
        </is>
      </c>
      <c r="C79" s="5" t="inlineStr">
        <is>
          <t>EJECUTIVO DE NEGOCIOS</t>
        </is>
      </c>
      <c r="D79" s="5" t="inlineStr">
        <is>
          <t xml:space="preserve">AGENCIA SONSONATE  </t>
        </is>
      </c>
      <c r="E79" s="5" t="inlineStr">
        <is>
          <t>Gerencia de Negocios</t>
        </is>
      </c>
    </row>
    <row r="80">
      <c r="A80" s="5" t="inlineStr">
        <is>
          <t xml:space="preserve">KARLA MARCELA  ESCOBAR TRIGUEROS </t>
        </is>
      </c>
      <c r="B80" s="4" t="inlineStr">
        <is>
          <t>849</t>
        </is>
      </c>
      <c r="C80" s="5" t="inlineStr">
        <is>
          <t>CAJERO</t>
        </is>
      </c>
      <c r="D80" s="5" t="inlineStr">
        <is>
          <t xml:space="preserve">AGENCIA SONSONATE  </t>
        </is>
      </c>
      <c r="E80" s="5" t="inlineStr">
        <is>
          <t>Gerencia de Negocios</t>
        </is>
      </c>
    </row>
    <row r="81">
      <c r="A81" s="5" t="inlineStr">
        <is>
          <t>MARIA ANGELICA ESCOBAR RENDEROS</t>
        </is>
      </c>
      <c r="B81" s="4" t="inlineStr">
        <is>
          <t>287</t>
        </is>
      </c>
      <c r="C81" s="5" t="inlineStr">
        <is>
          <t xml:space="preserve">JEFE DE AGENCIA  </t>
        </is>
      </c>
      <c r="D81" s="5" t="inlineStr">
        <is>
          <t xml:space="preserve">AGENCIA SONSONATE  </t>
        </is>
      </c>
      <c r="E81" s="5" t="inlineStr">
        <is>
          <t>Gerencia de Negocios</t>
        </is>
      </c>
    </row>
    <row r="82">
      <c r="A82" s="5" t="inlineStr">
        <is>
          <t xml:space="preserve">MIGUEL ANGEL LEON MENA </t>
        </is>
      </c>
      <c r="B82" s="4" t="inlineStr">
        <is>
          <t>755</t>
        </is>
      </c>
      <c r="C82" s="5" t="inlineStr">
        <is>
          <t>CAJERO</t>
        </is>
      </c>
      <c r="D82" s="5" t="inlineStr">
        <is>
          <t xml:space="preserve">AGENCIA SONSONATE  </t>
        </is>
      </c>
      <c r="E82" s="5" t="inlineStr">
        <is>
          <t>Gerencia de Negocios</t>
        </is>
      </c>
    </row>
    <row r="83">
      <c r="A83" s="5" t="inlineStr">
        <is>
          <t xml:space="preserve">XIOMARA BEATRIZ MARTINEZ SERMEÑO </t>
        </is>
      </c>
      <c r="B83" s="4" t="inlineStr">
        <is>
          <t>526</t>
        </is>
      </c>
      <c r="C83" s="5" t="inlineStr">
        <is>
          <t>SUBJEFE DE  AGENCIA</t>
        </is>
      </c>
      <c r="D83" s="5" t="inlineStr">
        <is>
          <t xml:space="preserve">AGENCIA SONSONATE  </t>
        </is>
      </c>
      <c r="E83" s="5" t="inlineStr">
        <is>
          <t>Gerencia de Negocios</t>
        </is>
      </c>
    </row>
    <row r="84">
      <c r="A84" s="5" t="inlineStr">
        <is>
          <t xml:space="preserve">EDUARDO JOSE GAMEZ VILLATORO </t>
        </is>
      </c>
      <c r="B84" s="4" t="inlineStr">
        <is>
          <t>970</t>
        </is>
      </c>
      <c r="C84" s="5" t="inlineStr">
        <is>
          <t>CAJERO</t>
        </is>
      </c>
      <c r="D84" s="5" t="inlineStr">
        <is>
          <t xml:space="preserve">AGENCIA USULUTAN  </t>
        </is>
      </c>
      <c r="E84" s="5" t="inlineStr">
        <is>
          <t>Gerencia de Negocios</t>
        </is>
      </c>
    </row>
    <row r="85">
      <c r="A85" s="5" t="inlineStr">
        <is>
          <t xml:space="preserve">LUIS MANUEL VALENCIA GUERRERO </t>
        </is>
      </c>
      <c r="B85" s="4" t="inlineStr">
        <is>
          <t>917</t>
        </is>
      </c>
      <c r="C85" s="5" t="inlineStr">
        <is>
          <t>SUBJEFE DE  AGENCIA</t>
        </is>
      </c>
      <c r="D85" s="5" t="inlineStr">
        <is>
          <t xml:space="preserve">AGENCIA USULUTAN  </t>
        </is>
      </c>
      <c r="E85" s="5" t="inlineStr">
        <is>
          <t>Gerencia de Negocios</t>
        </is>
      </c>
    </row>
    <row r="86">
      <c r="A86" s="5" t="inlineStr">
        <is>
          <t xml:space="preserve">MELVIN ELISEO HERNANDEZ MACHADO </t>
        </is>
      </c>
      <c r="B86" s="4" t="inlineStr">
        <is>
          <t>951</t>
        </is>
      </c>
      <c r="C86" s="5" t="inlineStr">
        <is>
          <t>EJECUTIVO DE NEGOCIOS</t>
        </is>
      </c>
      <c r="D86" s="5" t="inlineStr">
        <is>
          <t xml:space="preserve">AGENCIA USULUTAN  </t>
        </is>
      </c>
      <c r="E86" s="5" t="inlineStr">
        <is>
          <t>Gerencia de Negocios</t>
        </is>
      </c>
    </row>
    <row r="87">
      <c r="A87" s="5" t="inlineStr">
        <is>
          <t xml:space="preserve">ANTONIO ALEXANDER  ALFARO ARGUETA </t>
        </is>
      </c>
      <c r="B87" s="4" t="inlineStr">
        <is>
          <t>669</t>
        </is>
      </c>
      <c r="C87" s="5" t="inlineStr">
        <is>
          <t>EJECUTIVO DE NEGOCIOS</t>
        </is>
      </c>
      <c r="D87" s="5" t="inlineStr">
        <is>
          <t>DEPARTAMENTO COMERCIAL DE TARJETA DE CREDITO Y DEBITO</t>
        </is>
      </c>
      <c r="E87" s="5" t="inlineStr">
        <is>
          <t>Gerencia de Negocios</t>
        </is>
      </c>
    </row>
    <row r="88">
      <c r="A88" s="5" t="inlineStr">
        <is>
          <t xml:space="preserve">GABRIEL FRANCISCO MOLINA DIAZ </t>
        </is>
      </c>
      <c r="B88" s="4" t="inlineStr">
        <is>
          <t>858</t>
        </is>
      </c>
      <c r="C88" s="5" t="inlineStr">
        <is>
          <t>EJECUTIVO DE NEGOCIOS</t>
        </is>
      </c>
      <c r="D88" s="5" t="inlineStr">
        <is>
          <t>DEPARTAMENTO COMERCIAL DE TARJETA DE CREDITO Y DEBITO</t>
        </is>
      </c>
      <c r="E88" s="5" t="inlineStr">
        <is>
          <t>Gerencia de Negocios</t>
        </is>
      </c>
    </row>
    <row r="89">
      <c r="A89" s="5" t="inlineStr">
        <is>
          <t xml:space="preserve">JOSE ALEXANDER ABREGO </t>
        </is>
      </c>
      <c r="B89" s="4" t="inlineStr">
        <is>
          <t>655</t>
        </is>
      </c>
      <c r="C89" s="5" t="inlineStr">
        <is>
          <t>EJECUTIVO DE NEGOCIOS</t>
        </is>
      </c>
      <c r="D89" s="5" t="inlineStr">
        <is>
          <t>DEPARTAMENTO COMERCIAL DE TARJETA DE CREDITO Y DEBITO</t>
        </is>
      </c>
      <c r="E89" s="5" t="inlineStr">
        <is>
          <t>Gerencia de Negocios</t>
        </is>
      </c>
    </row>
    <row r="90">
      <c r="A90" s="5" t="inlineStr">
        <is>
          <t xml:space="preserve">LUIS ALBERTO MEJIA DELGADO </t>
        </is>
      </c>
      <c r="B90" s="4" t="inlineStr">
        <is>
          <t>835</t>
        </is>
      </c>
      <c r="C90" s="5" t="inlineStr">
        <is>
          <t>EJECUTIVO DE NEGOCIOS</t>
        </is>
      </c>
      <c r="D90" s="5" t="inlineStr">
        <is>
          <t>DEPARTAMENTO COMERCIAL DE TARJETA DE CREDITO Y DEBITO</t>
        </is>
      </c>
      <c r="E90" s="5" t="inlineStr">
        <is>
          <t>Gerencia de Negocios</t>
        </is>
      </c>
    </row>
    <row r="91">
      <c r="A91" s="5" t="inlineStr">
        <is>
          <t xml:space="preserve">ALAN RODRIGO BENITEZ RODRIGUEZ </t>
        </is>
      </c>
      <c r="B91" s="4" t="inlineStr">
        <is>
          <t>981</t>
        </is>
      </c>
      <c r="C91" s="5" t="inlineStr">
        <is>
          <t>PASANTE</t>
        </is>
      </c>
      <c r="D91" s="5" t="inlineStr">
        <is>
          <t>DEPARTAMENTO DE ATENCION A ASOCIADO Y CLIENTE</t>
        </is>
      </c>
      <c r="E91" s="5" t="inlineStr">
        <is>
          <t>Gerencia de Negocios</t>
        </is>
      </c>
    </row>
    <row r="92">
      <c r="A92" s="5" t="inlineStr">
        <is>
          <t xml:space="preserve">EMERSON ULISES BELTRAN CORTEZ </t>
        </is>
      </c>
      <c r="B92" s="4" t="inlineStr">
        <is>
          <t>887</t>
        </is>
      </c>
      <c r="C92" s="5" t="inlineStr">
        <is>
          <t>AUXILIAR DE ATENCION A  ASOCIADOS</t>
        </is>
      </c>
      <c r="D92" s="5" t="inlineStr">
        <is>
          <t>DEPARTAMENTO DE ATENCION A ASOCIADO Y CLIENTE</t>
        </is>
      </c>
      <c r="E92" s="5" t="inlineStr">
        <is>
          <t>Gerencia de Negocios</t>
        </is>
      </c>
    </row>
    <row r="93">
      <c r="A93" s="5" t="inlineStr">
        <is>
          <t xml:space="preserve">FABIOLA ELIZABETH TICAS GOMEZ  </t>
        </is>
      </c>
      <c r="B93" s="4" t="inlineStr">
        <is>
          <t>945</t>
        </is>
      </c>
      <c r="C93" s="5" t="inlineStr">
        <is>
          <t>RECEPCIONISTA</t>
        </is>
      </c>
      <c r="D93" s="5" t="inlineStr">
        <is>
          <t>DEPARTAMENTO DE ATENCION A ASOCIADO Y CLIENTE</t>
        </is>
      </c>
      <c r="E93" s="5" t="inlineStr">
        <is>
          <t>Gerencia de Negocios</t>
        </is>
      </c>
    </row>
    <row r="94">
      <c r="A94" s="5" t="inlineStr">
        <is>
          <t>KARLA PATRICIA  ROBLES  CORTEZ</t>
        </is>
      </c>
      <c r="B94" s="4" t="inlineStr">
        <is>
          <t>744</t>
        </is>
      </c>
      <c r="C94" s="5" t="inlineStr">
        <is>
          <t>ASISTENTE TECNICO DE AFILIACION</t>
        </is>
      </c>
      <c r="D94" s="5" t="inlineStr">
        <is>
          <t>DEPARTAMENTO DE ATENCION A ASOCIADO Y CLIENTE</t>
        </is>
      </c>
      <c r="E94" s="5" t="inlineStr">
        <is>
          <t>Gerencia de Negocios</t>
        </is>
      </c>
    </row>
    <row r="95">
      <c r="A95" s="5" t="inlineStr">
        <is>
          <t>ANA ESTER ERAZO ORTIZ</t>
        </is>
      </c>
      <c r="B95" s="4" t="inlineStr">
        <is>
          <t>207</t>
        </is>
      </c>
      <c r="C95" s="5" t="inlineStr">
        <is>
          <t>ANALISTA DE CREDITOS</t>
        </is>
      </c>
      <c r="D95" s="5" t="inlineStr">
        <is>
          <t xml:space="preserve">DEPARTAMENTO DE CREDITOS </t>
        </is>
      </c>
      <c r="E95" s="5" t="inlineStr">
        <is>
          <t>Gerencia de Negocios</t>
        </is>
      </c>
    </row>
    <row r="96">
      <c r="A96" s="5" t="inlineStr">
        <is>
          <t xml:space="preserve">KARLA VANESSA GARCIA OLIVA </t>
        </is>
      </c>
      <c r="B96" s="4" t="inlineStr">
        <is>
          <t>809</t>
        </is>
      </c>
      <c r="C96" s="5" t="inlineStr">
        <is>
          <t>ANALISTA DE CREDITOS</t>
        </is>
      </c>
      <c r="D96" s="5" t="inlineStr">
        <is>
          <t xml:space="preserve">DEPARTAMENTO DE CREDITOS </t>
        </is>
      </c>
      <c r="E96" s="5" t="inlineStr">
        <is>
          <t>Gerencia de Negocios</t>
        </is>
      </c>
    </row>
    <row r="97">
      <c r="A97" s="5" t="inlineStr">
        <is>
          <t>MABEL GERALDINE RAMIREZ PORTILLO</t>
        </is>
      </c>
      <c r="B97" s="4" t="inlineStr">
        <is>
          <t>377</t>
        </is>
      </c>
      <c r="C97" s="5" t="inlineStr">
        <is>
          <t>SUPERVISOR DE ANALISTAS DE CREDITOS</t>
        </is>
      </c>
      <c r="D97" s="5" t="inlineStr">
        <is>
          <t xml:space="preserve">DEPARTAMENTO DE CREDITOS </t>
        </is>
      </c>
      <c r="E97" s="5" t="inlineStr">
        <is>
          <t>Gerencia de Negocios</t>
        </is>
      </c>
    </row>
    <row r="98">
      <c r="A98" s="5" t="inlineStr">
        <is>
          <t xml:space="preserve">MARIA LILIAN MENJIVAR GUARDADO </t>
        </is>
      </c>
      <c r="B98" s="4" t="inlineStr">
        <is>
          <t>979</t>
        </is>
      </c>
      <c r="C98" s="5" t="inlineStr">
        <is>
          <t>ANALISTA DE CREDITOS</t>
        </is>
      </c>
      <c r="D98" s="5" t="inlineStr">
        <is>
          <t xml:space="preserve">DEPARTAMENTO DE CREDITOS </t>
        </is>
      </c>
      <c r="E98" s="5" t="inlineStr">
        <is>
          <t>Gerencia de Negocios</t>
        </is>
      </c>
    </row>
    <row r="99">
      <c r="A99" s="5" t="inlineStr">
        <is>
          <t xml:space="preserve">MARIO LEONEL CANDRAY FLORES </t>
        </is>
      </c>
      <c r="B99" s="4" t="inlineStr">
        <is>
          <t>939</t>
        </is>
      </c>
      <c r="C99" s="5" t="inlineStr">
        <is>
          <t>ANALISTA DE CREDITOS</t>
        </is>
      </c>
      <c r="D99" s="5" t="inlineStr">
        <is>
          <t xml:space="preserve">DEPARTAMENTO DE CREDITOS </t>
        </is>
      </c>
      <c r="E99" s="5" t="inlineStr">
        <is>
          <t>Gerencia de Negocios</t>
        </is>
      </c>
    </row>
    <row r="100">
      <c r="A100" s="5" t="inlineStr">
        <is>
          <t xml:space="preserve">YANETH  HERNANDEZ YANES </t>
        </is>
      </c>
      <c r="B100" s="4" t="inlineStr">
        <is>
          <t>730</t>
        </is>
      </c>
      <c r="C100" s="5" t="inlineStr">
        <is>
          <t>JEFE DE CREDITOS</t>
        </is>
      </c>
      <c r="D100" s="5" t="inlineStr">
        <is>
          <t xml:space="preserve">DEPARTAMENTO DE CREDITOS </t>
        </is>
      </c>
      <c r="E100" s="5" t="inlineStr">
        <is>
          <t>Gerencia de Negocios</t>
        </is>
      </c>
    </row>
    <row r="101">
      <c r="A101" s="5" t="inlineStr">
        <is>
          <t xml:space="preserve">CARLOS EDUARDO SERVELLON PEREZ </t>
        </is>
      </c>
      <c r="B101" s="4" t="inlineStr">
        <is>
          <t>919</t>
        </is>
      </c>
      <c r="C101" s="5" t="inlineStr">
        <is>
          <t>AUXILIAR DE EDUCACION Y RESPONSABILIDAD SOCIAL</t>
        </is>
      </c>
      <c r="D101" s="5" t="inlineStr">
        <is>
          <t>DEPARTAMENTO DE EDUCACION Y RESPONSABILIDAD SOCIAL</t>
        </is>
      </c>
      <c r="E101" s="5" t="inlineStr">
        <is>
          <t>Gerencia de Negocios</t>
        </is>
      </c>
    </row>
    <row r="102">
      <c r="A102" s="5" t="inlineStr">
        <is>
          <t>ZULEYMA ALEJANDRA VASQUEZ  MARIN</t>
        </is>
      </c>
      <c r="B102" s="4" t="inlineStr">
        <is>
          <t>847</t>
        </is>
      </c>
      <c r="C102" s="5" t="inlineStr">
        <is>
          <t>JEFE DE EDUCACION Y RESPONSABILIDAD SOCIAL</t>
        </is>
      </c>
      <c r="D102" s="5" t="inlineStr">
        <is>
          <t>DEPARTAMENTO DE EDUCACION Y RESPONSABILIDAD SOCIAL</t>
        </is>
      </c>
      <c r="E102" s="5" t="inlineStr">
        <is>
          <t>Gerencia de Negocios</t>
        </is>
      </c>
    </row>
    <row r="103">
      <c r="A103" s="5" t="inlineStr">
        <is>
          <t>CARMEN MARIA GUTIERREZ ESTRADA</t>
        </is>
      </c>
      <c r="B103" s="4" t="inlineStr">
        <is>
          <t>591</t>
        </is>
      </c>
      <c r="C103" s="5" t="inlineStr">
        <is>
          <t>JEFE DE MERCADEO</t>
        </is>
      </c>
      <c r="D103" s="5" t="inlineStr">
        <is>
          <t xml:space="preserve">DEPARTAMENTO DE MERCADEO </t>
        </is>
      </c>
      <c r="E103" s="5" t="inlineStr">
        <is>
          <t>Gerencia de Negocios</t>
        </is>
      </c>
    </row>
    <row r="104">
      <c r="A104" s="5" t="inlineStr">
        <is>
          <t xml:space="preserve">GERARDO ALEXANDER  MARTINEZ RIVERA </t>
        </is>
      </c>
      <c r="B104" s="4" t="inlineStr">
        <is>
          <t>897</t>
        </is>
      </c>
      <c r="C104" s="5" t="inlineStr">
        <is>
          <t>ANALISTA DE COMUNICACIONES</t>
        </is>
      </c>
      <c r="D104" s="5" t="inlineStr">
        <is>
          <t xml:space="preserve">DEPARTAMENTO DE MERCADEO </t>
        </is>
      </c>
      <c r="E104" s="5" t="inlineStr">
        <is>
          <t>Gerencia de Negocios</t>
        </is>
      </c>
    </row>
    <row r="105">
      <c r="A105" s="5" t="inlineStr">
        <is>
          <t>IVONNE LISSETH DE JESUS RODRIGUEZ   FLORES</t>
        </is>
      </c>
      <c r="B105" s="4" t="inlineStr">
        <is>
          <t>219</t>
        </is>
      </c>
      <c r="C105" s="5" t="inlineStr">
        <is>
          <t>ASISTENTE TELEMARKETING</t>
        </is>
      </c>
      <c r="D105" s="5" t="inlineStr">
        <is>
          <t xml:space="preserve">DEPARTAMENTO DE MERCADEO </t>
        </is>
      </c>
      <c r="E105" s="5" t="inlineStr">
        <is>
          <t>Gerencia de Negocios</t>
        </is>
      </c>
    </row>
    <row r="106">
      <c r="A106" s="5" t="inlineStr">
        <is>
          <t xml:space="preserve">JOSE CARLOS IRENEO HERNANDEZ RODRIGUEZ </t>
        </is>
      </c>
      <c r="B106" s="4" t="inlineStr">
        <is>
          <t>361</t>
        </is>
      </c>
      <c r="C106" s="5" t="inlineStr">
        <is>
          <t>ASISTENTE TECNICO DE MERCADEO</t>
        </is>
      </c>
      <c r="D106" s="5" t="inlineStr">
        <is>
          <t xml:space="preserve">DEPARTAMENTO DE MERCADEO </t>
        </is>
      </c>
      <c r="E106" s="5" t="inlineStr">
        <is>
          <t>Gerencia de Negocios</t>
        </is>
      </c>
    </row>
    <row r="107">
      <c r="A107" s="5" t="inlineStr">
        <is>
          <t xml:space="preserve">LUIS FAUSTONY VASQUEZ CIENFUEGOS </t>
        </is>
      </c>
      <c r="B107" s="4" t="inlineStr">
        <is>
          <t>723</t>
        </is>
      </c>
      <c r="C107" s="5" t="inlineStr">
        <is>
          <t>GESTOR DE DOCUMENTOS</t>
        </is>
      </c>
      <c r="D107" s="5" t="inlineStr">
        <is>
          <t xml:space="preserve">DEPARTAMENTO DE MERCADEO </t>
        </is>
      </c>
      <c r="E107" s="5" t="inlineStr">
        <is>
          <t>Gerencia de Negocios</t>
        </is>
      </c>
    </row>
    <row r="108">
      <c r="A108" s="5" t="inlineStr">
        <is>
          <t xml:space="preserve">MARIA ALEJANDRA BATRES ALVARADO </t>
        </is>
      </c>
      <c r="B108" s="4" t="inlineStr">
        <is>
          <t>895</t>
        </is>
      </c>
      <c r="C108" s="5" t="inlineStr">
        <is>
          <t>DISEÑADOR  GRAFICO</t>
        </is>
      </c>
      <c r="D108" s="5" t="inlineStr">
        <is>
          <t xml:space="preserve">DEPARTAMENTO DE MERCADEO </t>
        </is>
      </c>
      <c r="E108" s="5" t="inlineStr">
        <is>
          <t>Gerencia de Negocios</t>
        </is>
      </c>
    </row>
    <row r="109">
      <c r="A109" s="5" t="inlineStr">
        <is>
          <t xml:space="preserve">CARLOS ALEXANDER ROMERO ROMERO </t>
        </is>
      </c>
      <c r="B109" s="4" t="inlineStr">
        <is>
          <t>639</t>
        </is>
      </c>
      <c r="C109" s="5" t="inlineStr">
        <is>
          <t>GESTOR DE CARTERA DE SEGUROS</t>
        </is>
      </c>
      <c r="D109" s="5" t="inlineStr">
        <is>
          <t xml:space="preserve">DEPARTAMENTO DE SEGUROS </t>
        </is>
      </c>
      <c r="E109" s="5" t="inlineStr">
        <is>
          <t>Gerencia de Negocios</t>
        </is>
      </c>
    </row>
    <row r="110">
      <c r="A110" s="5" t="inlineStr">
        <is>
          <t>CLAUDIA MARISOL MADRID BARRIENTOS</t>
        </is>
      </c>
      <c r="B110" s="4" t="inlineStr">
        <is>
          <t>544</t>
        </is>
      </c>
      <c r="C110" s="5" t="inlineStr">
        <is>
          <t>GESTOR DE  RECLAMOS Y SUSCRIPCIONES</t>
        </is>
      </c>
      <c r="D110" s="5" t="inlineStr">
        <is>
          <t xml:space="preserve">DEPARTAMENTO DE SEGUROS </t>
        </is>
      </c>
      <c r="E110" s="5" t="inlineStr">
        <is>
          <t>Gerencia de Negocios</t>
        </is>
      </c>
    </row>
    <row r="111">
      <c r="A111" s="5" t="inlineStr">
        <is>
          <t xml:space="preserve">ERIKA VANESSA ALEMAN MIJANGO </t>
        </is>
      </c>
      <c r="B111" s="4" t="inlineStr">
        <is>
          <t>802</t>
        </is>
      </c>
      <c r="C111" s="5" t="inlineStr">
        <is>
          <t>EJECUTIVO DE VENTA DE SEGUROS</t>
        </is>
      </c>
      <c r="D111" s="5" t="inlineStr">
        <is>
          <t xml:space="preserve">DEPARTAMENTO DE SEGUROS </t>
        </is>
      </c>
      <c r="E111" s="5" t="inlineStr">
        <is>
          <t>Gerencia de Negocios</t>
        </is>
      </c>
    </row>
    <row r="112">
      <c r="A112" s="5" t="inlineStr">
        <is>
          <t xml:space="preserve">JENNYFER AYLIN ESCOBAR ZAMORA </t>
        </is>
      </c>
      <c r="B112" s="4" t="inlineStr">
        <is>
          <t>792</t>
        </is>
      </c>
      <c r="C112" s="5" t="inlineStr">
        <is>
          <t>COORDINADOR COMERCIAL DE SEGUROS</t>
        </is>
      </c>
      <c r="D112" s="5" t="inlineStr">
        <is>
          <t xml:space="preserve">DEPARTAMENTO DE SEGUROS </t>
        </is>
      </c>
      <c r="E112" s="5" t="inlineStr">
        <is>
          <t>Gerencia de Negocios</t>
        </is>
      </c>
    </row>
    <row r="113">
      <c r="A113" s="5" t="inlineStr">
        <is>
          <t xml:space="preserve">JUANA HAZEL GARCIA COREAS </t>
        </is>
      </c>
      <c r="B113" s="4" t="inlineStr">
        <is>
          <t>805</t>
        </is>
      </c>
      <c r="C113" s="5" t="inlineStr">
        <is>
          <t>EJECUTIVO DE VENTA DE SEGUROS</t>
        </is>
      </c>
      <c r="D113" s="5" t="inlineStr">
        <is>
          <t xml:space="preserve">DEPARTAMENTO DE SEGUROS </t>
        </is>
      </c>
      <c r="E113" s="5" t="inlineStr">
        <is>
          <t>Gerencia de Negocios</t>
        </is>
      </c>
    </row>
    <row r="114">
      <c r="A114" s="5" t="inlineStr">
        <is>
          <t xml:space="preserve">LISSETTE MARICELA SANCHEZ MOLINA </t>
        </is>
      </c>
      <c r="B114" s="4" t="inlineStr">
        <is>
          <t>643</t>
        </is>
      </c>
      <c r="C114" s="5" t="inlineStr">
        <is>
          <t>ASISTENTE DE SEGUROS</t>
        </is>
      </c>
      <c r="D114" s="5" t="inlineStr">
        <is>
          <t xml:space="preserve">DEPARTAMENTO DE SEGUROS </t>
        </is>
      </c>
      <c r="E114" s="5" t="inlineStr">
        <is>
          <t>Gerencia de Negocios</t>
        </is>
      </c>
    </row>
    <row r="115">
      <c r="A115" s="5" t="inlineStr">
        <is>
          <t xml:space="preserve">ALBA BEATRIZ MELENDEZ PRUDENCIO </t>
        </is>
      </c>
      <c r="B115" s="4" t="inlineStr">
        <is>
          <t>885</t>
        </is>
      </c>
      <c r="C115" s="5" t="inlineStr">
        <is>
          <t>ASISTENTE DE RECUPERACION JUDICIAL Y CARTERA CASTIGADA</t>
        </is>
      </c>
      <c r="D115" s="5" t="inlineStr">
        <is>
          <t>DEPARTAMENTO DE SOLUCIONES FINANCIERAS</t>
        </is>
      </c>
      <c r="E115" s="5" t="inlineStr">
        <is>
          <t>Gerencia de Negocios</t>
        </is>
      </c>
    </row>
    <row r="116">
      <c r="A116" s="5" t="inlineStr">
        <is>
          <t xml:space="preserve">ANA GRISELDA SIGÜENZA MARTINEZ </t>
        </is>
      </c>
      <c r="B116" s="4" t="inlineStr">
        <is>
          <t>528</t>
        </is>
      </c>
      <c r="C116" s="5" t="inlineStr">
        <is>
          <t>AUXILIAR DE DEPARTAMENTO DE SOLUCIONES FINANCIERAS</t>
        </is>
      </c>
      <c r="D116" s="5" t="inlineStr">
        <is>
          <t>DEPARTAMENTO DE SOLUCIONES FINANCIERAS</t>
        </is>
      </c>
      <c r="E116" s="5" t="inlineStr">
        <is>
          <t>Gerencia de Negocios</t>
        </is>
      </c>
    </row>
    <row r="117">
      <c r="A117" s="5" t="inlineStr">
        <is>
          <t xml:space="preserve">JUAN PABLO HENRIQUEZ RAMIREZ </t>
        </is>
      </c>
      <c r="B117" s="4" t="inlineStr">
        <is>
          <t>573</t>
        </is>
      </c>
      <c r="C117" s="5" t="inlineStr">
        <is>
          <t>EJECUTIVO DE SOLUCIONES FINANCIERAS</t>
        </is>
      </c>
      <c r="D117" s="5" t="inlineStr">
        <is>
          <t>DEPARTAMENTO DE SOLUCIONES FINANCIERAS</t>
        </is>
      </c>
      <c r="E117" s="5" t="inlineStr">
        <is>
          <t>Gerencia de Negocios</t>
        </is>
      </c>
    </row>
    <row r="118">
      <c r="A118" s="5" t="inlineStr">
        <is>
          <t>ROSA ELIZABETH RIVAS AGUILUZ</t>
        </is>
      </c>
      <c r="B118" s="4" t="inlineStr">
        <is>
          <t>182</t>
        </is>
      </c>
      <c r="C118" s="5" t="inlineStr">
        <is>
          <t>EJECUTIVO DE SOLUCIONES FINANCIERAS</t>
        </is>
      </c>
      <c r="D118" s="5" t="inlineStr">
        <is>
          <t>DEPARTAMENTO DE SOLUCIONES FINANCIERAS</t>
        </is>
      </c>
      <c r="E118" s="5" t="inlineStr">
        <is>
          <t>Gerencia de Negocios</t>
        </is>
      </c>
    </row>
    <row r="119">
      <c r="A119" s="5" t="inlineStr">
        <is>
          <t xml:space="preserve">SANDRA GUADALUPE ROQUE SANCHEZ </t>
        </is>
      </c>
      <c r="B119" s="4" t="inlineStr">
        <is>
          <t>298</t>
        </is>
      </c>
      <c r="C119" s="5" t="inlineStr">
        <is>
          <t>EJECUTIVO DE SOLUCIONES FINANCIERAS</t>
        </is>
      </c>
      <c r="D119" s="5" t="inlineStr">
        <is>
          <t>DEPARTAMENTO DE SOLUCIONES FINANCIERAS</t>
        </is>
      </c>
      <c r="E119" s="5" t="inlineStr">
        <is>
          <t>Gerencia de Negocios</t>
        </is>
      </c>
    </row>
    <row r="120">
      <c r="A120" s="5" t="inlineStr">
        <is>
          <t xml:space="preserve">XOCHILT VERONICA NOUBLEAU </t>
        </is>
      </c>
      <c r="B120" s="4" t="inlineStr">
        <is>
          <t>263</t>
        </is>
      </c>
      <c r="C120" s="5" t="inlineStr">
        <is>
          <t>EJECUTIVO DE SOLUCIONES FINANCIERAS</t>
        </is>
      </c>
      <c r="D120" s="5" t="inlineStr">
        <is>
          <t>DEPARTAMENTO DE SOLUCIONES FINANCIERAS</t>
        </is>
      </c>
      <c r="E120" s="5" t="inlineStr">
        <is>
          <t>Gerencia de Negocios</t>
        </is>
      </c>
    </row>
    <row r="121">
      <c r="A121" s="5" t="inlineStr">
        <is>
          <t xml:space="preserve">YENIS MARILU ESCOBAR SORTO </t>
        </is>
      </c>
      <c r="B121" s="4" t="inlineStr">
        <is>
          <t>34</t>
        </is>
      </c>
      <c r="C121" s="5" t="inlineStr">
        <is>
          <t>EJECUTIVO DE SOLUCIONES FINANCIERAS</t>
        </is>
      </c>
      <c r="D121" s="5" t="inlineStr">
        <is>
          <t>DEPARTAMENTO DE SOLUCIONES FINANCIERAS</t>
        </is>
      </c>
      <c r="E121" s="5" t="inlineStr">
        <is>
          <t>Gerencia de Negocios</t>
        </is>
      </c>
    </row>
    <row r="122">
      <c r="A122" s="5" t="inlineStr">
        <is>
          <t xml:space="preserve">JOSE HUMBERTO BARILLAS BURGOS </t>
        </is>
      </c>
      <c r="B122" s="4" t="inlineStr">
        <is>
          <t>741</t>
        </is>
      </c>
      <c r="C122" s="5" t="inlineStr">
        <is>
          <t>GERENTE DE NEGOCIOS</t>
        </is>
      </c>
      <c r="D122" s="5" t="inlineStr">
        <is>
          <t>GERENCIA DE NEGOCIOS</t>
        </is>
      </c>
      <c r="E122" s="5" t="inlineStr">
        <is>
          <t>Gerencia de Negocios</t>
        </is>
      </c>
    </row>
    <row r="123">
      <c r="A123" s="5" t="inlineStr">
        <is>
          <t xml:space="preserve">JUAN CARLOS AGUILAR ASCENCIO </t>
        </is>
      </c>
      <c r="B123" s="4" t="inlineStr">
        <is>
          <t>581</t>
        </is>
      </c>
      <c r="C123" s="5" t="inlineStr">
        <is>
          <t>CAJERO MOVIL</t>
        </is>
      </c>
      <c r="D123" s="5" t="inlineStr">
        <is>
          <t xml:space="preserve">SUB GERENCIA DE CANALES </t>
        </is>
      </c>
      <c r="E123" s="5" t="inlineStr">
        <is>
          <t>Gerencia de Negocios</t>
        </is>
      </c>
    </row>
    <row r="124">
      <c r="A124" s="5" t="inlineStr">
        <is>
          <t xml:space="preserve">LUIS FERNANDO MORAN GARCIA </t>
        </is>
      </c>
      <c r="B124" s="4" t="inlineStr">
        <is>
          <t>651</t>
        </is>
      </c>
      <c r="C124" s="5" t="inlineStr">
        <is>
          <t>JEFE MOVIL DE AGENCIAS</t>
        </is>
      </c>
      <c r="D124" s="5" t="inlineStr">
        <is>
          <t xml:space="preserve">SUB GERENCIA DE CANALES </t>
        </is>
      </c>
      <c r="E124" s="5" t="inlineStr">
        <is>
          <t>Gerencia de Negocios</t>
        </is>
      </c>
    </row>
    <row r="125">
      <c r="A125" s="5" t="inlineStr">
        <is>
          <t xml:space="preserve">REBECA ABIGAIL VEGA FLORES </t>
        </is>
      </c>
      <c r="B125" s="4" t="inlineStr">
        <is>
          <t>854</t>
        </is>
      </c>
      <c r="C125" s="5" t="inlineStr">
        <is>
          <t>CAJERO MOVIL</t>
        </is>
      </c>
      <c r="D125" s="5" t="inlineStr">
        <is>
          <t xml:space="preserve">SUB GERENCIA DE CANALES </t>
        </is>
      </c>
      <c r="E125" s="5" t="inlineStr">
        <is>
          <t>Gerencia de Negocios</t>
        </is>
      </c>
    </row>
    <row r="126">
      <c r="A126" s="5" t="inlineStr">
        <is>
          <t xml:space="preserve">SAMUEL ALBERTO SALGUERO RODRIGUEZ </t>
        </is>
      </c>
      <c r="B126" s="4" t="inlineStr">
        <is>
          <t>968</t>
        </is>
      </c>
      <c r="C126" s="5" t="inlineStr">
        <is>
          <t>CAJERO MOVIL</t>
        </is>
      </c>
      <c r="D126" s="5" t="inlineStr">
        <is>
          <t xml:space="preserve">SUB GERENCIA DE CANALES </t>
        </is>
      </c>
      <c r="E126" s="5" t="inlineStr">
        <is>
          <t>Gerencia de Negocios</t>
        </is>
      </c>
    </row>
    <row r="127">
      <c r="A127" s="5" t="inlineStr">
        <is>
          <t xml:space="preserve">SANDRA VERONICA ACEVEDO BELTRAN </t>
        </is>
      </c>
      <c r="B127" s="4" t="inlineStr">
        <is>
          <t>713</t>
        </is>
      </c>
      <c r="C127" s="5" t="inlineStr">
        <is>
          <t xml:space="preserve">ASISTENTE PARA CORRESPONSALES FINANCIEROS </t>
        </is>
      </c>
      <c r="D127" s="5" t="inlineStr">
        <is>
          <t xml:space="preserve">SUB GERENCIA DE CANALES </t>
        </is>
      </c>
      <c r="E127" s="5" t="inlineStr">
        <is>
          <t>Gerencia de Negocios</t>
        </is>
      </c>
    </row>
    <row r="128">
      <c r="A128" s="5" t="inlineStr">
        <is>
          <t xml:space="preserve">GEMA YESENIA VILLALOBOS HERNANDEZ </t>
        </is>
      </c>
      <c r="B128" s="4" t="inlineStr">
        <is>
          <t>477</t>
        </is>
      </c>
      <c r="C128" s="5" t="inlineStr">
        <is>
          <t>ANALISTA DE CARTERAS</t>
        </is>
      </c>
      <c r="D128" s="5" t="inlineStr">
        <is>
          <t>ADMINISTRACIÓN DE CARTERAS</t>
        </is>
      </c>
      <c r="E128" s="5" t="inlineStr">
        <is>
          <t>Gerencia de Operaciones</t>
        </is>
      </c>
    </row>
    <row r="129">
      <c r="A129" s="5" t="inlineStr">
        <is>
          <t xml:space="preserve">RICARDO JOSUE CACAO ROVELO </t>
        </is>
      </c>
      <c r="B129" s="4" t="inlineStr">
        <is>
          <t>732</t>
        </is>
      </c>
      <c r="C129" s="5" t="inlineStr">
        <is>
          <t>ANALISTA DE CARTERAS</t>
        </is>
      </c>
      <c r="D129" s="5" t="inlineStr">
        <is>
          <t>ADMINISTRACIÓN DE CARTERAS</t>
        </is>
      </c>
      <c r="E129" s="5" t="inlineStr">
        <is>
          <t>Gerencia de Operaciones</t>
        </is>
      </c>
    </row>
    <row r="130">
      <c r="A130" s="5" t="inlineStr">
        <is>
          <t>YANETH MARLENY LANDAVERDE MORALES</t>
        </is>
      </c>
      <c r="B130" s="4" t="inlineStr">
        <is>
          <t>16</t>
        </is>
      </c>
      <c r="C130" s="5" t="inlineStr">
        <is>
          <t>JEFE DE ADMINISTRACION DE CARTERA</t>
        </is>
      </c>
      <c r="D130" s="5" t="inlineStr">
        <is>
          <t>ADMINISTRACIÓN DE CARTERAS</t>
        </is>
      </c>
      <c r="E130" s="5" t="inlineStr">
        <is>
          <t>Gerencia de Operaciones</t>
        </is>
      </c>
    </row>
    <row r="131">
      <c r="A131" s="5" t="inlineStr">
        <is>
          <t xml:space="preserve">MARIO ANTONIO NAVARRO PINEDA </t>
        </is>
      </c>
      <c r="B131" s="4" t="inlineStr">
        <is>
          <t>284</t>
        </is>
      </c>
      <c r="C131" s="5" t="inlineStr">
        <is>
          <t>JEFE DE DEPOSITOS</t>
        </is>
      </c>
      <c r="D131" s="5" t="inlineStr">
        <is>
          <t>DEPARTAMENTO DE DEPOSITOS</t>
        </is>
      </c>
      <c r="E131" s="5" t="inlineStr">
        <is>
          <t>Gerencia de Operaciones</t>
        </is>
      </c>
    </row>
    <row r="132">
      <c r="A132" s="5" t="inlineStr">
        <is>
          <t xml:space="preserve">ANA BEATRIZ QUINTEROS AVELAR </t>
        </is>
      </c>
      <c r="B132" s="4" t="inlineStr">
        <is>
          <t>725</t>
        </is>
      </c>
      <c r="C132" s="5" t="inlineStr">
        <is>
          <t>ASISTENTE TECNICO DE OPERACIONES DE TARJETAS</t>
        </is>
      </c>
      <c r="D132" s="5" t="inlineStr">
        <is>
          <t>DEPARTAMENTO DE TARJETA DE CREDITO Y DEBITO</t>
        </is>
      </c>
      <c r="E132" s="5" t="inlineStr">
        <is>
          <t>Gerencia de Operaciones</t>
        </is>
      </c>
    </row>
    <row r="133">
      <c r="A133" s="5" t="inlineStr">
        <is>
          <t xml:space="preserve">CLAUDIA CAROLINA HERNANDEZ DE PAZ </t>
        </is>
      </c>
      <c r="B133" s="4" t="inlineStr">
        <is>
          <t>389</t>
        </is>
      </c>
      <c r="C133" s="5" t="inlineStr">
        <is>
          <t>ASISTENTE TECNICO DE INTERCAMBIO DE TARJETAS</t>
        </is>
      </c>
      <c r="D133" s="5" t="inlineStr">
        <is>
          <t>DEPARTAMENTO DE TARJETA DE CREDITO Y DEBITO</t>
        </is>
      </c>
      <c r="E133" s="5" t="inlineStr">
        <is>
          <t>Gerencia de Operaciones</t>
        </is>
      </c>
    </row>
    <row r="134">
      <c r="A134" s="5" t="inlineStr">
        <is>
          <t xml:space="preserve">GEOVANNI LIZAMA PORTILLO </t>
        </is>
      </c>
      <c r="B134" s="4" t="inlineStr">
        <is>
          <t>399</t>
        </is>
      </c>
      <c r="C134" s="5" t="inlineStr">
        <is>
          <t>JEFE DE TARJETA  DE CREDITO Y DEBITO</t>
        </is>
      </c>
      <c r="D134" s="5" t="inlineStr">
        <is>
          <t>DEPARTAMENTO DE TARJETA DE CREDITO Y DEBITO</t>
        </is>
      </c>
      <c r="E134" s="5" t="inlineStr">
        <is>
          <t>Gerencia de Operaciones</t>
        </is>
      </c>
    </row>
    <row r="135">
      <c r="A135" s="5" t="inlineStr">
        <is>
          <t xml:space="preserve">ROQUE RAFAEL REYES ESPINAL </t>
        </is>
      </c>
      <c r="B135" s="4" t="inlineStr">
        <is>
          <t>41</t>
        </is>
      </c>
      <c r="C135" s="5" t="inlineStr">
        <is>
          <t>GERENTE DE OPERACIONES</t>
        </is>
      </c>
      <c r="D135" s="5" t="inlineStr">
        <is>
          <t>GERENCIA DE OPERACIONES</t>
        </is>
      </c>
      <c r="E135" s="5" t="inlineStr">
        <is>
          <t>Gerencia de Operaciones</t>
        </is>
      </c>
    </row>
    <row r="136">
      <c r="A136" s="5" t="inlineStr">
        <is>
          <t>ALEJANDRA VERONICA CENTENO  LOPEZ</t>
        </is>
      </c>
      <c r="B136" s="4" t="inlineStr">
        <is>
          <t>899</t>
        </is>
      </c>
      <c r="C136" s="5" t="inlineStr">
        <is>
          <t xml:space="preserve">ANALISTA PROGRAMADOR </t>
        </is>
      </c>
      <c r="D136" s="5" t="inlineStr">
        <is>
          <t>DEPARTAMENTO DE ANALISIS Y PROGRAMACIÓN</t>
        </is>
      </c>
      <c r="E136" s="5" t="inlineStr">
        <is>
          <t>Gerencia de Sistemas</t>
        </is>
      </c>
    </row>
    <row r="137">
      <c r="A137" s="5" t="inlineStr">
        <is>
          <t xml:space="preserve">CLAUDIA MARGARITA CAMPOS GONZÁLEZ </t>
        </is>
      </c>
      <c r="B137" s="4" t="inlineStr">
        <is>
          <t>410</t>
        </is>
      </c>
      <c r="C137" s="5" t="inlineStr">
        <is>
          <t>JEFE DE ANALISIS Y PROGRAMACION</t>
        </is>
      </c>
      <c r="D137" s="5" t="inlineStr">
        <is>
          <t>DEPARTAMENTO DE ANALISIS Y PROGRAMACIÓN</t>
        </is>
      </c>
      <c r="E137" s="5" t="inlineStr">
        <is>
          <t>Gerencia de Sistemas</t>
        </is>
      </c>
    </row>
    <row r="138">
      <c r="A138" s="5" t="inlineStr">
        <is>
          <t xml:space="preserve">JEAN HARRY MIRANDA ARAUJO </t>
        </is>
      </c>
      <c r="B138" s="4" t="inlineStr">
        <is>
          <t>752</t>
        </is>
      </c>
      <c r="C138" s="5" t="inlineStr">
        <is>
          <t xml:space="preserve">ANALISTA PROGRAMADOR </t>
        </is>
      </c>
      <c r="D138" s="5" t="inlineStr">
        <is>
          <t>DEPARTAMENTO DE ANALISIS Y PROGRAMACIÓN</t>
        </is>
      </c>
      <c r="E138" s="5" t="inlineStr">
        <is>
          <t>Gerencia de Sistemas</t>
        </is>
      </c>
    </row>
    <row r="139">
      <c r="A139" s="5" t="inlineStr">
        <is>
          <t xml:space="preserve">HUGO MARVIN SERRANO SARAVIA </t>
        </is>
      </c>
      <c r="B139" s="4" t="inlineStr">
        <is>
          <t>90</t>
        </is>
      </c>
      <c r="C139" s="5" t="inlineStr">
        <is>
          <t>OPERADOR DE SISTEMAS</t>
        </is>
      </c>
      <c r="D139" s="5" t="inlineStr">
        <is>
          <t>DEPARTAMENTO DE OPERACIONES Y SOPORTE TECNICO</t>
        </is>
      </c>
      <c r="E139" s="5" t="inlineStr">
        <is>
          <t>Gerencia de Sistemas</t>
        </is>
      </c>
    </row>
    <row r="140">
      <c r="A140" s="5" t="inlineStr">
        <is>
          <t xml:space="preserve">ALEX VIRGILIO  AGUILAR ARIAS  </t>
        </is>
      </c>
      <c r="B140" s="4" t="inlineStr">
        <is>
          <t>878</t>
        </is>
      </c>
      <c r="C140" s="5" t="inlineStr">
        <is>
          <t>GERENTE DE SISTEMAS</t>
        </is>
      </c>
      <c r="D140" s="5" t="inlineStr">
        <is>
          <t>GERENCIA DE SISTEMAS</t>
        </is>
      </c>
      <c r="E140" s="5" t="inlineStr">
        <is>
          <t>Gerencia de Sistemas</t>
        </is>
      </c>
    </row>
    <row r="141">
      <c r="A141" s="5" t="inlineStr">
        <is>
          <t xml:space="preserve">FLOR MARISELA TORRES VELASQUEZ </t>
        </is>
      </c>
      <c r="B141" s="4" t="inlineStr">
        <is>
          <t>393</t>
        </is>
      </c>
      <c r="C141" s="5" t="inlineStr">
        <is>
          <t>LIDER DE PROYECTOS TECNOLOGICOS</t>
        </is>
      </c>
      <c r="D141" s="5" t="inlineStr">
        <is>
          <t>GERENCIA DE SISTEMAS</t>
        </is>
      </c>
      <c r="E141" s="5" t="inlineStr">
        <is>
          <t>Gerencia de Sistemas</t>
        </is>
      </c>
    </row>
  </sheetData>
  <autoFilter ref="A4:E14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9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5</v>
      </c>
      <c r="D5">
        <f>IF($A5="","",'Consolidado por Gerencia'!D5)</f>
        <v>2</v>
      </c>
      <c r="E5">
        <f>IF($A5="","",IF(B5&gt;0,C5/B5,0))</f>
        <v>0.714285714285714</v>
      </c>
      <c r="F5">
        <f>IF($A5="","",E5*1000000+B5*10+(100-ROW())/1000)</f>
        <v>714355.809285714</v>
      </c>
      <c r="G5">
        <f>IF($A5="","",D5*1000+(100-ROW())/1000)</f>
        <v>2000.095</v>
      </c>
      <c r="I5" t="n">
        <v>1</v>
      </c>
      <c r="J5">
        <f>IF(I5&gt;COUNT($F$5:$F$14),"",MATCH(LARGE($F$5:$F$14,I5),$F$5:$F$14,0))</f>
        <v>7</v>
      </c>
      <c r="K5" t="str">
        <f>IF(J5="","",INDEX($A$5:$A$14,J5)&amp;"   "&amp;TEXT(INDEX($E$5:$E$14,J5),"0%"))</f>
        <v>Gerencia de Oficialía de Cumplimiento   100%</v>
      </c>
      <c r="L5">
        <f>IF(J5="","",INDEX($C$5:$C$14,J5))</f>
        <v>7</v>
      </c>
      <c r="M5">
        <f>IF(J5="","",INDEX($D$5:$D$14,J5))</f>
        <v>0</v>
      </c>
      <c r="P5">
        <f>IF(I5&gt;COUNT($G$5:$G$14),"",MATCH(LARGE($G$5:$G$14,I5),$G$5:$G$14,0))</f>
        <v>6</v>
      </c>
      <c r="Q5" t="str">
        <f>IF(P5="","",INDEX($A$5:$A$14,P5))</f>
        <v>Gerencia de Negocios</v>
      </c>
      <c r="R5">
        <f>IF(P5="","",INDEX($D$5:$D$14,P5))</f>
        <v>101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individual'!F5="Completado",3000000,0)+COUNTIF('Detalle individual'!$C$5:$C$295,"&lt;"&amp;'Detalle individual'!C5)*300+ROW(),"")</f>
        <v>81005</v>
      </c>
    </row>
    <row r="6">
      <c r="A6" t="str">
        <f>IF('Consolidado por Gerencia'!A6="","",'Consolidado por Gerencia'!A6)</f>
        <v>Gerencia Administrativa</v>
      </c>
      <c r="B6">
        <f>IF($A6="","",'Consolidado por Gerencia'!B6)</f>
        <v>32</v>
      </c>
      <c r="C6">
        <f>IF($A6="","",'Consolidado por Gerencia'!C6)</f>
        <v>29</v>
      </c>
      <c r="D6">
        <f>IF($A6="","",'Consolidado por Gerencia'!D6)</f>
        <v>3</v>
      </c>
      <c r="E6">
        <f>IF($A6="","",IF(B6&gt;0,C6/B6,0))</f>
        <v>0.90625</v>
      </c>
      <c r="F6">
        <f>IF($A6="","",E6*1000000+B6*10+(100-ROW())/1000)</f>
        <v>906570.094</v>
      </c>
      <c r="G6">
        <f>IF($A6="","",D6*1000+(100-ROW())/1000)</f>
        <v>3000.094</v>
      </c>
      <c r="I6" t="n">
        <v>2</v>
      </c>
      <c r="J6">
        <f>IF(I6&gt;COUNT($F$5:$F$14),"",MATCH(LARGE($F$5:$F$14,I6),$F$5:$F$14,0))</f>
        <v>3</v>
      </c>
      <c r="K6" t="str">
        <f>IF(J6="","",INDEX($A$5:$A$14,J6)&amp;"   "&amp;TEXT(INDEX($E$5:$E$14,J6),"0%"))</f>
        <v>Gerencia General   92%</v>
      </c>
      <c r="L6">
        <f>IF(J6="","",INDEX($C$5:$C$14,J6))</f>
        <v>12</v>
      </c>
      <c r="M6">
        <f>IF(J6="","",INDEX($D$5:$D$14,J6))</f>
        <v>1</v>
      </c>
      <c r="P6">
        <f>IF(I6&gt;COUNT($G$5:$G$14),"",MATCH(LARGE($G$5:$G$14,I6),$G$5:$G$14,0))</f>
        <v>5</v>
      </c>
      <c r="Q6" t="str">
        <f>IF(P6="","",INDEX($A$5:$A$14,P6))</f>
        <v>Gerencia de Finanzas y Planificación</v>
      </c>
      <c r="R6">
        <f>IF(P6="","",INDEX($D$5:$D$14,P6))</f>
        <v>10</v>
      </c>
      <c r="V6" t="str">
        <f>A5</f>
        <v>Auditoría Interna</v>
      </c>
      <c r="W6" t="str">
        <f>A20</f>
        <v>ADMINISTRACION DE BASE DE DATOS</v>
      </c>
      <c r="X6" t="inlineStr">
        <is>
          <t>Completado</t>
        </is>
      </c>
      <c r="Z6">
        <f>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individual'!F6="Completado",3000000,0)+COUNTIF('Detalle individual'!$C$5:$C$295,"&lt;"&amp;'Detalle individual'!C6)*300+ROW(),"")</f>
        <v>3077106</v>
      </c>
    </row>
    <row r="7">
      <c r="A7" t="str">
        <f>IF('Consolidado por Gerencia'!A7="","",'Consolidado por Gerencia'!A7)</f>
        <v>Gerencia General</v>
      </c>
      <c r="B7">
        <f>IF($A7="","",'Consolidado por Gerencia'!B7)</f>
        <v>13</v>
      </c>
      <c r="C7">
        <f>IF($A7="","",'Consolidado por Gerencia'!C7)</f>
        <v>12</v>
      </c>
      <c r="D7">
        <f>IF($A7="","",'Consolidado por Gerencia'!D7)</f>
        <v>1</v>
      </c>
      <c r="E7">
        <f>IF($A7="","",IF(B7&gt;0,C7/B7,0))</f>
        <v>0.923076923076923</v>
      </c>
      <c r="F7">
        <f>IF($A7="","",E7*1000000+B7*10+(100-ROW())/1000)</f>
        <v>923207.016076923</v>
      </c>
      <c r="G7">
        <f>IF($A7="","",D7*1000+(100-ROW())/1000)</f>
        <v>1000.093</v>
      </c>
      <c r="I7" t="n">
        <v>3</v>
      </c>
      <c r="J7">
        <f>IF(I7&gt;COUNT($F$5:$F$14),"",MATCH(LARGE($F$5:$F$14,I7),$F$5:$F$14,0))</f>
        <v>2</v>
      </c>
      <c r="K7" t="str">
        <f>IF(J7="","",INDEX($A$5:$A$14,J7)&amp;"   "&amp;TEXT(INDEX($E$5:$E$14,J7),"0%"))</f>
        <v>Gerencia Administrativa   91%</v>
      </c>
      <c r="L7">
        <f>IF(J7="","",INDEX($C$5:$C$14,J7))</f>
        <v>29</v>
      </c>
      <c r="M7">
        <f>IF(J7="","",INDEX($D$5:$D$14,J7))</f>
        <v>3</v>
      </c>
      <c r="P7">
        <f>IF(I7&gt;COUNT($G$5:$G$14),"",MATCH(LARGE($G$5:$G$14,I7),$G$5:$G$14,0))</f>
        <v>8</v>
      </c>
      <c r="Q7" t="str">
        <f>IF(P7="","",INDEX($A$5:$A$14,P7))</f>
        <v>Gerencia de Operaciones</v>
      </c>
      <c r="R7">
        <f>IF(P7="","",INDEX($D$5:$D$14,P7))</f>
        <v>8</v>
      </c>
      <c r="V7" t="str">
        <f>A6</f>
        <v>Gerencia Administrativa</v>
      </c>
      <c r="W7" t="str">
        <f>A21</f>
        <v>ADMINISTRACION DE RIESGOS</v>
      </c>
      <c r="X7" t="inlineStr">
        <is>
          <t>Pendiente</t>
        </is>
      </c>
      <c r="Z7">
        <f>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individual'!F7="Completado",3000000,0)+COUNTIF('Detalle individual'!$C$5:$C$295,"&lt;"&amp;'Detalle individual'!C7)*300+ROW(),"")</f>
        <v>79507</v>
      </c>
    </row>
    <row r="8">
      <c r="A8" t="str">
        <f>IF('Consolidado por Gerencia'!A8="","",'Consolidado por Gerencia'!A8)</f>
        <v>Gerencia Legal y Cumplimiento Normativo</v>
      </c>
      <c r="B8">
        <f>IF($A8="","",'Consolidado por Gerencia'!B8)</f>
        <v>9</v>
      </c>
      <c r="C8">
        <f>IF($A8="","",'Consolidado por Gerencia'!C8)</f>
        <v>3</v>
      </c>
      <c r="D8">
        <f>IF($A8="","",'Consolidado por Gerencia'!D8)</f>
        <v>6</v>
      </c>
      <c r="E8">
        <f>IF($A8="","",IF(B8&gt;0,C8/B8,0))</f>
        <v>0.333333333333333</v>
      </c>
      <c r="F8">
        <f>IF($A8="","",E8*1000000+B8*10+(100-ROW())/1000)</f>
        <v>333423.425333333</v>
      </c>
      <c r="G8">
        <f>IF($A8="","",D8*1000+(100-ROW())/1000)</f>
        <v>6000.092</v>
      </c>
      <c r="I8" t="n">
        <v>4</v>
      </c>
      <c r="J8">
        <f>IF(I8&gt;COUNT($F$5:$F$14),"",MATCH(LARGE($F$5:$F$14,I8),$F$5:$F$14,0))</f>
        <v>9</v>
      </c>
      <c r="K8" t="str">
        <f>IF(J8="","",INDEX($A$5:$A$14,J8)&amp;"   "&amp;TEXT(INDEX($E$5:$E$14,J8),"0%"))</f>
        <v>Gerencia de Sistemas   74%</v>
      </c>
      <c r="L8">
        <f>IF(J8="","",INDEX($C$5:$C$14,J8))</f>
        <v>17</v>
      </c>
      <c r="M8">
        <f>IF(J8="","",INDEX($D$5:$D$14,J8))</f>
        <v>6</v>
      </c>
      <c r="P8">
        <f>IF(I8&gt;COUNT($G$5:$G$14),"",MATCH(LARGE($G$5:$G$14,I8),$G$5:$G$14,0))</f>
        <v>4</v>
      </c>
      <c r="Q8" t="str">
        <f>IF(P8="","",INDEX($A$5:$A$14,P8))</f>
        <v>Gerencia Legal y Cumplimiento Normativo</v>
      </c>
      <c r="R8">
        <f>IF(P8="","",INDEX($D$5:$D$14,P8))</f>
        <v>6</v>
      </c>
      <c r="V8" t="str">
        <f>A7</f>
        <v>Gerencia General</v>
      </c>
      <c r="W8" t="str">
        <f>A22</f>
        <v>ADMINISTRACIÓN DE CARTERAS</v>
      </c>
      <c r="Z8">
        <f>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individual'!F8="Completado",3000000,0)+COUNTIF('Detalle individual'!$C$5:$C$295,"&lt;"&amp;'Detalle individual'!C8)*300+ROW(),"")</f>
        <v>3077708</v>
      </c>
    </row>
    <row r="9">
      <c r="A9" t="str">
        <f>IF('Consolidado por Gerencia'!A9="","",'Consolidado por Gerencia'!A9)</f>
        <v>Gerencia de Finanzas y Planificación</v>
      </c>
      <c r="B9">
        <f>IF($A9="","",'Consolidado por Gerencia'!B9)</f>
        <v>18</v>
      </c>
      <c r="C9">
        <f>IF($A9="","",'Consolidado por Gerencia'!C9)</f>
        <v>8</v>
      </c>
      <c r="D9">
        <f>IF($A9="","",'Consolidado por Gerencia'!D9)</f>
        <v>10</v>
      </c>
      <c r="E9">
        <f>IF($A9="","",IF(B9&gt;0,C9/B9,0))</f>
        <v>0.444444444444444</v>
      </c>
      <c r="F9">
        <f>IF($A9="","",E9*1000000+B9*10+(100-ROW())/1000)</f>
        <v>444624.535444444</v>
      </c>
      <c r="G9">
        <f>IF($A9="","",D9*1000+(100-ROW())/1000)</f>
        <v>10000.091</v>
      </c>
      <c r="I9" t="n">
        <v>5</v>
      </c>
      <c r="J9">
        <f>IF(I9&gt;COUNT($F$5:$F$14),"",MATCH(LARGE($F$5:$F$14,I9),$F$5:$F$14,0))</f>
        <v>1</v>
      </c>
      <c r="K9" t="str">
        <f>IF(J9="","",INDEX($A$5:$A$14,J9)&amp;"   "&amp;TEXT(INDEX($E$5:$E$14,J9),"0%"))</f>
        <v>Auditoría Interna   71%</v>
      </c>
      <c r="L9">
        <f>IF(J9="","",INDEX($C$5:$C$14,J9))</f>
        <v>5</v>
      </c>
      <c r="M9">
        <f>IF(J9="","",INDEX($D$5:$D$14,J9))</f>
        <v>2</v>
      </c>
      <c r="P9">
        <f>IF(I9&gt;COUNT($G$5:$G$14),"",MATCH(LARGE($G$5:$G$14,I9),$G$5:$G$14,0))</f>
        <v>9</v>
      </c>
      <c r="Q9" t="str">
        <f>IF(P9="","",INDEX($A$5:$A$14,P9))</f>
        <v>Gerencia de Sistemas</v>
      </c>
      <c r="R9">
        <f>IF(P9="","",INDEX($D$5:$D$14,P9))</f>
        <v>6</v>
      </c>
      <c r="V9" t="str">
        <f>A8</f>
        <v>Gerencia Legal y Cumplimiento Normativo</v>
      </c>
      <c r="W9" t="str">
        <f>A23</f>
        <v>AGENCIA CENTRAL</v>
      </c>
      <c r="Z9">
        <f>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individual'!F9="Completado",3000000,0)+COUNTIF('Detalle individual'!$C$5:$C$295,"&lt;"&amp;'Detalle individual'!C9)*300+ROW(),"")</f>
        <v>79809</v>
      </c>
    </row>
    <row r="10">
      <c r="A10" t="str">
        <f>IF('Consolidado por Gerencia'!A10="","",'Consolidado por Gerencia'!A10)</f>
        <v>Gerencia de Negocios</v>
      </c>
      <c r="B10">
        <f>IF($A10="","",'Consolidado por Gerencia'!B10)</f>
        <v>166</v>
      </c>
      <c r="C10">
        <f>IF($A10="","",'Consolidado por Gerencia'!C10)</f>
        <v>65</v>
      </c>
      <c r="D10">
        <f>IF($A10="","",'Consolidado por Gerencia'!D10)</f>
        <v>101</v>
      </c>
      <c r="E10">
        <f>IF($A10="","",IF(B10&gt;0,C10/B10,0))</f>
        <v>0.391566265060241</v>
      </c>
      <c r="F10">
        <f>IF($A10="","",E10*1000000+B10*10+(100-ROW())/1000)</f>
        <v>393226.355060241</v>
      </c>
      <c r="G10">
        <f>IF($A10="","",D10*1000+(100-ROW())/1000)</f>
        <v>101000.09</v>
      </c>
      <c r="I10" t="n">
        <v>6</v>
      </c>
      <c r="J10">
        <f>IF(I10&gt;COUNT($F$5:$F$14),"",MATCH(LARGE($F$5:$F$14,I10),$F$5:$F$14,0))</f>
        <v>8</v>
      </c>
      <c r="K10" t="str">
        <f>IF(J10="","",INDEX($A$5:$A$14,J10)&amp;"   "&amp;TEXT(INDEX($E$5:$E$14,J10),"0%"))</f>
        <v>Gerencia de Operaciones   50%</v>
      </c>
      <c r="L10">
        <f>IF(J10="","",INDEX($C$5:$C$14,J10))</f>
        <v>8</v>
      </c>
      <c r="M10">
        <f>IF(J10="","",INDEX($D$5:$D$14,J10))</f>
        <v>8</v>
      </c>
      <c r="P10">
        <f>IF(I10&gt;COUNT($G$5:$G$14),"",MATCH(LARGE($G$5:$G$14,I10),$G$5:$G$14,0))</f>
        <v>2</v>
      </c>
      <c r="Q10" t="str">
        <f>IF(P10="","",INDEX($A$5:$A$14,P10))</f>
        <v>Gerencia Administrativa</v>
      </c>
      <c r="R10">
        <f>IF(P10="","",INDEX($D$5:$D$14,P10))</f>
        <v>3</v>
      </c>
      <c r="V10" t="str">
        <f>A9</f>
        <v>Gerencia de Finanzas y Planificación</v>
      </c>
      <c r="W10" t="str">
        <f>A24</f>
        <v>AGENCIA COLEGIO MEDICO</v>
      </c>
      <c r="Z10">
        <f>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individual'!F10="Completado",3000000,0)+COUNTIF('Detalle individual'!$C$5:$C$295,"&lt;"&amp;'Detalle individual'!C10)*300+ROW(),"")</f>
        <v>3081910</v>
      </c>
    </row>
    <row r="11">
      <c r="A11" t="str">
        <f>IF('Consolidado por Gerencia'!A11="","",'Consolidado por Gerencia'!A11)</f>
        <v>Gerencia de Oficialía de Cumplimiento</v>
      </c>
      <c r="B11">
        <f>IF($A11="","",'Consolidado por Gerencia'!B11)</f>
        <v>7</v>
      </c>
      <c r="C11">
        <f>IF($A11="","",'Consolidado por Gerencia'!C11)</f>
        <v>7</v>
      </c>
      <c r="D11">
        <f>IF($A11="","",'Consolidado por Gerencia'!D11)</f>
        <v>0</v>
      </c>
      <c r="E11">
        <f>IF($A11="","",IF(B11&gt;0,C11/B11,0))</f>
        <v>1</v>
      </c>
      <c r="F11">
        <f>IF($A11="","",E11*1000000+B11*10+(100-ROW())/1000)</f>
        <v>1000070.089</v>
      </c>
      <c r="G11">
        <f>IF($A11="","",D11*1000+(100-ROW())/1000)</f>
        <v>0.089</v>
      </c>
      <c r="I11" t="n">
        <v>7</v>
      </c>
      <c r="J11">
        <f>IF(I11&gt;COUNT($F$5:$F$14),"",MATCH(LARGE($F$5:$F$14,I11),$F$5:$F$14,0))</f>
        <v>5</v>
      </c>
      <c r="K11" t="str">
        <f>IF(J11="","",INDEX($A$5:$A$14,J11)&amp;"   "&amp;TEXT(INDEX($E$5:$E$14,J11),"0%"))</f>
        <v>Gerencia de Finanzas y Planificación   44%</v>
      </c>
      <c r="L11">
        <f>IF(J11="","",INDEX($C$5:$C$14,J11))</f>
        <v>8</v>
      </c>
      <c r="M11">
        <f>IF(J11="","",INDEX($D$5:$D$14,J11))</f>
        <v>10</v>
      </c>
      <c r="P11">
        <f>IF(I11&gt;COUNT($G$5:$G$14),"",MATCH(LARGE($G$5:$G$14,I11),$G$5:$G$14,0))</f>
        <v>1</v>
      </c>
      <c r="Q11" t="str">
        <f>IF(P11="","",INDEX($A$5:$A$14,P11))</f>
        <v>Auditoría Interna</v>
      </c>
      <c r="R11">
        <f>IF(P11="","",INDEX($D$5:$D$14,P11))</f>
        <v>2</v>
      </c>
      <c r="V11" t="str">
        <f>A10</f>
        <v>Gerencia de Negocios</v>
      </c>
      <c r="W11" t="str">
        <f>A25</f>
        <v>AGENCIA COLONIA MEDICA</v>
      </c>
      <c r="Z11">
        <f>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individual'!F11="Completado",3000000,0)+COUNTIF('Detalle individual'!$C$5:$C$295,"&lt;"&amp;'Detalle individual'!C11)*300+ROW(),"")</f>
        <v>78311</v>
      </c>
    </row>
    <row r="12">
      <c r="A12" t="str">
        <f>IF('Consolidado por Gerencia'!A12="","",'Consolidado por Gerencia'!A12)</f>
        <v>Gerencia de Operaciones</v>
      </c>
      <c r="B12">
        <f>IF($A12="","",'Consolidado por Gerencia'!B12)</f>
        <v>16</v>
      </c>
      <c r="C12">
        <f>IF($A12="","",'Consolidado por Gerencia'!C12)</f>
        <v>8</v>
      </c>
      <c r="D12">
        <f>IF($A12="","",'Consolidado por Gerencia'!D12)</f>
        <v>8</v>
      </c>
      <c r="E12">
        <f>IF($A12="","",IF(B12&gt;0,C12/B12,0))</f>
        <v>0.5</v>
      </c>
      <c r="F12">
        <f>IF($A12="","",E12*1000000+B12*10+(100-ROW())/1000)</f>
        <v>500160.088</v>
      </c>
      <c r="G12">
        <f>IF($A12="","",D12*1000+(100-ROW())/1000)</f>
        <v>8000.088</v>
      </c>
      <c r="I12" t="n">
        <v>8</v>
      </c>
      <c r="J12">
        <f>IF(I12&gt;COUNT($F$5:$F$14),"",MATCH(LARGE($F$5:$F$14,I12),$F$5:$F$14,0))</f>
        <v>6</v>
      </c>
      <c r="K12" t="str">
        <f>IF(J12="","",INDEX($A$5:$A$14,J12)&amp;"   "&amp;TEXT(INDEX($E$5:$E$14,J12),"0%"))</f>
        <v>Gerencia de Negocios   39%</v>
      </c>
      <c r="L12">
        <f>IF(J12="","",INDEX($C$5:$C$14,J12))</f>
        <v>65</v>
      </c>
      <c r="M12">
        <f>IF(J12="","",INDEX($D$5:$D$14,J12))</f>
        <v>101</v>
      </c>
      <c r="P12">
        <f>IF(I12&gt;COUNT($G$5:$G$14),"",MATCH(LARGE($G$5:$G$14,I12),$G$5:$G$14,0))</f>
        <v>3</v>
      </c>
      <c r="Q12" t="str">
        <f>IF(P12="","",INDEX($A$5:$A$14,P12))</f>
        <v>Gerencia General</v>
      </c>
      <c r="R12">
        <f>IF(P12="","",INDEX($D$5:$D$14,P12))</f>
        <v>1</v>
      </c>
      <c r="V12" t="str">
        <f>A11</f>
        <v>Gerencia de Oficialía de Cumplimiento</v>
      </c>
      <c r="W12" t="str">
        <f>A26</f>
        <v>AGENCIA MERLIOT</v>
      </c>
      <c r="Z12">
        <f>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individual'!F12="Completado",3000000,0)+COUNTIF('Detalle individual'!$C$5:$C$295,"&lt;"&amp;'Detalle individual'!C12)*300+ROW(),"")</f>
        <v>3081612</v>
      </c>
    </row>
    <row r="13">
      <c r="A13" t="str">
        <f>IF('Consolidado por Gerencia'!A13="","",'Consolidado por Gerencia'!A13)</f>
        <v>Gerencia de Sistemas</v>
      </c>
      <c r="B13">
        <f>IF($A13="","",'Consolidado por Gerencia'!B13)</f>
        <v>23</v>
      </c>
      <c r="C13">
        <f>IF($A13="","",'Consolidado por Gerencia'!C13)</f>
        <v>17</v>
      </c>
      <c r="D13">
        <f>IF($A13="","",'Consolidado por Gerencia'!D13)</f>
        <v>6</v>
      </c>
      <c r="E13">
        <f>IF($A13="","",IF(B13&gt;0,C13/B13,0))</f>
        <v>0.739130434782609</v>
      </c>
      <c r="F13">
        <f>IF($A13="","",E13*1000000+B13*10+(100-ROW())/1000)</f>
        <v>739360.521782609</v>
      </c>
      <c r="G13">
        <f>IF($A13="","",D13*1000+(100-ROW())/1000)</f>
        <v>6000.087</v>
      </c>
      <c r="I13" t="n">
        <v>9</v>
      </c>
      <c r="J13">
        <f>IF(I13&gt;COUNT($F$5:$F$14),"",MATCH(LARGE($F$5:$F$14,I13),$F$5:$F$14,0))</f>
        <v>4</v>
      </c>
      <c r="K13" t="str">
        <f>IF(J13="","",INDEX($A$5:$A$14,J13)&amp;"   "&amp;TEXT(INDEX($E$5:$E$14,J13),"0%"))</f>
        <v>Gerencia Legal y Cumplimiento Normativo   33%</v>
      </c>
      <c r="L13">
        <f>IF(J13="","",INDEX($C$5:$C$14,J13))</f>
        <v>3</v>
      </c>
      <c r="M13">
        <f>IF(J13="","",INDEX($D$5:$D$14,J13))</f>
        <v>6</v>
      </c>
      <c r="P13">
        <f>IF(I13&gt;COUNT($G$5:$G$14),"",MATCH(LARGE($G$5:$G$14,I13),$G$5:$G$14,0))</f>
        <v>7</v>
      </c>
      <c r="Q13" t="str">
        <f>IF(P13="","",INDEX($A$5:$A$14,P13))</f>
        <v>Gerencia de Oficialía de Cumplimiento</v>
      </c>
      <c r="R13">
        <f>IF(P13="","",INDEX($D$5:$D$14,P13))</f>
        <v>0</v>
      </c>
      <c r="V13" t="str">
        <f>A12</f>
        <v>Gerencia de Operaciones</v>
      </c>
      <c r="W13" t="str">
        <f>A27</f>
        <v>AGENCIA PLAZA MUNDO</v>
      </c>
      <c r="Z13">
        <f>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individual'!F13="Completado",3000000,0)+COUNTIF('Detalle individual'!$C$5:$C$295,"&lt;"&amp;'Detalle individual'!C13)*300+ROW(),"")</f>
        <v>3081013</v>
      </c>
    </row>
    <row r="14">
      <c r="A14" t="str">
        <f>IF('Consolidado por Gerencia'!A14="","",'Consolidado por Gerencia'!A14)</f>
        <v/>
      </c>
      <c r="B14" t="str">
        <f>IF($A14="","",'Consolidado por Gerencia'!B14)</f>
        <v/>
      </c>
      <c r="C14" t="str">
        <f>IF($A14="","",'Consolidado por Gerencia'!C14)</f>
        <v/>
      </c>
      <c r="D14" t="str">
        <f>IF($A14="","",'Consolidado por Gerencia'!D14)</f>
        <v/>
      </c>
      <c r="E14" t="str">
        <f>IF($A14="","",IF(B14&gt;0,C14/B14,0))</f>
        <v/>
      </c>
      <c r="F14" t="str">
        <f>IF($A14="","",E14*1000000+B14*10+(100-ROW())/1000)</f>
        <v/>
      </c>
      <c r="G14" t="str">
        <f>IF($A14="","",D14*1000+(100-ROW())/1000)</f>
        <v/>
      </c>
      <c r="I14" t="n">
        <v>10</v>
      </c>
      <c r="J14" t="str">
        <f>IF(I14&gt;COUNT($F$5:$F$14),"",MATCH(LARGE($F$5:$F$14,I14),$F$5:$F$14,0))</f>
        <v/>
      </c>
      <c r="K14" t="str">
        <f>IF(J14="","",INDEX($A$5:$A$14,J14)&amp;"   "&amp;TEXT(INDEX($E$5:$E$14,J14),"0%"))</f>
        <v/>
      </c>
      <c r="L14" t="str">
        <f>IF(J14="","",INDEX($C$5:$C$14,J14))</f>
        <v/>
      </c>
      <c r="M14" t="str">
        <f>IF(J14="","",INDEX($D$5:$D$14,J14))</f>
        <v/>
      </c>
      <c r="P14" t="str">
        <f>IF(I14&gt;COUNT($G$5:$G$14),"",MATCH(LARGE($G$5:$G$14,I14),$G$5:$G$14,0))</f>
        <v/>
      </c>
      <c r="Q14" t="str">
        <f>IF(P14="","",INDEX($A$5:$A$14,P14))</f>
        <v/>
      </c>
      <c r="R14" t="str">
        <f>IF(P14="","",INDEX($D$5:$D$14,P14))</f>
        <v/>
      </c>
      <c r="V14" t="str">
        <f>A13</f>
        <v>Gerencia de Sistemas</v>
      </c>
      <c r="W14" t="str">
        <f>A28</f>
        <v>AGENCIA SAN MIGUEL</v>
      </c>
      <c r="Z14">
        <f>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individual'!F14="Completado",3000000,0)+COUNTIF('Detalle individual'!$C$5:$C$295,"&lt;"&amp;'Detalle individual'!C14)*300+ROW(),"")</f>
        <v>3001814</v>
      </c>
    </row>
    <row r="15">
      <c r="W15" t="str">
        <f>A29</f>
        <v>AGENCIA SANTA ANA</v>
      </c>
      <c r="Z15">
        <f>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individual'!F15="Completado",3000000,0)+COUNTIF('Detalle individual'!$C$5:$C$295,"&lt;"&amp;'Detalle individual'!C15)*300+ROW(),"")</f>
        <v>3001815</v>
      </c>
    </row>
    <row r="16">
      <c r="W16" t="str">
        <f>A30</f>
        <v>AGENCIA SONSONATE</v>
      </c>
      <c r="Z16">
        <f>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individual'!F16="Completado",3000000,0)+COUNTIF('Detalle individual'!$C$5:$C$295,"&lt;"&amp;'Detalle individual'!C16)*300+ROW(),"")</f>
        <v>3001816</v>
      </c>
    </row>
    <row r="17">
      <c r="W17" t="str">
        <f>A31</f>
        <v>AGENCIA USULUTAN</v>
      </c>
      <c r="Z17">
        <f>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individual'!F17="Completado",3000000,0)+COUNTIF('Detalle individual'!$C$5:$C$295,"&lt;"&amp;'Detalle individual'!C17)*300+ROW(),"")</f>
        <v>3001817</v>
      </c>
    </row>
    <row r="18">
      <c r="W18" t="str">
        <f>A32</f>
        <v>CLINICA EMPRESARIAL</v>
      </c>
      <c r="Z18">
        <f>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individual'!F18="Completado",3000000,0)+COUNTIF('Detalle individual'!$C$5:$C$295,"&lt;"&amp;'Detalle individual'!C18)*300+ROW(),"")</f>
        <v>3059118</v>
      </c>
    </row>
    <row r="19">
      <c r="A19" t="inlineStr">
        <is>
          <t>Departamento</t>
        </is>
      </c>
      <c r="M19" t="inlineStr">
        <is>
          <t>Completados</t>
        </is>
      </c>
      <c r="N19" t="inlineStr">
        <is>
          <t>Pendientes</t>
        </is>
      </c>
      <c r="W19" t="str">
        <f>A33</f>
        <v>DEPARTAMENTO COMERCIAL DE TARJETA DE CREDITO Y DEBITO</v>
      </c>
      <c r="Z19">
        <f>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individual'!F19="Completado",3000000,0)+COUNTIF('Detalle individual'!$C$5:$C$295,"&lt;"&amp;'Detalle individual'!C19)*300+ROW(),"")</f>
        <v>3059119</v>
      </c>
    </row>
    <row r="20">
      <c r="A20" t="str">
        <f>TRIM('Consolidado por área'!A5)</f>
        <v>ADMINISTRACION DE BASE DE DATOS</v>
      </c>
      <c r="B20" t="str">
        <f>'Consolidado por área'!B5</f>
        <v>Gerencia de Sistemas</v>
      </c>
      <c r="C20">
        <f>'Consolidado por área'!C5</f>
        <v>1</v>
      </c>
      <c r="D20">
        <f>'Consolidado por área'!D5</f>
        <v>1</v>
      </c>
      <c r="E20">
        <f>'Consolidado por área'!E5</f>
        <v>0</v>
      </c>
      <c r="F20">
        <f>IF(C20&gt;0,D20/C20,0)</f>
        <v>1</v>
      </c>
      <c r="G20">
        <f>F20*1000000+C20*10+(1000-ROW())/10000</f>
        <v>1000010.098</v>
      </c>
      <c r="H20">
        <f>'Consolidado por área'!H5</f>
        <v>95</v>
      </c>
      <c r="J20" t="n">
        <v>1</v>
      </c>
      <c r="K20">
        <f>MATCH(LARGE($G$20:$G$62,J20),$G$20:$G$62,0)</f>
        <v>41</v>
      </c>
      <c r="L20" t="str">
        <f>INDEX($A$20:$A$62,K20)&amp;"   "&amp;TEXT(INDEX($F$20:$F$62,K20),"0%")</f>
        <v>OFICIALIA DE CUMPLIMIENTO   100%</v>
      </c>
      <c r="M20">
        <f>INDEX($D$20:$D$62,K20)</f>
        <v>7</v>
      </c>
      <c r="N20">
        <f>INDEX($E$20:$E$62,K20)</f>
        <v>0</v>
      </c>
      <c r="O20" t="str">
        <f>INDEX($A$20:$A$62,K20)</f>
        <v>OFICIALIA DE CUMPLIMIENTO</v>
      </c>
      <c r="P20" t="str">
        <f>INDEX($B$20:$B$62,K20)</f>
        <v>Gerencia de Oficialía de Cumplimiento</v>
      </c>
      <c r="Q20">
        <f>INDEX($C$20:$C$62,K20)</f>
        <v>7</v>
      </c>
      <c r="R20">
        <f>INDEX($F$20:$F$62,K20)</f>
        <v>1</v>
      </c>
      <c r="S20">
        <f>INDEX($H$20:$H$62,K20)</f>
        <v>100</v>
      </c>
      <c r="T20">
        <f>IF(OR('Dashboard Gerencial'!$B$5="Todas las gerencias",P20='Dashboard Gerencial'!$B$5),ROW(),"")</f>
        <v>20</v>
      </c>
      <c r="W20" t="str">
        <f>A34</f>
        <v>DEPARTAMENTO DE ANALISIS Y PROGRAMACIÓN</v>
      </c>
      <c r="Z20">
        <f>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individual'!F20="Completado",3000000,0)+COUNTIF('Detalle individual'!$C$5:$C$295,"&lt;"&amp;'Detalle individual'!C20)*300+ROW(),"")</f>
        <v>3059120</v>
      </c>
    </row>
    <row r="21">
      <c r="A21" t="str">
        <f>TRIM('Consolidado por área'!A6)</f>
        <v>ADMINISTRACION DE RIESGOS</v>
      </c>
      <c r="B21" t="str">
        <f>'Consolidado por área'!B6</f>
        <v>Gerencia General</v>
      </c>
      <c r="C21">
        <f>'Consolidado por área'!C6</f>
        <v>4</v>
      </c>
      <c r="D21">
        <f>'Consolidado por área'!D6</f>
        <v>4</v>
      </c>
      <c r="E21">
        <f>'Consolidado por área'!E6</f>
        <v>0</v>
      </c>
      <c r="F21">
        <f>IF(C21&gt;0,D21/C21,0)</f>
        <v>1</v>
      </c>
      <c r="G21">
        <f>F21*1000000+C21*10+(1000-ROW())/10000</f>
        <v>1000040.0979</v>
      </c>
      <c r="H21">
        <f>'Consolidado por área'!H6</f>
        <v>100</v>
      </c>
      <c r="J21" t="n">
        <v>2</v>
      </c>
      <c r="K21">
        <f>MATCH(LARGE($G$20:$G$62,J21),$G$20:$G$62,0)</f>
        <v>20</v>
      </c>
      <c r="L21" t="str">
        <f>INDEX($A$20:$A$62,K21)&amp;"   "&amp;TEXT(INDEX($F$20:$F$62,K21),"0%")</f>
        <v>DEPARTAMENTO DE CUSTODIA DE GARANTÍA Y VALORES   100%</v>
      </c>
      <c r="M21">
        <f>INDEX($D$20:$D$62,K21)</f>
        <v>6</v>
      </c>
      <c r="N21">
        <f>INDEX($E$20:$E$62,K21)</f>
        <v>0</v>
      </c>
      <c r="O21" t="str">
        <f>INDEX($A$20:$A$62,K21)</f>
        <v>DEPARTAMENTO DE CUSTODIA DE GARANTÍA Y VALORES</v>
      </c>
      <c r="P21" t="str">
        <f>INDEX($B$20:$B$62,K21)</f>
        <v>Gerencia Administrativa</v>
      </c>
      <c r="Q21">
        <f>INDEX($C$20:$C$62,K21)</f>
        <v>6</v>
      </c>
      <c r="R21">
        <f>INDEX($F$20:$F$62,K21)</f>
        <v>1</v>
      </c>
      <c r="S21">
        <f>INDEX($H$20:$H$62,K21)</f>
        <v>100</v>
      </c>
      <c r="T21">
        <f>IF(OR('Dashboard Gerencial'!$B$5="Todas las gerencias",P21='Dashboard Gerencial'!$B$5),ROW(),"")</f>
        <v>21</v>
      </c>
      <c r="W21" t="str">
        <f>A35</f>
        <v>DEPARTAMENTO DE ATENCION A ASOCIADO Y CLIENTE</v>
      </c>
      <c r="Z21">
        <f>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individual'!F21="Completado",3000000,0)+COUNTIF('Detalle individual'!$C$5:$C$295,"&lt;"&amp;'Detalle individual'!C21)*300+ROW(),"")</f>
        <v>3084021</v>
      </c>
    </row>
    <row r="22">
      <c r="A22" t="str">
        <f>TRIM('Consolidado por área'!A7)</f>
        <v>ADMINISTRACIÓN DE CARTERAS</v>
      </c>
      <c r="B22" t="str">
        <f>'Consolidado por área'!B7</f>
        <v>Gerencia de Operaciones</v>
      </c>
      <c r="C22">
        <f>'Consolidado por área'!C7</f>
        <v>5</v>
      </c>
      <c r="D22">
        <f>'Consolidado por área'!D7</f>
        <v>2</v>
      </c>
      <c r="E22">
        <f>'Consolidado por área'!E7</f>
        <v>3</v>
      </c>
      <c r="F22">
        <f>IF(C22&gt;0,D22/C22,0)</f>
        <v>0.4</v>
      </c>
      <c r="G22">
        <f>F22*1000000+C22*10+(1000-ROW())/10000</f>
        <v>400050.0978</v>
      </c>
      <c r="H22">
        <f>'Consolidado por área'!H7</f>
        <v>100</v>
      </c>
      <c r="J22" t="n">
        <v>3</v>
      </c>
      <c r="K22">
        <f>MATCH(LARGE($G$20:$G$62,J22),$G$20:$G$62,0)</f>
        <v>2</v>
      </c>
      <c r="L22" t="str">
        <f>INDEX($A$20:$A$62,K22)&amp;"   "&amp;TEXT(INDEX($F$20:$F$62,K22),"0%")</f>
        <v>ADMINISTRACION DE RIESGOS   100%</v>
      </c>
      <c r="M22">
        <f>INDEX($D$20:$D$62,K22)</f>
        <v>4</v>
      </c>
      <c r="N22">
        <f>INDEX($E$20:$E$62,K22)</f>
        <v>0</v>
      </c>
      <c r="O22" t="str">
        <f>INDEX($A$20:$A$62,K22)</f>
        <v>ADMINISTRACION DE RIESGOS</v>
      </c>
      <c r="P22" t="str">
        <f>INDEX($B$20:$B$62,K22)</f>
        <v>Gerencia General</v>
      </c>
      <c r="Q22">
        <f>INDEX($C$20:$C$62,K22)</f>
        <v>4</v>
      </c>
      <c r="R22">
        <f>INDEX($F$20:$F$62,K22)</f>
        <v>1</v>
      </c>
      <c r="S22">
        <f>INDEX($H$20:$H$62,K22)</f>
        <v>100</v>
      </c>
      <c r="T22">
        <f>IF(OR('Dashboard Gerencial'!$B$5="Todas las gerencias",P22='Dashboard Gerencial'!$B$5),ROW(),"")</f>
        <v>22</v>
      </c>
      <c r="W22" t="str">
        <f>A36</f>
        <v>DEPARTAMENTO DE AUDITORIA INTERNA</v>
      </c>
      <c r="Z22">
        <f>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individual'!F22="Completado",3000000,0)+COUNTIF('Detalle individual'!$C$5:$C$295,"&lt;"&amp;'Detalle individual'!C22)*300+ROW(),"")</f>
        <v>3084022</v>
      </c>
    </row>
    <row r="23">
      <c r="A23" t="str">
        <f>TRIM('Consolidado por área'!A8)</f>
        <v>AGENCIA CENTRAL</v>
      </c>
      <c r="B23" t="str">
        <f>'Consolidado por área'!B8</f>
        <v>Gerencia de Negocios</v>
      </c>
      <c r="C23">
        <f>'Consolidado por área'!C8</f>
        <v>18</v>
      </c>
      <c r="D23">
        <f>'Consolidado por área'!D8</f>
        <v>6</v>
      </c>
      <c r="E23">
        <f>'Consolidado por área'!E8</f>
        <v>12</v>
      </c>
      <c r="F23">
        <f>IF(C23&gt;0,D23/C23,0)</f>
        <v>0.333333333333333</v>
      </c>
      <c r="G23">
        <f>F23*1000000+C23*10+(1000-ROW())/10000</f>
        <v>333513.431033333</v>
      </c>
      <c r="H23">
        <f>'Consolidado por área'!H8</f>
        <v>95</v>
      </c>
      <c r="J23" t="n">
        <v>4</v>
      </c>
      <c r="K23">
        <f>MATCH(LARGE($G$20:$G$62,J23),$G$20:$G$62,0)</f>
        <v>42</v>
      </c>
      <c r="L23" t="str">
        <f>INDEX($A$20:$A$62,K23)&amp;"   "&amp;TEXT(INDEX($F$20:$F$62,K23),"0%")</f>
        <v>OFICIALIA DE SEGURIDAD DE LA INFORMACION   100%</v>
      </c>
      <c r="M23">
        <f>INDEX($D$20:$D$62,K23)</f>
        <v>4</v>
      </c>
      <c r="N23">
        <f>INDEX($E$20:$E$62,K23)</f>
        <v>0</v>
      </c>
      <c r="O23" t="str">
        <f>INDEX($A$20:$A$62,K23)</f>
        <v>OFICIALIA DE SEGURIDAD DE LA INFORMACION</v>
      </c>
      <c r="P23" t="str">
        <f>INDEX($B$20:$B$62,K23)</f>
        <v>Gerencia General</v>
      </c>
      <c r="Q23">
        <f>INDEX($C$20:$C$62,K23)</f>
        <v>4</v>
      </c>
      <c r="R23">
        <f>INDEX($F$20:$F$62,K23)</f>
        <v>1</v>
      </c>
      <c r="S23">
        <f>INDEX($H$20:$H$62,K23)</f>
        <v>96.25</v>
      </c>
      <c r="T23">
        <f>IF(OR('Dashboard Gerencial'!$B$5="Todas las gerencias",P23='Dashboard Gerencial'!$B$5),ROW(),"")</f>
        <v>23</v>
      </c>
      <c r="W23" t="str">
        <f>A37</f>
        <v>DEPARTAMENTO DE CONTABILIDAD</v>
      </c>
      <c r="Z23">
        <f>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individual'!F23="Completado",3000000,0)+COUNTIF('Detalle individual'!$C$5:$C$295,"&lt;"&amp;'Detalle individual'!C23)*300+ROW(),"")</f>
        <v>3084023</v>
      </c>
    </row>
    <row r="24">
      <c r="A24" t="str">
        <f>TRIM('Consolidado por área'!A9)</f>
        <v>AGENCIA COLEGIO MEDICO</v>
      </c>
      <c r="B24" t="str">
        <f>'Consolidado por área'!B9</f>
        <v>Gerencia de Negocios</v>
      </c>
      <c r="C24">
        <f>'Consolidado por área'!C9</f>
        <v>12</v>
      </c>
      <c r="D24">
        <f>'Consolidado por área'!D9</f>
        <v>3</v>
      </c>
      <c r="E24">
        <f>'Consolidado por área'!E9</f>
        <v>9</v>
      </c>
      <c r="F24">
        <f>IF(C24&gt;0,D24/C24,0)</f>
        <v>0.25</v>
      </c>
      <c r="G24">
        <f>F24*1000000+C24*10+(1000-ROW())/10000</f>
        <v>250120.0976</v>
      </c>
      <c r="H24">
        <f>'Consolidado por área'!H9</f>
        <v>100</v>
      </c>
      <c r="J24" t="n">
        <v>5</v>
      </c>
      <c r="K24">
        <f>MATCH(LARGE($G$20:$G$62,J24),$G$20:$G$62,0)</f>
        <v>26</v>
      </c>
      <c r="L24" t="str">
        <f>INDEX($A$20:$A$62,K24)&amp;"   "&amp;TEXT(INDEX($F$20:$F$62,K24),"0%")</f>
        <v>DEPARTAMENTO DE PROCESOS   100%</v>
      </c>
      <c r="M24">
        <f>INDEX($D$20:$D$62,K24)</f>
        <v>3</v>
      </c>
      <c r="N24">
        <f>INDEX($E$20:$E$62,K24)</f>
        <v>0</v>
      </c>
      <c r="O24" t="str">
        <f>INDEX($A$20:$A$62,K24)</f>
        <v>DEPARTAMENTO DE PROCESOS</v>
      </c>
      <c r="P24" t="str">
        <f>INDEX($B$20:$B$62,K24)</f>
        <v>Gerencia General</v>
      </c>
      <c r="Q24">
        <f>INDEX($C$20:$C$62,K24)</f>
        <v>3</v>
      </c>
      <c r="R24">
        <f>INDEX($F$20:$F$62,K24)</f>
        <v>1</v>
      </c>
      <c r="S24">
        <f>INDEX($H$20:$H$62,K24)</f>
        <v>100</v>
      </c>
      <c r="T24">
        <f>IF(OR('Dashboard Gerencial'!$B$5="Todas las gerencias",P24='Dashboard Gerencial'!$B$5),ROW(),"")</f>
        <v>24</v>
      </c>
      <c r="W24" t="str">
        <f>A38</f>
        <v>DEPARTAMENTO DE CREDITOS</v>
      </c>
      <c r="Z24">
        <f>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individual'!F24="Completado",3000000,0)+COUNTIF('Detalle individual'!$C$5:$C$295,"&lt;"&amp;'Detalle individual'!C24)*300+ROW(),"")</f>
        <v>3084024</v>
      </c>
    </row>
    <row r="25">
      <c r="A25" t="str">
        <f>TRIM('Consolidado por área'!A10)</f>
        <v>AGENCIA COLONIA MEDICA</v>
      </c>
      <c r="B25" t="str">
        <f>'Consolidado por área'!B10</f>
        <v>Gerencia de Negocios</v>
      </c>
      <c r="C25">
        <f>'Consolidado por área'!C10</f>
        <v>16</v>
      </c>
      <c r="D25">
        <f>'Consolidado por área'!D10</f>
        <v>5</v>
      </c>
      <c r="E25">
        <f>'Consolidado por área'!E10</f>
        <v>11</v>
      </c>
      <c r="F25">
        <f>IF(C25&gt;0,D25/C25,0)</f>
        <v>0.3125</v>
      </c>
      <c r="G25">
        <f>F25*1000000+C25*10+(1000-ROW())/10000</f>
        <v>312660.0975</v>
      </c>
      <c r="H25">
        <f>'Consolidado por área'!H10</f>
        <v>99</v>
      </c>
      <c r="J25" t="n">
        <v>6</v>
      </c>
      <c r="K25">
        <f>MATCH(LARGE($G$20:$G$62,J25),$G$20:$G$62,0)</f>
        <v>13</v>
      </c>
      <c r="L25" t="str">
        <f>INDEX($A$20:$A$62,K25)&amp;"   "&amp;TEXT(INDEX($F$20:$F$62,K25),"0%")</f>
        <v>CLINICA EMPRESARIAL   100%</v>
      </c>
      <c r="M25">
        <f>INDEX($D$20:$D$62,K25)</f>
        <v>2</v>
      </c>
      <c r="N25">
        <f>INDEX($E$20:$E$62,K25)</f>
        <v>0</v>
      </c>
      <c r="O25" t="str">
        <f>INDEX($A$20:$A$62,K25)</f>
        <v>CLINICA EMPRESARIAL</v>
      </c>
      <c r="P25" t="str">
        <f>INDEX($B$20:$B$62,K25)</f>
        <v>Gerencia Administrativa</v>
      </c>
      <c r="Q25">
        <f>INDEX($C$20:$C$62,K25)</f>
        <v>2</v>
      </c>
      <c r="R25">
        <f>INDEX($F$20:$F$62,K25)</f>
        <v>1</v>
      </c>
      <c r="S25">
        <f>INDEX($H$20:$H$62,K25)</f>
        <v>100</v>
      </c>
      <c r="T25">
        <f>IF(OR('Dashboard Gerencial'!$B$5="Todas las gerencias",P25='Dashboard Gerencial'!$B$5),ROW(),"")</f>
        <v>25</v>
      </c>
      <c r="W25" t="str">
        <f>A39</f>
        <v>DEPARTAMENTO DE CUSTODIA DE GARANTÍA Y VALORES</v>
      </c>
      <c r="Z25">
        <f>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individual'!F25="Completado",3000000,0)+COUNTIF('Detalle individual'!$C$5:$C$295,"&lt;"&amp;'Detalle individual'!C25)*300+ROW(),"")</f>
        <v>77125</v>
      </c>
    </row>
    <row r="26">
      <c r="A26" t="str">
        <f>TRIM('Consolidado por área'!A11)</f>
        <v>AGENCIA MERLIOT</v>
      </c>
      <c r="B26" t="str">
        <f>'Consolidado por área'!B11</f>
        <v>Gerencia de Negocios</v>
      </c>
      <c r="C26">
        <f>'Consolidado por área'!C11</f>
        <v>13</v>
      </c>
      <c r="D26">
        <f>'Consolidado por área'!D11</f>
        <v>12</v>
      </c>
      <c r="E26">
        <f>'Consolidado por área'!E11</f>
        <v>1</v>
      </c>
      <c r="F26">
        <f>IF(C26&gt;0,D26/C26,0)</f>
        <v>0.923076923076923</v>
      </c>
      <c r="G26">
        <f>F26*1000000+C26*10+(1000-ROW())/10000</f>
        <v>923207.020476923</v>
      </c>
      <c r="H26">
        <f>'Consolidado por área'!H11</f>
        <v>95.4166666666667</v>
      </c>
      <c r="J26" t="n">
        <v>7</v>
      </c>
      <c r="K26">
        <f>MATCH(LARGE($G$20:$G$62,J26),$G$20:$G$62,0)</f>
        <v>27</v>
      </c>
      <c r="L26" t="str">
        <f>INDEX($A$20:$A$62,K26)&amp;"   "&amp;TEXT(INDEX($F$20:$F$62,K26),"0%")</f>
        <v>DEPARTAMENTO DE SEGURIDAD   100%</v>
      </c>
      <c r="M26">
        <f>INDEX($D$20:$D$62,K26)</f>
        <v>2</v>
      </c>
      <c r="N26">
        <f>INDEX($E$20:$E$62,K26)</f>
        <v>0</v>
      </c>
      <c r="O26" t="str">
        <f>INDEX($A$20:$A$62,K26)</f>
        <v>DEPARTAMENTO DE SEGURIDAD</v>
      </c>
      <c r="P26" t="str">
        <f>INDEX($B$20:$B$62,K26)</f>
        <v>Gerencia Administrativa</v>
      </c>
      <c r="Q26">
        <f>INDEX($C$20:$C$62,K26)</f>
        <v>2</v>
      </c>
      <c r="R26">
        <f>INDEX($F$20:$F$62,K26)</f>
        <v>1</v>
      </c>
      <c r="S26">
        <f>INDEX($H$20:$H$62,K26)</f>
        <v>95</v>
      </c>
      <c r="T26">
        <f>IF(OR('Dashboard Gerencial'!$B$5="Todas las gerencias",P26='Dashboard Gerencial'!$B$5),ROW(),"")</f>
        <v>26</v>
      </c>
      <c r="W26" t="str">
        <f>A40</f>
        <v>DEPARTAMENTO DE DEPOSITOS</v>
      </c>
      <c r="Z26">
        <f>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individual'!F26="Completado",3000000,0)+COUNTIF('Detalle individual'!$C$5:$C$295,"&lt;"&amp;'Detalle individual'!C26)*300+ROW(),"")</f>
        <v>3063926</v>
      </c>
    </row>
    <row r="27">
      <c r="A27" t="str">
        <f>TRIM('Consolidado por área'!A12)</f>
        <v>AGENCIA PLAZA MUNDO</v>
      </c>
      <c r="B27" t="str">
        <f>'Consolidado por área'!B12</f>
        <v>Gerencia de Negocios</v>
      </c>
      <c r="C27">
        <f>'Consolidado por área'!C12</f>
        <v>8</v>
      </c>
      <c r="D27">
        <f>'Consolidado por área'!D12</f>
        <v>0</v>
      </c>
      <c r="E27">
        <f>'Consolidado por área'!E12</f>
        <v>8</v>
      </c>
      <c r="F27">
        <f>IF(C27&gt;0,D27/C27,0)</f>
        <v>0</v>
      </c>
      <c r="G27">
        <f>F27*1000000+C27*10+(1000-ROW())/10000</f>
        <v>80.0973</v>
      </c>
      <c r="H27" t="str">
        <f>'Consolidado por área'!H12</f>
        <v/>
      </c>
      <c r="J27" t="n">
        <v>8</v>
      </c>
      <c r="K27">
        <f>MATCH(LARGE($G$20:$G$62,J27),$G$20:$G$62,0)</f>
        <v>1</v>
      </c>
      <c r="L27" t="str">
        <f>INDEX($A$20:$A$62,K27)&amp;"   "&amp;TEXT(INDEX($F$20:$F$62,K27),"0%")</f>
        <v>ADMINISTRACION DE BASE DE DATOS   100%</v>
      </c>
      <c r="M27">
        <f>INDEX($D$20:$D$62,K27)</f>
        <v>1</v>
      </c>
      <c r="N27">
        <f>INDEX($E$20:$E$62,K27)</f>
        <v>0</v>
      </c>
      <c r="O27" t="str">
        <f>INDEX($A$20:$A$62,K27)</f>
        <v>ADMINISTRACION DE BASE DE DATOS</v>
      </c>
      <c r="P27" t="str">
        <f>INDEX($B$20:$B$62,K27)</f>
        <v>Gerencia de Sistemas</v>
      </c>
      <c r="Q27">
        <f>INDEX($C$20:$C$62,K27)</f>
        <v>1</v>
      </c>
      <c r="R27">
        <f>INDEX($F$20:$F$62,K27)</f>
        <v>1</v>
      </c>
      <c r="S27">
        <f>INDEX($H$20:$H$62,K27)</f>
        <v>95</v>
      </c>
      <c r="T27">
        <f>IF(OR('Dashboard Gerencial'!$B$5="Todas las gerencias",P27='Dashboard Gerencial'!$B$5),ROW(),"")</f>
        <v>27</v>
      </c>
      <c r="W27" t="str">
        <f>A41</f>
        <v>DEPARTAMENTO DE EDUCACION Y RESPONSABILIDAD SOCIAL</v>
      </c>
      <c r="Z27">
        <f>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individual'!F27="Completado",3000000,0)+COUNTIF('Detalle individual'!$C$5:$C$295,"&lt;"&amp;'Detalle individual'!C27)*300+ROW(),"")</f>
        <v>3063927</v>
      </c>
    </row>
    <row r="28">
      <c r="A28" t="str">
        <f>TRIM('Consolidado por área'!A13)</f>
        <v>AGENCIA SAN MIGUEL</v>
      </c>
      <c r="B28" t="str">
        <f>'Consolidado por área'!B13</f>
        <v>Gerencia de Negocios</v>
      </c>
      <c r="C28">
        <f>'Consolidado por área'!C13</f>
        <v>8</v>
      </c>
      <c r="D28">
        <f>'Consolidado por área'!D13</f>
        <v>7</v>
      </c>
      <c r="E28">
        <f>'Consolidado por área'!E13</f>
        <v>1</v>
      </c>
      <c r="F28">
        <f>IF(C28&gt;0,D28/C28,0)</f>
        <v>0.875</v>
      </c>
      <c r="G28">
        <f>F28*1000000+C28*10+(1000-ROW())/10000</f>
        <v>875080.0972</v>
      </c>
      <c r="H28">
        <f>'Consolidado por área'!H13</f>
        <v>98.5714285714286</v>
      </c>
      <c r="J28" t="n">
        <v>9</v>
      </c>
      <c r="K28">
        <f>MATCH(LARGE($G$20:$G$62,J28),$G$20:$G$62,0)</f>
        <v>40</v>
      </c>
      <c r="L28" t="str">
        <f>INDEX($A$20:$A$62,K28)&amp;"   "&amp;TEXT(INDEX($F$20:$F$62,K28),"0%")</f>
        <v>GERENCIA LEGAL Y DE CUMPLIMIENTO NORMATIVO   100%</v>
      </c>
      <c r="M28">
        <f>INDEX($D$20:$D$62,K28)</f>
        <v>1</v>
      </c>
      <c r="N28">
        <f>INDEX($E$20:$E$62,K28)</f>
        <v>0</v>
      </c>
      <c r="O28" t="str">
        <f>INDEX($A$20:$A$62,K28)</f>
        <v>GERENCIA LEGAL Y DE CUMPLIMIENTO NORMATIVO</v>
      </c>
      <c r="P28" t="str">
        <f>INDEX($B$20:$B$62,K28)</f>
        <v>Gerencia Legal y Cumplimiento Normativo</v>
      </c>
      <c r="Q28">
        <f>INDEX($C$20:$C$62,K28)</f>
        <v>1</v>
      </c>
      <c r="R28">
        <f>INDEX($F$20:$F$62,K28)</f>
        <v>1</v>
      </c>
      <c r="S28">
        <f>INDEX($H$20:$H$62,K28)</f>
        <v>100</v>
      </c>
      <c r="T28">
        <f>IF(OR('Dashboard Gerencial'!$B$5="Todas las gerencias",P28='Dashboard Gerencial'!$B$5),ROW(),"")</f>
        <v>28</v>
      </c>
      <c r="W28" t="str">
        <f>A42</f>
        <v>DEPARTAMENTO DE MERCADEO</v>
      </c>
      <c r="Z28">
        <f>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individual'!F28="Completado",3000000,0)+COUNTIF('Detalle individual'!$C$5:$C$295,"&lt;"&amp;'Detalle individual'!C28)*300+ROW(),"")</f>
        <v>3063928</v>
      </c>
    </row>
    <row r="29">
      <c r="A29" t="str">
        <f>TRIM('Consolidado por área'!A14)</f>
        <v>AGENCIA SANTA ANA</v>
      </c>
      <c r="B29" t="str">
        <f>'Consolidado por área'!B14</f>
        <v>Gerencia de Negocios</v>
      </c>
      <c r="C29">
        <f>'Consolidado por área'!C14</f>
        <v>8</v>
      </c>
      <c r="D29">
        <f>'Consolidado por área'!D14</f>
        <v>0</v>
      </c>
      <c r="E29">
        <f>'Consolidado por área'!E14</f>
        <v>8</v>
      </c>
      <c r="F29">
        <f>IF(C29&gt;0,D29/C29,0)</f>
        <v>0</v>
      </c>
      <c r="G29">
        <f>F29*1000000+C29*10+(1000-ROW())/10000</f>
        <v>80.0971</v>
      </c>
      <c r="H29" t="str">
        <f>'Consolidado por área'!H14</f>
        <v/>
      </c>
      <c r="J29" t="n">
        <v>10</v>
      </c>
      <c r="K29">
        <f>MATCH(LARGE($G$20:$G$62,J29),$G$20:$G$62,0)</f>
        <v>29</v>
      </c>
      <c r="L29" t="str">
        <f>INDEX($A$20:$A$62,K29)&amp;"   "&amp;TEXT(INDEX($F$20:$F$62,K29),"0%")</f>
        <v>DEPARTAMENTO DE SERVICIOS GENERALES   94%</v>
      </c>
      <c r="M29">
        <f>INDEX($D$20:$D$62,K29)</f>
        <v>16</v>
      </c>
      <c r="N29">
        <f>INDEX($E$20:$E$62,K29)</f>
        <v>1</v>
      </c>
      <c r="O29" t="str">
        <f>INDEX($A$20:$A$62,K29)</f>
        <v>DEPARTAMENTO DE SERVICIOS GENERALES</v>
      </c>
      <c r="P29" t="str">
        <f>INDEX($B$20:$B$62,K29)</f>
        <v>Gerencia Administrativa</v>
      </c>
      <c r="Q29">
        <f>INDEX($C$20:$C$62,K29)</f>
        <v>17</v>
      </c>
      <c r="R29">
        <f>INDEX($F$20:$F$62,K29)</f>
        <v>0.941176470588235</v>
      </c>
      <c r="S29">
        <f>INDEX($H$20:$H$62,K29)</f>
        <v>85.625</v>
      </c>
      <c r="T29">
        <f>IF(OR('Dashboard Gerencial'!$B$5="Todas las gerencias",P29='Dashboard Gerencial'!$B$5),ROW(),"")</f>
        <v>29</v>
      </c>
      <c r="W29" t="str">
        <f>A43</f>
        <v>DEPARTAMENTO DE OPERACIONES Y SOPORTE TECNICO</v>
      </c>
      <c r="Z29">
        <f>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individual'!F29="Completado",3000000,0)+COUNTIF('Detalle individual'!$C$5:$C$295,"&lt;"&amp;'Detalle individual'!C29)*300+ROW(),"")</f>
        <v>3063929</v>
      </c>
    </row>
    <row r="30">
      <c r="A30" t="str">
        <f>TRIM('Consolidado por área'!A15)</f>
        <v>AGENCIA SONSONATE</v>
      </c>
      <c r="B30" t="str">
        <f>'Consolidado por área'!B15</f>
        <v>Gerencia de Negocios</v>
      </c>
      <c r="C30">
        <f>'Consolidado por área'!C15</f>
        <v>7</v>
      </c>
      <c r="D30">
        <f>'Consolidado por área'!D15</f>
        <v>0</v>
      </c>
      <c r="E30">
        <f>'Consolidado por área'!E15</f>
        <v>7</v>
      </c>
      <c r="F30">
        <f>IF(C30&gt;0,D30/C30,0)</f>
        <v>0</v>
      </c>
      <c r="G30">
        <f>F30*1000000+C30*10+(1000-ROW())/10000</f>
        <v>70.097</v>
      </c>
      <c r="H30" t="str">
        <f>'Consolidado por área'!H15</f>
        <v/>
      </c>
      <c r="J30" t="n">
        <v>11</v>
      </c>
      <c r="K30">
        <f>MATCH(LARGE($G$20:$G$62,J30),$G$20:$G$62,0)</f>
        <v>7</v>
      </c>
      <c r="L30" t="str">
        <f>INDEX($A$20:$A$62,K30)&amp;"   "&amp;TEXT(INDEX($F$20:$F$62,K30),"0%")</f>
        <v>AGENCIA MERLIOT   92%</v>
      </c>
      <c r="M30">
        <f>INDEX($D$20:$D$62,K30)</f>
        <v>12</v>
      </c>
      <c r="N30">
        <f>INDEX($E$20:$E$62,K30)</f>
        <v>1</v>
      </c>
      <c r="O30" t="str">
        <f>INDEX($A$20:$A$62,K30)</f>
        <v>AGENCIA MERLIOT</v>
      </c>
      <c r="P30" t="str">
        <f>INDEX($B$20:$B$62,K30)</f>
        <v>Gerencia de Negocios</v>
      </c>
      <c r="Q30">
        <f>INDEX($C$20:$C$62,K30)</f>
        <v>13</v>
      </c>
      <c r="R30">
        <f>INDEX($F$20:$F$62,K30)</f>
        <v>0.923076923076923</v>
      </c>
      <c r="S30">
        <f>INDEX($H$20:$H$62,K30)</f>
        <v>95.4166666666667</v>
      </c>
      <c r="T30">
        <f>IF(OR('Dashboard Gerencial'!$B$5="Todas las gerencias",P30='Dashboard Gerencial'!$B$5),ROW(),"")</f>
        <v>30</v>
      </c>
      <c r="W30" t="str">
        <f>A44</f>
        <v>DEPARTAMENTO DE PLANIFICACIÓN Y ANALISIS</v>
      </c>
      <c r="Z30">
        <f>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individual'!F30="Completado",3000000,0)+COUNTIF('Detalle individual'!$C$5:$C$295,"&lt;"&amp;'Detalle individual'!C30)*300+ROW(),"")</f>
        <v>3063930</v>
      </c>
    </row>
    <row r="31">
      <c r="A31" t="str">
        <f>TRIM('Consolidado por área'!A16)</f>
        <v>AGENCIA USULUTAN</v>
      </c>
      <c r="B31" t="str">
        <f>'Consolidado por área'!B16</f>
        <v>Gerencia de Negocios</v>
      </c>
      <c r="C31">
        <f>'Consolidado por área'!C16</f>
        <v>7</v>
      </c>
      <c r="D31">
        <f>'Consolidado por área'!D16</f>
        <v>4</v>
      </c>
      <c r="E31">
        <f>'Consolidado por área'!E16</f>
        <v>3</v>
      </c>
      <c r="F31">
        <f>IF(C31&gt;0,D31/C31,0)</f>
        <v>0.571428571428571</v>
      </c>
      <c r="G31">
        <f>F31*1000000+C31*10+(1000-ROW())/10000</f>
        <v>571498.668328571</v>
      </c>
      <c r="H31">
        <f>'Consolidado por área'!H16</f>
        <v>95</v>
      </c>
      <c r="J31" t="n">
        <v>12</v>
      </c>
      <c r="K31">
        <f>MATCH(LARGE($G$20:$G$62,J31),$G$20:$G$62,0)</f>
        <v>9</v>
      </c>
      <c r="L31" t="str">
        <f>INDEX($A$20:$A$62,K31)&amp;"   "&amp;TEXT(INDEX($F$20:$F$62,K31),"0%")</f>
        <v>AGENCIA SAN MIGUEL   88%</v>
      </c>
      <c r="M31">
        <f>INDEX($D$20:$D$62,K31)</f>
        <v>7</v>
      </c>
      <c r="N31">
        <f>INDEX($E$20:$E$62,K31)</f>
        <v>1</v>
      </c>
      <c r="O31" t="str">
        <f>INDEX($A$20:$A$62,K31)</f>
        <v>AGENCIA SAN MIGUEL</v>
      </c>
      <c r="P31" t="str">
        <f>INDEX($B$20:$B$62,K31)</f>
        <v>Gerencia de Negocios</v>
      </c>
      <c r="Q31">
        <f>INDEX($C$20:$C$62,K31)</f>
        <v>8</v>
      </c>
      <c r="R31">
        <f>INDEX($F$20:$F$62,K31)</f>
        <v>0.875</v>
      </c>
      <c r="S31">
        <f>INDEX($H$20:$H$62,K31)</f>
        <v>98.5714285714286</v>
      </c>
      <c r="T31">
        <f>IF(OR('Dashboard Gerencial'!$B$5="Todas las gerencias",P31='Dashboard Gerencial'!$B$5),ROW(),"")</f>
        <v>31</v>
      </c>
      <c r="W31" t="str">
        <f>A45</f>
        <v>DEPARTAMENTO DE PROCESOS</v>
      </c>
      <c r="Z31">
        <f>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individual'!F31="Completado",3000000,0)+COUNTIF('Detalle individual'!$C$5:$C$295,"&lt;"&amp;'Detalle individual'!C31)*300+ROW(),"")</f>
        <v>63931</v>
      </c>
    </row>
    <row r="32">
      <c r="A32" t="str">
        <f>TRIM('Consolidado por área'!A17)</f>
        <v>CLINICA EMPRESARIAL</v>
      </c>
      <c r="B32" t="str">
        <f>'Consolidado por área'!B17</f>
        <v>Gerencia Administrativa</v>
      </c>
      <c r="C32">
        <f>'Consolidado por área'!C17</f>
        <v>2</v>
      </c>
      <c r="D32">
        <f>'Consolidado por área'!D17</f>
        <v>2</v>
      </c>
      <c r="E32">
        <f>'Consolidado por área'!E17</f>
        <v>0</v>
      </c>
      <c r="F32">
        <f>IF(C32&gt;0,D32/C32,0)</f>
        <v>1</v>
      </c>
      <c r="G32">
        <f>F32*1000000+C32*10+(1000-ROW())/10000</f>
        <v>1000020.0968</v>
      </c>
      <c r="H32">
        <f>'Consolidado por área'!H17</f>
        <v>100</v>
      </c>
      <c r="J32" t="n">
        <v>13</v>
      </c>
      <c r="K32">
        <f>MATCH(LARGE($G$20:$G$62,J32),$G$20:$G$62,0)</f>
        <v>24</v>
      </c>
      <c r="L32" t="str">
        <f>INDEX($A$20:$A$62,K32)&amp;"   "&amp;TEXT(INDEX($F$20:$F$62,K32),"0%")</f>
        <v>DEPARTAMENTO DE OPERACIONES Y SOPORTE TECNICO   86%</v>
      </c>
      <c r="M32">
        <f>INDEX($D$20:$D$62,K32)</f>
        <v>6</v>
      </c>
      <c r="N32">
        <f>INDEX($E$20:$E$62,K32)</f>
        <v>1</v>
      </c>
      <c r="O32" t="str">
        <f>INDEX($A$20:$A$62,K32)</f>
        <v>DEPARTAMENTO DE OPERACIONES Y SOPORTE TECNICO</v>
      </c>
      <c r="P32" t="str">
        <f>INDEX($B$20:$B$62,K32)</f>
        <v>Gerencia de Sistemas</v>
      </c>
      <c r="Q32">
        <f>INDEX($C$20:$C$62,K32)</f>
        <v>7</v>
      </c>
      <c r="R32">
        <f>INDEX($F$20:$F$62,K32)</f>
        <v>0.857142857142857</v>
      </c>
      <c r="S32">
        <f>INDEX($H$20:$H$62,K32)</f>
        <v>100</v>
      </c>
      <c r="T32">
        <f>IF(OR('Dashboard Gerencial'!$B$5="Todas las gerencias",P32='Dashboard Gerencial'!$B$5),ROW(),"")</f>
        <v>32</v>
      </c>
      <c r="W32" t="str">
        <f>A46</f>
        <v>DEPARTAMENTO DE SEGURIDAD</v>
      </c>
      <c r="Z32">
        <f>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individual'!F32="Completado",3000000,0)+COUNTIF('Detalle individual'!$C$5:$C$295,"&lt;"&amp;'Detalle individual'!C32)*300+ROW(),"")</f>
        <v>3063932</v>
      </c>
    </row>
    <row r="33">
      <c r="A33" t="str">
        <f>TRIM('Consolidado por área'!A18)</f>
        <v>DEPARTAMENTO COMERCIAL DE TARJETA DE CREDITO Y DEBITO</v>
      </c>
      <c r="B33" t="str">
        <f>'Consolidado por área'!B18</f>
        <v>Gerencia de Negocios</v>
      </c>
      <c r="C33">
        <f>'Consolidado por área'!C18</f>
        <v>8</v>
      </c>
      <c r="D33">
        <f>'Consolidado por área'!D18</f>
        <v>4</v>
      </c>
      <c r="E33">
        <f>'Consolidado por área'!E18</f>
        <v>4</v>
      </c>
      <c r="F33">
        <f>IF(C33&gt;0,D33/C33,0)</f>
        <v>0.5</v>
      </c>
      <c r="G33">
        <f>F33*1000000+C33*10+(1000-ROW())/10000</f>
        <v>500080.0967</v>
      </c>
      <c r="H33">
        <f>'Consolidado por área'!H18</f>
        <v>88.75</v>
      </c>
      <c r="J33" t="n">
        <v>14</v>
      </c>
      <c r="K33">
        <f>MATCH(LARGE($G$20:$G$62,J33),$G$20:$G$62,0)</f>
        <v>21</v>
      </c>
      <c r="L33" t="str">
        <f>INDEX($A$20:$A$62,K33)&amp;"   "&amp;TEXT(INDEX($F$20:$F$62,K33),"0%")</f>
        <v>DEPARTAMENTO DE DEPOSITOS   75%</v>
      </c>
      <c r="M33">
        <f>INDEX($D$20:$D$62,K33)</f>
        <v>3</v>
      </c>
      <c r="N33">
        <f>INDEX($E$20:$E$62,K33)</f>
        <v>1</v>
      </c>
      <c r="O33" t="str">
        <f>INDEX($A$20:$A$62,K33)</f>
        <v>DEPARTAMENTO DE DEPOSITOS</v>
      </c>
      <c r="P33" t="str">
        <f>INDEX($B$20:$B$62,K33)</f>
        <v>Gerencia de Operaciones</v>
      </c>
      <c r="Q33">
        <f>INDEX($C$20:$C$62,K33)</f>
        <v>4</v>
      </c>
      <c r="R33">
        <f>INDEX($F$20:$F$62,K33)</f>
        <v>0.75</v>
      </c>
      <c r="S33">
        <f>INDEX($H$20:$H$62,K33)</f>
        <v>98.3333333333333</v>
      </c>
      <c r="T33">
        <f>IF(OR('Dashboard Gerencial'!$B$5="Todas las gerencias",P33='Dashboard Gerencial'!$B$5),ROW(),"")</f>
        <v>33</v>
      </c>
      <c r="W33" t="str">
        <f>A47</f>
        <v>DEPARTAMENTO DE SEGUROS</v>
      </c>
      <c r="Z33">
        <f>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individual'!F33="Completado",3000000,0)+COUNTIF('Detalle individual'!$C$5:$C$295,"&lt;"&amp;'Detalle individual'!C33)*300+ROW(),"")</f>
        <v>3063933</v>
      </c>
    </row>
    <row r="34">
      <c r="A34" t="str">
        <f>TRIM('Consolidado por área'!A19)</f>
        <v>DEPARTAMENTO DE ANALISIS Y PROGRAMACIÓN</v>
      </c>
      <c r="B34" t="str">
        <f>'Consolidado por área'!B19</f>
        <v>Gerencia de Sistemas</v>
      </c>
      <c r="C34">
        <f>'Consolidado por área'!C19</f>
        <v>11</v>
      </c>
      <c r="D34">
        <f>'Consolidado por área'!D19</f>
        <v>8</v>
      </c>
      <c r="E34">
        <f>'Consolidado por área'!E19</f>
        <v>3</v>
      </c>
      <c r="F34">
        <f>IF(C34&gt;0,D34/C34,0)</f>
        <v>0.727272727272727</v>
      </c>
      <c r="G34">
        <f>F34*1000000+C34*10+(1000-ROW())/10000</f>
        <v>727382.823872727</v>
      </c>
      <c r="H34">
        <f>'Consolidado por área'!H19</f>
        <v>100</v>
      </c>
      <c r="J34" t="n">
        <v>15</v>
      </c>
      <c r="K34">
        <f>MATCH(LARGE($G$20:$G$62,J34),$G$20:$G$62,0)</f>
        <v>36</v>
      </c>
      <c r="L34" t="str">
        <f>INDEX($A$20:$A$62,K34)&amp;"   "&amp;TEXT(INDEX($F$20:$F$62,K34),"0%")</f>
        <v>GERENCIA DE NEGOCIOS   75%</v>
      </c>
      <c r="M34">
        <f>INDEX($D$20:$D$62,K34)</f>
        <v>3</v>
      </c>
      <c r="N34">
        <f>INDEX($E$20:$E$62,K34)</f>
        <v>1</v>
      </c>
      <c r="O34" t="str">
        <f>INDEX($A$20:$A$62,K34)</f>
        <v>GERENCIA DE NEGOCIOS</v>
      </c>
      <c r="P34" t="str">
        <f>INDEX($B$20:$B$62,K34)</f>
        <v>Gerencia de Negocios</v>
      </c>
      <c r="Q34">
        <f>INDEX($C$20:$C$62,K34)</f>
        <v>4</v>
      </c>
      <c r="R34">
        <f>INDEX($F$20:$F$62,K34)</f>
        <v>0.75</v>
      </c>
      <c r="S34">
        <f>INDEX($H$20:$H$62,K34)</f>
        <v>100</v>
      </c>
      <c r="T34">
        <f>IF(OR('Dashboard Gerencial'!$B$5="Todas las gerencias",P34='Dashboard Gerencial'!$B$5),ROW(),"")</f>
        <v>34</v>
      </c>
      <c r="W34" t="str">
        <f>A48</f>
        <v>DEPARTAMENTO DE SERVICIOS GENERALES</v>
      </c>
      <c r="Z34">
        <f>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individual'!F34="Completado",3000000,0)+COUNTIF('Detalle individual'!$C$5:$C$295,"&lt;"&amp;'Detalle individual'!C34)*300+ROW(),"")</f>
        <v>3063934</v>
      </c>
    </row>
    <row r="35">
      <c r="A35" t="str">
        <f>TRIM('Consolidado por área'!A20)</f>
        <v>DEPARTAMENTO DE ATENCION A ASOCIADO Y CLIENTE</v>
      </c>
      <c r="B35" t="str">
        <f>'Consolidado por área'!B20</f>
        <v>Gerencia de Negocios</v>
      </c>
      <c r="C35">
        <f>'Consolidado por área'!C20</f>
        <v>6</v>
      </c>
      <c r="D35">
        <f>'Consolidado por área'!D20</f>
        <v>2</v>
      </c>
      <c r="E35">
        <f>'Consolidado por área'!E20</f>
        <v>4</v>
      </c>
      <c r="F35">
        <f>IF(C35&gt;0,D35/C35,0)</f>
        <v>0.333333333333333</v>
      </c>
      <c r="G35">
        <f>F35*1000000+C35*10+(1000-ROW())/10000</f>
        <v>333393.429833333</v>
      </c>
      <c r="H35">
        <f>'Consolidado por área'!H20</f>
        <v>100</v>
      </c>
      <c r="J35" t="n">
        <v>16</v>
      </c>
      <c r="K35">
        <f>MATCH(LARGE($G$20:$G$62,J35),$G$20:$G$62,0)</f>
        <v>15</v>
      </c>
      <c r="L35" t="str">
        <f>INDEX($A$20:$A$62,K35)&amp;"   "&amp;TEXT(INDEX($F$20:$F$62,K35),"0%")</f>
        <v>DEPARTAMENTO DE ANALISIS Y PROGRAMACIÓN   73%</v>
      </c>
      <c r="M35">
        <f>INDEX($D$20:$D$62,K35)</f>
        <v>8</v>
      </c>
      <c r="N35">
        <f>INDEX($E$20:$E$62,K35)</f>
        <v>3</v>
      </c>
      <c r="O35" t="str">
        <f>INDEX($A$20:$A$62,K35)</f>
        <v>DEPARTAMENTO DE ANALISIS Y PROGRAMACIÓN</v>
      </c>
      <c r="P35" t="str">
        <f>INDEX($B$20:$B$62,K35)</f>
        <v>Gerencia de Sistemas</v>
      </c>
      <c r="Q35">
        <f>INDEX($C$20:$C$62,K35)</f>
        <v>11</v>
      </c>
      <c r="R35">
        <f>INDEX($F$20:$F$62,K35)</f>
        <v>0.727272727272727</v>
      </c>
      <c r="S35">
        <f>INDEX($H$20:$H$62,K35)</f>
        <v>100</v>
      </c>
      <c r="T35">
        <f>IF(OR('Dashboard Gerencial'!$B$5="Todas las gerencias",P35='Dashboard Gerencial'!$B$5),ROW(),"")</f>
        <v>35</v>
      </c>
      <c r="W35" t="str">
        <f>A49</f>
        <v>DEPARTAMENTO DE SOLUCIONES FINANCIERAS</v>
      </c>
      <c r="Z35">
        <f>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individual'!F35="Completado",3000000,0)+COUNTIF('Detalle individual'!$C$5:$C$295,"&lt;"&amp;'Detalle individual'!C35)*300+ROW(),"")</f>
        <v>3063935</v>
      </c>
    </row>
    <row r="36">
      <c r="A36" t="str">
        <f>TRIM('Consolidado por área'!A21)</f>
        <v>DEPARTAMENTO DE AUDITORIA INTERNA</v>
      </c>
      <c r="B36" t="str">
        <f>'Consolidado por área'!B21</f>
        <v>Auditoría Interna</v>
      </c>
      <c r="C36">
        <f>'Consolidado por área'!C21</f>
        <v>7</v>
      </c>
      <c r="D36">
        <f>'Consolidado por área'!D21</f>
        <v>5</v>
      </c>
      <c r="E36">
        <f>'Consolidado por área'!E21</f>
        <v>2</v>
      </c>
      <c r="F36">
        <f>IF(C36&gt;0,D36/C36,0)</f>
        <v>0.714285714285714</v>
      </c>
      <c r="G36">
        <f>F36*1000000+C36*10+(1000-ROW())/10000</f>
        <v>714355.810685714</v>
      </c>
      <c r="H36">
        <f>'Consolidado por área'!H21</f>
        <v>96</v>
      </c>
      <c r="J36" t="n">
        <v>17</v>
      </c>
      <c r="K36">
        <f>MATCH(LARGE($G$20:$G$62,J36),$G$20:$G$62,0)</f>
        <v>17</v>
      </c>
      <c r="L36" t="str">
        <f>INDEX($A$20:$A$62,K36)&amp;"   "&amp;TEXT(INDEX($F$20:$F$62,K36),"0%")</f>
        <v>DEPARTAMENTO DE AUDITORIA INTERNA   71%</v>
      </c>
      <c r="M36">
        <f>INDEX($D$20:$D$62,K36)</f>
        <v>5</v>
      </c>
      <c r="N36">
        <f>INDEX($E$20:$E$62,K36)</f>
        <v>2</v>
      </c>
      <c r="O36" t="str">
        <f>INDEX($A$20:$A$62,K36)</f>
        <v>DEPARTAMENTO DE AUDITORIA INTERNA</v>
      </c>
      <c r="P36" t="str">
        <f>INDEX($B$20:$B$62,K36)</f>
        <v>Auditoría Interna</v>
      </c>
      <c r="Q36">
        <f>INDEX($C$20:$C$62,K36)</f>
        <v>7</v>
      </c>
      <c r="R36">
        <f>INDEX($F$20:$F$62,K36)</f>
        <v>0.714285714285714</v>
      </c>
      <c r="S36">
        <f>INDEX($H$20:$H$62,K36)</f>
        <v>96</v>
      </c>
      <c r="T36">
        <f>IF(OR('Dashboard Gerencial'!$B$5="Todas las gerencias",P36='Dashboard Gerencial'!$B$5),ROW(),"")</f>
        <v>36</v>
      </c>
      <c r="W36" t="str">
        <f>A50</f>
        <v>DEPARTAMENTO DE TALENTO HUMANO</v>
      </c>
      <c r="Z36">
        <f>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individual'!F36="Completado",3000000,0)+COUNTIF('Detalle individual'!$C$5:$C$295,"&lt;"&amp;'Detalle individual'!C36)*300+ROW(),"")</f>
        <v>3063936</v>
      </c>
    </row>
    <row r="37">
      <c r="A37" t="str">
        <f>TRIM('Consolidado por área'!A22)</f>
        <v>DEPARTAMENTO DE CONTABILIDAD</v>
      </c>
      <c r="B37" t="str">
        <f>'Consolidado por área'!B22</f>
        <v>Gerencia de Finanzas y Planificación</v>
      </c>
      <c r="C37">
        <f>'Consolidado por área'!C22</f>
        <v>13</v>
      </c>
      <c r="D37">
        <f>'Consolidado por área'!D22</f>
        <v>7</v>
      </c>
      <c r="E37">
        <f>'Consolidado por área'!E22</f>
        <v>6</v>
      </c>
      <c r="F37">
        <f>IF(C37&gt;0,D37/C37,0)</f>
        <v>0.538461538461538</v>
      </c>
      <c r="G37">
        <f>F37*1000000+C37*10+(1000-ROW())/10000</f>
        <v>538591.634761538</v>
      </c>
      <c r="H37">
        <f>'Consolidado por área'!H22</f>
        <v>98.5714285714286</v>
      </c>
      <c r="J37" t="n">
        <v>18</v>
      </c>
      <c r="K37">
        <f>MATCH(LARGE($G$20:$G$62,J37),$G$20:$G$62,0)</f>
        <v>31</v>
      </c>
      <c r="L37" t="str">
        <f>INDEX($A$20:$A$62,K37)&amp;"   "&amp;TEXT(INDEX($F$20:$F$62,K37),"0%")</f>
        <v>DEPARTAMENTO DE TALENTO HUMANO   67%</v>
      </c>
      <c r="M37">
        <f>INDEX($D$20:$D$62,K37)</f>
        <v>2</v>
      </c>
      <c r="N37">
        <f>INDEX($E$20:$E$62,K37)</f>
        <v>1</v>
      </c>
      <c r="O37" t="str">
        <f>INDEX($A$20:$A$62,K37)</f>
        <v>DEPARTAMENTO DE TALENTO HUMANO</v>
      </c>
      <c r="P37" t="str">
        <f>INDEX($B$20:$B$62,K37)</f>
        <v>Gerencia Administrativa</v>
      </c>
      <c r="Q37">
        <f>INDEX($C$20:$C$62,K37)</f>
        <v>3</v>
      </c>
      <c r="R37">
        <f>INDEX($F$20:$F$62,K37)</f>
        <v>0.666666666666667</v>
      </c>
      <c r="S37">
        <f>INDEX($H$20:$H$62,K37)</f>
        <v>95</v>
      </c>
      <c r="T37">
        <f>IF(OR('Dashboard Gerencial'!$B$5="Todas las gerencias",P37='Dashboard Gerencial'!$B$5),ROW(),"")</f>
        <v>37</v>
      </c>
      <c r="W37" t="str">
        <f>A51</f>
        <v>DEPARTAMENTO DE TARJETA DE CREDITO Y DEBITO</v>
      </c>
      <c r="Z37">
        <f>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individual'!F37="Completado",3000000,0)+COUNTIF('Detalle individual'!$C$5:$C$295,"&lt;"&amp;'Detalle individual'!C37)*300+ROW(),"")</f>
        <v>3063937</v>
      </c>
    </row>
    <row r="38">
      <c r="A38" t="str">
        <f>TRIM('Consolidado por área'!A23)</f>
        <v>DEPARTAMENTO DE CREDITOS</v>
      </c>
      <c r="B38" t="str">
        <f>'Consolidado por área'!B23</f>
        <v>Gerencia de Negocios</v>
      </c>
      <c r="C38">
        <f>'Consolidado por área'!C23</f>
        <v>13</v>
      </c>
      <c r="D38">
        <f>'Consolidado por área'!D23</f>
        <v>7</v>
      </c>
      <c r="E38">
        <f>'Consolidado por área'!E23</f>
        <v>6</v>
      </c>
      <c r="F38">
        <f>IF(C38&gt;0,D38/C38,0)</f>
        <v>0.538461538461538</v>
      </c>
      <c r="G38">
        <f>F38*1000000+C38*10+(1000-ROW())/10000</f>
        <v>538591.634661538</v>
      </c>
      <c r="H38">
        <f>'Consolidado por área'!H23</f>
        <v>97.1428571428571</v>
      </c>
      <c r="J38" t="n">
        <v>19</v>
      </c>
      <c r="K38">
        <f>MATCH(LARGE($G$20:$G$62,J38),$G$20:$G$62,0)</f>
        <v>12</v>
      </c>
      <c r="L38" t="str">
        <f>INDEX($A$20:$A$62,K38)&amp;"   "&amp;TEXT(INDEX($F$20:$F$62,K38),"0%")</f>
        <v>AGENCIA USULUTAN   57%</v>
      </c>
      <c r="M38">
        <f>INDEX($D$20:$D$62,K38)</f>
        <v>4</v>
      </c>
      <c r="N38">
        <f>INDEX($E$20:$E$62,K38)</f>
        <v>3</v>
      </c>
      <c r="O38" t="str">
        <f>INDEX($A$20:$A$62,K38)</f>
        <v>AGENCIA USULUTAN</v>
      </c>
      <c r="P38" t="str">
        <f>INDEX($B$20:$B$62,K38)</f>
        <v>Gerencia de Negocios</v>
      </c>
      <c r="Q38">
        <f>INDEX($C$20:$C$62,K38)</f>
        <v>7</v>
      </c>
      <c r="R38">
        <f>INDEX($F$20:$F$62,K38)</f>
        <v>0.571428571428571</v>
      </c>
      <c r="S38">
        <f>INDEX($H$20:$H$62,K38)</f>
        <v>95</v>
      </c>
      <c r="T38">
        <f>IF(OR('Dashboard Gerencial'!$B$5="Todas las gerencias",P38='Dashboard Gerencial'!$B$5),ROW(),"")</f>
        <v>38</v>
      </c>
      <c r="W38" t="str">
        <f>A52</f>
        <v>DEPARTAMENTO LEGAL</v>
      </c>
      <c r="Z38">
        <f>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individual'!F38="Completado",3000000,0)+COUNTIF('Detalle individual'!$C$5:$C$295,"&lt;"&amp;'Detalle individual'!C38)*300+ROW(),"")</f>
        <v>3063938</v>
      </c>
    </row>
    <row r="39">
      <c r="A39" t="str">
        <f>TRIM('Consolidado por área'!A24)</f>
        <v>DEPARTAMENTO DE CUSTODIA DE GARANTÍA Y VALORES</v>
      </c>
      <c r="B39" t="str">
        <f>'Consolidado por área'!B24</f>
        <v>Gerencia Administrativa</v>
      </c>
      <c r="C39">
        <f>'Consolidado por área'!C24</f>
        <v>6</v>
      </c>
      <c r="D39">
        <f>'Consolidado por área'!D24</f>
        <v>6</v>
      </c>
      <c r="E39">
        <f>'Consolidado por área'!E24</f>
        <v>0</v>
      </c>
      <c r="F39">
        <f>IF(C39&gt;0,D39/C39,0)</f>
        <v>1</v>
      </c>
      <c r="G39">
        <f>F39*1000000+C39*10+(1000-ROW())/10000</f>
        <v>1000060.0961</v>
      </c>
      <c r="H39">
        <f>'Consolidado por área'!H24</f>
        <v>100</v>
      </c>
      <c r="J39" t="n">
        <v>20</v>
      </c>
      <c r="K39">
        <f>MATCH(LARGE($G$20:$G$62,J39),$G$20:$G$62,0)</f>
        <v>18</v>
      </c>
      <c r="L39" t="str">
        <f>INDEX($A$20:$A$62,K39)&amp;"   "&amp;TEXT(INDEX($F$20:$F$62,K39),"0%")</f>
        <v>DEPARTAMENTO DE CONTABILIDAD   54%</v>
      </c>
      <c r="M39">
        <f>INDEX($D$20:$D$62,K39)</f>
        <v>7</v>
      </c>
      <c r="N39">
        <f>INDEX($E$20:$E$62,K39)</f>
        <v>6</v>
      </c>
      <c r="O39" t="str">
        <f>INDEX($A$20:$A$62,K39)</f>
        <v>DEPARTAMENTO DE CONTABILIDAD</v>
      </c>
      <c r="P39" t="str">
        <f>INDEX($B$20:$B$62,K39)</f>
        <v>Gerencia de Finanzas y Planificación</v>
      </c>
      <c r="Q39">
        <f>INDEX($C$20:$C$62,K39)</f>
        <v>13</v>
      </c>
      <c r="R39">
        <f>INDEX($F$20:$F$62,K39)</f>
        <v>0.538461538461538</v>
      </c>
      <c r="S39">
        <f>INDEX($H$20:$H$62,K39)</f>
        <v>98.5714285714286</v>
      </c>
      <c r="T39">
        <f>IF(OR('Dashboard Gerencial'!$B$5="Todas las gerencias",P39='Dashboard Gerencial'!$B$5),ROW(),"")</f>
        <v>39</v>
      </c>
      <c r="W39" t="str">
        <f>A53</f>
        <v>GERENCIA ADMINISTRATIVA</v>
      </c>
      <c r="Z39">
        <f>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individual'!F39="Completado",3000000,0)+COUNTIF('Detalle individual'!$C$5:$C$295,"&lt;"&amp;'Detalle individual'!C39)*300+ROW(),"")</f>
        <v>3063939</v>
      </c>
    </row>
    <row r="40">
      <c r="A40" t="str">
        <f>TRIM('Consolidado por área'!A25)</f>
        <v>DEPARTAMENTO DE DEPOSITOS</v>
      </c>
      <c r="B40" t="str">
        <f>'Consolidado por área'!B25</f>
        <v>Gerencia de Operaciones</v>
      </c>
      <c r="C40">
        <f>'Consolidado por área'!C25</f>
        <v>4</v>
      </c>
      <c r="D40">
        <f>'Consolidado por área'!D25</f>
        <v>3</v>
      </c>
      <c r="E40">
        <f>'Consolidado por área'!E25</f>
        <v>1</v>
      </c>
      <c r="F40">
        <f>IF(C40&gt;0,D40/C40,0)</f>
        <v>0.75</v>
      </c>
      <c r="G40">
        <f>F40*1000000+C40*10+(1000-ROW())/10000</f>
        <v>750040.096</v>
      </c>
      <c r="H40">
        <f>'Consolidado por área'!H25</f>
        <v>98.3333333333333</v>
      </c>
      <c r="J40" t="n">
        <v>21</v>
      </c>
      <c r="K40">
        <f>MATCH(LARGE($G$20:$G$62,J40),$G$20:$G$62,0)</f>
        <v>19</v>
      </c>
      <c r="L40" t="str">
        <f>INDEX($A$20:$A$62,K40)&amp;"   "&amp;TEXT(INDEX($F$20:$F$62,K40),"0%")</f>
        <v>DEPARTAMENTO DE CREDITOS   54%</v>
      </c>
      <c r="M40">
        <f>INDEX($D$20:$D$62,K40)</f>
        <v>7</v>
      </c>
      <c r="N40">
        <f>INDEX($E$20:$E$62,K40)</f>
        <v>6</v>
      </c>
      <c r="O40" t="str">
        <f>INDEX($A$20:$A$62,K40)</f>
        <v>DEPARTAMENTO DE CREDITOS</v>
      </c>
      <c r="P40" t="str">
        <f>INDEX($B$20:$B$62,K40)</f>
        <v>Gerencia de Negocios</v>
      </c>
      <c r="Q40">
        <f>INDEX($C$20:$C$62,K40)</f>
        <v>13</v>
      </c>
      <c r="R40">
        <f>INDEX($F$20:$F$62,K40)</f>
        <v>0.538461538461538</v>
      </c>
      <c r="S40">
        <f>INDEX($H$20:$H$62,K40)</f>
        <v>97.1428571428571</v>
      </c>
      <c r="T40">
        <f>IF(OR('Dashboard Gerencial'!$B$5="Todas las gerencias",P40='Dashboard Gerencial'!$B$5),ROW(),"")</f>
        <v>40</v>
      </c>
      <c r="W40" t="str">
        <f>A54</f>
        <v>GERENCIA DE FINANZAS Y PLANIFICACIÓN</v>
      </c>
      <c r="Z40">
        <f>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individual'!F40="Completado",3000000,0)+COUNTIF('Detalle individual'!$C$5:$C$295,"&lt;"&amp;'Detalle individual'!C40)*300+ROW(),"")</f>
        <v>3063940</v>
      </c>
    </row>
    <row r="41">
      <c r="A41" t="str">
        <f>TRIM('Consolidado por área'!A26)</f>
        <v>DEPARTAMENTO DE EDUCACION Y RESPONSABILIDAD SOCIAL</v>
      </c>
      <c r="B41" t="str">
        <f>'Consolidado por área'!B26</f>
        <v>Gerencia de Negocios</v>
      </c>
      <c r="C41">
        <f>'Consolidado por área'!C26</f>
        <v>3</v>
      </c>
      <c r="D41">
        <f>'Consolidado por área'!D26</f>
        <v>1</v>
      </c>
      <c r="E41">
        <f>'Consolidado por área'!E26</f>
        <v>2</v>
      </c>
      <c r="F41">
        <f>IF(C41&gt;0,D41/C41,0)</f>
        <v>0.333333333333333</v>
      </c>
      <c r="G41">
        <f>F41*1000000+C41*10+(1000-ROW())/10000</f>
        <v>333363.429233333</v>
      </c>
      <c r="H41">
        <f>'Consolidado por área'!H26</f>
        <v>100</v>
      </c>
      <c r="J41" t="n">
        <v>22</v>
      </c>
      <c r="K41">
        <f>MATCH(LARGE($G$20:$G$62,J41),$G$20:$G$62,0)</f>
        <v>14</v>
      </c>
      <c r="L41" t="str">
        <f>INDEX($A$20:$A$62,K41)&amp;"   "&amp;TEXT(INDEX($F$20:$F$62,K41),"0%")</f>
        <v>DEPARTAMENTO COMERCIAL DE TARJETA DE CREDITO Y DEBITO   50%</v>
      </c>
      <c r="M41">
        <f>INDEX($D$20:$D$62,K41)</f>
        <v>4</v>
      </c>
      <c r="N41">
        <f>INDEX($E$20:$E$62,K41)</f>
        <v>4</v>
      </c>
      <c r="O41" t="str">
        <f>INDEX($A$20:$A$62,K41)</f>
        <v>DEPARTAMENTO COMERCIAL DE TARJETA DE CREDITO Y DEBITO</v>
      </c>
      <c r="P41" t="str">
        <f>INDEX($B$20:$B$62,K41)</f>
        <v>Gerencia de Negocios</v>
      </c>
      <c r="Q41">
        <f>INDEX($C$20:$C$62,K41)</f>
        <v>8</v>
      </c>
      <c r="R41">
        <f>INDEX($F$20:$F$62,K41)</f>
        <v>0.5</v>
      </c>
      <c r="S41">
        <f>INDEX($H$20:$H$62,K41)</f>
        <v>88.75</v>
      </c>
      <c r="T41">
        <f>IF(OR('Dashboard Gerencial'!$B$5="Todas las gerencias",P41='Dashboard Gerencial'!$B$5),ROW(),"")</f>
        <v>41</v>
      </c>
      <c r="W41" t="str">
        <f>A55</f>
        <v>GERENCIA DE NEGOCIOS</v>
      </c>
      <c r="Z41">
        <f>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individual'!F41="Completado",3000000,0)+COUNTIF('Detalle individual'!$C$5:$C$295,"&lt;"&amp;'Detalle individual'!C41)*300+ROW(),"")</f>
        <v>3063941</v>
      </c>
    </row>
    <row r="42">
      <c r="A42" t="str">
        <f>TRIM('Consolidado por área'!A27)</f>
        <v>DEPARTAMENTO DE MERCADEO</v>
      </c>
      <c r="B42" t="str">
        <f>'Consolidado por área'!B27</f>
        <v>Gerencia de Negocios</v>
      </c>
      <c r="C42">
        <f>'Consolidado por área'!C27</f>
        <v>7</v>
      </c>
      <c r="D42">
        <f>'Consolidado por área'!D27</f>
        <v>1</v>
      </c>
      <c r="E42">
        <f>'Consolidado por área'!E27</f>
        <v>6</v>
      </c>
      <c r="F42">
        <f>IF(C42&gt;0,D42/C42,0)</f>
        <v>0.142857142857143</v>
      </c>
      <c r="G42">
        <f>F42*1000000+C42*10+(1000-ROW())/10000</f>
        <v>142927.238657143</v>
      </c>
      <c r="H42">
        <f>'Consolidado por área'!H27</f>
        <v>100</v>
      </c>
      <c r="J42" t="n">
        <v>23</v>
      </c>
      <c r="K42">
        <f>MATCH(LARGE($G$20:$G$62,J42),$G$20:$G$62,0)</f>
        <v>32</v>
      </c>
      <c r="L42" t="str">
        <f>INDEX($A$20:$A$62,K42)&amp;"   "&amp;TEXT(INDEX($F$20:$F$62,K42),"0%")</f>
        <v>DEPARTAMENTO DE TARJETA DE CREDITO Y DEBITO   50%</v>
      </c>
      <c r="M42">
        <f>INDEX($D$20:$D$62,K42)</f>
        <v>3</v>
      </c>
      <c r="N42">
        <f>INDEX($E$20:$E$62,K42)</f>
        <v>3</v>
      </c>
      <c r="O42" t="str">
        <f>INDEX($A$20:$A$62,K42)</f>
        <v>DEPARTAMENTO DE TARJETA DE CREDITO Y DEBITO</v>
      </c>
      <c r="P42" t="str">
        <f>INDEX($B$20:$B$62,K42)</f>
        <v>Gerencia de Operaciones</v>
      </c>
      <c r="Q42">
        <f>INDEX($C$20:$C$62,K42)</f>
        <v>6</v>
      </c>
      <c r="R42">
        <f>INDEX($F$20:$F$62,K42)</f>
        <v>0.5</v>
      </c>
      <c r="S42">
        <f>INDEX($H$20:$H$62,K42)</f>
        <v>98.3333333333333</v>
      </c>
      <c r="T42">
        <f>IF(OR('Dashboard Gerencial'!$B$5="Todas las gerencias",P42='Dashboard Gerencial'!$B$5),ROW(),"")</f>
        <v>42</v>
      </c>
      <c r="W42" t="str">
        <f>A56</f>
        <v>GERENCIA DE OPERACIONES</v>
      </c>
      <c r="Z42">
        <f>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individual'!F42="Completado",3000000,0)+COUNTIF('Detalle individual'!$C$5:$C$295,"&lt;"&amp;'Detalle individual'!C42)*300+ROW(),"")</f>
        <v>3063942</v>
      </c>
    </row>
    <row r="43">
      <c r="A43" t="str">
        <f>TRIM('Consolidado por área'!A28)</f>
        <v>DEPARTAMENTO DE OPERACIONES Y SOPORTE TECNICO</v>
      </c>
      <c r="B43" t="str">
        <f>'Consolidado por área'!B28</f>
        <v>Gerencia de Sistemas</v>
      </c>
      <c r="C43">
        <f>'Consolidado por área'!C28</f>
        <v>7</v>
      </c>
      <c r="D43">
        <f>'Consolidado por área'!D28</f>
        <v>6</v>
      </c>
      <c r="E43">
        <f>'Consolidado por área'!E28</f>
        <v>1</v>
      </c>
      <c r="F43">
        <f>IF(C43&gt;0,D43/C43,0)</f>
        <v>0.857142857142857</v>
      </c>
      <c r="G43">
        <f>F43*1000000+C43*10+(1000-ROW())/10000</f>
        <v>857212.952842857</v>
      </c>
      <c r="H43">
        <f>'Consolidado por área'!H28</f>
        <v>100</v>
      </c>
      <c r="J43" t="n">
        <v>24</v>
      </c>
      <c r="K43">
        <f>MATCH(LARGE($G$20:$G$62,J43),$G$20:$G$62,0)</f>
        <v>38</v>
      </c>
      <c r="L43" t="str">
        <f>INDEX($A$20:$A$62,K43)&amp;"   "&amp;TEXT(INDEX($F$20:$F$62,K43),"0%")</f>
        <v>GERENCIA DE SISTEMAS   50%</v>
      </c>
      <c r="M43">
        <f>INDEX($D$20:$D$62,K43)</f>
        <v>2</v>
      </c>
      <c r="N43">
        <f>INDEX($E$20:$E$62,K43)</f>
        <v>2</v>
      </c>
      <c r="O43" t="str">
        <f>INDEX($A$20:$A$62,K43)</f>
        <v>GERENCIA DE SISTEMAS</v>
      </c>
      <c r="P43" t="str">
        <f>INDEX($B$20:$B$62,K43)</f>
        <v>Gerencia de Sistemas</v>
      </c>
      <c r="Q43">
        <f>INDEX($C$20:$C$62,K43)</f>
        <v>4</v>
      </c>
      <c r="R43">
        <f>INDEX($F$20:$F$62,K43)</f>
        <v>0.5</v>
      </c>
      <c r="S43">
        <f>INDEX($H$20:$H$62,K43)</f>
        <v>97.5</v>
      </c>
      <c r="T43">
        <f>IF(OR('Dashboard Gerencial'!$B$5="Todas las gerencias",P43='Dashboard Gerencial'!$B$5),ROW(),"")</f>
        <v>43</v>
      </c>
      <c r="W43" t="str">
        <f>A57</f>
        <v>GERENCIA DE SISTEMAS</v>
      </c>
      <c r="Z43">
        <f>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individual'!F43="Completado",3000000,0)+COUNTIF('Detalle individual'!$C$5:$C$295,"&lt;"&amp;'Detalle individual'!C43)*300+ROW(),"")</f>
        <v>3050143</v>
      </c>
    </row>
    <row r="44">
      <c r="A44" t="str">
        <f>TRIM('Consolidado por área'!A29)</f>
        <v>DEPARTAMENTO DE PLANIFICACIÓN Y ANALISIS</v>
      </c>
      <c r="B44" t="str">
        <f>'Consolidado por área'!B29</f>
        <v>Gerencia de Finanzas y Planificación</v>
      </c>
      <c r="C44">
        <f>'Consolidado por área'!C29</f>
        <v>3</v>
      </c>
      <c r="D44">
        <f>'Consolidado por área'!D29</f>
        <v>0</v>
      </c>
      <c r="E44">
        <f>'Consolidado por área'!E29</f>
        <v>3</v>
      </c>
      <c r="F44">
        <f>IF(C44&gt;0,D44/C44,0)</f>
        <v>0</v>
      </c>
      <c r="G44">
        <f>F44*1000000+C44*10+(1000-ROW())/10000</f>
        <v>30.0956</v>
      </c>
      <c r="H44" t="str">
        <f>'Consolidado por área'!H29</f>
        <v/>
      </c>
      <c r="J44" t="n">
        <v>25</v>
      </c>
      <c r="K44">
        <f>MATCH(LARGE($G$20:$G$62,J44),$G$20:$G$62,0)</f>
        <v>34</v>
      </c>
      <c r="L44" t="str">
        <f>INDEX($A$20:$A$62,K44)&amp;"   "&amp;TEXT(INDEX($F$20:$F$62,K44),"0%")</f>
        <v>GERENCIA ADMINISTRATIVA   50%</v>
      </c>
      <c r="M44">
        <f>INDEX($D$20:$D$62,K44)</f>
        <v>1</v>
      </c>
      <c r="N44">
        <f>INDEX($E$20:$E$62,K44)</f>
        <v>1</v>
      </c>
      <c r="O44" t="str">
        <f>INDEX($A$20:$A$62,K44)</f>
        <v>GERENCIA ADMINISTRATIVA</v>
      </c>
      <c r="P44" t="str">
        <f>INDEX($B$20:$B$62,K44)</f>
        <v>Gerencia Administrativa</v>
      </c>
      <c r="Q44">
        <f>INDEX($C$20:$C$62,K44)</f>
        <v>2</v>
      </c>
      <c r="R44">
        <f>INDEX($F$20:$F$62,K44)</f>
        <v>0.5</v>
      </c>
      <c r="S44">
        <f>INDEX($H$20:$H$62,K44)</f>
        <v>100</v>
      </c>
      <c r="T44">
        <f>IF(OR('Dashboard Gerencial'!$B$5="Todas las gerencias",P44='Dashboard Gerencial'!$B$5),ROW(),"")</f>
        <v>44</v>
      </c>
      <c r="W44" t="str">
        <f>A58</f>
        <v>GERENCIA GENERAL</v>
      </c>
      <c r="Z44">
        <f>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individual'!F44="Completado",3000000,0)+COUNTIF('Detalle individual'!$C$5:$C$295,"&lt;"&amp;'Detalle individual'!C44)*300+ROW(),"")</f>
        <v>3050144</v>
      </c>
    </row>
    <row r="45">
      <c r="A45" t="str">
        <f>TRIM('Consolidado por área'!A30)</f>
        <v>DEPARTAMENTO DE PROCESOS</v>
      </c>
      <c r="B45" t="str">
        <f>'Consolidado por área'!B30</f>
        <v>Gerencia General</v>
      </c>
      <c r="C45">
        <f>'Consolidado por área'!C30</f>
        <v>3</v>
      </c>
      <c r="D45">
        <f>'Consolidado por área'!D30</f>
        <v>3</v>
      </c>
      <c r="E45">
        <f>'Consolidado por área'!E30</f>
        <v>0</v>
      </c>
      <c r="F45">
        <f>IF(C45&gt;0,D45/C45,0)</f>
        <v>1</v>
      </c>
      <c r="G45">
        <f>F45*1000000+C45*10+(1000-ROW())/10000</f>
        <v>1000030.0955</v>
      </c>
      <c r="H45">
        <f>'Consolidado por área'!H30</f>
        <v>100</v>
      </c>
      <c r="J45" t="n">
        <v>26</v>
      </c>
      <c r="K45">
        <f>MATCH(LARGE($G$20:$G$62,J45),$G$20:$G$62,0)</f>
        <v>35</v>
      </c>
      <c r="L45" t="str">
        <f>INDEX($A$20:$A$62,K45)&amp;"   "&amp;TEXT(INDEX($F$20:$F$62,K45),"0%")</f>
        <v>GERENCIA DE FINANZAS Y PLANIFICACIÓN   50%</v>
      </c>
      <c r="M45">
        <f>INDEX($D$20:$D$62,K45)</f>
        <v>1</v>
      </c>
      <c r="N45">
        <f>INDEX($E$20:$E$62,K45)</f>
        <v>1</v>
      </c>
      <c r="O45" t="str">
        <f>INDEX($A$20:$A$62,K45)</f>
        <v>GERENCIA DE FINANZAS Y PLANIFICACIÓN</v>
      </c>
      <c r="P45" t="str">
        <f>INDEX($B$20:$B$62,K45)</f>
        <v>Gerencia de Finanzas y Planificación</v>
      </c>
      <c r="Q45">
        <f>INDEX($C$20:$C$62,K45)</f>
        <v>2</v>
      </c>
      <c r="R45">
        <f>INDEX($F$20:$F$62,K45)</f>
        <v>0.5</v>
      </c>
      <c r="S45">
        <f>INDEX($H$20:$H$62,K45)</f>
        <v>100</v>
      </c>
      <c r="T45">
        <f>IF(OR('Dashboard Gerencial'!$B$5="Todas las gerencias",P45='Dashboard Gerencial'!$B$5),ROW(),"")</f>
        <v>45</v>
      </c>
      <c r="W45" t="str">
        <f>A59</f>
        <v>GERENCIA LEGAL Y DE CUMPLIMIENTO NORMATIVO</v>
      </c>
      <c r="Z45">
        <f>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individual'!F45="Completado",3000000,0)+COUNTIF('Detalle individual'!$C$5:$C$295,"&lt;"&amp;'Detalle individual'!C45)*300+ROW(),"")</f>
        <v>3050145</v>
      </c>
    </row>
    <row r="46">
      <c r="A46" t="str">
        <f>TRIM('Consolidado por área'!A31)</f>
        <v>DEPARTAMENTO DE SEGURIDAD</v>
      </c>
      <c r="B46" t="str">
        <f>'Consolidado por área'!B31</f>
        <v>Gerencia Administrativa</v>
      </c>
      <c r="C46">
        <f>'Consolidado por área'!C31</f>
        <v>2</v>
      </c>
      <c r="D46">
        <f>'Consolidado por área'!D31</f>
        <v>2</v>
      </c>
      <c r="E46">
        <f>'Consolidado por área'!E31</f>
        <v>0</v>
      </c>
      <c r="F46">
        <f>IF(C46&gt;0,D46/C46,0)</f>
        <v>1</v>
      </c>
      <c r="G46">
        <f>F46*1000000+C46*10+(1000-ROW())/10000</f>
        <v>1000020.0954</v>
      </c>
      <c r="H46">
        <f>'Consolidado por área'!H31</f>
        <v>95</v>
      </c>
      <c r="J46" t="n">
        <v>27</v>
      </c>
      <c r="K46">
        <f>MATCH(LARGE($G$20:$G$62,J46),$G$20:$G$62,0)</f>
        <v>39</v>
      </c>
      <c r="L46" t="str">
        <f>INDEX($A$20:$A$62,K46)&amp;"   "&amp;TEXT(INDEX($F$20:$F$62,K46),"0%")</f>
        <v>GERENCIA GENERAL   50%</v>
      </c>
      <c r="M46">
        <f>INDEX($D$20:$D$62,K46)</f>
        <v>1</v>
      </c>
      <c r="N46">
        <f>INDEX($E$20:$E$62,K46)</f>
        <v>1</v>
      </c>
      <c r="O46" t="str">
        <f>INDEX($A$20:$A$62,K46)</f>
        <v>GERENCIA GENERAL</v>
      </c>
      <c r="P46" t="str">
        <f>INDEX($B$20:$B$62,K46)</f>
        <v>Gerencia General</v>
      </c>
      <c r="Q46">
        <f>INDEX($C$20:$C$62,K46)</f>
        <v>2</v>
      </c>
      <c r="R46">
        <f>INDEX($F$20:$F$62,K46)</f>
        <v>0.5</v>
      </c>
      <c r="S46">
        <f>INDEX($H$20:$H$62,K46)</f>
        <v>100</v>
      </c>
      <c r="T46">
        <f>IF(OR('Dashboard Gerencial'!$B$5="Todas las gerencias",P46='Dashboard Gerencial'!$B$5),ROW(),"")</f>
        <v>46</v>
      </c>
      <c r="W46" t="str">
        <f>A60</f>
        <v>OFICIALIA DE CUMPLIMIENTO</v>
      </c>
      <c r="Z46">
        <f>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individual'!F46="Completado",3000000,0)+COUNTIF('Detalle individual'!$C$5:$C$295,"&lt;"&amp;'Detalle individual'!C46)*300+ROW(),"")</f>
        <v>3050146</v>
      </c>
    </row>
    <row r="47">
      <c r="A47" t="str">
        <f>TRIM('Consolidado por área'!A32)</f>
        <v>DEPARTAMENTO DE SEGUROS</v>
      </c>
      <c r="B47" t="str">
        <f>'Consolidado por área'!B32</f>
        <v>Gerencia de Negocios</v>
      </c>
      <c r="C47">
        <f>'Consolidado por área'!C32</f>
        <v>11</v>
      </c>
      <c r="D47">
        <f>'Consolidado por área'!D32</f>
        <v>5</v>
      </c>
      <c r="E47">
        <f>'Consolidado por área'!E32</f>
        <v>6</v>
      </c>
      <c r="F47">
        <f>IF(C47&gt;0,D47/C47,0)</f>
        <v>0.454545454545455</v>
      </c>
      <c r="G47">
        <f>F47*1000000+C47*10+(1000-ROW())/10000</f>
        <v>454655.549845455</v>
      </c>
      <c r="H47">
        <f>'Consolidado por área'!H32</f>
        <v>96</v>
      </c>
      <c r="J47" t="n">
        <v>28</v>
      </c>
      <c r="K47">
        <f>MATCH(LARGE($G$20:$G$62,J47),$G$20:$G$62,0)</f>
        <v>28</v>
      </c>
      <c r="L47" t="str">
        <f>INDEX($A$20:$A$62,K47)&amp;"   "&amp;TEXT(INDEX($F$20:$F$62,K47),"0%")</f>
        <v>DEPARTAMENTO DE SEGUROS   45%</v>
      </c>
      <c r="M47">
        <f>INDEX($D$20:$D$62,K47)</f>
        <v>5</v>
      </c>
      <c r="N47">
        <f>INDEX($E$20:$E$62,K47)</f>
        <v>6</v>
      </c>
      <c r="O47" t="str">
        <f>INDEX($A$20:$A$62,K47)</f>
        <v>DEPARTAMENTO DE SEGUROS</v>
      </c>
      <c r="P47" t="str">
        <f>INDEX($B$20:$B$62,K47)</f>
        <v>Gerencia de Negocios</v>
      </c>
      <c r="Q47">
        <f>INDEX($C$20:$C$62,K47)</f>
        <v>11</v>
      </c>
      <c r="R47">
        <f>INDEX($F$20:$F$62,K47)</f>
        <v>0.454545454545455</v>
      </c>
      <c r="S47">
        <f>INDEX($H$20:$H$62,K47)</f>
        <v>96</v>
      </c>
      <c r="T47">
        <f>IF(OR('Dashboard Gerencial'!$B$5="Todas las gerencias",P47='Dashboard Gerencial'!$B$5),ROW(),"")</f>
        <v>47</v>
      </c>
      <c r="W47" t="str">
        <f>A61</f>
        <v>OFICIALIA DE SEGURIDAD DE LA INFORMACION</v>
      </c>
      <c r="Z47">
        <f>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individual'!F47="Completado",3000000,0)+COUNTIF('Detalle individual'!$C$5:$C$295,"&lt;"&amp;'Detalle individual'!C47)*300+ROW(),"")</f>
        <v>3050147</v>
      </c>
    </row>
    <row r="48">
      <c r="A48" t="str">
        <f>TRIM('Consolidado por área'!A33)</f>
        <v>DEPARTAMENTO DE SERVICIOS GENERALES</v>
      </c>
      <c r="B48" t="str">
        <f>'Consolidado por área'!B33</f>
        <v>Gerencia Administrativa</v>
      </c>
      <c r="C48">
        <f>'Consolidado por área'!C33</f>
        <v>17</v>
      </c>
      <c r="D48">
        <f>'Consolidado por área'!D33</f>
        <v>16</v>
      </c>
      <c r="E48">
        <f>'Consolidado por área'!E33</f>
        <v>1</v>
      </c>
      <c r="F48">
        <f>IF(C48&gt;0,D48/C48,0)</f>
        <v>0.941176470588235</v>
      </c>
      <c r="G48">
        <f>F48*1000000+C48*10+(1000-ROW())/10000</f>
        <v>941346.565788235</v>
      </c>
      <c r="H48">
        <f>'Consolidado por área'!H33</f>
        <v>85.625</v>
      </c>
      <c r="J48" t="n">
        <v>29</v>
      </c>
      <c r="K48">
        <f>MATCH(LARGE($G$20:$G$62,J48),$G$20:$G$62,0)</f>
        <v>3</v>
      </c>
      <c r="L48" t="str">
        <f>INDEX($A$20:$A$62,K48)&amp;"   "&amp;TEXT(INDEX($F$20:$F$62,K48),"0%")</f>
        <v>ADMINISTRACIÓN DE CARTERAS   40%</v>
      </c>
      <c r="M48">
        <f>INDEX($D$20:$D$62,K48)</f>
        <v>2</v>
      </c>
      <c r="N48">
        <f>INDEX($E$20:$E$62,K48)</f>
        <v>3</v>
      </c>
      <c r="O48" t="str">
        <f>INDEX($A$20:$A$62,K48)</f>
        <v>ADMINISTRACIÓN DE CARTERAS</v>
      </c>
      <c r="P48" t="str">
        <f>INDEX($B$20:$B$62,K48)</f>
        <v>Gerencia de Operaciones</v>
      </c>
      <c r="Q48">
        <f>INDEX($C$20:$C$62,K48)</f>
        <v>5</v>
      </c>
      <c r="R48">
        <f>INDEX($F$20:$F$62,K48)</f>
        <v>0.4</v>
      </c>
      <c r="S48">
        <f>INDEX($H$20:$H$62,K48)</f>
        <v>100</v>
      </c>
      <c r="T48">
        <f>IF(OR('Dashboard Gerencial'!$B$5="Todas las gerencias",P48='Dashboard Gerencial'!$B$5),ROW(),"")</f>
        <v>48</v>
      </c>
      <c r="W48" t="str">
        <f>A62</f>
        <v>SUB GERENCIA DE CANALES</v>
      </c>
      <c r="Z48">
        <f>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individual'!F48="Completado",3000000,0)+COUNTIF('Detalle individual'!$C$5:$C$295,"&lt;"&amp;'Detalle individual'!C48)*300+ROW(),"")</f>
        <v>3050148</v>
      </c>
    </row>
    <row r="49">
      <c r="A49" t="str">
        <f>TRIM('Consolidado por área'!A34)</f>
        <v>DEPARTAMENTO DE SOLUCIONES FINANCIERAS</v>
      </c>
      <c r="B49" t="str">
        <f>'Consolidado por área'!B34</f>
        <v>Gerencia de Negocios</v>
      </c>
      <c r="C49">
        <f>'Consolidado por área'!C34</f>
        <v>10</v>
      </c>
      <c r="D49">
        <f>'Consolidado por área'!D34</f>
        <v>3</v>
      </c>
      <c r="E49">
        <f>'Consolidado por área'!E34</f>
        <v>7</v>
      </c>
      <c r="F49">
        <f>IF(C49&gt;0,D49/C49,0)</f>
        <v>0.3</v>
      </c>
      <c r="G49">
        <f>F49*1000000+C49*10+(1000-ROW())/10000</f>
        <v>300100.0951</v>
      </c>
      <c r="H49">
        <f>'Consolidado por área'!H34</f>
        <v>93.3333333333333</v>
      </c>
      <c r="J49" t="n">
        <v>30</v>
      </c>
      <c r="K49">
        <f>MATCH(LARGE($G$20:$G$62,J49),$G$20:$G$62,0)</f>
        <v>4</v>
      </c>
      <c r="L49" t="str">
        <f>INDEX($A$20:$A$62,K49)&amp;"   "&amp;TEXT(INDEX($F$20:$F$62,K49),"0%")</f>
        <v>AGENCIA CENTRAL   33%</v>
      </c>
      <c r="M49">
        <f>INDEX($D$20:$D$62,K49)</f>
        <v>6</v>
      </c>
      <c r="N49">
        <f>INDEX($E$20:$E$62,K49)</f>
        <v>12</v>
      </c>
      <c r="O49" t="str">
        <f>INDEX($A$20:$A$62,K49)</f>
        <v>AGENCIA CENTRAL</v>
      </c>
      <c r="P49" t="str">
        <f>INDEX($B$20:$B$62,K49)</f>
        <v>Gerencia de Negocios</v>
      </c>
      <c r="Q49">
        <f>INDEX($C$20:$C$62,K49)</f>
        <v>18</v>
      </c>
      <c r="R49">
        <f>INDEX($F$20:$F$62,K49)</f>
        <v>0.333333333333333</v>
      </c>
      <c r="S49">
        <f>INDEX($H$20:$H$62,K49)</f>
        <v>95</v>
      </c>
      <c r="T49">
        <f>IF(OR('Dashboard Gerencial'!$B$5="Todas las gerencias",P49='Dashboard Gerencial'!$B$5),ROW(),"")</f>
        <v>49</v>
      </c>
      <c r="Z49">
        <f>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individual'!F49="Completado",3000000,0)+COUNTIF('Detalle individual'!$C$5:$C$295,"&lt;"&amp;'Detalle individual'!C49)*300+ROW(),"")</f>
        <v>72049</v>
      </c>
    </row>
    <row r="50">
      <c r="A50" t="str">
        <f>TRIM('Consolidado por área'!A35)</f>
        <v>DEPARTAMENTO DE TALENTO HUMANO</v>
      </c>
      <c r="B50" t="str">
        <f>'Consolidado por área'!B35</f>
        <v>Gerencia Administrativa</v>
      </c>
      <c r="C50">
        <f>'Consolidado por área'!C35</f>
        <v>3</v>
      </c>
      <c r="D50">
        <f>'Consolidado por área'!D35</f>
        <v>2</v>
      </c>
      <c r="E50">
        <f>'Consolidado por área'!E35</f>
        <v>1</v>
      </c>
      <c r="F50">
        <f>IF(C50&gt;0,D50/C50,0)</f>
        <v>0.666666666666667</v>
      </c>
      <c r="G50">
        <f>F50*1000000+C50*10+(1000-ROW())/10000</f>
        <v>666696.761666667</v>
      </c>
      <c r="H50">
        <f>'Consolidado por área'!H35</f>
        <v>95</v>
      </c>
      <c r="J50" t="n">
        <v>31</v>
      </c>
      <c r="K50">
        <f>MATCH(LARGE($G$20:$G$62,J50),$G$20:$G$62,0)</f>
        <v>16</v>
      </c>
      <c r="L50" t="str">
        <f>INDEX($A$20:$A$62,K50)&amp;"   "&amp;TEXT(INDEX($F$20:$F$62,K50),"0%")</f>
        <v>DEPARTAMENTO DE ATENCION A ASOCIADO Y CLIENTE   33%</v>
      </c>
      <c r="M50">
        <f>INDEX($D$20:$D$62,K50)</f>
        <v>2</v>
      </c>
      <c r="N50">
        <f>INDEX($E$20:$E$62,K50)</f>
        <v>4</v>
      </c>
      <c r="O50" t="str">
        <f>INDEX($A$20:$A$62,K50)</f>
        <v>DEPARTAMENTO DE ATENCION A ASOCIADO Y CLIENTE</v>
      </c>
      <c r="P50" t="str">
        <f>INDEX($B$20:$B$62,K50)</f>
        <v>Gerencia de Negocios</v>
      </c>
      <c r="Q50">
        <f>INDEX($C$20:$C$62,K50)</f>
        <v>6</v>
      </c>
      <c r="R50">
        <f>INDEX($F$20:$F$62,K50)</f>
        <v>0.333333333333333</v>
      </c>
      <c r="S50">
        <f>INDEX($H$20:$H$62,K50)</f>
        <v>100</v>
      </c>
      <c r="T50">
        <f>IF(OR('Dashboard Gerencial'!$B$5="Todas las gerencias",P50='Dashboard Gerencial'!$B$5),ROW(),"")</f>
        <v>50</v>
      </c>
      <c r="Z50">
        <f>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individual'!F50="Completado",3000000,0)+COUNTIF('Detalle individual'!$C$5:$C$295,"&lt;"&amp;'Detalle individual'!C50)*300+ROW(),"")</f>
        <v>3072050</v>
      </c>
    </row>
    <row r="51">
      <c r="A51" t="str">
        <f>TRIM('Consolidado por área'!A36)</f>
        <v>DEPARTAMENTO DE TARJETA DE CREDITO Y DEBITO</v>
      </c>
      <c r="B51" t="str">
        <f>'Consolidado por área'!B36</f>
        <v>Gerencia de Operaciones</v>
      </c>
      <c r="C51">
        <f>'Consolidado por área'!C36</f>
        <v>6</v>
      </c>
      <c r="D51">
        <f>'Consolidado por área'!D36</f>
        <v>3</v>
      </c>
      <c r="E51">
        <f>'Consolidado por área'!E36</f>
        <v>3</v>
      </c>
      <c r="F51">
        <f>IF(C51&gt;0,D51/C51,0)</f>
        <v>0.5</v>
      </c>
      <c r="G51">
        <f>F51*1000000+C51*10+(1000-ROW())/10000</f>
        <v>500060.0949</v>
      </c>
      <c r="H51">
        <f>'Consolidado por área'!H36</f>
        <v>98.3333333333333</v>
      </c>
      <c r="J51" t="n">
        <v>32</v>
      </c>
      <c r="K51">
        <f>MATCH(LARGE($G$20:$G$62,J51),$G$20:$G$62,0)</f>
        <v>22</v>
      </c>
      <c r="L51" t="str">
        <f>INDEX($A$20:$A$62,K51)&amp;"   "&amp;TEXT(INDEX($F$20:$F$62,K51),"0%")</f>
        <v>DEPARTAMENTO DE EDUCACION Y RESPONSABILIDAD SOCIAL   33%</v>
      </c>
      <c r="M51">
        <f>INDEX($D$20:$D$62,K51)</f>
        <v>1</v>
      </c>
      <c r="N51">
        <f>INDEX($E$20:$E$62,K51)</f>
        <v>2</v>
      </c>
      <c r="O51" t="str">
        <f>INDEX($A$20:$A$62,K51)</f>
        <v>DEPARTAMENTO DE EDUCACION Y RESPONSABILIDAD SOCIAL</v>
      </c>
      <c r="P51" t="str">
        <f>INDEX($B$20:$B$62,K51)</f>
        <v>Gerencia de Negocios</v>
      </c>
      <c r="Q51">
        <f>INDEX($C$20:$C$62,K51)</f>
        <v>3</v>
      </c>
      <c r="R51">
        <f>INDEX($F$20:$F$62,K51)</f>
        <v>0.333333333333333</v>
      </c>
      <c r="S51">
        <f>INDEX($H$20:$H$62,K51)</f>
        <v>100</v>
      </c>
      <c r="T51">
        <f>IF(OR('Dashboard Gerencial'!$B$5="Todas las gerencias",P51='Dashboard Gerencial'!$B$5),ROW(),"")</f>
        <v>51</v>
      </c>
      <c r="Z51">
        <f>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individual'!F51="Completado",3000000,0)+COUNTIF('Detalle individual'!$C$5:$C$295,"&lt;"&amp;'Detalle individual'!C51)*300+ROW(),"")</f>
        <v>3072051</v>
      </c>
    </row>
    <row r="52">
      <c r="A52" t="str">
        <f>TRIM('Consolidado por área'!A37)</f>
        <v>DEPARTAMENTO LEGAL</v>
      </c>
      <c r="B52" t="str">
        <f>'Consolidado por área'!B37</f>
        <v>Gerencia Legal y Cumplimiento Normativo</v>
      </c>
      <c r="C52">
        <f>'Consolidado por área'!C37</f>
        <v>8</v>
      </c>
      <c r="D52">
        <f>'Consolidado por área'!D37</f>
        <v>2</v>
      </c>
      <c r="E52">
        <f>'Consolidado por área'!E37</f>
        <v>6</v>
      </c>
      <c r="F52">
        <f>IF(C52&gt;0,D52/C52,0)</f>
        <v>0.25</v>
      </c>
      <c r="G52">
        <f>F52*1000000+C52*10+(1000-ROW())/10000</f>
        <v>250080.0948</v>
      </c>
      <c r="H52">
        <f>'Consolidado por área'!H37</f>
        <v>95</v>
      </c>
      <c r="J52" t="n">
        <v>33</v>
      </c>
      <c r="K52">
        <f>MATCH(LARGE($G$20:$G$62,J52),$G$20:$G$62,0)</f>
        <v>6</v>
      </c>
      <c r="L52" t="str">
        <f>INDEX($A$20:$A$62,K52)&amp;"   "&amp;TEXT(INDEX($F$20:$F$62,K52),"0%")</f>
        <v>AGENCIA COLONIA MEDICA   31%</v>
      </c>
      <c r="M52">
        <f>INDEX($D$20:$D$62,K52)</f>
        <v>5</v>
      </c>
      <c r="N52">
        <f>INDEX($E$20:$E$62,K52)</f>
        <v>11</v>
      </c>
      <c r="O52" t="str">
        <f>INDEX($A$20:$A$62,K52)</f>
        <v>AGENCIA COLONIA MEDICA</v>
      </c>
      <c r="P52" t="str">
        <f>INDEX($B$20:$B$62,K52)</f>
        <v>Gerencia de Negocios</v>
      </c>
      <c r="Q52">
        <f>INDEX($C$20:$C$62,K52)</f>
        <v>16</v>
      </c>
      <c r="R52">
        <f>INDEX($F$20:$F$62,K52)</f>
        <v>0.3125</v>
      </c>
      <c r="S52">
        <f>INDEX($H$20:$H$62,K52)</f>
        <v>99</v>
      </c>
      <c r="T52">
        <f>IF(OR('Dashboard Gerencial'!$B$5="Todas las gerencias",P52='Dashboard Gerencial'!$B$5),ROW(),"")</f>
        <v>52</v>
      </c>
      <c r="Z52">
        <f>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individual'!F52="Completado",3000000,0)+COUNTIF('Detalle individual'!$C$5:$C$295,"&lt;"&amp;'Detalle individual'!C52)*300+ROW(),"")</f>
        <v>3060052</v>
      </c>
    </row>
    <row r="53">
      <c r="A53" t="str">
        <f>TRIM('Consolidado por área'!A38)</f>
        <v>GERENCIA ADMINISTRATIVA</v>
      </c>
      <c r="B53" t="str">
        <f>'Consolidado por área'!B38</f>
        <v>Gerencia Administrativa</v>
      </c>
      <c r="C53">
        <f>'Consolidado por área'!C38</f>
        <v>2</v>
      </c>
      <c r="D53">
        <f>'Consolidado por área'!D38</f>
        <v>1</v>
      </c>
      <c r="E53">
        <f>'Consolidado por área'!E38</f>
        <v>1</v>
      </c>
      <c r="F53">
        <f>IF(C53&gt;0,D53/C53,0)</f>
        <v>0.5</v>
      </c>
      <c r="G53">
        <f>F53*1000000+C53*10+(1000-ROW())/10000</f>
        <v>500020.0947</v>
      </c>
      <c r="H53">
        <f>'Consolidado por área'!H38</f>
        <v>100</v>
      </c>
      <c r="J53" t="n">
        <v>34</v>
      </c>
      <c r="K53">
        <f>MATCH(LARGE($G$20:$G$62,J53),$G$20:$G$62,0)</f>
        <v>30</v>
      </c>
      <c r="L53" t="str">
        <f>INDEX($A$20:$A$62,K53)&amp;"   "&amp;TEXT(INDEX($F$20:$F$62,K53),"0%")</f>
        <v>DEPARTAMENTO DE SOLUCIONES FINANCIERAS   30%</v>
      </c>
      <c r="M53">
        <f>INDEX($D$20:$D$62,K53)</f>
        <v>3</v>
      </c>
      <c r="N53">
        <f>INDEX($E$20:$E$62,K53)</f>
        <v>7</v>
      </c>
      <c r="O53" t="str">
        <f>INDEX($A$20:$A$62,K53)</f>
        <v>DEPARTAMENTO DE SOLUCIONES FINANCIERAS</v>
      </c>
      <c r="P53" t="str">
        <f>INDEX($B$20:$B$62,K53)</f>
        <v>Gerencia de Negocios</v>
      </c>
      <c r="Q53">
        <f>INDEX($C$20:$C$62,K53)</f>
        <v>10</v>
      </c>
      <c r="R53">
        <f>INDEX($F$20:$F$62,K53)</f>
        <v>0.3</v>
      </c>
      <c r="S53">
        <f>INDEX($H$20:$H$62,K53)</f>
        <v>93.3333333333333</v>
      </c>
      <c r="T53">
        <f>IF(OR('Dashboard Gerencial'!$B$5="Todas las gerencias",P53='Dashboard Gerencial'!$B$5),ROW(),"")</f>
        <v>53</v>
      </c>
      <c r="Z53">
        <f>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individual'!F53="Completado",3000000,0)+COUNTIF('Detalle individual'!$C$5:$C$295,"&lt;"&amp;'Detalle individual'!C53)*300+ROW(),"")</f>
        <v>3060053</v>
      </c>
    </row>
    <row r="54">
      <c r="A54" t="str">
        <f>TRIM('Consolidado por área'!A39)</f>
        <v>GERENCIA DE FINANZAS Y PLANIFICACIÓN</v>
      </c>
      <c r="B54" t="str">
        <f>'Consolidado por área'!B39</f>
        <v>Gerencia de Finanzas y Planificación</v>
      </c>
      <c r="C54">
        <f>'Consolidado por área'!C39</f>
        <v>2</v>
      </c>
      <c r="D54">
        <f>'Consolidado por área'!D39</f>
        <v>1</v>
      </c>
      <c r="E54">
        <f>'Consolidado por área'!E39</f>
        <v>1</v>
      </c>
      <c r="F54">
        <f>IF(C54&gt;0,D54/C54,0)</f>
        <v>0.5</v>
      </c>
      <c r="G54">
        <f>F54*1000000+C54*10+(1000-ROW())/10000</f>
        <v>500020.0946</v>
      </c>
      <c r="H54">
        <f>'Consolidado por área'!H39</f>
        <v>100</v>
      </c>
      <c r="J54" t="n">
        <v>35</v>
      </c>
      <c r="K54">
        <f>MATCH(LARGE($G$20:$G$62,J54),$G$20:$G$62,0)</f>
        <v>43</v>
      </c>
      <c r="L54" t="str">
        <f>INDEX($A$20:$A$62,K54)&amp;"   "&amp;TEXT(INDEX($F$20:$F$62,K54),"0%")</f>
        <v>SUB GERENCIA DE CANALES   29%</v>
      </c>
      <c r="M54">
        <f>INDEX($D$20:$D$62,K54)</f>
        <v>2</v>
      </c>
      <c r="N54">
        <f>INDEX($E$20:$E$62,K54)</f>
        <v>5</v>
      </c>
      <c r="O54" t="str">
        <f>INDEX($A$20:$A$62,K54)</f>
        <v>SUB GERENCIA DE CANALES</v>
      </c>
      <c r="P54" t="str">
        <f>INDEX($B$20:$B$62,K54)</f>
        <v>Gerencia de Negocios</v>
      </c>
      <c r="Q54">
        <f>INDEX($C$20:$C$62,K54)</f>
        <v>7</v>
      </c>
      <c r="R54">
        <f>INDEX($F$20:$F$62,K54)</f>
        <v>0.285714285714286</v>
      </c>
      <c r="S54">
        <f>INDEX($H$20:$H$62,K54)</f>
        <v>100</v>
      </c>
      <c r="T54">
        <f>IF(OR('Dashboard Gerencial'!$B$5="Todas las gerencias",P54='Dashboard Gerencial'!$B$5),ROW(),"")</f>
        <v>54</v>
      </c>
      <c r="Z54">
        <f>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individual'!F54="Completado",3000000,0)+COUNTIF('Detalle individual'!$C$5:$C$295,"&lt;"&amp;'Detalle individual'!C54)*300+ROW(),"")</f>
        <v>3032154</v>
      </c>
    </row>
    <row r="55">
      <c r="A55" t="str">
        <f>TRIM('Consolidado por área'!A40)</f>
        <v>GERENCIA DE NEGOCIOS</v>
      </c>
      <c r="B55" t="str">
        <f>'Consolidado por área'!B40</f>
        <v>Gerencia de Negocios</v>
      </c>
      <c r="C55">
        <f>'Consolidado por área'!C40</f>
        <v>4</v>
      </c>
      <c r="D55">
        <f>'Consolidado por área'!D40</f>
        <v>3</v>
      </c>
      <c r="E55">
        <f>'Consolidado por área'!E40</f>
        <v>1</v>
      </c>
      <c r="F55">
        <f>IF(C55&gt;0,D55/C55,0)</f>
        <v>0.75</v>
      </c>
      <c r="G55">
        <f>F55*1000000+C55*10+(1000-ROW())/10000</f>
        <v>750040.0945</v>
      </c>
      <c r="H55">
        <f>'Consolidado por área'!H40</f>
        <v>100</v>
      </c>
      <c r="J55" t="n">
        <v>36</v>
      </c>
      <c r="K55">
        <f>MATCH(LARGE($G$20:$G$62,J55),$G$20:$G$62,0)</f>
        <v>5</v>
      </c>
      <c r="L55" t="str">
        <f>INDEX($A$20:$A$62,K55)&amp;"   "&amp;TEXT(INDEX($F$20:$F$62,K55),"0%")</f>
        <v>AGENCIA COLEGIO MEDICO   25%</v>
      </c>
      <c r="M55">
        <f>INDEX($D$20:$D$62,K55)</f>
        <v>3</v>
      </c>
      <c r="N55">
        <f>INDEX($E$20:$E$62,K55)</f>
        <v>9</v>
      </c>
      <c r="O55" t="str">
        <f>INDEX($A$20:$A$62,K55)</f>
        <v>AGENCIA COLEGIO MEDICO</v>
      </c>
      <c r="P55" t="str">
        <f>INDEX($B$20:$B$62,K55)</f>
        <v>Gerencia de Negocios</v>
      </c>
      <c r="Q55">
        <f>INDEX($C$20:$C$62,K55)</f>
        <v>12</v>
      </c>
      <c r="R55">
        <f>INDEX($F$20:$F$62,K55)</f>
        <v>0.25</v>
      </c>
      <c r="S55">
        <f>INDEX($H$20:$H$62,K55)</f>
        <v>100</v>
      </c>
      <c r="T55">
        <f>IF(OR('Dashboard Gerencial'!$B$5="Todas las gerencias",P55='Dashboard Gerencial'!$B$5),ROW(),"")</f>
        <v>55</v>
      </c>
      <c r="Z55">
        <f>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individual'!F55="Completado",3000000,0)+COUNTIF('Detalle individual'!$C$5:$C$295,"&lt;"&amp;'Detalle individual'!C55)*300+ROW(),"")</f>
        <v>3032155</v>
      </c>
    </row>
    <row r="56">
      <c r="A56" t="str">
        <f>TRIM('Consolidado por área'!A41)</f>
        <v>GERENCIA DE OPERACIONES</v>
      </c>
      <c r="B56" t="str">
        <f>'Consolidado por área'!B41</f>
        <v>Gerencia de Operaciones</v>
      </c>
      <c r="C56">
        <f>'Consolidado por área'!C41</f>
        <v>1</v>
      </c>
      <c r="D56">
        <f>'Consolidado por área'!D41</f>
        <v>0</v>
      </c>
      <c r="E56">
        <f>'Consolidado por área'!E41</f>
        <v>1</v>
      </c>
      <c r="F56">
        <f>IF(C56&gt;0,D56/C56,0)</f>
        <v>0</v>
      </c>
      <c r="G56">
        <f>F56*1000000+C56*10+(1000-ROW())/10000</f>
        <v>10.0944</v>
      </c>
      <c r="H56" t="str">
        <f>'Consolidado por área'!H41</f>
        <v/>
      </c>
      <c r="J56" t="n">
        <v>37</v>
      </c>
      <c r="K56">
        <f>MATCH(LARGE($G$20:$G$62,J56),$G$20:$G$62,0)</f>
        <v>33</v>
      </c>
      <c r="L56" t="str">
        <f>INDEX($A$20:$A$62,K56)&amp;"   "&amp;TEXT(INDEX($F$20:$F$62,K56),"0%")</f>
        <v>DEPARTAMENTO LEGAL   25%</v>
      </c>
      <c r="M56">
        <f>INDEX($D$20:$D$62,K56)</f>
        <v>2</v>
      </c>
      <c r="N56">
        <f>INDEX($E$20:$E$62,K56)</f>
        <v>6</v>
      </c>
      <c r="O56" t="str">
        <f>INDEX($A$20:$A$62,K56)</f>
        <v>DEPARTAMENTO LEGAL</v>
      </c>
      <c r="P56" t="str">
        <f>INDEX($B$20:$B$62,K56)</f>
        <v>Gerencia Legal y Cumplimiento Normativo</v>
      </c>
      <c r="Q56">
        <f>INDEX($C$20:$C$62,K56)</f>
        <v>8</v>
      </c>
      <c r="R56">
        <f>INDEX($F$20:$F$62,K56)</f>
        <v>0.25</v>
      </c>
      <c r="S56">
        <f>INDEX($H$20:$H$62,K56)</f>
        <v>95</v>
      </c>
      <c r="T56">
        <f>IF(OR('Dashboard Gerencial'!$B$5="Todas las gerencias",P56='Dashboard Gerencial'!$B$5),ROW(),"")</f>
        <v>56</v>
      </c>
      <c r="Z56">
        <f>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individual'!F56="Completado",3000000,0)+COUNTIF('Detalle individual'!$C$5:$C$295,"&lt;"&amp;'Detalle individual'!C56)*300+ROW(),"")</f>
        <v>53156</v>
      </c>
    </row>
    <row r="57">
      <c r="A57" t="str">
        <f>TRIM('Consolidado por área'!A42)</f>
        <v>GERENCIA DE SISTEMAS</v>
      </c>
      <c r="B57" t="str">
        <f>'Consolidado por área'!B42</f>
        <v>Gerencia de Sistemas</v>
      </c>
      <c r="C57">
        <f>'Consolidado por área'!C42</f>
        <v>4</v>
      </c>
      <c r="D57">
        <f>'Consolidado por área'!D42</f>
        <v>2</v>
      </c>
      <c r="E57">
        <f>'Consolidado por área'!E42</f>
        <v>2</v>
      </c>
      <c r="F57">
        <f>IF(C57&gt;0,D57/C57,0)</f>
        <v>0.5</v>
      </c>
      <c r="G57">
        <f>F57*1000000+C57*10+(1000-ROW())/10000</f>
        <v>500040.0943</v>
      </c>
      <c r="H57">
        <f>'Consolidado por área'!H42</f>
        <v>97.5</v>
      </c>
      <c r="J57" t="n">
        <v>38</v>
      </c>
      <c r="K57">
        <f>MATCH(LARGE($G$20:$G$62,J57),$G$20:$G$62,0)</f>
        <v>23</v>
      </c>
      <c r="L57" t="str">
        <f>INDEX($A$20:$A$62,K57)&amp;"   "&amp;TEXT(INDEX($F$20:$F$62,K57),"0%")</f>
        <v>DEPARTAMENTO DE MERCADEO   14%</v>
      </c>
      <c r="M57">
        <f>INDEX($D$20:$D$62,K57)</f>
        <v>1</v>
      </c>
      <c r="N57">
        <f>INDEX($E$20:$E$62,K57)</f>
        <v>6</v>
      </c>
      <c r="O57" t="str">
        <f>INDEX($A$20:$A$62,K57)</f>
        <v>DEPARTAMENTO DE MERCADEO</v>
      </c>
      <c r="P57" t="str">
        <f>INDEX($B$20:$B$62,K57)</f>
        <v>Gerencia de Negocios</v>
      </c>
      <c r="Q57">
        <f>INDEX($C$20:$C$62,K57)</f>
        <v>7</v>
      </c>
      <c r="R57">
        <f>INDEX($F$20:$F$62,K57)</f>
        <v>0.142857142857143</v>
      </c>
      <c r="S57">
        <f>INDEX($H$20:$H$62,K57)</f>
        <v>100</v>
      </c>
      <c r="T57">
        <f>IF(OR('Dashboard Gerencial'!$B$5="Todas las gerencias",P57='Dashboard Gerencial'!$B$5),ROW(),"")</f>
        <v>57</v>
      </c>
      <c r="Z57">
        <f>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individual'!F57="Completado",3000000,0)+COUNTIF('Detalle individual'!$C$5:$C$295,"&lt;"&amp;'Detalle individual'!C57)*300+ROW(),"")</f>
        <v>3053157</v>
      </c>
    </row>
    <row r="58">
      <c r="A58" t="str">
        <f>TRIM('Consolidado por área'!A43)</f>
        <v>GERENCIA GENERAL</v>
      </c>
      <c r="B58" t="str">
        <f>'Consolidado por área'!B43</f>
        <v>Gerencia General</v>
      </c>
      <c r="C58">
        <f>'Consolidado por área'!C43</f>
        <v>2</v>
      </c>
      <c r="D58">
        <f>'Consolidado por área'!D43</f>
        <v>1</v>
      </c>
      <c r="E58">
        <f>'Consolidado por área'!E43</f>
        <v>1</v>
      </c>
      <c r="F58">
        <f>IF(C58&gt;0,D58/C58,0)</f>
        <v>0.5</v>
      </c>
      <c r="G58">
        <f>F58*1000000+C58*10+(1000-ROW())/10000</f>
        <v>500020.0942</v>
      </c>
      <c r="H58">
        <f>'Consolidado por área'!H43</f>
        <v>100</v>
      </c>
      <c r="J58" t="n">
        <v>39</v>
      </c>
      <c r="K58">
        <f>MATCH(LARGE($G$20:$G$62,J58),$G$20:$G$62,0)</f>
        <v>8</v>
      </c>
      <c r="L58" t="str">
        <f>INDEX($A$20:$A$62,K58)&amp;"   "&amp;TEXT(INDEX($F$20:$F$62,K58),"0%")</f>
        <v>AGENCIA PLAZA MUNDO   0%</v>
      </c>
      <c r="M58">
        <f>INDEX($D$20:$D$62,K58)</f>
        <v>0</v>
      </c>
      <c r="N58">
        <f>INDEX($E$20:$E$62,K58)</f>
        <v>8</v>
      </c>
      <c r="O58" t="str">
        <f>INDEX($A$20:$A$62,K58)</f>
        <v>AGENCIA PLAZA MUNDO</v>
      </c>
      <c r="P58" t="str">
        <f>INDEX($B$20:$B$62,K58)</f>
        <v>Gerencia de Negocios</v>
      </c>
      <c r="Q58">
        <f>INDEX($C$20:$C$62,K58)</f>
        <v>8</v>
      </c>
      <c r="R58">
        <f>INDEX($F$20:$F$62,K58)</f>
        <v>0</v>
      </c>
      <c r="S58" t="str">
        <f>INDEX($H$20:$H$62,K58)</f>
        <v/>
      </c>
      <c r="T58">
        <f>IF(OR('Dashboard Gerencial'!$B$5="Todas las gerencias",P58='Dashboard Gerencial'!$B$5),ROW(),"")</f>
        <v>58</v>
      </c>
      <c r="Z58">
        <f>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individual'!F58="Completado",3000000,0)+COUNTIF('Detalle individual'!$C$5:$C$295,"&lt;"&amp;'Detalle individual'!C58)*300+ROW(),"")</f>
        <v>53158</v>
      </c>
    </row>
    <row r="59">
      <c r="A59" t="str">
        <f>TRIM('Consolidado por área'!A44)</f>
        <v>GERENCIA LEGAL Y DE CUMPLIMIENTO NORMATIVO</v>
      </c>
      <c r="B59" t="str">
        <f>'Consolidado por área'!B44</f>
        <v>Gerencia Legal y Cumplimiento Normativo</v>
      </c>
      <c r="C59">
        <f>'Consolidado por área'!C44</f>
        <v>1</v>
      </c>
      <c r="D59">
        <f>'Consolidado por área'!D44</f>
        <v>1</v>
      </c>
      <c r="E59">
        <f>'Consolidado por área'!E44</f>
        <v>0</v>
      </c>
      <c r="F59">
        <f>IF(C59&gt;0,D59/C59,0)</f>
        <v>1</v>
      </c>
      <c r="G59">
        <f>F59*1000000+C59*10+(1000-ROW())/10000</f>
        <v>1000010.0941</v>
      </c>
      <c r="H59">
        <f>'Consolidado por área'!H44</f>
        <v>100</v>
      </c>
      <c r="J59" t="n">
        <v>40</v>
      </c>
      <c r="K59">
        <f>MATCH(LARGE($G$20:$G$62,J59),$G$20:$G$62,0)</f>
        <v>10</v>
      </c>
      <c r="L59" t="str">
        <f>INDEX($A$20:$A$62,K59)&amp;"   "&amp;TEXT(INDEX($F$20:$F$62,K59),"0%")</f>
        <v>AGENCIA SANTA ANA   0%</v>
      </c>
      <c r="M59">
        <f>INDEX($D$20:$D$62,K59)</f>
        <v>0</v>
      </c>
      <c r="N59">
        <f>INDEX($E$20:$E$62,K59)</f>
        <v>8</v>
      </c>
      <c r="O59" t="str">
        <f>INDEX($A$20:$A$62,K59)</f>
        <v>AGENCIA SANTA ANA</v>
      </c>
      <c r="P59" t="str">
        <f>INDEX($B$20:$B$62,K59)</f>
        <v>Gerencia de Negocios</v>
      </c>
      <c r="Q59">
        <f>INDEX($C$20:$C$62,K59)</f>
        <v>8</v>
      </c>
      <c r="R59">
        <f>INDEX($F$20:$F$62,K59)</f>
        <v>0</v>
      </c>
      <c r="S59" t="str">
        <f>INDEX($H$20:$H$62,K59)</f>
        <v/>
      </c>
      <c r="T59">
        <f>IF(OR('Dashboard Gerencial'!$B$5="Todas las gerencias",P59='Dashboard Gerencial'!$B$5),ROW(),"")</f>
        <v>59</v>
      </c>
      <c r="Z59">
        <f>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individual'!F59="Completado",3000000,0)+COUNTIF('Detalle individual'!$C$5:$C$295,"&lt;"&amp;'Detalle individual'!C59)*300+ROW(),"")</f>
        <v>69059</v>
      </c>
    </row>
    <row r="60">
      <c r="A60" t="str">
        <f>TRIM('Consolidado por área'!A45)</f>
        <v>OFICIALIA DE CUMPLIMIENTO</v>
      </c>
      <c r="B60" t="str">
        <f>'Consolidado por área'!B45</f>
        <v>Gerencia de Oficialía de Cumplimiento</v>
      </c>
      <c r="C60">
        <f>'Consolidado por área'!C45</f>
        <v>7</v>
      </c>
      <c r="D60">
        <f>'Consolidado por área'!D45</f>
        <v>7</v>
      </c>
      <c r="E60">
        <f>'Consolidado por área'!E45</f>
        <v>0</v>
      </c>
      <c r="F60">
        <f>IF(C60&gt;0,D60/C60,0)</f>
        <v>1</v>
      </c>
      <c r="G60">
        <f>F60*1000000+C60*10+(1000-ROW())/10000</f>
        <v>1000070.094</v>
      </c>
      <c r="H60">
        <f>'Consolidado por área'!H45</f>
        <v>100</v>
      </c>
      <c r="J60" t="n">
        <v>41</v>
      </c>
      <c r="K60">
        <f>MATCH(LARGE($G$20:$G$62,J60),$G$20:$G$62,0)</f>
        <v>11</v>
      </c>
      <c r="L60" t="str">
        <f>INDEX($A$20:$A$62,K60)&amp;"   "&amp;TEXT(INDEX($F$20:$F$62,K60),"0%")</f>
        <v>AGENCIA SONSONATE   0%</v>
      </c>
      <c r="M60">
        <f>INDEX($D$20:$D$62,K60)</f>
        <v>0</v>
      </c>
      <c r="N60">
        <f>INDEX($E$20:$E$62,K60)</f>
        <v>7</v>
      </c>
      <c r="O60" t="str">
        <f>INDEX($A$20:$A$62,K60)</f>
        <v>AGENCIA SONSONATE</v>
      </c>
      <c r="P60" t="str">
        <f>INDEX($B$20:$B$62,K60)</f>
        <v>Gerencia de Negocios</v>
      </c>
      <c r="Q60">
        <f>INDEX($C$20:$C$62,K60)</f>
        <v>7</v>
      </c>
      <c r="R60">
        <f>INDEX($F$20:$F$62,K60)</f>
        <v>0</v>
      </c>
      <c r="S60" t="str">
        <f>INDEX($H$20:$H$62,K60)</f>
        <v/>
      </c>
      <c r="T60">
        <f>IF(OR('Dashboard Gerencial'!$B$5="Todas las gerencias",P60='Dashboard Gerencial'!$B$5),ROW(),"")</f>
        <v>60</v>
      </c>
      <c r="Z60">
        <f>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individual'!F60="Completado",3000000,0)+COUNTIF('Detalle individual'!$C$5:$C$295,"&lt;"&amp;'Detalle individual'!C60)*300+ROW(),"")</f>
        <v>69060</v>
      </c>
    </row>
    <row r="61">
      <c r="A61" t="str">
        <f>TRIM('Consolidado por área'!A46)</f>
        <v>OFICIALIA DE SEGURIDAD DE LA INFORMACION</v>
      </c>
      <c r="B61" t="str">
        <f>'Consolidado por área'!B46</f>
        <v>Gerencia General</v>
      </c>
      <c r="C61">
        <f>'Consolidado por área'!C46</f>
        <v>4</v>
      </c>
      <c r="D61">
        <f>'Consolidado por área'!D46</f>
        <v>4</v>
      </c>
      <c r="E61">
        <f>'Consolidado por área'!E46</f>
        <v>0</v>
      </c>
      <c r="F61">
        <f>IF(C61&gt;0,D61/C61,0)</f>
        <v>1</v>
      </c>
      <c r="G61">
        <f>F61*1000000+C61*10+(1000-ROW())/10000</f>
        <v>1000040.0939</v>
      </c>
      <c r="H61">
        <f>'Consolidado por área'!H46</f>
        <v>96.25</v>
      </c>
      <c r="J61" t="n">
        <v>42</v>
      </c>
      <c r="K61">
        <f>MATCH(LARGE($G$20:$G$62,J61),$G$20:$G$62,0)</f>
        <v>25</v>
      </c>
      <c r="L61" t="str">
        <f>INDEX($A$20:$A$62,K61)&amp;"   "&amp;TEXT(INDEX($F$20:$F$62,K61),"0%")</f>
        <v>DEPARTAMENTO DE PLANIFICACIÓN Y ANALISIS   0%</v>
      </c>
      <c r="M61">
        <f>INDEX($D$20:$D$62,K61)</f>
        <v>0</v>
      </c>
      <c r="N61">
        <f>INDEX($E$20:$E$62,K61)</f>
        <v>3</v>
      </c>
      <c r="O61" t="str">
        <f>INDEX($A$20:$A$62,K61)</f>
        <v>DEPARTAMENTO DE PLANIFICACIÓN Y ANALISIS</v>
      </c>
      <c r="P61" t="str">
        <f>INDEX($B$20:$B$62,K61)</f>
        <v>Gerencia de Finanzas y Planificación</v>
      </c>
      <c r="Q61">
        <f>INDEX($C$20:$C$62,K61)</f>
        <v>3</v>
      </c>
      <c r="R61">
        <f>INDEX($F$20:$F$62,K61)</f>
        <v>0</v>
      </c>
      <c r="S61" t="str">
        <f>INDEX($H$20:$H$62,K61)</f>
        <v/>
      </c>
      <c r="T61">
        <f>IF(OR('Dashboard Gerencial'!$B$5="Todas las gerencias",P61='Dashboard Gerencial'!$B$5),ROW(),"")</f>
        <v>61</v>
      </c>
      <c r="Z61">
        <f>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individual'!F61="Completado",3000000,0)+COUNTIF('Detalle individual'!$C$5:$C$295,"&lt;"&amp;'Detalle individual'!C61)*300+ROW(),"")</f>
        <v>69061</v>
      </c>
    </row>
    <row r="62">
      <c r="A62" t="str">
        <f>TRIM('Consolidado por área'!A47)</f>
        <v>SUB GERENCIA DE CANALES</v>
      </c>
      <c r="B62" t="str">
        <f>'Consolidado por área'!B47</f>
        <v>Gerencia de Negocios</v>
      </c>
      <c r="C62">
        <f>'Consolidado por área'!C47</f>
        <v>7</v>
      </c>
      <c r="D62">
        <f>'Consolidado por área'!D47</f>
        <v>2</v>
      </c>
      <c r="E62">
        <f>'Consolidado por área'!E47</f>
        <v>5</v>
      </c>
      <c r="F62">
        <f>IF(C62&gt;0,D62/C62,0)</f>
        <v>0.285714285714286</v>
      </c>
      <c r="G62">
        <f>F62*1000000+C62*10+(1000-ROW())/10000</f>
        <v>285784.379514286</v>
      </c>
      <c r="H62">
        <f>'Consolidado por área'!H47</f>
        <v>100</v>
      </c>
      <c r="J62" t="n">
        <v>43</v>
      </c>
      <c r="K62">
        <f>MATCH(LARGE($G$20:$G$62,J62),$G$20:$G$62,0)</f>
        <v>37</v>
      </c>
      <c r="L62" t="str">
        <f>INDEX($A$20:$A$62,K62)&amp;"   "&amp;TEXT(INDEX($F$20:$F$62,K62),"0%")</f>
        <v>GERENCIA DE OPERACIONES   0%</v>
      </c>
      <c r="M62">
        <f>INDEX($D$20:$D$62,K62)</f>
        <v>0</v>
      </c>
      <c r="N62">
        <f>INDEX($E$20:$E$62,K62)</f>
        <v>1</v>
      </c>
      <c r="O62" t="str">
        <f>INDEX($A$20:$A$62,K62)</f>
        <v>GERENCIA DE OPERACIONES</v>
      </c>
      <c r="P62" t="str">
        <f>INDEX($B$20:$B$62,K62)</f>
        <v>Gerencia de Operaciones</v>
      </c>
      <c r="Q62">
        <f>INDEX($C$20:$C$62,K62)</f>
        <v>1</v>
      </c>
      <c r="R62">
        <f>INDEX($F$20:$F$62,K62)</f>
        <v>0</v>
      </c>
      <c r="S62" t="str">
        <f>INDEX($H$20:$H$62,K62)</f>
        <v/>
      </c>
      <c r="T62">
        <f>IF(OR('Dashboard Gerencial'!$B$5="Todas las gerencias",P62='Dashboard Gerencial'!$B$5),ROW(),"")</f>
        <v>62</v>
      </c>
      <c r="Z62">
        <f>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individual'!F62="Completado",3000000,0)+COUNTIF('Detalle individual'!$C$5:$C$295,"&lt;"&amp;'Detalle individual'!C62)*300+ROW(),"")</f>
        <v>3069062</v>
      </c>
    </row>
    <row r="63">
      <c r="Z63">
        <f>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individual'!F63="Completado",3000000,0)+COUNTIF('Detalle individual'!$C$5:$C$295,"&lt;"&amp;'Detalle individual'!C63)*300+ROW(),"")</f>
        <v>69063</v>
      </c>
    </row>
    <row r="64">
      <c r="Z64">
        <f>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individual'!F64="Completado",3000000,0)+COUNTIF('Detalle individual'!$C$5:$C$295,"&lt;"&amp;'Detalle individual'!C64)*300+ROW(),"")</f>
        <v>3069064</v>
      </c>
    </row>
    <row r="65">
      <c r="Z65">
        <f>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individual'!F65="Completado",3000000,0)+COUNTIF('Detalle individual'!$C$5:$C$295,"&lt;"&amp;'Detalle individual'!C65)*300+ROW(),"")</f>
        <v>3069065</v>
      </c>
    </row>
    <row r="66">
      <c r="A66" t="inlineStr">
        <is>
          <t>Completados</t>
        </is>
      </c>
      <c r="B66">
        <f>SUM('Consolidado por Gerencia'!$C$5:$C$14)</f>
        <v>154</v>
      </c>
      <c r="Z66">
        <f>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individual'!F66="Completado",3000000,0)+COUNTIF('Detalle individual'!$C$5:$C$295,"&lt;"&amp;'Detalle individual'!C66)*300+ROW(),"")</f>
        <v>69066</v>
      </c>
    </row>
    <row r="67">
      <c r="A67" t="inlineStr">
        <is>
          <t>Pendientes</t>
        </is>
      </c>
      <c r="B67">
        <f>SUM('Consolidado por Gerencia'!$D$5:$D$14)</f>
        <v>137</v>
      </c>
      <c r="Z67">
        <f>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individual'!F67="Completado",3000000,0)+COUNTIF('Detalle individual'!$C$5:$C$295,"&lt;"&amp;'Detalle individual'!C67)*300+ROW(),"")</f>
        <v>69067</v>
      </c>
    </row>
    <row r="68">
      <c r="Z68">
        <f>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individual'!F68="Completado",3000000,0)+COUNTIF('Detalle individual'!$C$5:$C$295,"&lt;"&amp;'Detalle individual'!C68)*300+ROW(),"")</f>
        <v>69068</v>
      </c>
    </row>
    <row r="69">
      <c r="Z69">
        <f>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individual'!F69="Completado",3000000,0)+COUNTIF('Detalle individual'!$C$5:$C$295,"&lt;"&amp;'Detalle individual'!C69)*300+ROW(),"")</f>
        <v>72969</v>
      </c>
    </row>
    <row r="70">
      <c r="Z70">
        <f>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individual'!F70="Completado",3000000,0)+COUNTIF('Detalle individual'!$C$5:$C$295,"&lt;"&amp;'Detalle individual'!C70)*300+ROW(),"")</f>
        <v>72970</v>
      </c>
    </row>
    <row r="71">
      <c r="Z71">
        <f>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individual'!F71="Completado",3000000,0)+COUNTIF('Detalle individual'!$C$5:$C$295,"&lt;"&amp;'Detalle individual'!C71)*300+ROW(),"")</f>
        <v>3072971</v>
      </c>
    </row>
    <row r="72">
      <c r="Z72">
        <f>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individual'!F72="Completado",3000000,0)+COUNTIF('Detalle individual'!$C$5:$C$295,"&lt;"&amp;'Detalle individual'!C72)*300+ROW(),"")</f>
        <v>72972</v>
      </c>
    </row>
    <row r="73">
      <c r="Z73">
        <f>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individual'!F73="Completado",3000000,0)+COUNTIF('Detalle individual'!$C$5:$C$295,"&lt;"&amp;'Detalle individual'!C73)*300+ROW(),"")</f>
        <v>3072973</v>
      </c>
    </row>
    <row r="74">
      <c r="Z74">
        <f>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individual'!F74="Completado",3000000,0)+COUNTIF('Detalle individual'!$C$5:$C$295,"&lt;"&amp;'Detalle individual'!C74)*300+ROW(),"")</f>
        <v>3072974</v>
      </c>
    </row>
    <row r="75">
      <c r="Z75">
        <f>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individual'!F75="Completado",3000000,0)+COUNTIF('Detalle individual'!$C$5:$C$295,"&lt;"&amp;'Detalle individual'!C75)*300+ROW(),"")</f>
        <v>51975</v>
      </c>
    </row>
    <row r="76">
      <c r="Z76">
        <f>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individual'!F76="Completado",3000000,0)+COUNTIF('Detalle individual'!$C$5:$C$295,"&lt;"&amp;'Detalle individual'!C76)*300+ROW(),"")</f>
        <v>3051976</v>
      </c>
    </row>
    <row r="77">
      <c r="Z77">
        <f>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individual'!F77="Completado",3000000,0)+COUNTIF('Detalle individual'!$C$5:$C$295,"&lt;"&amp;'Detalle individual'!C77)*300+ROW(),"")</f>
        <v>3051977</v>
      </c>
    </row>
    <row r="78">
      <c r="Z78">
        <f>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individual'!F78="Completado",3000000,0)+COUNTIF('Detalle individual'!$C$5:$C$295,"&lt;"&amp;'Detalle individual'!C78)*300+ROW(),"")</f>
        <v>3051978</v>
      </c>
    </row>
    <row r="79">
      <c r="Z79">
        <f>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individual'!F79="Completado",3000000,0)+COUNTIF('Detalle individual'!$C$5:$C$295,"&lt;"&amp;'Detalle individual'!C79)*300+ROW(),"")</f>
        <v>379</v>
      </c>
    </row>
    <row r="80">
      <c r="Z80">
        <f>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individual'!F80="Completado",3000000,0)+COUNTIF('Detalle individual'!$C$5:$C$295,"&lt;"&amp;'Detalle individual'!C80)*300+ROW(),"")</f>
        <v>380</v>
      </c>
    </row>
    <row r="81">
      <c r="Z81">
        <f>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individual'!F81="Completado",3000000,0)+COUNTIF('Detalle individual'!$C$5:$C$295,"&lt;"&amp;'Detalle individual'!C81)*300+ROW(),"")</f>
        <v>3000381</v>
      </c>
    </row>
    <row r="82">
      <c r="Z82">
        <f>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individual'!F82="Completado",3000000,0)+COUNTIF('Detalle individual'!$C$5:$C$295,"&lt;"&amp;'Detalle individual'!C82)*300+ROW(),"")</f>
        <v>382</v>
      </c>
    </row>
    <row r="83">
      <c r="Z83">
        <f>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individual'!F83="Completado",3000000,0)+COUNTIF('Detalle individual'!$C$5:$C$295,"&lt;"&amp;'Detalle individual'!C83)*300+ROW(),"")</f>
        <v>3000383</v>
      </c>
    </row>
    <row r="84">
      <c r="Z84">
        <f>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individual'!F84="Completado",3000000,0)+COUNTIF('Detalle individual'!$C$5:$C$295,"&lt;"&amp;'Detalle individual'!C84)*300+ROW(),"")</f>
        <v>77784</v>
      </c>
    </row>
    <row r="85">
      <c r="Z85">
        <f>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individual'!F85="Completado",3000000,0)+COUNTIF('Detalle individual'!$C$5:$C$295,"&lt;"&amp;'Detalle individual'!C85)*300+ROW(),"")</f>
        <v>42385</v>
      </c>
    </row>
    <row r="86">
      <c r="Z86">
        <f>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individual'!F86="Completado",3000000,0)+COUNTIF('Detalle individual'!$C$5:$C$295,"&lt;"&amp;'Detalle individual'!C86)*300+ROW(),"")</f>
        <v>42386</v>
      </c>
    </row>
    <row r="87">
      <c r="Z87">
        <f>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individual'!F87="Completado",3000000,0)+COUNTIF('Detalle individual'!$C$5:$C$295,"&lt;"&amp;'Detalle individual'!C87)*300+ROW(),"")</f>
        <v>3042387</v>
      </c>
    </row>
    <row r="88">
      <c r="Z88">
        <f>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individual'!F88="Completado",3000000,0)+COUNTIF('Detalle individual'!$C$5:$C$295,"&lt;"&amp;'Detalle individual'!C88)*300+ROW(),"")</f>
        <v>42388</v>
      </c>
    </row>
    <row r="89">
      <c r="Z89">
        <f>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individual'!F89="Completado",3000000,0)+COUNTIF('Detalle individual'!$C$5:$C$295,"&lt;"&amp;'Detalle individual'!C89)*300+ROW(),"")</f>
        <v>42389</v>
      </c>
    </row>
    <row r="90">
      <c r="Z90">
        <f>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individual'!F90="Completado",3000000,0)+COUNTIF('Detalle individual'!$C$5:$C$295,"&lt;"&amp;'Detalle individual'!C90)*300+ROW(),"")</f>
        <v>3042390</v>
      </c>
    </row>
    <row r="91">
      <c r="Z91">
        <f>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individual'!F91="Completado",3000000,0)+COUNTIF('Detalle individual'!$C$5:$C$295,"&lt;"&amp;'Detalle individual'!C91)*300+ROW(),"")</f>
        <v>3042391</v>
      </c>
    </row>
    <row r="92">
      <c r="Z92">
        <f>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individual'!F92="Completado",3000000,0)+COUNTIF('Detalle individual'!$C$5:$C$295,"&lt;"&amp;'Detalle individual'!C92)*300+ROW(),"")</f>
        <v>42392</v>
      </c>
    </row>
    <row r="93">
      <c r="Z93">
        <f>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individual'!F93="Completado",3000000,0)+COUNTIF('Detalle individual'!$C$5:$C$295,"&lt;"&amp;'Detalle individual'!C93)*300+ROW(),"")</f>
        <v>3042393</v>
      </c>
    </row>
    <row r="94">
      <c r="Z94">
        <f>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individual'!F94="Completado",3000000,0)+COUNTIF('Detalle individual'!$C$5:$C$295,"&lt;"&amp;'Detalle individual'!C94)*300+ROW(),"")</f>
        <v>3042394</v>
      </c>
    </row>
    <row r="95">
      <c r="Z95">
        <f>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individual'!F95="Completado",3000000,0)+COUNTIF('Detalle individual'!$C$5:$C$295,"&lt;"&amp;'Detalle individual'!C95)*300+ROW(),"")</f>
        <v>3042395</v>
      </c>
    </row>
    <row r="96">
      <c r="Z96">
        <f>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individual'!F96="Completado",3000000,0)+COUNTIF('Detalle individual'!$C$5:$C$295,"&lt;"&amp;'Detalle individual'!C96)*300+ROW(),"")</f>
        <v>3042396</v>
      </c>
    </row>
    <row r="97">
      <c r="Z97">
        <f>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individual'!F97="Completado",3000000,0)+COUNTIF('Detalle individual'!$C$5:$C$295,"&lt;"&amp;'Detalle individual'!C97)*300+ROW(),"")</f>
        <v>42397</v>
      </c>
    </row>
    <row r="98">
      <c r="Z98">
        <f>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individual'!F98="Completado",3000000,0)+COUNTIF('Detalle individual'!$C$5:$C$295,"&lt;"&amp;'Detalle individual'!C98)*300+ROW(),"")</f>
        <v>58298</v>
      </c>
    </row>
    <row r="99">
      <c r="Z99">
        <f>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individual'!F99="Completado",3000000,0)+COUNTIF('Detalle individual'!$C$5:$C$295,"&lt;"&amp;'Detalle individual'!C99)*300+ROW(),"")</f>
        <v>58299</v>
      </c>
    </row>
    <row r="100">
      <c r="Z100">
        <f>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individual'!F100="Completado",3000000,0)+COUNTIF('Detalle individual'!$C$5:$C$295,"&lt;"&amp;'Detalle individual'!C100)*300+ROW(),"")</f>
        <v>58300</v>
      </c>
    </row>
    <row r="101">
      <c r="Z101">
        <f>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individual'!F101="Completado",3000000,0)+COUNTIF('Detalle individual'!$C$5:$C$295,"&lt;"&amp;'Detalle individual'!C101)*300+ROW(),"")</f>
        <v>79901</v>
      </c>
    </row>
    <row r="102">
      <c r="Z102">
        <f>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individual'!F102="Completado",3000000,0)+COUNTIF('Detalle individual'!$C$5:$C$295,"&lt;"&amp;'Detalle individual'!C102)*300+ROW(),"")</f>
        <v>3079902</v>
      </c>
    </row>
    <row r="103">
      <c r="Z103">
        <f>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individual'!F103="Completado",3000000,0)+COUNTIF('Detalle individual'!$C$5:$C$295,"&lt;"&amp;'Detalle individual'!C103)*300+ROW(),"")</f>
        <v>3079903</v>
      </c>
    </row>
    <row r="104">
      <c r="Z104">
        <f>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individual'!F104="Completado",3000000,0)+COUNTIF('Detalle individual'!$C$5:$C$295,"&lt;"&amp;'Detalle individual'!C104)*300+ROW(),"")</f>
        <v>56204</v>
      </c>
    </row>
    <row r="105">
      <c r="Z105">
        <f>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individual'!F105="Completado",3000000,0)+COUNTIF('Detalle individual'!$C$5:$C$295,"&lt;"&amp;'Detalle individual'!C105)*300+ROW(),"")</f>
        <v>3056205</v>
      </c>
    </row>
    <row r="106">
      <c r="Z106">
        <f>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individual'!F106="Completado",3000000,0)+COUNTIF('Detalle individual'!$C$5:$C$295,"&lt;"&amp;'Detalle individual'!C106)*300+ROW(),"")</f>
        <v>3056206</v>
      </c>
    </row>
    <row r="107">
      <c r="Z107">
        <f>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individual'!F107="Completado",3000000,0)+COUNTIF('Detalle individual'!$C$5:$C$295,"&lt;"&amp;'Detalle individual'!C107)*300+ROW(),"")</f>
        <v>3056207</v>
      </c>
    </row>
    <row r="108">
      <c r="Z108">
        <f>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individual'!F108="Completado",3000000,0)+COUNTIF('Detalle individual'!$C$5:$C$295,"&lt;"&amp;'Detalle individual'!C108)*300+ROW(),"")</f>
        <v>3056208</v>
      </c>
    </row>
    <row r="109">
      <c r="Z109">
        <f>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individual'!F109="Completado",3000000,0)+COUNTIF('Detalle individual'!$C$5:$C$295,"&lt;"&amp;'Detalle individual'!C109)*300+ROW(),"")</f>
        <v>3056209</v>
      </c>
    </row>
    <row r="110">
      <c r="Z110">
        <f>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individual'!F110="Completado",3000000,0)+COUNTIF('Detalle individual'!$C$5:$C$295,"&lt;"&amp;'Detalle individual'!C110)*300+ROW(),"")</f>
        <v>3056210</v>
      </c>
    </row>
    <row r="111">
      <c r="Z111">
        <f>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individual'!F111="Completado",3000000,0)+COUNTIF('Detalle individual'!$C$5:$C$295,"&lt;"&amp;'Detalle individual'!C111)*300+ROW(),"")</f>
        <v>3035211</v>
      </c>
    </row>
    <row r="112">
      <c r="Z112">
        <f>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individual'!F112="Completado",3000000,0)+COUNTIF('Detalle individual'!$C$5:$C$295,"&lt;"&amp;'Detalle individual'!C112)*300+ROW(),"")</f>
        <v>3035212</v>
      </c>
    </row>
    <row r="113">
      <c r="Z113">
        <f>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individual'!F113="Completado",3000000,0)+COUNTIF('Detalle individual'!$C$5:$C$295,"&lt;"&amp;'Detalle individual'!C113)*300+ROW(),"")</f>
        <v>35213</v>
      </c>
    </row>
    <row r="114">
      <c r="Z114">
        <f>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individual'!F114="Completado",3000000,0)+COUNTIF('Detalle individual'!$C$5:$C$295,"&lt;"&amp;'Detalle individual'!C114)*300+ROW(),"")</f>
        <v>3035214</v>
      </c>
    </row>
    <row r="115">
      <c r="Z115">
        <f>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individual'!F115="Completado",3000000,0)+COUNTIF('Detalle individual'!$C$5:$C$295,"&lt;"&amp;'Detalle individual'!C115)*300+ROW(),"")</f>
        <v>3035215</v>
      </c>
    </row>
    <row r="116">
      <c r="Z116">
        <f>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individual'!F116="Completado",3000000,0)+COUNTIF('Detalle individual'!$C$5:$C$295,"&lt;"&amp;'Detalle individual'!C116)*300+ROW(),"")</f>
        <v>35216</v>
      </c>
    </row>
    <row r="117">
      <c r="Z117">
        <f>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individual'!F117="Completado",3000000,0)+COUNTIF('Detalle individual'!$C$5:$C$295,"&lt;"&amp;'Detalle individual'!C117)*300+ROW(),"")</f>
        <v>3035217</v>
      </c>
    </row>
    <row r="118">
      <c r="Z118">
        <f>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individual'!F118="Completado",3000000,0)+COUNTIF('Detalle individual'!$C$5:$C$295,"&lt;"&amp;'Detalle individual'!C118)*300+ROW(),"")</f>
        <v>3035218</v>
      </c>
    </row>
    <row r="119">
      <c r="Z119">
        <f>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individual'!F119="Completado",3000000,0)+COUNTIF('Detalle individual'!$C$5:$C$295,"&lt;"&amp;'Detalle individual'!C119)*300+ROW(),"")</f>
        <v>3035219</v>
      </c>
    </row>
    <row r="120">
      <c r="Z120">
        <f>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individual'!F120="Completado",3000000,0)+COUNTIF('Detalle individual'!$C$5:$C$295,"&lt;"&amp;'Detalle individual'!C120)*300+ROW(),"")</f>
        <v>3035220</v>
      </c>
    </row>
    <row r="121">
      <c r="Z121">
        <f>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individual'!F121="Completado",3000000,0)+COUNTIF('Detalle individual'!$C$5:$C$295,"&lt;"&amp;'Detalle individual'!C121)*300+ROW(),"")</f>
        <v>35221</v>
      </c>
    </row>
    <row r="122">
      <c r="Z122">
        <f>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individual'!F122="Completado",3000000,0)+COUNTIF('Detalle individual'!$C$5:$C$295,"&lt;"&amp;'Detalle individual'!C122)*300+ROW(),"")</f>
        <v>3000122</v>
      </c>
    </row>
    <row r="123">
      <c r="Z123">
        <f>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individual'!F123="Completado",3000000,0)+COUNTIF('Detalle individual'!$C$5:$C$295,"&lt;"&amp;'Detalle individual'!C123)*300+ROW(),"")</f>
        <v>40323</v>
      </c>
    </row>
    <row r="124">
      <c r="Z124">
        <f>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individual'!F124="Completado",3000000,0)+COUNTIF('Detalle individual'!$C$5:$C$295,"&lt;"&amp;'Detalle individual'!C124)*300+ROW(),"")</f>
        <v>3040324</v>
      </c>
    </row>
    <row r="125">
      <c r="Z125">
        <f>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individual'!F125="Completado",3000000,0)+COUNTIF('Detalle individual'!$C$5:$C$295,"&lt;"&amp;'Detalle individual'!C125)*300+ROW(),"")</f>
        <v>40325</v>
      </c>
    </row>
    <row r="126">
      <c r="Z126">
        <f>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individual'!F126="Completado",3000000,0)+COUNTIF('Detalle individual'!$C$5:$C$295,"&lt;"&amp;'Detalle individual'!C126)*300+ROW(),"")</f>
        <v>3040326</v>
      </c>
    </row>
    <row r="127">
      <c r="Z127">
        <f>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individual'!F127="Completado",3000000,0)+COUNTIF('Detalle individual'!$C$5:$C$295,"&lt;"&amp;'Detalle individual'!C127)*300+ROW(),"")</f>
        <v>3040327</v>
      </c>
    </row>
    <row r="128">
      <c r="Z128">
        <f>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individual'!F128="Completado",3000000,0)+COUNTIF('Detalle individual'!$C$5:$C$295,"&lt;"&amp;'Detalle individual'!C128)*300+ROW(),"")</f>
        <v>3040328</v>
      </c>
    </row>
    <row r="129">
      <c r="Z129">
        <f>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individual'!F129="Completado",3000000,0)+COUNTIF('Detalle individual'!$C$5:$C$295,"&lt;"&amp;'Detalle individual'!C129)*300+ROW(),"")</f>
        <v>3040329</v>
      </c>
    </row>
    <row r="130">
      <c r="Z130">
        <f>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individual'!F130="Completado",3000000,0)+COUNTIF('Detalle individual'!$C$5:$C$295,"&lt;"&amp;'Detalle individual'!C130)*300+ROW(),"")</f>
        <v>3082030</v>
      </c>
    </row>
    <row r="131">
      <c r="Z131">
        <f>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individual'!F131="Completado",3000000,0)+COUNTIF('Detalle individual'!$C$5:$C$295,"&lt;"&amp;'Detalle individual'!C131)*300+ROW(),"")</f>
        <v>3082031</v>
      </c>
    </row>
    <row r="132">
      <c r="Z132">
        <f>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individual'!F132="Completado",3000000,0)+COUNTIF('Detalle individual'!$C$5:$C$295,"&lt;"&amp;'Detalle individual'!C132)*300+ROW(),"")</f>
        <v>3082032</v>
      </c>
    </row>
    <row r="133">
      <c r="Z133">
        <f>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individual'!F133="Completado",3000000,0)+COUNTIF('Detalle individual'!$C$5:$C$295,"&lt;"&amp;'Detalle individual'!C133)*300+ROW(),"")</f>
        <v>3082033</v>
      </c>
    </row>
    <row r="134">
      <c r="Z134">
        <f>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individual'!F134="Completado",3000000,0)+COUNTIF('Detalle individual'!$C$5:$C$295,"&lt;"&amp;'Detalle individual'!C134)*300+ROW(),"")</f>
        <v>3082034</v>
      </c>
    </row>
    <row r="135">
      <c r="Z135">
        <f>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individual'!F135="Completado",3000000,0)+COUNTIF('Detalle individual'!$C$5:$C$295,"&lt;"&amp;'Detalle individual'!C135)*300+ROW(),"")</f>
        <v>3082035</v>
      </c>
    </row>
    <row r="136">
      <c r="Z136">
        <f>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individual'!F136="Completado",3000000,0)+COUNTIF('Detalle individual'!$C$5:$C$295,"&lt;"&amp;'Detalle individual'!C136)*300+ROW(),"")</f>
        <v>3078436</v>
      </c>
    </row>
    <row r="137">
      <c r="Z137">
        <f>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individual'!F137="Completado",3000000,0)+COUNTIF('Detalle individual'!$C$5:$C$295,"&lt;"&amp;'Detalle individual'!C137)*300+ROW(),"")</f>
        <v>3078437</v>
      </c>
    </row>
    <row r="138">
      <c r="Z138">
        <f>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individual'!F138="Completado",3000000,0)+COUNTIF('Detalle individual'!$C$5:$C$295,"&lt;"&amp;'Detalle individual'!C138)*300+ROW(),"")</f>
        <v>3078438</v>
      </c>
    </row>
    <row r="139">
      <c r="Z139">
        <f>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individual'!F139="Completado",3000000,0)+COUNTIF('Detalle individual'!$C$5:$C$295,"&lt;"&amp;'Detalle individual'!C139)*300+ROW(),"")</f>
        <v>3038539</v>
      </c>
    </row>
    <row r="140">
      <c r="Z140">
        <f>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individual'!F140="Completado",3000000,0)+COUNTIF('Detalle individual'!$C$5:$C$295,"&lt;"&amp;'Detalle individual'!C140)*300+ROW(),"")</f>
        <v>3038540</v>
      </c>
    </row>
    <row r="141">
      <c r="Z141">
        <f>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individual'!F141="Completado",3000000,0)+COUNTIF('Detalle individual'!$C$5:$C$295,"&lt;"&amp;'Detalle individual'!C141)*300+ROW(),"")</f>
        <v>38541</v>
      </c>
    </row>
    <row r="142">
      <c r="Z142">
        <f>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individual'!F142="Completado",3000000,0)+COUNTIF('Detalle individual'!$C$5:$C$295,"&lt;"&amp;'Detalle individual'!C142)*300+ROW(),"")</f>
        <v>38542</v>
      </c>
    </row>
    <row r="143">
      <c r="Z143">
        <f>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individual'!F143="Completado",3000000,0)+COUNTIF('Detalle individual'!$C$5:$C$295,"&lt;"&amp;'Detalle individual'!C143)*300+ROW(),"")</f>
        <v>38543</v>
      </c>
    </row>
    <row r="144">
      <c r="Z144">
        <f>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individual'!F144="Completado",3000000,0)+COUNTIF('Detalle individual'!$C$5:$C$295,"&lt;"&amp;'Detalle individual'!C144)*300+ROW(),"")</f>
        <v>38544</v>
      </c>
    </row>
    <row r="145">
      <c r="Z145">
        <f>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individual'!F145="Completado",3000000,0)+COUNTIF('Detalle individual'!$C$5:$C$295,"&lt;"&amp;'Detalle individual'!C145)*300+ROW(),"")</f>
        <v>54145</v>
      </c>
    </row>
    <row r="146">
      <c r="Z146">
        <f>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individual'!F146="Completado",3000000,0)+COUNTIF('Detalle individual'!$C$5:$C$295,"&lt;"&amp;'Detalle individual'!C146)*300+ROW(),"")</f>
        <v>54146</v>
      </c>
    </row>
    <row r="147">
      <c r="Z147">
        <f>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individual'!F147="Completado",3000000,0)+COUNTIF('Detalle individual'!$C$5:$C$295,"&lt;"&amp;'Detalle individual'!C147)*300+ROW(),"")</f>
        <v>54147</v>
      </c>
    </row>
    <row r="148">
      <c r="Z148">
        <f>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individual'!F148="Completado",3000000,0)+COUNTIF('Detalle individual'!$C$5:$C$295,"&lt;"&amp;'Detalle individual'!C148)*300+ROW(),"")</f>
        <v>54148</v>
      </c>
    </row>
    <row r="149">
      <c r="Z149">
        <f>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individual'!F149="Completado",3000000,0)+COUNTIF('Detalle individual'!$C$5:$C$295,"&lt;"&amp;'Detalle individual'!C149)*300+ROW(),"")</f>
        <v>54149</v>
      </c>
    </row>
    <row r="150">
      <c r="Z150">
        <f>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individual'!F150="Completado",3000000,0)+COUNTIF('Detalle individual'!$C$5:$C$295,"&lt;"&amp;'Detalle individual'!C150)*300+ROW(),"")</f>
        <v>54150</v>
      </c>
    </row>
    <row r="151">
      <c r="Z151">
        <f>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individual'!F151="Completado",3000000,0)+COUNTIF('Detalle individual'!$C$5:$C$295,"&lt;"&amp;'Detalle individual'!C151)*300+ROW(),"")</f>
        <v>3054151</v>
      </c>
    </row>
    <row r="152">
      <c r="Z152">
        <f>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individual'!F152="Completado",3000000,0)+COUNTIF('Detalle individual'!$C$5:$C$295,"&lt;"&amp;'Detalle individual'!C152)*300+ROW(),"")</f>
        <v>46352</v>
      </c>
    </row>
    <row r="153">
      <c r="Z153">
        <f>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individual'!F153="Completado",3000000,0)+COUNTIF('Detalle individual'!$C$5:$C$295,"&lt;"&amp;'Detalle individual'!C153)*300+ROW(),"")</f>
        <v>3046353</v>
      </c>
    </row>
    <row r="154">
      <c r="Z154">
        <f>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individual'!F154="Completado",3000000,0)+COUNTIF('Detalle individual'!$C$5:$C$295,"&lt;"&amp;'Detalle individual'!C154)*300+ROW(),"")</f>
        <v>46354</v>
      </c>
    </row>
    <row r="155">
      <c r="Z155">
        <f>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individual'!F155="Completado",3000000,0)+COUNTIF('Detalle individual'!$C$5:$C$295,"&lt;"&amp;'Detalle individual'!C155)*300+ROW(),"")</f>
        <v>3046355</v>
      </c>
    </row>
    <row r="156">
      <c r="Z156">
        <f>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individual'!F156="Completado",3000000,0)+COUNTIF('Detalle individual'!$C$5:$C$295,"&lt;"&amp;'Detalle individual'!C156)*300+ROW(),"")</f>
        <v>3046356</v>
      </c>
    </row>
    <row r="157">
      <c r="Z157">
        <f>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individual'!F157="Completado",3000000,0)+COUNTIF('Detalle individual'!$C$5:$C$295,"&lt;"&amp;'Detalle individual'!C157)*300+ROW(),"")</f>
        <v>3046357</v>
      </c>
    </row>
    <row r="158">
      <c r="Z158">
        <f>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individual'!F158="Completado",3000000,0)+COUNTIF('Detalle individual'!$C$5:$C$295,"&lt;"&amp;'Detalle individual'!C158)*300+ROW(),"")</f>
        <v>46358</v>
      </c>
    </row>
    <row r="159">
      <c r="Z159">
        <f>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individual'!F159="Completado",3000000,0)+COUNTIF('Detalle individual'!$C$5:$C$295,"&lt;"&amp;'Detalle individual'!C159)*300+ROW(),"")</f>
        <v>3046359</v>
      </c>
    </row>
    <row r="160">
      <c r="Z160">
        <f>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individual'!F160="Completado",3000000,0)+COUNTIF('Detalle individual'!$C$5:$C$295,"&lt;"&amp;'Detalle individual'!C160)*300+ROW(),"")</f>
        <v>3046360</v>
      </c>
    </row>
    <row r="161">
      <c r="Z161">
        <f>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individual'!F161="Completado",3000000,0)+COUNTIF('Detalle individual'!$C$5:$C$295,"&lt;"&amp;'Detalle individual'!C161)*300+ROW(),"")</f>
        <v>46361</v>
      </c>
    </row>
    <row r="162">
      <c r="Z162">
        <f>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individual'!F162="Completado",3000000,0)+COUNTIF('Detalle individual'!$C$5:$C$295,"&lt;"&amp;'Detalle individual'!C162)*300+ROW(),"")</f>
        <v>3046362</v>
      </c>
    </row>
    <row r="163">
      <c r="Z163">
        <f>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individual'!F163="Completado",3000000,0)+COUNTIF('Detalle individual'!$C$5:$C$295,"&lt;"&amp;'Detalle individual'!C163)*300+ROW(),"")</f>
        <v>46363</v>
      </c>
    </row>
    <row r="164">
      <c r="Z164">
        <f>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individual'!F164="Completado",3000000,0)+COUNTIF('Detalle individual'!$C$5:$C$295,"&lt;"&amp;'Detalle individual'!C164)*300+ROW(),"")</f>
        <v>46364</v>
      </c>
    </row>
    <row r="165">
      <c r="Z165">
        <f>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individual'!F165="Completado",3000000,0)+COUNTIF('Detalle individual'!$C$5:$C$295,"&lt;"&amp;'Detalle individual'!C165)*300+ROW(),"")</f>
        <v>60765</v>
      </c>
    </row>
    <row r="166">
      <c r="Z166">
        <f>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individual'!F166="Completado",3000000,0)+COUNTIF('Detalle individual'!$C$5:$C$295,"&lt;"&amp;'Detalle individual'!C166)*300+ROW(),"")</f>
        <v>3060766</v>
      </c>
    </row>
    <row r="167">
      <c r="Z167">
        <f>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individual'!F167="Completado",3000000,0)+COUNTIF('Detalle individual'!$C$5:$C$295,"&lt;"&amp;'Detalle individual'!C167)*300+ROW(),"")</f>
        <v>60767</v>
      </c>
    </row>
    <row r="168">
      <c r="Z168">
        <f>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individual'!F168="Completado",3000000,0)+COUNTIF('Detalle individual'!$C$5:$C$295,"&lt;"&amp;'Detalle individual'!C168)*300+ROW(),"")</f>
        <v>60768</v>
      </c>
    </row>
    <row r="169">
      <c r="Z169">
        <f>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individual'!F169="Completado",3000000,0)+COUNTIF('Detalle individual'!$C$5:$C$295,"&lt;"&amp;'Detalle individual'!C169)*300+ROW(),"")</f>
        <v>3060769</v>
      </c>
    </row>
    <row r="170">
      <c r="Z170">
        <f>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individual'!F170="Completado",3000000,0)+COUNTIF('Detalle individual'!$C$5:$C$295,"&lt;"&amp;'Detalle individual'!C170)*300+ROW(),"")</f>
        <v>60770</v>
      </c>
    </row>
    <row r="171">
      <c r="Z171">
        <f>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individual'!F171="Completado",3000000,0)+COUNTIF('Detalle individual'!$C$5:$C$295,"&lt;"&amp;'Detalle individual'!C171)*300+ROW(),"")</f>
        <v>3060771</v>
      </c>
    </row>
    <row r="172">
      <c r="Z172">
        <f>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individual'!F172="Completado",3000000,0)+COUNTIF('Detalle individual'!$C$5:$C$295,"&lt;"&amp;'Detalle individual'!C172)*300+ROW(),"")</f>
        <v>60772</v>
      </c>
    </row>
    <row r="173">
      <c r="Z173">
        <f>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individual'!F173="Completado",3000000,0)+COUNTIF('Detalle individual'!$C$5:$C$295,"&lt;"&amp;'Detalle individual'!C173)*300+ROW(),"")</f>
        <v>60773</v>
      </c>
    </row>
    <row r="174">
      <c r="Z174">
        <f>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individual'!F174="Completado",3000000,0)+COUNTIF('Detalle individual'!$C$5:$C$295,"&lt;"&amp;'Detalle individual'!C174)*300+ROW(),"")</f>
        <v>3060774</v>
      </c>
    </row>
    <row r="175">
      <c r="Z175">
        <f>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individual'!F175="Completado",3000000,0)+COUNTIF('Detalle individual'!$C$5:$C$295,"&lt;"&amp;'Detalle individual'!C175)*300+ROW(),"")</f>
        <v>3060775</v>
      </c>
    </row>
    <row r="176">
      <c r="Z176">
        <f>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individual'!F176="Completado",3000000,0)+COUNTIF('Detalle individual'!$C$5:$C$295,"&lt;"&amp;'Detalle individual'!C176)*300+ROW(),"")</f>
        <v>3032876</v>
      </c>
    </row>
    <row r="177">
      <c r="Z177">
        <f>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individual'!F177="Completado",3000000,0)+COUNTIF('Detalle individual'!$C$5:$C$295,"&lt;"&amp;'Detalle individual'!C177)*300+ROW(),"")</f>
        <v>3032877</v>
      </c>
    </row>
    <row r="178">
      <c r="Z178">
        <f>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individual'!F178="Completado",3000000,0)+COUNTIF('Detalle individual'!$C$5:$C$295,"&lt;"&amp;'Detalle individual'!C178)*300+ROW(),"")</f>
        <v>3032878</v>
      </c>
    </row>
    <row r="179">
      <c r="Z179">
        <f>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individual'!F179="Completado",3000000,0)+COUNTIF('Detalle individual'!$C$5:$C$295,"&lt;"&amp;'Detalle individual'!C179)*300+ROW(),"")</f>
        <v>32879</v>
      </c>
    </row>
    <row r="180">
      <c r="Z180">
        <f>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individual'!F180="Completado",3000000,0)+COUNTIF('Detalle individual'!$C$5:$C$295,"&lt;"&amp;'Detalle individual'!C180)*300+ROW(),"")</f>
        <v>32880</v>
      </c>
    </row>
    <row r="181">
      <c r="Z181">
        <f>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individual'!F181="Completado",3000000,0)+COUNTIF('Detalle individual'!$C$5:$C$295,"&lt;"&amp;'Detalle individual'!C181)*300+ROW(),"")</f>
        <v>3032881</v>
      </c>
    </row>
    <row r="182">
      <c r="Z182">
        <f>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individual'!F182="Completado",3000000,0)+COUNTIF('Detalle individual'!$C$5:$C$295,"&lt;"&amp;'Detalle individual'!C182)*300+ROW(),"")</f>
        <v>32882</v>
      </c>
    </row>
    <row r="183">
      <c r="Z183">
        <f>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individual'!F183="Completado",3000000,0)+COUNTIF('Detalle individual'!$C$5:$C$295,"&lt;"&amp;'Detalle individual'!C183)*300+ROW(),"")</f>
        <v>32883</v>
      </c>
    </row>
    <row r="184">
      <c r="Z184">
        <f>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individual'!F184="Completado",3000000,0)+COUNTIF('Detalle individual'!$C$5:$C$295,"&lt;"&amp;'Detalle individual'!C184)*300+ROW(),"")</f>
        <v>3085384</v>
      </c>
    </row>
    <row r="185">
      <c r="Z185">
        <f>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individual'!F185="Completado",3000000,0)+COUNTIF('Detalle individual'!$C$5:$C$295,"&lt;"&amp;'Detalle individual'!C185)*300+ROW(),"")</f>
        <v>85385</v>
      </c>
    </row>
    <row r="186">
      <c r="Z186">
        <f>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individual'!F186="Completado",3000000,0)+COUNTIF('Detalle individual'!$C$5:$C$295,"&lt;"&amp;'Detalle individual'!C186)*300+ROW(),"")</f>
        <v>3085386</v>
      </c>
    </row>
    <row r="187">
      <c r="Z187">
        <f>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individual'!F187="Completado",3000000,0)+COUNTIF('Detalle individual'!$C$5:$C$295,"&lt;"&amp;'Detalle individual'!C187)*300+ROW(),"")</f>
        <v>85387</v>
      </c>
    </row>
    <row r="188">
      <c r="Z188">
        <f>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individual'!F188="Completado",3000000,0)+COUNTIF('Detalle individual'!$C$5:$C$295,"&lt;"&amp;'Detalle individual'!C188)*300+ROW(),"")</f>
        <v>85388</v>
      </c>
    </row>
    <row r="189">
      <c r="Z189">
        <f>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individual'!F189="Completado",3000000,0)+COUNTIF('Detalle individual'!$C$5:$C$295,"&lt;"&amp;'Detalle individual'!C189)*300+ROW(),"")</f>
        <v>85389</v>
      </c>
    </row>
    <row r="190">
      <c r="Z190">
        <f>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individual'!F190="Completado",3000000,0)+COUNTIF('Detalle individual'!$C$5:$C$295,"&lt;"&amp;'Detalle individual'!C190)*300+ROW(),"")</f>
        <v>85390</v>
      </c>
    </row>
    <row r="191">
      <c r="Z191">
        <f>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individual'!F191="Completado",3000000,0)+COUNTIF('Detalle individual'!$C$5:$C$295,"&lt;"&amp;'Detalle individual'!C191)*300+ROW(),"")</f>
        <v>3191</v>
      </c>
    </row>
    <row r="192">
      <c r="Z192">
        <f>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individual'!F192="Completado",3000000,0)+COUNTIF('Detalle individual'!$C$5:$C$295,"&lt;"&amp;'Detalle individual'!C192)*300+ROW(),"")</f>
        <v>3192</v>
      </c>
    </row>
    <row r="193">
      <c r="Z193">
        <f>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individual'!F193="Completado",3000000,0)+COUNTIF('Detalle individual'!$C$5:$C$295,"&lt;"&amp;'Detalle individual'!C193)*300+ROW(),"")</f>
        <v>3193</v>
      </c>
    </row>
    <row r="194">
      <c r="Z194">
        <f>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individual'!F194="Completado",3000000,0)+COUNTIF('Detalle individual'!$C$5:$C$295,"&lt;"&amp;'Detalle individual'!C194)*300+ROW(),"")</f>
        <v>3194</v>
      </c>
    </row>
    <row r="195">
      <c r="Z195">
        <f>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individual'!F195="Completado",3000000,0)+COUNTIF('Detalle individual'!$C$5:$C$295,"&lt;"&amp;'Detalle individual'!C195)*300+ROW(),"")</f>
        <v>3195</v>
      </c>
    </row>
    <row r="196">
      <c r="Z196">
        <f>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individual'!F196="Completado",3000000,0)+COUNTIF('Detalle individual'!$C$5:$C$295,"&lt;"&amp;'Detalle individual'!C196)*300+ROW(),"")</f>
        <v>3196</v>
      </c>
    </row>
    <row r="197">
      <c r="Z197">
        <f>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individual'!F197="Completado",3000000,0)+COUNTIF('Detalle individual'!$C$5:$C$295,"&lt;"&amp;'Detalle individual'!C197)*300+ROW(),"")</f>
        <v>3003197</v>
      </c>
    </row>
    <row r="198">
      <c r="Z198">
        <f>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individual'!F198="Completado",3000000,0)+COUNTIF('Detalle individual'!$C$5:$C$295,"&lt;"&amp;'Detalle individual'!C198)*300+ROW(),"")</f>
        <v>3198</v>
      </c>
    </row>
    <row r="199">
      <c r="Z199">
        <f>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individual'!F199="Completado",3000000,0)+COUNTIF('Detalle individual'!$C$5:$C$295,"&lt;"&amp;'Detalle individual'!C199)*300+ROW(),"")</f>
        <v>3003199</v>
      </c>
    </row>
    <row r="200">
      <c r="Z200">
        <f>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individual'!F200="Completado",3000000,0)+COUNTIF('Detalle individual'!$C$5:$C$295,"&lt;"&amp;'Detalle individual'!C200)*300+ROW(),"")</f>
        <v>3200</v>
      </c>
    </row>
    <row r="201">
      <c r="Z201">
        <f>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individual'!F201="Completado",3000000,0)+COUNTIF('Detalle individual'!$C$5:$C$295,"&lt;"&amp;'Detalle individual'!C201)*300+ROW(),"")</f>
        <v>3201</v>
      </c>
    </row>
    <row r="202">
      <c r="Z202">
        <f>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individual'!F202="Completado",3000000,0)+COUNTIF('Detalle individual'!$C$5:$C$295,"&lt;"&amp;'Detalle individual'!C202)*300+ROW(),"")</f>
        <v>3202</v>
      </c>
    </row>
    <row r="203">
      <c r="Z203">
        <f>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individual'!F203="Completado",3000000,0)+COUNTIF('Detalle individual'!$C$5:$C$295,"&lt;"&amp;'Detalle individual'!C203)*300+ROW(),"")</f>
        <v>3003203</v>
      </c>
    </row>
    <row r="204">
      <c r="Z204">
        <f>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individual'!F204="Completado",3000000,0)+COUNTIF('Detalle individual'!$C$5:$C$295,"&lt;"&amp;'Detalle individual'!C204)*300+ROW(),"")</f>
        <v>3204</v>
      </c>
    </row>
    <row r="205">
      <c r="Z205">
        <f>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individual'!F205="Completado",3000000,0)+COUNTIF('Detalle individual'!$C$5:$C$295,"&lt;"&amp;'Detalle individual'!C205)*300+ROW(),"")</f>
        <v>3003205</v>
      </c>
    </row>
    <row r="206">
      <c r="Z206">
        <f>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individual'!F206="Completado",3000000,0)+COUNTIF('Detalle individual'!$C$5:$C$295,"&lt;"&amp;'Detalle individual'!C206)*300+ROW(),"")</f>
        <v>3003206</v>
      </c>
    </row>
    <row r="207">
      <c r="Z207">
        <f>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individual'!F207="Completado",3000000,0)+COUNTIF('Detalle individual'!$C$5:$C$295,"&lt;"&amp;'Detalle individual'!C207)*300+ROW(),"")</f>
        <v>3207</v>
      </c>
    </row>
    <row r="208">
      <c r="Z208">
        <f>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individual'!F208="Completado",3000000,0)+COUNTIF('Detalle individual'!$C$5:$C$295,"&lt;"&amp;'Detalle individual'!C208)*300+ROW(),"")</f>
        <v>3003208</v>
      </c>
    </row>
    <row r="209">
      <c r="Z209">
        <f>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individual'!F209="Completado",3000000,0)+COUNTIF('Detalle individual'!$C$5:$C$295,"&lt;"&amp;'Detalle individual'!C209)*300+ROW(),"")</f>
        <v>8609</v>
      </c>
    </row>
    <row r="210">
      <c r="Z210">
        <f>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individual'!F210="Completado",3000000,0)+COUNTIF('Detalle individual'!$C$5:$C$295,"&lt;"&amp;'Detalle individual'!C210)*300+ROW(),"")</f>
        <v>8610</v>
      </c>
    </row>
    <row r="211">
      <c r="Z211">
        <f>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individual'!F211="Completado",3000000,0)+COUNTIF('Detalle individual'!$C$5:$C$295,"&lt;"&amp;'Detalle individual'!C211)*300+ROW(),"")</f>
        <v>8611</v>
      </c>
    </row>
    <row r="212">
      <c r="Z212">
        <f>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individual'!F212="Completado",3000000,0)+COUNTIF('Detalle individual'!$C$5:$C$295,"&lt;"&amp;'Detalle individual'!C212)*300+ROW(),"")</f>
        <v>3008612</v>
      </c>
    </row>
    <row r="213">
      <c r="Z213">
        <f>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individual'!F213="Completado",3000000,0)+COUNTIF('Detalle individual'!$C$5:$C$295,"&lt;"&amp;'Detalle individual'!C213)*300+ROW(),"")</f>
        <v>8613</v>
      </c>
    </row>
    <row r="214">
      <c r="Z214">
        <f>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individual'!F214="Completado",3000000,0)+COUNTIF('Detalle individual'!$C$5:$C$295,"&lt;"&amp;'Detalle individual'!C214)*300+ROW(),"")</f>
        <v>8614</v>
      </c>
    </row>
    <row r="215">
      <c r="Z215">
        <f>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individual'!F215="Completado",3000000,0)+COUNTIF('Detalle individual'!$C$5:$C$295,"&lt;"&amp;'Detalle individual'!C215)*300+ROW(),"")</f>
        <v>3008615</v>
      </c>
    </row>
    <row r="216">
      <c r="Z216">
        <f>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individual'!F216="Completado",3000000,0)+COUNTIF('Detalle individual'!$C$5:$C$295,"&lt;"&amp;'Detalle individual'!C216)*300+ROW(),"")</f>
        <v>8616</v>
      </c>
    </row>
    <row r="217">
      <c r="Z217">
        <f>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individual'!F217="Completado",3000000,0)+COUNTIF('Detalle individual'!$C$5:$C$295,"&lt;"&amp;'Detalle individual'!C217)*300+ROW(),"")</f>
        <v>3008617</v>
      </c>
    </row>
    <row r="218">
      <c r="Z218">
        <f>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individual'!F218="Completado",3000000,0)+COUNTIF('Detalle individual'!$C$5:$C$295,"&lt;"&amp;'Detalle individual'!C218)*300+ROW(),"")</f>
        <v>8618</v>
      </c>
    </row>
    <row r="219">
      <c r="Z219">
        <f>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individual'!F219="Completado",3000000,0)+COUNTIF('Detalle individual'!$C$5:$C$295,"&lt;"&amp;'Detalle individual'!C219)*300+ROW(),"")</f>
        <v>8619</v>
      </c>
    </row>
    <row r="220">
      <c r="Z220">
        <f>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individual'!F220="Completado",3000000,0)+COUNTIF('Detalle individual'!$C$5:$C$295,"&lt;"&amp;'Detalle individual'!C220)*300+ROW(),"")</f>
        <v>8620</v>
      </c>
    </row>
    <row r="221">
      <c r="Z221">
        <f>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individual'!F221="Completado",3000000,0)+COUNTIF('Detalle individual'!$C$5:$C$295,"&lt;"&amp;'Detalle individual'!C221)*300+ROW(),"")</f>
        <v>3023321</v>
      </c>
    </row>
    <row r="222">
      <c r="Z222">
        <f>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individual'!F222="Completado",3000000,0)+COUNTIF('Detalle individual'!$C$5:$C$295,"&lt;"&amp;'Detalle individual'!C222)*300+ROW(),"")</f>
        <v>3023322</v>
      </c>
    </row>
    <row r="223">
      <c r="Z223">
        <f>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individual'!F223="Completado",3000000,0)+COUNTIF('Detalle individual'!$C$5:$C$295,"&lt;"&amp;'Detalle individual'!C223)*300+ROW(),"")</f>
        <v>3023323</v>
      </c>
    </row>
    <row r="224">
      <c r="Z224">
        <f>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individual'!F224="Completado",3000000,0)+COUNTIF('Detalle individual'!$C$5:$C$295,"&lt;"&amp;'Detalle individual'!C224)*300+ROW(),"")</f>
        <v>3023324</v>
      </c>
    </row>
    <row r="225">
      <c r="Z225">
        <f>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individual'!F225="Completado",3000000,0)+COUNTIF('Detalle individual'!$C$5:$C$295,"&lt;"&amp;'Detalle individual'!C225)*300+ROW(),"")</f>
        <v>3023325</v>
      </c>
    </row>
    <row r="226">
      <c r="Z226">
        <f>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individual'!F226="Completado",3000000,0)+COUNTIF('Detalle individual'!$C$5:$C$295,"&lt;"&amp;'Detalle individual'!C226)*300+ROW(),"")</f>
        <v>3023326</v>
      </c>
    </row>
    <row r="227">
      <c r="Z227">
        <f>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individual'!F227="Completado",3000000,0)+COUNTIF('Detalle individual'!$C$5:$C$295,"&lt;"&amp;'Detalle individual'!C227)*300+ROW(),"")</f>
        <v>3023327</v>
      </c>
    </row>
    <row r="228">
      <c r="Z228">
        <f>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individual'!F228="Completado",3000000,0)+COUNTIF('Detalle individual'!$C$5:$C$295,"&lt;"&amp;'Detalle individual'!C228)*300+ROW(),"")</f>
        <v>23328</v>
      </c>
    </row>
    <row r="229">
      <c r="Z229">
        <f>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individual'!F229="Completado",3000000,0)+COUNTIF('Detalle individual'!$C$5:$C$295,"&lt;"&amp;'Detalle individual'!C229)*300+ROW(),"")</f>
        <v>25729</v>
      </c>
    </row>
    <row r="230">
      <c r="Z230">
        <f>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individual'!F230="Completado",3000000,0)+COUNTIF('Detalle individual'!$C$5:$C$295,"&lt;"&amp;'Detalle individual'!C230)*300+ROW(),"")</f>
        <v>25730</v>
      </c>
    </row>
    <row r="231">
      <c r="Z231">
        <f>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individual'!F231="Completado",3000000,0)+COUNTIF('Detalle individual'!$C$5:$C$295,"&lt;"&amp;'Detalle individual'!C231)*300+ROW(),"")</f>
        <v>25731</v>
      </c>
    </row>
    <row r="232">
      <c r="Z232">
        <f>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individual'!F232="Completado",3000000,0)+COUNTIF('Detalle individual'!$C$5:$C$295,"&lt;"&amp;'Detalle individual'!C232)*300+ROW(),"")</f>
        <v>25732</v>
      </c>
    </row>
    <row r="233">
      <c r="Z233">
        <f>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individual'!F233="Completado",3000000,0)+COUNTIF('Detalle individual'!$C$5:$C$295,"&lt;"&amp;'Detalle individual'!C233)*300+ROW(),"")</f>
        <v>25733</v>
      </c>
    </row>
    <row r="234">
      <c r="Z234">
        <f>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individual'!F234="Completado",3000000,0)+COUNTIF('Detalle individual'!$C$5:$C$295,"&lt;"&amp;'Detalle individual'!C234)*300+ROW(),"")</f>
        <v>25734</v>
      </c>
    </row>
    <row r="235">
      <c r="Z235">
        <f>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individual'!F235="Completado",3000000,0)+COUNTIF('Detalle individual'!$C$5:$C$295,"&lt;"&amp;'Detalle individual'!C235)*300+ROW(),"")</f>
        <v>25735</v>
      </c>
    </row>
    <row r="236">
      <c r="Z236">
        <f>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individual'!F236="Completado",3000000,0)+COUNTIF('Detalle individual'!$C$5:$C$295,"&lt;"&amp;'Detalle individual'!C236)*300+ROW(),"")</f>
        <v>25736</v>
      </c>
    </row>
    <row r="237">
      <c r="Z237">
        <f>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individual'!F237="Completado",3000000,0)+COUNTIF('Detalle individual'!$C$5:$C$295,"&lt;"&amp;'Detalle individual'!C237)*300+ROW(),"")</f>
        <v>28137</v>
      </c>
    </row>
    <row r="238">
      <c r="Z238">
        <f>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individual'!F238="Completado",3000000,0)+COUNTIF('Detalle individual'!$C$5:$C$295,"&lt;"&amp;'Detalle individual'!C238)*300+ROW(),"")</f>
        <v>28138</v>
      </c>
    </row>
    <row r="239">
      <c r="Z239">
        <f>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individual'!F239="Completado",3000000,0)+COUNTIF('Detalle individual'!$C$5:$C$295,"&lt;"&amp;'Detalle individual'!C239)*300+ROW(),"")</f>
        <v>28139</v>
      </c>
    </row>
    <row r="240">
      <c r="Z240">
        <f>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individual'!F240="Completado",3000000,0)+COUNTIF('Detalle individual'!$C$5:$C$295,"&lt;"&amp;'Detalle individual'!C240)*300+ROW(),"")</f>
        <v>28140</v>
      </c>
    </row>
    <row r="241">
      <c r="Z241">
        <f>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individual'!F241="Completado",3000000,0)+COUNTIF('Detalle individual'!$C$5:$C$295,"&lt;"&amp;'Detalle individual'!C241)*300+ROW(),"")</f>
        <v>28141</v>
      </c>
    </row>
    <row r="242">
      <c r="Z242">
        <f>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individual'!F242="Completado",3000000,0)+COUNTIF('Detalle individual'!$C$5:$C$295,"&lt;"&amp;'Detalle individual'!C242)*300+ROW(),"")</f>
        <v>28142</v>
      </c>
    </row>
    <row r="243">
      <c r="Z243">
        <f>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individual'!F243="Completado",3000000,0)+COUNTIF('Detalle individual'!$C$5:$C$295,"&lt;"&amp;'Detalle individual'!C243)*300+ROW(),"")</f>
        <v>28143</v>
      </c>
    </row>
    <row r="244">
      <c r="Z244">
        <f>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individual'!F244="Completado",3000000,0)+COUNTIF('Detalle individual'!$C$5:$C$295,"&lt;"&amp;'Detalle individual'!C244)*300+ROW(),"")</f>
        <v>3017044</v>
      </c>
    </row>
    <row r="245">
      <c r="Z245">
        <f>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individual'!F245="Completado",3000000,0)+COUNTIF('Detalle individual'!$C$5:$C$295,"&lt;"&amp;'Detalle individual'!C245)*300+ROW(),"")</f>
        <v>3017045</v>
      </c>
    </row>
    <row r="246">
      <c r="Z246">
        <f>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individual'!F246="Completado",3000000,0)+COUNTIF('Detalle individual'!$C$5:$C$295,"&lt;"&amp;'Detalle individual'!C246)*300+ROW(),"")</f>
        <v>3017046</v>
      </c>
    </row>
    <row r="247">
      <c r="Z247">
        <f>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individual'!F247="Completado",3000000,0)+COUNTIF('Detalle individual'!$C$5:$C$295,"&lt;"&amp;'Detalle individual'!C247)*300+ROW(),"")</f>
        <v>17047</v>
      </c>
    </row>
    <row r="248">
      <c r="Z248">
        <f>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individual'!F248="Completado",3000000,0)+COUNTIF('Detalle individual'!$C$5:$C$295,"&lt;"&amp;'Detalle individual'!C248)*300+ROW(),"")</f>
        <v>3017048</v>
      </c>
    </row>
    <row r="249">
      <c r="Z249">
        <f>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individual'!F249="Completado",3000000,0)+COUNTIF('Detalle individual'!$C$5:$C$295,"&lt;"&amp;'Detalle individual'!C249)*300+ROW(),"")</f>
        <v>3017049</v>
      </c>
    </row>
    <row r="250">
      <c r="Z250">
        <f>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individual'!F250="Completado",3000000,0)+COUNTIF('Detalle individual'!$C$5:$C$295,"&lt;"&amp;'Detalle individual'!C250)*300+ROW(),"")</f>
        <v>3017050</v>
      </c>
    </row>
    <row r="251">
      <c r="Z251">
        <f>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individual'!F251="Completado",3000000,0)+COUNTIF('Detalle individual'!$C$5:$C$295,"&lt;"&amp;'Detalle individual'!C251)*300+ROW(),"")</f>
        <v>3017051</v>
      </c>
    </row>
    <row r="252">
      <c r="Z252">
        <f>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individual'!F252="Completado",3000000,0)+COUNTIF('Detalle individual'!$C$5:$C$295,"&lt;"&amp;'Detalle individual'!C252)*300+ROW(),"")</f>
        <v>3017052</v>
      </c>
    </row>
    <row r="253">
      <c r="Z253">
        <f>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individual'!F253="Completado",3000000,0)+COUNTIF('Detalle individual'!$C$5:$C$295,"&lt;"&amp;'Detalle individual'!C253)*300+ROW(),"")</f>
        <v>3017053</v>
      </c>
    </row>
    <row r="254">
      <c r="Z254">
        <f>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individual'!F254="Completado",3000000,0)+COUNTIF('Detalle individual'!$C$5:$C$295,"&lt;"&amp;'Detalle individual'!C254)*300+ROW(),"")</f>
        <v>3017054</v>
      </c>
    </row>
    <row r="255">
      <c r="Z255">
        <f>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individual'!F255="Completado",3000000,0)+COUNTIF('Detalle individual'!$C$5:$C$295,"&lt;"&amp;'Detalle individual'!C255)*300+ROW(),"")</f>
        <v>3017055</v>
      </c>
    </row>
    <row r="256">
      <c r="Z256">
        <f>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individual'!F256="Completado",3000000,0)+COUNTIF('Detalle individual'!$C$5:$C$295,"&lt;"&amp;'Detalle individual'!C256)*300+ROW(),"")</f>
        <v>3017056</v>
      </c>
    </row>
    <row r="257">
      <c r="Z257">
        <f>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individual'!F257="Completado",3000000,0)+COUNTIF('Detalle individual'!$C$5:$C$295,"&lt;"&amp;'Detalle individual'!C257)*300+ROW(),"")</f>
        <v>12257</v>
      </c>
    </row>
    <row r="258">
      <c r="Z258">
        <f>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individual'!F258="Completado",3000000,0)+COUNTIF('Detalle individual'!$C$5:$C$295,"&lt;"&amp;'Detalle individual'!C258)*300+ROW(),"")</f>
        <v>3012258</v>
      </c>
    </row>
    <row r="259">
      <c r="Z259">
        <f>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individual'!F259="Completado",3000000,0)+COUNTIF('Detalle individual'!$C$5:$C$295,"&lt;"&amp;'Detalle individual'!C259)*300+ROW(),"")</f>
        <v>12259</v>
      </c>
    </row>
    <row r="260">
      <c r="Z260">
        <f>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individual'!F260="Completado",3000000,0)+COUNTIF('Detalle individual'!$C$5:$C$295,"&lt;"&amp;'Detalle individual'!C260)*300+ROW(),"")</f>
        <v>3012260</v>
      </c>
    </row>
    <row r="261">
      <c r="Z261">
        <f>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individual'!F261="Completado",3000000,0)+COUNTIF('Detalle individual'!$C$5:$C$295,"&lt;"&amp;'Detalle individual'!C261)*300+ROW(),"")</f>
        <v>3012261</v>
      </c>
    </row>
    <row r="262">
      <c r="Z262">
        <f>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individual'!F262="Completado",3000000,0)+COUNTIF('Detalle individual'!$C$5:$C$295,"&lt;"&amp;'Detalle individual'!C262)*300+ROW(),"")</f>
        <v>12262</v>
      </c>
    </row>
    <row r="263">
      <c r="Z263">
        <f>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individual'!F263="Completado",3000000,0)+COUNTIF('Detalle individual'!$C$5:$C$295,"&lt;"&amp;'Detalle individual'!C263)*300+ROW(),"")</f>
        <v>12263</v>
      </c>
    </row>
    <row r="264">
      <c r="Z264">
        <f>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individual'!F264="Completado",3000000,0)+COUNTIF('Detalle individual'!$C$5:$C$295,"&lt;"&amp;'Detalle individual'!C264)*300+ROW(),"")</f>
        <v>12264</v>
      </c>
    </row>
    <row r="265">
      <c r="Z265">
        <f>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individual'!F265="Completado",3000000,0)+COUNTIF('Detalle individual'!$C$5:$C$295,"&lt;"&amp;'Detalle individual'!C265)*300+ROW(),"")</f>
        <v>3012265</v>
      </c>
    </row>
    <row r="266">
      <c r="Z266">
        <f>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individual'!F266="Completado",3000000,0)+COUNTIF('Detalle individual'!$C$5:$C$295,"&lt;"&amp;'Detalle individual'!C266)*300+ROW(),"")</f>
        <v>12266</v>
      </c>
    </row>
    <row r="267">
      <c r="Z267">
        <f>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individual'!F267="Completado",3000000,0)+COUNTIF('Detalle individual'!$C$5:$C$295,"&lt;"&amp;'Detalle individual'!C267)*300+ROW(),"")</f>
        <v>3012267</v>
      </c>
    </row>
    <row r="268">
      <c r="Z268">
        <f>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individual'!F268="Completado",3000000,0)+COUNTIF('Detalle individual'!$C$5:$C$295,"&lt;"&amp;'Detalle individual'!C268)*300+ROW(),"")</f>
        <v>12268</v>
      </c>
    </row>
    <row r="269">
      <c r="Z269">
        <f>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individual'!F269="Completado",3000000,0)+COUNTIF('Detalle individual'!$C$5:$C$295,"&lt;"&amp;'Detalle individual'!C269)*300+ROW(),"")</f>
        <v>12269</v>
      </c>
    </row>
    <row r="270">
      <c r="Z270">
        <f>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individual'!F270="Completado",3000000,0)+COUNTIF('Detalle individual'!$C$5:$C$295,"&lt;"&amp;'Detalle individual'!C270)*300+ROW(),"")</f>
        <v>12270</v>
      </c>
    </row>
    <row r="271">
      <c r="Z271">
        <f>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individual'!F271="Completado",3000000,0)+COUNTIF('Detalle individual'!$C$5:$C$295,"&lt;"&amp;'Detalle individual'!C271)*300+ROW(),"")</f>
        <v>12271</v>
      </c>
    </row>
    <row r="272">
      <c r="Z272">
        <f>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individual'!F272="Completado",3000000,0)+COUNTIF('Detalle individual'!$C$5:$C$295,"&lt;"&amp;'Detalle individual'!C272)*300+ROW(),"")</f>
        <v>12272</v>
      </c>
    </row>
    <row r="273">
      <c r="Z273">
        <f>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individual'!F273="Completado",3000000,0)+COUNTIF('Detalle individual'!$C$5:$C$295,"&lt;"&amp;'Detalle individual'!C273)*300+ROW(),"")</f>
        <v>20973</v>
      </c>
    </row>
    <row r="274">
      <c r="Z274">
        <f>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individual'!F274="Completado",3000000,0)+COUNTIF('Detalle individual'!$C$5:$C$295,"&lt;"&amp;'Detalle individual'!C274)*300+ROW(),"")</f>
        <v>20974</v>
      </c>
    </row>
    <row r="275">
      <c r="Z275">
        <f>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individual'!F275="Completado",3000000,0)+COUNTIF('Detalle individual'!$C$5:$C$295,"&lt;"&amp;'Detalle individual'!C275)*300+ROW(),"")</f>
        <v>20975</v>
      </c>
    </row>
    <row r="276">
      <c r="Z276">
        <f>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individual'!F276="Completado",3000000,0)+COUNTIF('Detalle individual'!$C$5:$C$295,"&lt;"&amp;'Detalle individual'!C276)*300+ROW(),"")</f>
        <v>20976</v>
      </c>
    </row>
    <row r="277">
      <c r="Z277">
        <f>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individual'!F277="Completado",3000000,0)+COUNTIF('Detalle individual'!$C$5:$C$295,"&lt;"&amp;'Detalle individual'!C277)*300+ROW(),"")</f>
        <v>20977</v>
      </c>
    </row>
    <row r="278">
      <c r="Z278">
        <f>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individual'!F278="Completado",3000000,0)+COUNTIF('Detalle individual'!$C$5:$C$295,"&lt;"&amp;'Detalle individual'!C278)*300+ROW(),"")</f>
        <v>20978</v>
      </c>
    </row>
    <row r="279">
      <c r="Z279">
        <f>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individual'!F279="Completado",3000000,0)+COUNTIF('Detalle individual'!$C$5:$C$295,"&lt;"&amp;'Detalle individual'!C279)*300+ROW(),"")</f>
        <v>20979</v>
      </c>
    </row>
    <row r="280">
      <c r="Z280">
        <f>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individual'!F280="Completado",3000000,0)+COUNTIF('Detalle individual'!$C$5:$C$295,"&lt;"&amp;'Detalle individual'!C280)*300+ROW(),"")</f>
        <v>20980</v>
      </c>
    </row>
    <row r="281">
      <c r="Z281">
        <f>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individual'!F281="Completado",3000000,0)+COUNTIF('Detalle individual'!$C$5:$C$295,"&lt;"&amp;'Detalle individual'!C281)*300+ROW(),"")</f>
        <v>3030281</v>
      </c>
    </row>
    <row r="282">
      <c r="Z282">
        <f>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individual'!F282="Completado",3000000,0)+COUNTIF('Detalle individual'!$C$5:$C$295,"&lt;"&amp;'Detalle individual'!C282)*300+ROW(),"")</f>
        <v>3030282</v>
      </c>
    </row>
    <row r="283">
      <c r="Z283">
        <f>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individual'!F283="Completado",3000000,0)+COUNTIF('Detalle individual'!$C$5:$C$295,"&lt;"&amp;'Detalle individual'!C283)*300+ROW(),"")</f>
        <v>3030283</v>
      </c>
    </row>
    <row r="284">
      <c r="Z284">
        <f>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individual'!F284="Completado",3000000,0)+COUNTIF('Detalle individual'!$C$5:$C$295,"&lt;"&amp;'Detalle individual'!C284)*300+ROW(),"")</f>
        <v>30284</v>
      </c>
    </row>
    <row r="285">
      <c r="Z285">
        <f>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individual'!F285="Completado",3000000,0)+COUNTIF('Detalle individual'!$C$5:$C$295,"&lt;"&amp;'Detalle individual'!C285)*300+ROW(),"")</f>
        <v>30285</v>
      </c>
    </row>
    <row r="286">
      <c r="Z286">
        <f>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individual'!F286="Completado",3000000,0)+COUNTIF('Detalle individual'!$C$5:$C$295,"&lt;"&amp;'Detalle individual'!C286)*300+ROW(),"")</f>
        <v>3030286</v>
      </c>
    </row>
    <row r="287">
      <c r="Z287">
        <f>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individual'!F287="Completado",3000000,0)+COUNTIF('Detalle individual'!$C$5:$C$295,"&lt;"&amp;'Detalle individual'!C287)*300+ROW(),"")</f>
        <v>30287</v>
      </c>
    </row>
    <row r="288">
      <c r="Z288">
        <f>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individual'!F288="Completado",3000000,0)+COUNTIF('Detalle individual'!$C$5:$C$295,"&lt;"&amp;'Detalle individual'!C288)*300+ROW(),"")</f>
        <v>74988</v>
      </c>
    </row>
    <row r="289">
      <c r="Z289">
        <f>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individual'!F289="Completado",3000000,0)+COUNTIF('Detalle individual'!$C$5:$C$295,"&lt;"&amp;'Detalle individual'!C289)*300+ROW(),"")</f>
        <v>74989</v>
      </c>
    </row>
    <row r="290">
      <c r="Z290">
        <f>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individual'!F290="Completado",3000000,0)+COUNTIF('Detalle individual'!$C$5:$C$295,"&lt;"&amp;'Detalle individual'!C290)*300+ROW(),"")</f>
        <v>74990</v>
      </c>
    </row>
    <row r="291">
      <c r="Z291">
        <f>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individual'!F291="Completado",3000000,0)+COUNTIF('Detalle individual'!$C$5:$C$295,"&lt;"&amp;'Detalle individual'!C291)*300+ROW(),"")</f>
        <v>74991</v>
      </c>
    </row>
    <row r="292">
      <c r="Z292">
        <f>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individual'!F292="Completado",3000000,0)+COUNTIF('Detalle individual'!$C$5:$C$295,"&lt;"&amp;'Detalle individual'!C292)*300+ROW(),"")</f>
        <v>74992</v>
      </c>
    </row>
    <row r="293">
      <c r="Z293">
        <f>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individual'!F293="Completado",3000000,0)+COUNTIF('Detalle individual'!$C$5:$C$295,"&lt;"&amp;'Detalle individual'!C293)*300+ROW(),"")</f>
        <v>3074993</v>
      </c>
    </row>
    <row r="294">
      <c r="Z294">
        <f>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individual'!F294="Completado",3000000,0)+COUNTIF('Detalle individual'!$C$5:$C$295,"&lt;"&amp;'Detalle individual'!C294)*300+ROW(),"")</f>
        <v>74994</v>
      </c>
    </row>
    <row r="295">
      <c r="Z295">
        <f>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individual'!F295="Completado",3000000,0)+COUNTIF('Detalle individual'!$C$5:$C$295,"&lt;"&amp;'Detalle individual'!C295)*300+ROW(),"")</f>
        <v>3074995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2026-10-10T17:00:41Z</dcterms:modified>
</cp:coreProperties>
</file>