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se Oficial" sheetId="1" state="visible" r:id="rId1"/>
    <sheet xmlns:r="http://schemas.openxmlformats.org/officeDocument/2006/relationships" name="Base Exámenes" sheetId="2" state="visible" r:id="rId2"/>
    <sheet xmlns:r="http://schemas.openxmlformats.org/officeDocument/2006/relationships" name="Detalle individual" sheetId="3" state="visible" r:id="rId3"/>
    <sheet xmlns:r="http://schemas.openxmlformats.org/officeDocument/2006/relationships" name="Consolidado por área" sheetId="4" state="visible" r:id="rId4"/>
    <sheet xmlns:r="http://schemas.openxmlformats.org/officeDocument/2006/relationships" name="Consolidado por Gerencia" sheetId="5" state="visible" r:id="rId5"/>
    <sheet xmlns:r="http://schemas.openxmlformats.org/officeDocument/2006/relationships" name="Dashboard Gerencial" sheetId="6" state="visible" r:id="rId6"/>
    <sheet xmlns:r="http://schemas.openxmlformats.org/officeDocument/2006/relationships" name="Dashboard Gráfico" sheetId="7" state="visible" r:id="rId7"/>
    <sheet xmlns:r="http://schemas.openxmlformats.org/officeDocument/2006/relationships" name="Dashboard Departamentos" sheetId="8" state="visible" r:id="rId8"/>
    <sheet xmlns:r="http://schemas.openxmlformats.org/officeDocument/2006/relationships" name="Top 3 Departamentos" sheetId="9" state="visible" r:id="rId9"/>
    <sheet xmlns:r="http://schemas.openxmlformats.org/officeDocument/2006/relationships" name="Top 3 inicio" sheetId="10" state="visible" r:id="rId10"/>
    <sheet xmlns:r="http://schemas.openxmlformats.org/officeDocument/2006/relationships" name="Top 3 finalización" sheetId="11" state="visible" r:id="rId11"/>
    <sheet xmlns:r="http://schemas.openxmlformats.org/officeDocument/2006/relationships" name="Top 3 calificación" sheetId="12" state="visible" r:id="rId12"/>
    <sheet xmlns:r="http://schemas.openxmlformats.org/officeDocument/2006/relationships" name="Listado de Pendient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595959"/>
      <sz val="10"/>
    </font>
    <font>
      <name val="Calibri"/>
      <b val="1"/>
      <color rgb="001F4E78"/>
      <sz val="18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</fills>
  <borders count="9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 style="thin">
        <color rgb="00D9D9D9"/>
      </left>
      <right/>
      <top/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/>
      <bottom/>
      <diagonal/>
    </border>
    <border>
      <left style="thin">
        <color rgb="00D9D9D9"/>
      </left>
      <right/>
      <top/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3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0" fontId="0" fillId="4" borderId="1" pivotButton="0" quotePrefix="0" xfId="0"/>
    <xf numFmtId="0" fontId="6" fillId="0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0" fillId="0" borderId="8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Global de Evaluaciones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 Gráfico'!O4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8B57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67E22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showLegendKey val="0"/>
            <showVal val="1"/>
            <showCatName val="0"/>
            <showSerName val="0"/>
            <showPercent val="1"/>
            <separator val="&#10;"/>
          </dLbls>
          <cat>
            <strRef>
              <f>'Dashboard Gráfico'!$N$5:$N$6</f>
            </strRef>
          </cat>
          <val>
            <numRef>
              <f>'Dashboard Gráfico'!$O$5:$O$6</f>
            </numRef>
          </val>
        </ser>
        <firstSliceAng val="0"/>
        <holeSize val="55"/>
      </doughnutChart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por Gerencia: Completados vs Pendientes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'Consolidado por Gerencia'!C4</f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solidFill>
                <a:srgbClr val="2E8B57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'Consolidado por Gerencia'!$A$5:$A$14</f>
            </strRef>
          </cat>
          <val>
            <numRef>
              <f>'Consolidado por Gerencia'!$C$5:$C$14</f>
            </numRef>
          </val>
        </ser>
        <ser>
          <idx val="1"/>
          <order val="1"/>
          <tx>
            <strRef>
              <f>'Consolidado por Gerencia'!D4</f>
            </strRef>
          </tx>
          <spPr>
            <a:solidFill xmlns:a="http://schemas.openxmlformats.org/drawingml/2006/main">
              <a:srgbClr val="E67E22"/>
            </a:solidFill>
            <a:ln xmlns:a="http://schemas.openxmlformats.org/drawingml/2006/main">
              <a:solidFill>
                <a:srgbClr val="E67E22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'Consolidado por Gerencia'!$A$5:$A$14</f>
            </strRef>
          </cat>
          <val>
            <numRef>
              <f>'Consolidado por Gerencia'!$D$5:$D$14</f>
            </numRef>
          </val>
        </ser>
        <gapWidth val="50"/>
        <overlap val="100"/>
        <axId val="10"/>
        <axId val="100"/>
      </barChart>
      <catAx>
        <axId val="10"/>
        <scaling>
          <orientation val="maxMin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Gerencia</a:t>
                </a:r>
              </a:p>
            </rich>
          </tx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Arial"/>
              </a:defRPr>
            </a:pPr>
            <a:endParaRPr sz="800" b="0">
              <a:solidFill>
                <a:srgbClr val="404040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Número de colaboradores</a:t>
                </a:r>
              </a:p>
            </rich>
          </tx>
        </title>
        <numFmt formatCode="#,##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Arial"/>
              </a:defRPr>
            </a:pPr>
            <a:endParaRPr sz="800" b="0">
              <a:solidFill>
                <a:srgbClr val="404040"/>
              </a:solidFill>
              <a:latin typeface="Arial"/>
            </a:endParaRPr>
          </a:p>
        </txPr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por Departamento / Agencia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'Consolidado por área'!D4</f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solidFill>
                <a:srgbClr val="2E8B57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'Consolidado por área'!$A$5:$A$47</f>
            </strRef>
          </cat>
          <val>
            <numRef>
              <f>'Consolidado por área'!$D$5:$D$47</f>
            </numRef>
          </val>
        </ser>
        <ser>
          <idx val="1"/>
          <order val="1"/>
          <tx>
            <strRef>
              <f>'Consolidado por área'!E4</f>
            </strRef>
          </tx>
          <spPr>
            <a:solidFill xmlns:a="http://schemas.openxmlformats.org/drawingml/2006/main">
              <a:srgbClr val="E67E22"/>
            </a:solidFill>
            <a:ln xmlns:a="http://schemas.openxmlformats.org/drawingml/2006/main">
              <a:solidFill>
                <a:srgbClr val="E67E22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'Consolidado por área'!$A$5:$A$47</f>
            </strRef>
          </cat>
          <val>
            <numRef>
              <f>'Consolidado por área'!$E$5:$E$47</f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Departamento / Agencia</a:t>
                </a:r>
              </a:p>
            </rich>
          </tx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Arial"/>
              </a:defRPr>
            </a:pPr>
            <a:endParaRPr sz="800" b="0">
              <a:solidFill>
                <a:srgbClr val="404040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Número de colaboradores</a:t>
                </a:r>
              </a:p>
            </rich>
          </tx>
        </title>
        <numFmt formatCode="#,##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Arial"/>
              </a:defRPr>
            </a:pPr>
            <a:endParaRPr sz="800" b="0">
              <a:solidFill>
                <a:srgbClr val="404040"/>
              </a:solidFill>
              <a:latin typeface="Arial"/>
            </a:endParaRPr>
          </a:p>
        </txPr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8</row>
      <rowOff>0</rowOff>
    </from>
    <ext cx="4680000" cy="45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8</row>
      <rowOff>0</rowOff>
    </from>
    <ext cx="9000000" cy="45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1520000" cy="108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9" customWidth="1" min="2" max="2"/>
    <col width="17" customWidth="1" min="3" max="3"/>
    <col width="64" customWidth="1" min="4" max="4"/>
    <col width="13" customWidth="1" min="5" max="5"/>
    <col width="57" customWidth="1" min="6" max="6"/>
    <col width="43" customWidth="1" min="7" max="7"/>
  </cols>
  <sheetData>
    <row r="1">
      <c r="A1" s="1" t="inlineStr">
        <is>
          <t>LISTADO OFICIAL DE COLABORADORES</t>
        </is>
      </c>
    </row>
    <row r="2">
      <c r="A2" s="2" t="inlineStr">
        <is>
          <t>Base maestra de personal institucional</t>
        </is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Fecha Ingreso</t>
        </is>
      </c>
      <c r="D4" s="3" t="inlineStr">
        <is>
          <t>Cargo</t>
        </is>
      </c>
      <c r="E4" s="3" t="inlineStr">
        <is>
          <t>Grupo SSF</t>
        </is>
      </c>
      <c r="F4" s="3" t="inlineStr">
        <is>
          <t>Área / Departamento</t>
        </is>
      </c>
      <c r="G4" s="3" t="inlineStr">
        <is>
          <t>Gerencia Asignada</t>
        </is>
      </c>
    </row>
    <row r="5">
      <c r="A5" s="4" t="inlineStr">
        <is>
          <t>977</t>
        </is>
      </c>
      <c r="B5" s="5" t="inlineStr">
        <is>
          <t xml:space="preserve">NELSON ULISES CAMPOS FLORES </t>
        </is>
      </c>
      <c r="C5" s="4" t="inlineStr">
        <is>
          <t>10/08/2026</t>
        </is>
      </c>
      <c r="D5" s="5" t="inlineStr">
        <is>
          <t>GERENTE GENERAL</t>
        </is>
      </c>
      <c r="E5" s="5" t="inlineStr">
        <is>
          <t xml:space="preserve"> GERENTE</t>
        </is>
      </c>
      <c r="F5" s="5" t="inlineStr">
        <is>
          <t>GERENCIA GENERAL</t>
        </is>
      </c>
      <c r="G5" s="5" t="inlineStr">
        <is>
          <t>Gerencia General</t>
        </is>
      </c>
    </row>
    <row r="6">
      <c r="A6" s="4" t="inlineStr">
        <is>
          <t>349</t>
        </is>
      </c>
      <c r="B6" s="5" t="inlineStr">
        <is>
          <t>CARLA EUGENIA HERNANDEZ MENJIVAR</t>
        </is>
      </c>
      <c r="C6" s="4" t="inlineStr">
        <is>
          <t>08/08/2005</t>
        </is>
      </c>
      <c r="D6" s="5" t="inlineStr">
        <is>
          <t>GERENTE  ADMINISTRATIVA</t>
        </is>
      </c>
      <c r="E6" s="5" t="inlineStr">
        <is>
          <t xml:space="preserve"> GERENTE</t>
        </is>
      </c>
      <c r="F6" s="5" t="inlineStr">
        <is>
          <t>GERENCIA  ADMINISTRATIVA</t>
        </is>
      </c>
      <c r="G6" s="5" t="inlineStr">
        <is>
          <t>Gerencia Administrativa</t>
        </is>
      </c>
    </row>
    <row r="7">
      <c r="A7" s="4" t="inlineStr">
        <is>
          <t>41</t>
        </is>
      </c>
      <c r="B7" s="5" t="inlineStr">
        <is>
          <t xml:space="preserve">ROQUE RAFAEL REYES ESPINAL </t>
        </is>
      </c>
      <c r="C7" s="4" t="inlineStr">
        <is>
          <t>25/04/1994</t>
        </is>
      </c>
      <c r="D7" s="5" t="inlineStr">
        <is>
          <t>GERENTE DE OPERACIONES</t>
        </is>
      </c>
      <c r="E7" s="5" t="inlineStr">
        <is>
          <t xml:space="preserve"> GERENTE</t>
        </is>
      </c>
      <c r="F7" s="5" t="inlineStr">
        <is>
          <t>GERENCIA DE OPERACIONES</t>
        </is>
      </c>
      <c r="G7" s="5" t="inlineStr">
        <is>
          <t>Gerencia de Operaciones</t>
        </is>
      </c>
    </row>
    <row r="8">
      <c r="A8" s="4" t="inlineStr">
        <is>
          <t>524</t>
        </is>
      </c>
      <c r="B8" s="5" t="inlineStr">
        <is>
          <t xml:space="preserve">JOSE AUGUSTO DE LA O GALLEGOS </t>
        </is>
      </c>
      <c r="C8" s="4" t="inlineStr">
        <is>
          <t>01/04/2013</t>
        </is>
      </c>
      <c r="D8" s="5" t="inlineStr">
        <is>
          <t>GERENTE DE FINANZAS Y PLANIFICACION</t>
        </is>
      </c>
      <c r="E8" s="5" t="inlineStr">
        <is>
          <t xml:space="preserve"> GERENTE</t>
        </is>
      </c>
      <c r="F8" s="5" t="inlineStr">
        <is>
          <t>GERENCIA DE FINANZAS Y PLANIFICACIÓN</t>
        </is>
      </c>
      <c r="G8" s="5" t="inlineStr">
        <is>
          <t>Gerencia de Finanzas y Planificación</t>
        </is>
      </c>
    </row>
    <row r="9">
      <c r="A9" s="4" t="inlineStr">
        <is>
          <t>878</t>
        </is>
      </c>
      <c r="B9" s="5" t="inlineStr">
        <is>
          <t xml:space="preserve">ALEX VIRGILIO  AGUILAR ARIAS  </t>
        </is>
      </c>
      <c r="C9" s="4" t="inlineStr">
        <is>
          <t>01/07/2024</t>
        </is>
      </c>
      <c r="D9" s="5" t="inlineStr">
        <is>
          <t>GERENTE DE SISTEMAS</t>
        </is>
      </c>
      <c r="E9" s="5" t="inlineStr">
        <is>
          <t xml:space="preserve"> GERENTE</t>
        </is>
      </c>
      <c r="F9" s="5" t="inlineStr">
        <is>
          <t>GERENCIA DE SISTEMAS</t>
        </is>
      </c>
      <c r="G9" s="5" t="inlineStr">
        <is>
          <t>Gerencia de Sistemas</t>
        </is>
      </c>
    </row>
    <row r="10">
      <c r="A10" s="4" t="inlineStr">
        <is>
          <t>862</t>
        </is>
      </c>
      <c r="B10" s="5" t="inlineStr">
        <is>
          <t xml:space="preserve">GEORGI ROBERTO CASTILLO CHACON </t>
        </is>
      </c>
      <c r="C10" s="4" t="inlineStr">
        <is>
          <t>01/04/2024</t>
        </is>
      </c>
      <c r="D10" s="5" t="inlineStr">
        <is>
          <t>GERENTE DE OFICIALIA DE CUMPLIMIENTO</t>
        </is>
      </c>
      <c r="E10" s="5" t="inlineStr">
        <is>
          <t xml:space="preserve"> GERENTE</t>
        </is>
      </c>
      <c r="F10" s="5" t="inlineStr">
        <is>
          <t>OFICIALIA DE CUMPLIMIENTO</t>
        </is>
      </c>
      <c r="G10" s="5" t="inlineStr">
        <is>
          <t>Gerencia de Oficialía de Cumplimiento</t>
        </is>
      </c>
    </row>
    <row r="11">
      <c r="A11" s="4" t="inlineStr">
        <is>
          <t>741</t>
        </is>
      </c>
      <c r="B11" s="5" t="inlineStr">
        <is>
          <t xml:space="preserve">JOSE HUMBERTO BARILLAS BURGOS </t>
        </is>
      </c>
      <c r="C11" s="4" t="inlineStr">
        <is>
          <t>16/03/2022</t>
        </is>
      </c>
      <c r="D11" s="5" t="inlineStr">
        <is>
          <t>GERENTE DE NEGOCIOS</t>
        </is>
      </c>
      <c r="E11" s="5" t="inlineStr">
        <is>
          <t xml:space="preserve"> GERENTE</t>
        </is>
      </c>
      <c r="F11" s="5" t="inlineStr">
        <is>
          <t>GERENCIA DE NEGOCIOS</t>
        </is>
      </c>
      <c r="G11" s="5" t="inlineStr">
        <is>
          <t>Gerencia de Negocios</t>
        </is>
      </c>
    </row>
    <row r="12">
      <c r="A12" s="4" t="inlineStr">
        <is>
          <t>570</t>
        </is>
      </c>
      <c r="B12" s="5" t="inlineStr">
        <is>
          <t xml:space="preserve">ANDREA VICTORIA MAYORGA RODRIGUEZ </t>
        </is>
      </c>
      <c r="C12" s="4" t="inlineStr">
        <is>
          <t>22/07/2016</t>
        </is>
      </c>
      <c r="D12" s="5" t="inlineStr">
        <is>
          <t>GERENTE LEGAL Y DE CUMPLIMIENTO NORMATIVO</t>
        </is>
      </c>
      <c r="E12" s="5" t="inlineStr">
        <is>
          <t xml:space="preserve"> GERENTE</t>
        </is>
      </c>
      <c r="F12" s="5" t="inlineStr">
        <is>
          <t>GERENCIA LEGAL Y DE CUMPLIMIENTO NORMATIVO</t>
        </is>
      </c>
      <c r="G12" s="5" t="inlineStr">
        <is>
          <t>Gerencia Legal y Cumplimiento Normativo</t>
        </is>
      </c>
    </row>
    <row r="13">
      <c r="A13" s="4" t="inlineStr">
        <is>
          <t>17</t>
        </is>
      </c>
      <c r="B13" s="5" t="inlineStr">
        <is>
          <t>ANTONIA SARAI BELTRAN CARBALLO</t>
        </is>
      </c>
      <c r="C13" s="4" t="inlineStr">
        <is>
          <t>04/04/1994</t>
        </is>
      </c>
      <c r="D13" s="5" t="inlineStr">
        <is>
          <t>ASISTENTE ADMINISTRATIVO DE GERENCIA GENERAL</t>
        </is>
      </c>
      <c r="E13" s="5" t="inlineStr">
        <is>
          <t xml:space="preserve"> EMPLEADO</t>
        </is>
      </c>
      <c r="F13" s="5" t="inlineStr">
        <is>
          <t>GERENCIA GENERAL</t>
        </is>
      </c>
      <c r="G13" s="5" t="inlineStr">
        <is>
          <t>Gerencia General</t>
        </is>
      </c>
    </row>
    <row r="14">
      <c r="A14" s="4" t="inlineStr">
        <is>
          <t>290</t>
        </is>
      </c>
      <c r="B14" s="5" t="inlineStr">
        <is>
          <t xml:space="preserve">MELVIN ENRIQUE PORTILLO VALLE </t>
        </is>
      </c>
      <c r="C14" s="4" t="inlineStr">
        <is>
          <t>24/07/2002</t>
        </is>
      </c>
      <c r="D14" s="5" t="inlineStr">
        <is>
          <t>ANALISTA DE RIESGOS FINANCIEROS</t>
        </is>
      </c>
      <c r="E14" s="5" t="inlineStr">
        <is>
          <t xml:space="preserve"> EMPLEADO</t>
        </is>
      </c>
      <c r="F14" s="5" t="inlineStr">
        <is>
          <t>ADMINISTRACION DE RIESGOS</t>
        </is>
      </c>
      <c r="G14" s="5" t="inlineStr">
        <is>
          <t>Gerencia General</t>
        </is>
      </c>
    </row>
    <row r="15">
      <c r="A15" s="4" t="inlineStr">
        <is>
          <t>408</t>
        </is>
      </c>
      <c r="B15" s="5" t="inlineStr">
        <is>
          <t>SARA PATRICIA GONZALEZ JIMENEZ</t>
        </is>
      </c>
      <c r="C15" s="4" t="inlineStr">
        <is>
          <t>02/07/2007</t>
        </is>
      </c>
      <c r="D15" s="5" t="inlineStr">
        <is>
          <t>ASISTENTE TECNICO DE RIESGOS</t>
        </is>
      </c>
      <c r="E15" s="5" t="inlineStr">
        <is>
          <t xml:space="preserve"> EMPLEADO</t>
        </is>
      </c>
      <c r="F15" s="5" t="inlineStr">
        <is>
          <t>ADMINISTRACION DE RIESGOS</t>
        </is>
      </c>
      <c r="G15" s="5" t="inlineStr">
        <is>
          <t>Gerencia General</t>
        </is>
      </c>
    </row>
    <row r="16">
      <c r="A16" s="4" t="inlineStr">
        <is>
          <t>433</t>
        </is>
      </c>
      <c r="B16" s="5" t="inlineStr">
        <is>
          <t>SILVIA IVETH MARTINEZ RAMIREZ</t>
        </is>
      </c>
      <c r="C16" s="4" t="inlineStr">
        <is>
          <t>01/08/2008</t>
        </is>
      </c>
      <c r="D16" s="5" t="inlineStr">
        <is>
          <t>ANALISTA DE RIESGO OPERACIONAL</t>
        </is>
      </c>
      <c r="E16" s="5" t="inlineStr">
        <is>
          <t xml:space="preserve"> EMPLEADO</t>
        </is>
      </c>
      <c r="F16" s="5" t="inlineStr">
        <is>
          <t>ADMINISTRACION DE RIESGOS</t>
        </is>
      </c>
      <c r="G16" s="5" t="inlineStr">
        <is>
          <t>Gerencia General</t>
        </is>
      </c>
    </row>
    <row r="17">
      <c r="A17" s="4" t="inlineStr">
        <is>
          <t>928</t>
        </is>
      </c>
      <c r="B17" s="5" t="inlineStr">
        <is>
          <t xml:space="preserve">HENRRY DANIEL ESCAMILLA ZALDAÑA </t>
        </is>
      </c>
      <c r="C17" s="4" t="inlineStr">
        <is>
          <t>04/06/2025</t>
        </is>
      </c>
      <c r="D17" s="5" t="inlineStr">
        <is>
          <t>JEFE DE ADMINISTRACION DE RIESGOS</t>
        </is>
      </c>
      <c r="E17" s="5" t="inlineStr">
        <is>
          <t xml:space="preserve"> EMPLEADO</t>
        </is>
      </c>
      <c r="F17" s="5" t="inlineStr">
        <is>
          <t>ADMINISTRACION DE RIESGOS</t>
        </is>
      </c>
      <c r="G17" s="5" t="inlineStr">
        <is>
          <t>Gerencia General</t>
        </is>
      </c>
    </row>
    <row r="18">
      <c r="A18" s="4" t="inlineStr">
        <is>
          <t>318</t>
        </is>
      </c>
      <c r="B18" s="5" t="inlineStr">
        <is>
          <t xml:space="preserve">CLAUDIA CAROLINA HENRIQUEZ VELASCO </t>
        </is>
      </c>
      <c r="C18" s="4" t="inlineStr">
        <is>
          <t>15/11/2004</t>
        </is>
      </c>
      <c r="D18" s="5" t="inlineStr">
        <is>
          <t>JEFE DE PROCESOS</t>
        </is>
      </c>
      <c r="E18" s="5" t="inlineStr">
        <is>
          <t xml:space="preserve"> EMPLEADO</t>
        </is>
      </c>
      <c r="F18" s="5" t="inlineStr">
        <is>
          <t>DEPARTAMENTO DE PROCESOS</t>
        </is>
      </c>
      <c r="G18" s="5" t="inlineStr">
        <is>
          <t>Gerencia General</t>
        </is>
      </c>
    </row>
    <row r="19">
      <c r="A19" s="4" t="inlineStr">
        <is>
          <t>817</t>
        </is>
      </c>
      <c r="B19" s="5" t="inlineStr">
        <is>
          <t xml:space="preserve">MAURICIO EDGARDO MIRANDA CAMPOS </t>
        </is>
      </c>
      <c r="C19" s="4" t="inlineStr">
        <is>
          <t>03/07/2023</t>
        </is>
      </c>
      <c r="D19" s="5" t="inlineStr">
        <is>
          <t>ANALISTA DE PROCESOS</t>
        </is>
      </c>
      <c r="E19" s="5" t="inlineStr">
        <is>
          <t xml:space="preserve"> EMPLEADO</t>
        </is>
      </c>
      <c r="F19" s="5" t="inlineStr">
        <is>
          <t>DEPARTAMENTO DE PROCESOS</t>
        </is>
      </c>
      <c r="G19" s="5" t="inlineStr">
        <is>
          <t>Gerencia General</t>
        </is>
      </c>
    </row>
    <row r="20">
      <c r="A20" s="4" t="inlineStr">
        <is>
          <t>932</t>
        </is>
      </c>
      <c r="B20" s="5" t="inlineStr">
        <is>
          <t xml:space="preserve">HECTOR SEBASTIAN LOPEZ GRANADOS </t>
        </is>
      </c>
      <c r="C20" s="4" t="inlineStr">
        <is>
          <t>01/10/2025</t>
        </is>
      </c>
      <c r="D20" s="5" t="inlineStr">
        <is>
          <t>ASISTENTE TECNICO DE PROCESOS</t>
        </is>
      </c>
      <c r="E20" s="5" t="inlineStr">
        <is>
          <t xml:space="preserve"> EMPLEADO</t>
        </is>
      </c>
      <c r="F20" s="5" t="inlineStr">
        <is>
          <t>DEPARTAMENTO DE PROCESOS</t>
        </is>
      </c>
      <c r="G20" s="5" t="inlineStr">
        <is>
          <t>Gerencia General</t>
        </is>
      </c>
    </row>
    <row r="21">
      <c r="A21" s="4" t="inlineStr">
        <is>
          <t>710</t>
        </is>
      </c>
      <c r="B21" s="5" t="inlineStr">
        <is>
          <t xml:space="preserve">MARIA AZUCENA BONILLA RIVERA </t>
        </is>
      </c>
      <c r="C21" s="4" t="inlineStr">
        <is>
          <t>05/04/2021</t>
        </is>
      </c>
      <c r="D21" s="5" t="inlineStr">
        <is>
          <t>OFICIAL DE SEGURIDAD DE LA INFORMACION</t>
        </is>
      </c>
      <c r="E21" s="5" t="inlineStr">
        <is>
          <t xml:space="preserve"> EMPLEADO</t>
        </is>
      </c>
      <c r="F21" s="5" t="inlineStr">
        <is>
          <t>OFICIALIA DE SEGURIDAD DE LA INFORMACION</t>
        </is>
      </c>
      <c r="G21" s="5" t="inlineStr">
        <is>
          <t>Gerencia General</t>
        </is>
      </c>
    </row>
    <row r="22">
      <c r="A22" s="4" t="inlineStr">
        <is>
          <t>907</t>
        </is>
      </c>
      <c r="B22" s="5" t="inlineStr">
        <is>
          <t>JENNIFER GEORGINA ALVARADO HERNANDEZ</t>
        </is>
      </c>
      <c r="C22" s="4" t="inlineStr">
        <is>
          <t>11/02/2025</t>
        </is>
      </c>
      <c r="D22" s="5" t="inlineStr">
        <is>
          <t>ANALISTA DE MONITOREO DEL FRAUDE DIGITAL</t>
        </is>
      </c>
      <c r="E22" s="5" t="inlineStr">
        <is>
          <t xml:space="preserve"> EMPLEADO</t>
        </is>
      </c>
      <c r="F22" s="5" t="inlineStr">
        <is>
          <t>OFICIALIA DE SEGURIDAD DE LA INFORMACION</t>
        </is>
      </c>
      <c r="G22" s="5" t="inlineStr">
        <is>
          <t>Gerencia General</t>
        </is>
      </c>
    </row>
    <row r="23">
      <c r="A23" s="4" t="inlineStr">
        <is>
          <t>918</t>
        </is>
      </c>
      <c r="B23" s="5" t="inlineStr">
        <is>
          <t xml:space="preserve">MARVIN ALONSO FRANCO RAMIREZ </t>
        </is>
      </c>
      <c r="C23" s="4" t="inlineStr">
        <is>
          <t>23/04/2025</t>
        </is>
      </c>
      <c r="D23" s="5" t="inlineStr">
        <is>
          <t>ANALISTA DE SEGURIDAD DE LA INFORMACION</t>
        </is>
      </c>
      <c r="E23" s="5" t="inlineStr">
        <is>
          <t xml:space="preserve"> EMPLEADO</t>
        </is>
      </c>
      <c r="F23" s="5" t="inlineStr">
        <is>
          <t>OFICIALIA DE SEGURIDAD DE LA INFORMACION</t>
        </is>
      </c>
      <c r="G23" s="5" t="inlineStr">
        <is>
          <t>Gerencia General</t>
        </is>
      </c>
    </row>
    <row r="24">
      <c r="A24" s="4" t="inlineStr">
        <is>
          <t>950</t>
        </is>
      </c>
      <c r="B24" s="5" t="inlineStr">
        <is>
          <t xml:space="preserve">VALERIA MICHELLE  QUINTANILLA FLORES  </t>
        </is>
      </c>
      <c r="C24" s="4" t="inlineStr">
        <is>
          <t>24/11/2025</t>
        </is>
      </c>
      <c r="D24" s="5" t="inlineStr">
        <is>
          <t>ANALISTA TECNICO DE PROTECCION DE DATOS</t>
        </is>
      </c>
      <c r="E24" s="5" t="inlineStr">
        <is>
          <t xml:space="preserve"> EMPLEADO</t>
        </is>
      </c>
      <c r="F24" s="5" t="inlineStr">
        <is>
          <t>OFICIALIA DE SEGURIDAD DE LA INFORMACION</t>
        </is>
      </c>
      <c r="G24" s="5" t="inlineStr">
        <is>
          <t>Gerencia General</t>
        </is>
      </c>
    </row>
    <row r="25">
      <c r="A25" s="4" t="inlineStr">
        <is>
          <t>45</t>
        </is>
      </c>
      <c r="B25" s="5" t="inlineStr">
        <is>
          <t>MARTA LILLIAN VIGIL QUIJANO</t>
        </is>
      </c>
      <c r="C25" s="4" t="inlineStr">
        <is>
          <t>11/08/1987</t>
        </is>
      </c>
      <c r="D25" s="5" t="inlineStr">
        <is>
          <t>ASISTENTE ADMINISTRATIVO DE GERENCIA  ADMINISTRATIVA</t>
        </is>
      </c>
      <c r="E25" s="5" t="inlineStr">
        <is>
          <t xml:space="preserve"> EMPLEADO</t>
        </is>
      </c>
      <c r="F25" s="5" t="inlineStr">
        <is>
          <t>GERENCIA  ADMINISTRATIVA</t>
        </is>
      </c>
      <c r="G25" s="5" t="inlineStr">
        <is>
          <t>Gerencia Administrativa</t>
        </is>
      </c>
    </row>
    <row r="26">
      <c r="A26" s="4" t="inlineStr">
        <is>
          <t>55</t>
        </is>
      </c>
      <c r="B26" s="5" t="inlineStr">
        <is>
          <t xml:space="preserve">LEONEL EDGARDO SALAZAR RAMIREZ </t>
        </is>
      </c>
      <c r="C26" s="4" t="inlineStr">
        <is>
          <t>07/08/1995</t>
        </is>
      </c>
      <c r="D26" s="5" t="inlineStr">
        <is>
          <t>MENSAJERO</t>
        </is>
      </c>
      <c r="E26" s="5" t="inlineStr">
        <is>
          <t xml:space="preserve"> EMPLEADO</t>
        </is>
      </c>
      <c r="F26" s="5" t="inlineStr">
        <is>
          <t>DEPARTAMENTO DE SERVICIOS GENERALES</t>
        </is>
      </c>
      <c r="G26" s="5" t="inlineStr">
        <is>
          <t>Gerencia Administrativa</t>
        </is>
      </c>
    </row>
    <row r="27">
      <c r="A27" s="4" t="inlineStr">
        <is>
          <t>222</t>
        </is>
      </c>
      <c r="B27" s="5" t="inlineStr">
        <is>
          <t xml:space="preserve">MARIA GUADALUPE MARTINEZ MURCIA </t>
        </is>
      </c>
      <c r="C27" s="4" t="inlineStr">
        <is>
          <t>25/10/2000</t>
        </is>
      </c>
      <c r="D27" s="5" t="inlineStr">
        <is>
          <t>AUXILIAR DE COMPRAS</t>
        </is>
      </c>
      <c r="E27" s="5" t="inlineStr">
        <is>
          <t xml:space="preserve"> EMPLEADO</t>
        </is>
      </c>
      <c r="F27" s="5" t="inlineStr">
        <is>
          <t>DEPARTAMENTO DE SERVICIOS GENERALES</t>
        </is>
      </c>
      <c r="G27" s="5" t="inlineStr">
        <is>
          <t>Gerencia Administrativa</t>
        </is>
      </c>
    </row>
    <row r="28">
      <c r="A28" s="4" t="inlineStr">
        <is>
          <t>224</t>
        </is>
      </c>
      <c r="B28" s="5" t="inlineStr">
        <is>
          <t xml:space="preserve">JESUS REYES GUZMAN FUENTES </t>
        </is>
      </c>
      <c r="C28" s="4" t="inlineStr">
        <is>
          <t>07/11/2000</t>
        </is>
      </c>
      <c r="D28" s="5" t="inlineStr">
        <is>
          <t>MENSAJERO</t>
        </is>
      </c>
      <c r="E28" s="5" t="inlineStr">
        <is>
          <t xml:space="preserve"> EMPLEADO</t>
        </is>
      </c>
      <c r="F28" s="5" t="inlineStr">
        <is>
          <t>DEPARTAMENTO DE SERVICIOS GENERALES</t>
        </is>
      </c>
      <c r="G28" s="5" t="inlineStr">
        <is>
          <t>Gerencia Administrativa</t>
        </is>
      </c>
    </row>
    <row r="29">
      <c r="A29" s="4" t="inlineStr">
        <is>
          <t>387</t>
        </is>
      </c>
      <c r="B29" s="5" t="inlineStr">
        <is>
          <t xml:space="preserve">CELINA CECILIA ANZORA BERNAL </t>
        </is>
      </c>
      <c r="C29" s="4" t="inlineStr">
        <is>
          <t>14/08/2006</t>
        </is>
      </c>
      <c r="D29" s="5" t="inlineStr">
        <is>
          <t>SERVICIOS VARIOS</t>
        </is>
      </c>
      <c r="E29" s="5" t="inlineStr">
        <is>
          <t xml:space="preserve"> EMPLEADO</t>
        </is>
      </c>
      <c r="F29" s="5" t="inlineStr">
        <is>
          <t>DEPARTAMENTO DE SERVICIOS GENERALES</t>
        </is>
      </c>
      <c r="G29" s="5" t="inlineStr">
        <is>
          <t>Gerencia Administrativa</t>
        </is>
      </c>
    </row>
    <row r="30">
      <c r="A30" s="4" t="inlineStr">
        <is>
          <t>430</t>
        </is>
      </c>
      <c r="B30" s="5" t="inlineStr">
        <is>
          <t xml:space="preserve">MARIO ROSALES VASQUEZ </t>
        </is>
      </c>
      <c r="C30" s="4" t="inlineStr">
        <is>
          <t>23/06/2008</t>
        </is>
      </c>
      <c r="D30" s="5" t="inlineStr">
        <is>
          <t>MENSAJERO</t>
        </is>
      </c>
      <c r="E30" s="5" t="inlineStr">
        <is>
          <t xml:space="preserve"> EMPLEADO</t>
        </is>
      </c>
      <c r="F30" s="5" t="inlineStr">
        <is>
          <t>DEPARTAMENTO DE SERVICIOS GENERALES</t>
        </is>
      </c>
      <c r="G30" s="5" t="inlineStr">
        <is>
          <t>Gerencia Administrativa</t>
        </is>
      </c>
    </row>
    <row r="31">
      <c r="A31" s="4" t="inlineStr">
        <is>
          <t>436</t>
        </is>
      </c>
      <c r="B31" s="5" t="inlineStr">
        <is>
          <t xml:space="preserve">MAURICIO ANTONIO RAMIREZ PEREZ </t>
        </is>
      </c>
      <c r="C31" s="4" t="inlineStr">
        <is>
          <t>22/09/2008</t>
        </is>
      </c>
      <c r="D31" s="5" t="inlineStr">
        <is>
          <t>AUXILIAR DE MANTENIMIENTO</t>
        </is>
      </c>
      <c r="E31" s="5" t="inlineStr">
        <is>
          <t xml:space="preserve"> EMPLEADO</t>
        </is>
      </c>
      <c r="F31" s="5" t="inlineStr">
        <is>
          <t>DEPARTAMENTO DE SERVICIOS GENERALES</t>
        </is>
      </c>
      <c r="G31" s="5" t="inlineStr">
        <is>
          <t>Gerencia Administrativa</t>
        </is>
      </c>
    </row>
    <row r="32">
      <c r="A32" s="4" t="inlineStr">
        <is>
          <t>522</t>
        </is>
      </c>
      <c r="B32" s="5" t="inlineStr">
        <is>
          <t xml:space="preserve">MARGARITA GUADALUPE  HENRIQUEZ ELIAS </t>
        </is>
      </c>
      <c r="C32" s="4" t="inlineStr">
        <is>
          <t>01/04/2013</t>
        </is>
      </c>
      <c r="D32" s="5" t="inlineStr">
        <is>
          <t>SERVICIOS VARIOS</t>
        </is>
      </c>
      <c r="E32" s="5" t="inlineStr">
        <is>
          <t xml:space="preserve"> EMPLEADO</t>
        </is>
      </c>
      <c r="F32" s="5" t="inlineStr">
        <is>
          <t>DEPARTAMENTO DE SERVICIOS GENERALES</t>
        </is>
      </c>
      <c r="G32" s="5" t="inlineStr">
        <is>
          <t>Gerencia Administrativa</t>
        </is>
      </c>
    </row>
    <row r="33">
      <c r="A33" s="4" t="inlineStr">
        <is>
          <t>587</t>
        </is>
      </c>
      <c r="B33" s="5" t="inlineStr">
        <is>
          <t xml:space="preserve">JOSE ROSALIO GARCIA SOTO </t>
        </is>
      </c>
      <c r="C33" s="4" t="inlineStr">
        <is>
          <t>06/02/2017</t>
        </is>
      </c>
      <c r="D33" s="5" t="inlineStr">
        <is>
          <t>JARDINERO</t>
        </is>
      </c>
      <c r="E33" s="5" t="inlineStr">
        <is>
          <t xml:space="preserve"> EMPLEADO</t>
        </is>
      </c>
      <c r="F33" s="5" t="inlineStr">
        <is>
          <t>DEPARTAMENTO DE SERVICIOS GENERALES</t>
        </is>
      </c>
      <c r="G33" s="5" t="inlineStr">
        <is>
          <t>Gerencia Administrativa</t>
        </is>
      </c>
    </row>
    <row r="34">
      <c r="A34" s="4" t="inlineStr">
        <is>
          <t>599</t>
        </is>
      </c>
      <c r="B34" s="5" t="inlineStr">
        <is>
          <t>MAIRA ELIZABETH PEREZ LEIVA</t>
        </is>
      </c>
      <c r="C34" s="4" t="inlineStr">
        <is>
          <t>16/08/2017</t>
        </is>
      </c>
      <c r="D34" s="5" t="inlineStr">
        <is>
          <t>JEFE DE SERVICIOS GENERALES</t>
        </is>
      </c>
      <c r="E34" s="5" t="inlineStr">
        <is>
          <t xml:space="preserve"> EMPLEADO</t>
        </is>
      </c>
      <c r="F34" s="5" t="inlineStr">
        <is>
          <t>DEPARTAMENTO DE SERVICIOS GENERALES</t>
        </is>
      </c>
      <c r="G34" s="5" t="inlineStr">
        <is>
          <t>Gerencia Administrativa</t>
        </is>
      </c>
    </row>
    <row r="35">
      <c r="A35" s="4" t="inlineStr">
        <is>
          <t>684</t>
        </is>
      </c>
      <c r="B35" s="5" t="inlineStr">
        <is>
          <t xml:space="preserve">ILIANA CAROLINA FLAMENCO FLORES </t>
        </is>
      </c>
      <c r="C35" s="4" t="inlineStr">
        <is>
          <t>02/09/2020</t>
        </is>
      </c>
      <c r="D35" s="5" t="inlineStr">
        <is>
          <t>SERVICIOS VARIOS</t>
        </is>
      </c>
      <c r="E35" s="5" t="inlineStr">
        <is>
          <t xml:space="preserve"> EMPLEADO</t>
        </is>
      </c>
      <c r="F35" s="5" t="inlineStr">
        <is>
          <t>DEPARTAMENTO DE SERVICIOS GENERALES</t>
        </is>
      </c>
      <c r="G35" s="5" t="inlineStr">
        <is>
          <t>Gerencia Administrativa</t>
        </is>
      </c>
    </row>
    <row r="36">
      <c r="A36" s="4" t="inlineStr">
        <is>
          <t>803</t>
        </is>
      </c>
      <c r="B36" s="5" t="inlineStr">
        <is>
          <t xml:space="preserve">CHRISTIAN GEORGE FIGUEROA BLANCO </t>
        </is>
      </c>
      <c r="C36" s="4" t="inlineStr">
        <is>
          <t>10/04/2023</t>
        </is>
      </c>
      <c r="D36" s="5" t="inlineStr">
        <is>
          <t>MENSAJERO</t>
        </is>
      </c>
      <c r="E36" s="5" t="inlineStr">
        <is>
          <t xml:space="preserve"> EMPLEADO</t>
        </is>
      </c>
      <c r="F36" s="5" t="inlineStr">
        <is>
          <t>DEPARTAMENTO DE SERVICIOS GENERALES</t>
        </is>
      </c>
      <c r="G36" s="5" t="inlineStr">
        <is>
          <t>Gerencia Administrativa</t>
        </is>
      </c>
    </row>
    <row r="37">
      <c r="A37" s="4" t="inlineStr">
        <is>
          <t>830</t>
        </is>
      </c>
      <c r="B37" s="5" t="inlineStr">
        <is>
          <t xml:space="preserve">GERMAN ALBERTO  CAMPOS TORRES </t>
        </is>
      </c>
      <c r="C37" s="4" t="inlineStr">
        <is>
          <t>04/10/2023</t>
        </is>
      </c>
      <c r="D37" s="5" t="inlineStr">
        <is>
          <t>TECNICO EN MANTENIMIENTO</t>
        </is>
      </c>
      <c r="E37" s="5" t="inlineStr">
        <is>
          <t xml:space="preserve"> EMPLEADO</t>
        </is>
      </c>
      <c r="F37" s="5" t="inlineStr">
        <is>
          <t>DEPARTAMENTO DE SERVICIOS GENERALES</t>
        </is>
      </c>
      <c r="G37" s="5" t="inlineStr">
        <is>
          <t>Gerencia Administrativa</t>
        </is>
      </c>
    </row>
    <row r="38">
      <c r="A38" s="4" t="inlineStr">
        <is>
          <t>852</t>
        </is>
      </c>
      <c r="B38" s="5" t="inlineStr">
        <is>
          <t xml:space="preserve">JONATHAN ENRIQUE  AQUINO SANCHEZ </t>
        </is>
      </c>
      <c r="C38" s="4" t="inlineStr">
        <is>
          <t>01/02/2024</t>
        </is>
      </c>
      <c r="D38" s="5" t="inlineStr">
        <is>
          <t>SERVICIOS VARIOS</t>
        </is>
      </c>
      <c r="E38" s="5" t="inlineStr">
        <is>
          <t xml:space="preserve"> EMPLEADO</t>
        </is>
      </c>
      <c r="F38" s="5" t="inlineStr">
        <is>
          <t>DEPARTAMENTO DE SERVICIOS GENERALES</t>
        </is>
      </c>
      <c r="G38" s="5" t="inlineStr">
        <is>
          <t>Gerencia Administrativa</t>
        </is>
      </c>
    </row>
    <row r="39">
      <c r="A39" s="4" t="inlineStr">
        <is>
          <t>875</t>
        </is>
      </c>
      <c r="B39" s="5" t="inlineStr">
        <is>
          <t xml:space="preserve">BELLY EMERSON RIVERA ASCENCIO </t>
        </is>
      </c>
      <c r="C39" s="4" t="inlineStr">
        <is>
          <t>03/06/2024</t>
        </is>
      </c>
      <c r="D39" s="5" t="inlineStr">
        <is>
          <t>SERVICIOS VARIOS</t>
        </is>
      </c>
      <c r="E39" s="5" t="inlineStr">
        <is>
          <t xml:space="preserve"> EMPLEADO</t>
        </is>
      </c>
      <c r="F39" s="5" t="inlineStr">
        <is>
          <t>DEPARTAMENTO DE SERVICIOS GENERALES</t>
        </is>
      </c>
      <c r="G39" s="5" t="inlineStr">
        <is>
          <t>Gerencia Administrativa</t>
        </is>
      </c>
    </row>
    <row r="40">
      <c r="A40" s="4" t="inlineStr">
        <is>
          <t>926</t>
        </is>
      </c>
      <c r="B40" s="5" t="inlineStr">
        <is>
          <t xml:space="preserve">ANDRES VLADIMIR LUNA GUEVARA </t>
        </is>
      </c>
      <c r="C40" s="4" t="inlineStr">
        <is>
          <t>28/12/2025</t>
        </is>
      </c>
      <c r="D40" s="5" t="inlineStr">
        <is>
          <t>MENSAJERO</t>
        </is>
      </c>
      <c r="E40" s="5" t="inlineStr">
        <is>
          <t xml:space="preserve"> EMPLEADO</t>
        </is>
      </c>
      <c r="F40" s="5" t="inlineStr">
        <is>
          <t>DEPARTAMENTO DE SERVICIOS GENERALES</t>
        </is>
      </c>
      <c r="G40" s="5" t="inlineStr">
        <is>
          <t>Gerencia Administrativa</t>
        </is>
      </c>
    </row>
    <row r="41">
      <c r="A41" s="4" t="inlineStr">
        <is>
          <t>959</t>
        </is>
      </c>
      <c r="B41" s="5" t="inlineStr">
        <is>
          <t xml:space="preserve">XIOMARA JEANNETTE ESCOBAR PORTILLO </t>
        </is>
      </c>
      <c r="C41" s="4" t="inlineStr">
        <is>
          <t>01/06/2026</t>
        </is>
      </c>
      <c r="D41" s="5" t="inlineStr">
        <is>
          <t>SERVICIOS VARIOS</t>
        </is>
      </c>
      <c r="E41" s="5" t="inlineStr">
        <is>
          <t xml:space="preserve"> EMPLEADO</t>
        </is>
      </c>
      <c r="F41" s="5" t="inlineStr">
        <is>
          <t>DEPARTAMENTO DE SERVICIOS GENERALES</t>
        </is>
      </c>
      <c r="G41" s="5" t="inlineStr">
        <is>
          <t>Gerencia Administrativa</t>
        </is>
      </c>
    </row>
    <row r="42">
      <c r="A42" s="4" t="inlineStr">
        <is>
          <t>972</t>
        </is>
      </c>
      <c r="B42" s="5" t="inlineStr">
        <is>
          <t xml:space="preserve">GEOVANNY GABRIEL RODRIGUEZ SOLORZANO </t>
        </is>
      </c>
      <c r="C42" s="4" t="inlineStr">
        <is>
          <t>01/06/2026</t>
        </is>
      </c>
      <c r="D42" s="5" t="inlineStr">
        <is>
          <t>AUXILIAR DE ACTIVO FIJO Y ALMACEN</t>
        </is>
      </c>
      <c r="E42" s="5" t="inlineStr">
        <is>
          <t xml:space="preserve"> EMPLEADO</t>
        </is>
      </c>
      <c r="F42" s="5" t="inlineStr">
        <is>
          <t>DEPARTAMENTO DE SERVICIOS GENERALES</t>
        </is>
      </c>
      <c r="G42" s="5" t="inlineStr">
        <is>
          <t>Gerencia Administrativa</t>
        </is>
      </c>
    </row>
    <row r="43">
      <c r="A43" s="4" t="inlineStr">
        <is>
          <t>539</t>
        </is>
      </c>
      <c r="B43" s="5" t="inlineStr">
        <is>
          <t xml:space="preserve">JESICA XIOMARA RAMOS PEÑA </t>
        </is>
      </c>
      <c r="C43" s="4" t="inlineStr">
        <is>
          <t>03/11/2014</t>
        </is>
      </c>
      <c r="D43" s="5" t="inlineStr">
        <is>
          <t>JEFE DE CUSTODIA DE GARANTÍA Y VALORES</t>
        </is>
      </c>
      <c r="E43" s="5" t="inlineStr">
        <is>
          <t xml:space="preserve"> EMPLEADO</t>
        </is>
      </c>
      <c r="F43" s="5" t="inlineStr">
        <is>
          <t>DEPARTAMENTO DE CUSTODIA DE GARANTÍA Y VALORES</t>
        </is>
      </c>
      <c r="G43" s="5" t="inlineStr">
        <is>
          <t>Gerencia Administrativa</t>
        </is>
      </c>
    </row>
    <row r="44">
      <c r="A44" s="4" t="inlineStr">
        <is>
          <t>678</t>
        </is>
      </c>
      <c r="B44" s="5" t="inlineStr">
        <is>
          <t xml:space="preserve">CARLOS ALBERTO VELASQUEZ ALVARADO </t>
        </is>
      </c>
      <c r="C44" s="4" t="inlineStr">
        <is>
          <t>17/02/2020</t>
        </is>
      </c>
      <c r="D44" s="5" t="inlineStr">
        <is>
          <t>ANALISTA DE ARCHIVO CENTRAL</t>
        </is>
      </c>
      <c r="E44" s="5" t="inlineStr">
        <is>
          <t xml:space="preserve"> EMPLEADO</t>
        </is>
      </c>
      <c r="F44" s="5" t="inlineStr">
        <is>
          <t>DEPARTAMENTO DE CUSTODIA DE GARANTÍA Y VALORES</t>
        </is>
      </c>
      <c r="G44" s="5" t="inlineStr">
        <is>
          <t>Gerencia Administrativa</t>
        </is>
      </c>
    </row>
    <row r="45">
      <c r="A45" s="4" t="inlineStr">
        <is>
          <t>740</t>
        </is>
      </c>
      <c r="B45" s="5" t="inlineStr">
        <is>
          <t xml:space="preserve">RAFAEL ERNESTO LOPEZ MARTINEZ </t>
        </is>
      </c>
      <c r="C45" s="4" t="inlineStr">
        <is>
          <t>22/02/2022</t>
        </is>
      </c>
      <c r="D45" s="5" t="inlineStr">
        <is>
          <t>ASISTENTE ADMINISTRATIVO CUSTODIA DE GARANTIA Y VALORES</t>
        </is>
      </c>
      <c r="E45" s="5" t="inlineStr">
        <is>
          <t xml:space="preserve"> EMPLEADO</t>
        </is>
      </c>
      <c r="F45" s="5" t="inlineStr">
        <is>
          <t>DEPARTAMENTO DE CUSTODIA DE GARANTÍA Y VALORES</t>
        </is>
      </c>
      <c r="G45" s="5" t="inlineStr">
        <is>
          <t>Gerencia Administrativa</t>
        </is>
      </c>
    </row>
    <row r="46">
      <c r="A46" s="4" t="inlineStr">
        <is>
          <t>934</t>
        </is>
      </c>
      <c r="B46" s="5" t="inlineStr">
        <is>
          <t xml:space="preserve">JOSE FRANCISCO ZECEÑA MUÑOZ </t>
        </is>
      </c>
      <c r="C46" s="4" t="inlineStr">
        <is>
          <t>10/07/2025</t>
        </is>
      </c>
      <c r="D46" s="5" t="inlineStr">
        <is>
          <t>AUXILIAR DE CUSTODIA  DE VALORES</t>
        </is>
      </c>
      <c r="E46" s="5" t="inlineStr">
        <is>
          <t xml:space="preserve"> EMPLEADO</t>
        </is>
      </c>
      <c r="F46" s="5" t="inlineStr">
        <is>
          <t>DEPARTAMENTO DE CUSTODIA DE GARANTÍA Y VALORES</t>
        </is>
      </c>
      <c r="G46" s="5" t="inlineStr">
        <is>
          <t>Gerencia Administrativa</t>
        </is>
      </c>
    </row>
    <row r="47">
      <c r="A47" s="4" t="inlineStr">
        <is>
          <t>949</t>
        </is>
      </c>
      <c r="B47" s="5" t="inlineStr">
        <is>
          <t xml:space="preserve">ALEJANDRO JOSE  ARGUETA  CORTEZ  </t>
        </is>
      </c>
      <c r="C47" s="4" t="inlineStr">
        <is>
          <t>06/11/2025</t>
        </is>
      </c>
      <c r="D47" s="5" t="inlineStr">
        <is>
          <t>AUXILIAR DE CUSTODIA  DE VALORES</t>
        </is>
      </c>
      <c r="E47" s="5" t="inlineStr">
        <is>
          <t xml:space="preserve"> EMPLEADO</t>
        </is>
      </c>
      <c r="F47" s="5" t="inlineStr">
        <is>
          <t>DEPARTAMENTO DE CUSTODIA DE GARANTÍA Y VALORES</t>
        </is>
      </c>
      <c r="G47" s="5" t="inlineStr">
        <is>
          <t>Gerencia Administrativa</t>
        </is>
      </c>
    </row>
    <row r="48">
      <c r="A48" s="4" t="inlineStr">
        <is>
          <t>973</t>
        </is>
      </c>
      <c r="B48" s="5" t="inlineStr">
        <is>
          <t xml:space="preserve">HUGO ROLANDO VELASCO RIVERA </t>
        </is>
      </c>
      <c r="C48" s="4" t="inlineStr">
        <is>
          <t>02/07/2026</t>
        </is>
      </c>
      <c r="D48" s="5" t="inlineStr">
        <is>
          <t>AUXILIAR DE CUSTODIA  DE VALORES</t>
        </is>
      </c>
      <c r="E48" s="5" t="inlineStr">
        <is>
          <t xml:space="preserve"> EMPLEADO</t>
        </is>
      </c>
      <c r="F48" s="5" t="inlineStr">
        <is>
          <t>DEPARTAMENTO DE CUSTODIA DE GARANTÍA Y VALORES</t>
        </is>
      </c>
      <c r="G48" s="5" t="inlineStr">
        <is>
          <t>Gerencia Administrativa</t>
        </is>
      </c>
    </row>
    <row r="49">
      <c r="A49" s="4" t="inlineStr">
        <is>
          <t>65</t>
        </is>
      </c>
      <c r="B49" s="5" t="inlineStr">
        <is>
          <t xml:space="preserve">DORA ALICIA CASTILLO </t>
        </is>
      </c>
      <c r="C49" s="4" t="inlineStr">
        <is>
          <t>16/08/1988</t>
        </is>
      </c>
      <c r="D49" s="5" t="inlineStr">
        <is>
          <t>JEFE DE TALENTO HUMANO</t>
        </is>
      </c>
      <c r="E49" s="5" t="inlineStr">
        <is>
          <t xml:space="preserve"> EMPLEADO</t>
        </is>
      </c>
      <c r="F49" s="5" t="inlineStr">
        <is>
          <t>DEPARTAMENTO DE TALENTO HUMANO</t>
        </is>
      </c>
      <c r="G49" s="5" t="inlineStr">
        <is>
          <t>Gerencia Administrativa</t>
        </is>
      </c>
    </row>
    <row r="50">
      <c r="A50" s="4" t="inlineStr">
        <is>
          <t>948</t>
        </is>
      </c>
      <c r="B50" s="5" t="inlineStr">
        <is>
          <t xml:space="preserve">NELSON KILDER  QUIJADA ECHEVERRIA  </t>
        </is>
      </c>
      <c r="C50" s="4" t="inlineStr">
        <is>
          <t>20/10/2025</t>
        </is>
      </c>
      <c r="D50" s="5" t="inlineStr">
        <is>
          <t>ASISTENTE TECNICO DE TALENTO HUMANO</t>
        </is>
      </c>
      <c r="E50" s="5" t="inlineStr">
        <is>
          <t xml:space="preserve"> EMPLEADO</t>
        </is>
      </c>
      <c r="F50" s="5" t="inlineStr">
        <is>
          <t>DEPARTAMENTO DE TALENTO HUMANO</t>
        </is>
      </c>
      <c r="G50" s="5" t="inlineStr">
        <is>
          <t>Gerencia Administrativa</t>
        </is>
      </c>
    </row>
    <row r="51">
      <c r="A51" s="4" t="inlineStr">
        <is>
          <t>962</t>
        </is>
      </c>
      <c r="B51" s="5" t="inlineStr">
        <is>
          <t xml:space="preserve">HELEN GLORIBEL PLATERO SANCHEZ </t>
        </is>
      </c>
      <c r="C51" s="4" t="inlineStr">
        <is>
          <t>08/04/2026</t>
        </is>
      </c>
      <c r="D51" s="5" t="inlineStr">
        <is>
          <t>ANALISTA DE DESARROLLO ORGANIZACIONAL</t>
        </is>
      </c>
      <c r="E51" s="5" t="inlineStr">
        <is>
          <t xml:space="preserve"> EMPLEADO</t>
        </is>
      </c>
      <c r="F51" s="5" t="inlineStr">
        <is>
          <t>DEPARTAMENTO DE TALENTO HUMANO</t>
        </is>
      </c>
      <c r="G51" s="5" t="inlineStr">
        <is>
          <t>Gerencia Administrativa</t>
        </is>
      </c>
    </row>
    <row r="52">
      <c r="A52" s="4" t="inlineStr">
        <is>
          <t>452</t>
        </is>
      </c>
      <c r="B52" s="5" t="inlineStr">
        <is>
          <t xml:space="preserve">SERGIO ARTURO CALDERON SALAZAR </t>
        </is>
      </c>
      <c r="C52" s="4" t="inlineStr">
        <is>
          <t>11/01/2010</t>
        </is>
      </c>
      <c r="D52" s="5" t="inlineStr">
        <is>
          <t>COORDINADOR DE SEGURIDAD</t>
        </is>
      </c>
      <c r="E52" s="5" t="inlineStr">
        <is>
          <t xml:space="preserve"> EMPLEADO</t>
        </is>
      </c>
      <c r="F52" s="5" t="inlineStr">
        <is>
          <t>DEPARTAMENTO DE SEGURIDAD</t>
        </is>
      </c>
      <c r="G52" s="5" t="inlineStr">
        <is>
          <t>Gerencia Administrativa</t>
        </is>
      </c>
    </row>
    <row r="53">
      <c r="A53" s="4" t="inlineStr">
        <is>
          <t>901</t>
        </is>
      </c>
      <c r="B53" s="5" t="inlineStr">
        <is>
          <t xml:space="preserve">CARLOS ALEJANDRO  MARAVILLA MENDEZ </t>
        </is>
      </c>
      <c r="C53" s="4" t="inlineStr">
        <is>
          <t>14/10/2024</t>
        </is>
      </c>
      <c r="D53" s="5" t="inlineStr">
        <is>
          <t>OPERADOR DE MONITOREO DE LOS SISTEMAS DE SEGURIDAD</t>
        </is>
      </c>
      <c r="E53" s="5" t="inlineStr">
        <is>
          <t xml:space="preserve"> EMPLEADO</t>
        </is>
      </c>
      <c r="F53" s="5" t="inlineStr">
        <is>
          <t>DEPARTAMENTO DE SEGURIDAD</t>
        </is>
      </c>
      <c r="G53" s="5" t="inlineStr">
        <is>
          <t>Gerencia Administrativa</t>
        </is>
      </c>
    </row>
    <row r="54">
      <c r="A54" s="4" t="inlineStr">
        <is>
          <t>590</t>
        </is>
      </c>
      <c r="B54" s="5" t="inlineStr">
        <is>
          <t xml:space="preserve">LORENA ELIZABETH GALDAMEZ NUÑEZ </t>
        </is>
      </c>
      <c r="C54" s="4" t="inlineStr">
        <is>
          <t>23/03/2017</t>
        </is>
      </c>
      <c r="D54" s="5" t="inlineStr">
        <is>
          <t>MEDICO</t>
        </is>
      </c>
      <c r="E54" s="5" t="inlineStr">
        <is>
          <t xml:space="preserve"> EMPLEADO</t>
        </is>
      </c>
      <c r="F54" s="5" t="inlineStr">
        <is>
          <t>CLINICA EMPRESARIAL</t>
        </is>
      </c>
      <c r="G54" s="5" t="inlineStr">
        <is>
          <t>Gerencia Administrativa</t>
        </is>
      </c>
    </row>
    <row r="55">
      <c r="A55" s="4" t="inlineStr">
        <is>
          <t>609</t>
        </is>
      </c>
      <c r="B55" s="5" t="inlineStr">
        <is>
          <t xml:space="preserve">GLADIS OSIRIS VALLE HERNANDEZ </t>
        </is>
      </c>
      <c r="C55" s="4" t="inlineStr">
        <is>
          <t>02/01/2018</t>
        </is>
      </c>
      <c r="D55" s="5" t="inlineStr">
        <is>
          <t>ENFERMERA</t>
        </is>
      </c>
      <c r="E55" s="5" t="inlineStr">
        <is>
          <t xml:space="preserve"> EMPLEADO</t>
        </is>
      </c>
      <c r="F55" s="5" t="inlineStr">
        <is>
          <t>CLINICA EMPRESARIAL</t>
        </is>
      </c>
      <c r="G55" s="5" t="inlineStr">
        <is>
          <t>Gerencia Administrativa</t>
        </is>
      </c>
    </row>
    <row r="56">
      <c r="A56" s="4" t="inlineStr">
        <is>
          <t>847</t>
        </is>
      </c>
      <c r="B56" s="5" t="inlineStr">
        <is>
          <t>ZULEYMA ALEJANDRA VASQUEZ  MARIN</t>
        </is>
      </c>
      <c r="C56" s="4" t="inlineStr">
        <is>
          <t>18/12/2023</t>
        </is>
      </c>
      <c r="D56" s="5" t="inlineStr">
        <is>
          <t>JEFE DE EDUCACION Y RESPONSABILIDAD SOCIAL</t>
        </is>
      </c>
      <c r="E56" s="5" t="inlineStr">
        <is>
          <t xml:space="preserve"> EMPLEADO</t>
        </is>
      </c>
      <c r="F56" s="5" t="inlineStr">
        <is>
          <t>DEPARTAMENTO DE EDUCACION Y RESPONSABILIDAD SOCIAL</t>
        </is>
      </c>
      <c r="G56" s="5" t="inlineStr">
        <is>
          <t>Gerencia de Negocios</t>
        </is>
      </c>
    </row>
    <row r="57">
      <c r="A57" s="4" t="inlineStr">
        <is>
          <t>853</t>
        </is>
      </c>
      <c r="B57" s="5" t="inlineStr">
        <is>
          <t xml:space="preserve">STEPHANIE CAROLINA MALDONADO FLORES </t>
        </is>
      </c>
      <c r="C57" s="4" t="inlineStr">
        <is>
          <t>05/02/2024</t>
        </is>
      </c>
      <c r="D57" s="5" t="inlineStr">
        <is>
          <t>ASISTENTE TECNICO DEPARTAMENTO DE EDUCACION Y RESPONSABILIDA</t>
        </is>
      </c>
      <c r="E57" s="5" t="inlineStr">
        <is>
          <t xml:space="preserve"> EMPLEADO</t>
        </is>
      </c>
      <c r="F57" s="5" t="inlineStr">
        <is>
          <t>DEPARTAMENTO DE EDUCACION Y RESPONSABILIDAD SOCIAL</t>
        </is>
      </c>
      <c r="G57" s="5" t="inlineStr">
        <is>
          <t>Gerencia de Negocios</t>
        </is>
      </c>
    </row>
    <row r="58">
      <c r="A58" s="4" t="inlineStr">
        <is>
          <t>919</t>
        </is>
      </c>
      <c r="B58" s="5" t="inlineStr">
        <is>
          <t xml:space="preserve">CARLOS EDUARDO SERVELLON PEREZ </t>
        </is>
      </c>
      <c r="C58" s="4" t="inlineStr">
        <is>
          <t>23/04/2025</t>
        </is>
      </c>
      <c r="D58" s="5" t="inlineStr">
        <is>
          <t>AUXILIAR DE EDUCACION Y RESPONSABILIDAD SOCIAL</t>
        </is>
      </c>
      <c r="E58" s="5" t="inlineStr">
        <is>
          <t xml:space="preserve"> EMPLEADO</t>
        </is>
      </c>
      <c r="F58" s="5" t="inlineStr">
        <is>
          <t>DEPARTAMENTO DE EDUCACION Y RESPONSABILIDAD SOCIAL</t>
        </is>
      </c>
      <c r="G58" s="5" t="inlineStr">
        <is>
          <t>Gerencia de Negocios</t>
        </is>
      </c>
    </row>
    <row r="59">
      <c r="A59" s="4" t="inlineStr">
        <is>
          <t>34</t>
        </is>
      </c>
      <c r="B59" s="5" t="inlineStr">
        <is>
          <t xml:space="preserve">YENIS MARILU ESCOBAR SORTO </t>
        </is>
      </c>
      <c r="C59" s="4" t="inlineStr">
        <is>
          <t>06/05/1996</t>
        </is>
      </c>
      <c r="D59" s="5" t="inlineStr">
        <is>
          <t>EJECUTIVO DE SOLUCIONES FINANCIERAS</t>
        </is>
      </c>
      <c r="E59" s="5" t="inlineStr">
        <is>
          <t xml:space="preserve"> EMPLEADO</t>
        </is>
      </c>
      <c r="F59" s="5" t="inlineStr">
        <is>
          <t>DEPARTAMENTO DE SOLUCIONES FINANCIERAS</t>
        </is>
      </c>
      <c r="G59" s="5" t="inlineStr">
        <is>
          <t>Gerencia de Negocios</t>
        </is>
      </c>
    </row>
    <row r="60">
      <c r="A60" s="4" t="inlineStr">
        <is>
          <t>182</t>
        </is>
      </c>
      <c r="B60" s="5" t="inlineStr">
        <is>
          <t>ROSA ELIZABETH RIVAS AGUILUZ</t>
        </is>
      </c>
      <c r="C60" s="4" t="inlineStr">
        <is>
          <t>20/05/1999</t>
        </is>
      </c>
      <c r="D60" s="5" t="inlineStr">
        <is>
          <t>EJECUTIVO DE SOLUCIONES FINANCIERAS</t>
        </is>
      </c>
      <c r="E60" s="5" t="inlineStr">
        <is>
          <t xml:space="preserve"> EMPLEADO</t>
        </is>
      </c>
      <c r="F60" s="5" t="inlineStr">
        <is>
          <t>DEPARTAMENTO DE SOLUCIONES FINANCIERAS</t>
        </is>
      </c>
      <c r="G60" s="5" t="inlineStr">
        <is>
          <t>Gerencia de Negocios</t>
        </is>
      </c>
    </row>
    <row r="61">
      <c r="A61" s="4" t="inlineStr">
        <is>
          <t>263</t>
        </is>
      </c>
      <c r="B61" s="5" t="inlineStr">
        <is>
          <t xml:space="preserve">XOCHILT VERONICA NOUBLEAU </t>
        </is>
      </c>
      <c r="C61" s="4" t="inlineStr">
        <is>
          <t>27/08/2001</t>
        </is>
      </c>
      <c r="D61" s="5" t="inlineStr">
        <is>
          <t>EJECUTIVO DE SOLUCIONES FINANCIERAS</t>
        </is>
      </c>
      <c r="E61" s="5" t="inlineStr">
        <is>
          <t xml:space="preserve"> EMPLEADO</t>
        </is>
      </c>
      <c r="F61" s="5" t="inlineStr">
        <is>
          <t>DEPARTAMENTO DE SOLUCIONES FINANCIERAS</t>
        </is>
      </c>
      <c r="G61" s="5" t="inlineStr">
        <is>
          <t>Gerencia de Negocios</t>
        </is>
      </c>
    </row>
    <row r="62">
      <c r="A62" s="4" t="inlineStr">
        <is>
          <t>289</t>
        </is>
      </c>
      <c r="B62" s="5" t="inlineStr">
        <is>
          <t>ANA SILVIA MARTINEZ  RODRIGUEZ</t>
        </is>
      </c>
      <c r="C62" s="4" t="inlineStr">
        <is>
          <t>26/06/2002</t>
        </is>
      </c>
      <c r="D62" s="5" t="inlineStr">
        <is>
          <t>EJECUTIVO DE SOLUCIONES FINANCIERAS</t>
        </is>
      </c>
      <c r="E62" s="5" t="inlineStr">
        <is>
          <t xml:space="preserve"> EMPLEADO</t>
        </is>
      </c>
      <c r="F62" s="5" t="inlineStr">
        <is>
          <t>DEPARTAMENTO DE SOLUCIONES FINANCIERAS</t>
        </is>
      </c>
      <c r="G62" s="5" t="inlineStr">
        <is>
          <t>Gerencia de Negocios</t>
        </is>
      </c>
    </row>
    <row r="63">
      <c r="A63" s="4" t="inlineStr">
        <is>
          <t>298</t>
        </is>
      </c>
      <c r="B63" s="5" t="inlineStr">
        <is>
          <t xml:space="preserve">SANDRA GUADALUPE ROQUE SANCHEZ </t>
        </is>
      </c>
      <c r="C63" s="4" t="inlineStr">
        <is>
          <t>02/01/2003</t>
        </is>
      </c>
      <c r="D63" s="5" t="inlineStr">
        <is>
          <t>EJECUTIVO DE SOLUCIONES FINANCIERAS</t>
        </is>
      </c>
      <c r="E63" s="5" t="inlineStr">
        <is>
          <t xml:space="preserve"> EMPLEADO</t>
        </is>
      </c>
      <c r="F63" s="5" t="inlineStr">
        <is>
          <t>DEPARTAMENTO DE SOLUCIONES FINANCIERAS</t>
        </is>
      </c>
      <c r="G63" s="5" t="inlineStr">
        <is>
          <t>Gerencia de Negocios</t>
        </is>
      </c>
    </row>
    <row r="64">
      <c r="A64" s="4" t="inlineStr">
        <is>
          <t>439</t>
        </is>
      </c>
      <c r="B64" s="5" t="inlineStr">
        <is>
          <t xml:space="preserve">ILIANA DESIREE ALFARO </t>
        </is>
      </c>
      <c r="C64" s="4" t="inlineStr">
        <is>
          <t>01/10/2008</t>
        </is>
      </c>
      <c r="D64" s="5" t="inlineStr">
        <is>
          <t>EJECUTIVO DE SOLUCIONES FINANCIERAS</t>
        </is>
      </c>
      <c r="E64" s="5" t="inlineStr">
        <is>
          <t xml:space="preserve"> EMPLEADO</t>
        </is>
      </c>
      <c r="F64" s="5" t="inlineStr">
        <is>
          <t>DEPARTAMENTO DE SOLUCIONES FINANCIERAS</t>
        </is>
      </c>
      <c r="G64" s="5" t="inlineStr">
        <is>
          <t>Gerencia de Negocios</t>
        </is>
      </c>
    </row>
    <row r="65">
      <c r="A65" s="4" t="inlineStr">
        <is>
          <t>472</t>
        </is>
      </c>
      <c r="B65" s="5" t="inlineStr">
        <is>
          <t xml:space="preserve">CARLOS ROBERTO AGUILAR SANTOS </t>
        </is>
      </c>
      <c r="C65" s="4" t="inlineStr">
        <is>
          <t>10/03/2011</t>
        </is>
      </c>
      <c r="D65" s="5" t="inlineStr">
        <is>
          <t>JEFE DE SOLUCIONES FINANCIERAS</t>
        </is>
      </c>
      <c r="E65" s="5" t="inlineStr">
        <is>
          <t xml:space="preserve"> EMPLEADO</t>
        </is>
      </c>
      <c r="F65" s="5" t="inlineStr">
        <is>
          <t>DEPARTAMENTO DE SOLUCIONES FINANCIERAS</t>
        </is>
      </c>
      <c r="G65" s="5" t="inlineStr">
        <is>
          <t>Gerencia de Negocios</t>
        </is>
      </c>
    </row>
    <row r="66">
      <c r="A66" s="4" t="inlineStr">
        <is>
          <t>528</t>
        </is>
      </c>
      <c r="B66" s="5" t="inlineStr">
        <is>
          <t xml:space="preserve">ANA GRISELDA SIGÜENZA MARTINEZ </t>
        </is>
      </c>
      <c r="C66" s="4" t="inlineStr">
        <is>
          <t>13/05/2013</t>
        </is>
      </c>
      <c r="D66" s="5" t="inlineStr">
        <is>
          <t>AUXILIAR DE DEPARTAMENTO DE SOLUCIONES FINANCIERAS</t>
        </is>
      </c>
      <c r="E66" s="5" t="inlineStr">
        <is>
          <t xml:space="preserve"> EMPLEADO</t>
        </is>
      </c>
      <c r="F66" s="5" t="inlineStr">
        <is>
          <t>DEPARTAMENTO DE SOLUCIONES FINANCIERAS</t>
        </is>
      </c>
      <c r="G66" s="5" t="inlineStr">
        <is>
          <t>Gerencia de Negocios</t>
        </is>
      </c>
    </row>
    <row r="67">
      <c r="A67" s="4" t="inlineStr">
        <is>
          <t>573</t>
        </is>
      </c>
      <c r="B67" s="5" t="inlineStr">
        <is>
          <t xml:space="preserve">JUAN PABLO HENRIQUEZ RAMIREZ </t>
        </is>
      </c>
      <c r="C67" s="4" t="inlineStr">
        <is>
          <t>01/09/2016</t>
        </is>
      </c>
      <c r="D67" s="5" t="inlineStr">
        <is>
          <t>EJECUTIVO DE SOLUCIONES FINANCIERAS</t>
        </is>
      </c>
      <c r="E67" s="5" t="inlineStr">
        <is>
          <t xml:space="preserve"> EMPLEADO</t>
        </is>
      </c>
      <c r="F67" s="5" t="inlineStr">
        <is>
          <t>DEPARTAMENTO DE SOLUCIONES FINANCIERAS</t>
        </is>
      </c>
      <c r="G67" s="5" t="inlineStr">
        <is>
          <t>Gerencia de Negocios</t>
        </is>
      </c>
    </row>
    <row r="68">
      <c r="A68" s="4" t="inlineStr">
        <is>
          <t>885</t>
        </is>
      </c>
      <c r="B68" s="5" t="inlineStr">
        <is>
          <t xml:space="preserve">ALBA BEATRIZ MELENDEZ PRUDENCIO </t>
        </is>
      </c>
      <c r="C68" s="4" t="inlineStr">
        <is>
          <t>19/08/2024</t>
        </is>
      </c>
      <c r="D68" s="5" t="inlineStr">
        <is>
          <t>ASISTENTE DE RECUPERACION JUDICIAL Y CARTERA CASTIGADA</t>
        </is>
      </c>
      <c r="E68" s="5" t="inlineStr">
        <is>
          <t xml:space="preserve"> EMPLEADO</t>
        </is>
      </c>
      <c r="F68" s="5" t="inlineStr">
        <is>
          <t>DEPARTAMENTO DE SOLUCIONES FINANCIERAS</t>
        </is>
      </c>
      <c r="G68" s="5" t="inlineStr">
        <is>
          <t>Gerencia de Negocios</t>
        </is>
      </c>
    </row>
    <row r="69">
      <c r="A69" s="4" t="inlineStr">
        <is>
          <t>389</t>
        </is>
      </c>
      <c r="B69" s="5" t="inlineStr">
        <is>
          <t xml:space="preserve">CLAUDIA CAROLINA HERNANDEZ DE PAZ </t>
        </is>
      </c>
      <c r="C69" s="4" t="inlineStr">
        <is>
          <t>27/10/2006</t>
        </is>
      </c>
      <c r="D69" s="5" t="inlineStr">
        <is>
          <t>ASISTENTE TECNICO DE INTERCAMBIO DE TARJETAS</t>
        </is>
      </c>
      <c r="E69" s="5" t="inlineStr">
        <is>
          <t xml:space="preserve"> EMPLEADO</t>
        </is>
      </c>
      <c r="F69" s="5" t="inlineStr">
        <is>
          <t>DEPARTAMENTO DE TARJETA DE CREDITO Y DEBITO</t>
        </is>
      </c>
      <c r="G69" s="5" t="inlineStr">
        <is>
          <t>Gerencia de Operaciones</t>
        </is>
      </c>
    </row>
    <row r="70">
      <c r="A70" s="4" t="inlineStr">
        <is>
          <t>399</t>
        </is>
      </c>
      <c r="B70" s="5" t="inlineStr">
        <is>
          <t xml:space="preserve">GEOVANNI LIZAMA PORTILLO </t>
        </is>
      </c>
      <c r="C70" s="4" t="inlineStr">
        <is>
          <t>22/02/2007</t>
        </is>
      </c>
      <c r="D70" s="5" t="inlineStr">
        <is>
          <t>JEFE DE TARJETA  DE CREDITO Y DEBITO</t>
        </is>
      </c>
      <c r="E70" s="5" t="inlineStr">
        <is>
          <t xml:space="preserve"> EMPLEADO</t>
        </is>
      </c>
      <c r="F70" s="5" t="inlineStr">
        <is>
          <t>DEPARTAMENTO DE TARJETA DE CREDITO Y DEBITO</t>
        </is>
      </c>
      <c r="G70" s="5" t="inlineStr">
        <is>
          <t>Gerencia de Operaciones</t>
        </is>
      </c>
    </row>
    <row r="71">
      <c r="A71" s="4" t="inlineStr">
        <is>
          <t>459</t>
        </is>
      </c>
      <c r="B71" s="5" t="inlineStr">
        <is>
          <t xml:space="preserve">LUIS ALEXANDER RAMIREZ MONTALVO </t>
        </is>
      </c>
      <c r="C71" s="4" t="inlineStr">
        <is>
          <t>24/05/2010</t>
        </is>
      </c>
      <c r="D71" s="5" t="inlineStr">
        <is>
          <t>ASISTENTE TECNICO DE EMISION DE TARJETA</t>
        </is>
      </c>
      <c r="E71" s="5" t="inlineStr">
        <is>
          <t xml:space="preserve"> EMPLEADO</t>
        </is>
      </c>
      <c r="F71" s="5" t="inlineStr">
        <is>
          <t>DEPARTAMENTO DE TARJETA DE CREDITO Y DEBITO</t>
        </is>
      </c>
      <c r="G71" s="5" t="inlineStr">
        <is>
          <t>Gerencia de Operaciones</t>
        </is>
      </c>
    </row>
    <row r="72">
      <c r="A72" s="4" t="inlineStr">
        <is>
          <t>725</t>
        </is>
      </c>
      <c r="B72" s="5" t="inlineStr">
        <is>
          <t xml:space="preserve">ANA BEATRIZ QUINTEROS AVELAR </t>
        </is>
      </c>
      <c r="C72" s="4" t="inlineStr">
        <is>
          <t>09/08/2021</t>
        </is>
      </c>
      <c r="D72" s="5" t="inlineStr">
        <is>
          <t>ASISTENTE TECNICO DE OPERACIONES DE TARJETAS</t>
        </is>
      </c>
      <c r="E72" s="5" t="inlineStr">
        <is>
          <t xml:space="preserve"> EMPLEADO</t>
        </is>
      </c>
      <c r="F72" s="5" t="inlineStr">
        <is>
          <t>DEPARTAMENTO DE TARJETA DE CREDITO Y DEBITO</t>
        </is>
      </c>
      <c r="G72" s="5" t="inlineStr">
        <is>
          <t>Gerencia de Operaciones</t>
        </is>
      </c>
    </row>
    <row r="73">
      <c r="A73" s="4" t="inlineStr">
        <is>
          <t>952</t>
        </is>
      </c>
      <c r="B73" s="5" t="inlineStr">
        <is>
          <t xml:space="preserve">ANDREA CAROLINA RUMUALDO MARTINEZ </t>
        </is>
      </c>
      <c r="C73" s="4" t="inlineStr">
        <is>
          <t>16/12/2025</t>
        </is>
      </c>
      <c r="D73" s="5" t="inlineStr">
        <is>
          <t>AUXILIAR DE CONTROL DE CALIDAD</t>
        </is>
      </c>
      <c r="E73" s="5" t="inlineStr">
        <is>
          <t xml:space="preserve"> EMPLEADO</t>
        </is>
      </c>
      <c r="F73" s="5" t="inlineStr">
        <is>
          <t>DEPARTAMENTO DE TARJETA DE CREDITO Y DEBITO</t>
        </is>
      </c>
      <c r="G73" s="5" t="inlineStr">
        <is>
          <t>Gerencia de Operaciones</t>
        </is>
      </c>
    </row>
    <row r="74">
      <c r="A74" s="4" t="inlineStr">
        <is>
          <t>980</t>
        </is>
      </c>
      <c r="B74" s="5" t="inlineStr">
        <is>
          <t xml:space="preserve">FATIMA ELIZABETH LEMUS RODRIGUEZ </t>
        </is>
      </c>
      <c r="C74" s="4" t="inlineStr">
        <is>
          <t>26/08/2026</t>
        </is>
      </c>
      <c r="D74" s="5" t="inlineStr">
        <is>
          <t>AUXILIAR DE EMISION DE  TARJETA</t>
        </is>
      </c>
      <c r="E74" s="5" t="inlineStr">
        <is>
          <t xml:space="preserve"> EMPLEADO</t>
        </is>
      </c>
      <c r="F74" s="5" t="inlineStr">
        <is>
          <t>DEPARTAMENTO DE TARJETA DE CREDITO Y DEBITO</t>
        </is>
      </c>
      <c r="G74" s="5" t="inlineStr">
        <is>
          <t>Gerencia de Operaciones</t>
        </is>
      </c>
    </row>
    <row r="75">
      <c r="A75" s="4" t="inlineStr">
        <is>
          <t>284</t>
        </is>
      </c>
      <c r="B75" s="5" t="inlineStr">
        <is>
          <t xml:space="preserve">MARIO ANTONIO NAVARRO PINEDA </t>
        </is>
      </c>
      <c r="C75" s="4" t="inlineStr">
        <is>
          <t>05/05/2008</t>
        </is>
      </c>
      <c r="D75" s="5" t="inlineStr">
        <is>
          <t>JEFE DE DEPOSITOS</t>
        </is>
      </c>
      <c r="E75" s="5" t="inlineStr">
        <is>
          <t xml:space="preserve"> EMPLEADO</t>
        </is>
      </c>
      <c r="F75" s="5" t="inlineStr">
        <is>
          <t>DEPARTAMENTO DE DEPOSITOS</t>
        </is>
      </c>
      <c r="G75" s="5" t="inlineStr">
        <is>
          <t>Gerencia de Operaciones</t>
        </is>
      </c>
    </row>
    <row r="76">
      <c r="A76" s="4" t="inlineStr">
        <is>
          <t>632</t>
        </is>
      </c>
      <c r="B76" s="5" t="inlineStr">
        <is>
          <t>LUCILA MARGARITA CORCIO QUINTANILLA</t>
        </is>
      </c>
      <c r="C76" s="4" t="inlineStr">
        <is>
          <t>19/11/2018</t>
        </is>
      </c>
      <c r="D76" s="5" t="inlineStr">
        <is>
          <t>ASISTENTE COMPENSADOR DE CHEQUES</t>
        </is>
      </c>
      <c r="E76" s="5" t="inlineStr">
        <is>
          <t xml:space="preserve"> EMPLEADO</t>
        </is>
      </c>
      <c r="F76" s="5" t="inlineStr">
        <is>
          <t>DEPARTAMENTO DE DEPOSITOS</t>
        </is>
      </c>
      <c r="G76" s="5" t="inlineStr">
        <is>
          <t>Gerencia de Operaciones</t>
        </is>
      </c>
    </row>
    <row r="77">
      <c r="A77" s="4" t="inlineStr">
        <is>
          <t>773</t>
        </is>
      </c>
      <c r="B77" s="5" t="inlineStr">
        <is>
          <t xml:space="preserve">HELLEN ESTEFANI RODRIGUEZ GARCIA </t>
        </is>
      </c>
      <c r="C77" s="4" t="inlineStr">
        <is>
          <t>19/09/2022</t>
        </is>
      </c>
      <c r="D77" s="5" t="inlineStr">
        <is>
          <t>ASISTENTE COMPENSADOR DE CHEQUES</t>
        </is>
      </c>
      <c r="E77" s="5" t="inlineStr">
        <is>
          <t xml:space="preserve"> EMPLEADO</t>
        </is>
      </c>
      <c r="F77" s="5" t="inlineStr">
        <is>
          <t>DEPARTAMENTO DE DEPOSITOS</t>
        </is>
      </c>
      <c r="G77" s="5" t="inlineStr">
        <is>
          <t>Gerencia de Operaciones</t>
        </is>
      </c>
    </row>
    <row r="78">
      <c r="A78" s="4" t="inlineStr">
        <is>
          <t>787</t>
        </is>
      </c>
      <c r="B78" s="5" t="inlineStr">
        <is>
          <t xml:space="preserve">WALTER OSWALDO SANCHEZ RIVAS </t>
        </is>
      </c>
      <c r="C78" s="4" t="inlineStr">
        <is>
          <t>16/11/2022</t>
        </is>
      </c>
      <c r="D78" s="5" t="inlineStr">
        <is>
          <t>ASISTENTE COMPENSADOR DE CHEQUES</t>
        </is>
      </c>
      <c r="E78" s="5" t="inlineStr">
        <is>
          <t xml:space="preserve"> EMPLEADO</t>
        </is>
      </c>
      <c r="F78" s="5" t="inlineStr">
        <is>
          <t>DEPARTAMENTO DE DEPOSITOS</t>
        </is>
      </c>
      <c r="G78" s="5" t="inlineStr">
        <is>
          <t>Gerencia de Operaciones</t>
        </is>
      </c>
    </row>
    <row r="79">
      <c r="A79" s="4" t="inlineStr">
        <is>
          <t>16</t>
        </is>
      </c>
      <c r="B79" s="5" t="inlineStr">
        <is>
          <t>YANETH MARLENY LANDAVERDE MORALES</t>
        </is>
      </c>
      <c r="C79" s="4" t="inlineStr">
        <is>
          <t>16/09/1992</t>
        </is>
      </c>
      <c r="D79" s="5" t="inlineStr">
        <is>
          <t>JEFE DE ADMINISTRACION DE CARTERA</t>
        </is>
      </c>
      <c r="E79" s="5" t="inlineStr">
        <is>
          <t xml:space="preserve"> EMPLEADO</t>
        </is>
      </c>
      <c r="F79" s="5" t="inlineStr">
        <is>
          <t>ADMINISTRACIÓN DE CARTERAS</t>
        </is>
      </c>
      <c r="G79" s="5" t="inlineStr">
        <is>
          <t>Gerencia de Operaciones</t>
        </is>
      </c>
    </row>
    <row r="80">
      <c r="A80" s="4" t="inlineStr">
        <is>
          <t>477</t>
        </is>
      </c>
      <c r="B80" s="5" t="inlineStr">
        <is>
          <t xml:space="preserve">GEMA YESENIA VILLALOBOS HERNANDEZ </t>
        </is>
      </c>
      <c r="C80" s="4" t="inlineStr">
        <is>
          <t>05/09/2011</t>
        </is>
      </c>
      <c r="D80" s="5" t="inlineStr">
        <is>
          <t>ANALISTA DE CARTERAS</t>
        </is>
      </c>
      <c r="E80" s="5" t="inlineStr">
        <is>
          <t xml:space="preserve"> EMPLEADO</t>
        </is>
      </c>
      <c r="F80" s="5" t="inlineStr">
        <is>
          <t>ADMINISTRACIÓN DE CARTERAS</t>
        </is>
      </c>
      <c r="G80" s="5" t="inlineStr">
        <is>
          <t>Gerencia de Operaciones</t>
        </is>
      </c>
    </row>
    <row r="81">
      <c r="A81" s="4" t="inlineStr">
        <is>
          <t>572</t>
        </is>
      </c>
      <c r="B81" s="5" t="inlineStr">
        <is>
          <t xml:space="preserve">PAMELA GIOVANNA AGUILAR SERBELLON </t>
        </is>
      </c>
      <c r="C81" s="4" t="inlineStr">
        <is>
          <t>01/09/2016</t>
        </is>
      </c>
      <c r="D81" s="5" t="inlineStr">
        <is>
          <t>GESTOR DE COBROS Y PAGOS DE SEGUROS</t>
        </is>
      </c>
      <c r="E81" s="5" t="inlineStr">
        <is>
          <t xml:space="preserve"> EMPLEADO</t>
        </is>
      </c>
      <c r="F81" s="5" t="inlineStr">
        <is>
          <t>ADMINISTRACIÓN DE CARTERAS</t>
        </is>
      </c>
      <c r="G81" s="5" t="inlineStr">
        <is>
          <t>Gerencia de Operaciones</t>
        </is>
      </c>
    </row>
    <row r="82">
      <c r="A82" s="4" t="inlineStr">
        <is>
          <t>732</t>
        </is>
      </c>
      <c r="B82" s="5" t="inlineStr">
        <is>
          <t xml:space="preserve">RICARDO JOSUE CACAO ROVELO </t>
        </is>
      </c>
      <c r="C82" s="4" t="inlineStr">
        <is>
          <t>03/11/2021</t>
        </is>
      </c>
      <c r="D82" s="5" t="inlineStr">
        <is>
          <t>ANALISTA DE CARTERAS</t>
        </is>
      </c>
      <c r="E82" s="5" t="inlineStr">
        <is>
          <t xml:space="preserve"> EMPLEADO</t>
        </is>
      </c>
      <c r="F82" s="5" t="inlineStr">
        <is>
          <t>ADMINISTRACIÓN DE CARTERAS</t>
        </is>
      </c>
      <c r="G82" s="5" t="inlineStr">
        <is>
          <t>Gerencia de Operaciones</t>
        </is>
      </c>
    </row>
    <row r="83">
      <c r="A83" s="4" t="inlineStr">
        <is>
          <t>931</t>
        </is>
      </c>
      <c r="B83" s="5" t="inlineStr">
        <is>
          <t xml:space="preserve">LOYDA ARACELY RAMOS CAÑENGUEZ </t>
        </is>
      </c>
      <c r="C83" s="4" t="inlineStr">
        <is>
          <t>01/01/2026</t>
        </is>
      </c>
      <c r="D83" s="5" t="inlineStr">
        <is>
          <t>ANALISTA DE PRESTAMOS</t>
        </is>
      </c>
      <c r="E83" s="5" t="inlineStr">
        <is>
          <t xml:space="preserve"> EMPLEADO</t>
        </is>
      </c>
      <c r="F83" s="5" t="inlineStr">
        <is>
          <t>ADMINISTRACIÓN DE CARTERAS</t>
        </is>
      </c>
      <c r="G83" s="5" t="inlineStr">
        <is>
          <t>Gerencia de Operaciones</t>
        </is>
      </c>
    </row>
    <row r="84">
      <c r="A84" s="4" t="inlineStr">
        <is>
          <t>942</t>
        </is>
      </c>
      <c r="B84" s="5" t="inlineStr">
        <is>
          <t xml:space="preserve">PAULA MARIA CALDERON PEREZ </t>
        </is>
      </c>
      <c r="C84" s="4" t="inlineStr">
        <is>
          <t>17/10/2025</t>
        </is>
      </c>
      <c r="D84" s="5" t="inlineStr">
        <is>
          <t>ASISTENTE DE GERENCIA DE FINANZAS</t>
        </is>
      </c>
      <c r="E84" s="5" t="inlineStr">
        <is>
          <t xml:space="preserve"> EMPLEADO</t>
        </is>
      </c>
      <c r="F84" s="5" t="inlineStr">
        <is>
          <t>GERENCIA DE FINANZAS Y PLANIFICACIÓN</t>
        </is>
      </c>
      <c r="G84" s="5" t="inlineStr">
        <is>
          <t>Gerencia de Finanzas y Planificación</t>
        </is>
      </c>
    </row>
    <row r="85">
      <c r="A85" s="4" t="inlineStr">
        <is>
          <t>70</t>
        </is>
      </c>
      <c r="B85" s="5" t="inlineStr">
        <is>
          <t xml:space="preserve">RUBIA ESTELA LEIVA SIBRIAN </t>
        </is>
      </c>
      <c r="C85" s="4" t="inlineStr">
        <is>
          <t>01/08/2000</t>
        </is>
      </c>
      <c r="D85" s="5" t="inlineStr">
        <is>
          <t>ASISTENTE TECNICO DE PAGOS</t>
        </is>
      </c>
      <c r="E85" s="5" t="inlineStr">
        <is>
          <t xml:space="preserve"> EMPLEADO</t>
        </is>
      </c>
      <c r="F85" s="5" t="inlineStr">
        <is>
          <t>DEPARTAMENTO DE CONTABILIDAD</t>
        </is>
      </c>
      <c r="G85" s="5" t="inlineStr">
        <is>
          <t>Gerencia de Finanzas y Planificación</t>
        </is>
      </c>
    </row>
    <row r="86">
      <c r="A86" s="4" t="inlineStr">
        <is>
          <t>235</t>
        </is>
      </c>
      <c r="B86" s="5" t="inlineStr">
        <is>
          <t xml:space="preserve">CLAUDIA MARLENE CABRERA SANCHEZ </t>
        </is>
      </c>
      <c r="C86" s="4" t="inlineStr">
        <is>
          <t>08/06/2001</t>
        </is>
      </c>
      <c r="D86" s="5" t="inlineStr">
        <is>
          <t>SUPERVISOR DE CONTABILIDAD</t>
        </is>
      </c>
      <c r="E86" s="5" t="inlineStr">
        <is>
          <t xml:space="preserve"> EMPLEADO</t>
        </is>
      </c>
      <c r="F86" s="5" t="inlineStr">
        <is>
          <t>DEPARTAMENTO DE CONTABILIDAD</t>
        </is>
      </c>
      <c r="G86" s="5" t="inlineStr">
        <is>
          <t>Gerencia de Finanzas y Planificación</t>
        </is>
      </c>
    </row>
    <row r="87">
      <c r="A87" s="4" t="inlineStr">
        <is>
          <t>373</t>
        </is>
      </c>
      <c r="B87" s="5" t="inlineStr">
        <is>
          <t>MARTA ELIZABETH RODRIGUEZ INESTROZA</t>
        </is>
      </c>
      <c r="C87" s="4" t="inlineStr">
        <is>
          <t>16/05/2006</t>
        </is>
      </c>
      <c r="D87" s="5" t="inlineStr">
        <is>
          <t>CONTADOR GENERAL</t>
        </is>
      </c>
      <c r="E87" s="5" t="inlineStr">
        <is>
          <t xml:space="preserve"> EMPLEADO</t>
        </is>
      </c>
      <c r="F87" s="5" t="inlineStr">
        <is>
          <t>DEPARTAMENTO DE CONTABILIDAD</t>
        </is>
      </c>
      <c r="G87" s="5" t="inlineStr">
        <is>
          <t>Gerencia de Finanzas y Planificación</t>
        </is>
      </c>
    </row>
    <row r="88">
      <c r="A88" s="4" t="inlineStr">
        <is>
          <t>374</t>
        </is>
      </c>
      <c r="B88" s="5" t="inlineStr">
        <is>
          <t xml:space="preserve">THELMA JUDITH QUINTANILLA VALLE </t>
        </is>
      </c>
      <c r="C88" s="4" t="inlineStr">
        <is>
          <t>29/05/2006</t>
        </is>
      </c>
      <c r="D88" s="5" t="inlineStr">
        <is>
          <t>AUXILIAR CONTABLE DE DIGITALIZACION</t>
        </is>
      </c>
      <c r="E88" s="5" t="inlineStr">
        <is>
          <t xml:space="preserve"> EMPLEADO</t>
        </is>
      </c>
      <c r="F88" s="5" t="inlineStr">
        <is>
          <t>DEPARTAMENTO DE CONTABILIDAD</t>
        </is>
      </c>
      <c r="G88" s="5" t="inlineStr">
        <is>
          <t>Gerencia de Finanzas y Planificación</t>
        </is>
      </c>
    </row>
    <row r="89">
      <c r="A89" s="4" t="inlineStr">
        <is>
          <t>571</t>
        </is>
      </c>
      <c r="B89" s="5" t="inlineStr">
        <is>
          <t xml:space="preserve">MILAGRO TRINIDAD ROMERO MONTERROSA </t>
        </is>
      </c>
      <c r="C89" s="4" t="inlineStr">
        <is>
          <t>15/08/2016</t>
        </is>
      </c>
      <c r="D89" s="5" t="inlineStr">
        <is>
          <t>ASISTENTE TECNICO DE IMPUESTOS</t>
        </is>
      </c>
      <c r="E89" s="5" t="inlineStr">
        <is>
          <t xml:space="preserve"> EMPLEADO</t>
        </is>
      </c>
      <c r="F89" s="5" t="inlineStr">
        <is>
          <t>DEPARTAMENTO DE CONTABILIDAD</t>
        </is>
      </c>
      <c r="G89" s="5" t="inlineStr">
        <is>
          <t>Gerencia de Finanzas y Planificación</t>
        </is>
      </c>
    </row>
    <row r="90">
      <c r="A90" s="4" t="inlineStr">
        <is>
          <t>676</t>
        </is>
      </c>
      <c r="B90" s="5" t="inlineStr">
        <is>
          <t xml:space="preserve">DANIEL ENRIQUE FLORES RAMIREZ </t>
        </is>
      </c>
      <c r="C90" s="4" t="inlineStr">
        <is>
          <t>03/02/2020</t>
        </is>
      </c>
      <c r="D90" s="5" t="inlineStr">
        <is>
          <t>ASISTENTE TECNICO DE TARJETA DE CREDITO Y DEBITO</t>
        </is>
      </c>
      <c r="E90" s="5" t="inlineStr">
        <is>
          <t xml:space="preserve"> EMPLEADO</t>
        </is>
      </c>
      <c r="F90" s="5" t="inlineStr">
        <is>
          <t>DEPARTAMENTO DE CONTABILIDAD</t>
        </is>
      </c>
      <c r="G90" s="5" t="inlineStr">
        <is>
          <t>Gerencia de Finanzas y Planificación</t>
        </is>
      </c>
    </row>
    <row r="91">
      <c r="A91" s="4" t="inlineStr">
        <is>
          <t>733</t>
        </is>
      </c>
      <c r="B91" s="5" t="inlineStr">
        <is>
          <t xml:space="preserve">ROSSEMARY YAMILETH LOBATO MARTINEZ </t>
        </is>
      </c>
      <c r="C91" s="4" t="inlineStr">
        <is>
          <t>03/02/2025</t>
        </is>
      </c>
      <c r="D91" s="5" t="inlineStr">
        <is>
          <t>ASISTENTE TECNICO DE PAGOS</t>
        </is>
      </c>
      <c r="E91" s="5" t="inlineStr">
        <is>
          <t xml:space="preserve"> EMPLEADO</t>
        </is>
      </c>
      <c r="F91" s="5" t="inlineStr">
        <is>
          <t>DEPARTAMENTO DE CONTABILIDAD</t>
        </is>
      </c>
      <c r="G91" s="5" t="inlineStr">
        <is>
          <t>Gerencia de Finanzas y Planificación</t>
        </is>
      </c>
    </row>
    <row r="92">
      <c r="A92" s="4" t="inlineStr">
        <is>
          <t>749</t>
        </is>
      </c>
      <c r="B92" s="5" t="inlineStr">
        <is>
          <t>JENNIFER MARCELA MORALES  TORRES</t>
        </is>
      </c>
      <c r="C92" s="4" t="inlineStr">
        <is>
          <t>16/05/2022</t>
        </is>
      </c>
      <c r="D92" s="5" t="inlineStr">
        <is>
          <t>CONTADOR BANCARIO</t>
        </is>
      </c>
      <c r="E92" s="5" t="inlineStr">
        <is>
          <t xml:space="preserve"> EMPLEADO</t>
        </is>
      </c>
      <c r="F92" s="5" t="inlineStr">
        <is>
          <t>DEPARTAMENTO DE CONTABILIDAD</t>
        </is>
      </c>
      <c r="G92" s="5" t="inlineStr">
        <is>
          <t>Gerencia de Finanzas y Planificación</t>
        </is>
      </c>
    </row>
    <row r="93">
      <c r="A93" s="4" t="inlineStr">
        <is>
          <t>778</t>
        </is>
      </c>
      <c r="B93" s="5" t="inlineStr">
        <is>
          <t xml:space="preserve">ERICK RODRIGO ORTIZ TURCIOS </t>
        </is>
      </c>
      <c r="C93" s="4" t="inlineStr">
        <is>
          <t>06/10/2022</t>
        </is>
      </c>
      <c r="D93" s="5" t="inlineStr">
        <is>
          <t>ASISTENTE TECNICO DE AGENCIA CENTRAL</t>
        </is>
      </c>
      <c r="E93" s="5" t="inlineStr">
        <is>
          <t xml:space="preserve"> EMPLEADO</t>
        </is>
      </c>
      <c r="F93" s="5" t="inlineStr">
        <is>
          <t>DEPARTAMENTO DE CONTABILIDAD</t>
        </is>
      </c>
      <c r="G93" s="5" t="inlineStr">
        <is>
          <t>Gerencia de Finanzas y Planificación</t>
        </is>
      </c>
    </row>
    <row r="94">
      <c r="A94" s="4" t="inlineStr">
        <is>
          <t>784</t>
        </is>
      </c>
      <c r="B94" s="5" t="inlineStr">
        <is>
          <t xml:space="preserve">BRIAN ADONAY BARRERA ALVARADO </t>
        </is>
      </c>
      <c r="C94" s="4" t="inlineStr">
        <is>
          <t>03/11/2022</t>
        </is>
      </c>
      <c r="D94" s="5" t="inlineStr">
        <is>
          <t>CONTADOR DE AGENCIAS</t>
        </is>
      </c>
      <c r="E94" s="5" t="inlineStr">
        <is>
          <t xml:space="preserve"> EMPLEADO</t>
        </is>
      </c>
      <c r="F94" s="5" t="inlineStr">
        <is>
          <t>DEPARTAMENTO DE CONTABILIDAD</t>
        </is>
      </c>
      <c r="G94" s="5" t="inlineStr">
        <is>
          <t>Gerencia de Finanzas y Planificación</t>
        </is>
      </c>
    </row>
    <row r="95">
      <c r="A95" s="4" t="inlineStr">
        <is>
          <t>850</t>
        </is>
      </c>
      <c r="B95" s="5" t="inlineStr">
        <is>
          <t xml:space="preserve">ALMA BEATRIZ  RAMIREZ SANDOVAL  </t>
        </is>
      </c>
      <c r="C95" s="4" t="inlineStr">
        <is>
          <t>19/01/2024</t>
        </is>
      </c>
      <c r="D95" s="5" t="inlineStr">
        <is>
          <t>CONTADOR DE AGENCIA NO MONETARIA</t>
        </is>
      </c>
      <c r="E95" s="5" t="inlineStr">
        <is>
          <t xml:space="preserve"> EMPLEADO</t>
        </is>
      </c>
      <c r="F95" s="5" t="inlineStr">
        <is>
          <t>DEPARTAMENTO DE CONTABILIDAD</t>
        </is>
      </c>
      <c r="G95" s="5" t="inlineStr">
        <is>
          <t>Gerencia de Finanzas y Planificación</t>
        </is>
      </c>
    </row>
    <row r="96">
      <c r="A96" s="4" t="inlineStr">
        <is>
          <t>872</t>
        </is>
      </c>
      <c r="B96" s="5" t="inlineStr">
        <is>
          <t xml:space="preserve">JOSUE ELIAZAR MARTINEZ RECINOS </t>
        </is>
      </c>
      <c r="C96" s="4" t="inlineStr">
        <is>
          <t>22/04/2024</t>
        </is>
      </c>
      <c r="D96" s="5" t="inlineStr">
        <is>
          <t>CONTADOR DE AGENCIAS</t>
        </is>
      </c>
      <c r="E96" s="5" t="inlineStr">
        <is>
          <t xml:space="preserve"> EMPLEADO</t>
        </is>
      </c>
      <c r="F96" s="5" t="inlineStr">
        <is>
          <t>DEPARTAMENTO DE CONTABILIDAD</t>
        </is>
      </c>
      <c r="G96" s="5" t="inlineStr">
        <is>
          <t>Gerencia de Finanzas y Planificación</t>
        </is>
      </c>
    </row>
    <row r="97">
      <c r="A97" s="4" t="inlineStr">
        <is>
          <t>916</t>
        </is>
      </c>
      <c r="B97" s="5" t="inlineStr">
        <is>
          <t xml:space="preserve">JORDAN ALEXANDER FLORES HERRERA </t>
        </is>
      </c>
      <c r="C97" s="4" t="inlineStr">
        <is>
          <t>10/03/2025</t>
        </is>
      </c>
      <c r="D97" s="5" t="inlineStr">
        <is>
          <t>AUXILIAR CONTABLE DE DIGITALIZACION</t>
        </is>
      </c>
      <c r="E97" s="5" t="inlineStr">
        <is>
          <t xml:space="preserve"> EMPLEADO</t>
        </is>
      </c>
      <c r="F97" s="5" t="inlineStr">
        <is>
          <t>DEPARTAMENTO DE CONTABILIDAD</t>
        </is>
      </c>
      <c r="G97" s="5" t="inlineStr">
        <is>
          <t>Gerencia de Finanzas y Planificación</t>
        </is>
      </c>
    </row>
    <row r="98">
      <c r="A98" s="4" t="inlineStr">
        <is>
          <t>191</t>
        </is>
      </c>
      <c r="B98" s="5" t="inlineStr">
        <is>
          <t xml:space="preserve">ESTER ALEYDA GODOY CAMPOS </t>
        </is>
      </c>
      <c r="C98" s="4" t="inlineStr">
        <is>
          <t>14/10/1999</t>
        </is>
      </c>
      <c r="D98" s="5" t="inlineStr">
        <is>
          <t>ASISTENTE TECNICO DE PLANIFICACION</t>
        </is>
      </c>
      <c r="E98" s="5" t="inlineStr">
        <is>
          <t xml:space="preserve"> EMPLEADO</t>
        </is>
      </c>
      <c r="F98" s="5" t="inlineStr">
        <is>
          <t>DEPARTAMENTO DE PLANIFICACIÓN Y ANALISIS</t>
        </is>
      </c>
      <c r="G98" s="5" t="inlineStr">
        <is>
          <t>Gerencia de Finanzas y Planificación</t>
        </is>
      </c>
    </row>
    <row r="99">
      <c r="A99" s="4" t="inlineStr">
        <is>
          <t>839</t>
        </is>
      </c>
      <c r="B99" s="5" t="inlineStr">
        <is>
          <t xml:space="preserve">RAFAEL ANDRES MARAVILLA GUERRA </t>
        </is>
      </c>
      <c r="C99" s="4" t="inlineStr">
        <is>
          <t>17/11/2023</t>
        </is>
      </c>
      <c r="D99" s="5" t="inlineStr">
        <is>
          <t>ASISTENTE DE ANALISIS Y NORMATIVAS</t>
        </is>
      </c>
      <c r="E99" s="5" t="inlineStr">
        <is>
          <t xml:space="preserve"> EMPLEADO</t>
        </is>
      </c>
      <c r="F99" s="5" t="inlineStr">
        <is>
          <t>DEPARTAMENTO DE PLANIFICACIÓN Y ANALISIS</t>
        </is>
      </c>
      <c r="G99" s="5" t="inlineStr">
        <is>
          <t>Gerencia de Finanzas y Planificación</t>
        </is>
      </c>
    </row>
    <row r="100">
      <c r="A100" s="4" t="inlineStr">
        <is>
          <t>946</t>
        </is>
      </c>
      <c r="B100" s="5" t="inlineStr">
        <is>
          <t xml:space="preserve">EFRAIN ANTONIO  AYALA LOPEZ  </t>
        </is>
      </c>
      <c r="C100" s="4" t="inlineStr">
        <is>
          <t>20/10/2025</t>
        </is>
      </c>
      <c r="D100" s="5" t="inlineStr">
        <is>
          <t>JEFE DE PLANIFICACION Y ANALISIS</t>
        </is>
      </c>
      <c r="E100" s="5" t="inlineStr">
        <is>
          <t xml:space="preserve"> EMPLEADO</t>
        </is>
      </c>
      <c r="F100" s="5" t="inlineStr">
        <is>
          <t>DEPARTAMENTO DE PLANIFICACIÓN Y ANALISIS</t>
        </is>
      </c>
      <c r="G100" s="5" t="inlineStr">
        <is>
          <t>Gerencia de Finanzas y Planificación</t>
        </is>
      </c>
    </row>
    <row r="101">
      <c r="A101" s="4" t="inlineStr">
        <is>
          <t>393</t>
        </is>
      </c>
      <c r="B101" s="5" t="inlineStr">
        <is>
          <t xml:space="preserve">FLOR MARISELA TORRES VELASQUEZ </t>
        </is>
      </c>
      <c r="C101" s="4" t="inlineStr">
        <is>
          <t>11/12/2006</t>
        </is>
      </c>
      <c r="D101" s="5" t="inlineStr">
        <is>
          <t>LIDER DE PROYECTOS TECNOLOGICOS</t>
        </is>
      </c>
      <c r="E101" s="5" t="inlineStr">
        <is>
          <t xml:space="preserve"> EMPLEADO</t>
        </is>
      </c>
      <c r="F101" s="5" t="inlineStr">
        <is>
          <t>GERENCIA DE SISTEMAS</t>
        </is>
      </c>
      <c r="G101" s="5" t="inlineStr">
        <is>
          <t>Gerencia de Sistemas</t>
        </is>
      </c>
    </row>
    <row r="102">
      <c r="A102" s="4" t="inlineStr">
        <is>
          <t>804</t>
        </is>
      </c>
      <c r="B102" s="5" t="inlineStr">
        <is>
          <t xml:space="preserve">FERMIN ABIEL VIERA LINARES </t>
        </is>
      </c>
      <c r="C102" s="4" t="inlineStr">
        <is>
          <t>17/04/2023</t>
        </is>
      </c>
      <c r="D102" s="5" t="inlineStr">
        <is>
          <t>ANALISTA DE CAMBIOS Y SEGURIDAD</t>
        </is>
      </c>
      <c r="E102" s="5" t="inlineStr">
        <is>
          <t xml:space="preserve"> EMPLEADO</t>
        </is>
      </c>
      <c r="F102" s="5" t="inlineStr">
        <is>
          <t>GERENCIA DE SISTEMAS</t>
        </is>
      </c>
      <c r="G102" s="5" t="inlineStr">
        <is>
          <t>Gerencia de Sistemas</t>
        </is>
      </c>
    </row>
    <row r="103">
      <c r="A103" s="4" t="inlineStr">
        <is>
          <t>883</t>
        </is>
      </c>
      <c r="B103" s="5" t="inlineStr">
        <is>
          <t xml:space="preserve">ISMAEL HUMBERTO  GUERRERO FLORES </t>
        </is>
      </c>
      <c r="C103" s="4" t="inlineStr">
        <is>
          <t>15/07/2024</t>
        </is>
      </c>
      <c r="D103" s="5" t="inlineStr">
        <is>
          <t>ADMINISTRADOR DE SEGURIDAD INFORMATICA</t>
        </is>
      </c>
      <c r="E103" s="5" t="inlineStr">
        <is>
          <t xml:space="preserve"> EMPLEADO</t>
        </is>
      </c>
      <c r="F103" s="5" t="inlineStr">
        <is>
          <t>GERENCIA DE SISTEMAS</t>
        </is>
      </c>
      <c r="G103" s="5" t="inlineStr">
        <is>
          <t>Gerencia de Sistemas</t>
        </is>
      </c>
    </row>
    <row r="104">
      <c r="A104" s="4" t="inlineStr">
        <is>
          <t>90</t>
        </is>
      </c>
      <c r="B104" s="5" t="inlineStr">
        <is>
          <t xml:space="preserve">HUGO MARVIN SERRANO SARAVIA </t>
        </is>
      </c>
      <c r="C104" s="4" t="inlineStr">
        <is>
          <t>22/04/1996</t>
        </is>
      </c>
      <c r="D104" s="5" t="inlineStr">
        <is>
          <t>OPERADOR DE SISTEMAS</t>
        </is>
      </c>
      <c r="E104" s="5" t="inlineStr">
        <is>
          <t xml:space="preserve"> EMPLEADO</t>
        </is>
      </c>
      <c r="F104" s="5" t="inlineStr">
        <is>
          <t>DEPARTAMENTO DE OPERACIONES Y SOPORTE TECNICO</t>
        </is>
      </c>
      <c r="G104" s="5" t="inlineStr">
        <is>
          <t>Gerencia de Sistemas</t>
        </is>
      </c>
    </row>
    <row r="105">
      <c r="A105" s="4" t="inlineStr">
        <is>
          <t>119</t>
        </is>
      </c>
      <c r="B105" s="5" t="inlineStr">
        <is>
          <t xml:space="preserve">JUAN JOSE LOPEZ ALFARO </t>
        </is>
      </c>
      <c r="C105" s="4" t="inlineStr">
        <is>
          <t>06/03/1997</t>
        </is>
      </c>
      <c r="D105" s="5" t="inlineStr">
        <is>
          <t>OPERADOR DE SISTEMAS</t>
        </is>
      </c>
      <c r="E105" s="5" t="inlineStr">
        <is>
          <t xml:space="preserve"> EMPLEADO</t>
        </is>
      </c>
      <c r="F105" s="5" t="inlineStr">
        <is>
          <t>DEPARTAMENTO DE OPERACIONES Y SOPORTE TECNICO</t>
        </is>
      </c>
      <c r="G105" s="5" t="inlineStr">
        <is>
          <t>Gerencia de Sistemas</t>
        </is>
      </c>
    </row>
    <row r="106">
      <c r="A106" s="4" t="inlineStr">
        <is>
          <t>221</t>
        </is>
      </c>
      <c r="B106" s="5" t="inlineStr">
        <is>
          <t xml:space="preserve">CARLOS ORLANDO GARCIA VELASQUEZ </t>
        </is>
      </c>
      <c r="C106" s="4" t="inlineStr">
        <is>
          <t>02/10/2000</t>
        </is>
      </c>
      <c r="D106" s="5" t="inlineStr">
        <is>
          <t>TECNICO EN SOPORTE</t>
        </is>
      </c>
      <c r="E106" s="5" t="inlineStr">
        <is>
          <t xml:space="preserve"> EMPLEADO</t>
        </is>
      </c>
      <c r="F106" s="5" t="inlineStr">
        <is>
          <t>DEPARTAMENTO DE OPERACIONES Y SOPORTE TECNICO</t>
        </is>
      </c>
      <c r="G106" s="5" t="inlineStr">
        <is>
          <t>Gerencia de Sistemas</t>
        </is>
      </c>
    </row>
    <row r="107">
      <c r="A107" s="4" t="inlineStr">
        <is>
          <t>259</t>
        </is>
      </c>
      <c r="B107" s="5" t="inlineStr">
        <is>
          <t xml:space="preserve">EDGAR MARGARITO POZO SHUPAN </t>
        </is>
      </c>
      <c r="C107" s="4" t="inlineStr">
        <is>
          <t>17/08/2001</t>
        </is>
      </c>
      <c r="D107" s="5" t="inlineStr">
        <is>
          <t>TECNICO EN SOPORTE</t>
        </is>
      </c>
      <c r="E107" s="5" t="inlineStr">
        <is>
          <t xml:space="preserve"> EMPLEADO</t>
        </is>
      </c>
      <c r="F107" s="5" t="inlineStr">
        <is>
          <t>DEPARTAMENTO DE OPERACIONES Y SOPORTE TECNICO</t>
        </is>
      </c>
      <c r="G107" s="5" t="inlineStr">
        <is>
          <t>Gerencia de Sistemas</t>
        </is>
      </c>
    </row>
    <row r="108">
      <c r="A108" s="4" t="inlineStr">
        <is>
          <t>281</t>
        </is>
      </c>
      <c r="B108" s="5" t="inlineStr">
        <is>
          <t xml:space="preserve">CARLOS ALFONSO MOLINA CARDONA </t>
        </is>
      </c>
      <c r="C108" s="4" t="inlineStr">
        <is>
          <t>05/03/2002</t>
        </is>
      </c>
      <c r="D108" s="5" t="inlineStr">
        <is>
          <t>OPERADOR DE SISTEMAS</t>
        </is>
      </c>
      <c r="E108" s="5" t="inlineStr">
        <is>
          <t xml:space="preserve"> EMPLEADO</t>
        </is>
      </c>
      <c r="F108" s="5" t="inlineStr">
        <is>
          <t>DEPARTAMENTO DE OPERACIONES Y SOPORTE TECNICO</t>
        </is>
      </c>
      <c r="G108" s="5" t="inlineStr">
        <is>
          <t>Gerencia de Sistemas</t>
        </is>
      </c>
    </row>
    <row r="109">
      <c r="A109" s="4" t="inlineStr">
        <is>
          <t>490</t>
        </is>
      </c>
      <c r="B109" s="5" t="inlineStr">
        <is>
          <t xml:space="preserve">JULIO ADOLFO MOLINA ARRIOLA </t>
        </is>
      </c>
      <c r="C109" s="4" t="inlineStr">
        <is>
          <t>04/07/2012</t>
        </is>
      </c>
      <c r="D109" s="5" t="inlineStr">
        <is>
          <t>OPERADOR DE SISTEMAS</t>
        </is>
      </c>
      <c r="E109" s="5" t="inlineStr">
        <is>
          <t xml:space="preserve"> EMPLEADO</t>
        </is>
      </c>
      <c r="F109" s="5" t="inlineStr">
        <is>
          <t>DEPARTAMENTO DE OPERACIONES Y SOPORTE TECNICO</t>
        </is>
      </c>
      <c r="G109" s="5" t="inlineStr">
        <is>
          <t>Gerencia de Sistemas</t>
        </is>
      </c>
    </row>
    <row r="110">
      <c r="A110" s="4" t="inlineStr">
        <is>
          <t>880</t>
        </is>
      </c>
      <c r="B110" s="5" t="inlineStr">
        <is>
          <t xml:space="preserve">JORGE ALBERTO BARRERA </t>
        </is>
      </c>
      <c r="C110" s="4" t="inlineStr">
        <is>
          <t>01/07/2024</t>
        </is>
      </c>
      <c r="D110" s="5" t="inlineStr">
        <is>
          <t>JEFE DE OPERACIONES Y SOPORTE TECNICO</t>
        </is>
      </c>
      <c r="E110" s="5" t="inlineStr">
        <is>
          <t xml:space="preserve"> EMPLEADO</t>
        </is>
      </c>
      <c r="F110" s="5" t="inlineStr">
        <is>
          <t>DEPARTAMENTO DE OPERACIONES Y SOPORTE TECNICO</t>
        </is>
      </c>
      <c r="G110" s="5" t="inlineStr">
        <is>
          <t>Gerencia de Sistemas</t>
        </is>
      </c>
    </row>
    <row r="111">
      <c r="A111" s="4" t="inlineStr">
        <is>
          <t>239</t>
        </is>
      </c>
      <c r="B111" s="5" t="inlineStr">
        <is>
          <t>CELINA MARGARITA GUTIERREZ  RODRIGUEZ</t>
        </is>
      </c>
      <c r="C111" s="4" t="inlineStr">
        <is>
          <t>13/08/2018</t>
        </is>
      </c>
      <c r="D111" s="5" t="inlineStr">
        <is>
          <t>ANALISTA PROGRAMADOR SENIOR</t>
        </is>
      </c>
      <c r="E111" s="5" t="inlineStr">
        <is>
          <t xml:space="preserve"> EMPLEADO</t>
        </is>
      </c>
      <c r="F111" s="5" t="inlineStr">
        <is>
          <t>DEPARTAMENTO DE ANALISIS Y PROGRAMACIÓN</t>
        </is>
      </c>
      <c r="G111" s="5" t="inlineStr">
        <is>
          <t>Gerencia de Sistemas</t>
        </is>
      </c>
    </row>
    <row r="112">
      <c r="A112" s="4" t="inlineStr">
        <is>
          <t>320</t>
        </is>
      </c>
      <c r="B112" s="5" t="inlineStr">
        <is>
          <t xml:space="preserve">HILDA MARGARITA ABREGO BRAN </t>
        </is>
      </c>
      <c r="C112" s="4" t="inlineStr">
        <is>
          <t>13/12/2004</t>
        </is>
      </c>
      <c r="D112" s="5" t="inlineStr">
        <is>
          <t>ANALISTA QA</t>
        </is>
      </c>
      <c r="E112" s="5" t="inlineStr">
        <is>
          <t xml:space="preserve"> EMPLEADO</t>
        </is>
      </c>
      <c r="F112" s="5" t="inlineStr">
        <is>
          <t>DEPARTAMENTO DE ANALISIS Y PROGRAMACIÓN</t>
        </is>
      </c>
      <c r="G112" s="5" t="inlineStr">
        <is>
          <t>Gerencia de Sistemas</t>
        </is>
      </c>
    </row>
    <row r="113">
      <c r="A113" s="4" t="inlineStr">
        <is>
          <t>410</t>
        </is>
      </c>
      <c r="B113" s="5" t="inlineStr">
        <is>
          <t xml:space="preserve">CLAUDIA MARGARITA CAMPOS GONZÁLEZ </t>
        </is>
      </c>
      <c r="C113" s="4" t="inlineStr">
        <is>
          <t>19/08/2022</t>
        </is>
      </c>
      <c r="D113" s="5" t="inlineStr">
        <is>
          <t>JEFE DE ANALISIS Y PROGRAMACION</t>
        </is>
      </c>
      <c r="E113" s="5" t="inlineStr">
        <is>
          <t xml:space="preserve"> EMPLEADO</t>
        </is>
      </c>
      <c r="F113" s="5" t="inlineStr">
        <is>
          <t>DEPARTAMENTO DE ANALISIS Y PROGRAMACIÓN</t>
        </is>
      </c>
      <c r="G113" s="5" t="inlineStr">
        <is>
          <t>Gerencia de Sistemas</t>
        </is>
      </c>
    </row>
    <row r="114">
      <c r="A114" s="4" t="inlineStr">
        <is>
          <t>474</t>
        </is>
      </c>
      <c r="B114" s="5" t="inlineStr">
        <is>
          <t xml:space="preserve">GLADIS EVELIN CASTILLO TORRES </t>
        </is>
      </c>
      <c r="C114" s="4" t="inlineStr">
        <is>
          <t>24/05/2011</t>
        </is>
      </c>
      <c r="D114" s="5" t="inlineStr">
        <is>
          <t>ANALISTA PROGRAMADOR SENIOR</t>
        </is>
      </c>
      <c r="E114" s="5" t="inlineStr">
        <is>
          <t xml:space="preserve"> EMPLEADO</t>
        </is>
      </c>
      <c r="F114" s="5" t="inlineStr">
        <is>
          <t>DEPARTAMENTO DE ANALISIS Y PROGRAMACIÓN</t>
        </is>
      </c>
      <c r="G114" s="5" t="inlineStr">
        <is>
          <t>Gerencia de Sistemas</t>
        </is>
      </c>
    </row>
    <row r="115">
      <c r="A115" s="4" t="inlineStr">
        <is>
          <t>680</t>
        </is>
      </c>
      <c r="B115" s="5" t="inlineStr">
        <is>
          <t xml:space="preserve">CARLOS FRANCISCO HERNANDEZ MUÑOZ </t>
        </is>
      </c>
      <c r="C115" s="4" t="inlineStr">
        <is>
          <t>24/03/2020</t>
        </is>
      </c>
      <c r="D115" s="5" t="inlineStr">
        <is>
          <t>ANALISTA QA</t>
        </is>
      </c>
      <c r="E115" s="5" t="inlineStr">
        <is>
          <t xml:space="preserve"> EMPLEADO</t>
        </is>
      </c>
      <c r="F115" s="5" t="inlineStr">
        <is>
          <t>DEPARTAMENTO DE ANALISIS Y PROGRAMACIÓN</t>
        </is>
      </c>
      <c r="G115" s="5" t="inlineStr">
        <is>
          <t>Gerencia de Sistemas</t>
        </is>
      </c>
    </row>
    <row r="116">
      <c r="A116" s="4" t="inlineStr">
        <is>
          <t>752</t>
        </is>
      </c>
      <c r="B116" s="5" t="inlineStr">
        <is>
          <t xml:space="preserve">JEAN HARRY MIRANDA ARAUJO </t>
        </is>
      </c>
      <c r="C116" s="4" t="inlineStr">
        <is>
          <t>01/06/2022</t>
        </is>
      </c>
      <c r="D116" s="5" t="inlineStr">
        <is>
          <t xml:space="preserve">ANALISTA PROGRAMADOR </t>
        </is>
      </c>
      <c r="E116" s="5" t="inlineStr">
        <is>
          <t xml:space="preserve"> EMPLEADO</t>
        </is>
      </c>
      <c r="F116" s="5" t="inlineStr">
        <is>
          <t>DEPARTAMENTO DE ANALISIS Y PROGRAMACIÓN</t>
        </is>
      </c>
      <c r="G116" s="5" t="inlineStr">
        <is>
          <t>Gerencia de Sistemas</t>
        </is>
      </c>
    </row>
    <row r="117">
      <c r="A117" s="4" t="inlineStr">
        <is>
          <t>783</t>
        </is>
      </c>
      <c r="B117" s="5" t="inlineStr">
        <is>
          <t xml:space="preserve">JONATHAN ALEXIS BERRIOS MENJIVAR </t>
        </is>
      </c>
      <c r="C117" s="4" t="inlineStr">
        <is>
          <t>24/10/2022</t>
        </is>
      </c>
      <c r="D117" s="5" t="inlineStr">
        <is>
          <t xml:space="preserve">ANALISTA PROGRAMADOR </t>
        </is>
      </c>
      <c r="E117" s="5" t="inlineStr">
        <is>
          <t xml:space="preserve"> EMPLEADO</t>
        </is>
      </c>
      <c r="F117" s="5" t="inlineStr">
        <is>
          <t>DEPARTAMENTO DE ANALISIS Y PROGRAMACIÓN</t>
        </is>
      </c>
      <c r="G117" s="5" t="inlineStr">
        <is>
          <t>Gerencia de Sistemas</t>
        </is>
      </c>
    </row>
    <row r="118">
      <c r="A118" s="4" t="inlineStr">
        <is>
          <t>806</t>
        </is>
      </c>
      <c r="B118" s="5" t="inlineStr">
        <is>
          <t xml:space="preserve">BYRON WILFREDO MENJIVAR MELENDEZ </t>
        </is>
      </c>
      <c r="C118" s="4" t="inlineStr">
        <is>
          <t>18/04/2023</t>
        </is>
      </c>
      <c r="D118" s="5" t="inlineStr">
        <is>
          <t xml:space="preserve">ANALISTA PROGRAMADOR </t>
        </is>
      </c>
      <c r="E118" s="5" t="inlineStr">
        <is>
          <t xml:space="preserve"> EMPLEADO</t>
        </is>
      </c>
      <c r="F118" s="5" t="inlineStr">
        <is>
          <t>DEPARTAMENTO DE ANALISIS Y PROGRAMACIÓN</t>
        </is>
      </c>
      <c r="G118" s="5" t="inlineStr">
        <is>
          <t>Gerencia de Sistemas</t>
        </is>
      </c>
    </row>
    <row r="119">
      <c r="A119" s="4" t="inlineStr">
        <is>
          <t>824</t>
        </is>
      </c>
      <c r="B119" s="5" t="inlineStr">
        <is>
          <t xml:space="preserve">RODRIGO FERNANDO FIGUEROA RIVAS </t>
        </is>
      </c>
      <c r="C119" s="4" t="inlineStr">
        <is>
          <t>01/07/2024</t>
        </is>
      </c>
      <c r="D119" s="5" t="inlineStr">
        <is>
          <t>ANALISTA PROGRAMADOR JUNIOR</t>
        </is>
      </c>
      <c r="E119" s="5" t="inlineStr">
        <is>
          <t xml:space="preserve"> EMPLEADO</t>
        </is>
      </c>
      <c r="F119" s="5" t="inlineStr">
        <is>
          <t>DEPARTAMENTO DE ANALISIS Y PROGRAMACIÓN</t>
        </is>
      </c>
      <c r="G119" s="5" t="inlineStr">
        <is>
          <t>Gerencia de Sistemas</t>
        </is>
      </c>
    </row>
    <row r="120">
      <c r="A120" s="4" t="inlineStr">
        <is>
          <t>879</t>
        </is>
      </c>
      <c r="B120" s="5" t="inlineStr">
        <is>
          <t xml:space="preserve">MILAGRO NATIVIDAD ESCOBAR MELENDEZ </t>
        </is>
      </c>
      <c r="C120" s="4" t="inlineStr">
        <is>
          <t>09/12/2024</t>
        </is>
      </c>
      <c r="D120" s="5" t="inlineStr">
        <is>
          <t xml:space="preserve">ANALISTA PROGRAMADOR </t>
        </is>
      </c>
      <c r="E120" s="5" t="inlineStr">
        <is>
          <t xml:space="preserve"> EMPLEADO</t>
        </is>
      </c>
      <c r="F120" s="5" t="inlineStr">
        <is>
          <t>DEPARTAMENTO DE ANALISIS Y PROGRAMACIÓN</t>
        </is>
      </c>
      <c r="G120" s="5" t="inlineStr">
        <is>
          <t>Gerencia de Sistemas</t>
        </is>
      </c>
    </row>
    <row r="121">
      <c r="A121" s="4" t="inlineStr">
        <is>
          <t>899</t>
        </is>
      </c>
      <c r="B121" s="5" t="inlineStr">
        <is>
          <t>ALEJANDRA VERONICA CENTENO  LOPEZ</t>
        </is>
      </c>
      <c r="C121" s="4" t="inlineStr">
        <is>
          <t>14/10/2024</t>
        </is>
      </c>
      <c r="D121" s="5" t="inlineStr">
        <is>
          <t xml:space="preserve">ANALISTA PROGRAMADOR </t>
        </is>
      </c>
      <c r="E121" s="5" t="inlineStr">
        <is>
          <t xml:space="preserve"> EMPLEADO</t>
        </is>
      </c>
      <c r="F121" s="5" t="inlineStr">
        <is>
          <t>DEPARTAMENTO DE ANALISIS Y PROGRAMACIÓN</t>
        </is>
      </c>
      <c r="G121" s="5" t="inlineStr">
        <is>
          <t>Gerencia de Sistemas</t>
        </is>
      </c>
    </row>
    <row r="122">
      <c r="A122" s="4" t="inlineStr">
        <is>
          <t>409</t>
        </is>
      </c>
      <c r="B122" s="5" t="inlineStr">
        <is>
          <t xml:space="preserve">PEDRO ERNESTO MORÁN RAMÍREZ </t>
        </is>
      </c>
      <c r="C122" s="4" t="inlineStr">
        <is>
          <t>07/08/2007</t>
        </is>
      </c>
      <c r="D122" s="5" t="inlineStr">
        <is>
          <t>ADMINISTRADOR DE BASE DE DATOS</t>
        </is>
      </c>
      <c r="E122" s="5" t="inlineStr">
        <is>
          <t xml:space="preserve"> EMPLEADO</t>
        </is>
      </c>
      <c r="F122" s="5" t="inlineStr">
        <is>
          <t>ADMINISTRACION DE BASE DE DATOS</t>
        </is>
      </c>
      <c r="G122" s="5" t="inlineStr">
        <is>
          <t>Gerencia de Sistemas</t>
        </is>
      </c>
    </row>
    <row r="123">
      <c r="A123" s="4" t="inlineStr">
        <is>
          <t>330</t>
        </is>
      </c>
      <c r="B123" s="5" t="inlineStr">
        <is>
          <t xml:space="preserve">MERALYS CHAVEZ RODRIGUEZ </t>
        </is>
      </c>
      <c r="C123" s="4" t="inlineStr">
        <is>
          <t>01/03/2005</t>
        </is>
      </c>
      <c r="D123" s="5" t="inlineStr">
        <is>
          <t>AUDITOR INTERNO</t>
        </is>
      </c>
      <c r="E123" s="5" t="inlineStr">
        <is>
          <t xml:space="preserve"> EMPLEADO</t>
        </is>
      </c>
      <c r="F123" s="5" t="inlineStr">
        <is>
          <t>DEPARTAMENTO DE AUDITORIA INTERNA</t>
        </is>
      </c>
      <c r="G123" s="5" t="inlineStr">
        <is>
          <t>Auditoría Interna</t>
        </is>
      </c>
    </row>
    <row r="124">
      <c r="A124" s="4" t="inlineStr">
        <is>
          <t>424</t>
        </is>
      </c>
      <c r="B124" s="5" t="inlineStr">
        <is>
          <t>MAYRA LISSETTE LOPEZ  SANCHEZ</t>
        </is>
      </c>
      <c r="C124" s="4" t="inlineStr">
        <is>
          <t>18/02/2008</t>
        </is>
      </c>
      <c r="D124" s="5" t="inlineStr">
        <is>
          <t>SUPERVISOR DE AUDITORIA INTERNA</t>
        </is>
      </c>
      <c r="E124" s="5" t="inlineStr">
        <is>
          <t xml:space="preserve"> EMPLEADO</t>
        </is>
      </c>
      <c r="F124" s="5" t="inlineStr">
        <is>
          <t>DEPARTAMENTO DE AUDITORIA INTERNA</t>
        </is>
      </c>
      <c r="G124" s="5" t="inlineStr">
        <is>
          <t>Auditoría Interna</t>
        </is>
      </c>
    </row>
    <row r="125">
      <c r="A125" s="4" t="inlineStr">
        <is>
          <t>534</t>
        </is>
      </c>
      <c r="B125" s="5" t="inlineStr">
        <is>
          <t xml:space="preserve">NELSON DANILO BENITEZ MENDEZ </t>
        </is>
      </c>
      <c r="C125" s="4" t="inlineStr">
        <is>
          <t>12/05/2014</t>
        </is>
      </c>
      <c r="D125" s="5" t="inlineStr">
        <is>
          <t>AUDITOR DE SISTEMAS</t>
        </is>
      </c>
      <c r="E125" s="5" t="inlineStr">
        <is>
          <t xml:space="preserve"> EMPLEADO</t>
        </is>
      </c>
      <c r="F125" s="5" t="inlineStr">
        <is>
          <t>DEPARTAMENTO DE AUDITORIA INTERNA</t>
        </is>
      </c>
      <c r="G125" s="5" t="inlineStr">
        <is>
          <t>Auditoría Interna</t>
        </is>
      </c>
    </row>
    <row r="126">
      <c r="A126" s="4" t="inlineStr">
        <is>
          <t>548</t>
        </is>
      </c>
      <c r="B126" s="5" t="inlineStr">
        <is>
          <t xml:space="preserve">ZORAIDA LORENA LOPEZ MEDINA </t>
        </is>
      </c>
      <c r="C126" s="4" t="inlineStr">
        <is>
          <t>23/03/2015</t>
        </is>
      </c>
      <c r="D126" s="5" t="inlineStr">
        <is>
          <t>ASISTENTE DE AUDITORIA INTERNA</t>
        </is>
      </c>
      <c r="E126" s="5" t="inlineStr">
        <is>
          <t xml:space="preserve"> EMPLEADO</t>
        </is>
      </c>
      <c r="F126" s="5" t="inlineStr">
        <is>
          <t>DEPARTAMENTO DE AUDITORIA INTERNA</t>
        </is>
      </c>
      <c r="G126" s="5" t="inlineStr">
        <is>
          <t>Auditoría Interna</t>
        </is>
      </c>
    </row>
    <row r="127">
      <c r="A127" s="4" t="inlineStr">
        <is>
          <t>742</t>
        </is>
      </c>
      <c r="B127" s="5" t="inlineStr">
        <is>
          <t xml:space="preserve">PATRICIA GUADALUPE  SEGOVIA RAMIREZ </t>
        </is>
      </c>
      <c r="C127" s="4" t="inlineStr">
        <is>
          <t>04/04/2022</t>
        </is>
      </c>
      <c r="D127" s="5" t="inlineStr">
        <is>
          <t>ASISTENTE DE AUDITORIA INTERNA</t>
        </is>
      </c>
      <c r="E127" s="5" t="inlineStr">
        <is>
          <t xml:space="preserve"> EMPLEADO</t>
        </is>
      </c>
      <c r="F127" s="5" t="inlineStr">
        <is>
          <t>DEPARTAMENTO DE AUDITORIA INTERNA</t>
        </is>
      </c>
      <c r="G127" s="5" t="inlineStr">
        <is>
          <t>Auditoría Interna</t>
        </is>
      </c>
    </row>
    <row r="128">
      <c r="A128" s="4" t="inlineStr">
        <is>
          <t>750</t>
        </is>
      </c>
      <c r="B128" s="5" t="inlineStr">
        <is>
          <t xml:space="preserve">MARLON ANTONIO BONILLA GARCIA </t>
        </is>
      </c>
      <c r="C128" s="4" t="inlineStr">
        <is>
          <t>01/06/2022</t>
        </is>
      </c>
      <c r="D128" s="5" t="inlineStr">
        <is>
          <t>ASISTENTE DE AUDITORIA INTERNA</t>
        </is>
      </c>
      <c r="E128" s="5" t="inlineStr">
        <is>
          <t xml:space="preserve"> EMPLEADO</t>
        </is>
      </c>
      <c r="F128" s="5" t="inlineStr">
        <is>
          <t>DEPARTAMENTO DE AUDITORIA INTERNA</t>
        </is>
      </c>
      <c r="G128" s="5" t="inlineStr">
        <is>
          <t>Auditoría Interna</t>
        </is>
      </c>
    </row>
    <row r="129">
      <c r="A129" s="4" t="inlineStr">
        <is>
          <t>865</t>
        </is>
      </c>
      <c r="B129" s="5" t="inlineStr">
        <is>
          <t xml:space="preserve">MARIA ELENA VALLE BENAVIDES </t>
        </is>
      </c>
      <c r="C129" s="4" t="inlineStr">
        <is>
          <t>10/04/2024</t>
        </is>
      </c>
      <c r="D129" s="5" t="inlineStr">
        <is>
          <t>ASISTENTE DE AUDITORIA INTERNA</t>
        </is>
      </c>
      <c r="E129" s="5" t="inlineStr">
        <is>
          <t xml:space="preserve"> EMPLEADO</t>
        </is>
      </c>
      <c r="F129" s="5" t="inlineStr">
        <is>
          <t>DEPARTAMENTO DE AUDITORIA INTERNA</t>
        </is>
      </c>
      <c r="G129" s="5" t="inlineStr">
        <is>
          <t>Auditoría Interna</t>
        </is>
      </c>
    </row>
    <row r="130">
      <c r="A130" s="4" t="inlineStr">
        <is>
          <t>443</t>
        </is>
      </c>
      <c r="B130" s="5" t="inlineStr">
        <is>
          <t>JOSSELINE LIZBETH VENTURA  RIVAS</t>
        </is>
      </c>
      <c r="C130" s="4" t="inlineStr">
        <is>
          <t>22/10/2008</t>
        </is>
      </c>
      <c r="D130" s="5" t="inlineStr">
        <is>
          <t>ANALISTA DE CUMPLIMIENTO</t>
        </is>
      </c>
      <c r="E130" s="5" t="inlineStr">
        <is>
          <t xml:space="preserve"> EMPLEADO</t>
        </is>
      </c>
      <c r="F130" s="5" t="inlineStr">
        <is>
          <t>OFICIALIA DE CUMPLIMIENTO</t>
        </is>
      </c>
      <c r="G130" s="5" t="inlineStr">
        <is>
          <t>Gerencia de Oficialía de Cumplimiento</t>
        </is>
      </c>
    </row>
    <row r="131">
      <c r="A131" s="4" t="inlineStr">
        <is>
          <t>860</t>
        </is>
      </c>
      <c r="B131" s="5" t="inlineStr">
        <is>
          <t xml:space="preserve">JOHANNA LISSETH ROMERO RIVAS </t>
        </is>
      </c>
      <c r="C131" s="4" t="inlineStr">
        <is>
          <t>21/03/2024</t>
        </is>
      </c>
      <c r="D131" s="5" t="inlineStr">
        <is>
          <t>ANALISTA DE OFICIALIA DE CUMPLIMIENTO Y OFICIAL DE CUMPLIMIE</t>
        </is>
      </c>
      <c r="E131" s="5" t="inlineStr">
        <is>
          <t xml:space="preserve"> EMPLEADO</t>
        </is>
      </c>
      <c r="F131" s="5" t="inlineStr">
        <is>
          <t>OFICIALIA DE CUMPLIMIENTO</t>
        </is>
      </c>
      <c r="G131" s="5" t="inlineStr">
        <is>
          <t>Gerencia de Oficialía de Cumplimiento</t>
        </is>
      </c>
    </row>
    <row r="132">
      <c r="A132" s="4" t="inlineStr">
        <is>
          <t>914</t>
        </is>
      </c>
      <c r="B132" s="5" t="inlineStr">
        <is>
          <t xml:space="preserve">FIDEL ISAIAS CASTELLON CALVIO </t>
        </is>
      </c>
      <c r="C132" s="4" t="inlineStr">
        <is>
          <t>10/03/2025</t>
        </is>
      </c>
      <c r="D132" s="5" t="inlineStr">
        <is>
          <t>ADMINISTRADOR DE MONITOR PLUS Y ANALISTA DE CUMPLIMIENTO</t>
        </is>
      </c>
      <c r="E132" s="5" t="inlineStr">
        <is>
          <t xml:space="preserve"> EMPLEADO</t>
        </is>
      </c>
      <c r="F132" s="5" t="inlineStr">
        <is>
          <t>OFICIALIA DE CUMPLIMIENTO</t>
        </is>
      </c>
      <c r="G132" s="5" t="inlineStr">
        <is>
          <t>Gerencia de Oficialía de Cumplimiento</t>
        </is>
      </c>
    </row>
    <row r="133">
      <c r="A133" s="4" t="inlineStr">
        <is>
          <t>983</t>
        </is>
      </c>
      <c r="B133" s="5" t="inlineStr">
        <is>
          <t xml:space="preserve">LILIAN LISET MAGAÑA SANTOS </t>
        </is>
      </c>
      <c r="C133" s="4" t="inlineStr">
        <is>
          <t>23/09/2026</t>
        </is>
      </c>
      <c r="D133" s="5" t="inlineStr">
        <is>
          <t>PASANTE</t>
        </is>
      </c>
      <c r="E133" s="5" t="inlineStr">
        <is>
          <t xml:space="preserve"> EMPLEADO</t>
        </is>
      </c>
      <c r="F133" s="5" t="inlineStr">
        <is>
          <t>OFICIALIA DE CUMPLIMIENTO</t>
        </is>
      </c>
      <c r="G133" s="5" t="inlineStr">
        <is>
          <t>Gerencia de Oficialía de Cumplimiento</t>
        </is>
      </c>
    </row>
    <row r="134">
      <c r="A134" s="4" t="inlineStr">
        <is>
          <t>984</t>
        </is>
      </c>
      <c r="B134" s="5" t="inlineStr">
        <is>
          <t xml:space="preserve">NICO EDUARDO CIUDAD REAL MOOIJ </t>
        </is>
      </c>
      <c r="C134" s="4" t="inlineStr">
        <is>
          <t>23/09/2026</t>
        </is>
      </c>
      <c r="D134" s="5" t="inlineStr">
        <is>
          <t>PASANTE</t>
        </is>
      </c>
      <c r="E134" s="5" t="inlineStr">
        <is>
          <t xml:space="preserve"> EMPLEADO</t>
        </is>
      </c>
      <c r="F134" s="5" t="inlineStr">
        <is>
          <t>OFICIALIA DE CUMPLIMIENTO</t>
        </is>
      </c>
      <c r="G134" s="5" t="inlineStr">
        <is>
          <t>Gerencia de Oficialía de Cumplimiento</t>
        </is>
      </c>
    </row>
    <row r="135">
      <c r="A135" s="4" t="inlineStr">
        <is>
          <t>985</t>
        </is>
      </c>
      <c r="B135" s="5" t="inlineStr">
        <is>
          <t xml:space="preserve">JORGE MATEO GUTIERREZ FLORES </t>
        </is>
      </c>
      <c r="C135" s="4" t="inlineStr">
        <is>
          <t>28/09/2026</t>
        </is>
      </c>
      <c r="D135" s="5" t="inlineStr">
        <is>
          <t>PASANTE</t>
        </is>
      </c>
      <c r="E135" s="5" t="inlineStr">
        <is>
          <t xml:space="preserve"> EMPLEADO</t>
        </is>
      </c>
      <c r="F135" s="5" t="inlineStr">
        <is>
          <t>OFICIALIA DE CUMPLIMIENTO</t>
        </is>
      </c>
      <c r="G135" s="5" t="inlineStr">
        <is>
          <t>Gerencia de Oficialía de Cumplimiento</t>
        </is>
      </c>
    </row>
    <row r="136">
      <c r="A136" s="4" t="inlineStr">
        <is>
          <t>583</t>
        </is>
      </c>
      <c r="B136" s="5" t="inlineStr">
        <is>
          <t xml:space="preserve">HECTOR JOSE MENJIVAR SOMOZA </t>
        </is>
      </c>
      <c r="C136" s="4" t="inlineStr">
        <is>
          <t>04/10/2021</t>
        </is>
      </c>
      <c r="D136" s="5" t="inlineStr">
        <is>
          <t>ANALISTA DE INTELIGENCIA DE NEGOCIOS</t>
        </is>
      </c>
      <c r="E136" s="5" t="inlineStr">
        <is>
          <t xml:space="preserve"> EMPLEADO</t>
        </is>
      </c>
      <c r="F136" s="5" t="inlineStr">
        <is>
          <t>GERENCIA DE NEGOCIOS</t>
        </is>
      </c>
      <c r="G136" s="5" t="inlineStr">
        <is>
          <t>Gerencia de Negocios</t>
        </is>
      </c>
    </row>
    <row r="137">
      <c r="A137" s="4" t="inlineStr">
        <is>
          <t>633</t>
        </is>
      </c>
      <c r="B137" s="5" t="inlineStr">
        <is>
          <t xml:space="preserve">VICTOR ADONAY PEREZ CASTILLO </t>
        </is>
      </c>
      <c r="C137" s="4" t="inlineStr">
        <is>
          <t>03/12/2018</t>
        </is>
      </c>
      <c r="D137" s="5" t="inlineStr">
        <is>
          <t>ASISTENTE PARA CANALES ELECTRONICOS Y OPERACIONES EN AGENCIA</t>
        </is>
      </c>
      <c r="E137" s="5" t="inlineStr">
        <is>
          <t xml:space="preserve"> EMPLEADO</t>
        </is>
      </c>
      <c r="F137" s="5" t="inlineStr">
        <is>
          <t>GERENCIA DE NEGOCIOS</t>
        </is>
      </c>
      <c r="G137" s="5" t="inlineStr">
        <is>
          <t>Gerencia de Negocios</t>
        </is>
      </c>
    </row>
    <row r="138">
      <c r="A138" s="4" t="inlineStr">
        <is>
          <t>782</t>
        </is>
      </c>
      <c r="B138" s="5" t="inlineStr">
        <is>
          <t>WANDA ILIANA MORENO QUINTEROS</t>
        </is>
      </c>
      <c r="C138" s="4" t="inlineStr">
        <is>
          <t>19/10/2022</t>
        </is>
      </c>
      <c r="D138" s="5" t="inlineStr">
        <is>
          <t>ADMINISTRADOR DE PLATAFORMAS Y TRANSFORMACION DIGITAL DE CRE</t>
        </is>
      </c>
      <c r="E138" s="5" t="inlineStr">
        <is>
          <t xml:space="preserve"> EMPLEADO</t>
        </is>
      </c>
      <c r="F138" s="5" t="inlineStr">
        <is>
          <t>GERENCIA DE NEGOCIOS</t>
        </is>
      </c>
      <c r="G138" s="5" t="inlineStr">
        <is>
          <t>Gerencia de Negocios</t>
        </is>
      </c>
    </row>
    <row r="139">
      <c r="A139" s="4" t="inlineStr">
        <is>
          <t>166</t>
        </is>
      </c>
      <c r="B139" s="5" t="inlineStr">
        <is>
          <t>MARIA FRANCISCA DE LA LUZ HERNANDEZ HERNANDEZ</t>
        </is>
      </c>
      <c r="C139" s="4" t="inlineStr">
        <is>
          <t>12/11/1998</t>
        </is>
      </c>
      <c r="D139" s="5" t="inlineStr">
        <is>
          <t>JEFE DE ATENCION A  ASOCIADOS Y CLIENTES</t>
        </is>
      </c>
      <c r="E139" s="5" t="inlineStr">
        <is>
          <t xml:space="preserve"> EMPLEADO</t>
        </is>
      </c>
      <c r="F139" s="5" t="inlineStr">
        <is>
          <t>DEPARTAMENTO DE ATENCION A ASOCIADO Y CLIENTE</t>
        </is>
      </c>
      <c r="G139" s="5" t="inlineStr">
        <is>
          <t>Gerencia de Negocios</t>
        </is>
      </c>
    </row>
    <row r="140">
      <c r="A140" s="4" t="inlineStr">
        <is>
          <t>712</t>
        </is>
      </c>
      <c r="B140" s="5" t="inlineStr">
        <is>
          <t xml:space="preserve">EDGARDO ISAIAS PEÑATE RIVAS </t>
        </is>
      </c>
      <c r="C140" s="4" t="inlineStr">
        <is>
          <t>19/04/2021</t>
        </is>
      </c>
      <c r="D140" s="5" t="inlineStr">
        <is>
          <t>ASISTENTE TECNICO DEL FONDO DE SOLIDARIDAD</t>
        </is>
      </c>
      <c r="E140" s="5" t="inlineStr">
        <is>
          <t xml:space="preserve"> EMPLEADO</t>
        </is>
      </c>
      <c r="F140" s="5" t="inlineStr">
        <is>
          <t>DEPARTAMENTO DE ATENCION A ASOCIADO Y CLIENTE</t>
        </is>
      </c>
      <c r="G140" s="5" t="inlineStr">
        <is>
          <t>Gerencia de Negocios</t>
        </is>
      </c>
    </row>
    <row r="141">
      <c r="A141" s="4" t="inlineStr">
        <is>
          <t>744</t>
        </is>
      </c>
      <c r="B141" s="5" t="inlineStr">
        <is>
          <t>KARLA PATRICIA  ROBLES  CORTEZ</t>
        </is>
      </c>
      <c r="C141" s="4" t="inlineStr">
        <is>
          <t>04/04/2022</t>
        </is>
      </c>
      <c r="D141" s="5" t="inlineStr">
        <is>
          <t>ASISTENTE TECNICO DE AFILIACION</t>
        </is>
      </c>
      <c r="E141" s="5" t="inlineStr">
        <is>
          <t xml:space="preserve"> EMPLEADO</t>
        </is>
      </c>
      <c r="F141" s="5" t="inlineStr">
        <is>
          <t>DEPARTAMENTO DE ATENCION A ASOCIADO Y CLIENTE</t>
        </is>
      </c>
      <c r="G141" s="5" t="inlineStr">
        <is>
          <t>Gerencia de Negocios</t>
        </is>
      </c>
    </row>
    <row r="142">
      <c r="A142" s="4" t="inlineStr">
        <is>
          <t>887</t>
        </is>
      </c>
      <c r="B142" s="5" t="inlineStr">
        <is>
          <t xml:space="preserve">EMERSON ULISES BELTRAN CORTEZ </t>
        </is>
      </c>
      <c r="C142" s="4" t="inlineStr">
        <is>
          <t>16/06/2025</t>
        </is>
      </c>
      <c r="D142" s="5" t="inlineStr">
        <is>
          <t>AUXILIAR DE ATENCION A  ASOCIADOS</t>
        </is>
      </c>
      <c r="E142" s="5" t="inlineStr">
        <is>
          <t xml:space="preserve"> EMPLEADO</t>
        </is>
      </c>
      <c r="F142" s="5" t="inlineStr">
        <is>
          <t>DEPARTAMENTO DE ATENCION A ASOCIADO Y CLIENTE</t>
        </is>
      </c>
      <c r="G142" s="5" t="inlineStr">
        <is>
          <t>Gerencia de Negocios</t>
        </is>
      </c>
    </row>
    <row r="143">
      <c r="A143" s="4" t="inlineStr">
        <is>
          <t>945</t>
        </is>
      </c>
      <c r="B143" s="5" t="inlineStr">
        <is>
          <t xml:space="preserve">FABIOLA ELIZABETH TICAS GOMEZ  </t>
        </is>
      </c>
      <c r="C143" s="4" t="inlineStr">
        <is>
          <t>20/10/2025</t>
        </is>
      </c>
      <c r="D143" s="5" t="inlineStr">
        <is>
          <t>RECEPCIONISTA</t>
        </is>
      </c>
      <c r="E143" s="5" t="inlineStr">
        <is>
          <t xml:space="preserve"> EMPLEADO</t>
        </is>
      </c>
      <c r="F143" s="5" t="inlineStr">
        <is>
          <t>DEPARTAMENTO DE ATENCION A ASOCIADO Y CLIENTE</t>
        </is>
      </c>
      <c r="G143" s="5" t="inlineStr">
        <is>
          <t>Gerencia de Negocios</t>
        </is>
      </c>
    </row>
    <row r="144">
      <c r="A144" s="4" t="inlineStr">
        <is>
          <t>981</t>
        </is>
      </c>
      <c r="B144" s="5" t="inlineStr">
        <is>
          <t xml:space="preserve">ALAN RODRIGO BENITEZ RODRIGUEZ </t>
        </is>
      </c>
      <c r="C144" s="4" t="inlineStr">
        <is>
          <t>18/09/2026</t>
        </is>
      </c>
      <c r="D144" s="5" t="inlineStr">
        <is>
          <t>PASANTE</t>
        </is>
      </c>
      <c r="E144" s="5" t="inlineStr">
        <is>
          <t xml:space="preserve"> EMPLEADO</t>
        </is>
      </c>
      <c r="F144" s="5" t="inlineStr">
        <is>
          <t>DEPARTAMENTO DE ATENCION A ASOCIADO Y CLIENTE</t>
        </is>
      </c>
      <c r="G144" s="5" t="inlineStr">
        <is>
          <t>Gerencia de Negocios</t>
        </is>
      </c>
    </row>
    <row r="145">
      <c r="A145" s="4" t="inlineStr">
        <is>
          <t>219</t>
        </is>
      </c>
      <c r="B145" s="5" t="inlineStr">
        <is>
          <t>IVONNE LISSETH DE JESUS RODRIGUEZ   FLORES</t>
        </is>
      </c>
      <c r="C145" s="4" t="inlineStr">
        <is>
          <t>16/04/2007</t>
        </is>
      </c>
      <c r="D145" s="5" t="inlineStr">
        <is>
          <t>ASISTENTE TELEMARKETING</t>
        </is>
      </c>
      <c r="E145" s="5" t="inlineStr">
        <is>
          <t xml:space="preserve"> EMPLEADO</t>
        </is>
      </c>
      <c r="F145" s="5" t="inlineStr">
        <is>
          <t xml:space="preserve">DEPARTAMENTO DE MERCADEO </t>
        </is>
      </c>
      <c r="G145" s="5" t="inlineStr">
        <is>
          <t>Gerencia de Negocios</t>
        </is>
      </c>
    </row>
    <row r="146">
      <c r="A146" s="4" t="inlineStr">
        <is>
          <t>361</t>
        </is>
      </c>
      <c r="B146" s="5" t="inlineStr">
        <is>
          <t xml:space="preserve">JOSE CARLOS IRENEO HERNANDEZ RODRIGUEZ </t>
        </is>
      </c>
      <c r="C146" s="4" t="inlineStr">
        <is>
          <t>25/01/2006</t>
        </is>
      </c>
      <c r="D146" s="5" t="inlineStr">
        <is>
          <t>ASISTENTE TECNICO DE MERCADEO</t>
        </is>
      </c>
      <c r="E146" s="5" t="inlineStr">
        <is>
          <t xml:space="preserve"> EMPLEADO</t>
        </is>
      </c>
      <c r="F146" s="5" t="inlineStr">
        <is>
          <t xml:space="preserve">DEPARTAMENTO DE MERCADEO </t>
        </is>
      </c>
      <c r="G146" s="5" t="inlineStr">
        <is>
          <t>Gerencia de Negocios</t>
        </is>
      </c>
    </row>
    <row r="147">
      <c r="A147" s="4" t="inlineStr">
        <is>
          <t>591</t>
        </is>
      </c>
      <c r="B147" s="5" t="inlineStr">
        <is>
          <t>CARMEN MARIA GUTIERREZ ESTRADA</t>
        </is>
      </c>
      <c r="C147" s="4" t="inlineStr">
        <is>
          <t>27/03/2017</t>
        </is>
      </c>
      <c r="D147" s="5" t="inlineStr">
        <is>
          <t>JEFE DE MERCADEO</t>
        </is>
      </c>
      <c r="E147" s="5" t="inlineStr">
        <is>
          <t xml:space="preserve"> EMPLEADO</t>
        </is>
      </c>
      <c r="F147" s="5" t="inlineStr">
        <is>
          <t xml:space="preserve">DEPARTAMENTO DE MERCADEO </t>
        </is>
      </c>
      <c r="G147" s="5" t="inlineStr">
        <is>
          <t>Gerencia de Negocios</t>
        </is>
      </c>
    </row>
    <row r="148">
      <c r="A148" s="4" t="inlineStr">
        <is>
          <t>723</t>
        </is>
      </c>
      <c r="B148" s="5" t="inlineStr">
        <is>
          <t xml:space="preserve">LUIS FAUSTONY VASQUEZ CIENFUEGOS </t>
        </is>
      </c>
      <c r="C148" s="4" t="inlineStr">
        <is>
          <t>05/07/2021</t>
        </is>
      </c>
      <c r="D148" s="5" t="inlineStr">
        <is>
          <t>GESTOR DE DOCUMENTOS</t>
        </is>
      </c>
      <c r="E148" s="5" t="inlineStr">
        <is>
          <t xml:space="preserve"> EMPLEADO</t>
        </is>
      </c>
      <c r="F148" s="5" t="inlineStr">
        <is>
          <t xml:space="preserve">DEPARTAMENTO DE MERCADEO </t>
        </is>
      </c>
      <c r="G148" s="5" t="inlineStr">
        <is>
          <t>Gerencia de Negocios</t>
        </is>
      </c>
    </row>
    <row r="149">
      <c r="A149" s="4" t="inlineStr">
        <is>
          <t>895</t>
        </is>
      </c>
      <c r="B149" s="5" t="inlineStr">
        <is>
          <t xml:space="preserve">MARIA ALEJANDRA BATRES ALVARADO </t>
        </is>
      </c>
      <c r="C149" s="4" t="inlineStr">
        <is>
          <t>23/09/2024</t>
        </is>
      </c>
      <c r="D149" s="5" t="inlineStr">
        <is>
          <t>DISEÑADOR  GRAFICO</t>
        </is>
      </c>
      <c r="E149" s="5" t="inlineStr">
        <is>
          <t xml:space="preserve"> EMPLEADO</t>
        </is>
      </c>
      <c r="F149" s="5" t="inlineStr">
        <is>
          <t xml:space="preserve">DEPARTAMENTO DE MERCADEO </t>
        </is>
      </c>
      <c r="G149" s="5" t="inlineStr">
        <is>
          <t>Gerencia de Negocios</t>
        </is>
      </c>
    </row>
    <row r="150">
      <c r="A150" s="4" t="inlineStr">
        <is>
          <t>897</t>
        </is>
      </c>
      <c r="B150" s="5" t="inlineStr">
        <is>
          <t xml:space="preserve">GERARDO ALEXANDER  MARTINEZ RIVERA </t>
        </is>
      </c>
      <c r="C150" s="4" t="inlineStr">
        <is>
          <t>01/10/2024</t>
        </is>
      </c>
      <c r="D150" s="5" t="inlineStr">
        <is>
          <t>ANALISTA DE COMUNICACIONES</t>
        </is>
      </c>
      <c r="E150" s="5" t="inlineStr">
        <is>
          <t xml:space="preserve"> EMPLEADO</t>
        </is>
      </c>
      <c r="F150" s="5" t="inlineStr">
        <is>
          <t xml:space="preserve">DEPARTAMENTO DE MERCADEO </t>
        </is>
      </c>
      <c r="G150" s="5" t="inlineStr">
        <is>
          <t>Gerencia de Negocios</t>
        </is>
      </c>
    </row>
    <row r="151">
      <c r="A151" s="4" t="inlineStr">
        <is>
          <t>982</t>
        </is>
      </c>
      <c r="B151" s="5" t="inlineStr">
        <is>
          <t xml:space="preserve">ALEJANDRA ABIGAIL RAMIREZ ROMERO </t>
        </is>
      </c>
      <c r="C151" s="4" t="inlineStr">
        <is>
          <t>23/09/2026</t>
        </is>
      </c>
      <c r="D151" s="5" t="inlineStr">
        <is>
          <t>DISEÑADOR  GRAFICO</t>
        </is>
      </c>
      <c r="E151" s="5" t="inlineStr">
        <is>
          <t xml:space="preserve"> EMPLEADO</t>
        </is>
      </c>
      <c r="F151" s="5" t="inlineStr">
        <is>
          <t xml:space="preserve">DEPARTAMENTO DE MERCADEO </t>
        </is>
      </c>
      <c r="G151" s="5" t="inlineStr">
        <is>
          <t>Gerencia de Negocios</t>
        </is>
      </c>
    </row>
    <row r="152">
      <c r="A152" s="4" t="inlineStr">
        <is>
          <t>207</t>
        </is>
      </c>
      <c r="B152" s="5" t="inlineStr">
        <is>
          <t>ANA ESTER ERAZO ORTIZ</t>
        </is>
      </c>
      <c r="C152" s="4" t="inlineStr">
        <is>
          <t>15/05/2000</t>
        </is>
      </c>
      <c r="D152" s="5" t="inlineStr">
        <is>
          <t>ANALISTA DE CREDITOS</t>
        </is>
      </c>
      <c r="E152" s="5" t="inlineStr">
        <is>
          <t xml:space="preserve"> EMPLEADO</t>
        </is>
      </c>
      <c r="F152" s="5" t="inlineStr">
        <is>
          <t xml:space="preserve">DEPARTAMENTO DE CREDITOS </t>
        </is>
      </c>
      <c r="G152" s="5" t="inlineStr">
        <is>
          <t>Gerencia de Negocios</t>
        </is>
      </c>
    </row>
    <row r="153">
      <c r="A153" s="4" t="inlineStr">
        <is>
          <t>345</t>
        </is>
      </c>
      <c r="B153" s="5" t="inlineStr">
        <is>
          <t>ANA EVELYN ROQUE GALEANO</t>
        </is>
      </c>
      <c r="C153" s="4" t="inlineStr">
        <is>
          <t>16/06/2005</t>
        </is>
      </c>
      <c r="D153" s="5" t="inlineStr">
        <is>
          <t>AUXILIAR  DE CREDITOS</t>
        </is>
      </c>
      <c r="E153" s="5" t="inlineStr">
        <is>
          <t xml:space="preserve"> EMPLEADO</t>
        </is>
      </c>
      <c r="F153" s="5" t="inlineStr">
        <is>
          <t xml:space="preserve">DEPARTAMENTO DE CREDITOS </t>
        </is>
      </c>
      <c r="G153" s="5" t="inlineStr">
        <is>
          <t>Gerencia de Negocios</t>
        </is>
      </c>
    </row>
    <row r="154">
      <c r="A154" s="4" t="inlineStr">
        <is>
          <t>377</t>
        </is>
      </c>
      <c r="B154" s="5" t="inlineStr">
        <is>
          <t>MABEL GERALDINE RAMIREZ PORTILLO</t>
        </is>
      </c>
      <c r="C154" s="4" t="inlineStr">
        <is>
          <t>26/06/2006</t>
        </is>
      </c>
      <c r="D154" s="5" t="inlineStr">
        <is>
          <t>SUPERVISOR DE ANALISTAS DE CREDITOS</t>
        </is>
      </c>
      <c r="E154" s="5" t="inlineStr">
        <is>
          <t xml:space="preserve"> EMPLEADO</t>
        </is>
      </c>
      <c r="F154" s="5" t="inlineStr">
        <is>
          <t xml:space="preserve">DEPARTAMENTO DE CREDITOS </t>
        </is>
      </c>
      <c r="G154" s="5" t="inlineStr">
        <is>
          <t>Gerencia de Negocios</t>
        </is>
      </c>
    </row>
    <row r="155">
      <c r="A155" s="4" t="inlineStr">
        <is>
          <t>470</t>
        </is>
      </c>
      <c r="B155" s="5" t="inlineStr">
        <is>
          <t xml:space="preserve">ROSALBA RODRIGUEZ JIMENEZ </t>
        </is>
      </c>
      <c r="C155" s="4" t="inlineStr">
        <is>
          <t>01/01/2011</t>
        </is>
      </c>
      <c r="D155" s="5" t="inlineStr">
        <is>
          <t>ANALISTA DE CREDITOS</t>
        </is>
      </c>
      <c r="E155" s="5" t="inlineStr">
        <is>
          <t xml:space="preserve"> EMPLEADO</t>
        </is>
      </c>
      <c r="F155" s="5" t="inlineStr">
        <is>
          <t xml:space="preserve">DEPARTAMENTO DE CREDITOS </t>
        </is>
      </c>
      <c r="G155" s="5" t="inlineStr">
        <is>
          <t>Gerencia de Negocios</t>
        </is>
      </c>
    </row>
    <row r="156">
      <c r="A156" s="4" t="inlineStr">
        <is>
          <t>492</t>
        </is>
      </c>
      <c r="B156" s="5" t="inlineStr">
        <is>
          <t xml:space="preserve">CINDIA IVETTE ZEPEDA VASQUEZ </t>
        </is>
      </c>
      <c r="C156" s="4" t="inlineStr">
        <is>
          <t>20/08/2012</t>
        </is>
      </c>
      <c r="D156" s="5" t="inlineStr">
        <is>
          <t>AUXILIAR  DE CREDITOS</t>
        </is>
      </c>
      <c r="E156" s="5" t="inlineStr">
        <is>
          <t xml:space="preserve"> EMPLEADO</t>
        </is>
      </c>
      <c r="F156" s="5" t="inlineStr">
        <is>
          <t xml:space="preserve">DEPARTAMENTO DE CREDITOS </t>
        </is>
      </c>
      <c r="G156" s="5" t="inlineStr">
        <is>
          <t>Gerencia de Negocios</t>
        </is>
      </c>
    </row>
    <row r="157">
      <c r="A157" s="4" t="inlineStr">
        <is>
          <t>719</t>
        </is>
      </c>
      <c r="B157" s="5" t="inlineStr">
        <is>
          <t>INGRID ALEJANDRINA LISSETH  GUZMAN SANCHEZ</t>
        </is>
      </c>
      <c r="C157" s="4" t="inlineStr">
        <is>
          <t>21/06/2021</t>
        </is>
      </c>
      <c r="D157" s="5" t="inlineStr">
        <is>
          <t>AUXILIAR  DE CREDITOS</t>
        </is>
      </c>
      <c r="E157" s="5" t="inlineStr">
        <is>
          <t xml:space="preserve"> EMPLEADO</t>
        </is>
      </c>
      <c r="F157" s="5" t="inlineStr">
        <is>
          <t xml:space="preserve">DEPARTAMENTO DE CREDITOS </t>
        </is>
      </c>
      <c r="G157" s="5" t="inlineStr">
        <is>
          <t>Gerencia de Negocios</t>
        </is>
      </c>
    </row>
    <row r="158">
      <c r="A158" s="4" t="inlineStr">
        <is>
          <t>730</t>
        </is>
      </c>
      <c r="B158" s="5" t="inlineStr">
        <is>
          <t xml:space="preserve">YANETH  HERNANDEZ YANES </t>
        </is>
      </c>
      <c r="C158" s="4" t="inlineStr">
        <is>
          <t>04/10/2021</t>
        </is>
      </c>
      <c r="D158" s="5" t="inlineStr">
        <is>
          <t>JEFE DE CREDITOS</t>
        </is>
      </c>
      <c r="E158" s="5" t="inlineStr">
        <is>
          <t xml:space="preserve"> EMPLEADO</t>
        </is>
      </c>
      <c r="F158" s="5" t="inlineStr">
        <is>
          <t xml:space="preserve">DEPARTAMENTO DE CREDITOS </t>
        </is>
      </c>
      <c r="G158" s="5" t="inlineStr">
        <is>
          <t>Gerencia de Negocios</t>
        </is>
      </c>
    </row>
    <row r="159">
      <c r="A159" s="4" t="inlineStr">
        <is>
          <t>780</t>
        </is>
      </c>
      <c r="B159" s="5" t="inlineStr">
        <is>
          <t xml:space="preserve">JUAN ANTONIO DE JESUS NUNFIO </t>
        </is>
      </c>
      <c r="C159" s="4" t="inlineStr">
        <is>
          <t>17/10/2022</t>
        </is>
      </c>
      <c r="D159" s="5" t="inlineStr">
        <is>
          <t>ANALISTA DE CREDITOS</t>
        </is>
      </c>
      <c r="E159" s="5" t="inlineStr">
        <is>
          <t xml:space="preserve"> EMPLEADO</t>
        </is>
      </c>
      <c r="F159" s="5" t="inlineStr">
        <is>
          <t xml:space="preserve">DEPARTAMENTO DE CREDITOS </t>
        </is>
      </c>
      <c r="G159" s="5" t="inlineStr">
        <is>
          <t>Gerencia de Negocios</t>
        </is>
      </c>
    </row>
    <row r="160">
      <c r="A160" s="4" t="inlineStr">
        <is>
          <t>781</t>
        </is>
      </c>
      <c r="B160" s="5" t="inlineStr">
        <is>
          <t xml:space="preserve">SOFIA SOLEDAD CASTRO VALLE </t>
        </is>
      </c>
      <c r="C160" s="4" t="inlineStr">
        <is>
          <t>17/10/2022</t>
        </is>
      </c>
      <c r="D160" s="5" t="inlineStr">
        <is>
          <t>AUXILIAR  DE CREDITOS</t>
        </is>
      </c>
      <c r="E160" s="5" t="inlineStr">
        <is>
          <t xml:space="preserve"> EMPLEADO</t>
        </is>
      </c>
      <c r="F160" s="5" t="inlineStr">
        <is>
          <t xml:space="preserve">DEPARTAMENTO DE CREDITOS </t>
        </is>
      </c>
      <c r="G160" s="5" t="inlineStr">
        <is>
          <t>Gerencia de Negocios</t>
        </is>
      </c>
    </row>
    <row r="161">
      <c r="A161" s="4" t="inlineStr">
        <is>
          <t>809</t>
        </is>
      </c>
      <c r="B161" s="5" t="inlineStr">
        <is>
          <t xml:space="preserve">KARLA VANESSA GARCIA OLIVA </t>
        </is>
      </c>
      <c r="C161" s="4" t="inlineStr">
        <is>
          <t>08/05/2023</t>
        </is>
      </c>
      <c r="D161" s="5" t="inlineStr">
        <is>
          <t>ANALISTA DE CREDITOS</t>
        </is>
      </c>
      <c r="E161" s="5" t="inlineStr">
        <is>
          <t xml:space="preserve"> EMPLEADO</t>
        </is>
      </c>
      <c r="F161" s="5" t="inlineStr">
        <is>
          <t xml:space="preserve">DEPARTAMENTO DE CREDITOS </t>
        </is>
      </c>
      <c r="G161" s="5" t="inlineStr">
        <is>
          <t>Gerencia de Negocios</t>
        </is>
      </c>
    </row>
    <row r="162">
      <c r="A162" s="4" t="inlineStr">
        <is>
          <t>837</t>
        </is>
      </c>
      <c r="B162" s="5" t="inlineStr">
        <is>
          <t>DAYANA ABIGAIL CHAVEZ CORDOVA</t>
        </is>
      </c>
      <c r="C162" s="4" t="inlineStr">
        <is>
          <t>12/05/2025</t>
        </is>
      </c>
      <c r="D162" s="5" t="inlineStr">
        <is>
          <t>GESTOR DE EXPEDIENTES</t>
        </is>
      </c>
      <c r="E162" s="5" t="inlineStr">
        <is>
          <t xml:space="preserve"> EMPLEADO</t>
        </is>
      </c>
      <c r="F162" s="5" t="inlineStr">
        <is>
          <t xml:space="preserve">DEPARTAMENTO DE CREDITOS </t>
        </is>
      </c>
      <c r="G162" s="5" t="inlineStr">
        <is>
          <t>Gerencia de Negocios</t>
        </is>
      </c>
    </row>
    <row r="163">
      <c r="A163" s="4" t="inlineStr">
        <is>
          <t>939</t>
        </is>
      </c>
      <c r="B163" s="5" t="inlineStr">
        <is>
          <t xml:space="preserve">MARIO LEONEL CANDRAY FLORES </t>
        </is>
      </c>
      <c r="C163" s="4" t="inlineStr">
        <is>
          <t>09/08/2025</t>
        </is>
      </c>
      <c r="D163" s="5" t="inlineStr">
        <is>
          <t>ANALISTA DE CREDITOS</t>
        </is>
      </c>
      <c r="E163" s="5" t="inlineStr">
        <is>
          <t xml:space="preserve"> EMPLEADO</t>
        </is>
      </c>
      <c r="F163" s="5" t="inlineStr">
        <is>
          <t xml:space="preserve">DEPARTAMENTO DE CREDITOS </t>
        </is>
      </c>
      <c r="G163" s="5" t="inlineStr">
        <is>
          <t>Gerencia de Negocios</t>
        </is>
      </c>
    </row>
    <row r="164">
      <c r="A164" s="4" t="inlineStr">
        <is>
          <t>979</t>
        </is>
      </c>
      <c r="B164" s="5" t="inlineStr">
        <is>
          <t xml:space="preserve">MARIA LILIAN MENJIVAR GUARDADO </t>
        </is>
      </c>
      <c r="C164" s="4" t="inlineStr">
        <is>
          <t>17/08/2026</t>
        </is>
      </c>
      <c r="D164" s="5" t="inlineStr">
        <is>
          <t>ANALISTA DE CREDITOS</t>
        </is>
      </c>
      <c r="E164" s="5" t="inlineStr">
        <is>
          <t xml:space="preserve"> EMPLEADO</t>
        </is>
      </c>
      <c r="F164" s="5" t="inlineStr">
        <is>
          <t xml:space="preserve">DEPARTAMENTO DE CREDITOS </t>
        </is>
      </c>
      <c r="G164" s="5" t="inlineStr">
        <is>
          <t>Gerencia de Negocios</t>
        </is>
      </c>
    </row>
    <row r="165">
      <c r="A165" s="4" t="inlineStr">
        <is>
          <t>544</t>
        </is>
      </c>
      <c r="B165" s="5" t="inlineStr">
        <is>
          <t>CLAUDIA MARISOL MADRID BARRIENTOS</t>
        </is>
      </c>
      <c r="C165" s="4" t="inlineStr">
        <is>
          <t>02/01/2015</t>
        </is>
      </c>
      <c r="D165" s="5" t="inlineStr">
        <is>
          <t>GESTOR DE  RECLAMOS Y SUSCRIPCIONES</t>
        </is>
      </c>
      <c r="E165" s="5" t="inlineStr">
        <is>
          <t xml:space="preserve"> EMPLEADO</t>
        </is>
      </c>
      <c r="F165" s="5" t="inlineStr">
        <is>
          <t xml:space="preserve">DEPARTAMENTO DE SEGUROS </t>
        </is>
      </c>
      <c r="G165" s="5" t="inlineStr">
        <is>
          <t>Gerencia de Negocios</t>
        </is>
      </c>
    </row>
    <row r="166">
      <c r="A166" s="4" t="inlineStr">
        <is>
          <t>589</t>
        </is>
      </c>
      <c r="B166" s="5" t="inlineStr">
        <is>
          <t xml:space="preserve">CLELIA LIZETH ORTIZ GALDAMEZ </t>
        </is>
      </c>
      <c r="C166" s="4" t="inlineStr">
        <is>
          <t>08/03/2017</t>
        </is>
      </c>
      <c r="D166" s="5" t="inlineStr">
        <is>
          <t>AUXILIAR DE ADMINISTRACION DE SEGUROS</t>
        </is>
      </c>
      <c r="E166" s="5" t="inlineStr">
        <is>
          <t xml:space="preserve"> EMPLEADO</t>
        </is>
      </c>
      <c r="F166" s="5" t="inlineStr">
        <is>
          <t xml:space="preserve">DEPARTAMENTO DE SEGUROS </t>
        </is>
      </c>
      <c r="G166" s="5" t="inlineStr">
        <is>
          <t>Gerencia de Negocios</t>
        </is>
      </c>
    </row>
    <row r="167">
      <c r="A167" s="4" t="inlineStr">
        <is>
          <t>639</t>
        </is>
      </c>
      <c r="B167" s="5" t="inlineStr">
        <is>
          <t xml:space="preserve">CARLOS ALEXANDER ROMERO ROMERO </t>
        </is>
      </c>
      <c r="C167" s="4" t="inlineStr">
        <is>
          <t>01/04/2019</t>
        </is>
      </c>
      <c r="D167" s="5" t="inlineStr">
        <is>
          <t>GESTOR DE CARTERA DE SEGUROS</t>
        </is>
      </c>
      <c r="E167" s="5" t="inlineStr">
        <is>
          <t xml:space="preserve"> EMPLEADO</t>
        </is>
      </c>
      <c r="F167" s="5" t="inlineStr">
        <is>
          <t xml:space="preserve">DEPARTAMENTO DE SEGUROS </t>
        </is>
      </c>
      <c r="G167" s="5" t="inlineStr">
        <is>
          <t>Gerencia de Negocios</t>
        </is>
      </c>
    </row>
    <row r="168">
      <c r="A168" s="4" t="inlineStr">
        <is>
          <t>643</t>
        </is>
      </c>
      <c r="B168" s="5" t="inlineStr">
        <is>
          <t xml:space="preserve">LISSETTE MARICELA SANCHEZ MOLINA </t>
        </is>
      </c>
      <c r="C168" s="4" t="inlineStr">
        <is>
          <t>02/05/2019</t>
        </is>
      </c>
      <c r="D168" s="5" t="inlineStr">
        <is>
          <t>ASISTENTE DE SEGUROS</t>
        </is>
      </c>
      <c r="E168" s="5" t="inlineStr">
        <is>
          <t xml:space="preserve"> EMPLEADO</t>
        </is>
      </c>
      <c r="F168" s="5" t="inlineStr">
        <is>
          <t xml:space="preserve">DEPARTAMENTO DE SEGUROS </t>
        </is>
      </c>
      <c r="G168" s="5" t="inlineStr">
        <is>
          <t>Gerencia de Negocios</t>
        </is>
      </c>
    </row>
    <row r="169">
      <c r="A169" s="4" t="inlineStr">
        <is>
          <t>689</t>
        </is>
      </c>
      <c r="B169" s="5" t="inlineStr">
        <is>
          <t xml:space="preserve">RAUL ERNESTO PALACIOS LANDAVERDE </t>
        </is>
      </c>
      <c r="C169" s="4" t="inlineStr">
        <is>
          <t>16/11/2020</t>
        </is>
      </c>
      <c r="D169" s="5" t="inlineStr">
        <is>
          <t>TECNICO DEL SEGURO DE SALUD</t>
        </is>
      </c>
      <c r="E169" s="5" t="inlineStr">
        <is>
          <t xml:space="preserve"> EMPLEADO</t>
        </is>
      </c>
      <c r="F169" s="5" t="inlineStr">
        <is>
          <t xml:space="preserve">DEPARTAMENTO DE SEGUROS </t>
        </is>
      </c>
      <c r="G169" s="5" t="inlineStr">
        <is>
          <t>Gerencia de Negocios</t>
        </is>
      </c>
    </row>
    <row r="170">
      <c r="A170" s="4" t="inlineStr">
        <is>
          <t>792</t>
        </is>
      </c>
      <c r="B170" s="5" t="inlineStr">
        <is>
          <t xml:space="preserve">JENNYFER AYLIN ESCOBAR ZAMORA </t>
        </is>
      </c>
      <c r="C170" s="4" t="inlineStr">
        <is>
          <t>16/11/2022</t>
        </is>
      </c>
      <c r="D170" s="5" t="inlineStr">
        <is>
          <t>COORDINADOR COMERCIAL DE SEGUROS</t>
        </is>
      </c>
      <c r="E170" s="5" t="inlineStr">
        <is>
          <t xml:space="preserve"> EMPLEADO</t>
        </is>
      </c>
      <c r="F170" s="5" t="inlineStr">
        <is>
          <t xml:space="preserve">DEPARTAMENTO DE SEGUROS </t>
        </is>
      </c>
      <c r="G170" s="5" t="inlineStr">
        <is>
          <t>Gerencia de Negocios</t>
        </is>
      </c>
    </row>
    <row r="171">
      <c r="A171" s="4" t="inlineStr">
        <is>
          <t>793</t>
        </is>
      </c>
      <c r="B171" s="5" t="inlineStr">
        <is>
          <t>KRIZIA BETSABE FLORES MARTINEZ</t>
        </is>
      </c>
      <c r="C171" s="4" t="inlineStr">
        <is>
          <t>05/12/2022</t>
        </is>
      </c>
      <c r="D171" s="5" t="inlineStr">
        <is>
          <t>JEFE DE SEGUROS</t>
        </is>
      </c>
      <c r="E171" s="5" t="inlineStr">
        <is>
          <t xml:space="preserve"> EMPLEADO</t>
        </is>
      </c>
      <c r="F171" s="5" t="inlineStr">
        <is>
          <t xml:space="preserve">DEPARTAMENTO DE SEGUROS </t>
        </is>
      </c>
      <c r="G171" s="5" t="inlineStr">
        <is>
          <t>Gerencia de Negocios</t>
        </is>
      </c>
    </row>
    <row r="172">
      <c r="A172" s="4" t="inlineStr">
        <is>
          <t>802</t>
        </is>
      </c>
      <c r="B172" s="5" t="inlineStr">
        <is>
          <t xml:space="preserve">ERIKA VANESSA ALEMAN MIJANGO </t>
        </is>
      </c>
      <c r="C172" s="4" t="inlineStr">
        <is>
          <t>16/03/2023</t>
        </is>
      </c>
      <c r="D172" s="5" t="inlineStr">
        <is>
          <t>EJECUTIVO DE VENTA DE SEGUROS</t>
        </is>
      </c>
      <c r="E172" s="5" t="inlineStr">
        <is>
          <t xml:space="preserve"> EMPLEADO</t>
        </is>
      </c>
      <c r="F172" s="5" t="inlineStr">
        <is>
          <t xml:space="preserve">DEPARTAMENTO DE SEGUROS </t>
        </is>
      </c>
      <c r="G172" s="5" t="inlineStr">
        <is>
          <t>Gerencia de Negocios</t>
        </is>
      </c>
    </row>
    <row r="173">
      <c r="A173" s="4" t="inlineStr">
        <is>
          <t>805</t>
        </is>
      </c>
      <c r="B173" s="5" t="inlineStr">
        <is>
          <t xml:space="preserve">JUANA HAZEL GARCIA COREAS </t>
        </is>
      </c>
      <c r="C173" s="4" t="inlineStr">
        <is>
          <t>17/04/2023</t>
        </is>
      </c>
      <c r="D173" s="5" t="inlineStr">
        <is>
          <t>EJECUTIVO DE VENTA DE SEGUROS</t>
        </is>
      </c>
      <c r="E173" s="5" t="inlineStr">
        <is>
          <t xml:space="preserve"> EMPLEADO</t>
        </is>
      </c>
      <c r="F173" s="5" t="inlineStr">
        <is>
          <t xml:space="preserve">DEPARTAMENTO DE SEGUROS </t>
        </is>
      </c>
      <c r="G173" s="5" t="inlineStr">
        <is>
          <t>Gerencia de Negocios</t>
        </is>
      </c>
    </row>
    <row r="174">
      <c r="A174" s="4" t="inlineStr">
        <is>
          <t>869</t>
        </is>
      </c>
      <c r="B174" s="5" t="inlineStr">
        <is>
          <t xml:space="preserve">JENNIFER BETSABE MARAVILLA MORENO </t>
        </is>
      </c>
      <c r="C174" s="4" t="inlineStr">
        <is>
          <t>22/04/2024</t>
        </is>
      </c>
      <c r="D174" s="5" t="inlineStr">
        <is>
          <t>EJECUTIVO DE VENTA DE SEGUROS</t>
        </is>
      </c>
      <c r="E174" s="5" t="inlineStr">
        <is>
          <t xml:space="preserve"> EMPLEADO</t>
        </is>
      </c>
      <c r="F174" s="5" t="inlineStr">
        <is>
          <t xml:space="preserve">DEPARTAMENTO DE SEGUROS </t>
        </is>
      </c>
      <c r="G174" s="5" t="inlineStr">
        <is>
          <t>Gerencia de Negocios</t>
        </is>
      </c>
    </row>
    <row r="175">
      <c r="A175" s="4" t="inlineStr">
        <is>
          <t>894</t>
        </is>
      </c>
      <c r="B175" s="5" t="inlineStr">
        <is>
          <t xml:space="preserve">HENRY OSWALDO PINEDA GARCIA </t>
        </is>
      </c>
      <c r="C175" s="4" t="inlineStr">
        <is>
          <t>23/09/2024</t>
        </is>
      </c>
      <c r="D175" s="5" t="inlineStr">
        <is>
          <t>EJECUTIVO  MOVIL DE SEGUROS</t>
        </is>
      </c>
      <c r="E175" s="5" t="inlineStr">
        <is>
          <t xml:space="preserve"> EMPLEADO</t>
        </is>
      </c>
      <c r="F175" s="5" t="inlineStr">
        <is>
          <t xml:space="preserve">DEPARTAMENTO DE SEGUROS </t>
        </is>
      </c>
      <c r="G175" s="5" t="inlineStr">
        <is>
          <t>Gerencia de Negocios</t>
        </is>
      </c>
    </row>
    <row r="176">
      <c r="A176" s="4" t="inlineStr">
        <is>
          <t>422</t>
        </is>
      </c>
      <c r="B176" s="5" t="inlineStr">
        <is>
          <t>CLAUDIA VERONICA LARA RODAS</t>
        </is>
      </c>
      <c r="C176" s="4" t="inlineStr">
        <is>
          <t>29/01/2008</t>
        </is>
      </c>
      <c r="D176" s="5" t="inlineStr">
        <is>
          <t>ASISTENTE COMERCIAL DE TARJETA DE CREDITO</t>
        </is>
      </c>
      <c r="E176" s="5" t="inlineStr">
        <is>
          <t xml:space="preserve"> EMPLEADO</t>
        </is>
      </c>
      <c r="F176" s="5" t="inlineStr">
        <is>
          <t>DEPARTAMENTO COMERCIAL DE TARJETA DE CREDITO Y DEBITO</t>
        </is>
      </c>
      <c r="G176" s="5" t="inlineStr">
        <is>
          <t>Gerencia General</t>
        </is>
      </c>
    </row>
    <row r="177">
      <c r="A177" s="4" t="inlineStr">
        <is>
          <t>533</t>
        </is>
      </c>
      <c r="B177" s="5" t="inlineStr">
        <is>
          <t xml:space="preserve">LIDIA PATRICIA MORALES AVALOS </t>
        </is>
      </c>
      <c r="C177" s="4" t="inlineStr">
        <is>
          <t>12/05/2014</t>
        </is>
      </c>
      <c r="D177" s="5" t="inlineStr">
        <is>
          <t>JEFE COMERCIAL DE TARJETA DE CREDITO</t>
        </is>
      </c>
      <c r="E177" s="5" t="inlineStr">
        <is>
          <t xml:space="preserve"> EMPLEADO</t>
        </is>
      </c>
      <c r="F177" s="5" t="inlineStr">
        <is>
          <t>DEPARTAMENTO COMERCIAL DE TARJETA DE CREDITO Y DEBITO</t>
        </is>
      </c>
      <c r="G177" s="5" t="inlineStr">
        <is>
          <t>Gerencia General</t>
        </is>
      </c>
    </row>
    <row r="178">
      <c r="A178" s="4" t="inlineStr">
        <is>
          <t>654</t>
        </is>
      </c>
      <c r="B178" s="5" t="inlineStr">
        <is>
          <t xml:space="preserve">GABRIELA ALEJANDRA RODRIGUEZ ARIAS </t>
        </is>
      </c>
      <c r="C178" s="4" t="inlineStr">
        <is>
          <t>24/06/2019</t>
        </is>
      </c>
      <c r="D178" s="5" t="inlineStr">
        <is>
          <t>AUXILIAR DE ATENCION AL CLIENTE</t>
        </is>
      </c>
      <c r="E178" s="5" t="inlineStr">
        <is>
          <t xml:space="preserve"> EMPLEADO</t>
        </is>
      </c>
      <c r="F178" s="5" t="inlineStr">
        <is>
          <t>DEPARTAMENTO COMERCIAL DE TARJETA DE CREDITO Y DEBITO</t>
        </is>
      </c>
      <c r="G178" s="5" t="inlineStr">
        <is>
          <t>Gerencia General</t>
        </is>
      </c>
    </row>
    <row r="179">
      <c r="A179" s="4" t="inlineStr">
        <is>
          <t>655</t>
        </is>
      </c>
      <c r="B179" s="5" t="inlineStr">
        <is>
          <t xml:space="preserve">JOSE ALEXANDER ABREGO </t>
        </is>
      </c>
      <c r="C179" s="4" t="inlineStr">
        <is>
          <t>04/07/2019</t>
        </is>
      </c>
      <c r="D179" s="5" t="inlineStr">
        <is>
          <t>EJECUTIVO DE NEGOCIOS</t>
        </is>
      </c>
      <c r="E179" s="5" t="inlineStr">
        <is>
          <t xml:space="preserve"> EMPLEADO</t>
        </is>
      </c>
      <c r="F179" s="5" t="inlineStr">
        <is>
          <t>DEPARTAMENTO COMERCIAL DE TARJETA DE CREDITO Y DEBITO</t>
        </is>
      </c>
      <c r="G179" s="5" t="inlineStr">
        <is>
          <t>Gerencia General</t>
        </is>
      </c>
    </row>
    <row r="180">
      <c r="A180" s="4" t="inlineStr">
        <is>
          <t>669</t>
        </is>
      </c>
      <c r="B180" s="5" t="inlineStr">
        <is>
          <t xml:space="preserve">ANTONIO ALEXANDER  ALFARO ARGUETA </t>
        </is>
      </c>
      <c r="C180" s="4" t="inlineStr">
        <is>
          <t>21/10/2019</t>
        </is>
      </c>
      <c r="D180" s="5" t="inlineStr">
        <is>
          <t>EJECUTIVO DE NEGOCIOS</t>
        </is>
      </c>
      <c r="E180" s="5" t="inlineStr">
        <is>
          <t xml:space="preserve"> EMPLEADO</t>
        </is>
      </c>
      <c r="F180" s="5" t="inlineStr">
        <is>
          <t>DEPARTAMENTO COMERCIAL DE TARJETA DE CREDITO Y DEBITO</t>
        </is>
      </c>
      <c r="G180" s="5" t="inlineStr">
        <is>
          <t>Gerencia General</t>
        </is>
      </c>
    </row>
    <row r="181">
      <c r="A181" s="4" t="inlineStr">
        <is>
          <t>715</t>
        </is>
      </c>
      <c r="B181" s="5" t="inlineStr">
        <is>
          <t xml:space="preserve">KAREN MARCELA BARILLAS MOLINA </t>
        </is>
      </c>
      <c r="C181" s="4" t="inlineStr">
        <is>
          <t>17/05/2021</t>
        </is>
      </c>
      <c r="D181" s="5" t="inlineStr">
        <is>
          <t>AUXILIAR DE ATENCION AL TARJETAHABIENTE</t>
        </is>
      </c>
      <c r="E181" s="5" t="inlineStr">
        <is>
          <t xml:space="preserve"> EMPLEADO</t>
        </is>
      </c>
      <c r="F181" s="5" t="inlineStr">
        <is>
          <t>DEPARTAMENTO COMERCIAL DE TARJETA DE CREDITO Y DEBITO</t>
        </is>
      </c>
      <c r="G181" s="5" t="inlineStr">
        <is>
          <t>Gerencia General</t>
        </is>
      </c>
    </row>
    <row r="182">
      <c r="A182" s="4" t="inlineStr">
        <is>
          <t>835</t>
        </is>
      </c>
      <c r="B182" s="5" t="inlineStr">
        <is>
          <t xml:space="preserve">LUIS ALBERTO MEJIA DELGADO </t>
        </is>
      </c>
      <c r="C182" s="4" t="inlineStr">
        <is>
          <t>02/03/2024</t>
        </is>
      </c>
      <c r="D182" s="5" t="inlineStr">
        <is>
          <t>EJECUTIVO DE NEGOCIOS</t>
        </is>
      </c>
      <c r="E182" s="5" t="inlineStr">
        <is>
          <t xml:space="preserve"> EMPLEADO</t>
        </is>
      </c>
      <c r="F182" s="5" t="inlineStr">
        <is>
          <t>DEPARTAMENTO COMERCIAL DE TARJETA DE CREDITO Y DEBITO</t>
        </is>
      </c>
      <c r="G182" s="5" t="inlineStr">
        <is>
          <t>Gerencia General</t>
        </is>
      </c>
    </row>
    <row r="183">
      <c r="A183" s="4" t="inlineStr">
        <is>
          <t>858</t>
        </is>
      </c>
      <c r="B183" s="5" t="inlineStr">
        <is>
          <t xml:space="preserve">GABRIEL FRANCISCO MOLINA DIAZ </t>
        </is>
      </c>
      <c r="C183" s="4" t="inlineStr">
        <is>
          <t>18/03/2024</t>
        </is>
      </c>
      <c r="D183" s="5" t="inlineStr">
        <is>
          <t>EJECUTIVO DE NEGOCIOS</t>
        </is>
      </c>
      <c r="E183" s="5" t="inlineStr">
        <is>
          <t xml:space="preserve"> EMPLEADO</t>
        </is>
      </c>
      <c r="F183" s="5" t="inlineStr">
        <is>
          <t>DEPARTAMENTO COMERCIAL DE TARJETA DE CREDITO Y DEBITO</t>
        </is>
      </c>
      <c r="G183" s="5" t="inlineStr">
        <is>
          <t>Gerencia General</t>
        </is>
      </c>
    </row>
    <row r="184">
      <c r="A184" s="4" t="inlineStr">
        <is>
          <t>215</t>
        </is>
      </c>
      <c r="B184" s="5" t="inlineStr">
        <is>
          <t xml:space="preserve">LUIS MARCELO CRUZ VIGIL </t>
        </is>
      </c>
      <c r="C184" s="4" t="inlineStr">
        <is>
          <t>21/08/2000</t>
        </is>
      </c>
      <c r="D184" s="5" t="inlineStr">
        <is>
          <t>SUB GERENTE DE CANALES</t>
        </is>
      </c>
      <c r="E184" s="5" t="inlineStr">
        <is>
          <t xml:space="preserve"> EMPLEADO</t>
        </is>
      </c>
      <c r="F184" s="5" t="inlineStr">
        <is>
          <t xml:space="preserve">SUB GERENCIA DE CANALES </t>
        </is>
      </c>
      <c r="G184" s="5" t="inlineStr">
        <is>
          <t>Gerencia de Negocios</t>
        </is>
      </c>
    </row>
    <row r="185">
      <c r="A185" s="4" t="inlineStr">
        <is>
          <t>581</t>
        </is>
      </c>
      <c r="B185" s="5" t="inlineStr">
        <is>
          <t xml:space="preserve">JUAN CARLOS AGUILAR ASCENCIO </t>
        </is>
      </c>
      <c r="C185" s="4" t="inlineStr">
        <is>
          <t>01/11/2016</t>
        </is>
      </c>
      <c r="D185" s="5" t="inlineStr">
        <is>
          <t>CAJERO MOVIL</t>
        </is>
      </c>
      <c r="E185" s="5" t="inlineStr">
        <is>
          <t xml:space="preserve"> EMPLEADO</t>
        </is>
      </c>
      <c r="F185" s="5" t="inlineStr">
        <is>
          <t xml:space="preserve">SUB GERENCIA DE CANALES </t>
        </is>
      </c>
      <c r="G185" s="5" t="inlineStr">
        <is>
          <t>Gerencia de Negocios</t>
        </is>
      </c>
    </row>
    <row r="186">
      <c r="A186" s="4" t="inlineStr">
        <is>
          <t>585</t>
        </is>
      </c>
      <c r="B186" s="5" t="inlineStr">
        <is>
          <t xml:space="preserve">NANCY ROCIO MENJIVAR RIVAS </t>
        </is>
      </c>
      <c r="C186" s="4" t="inlineStr">
        <is>
          <t>02/01/2017</t>
        </is>
      </c>
      <c r="D186" s="5" t="inlineStr">
        <is>
          <t>EJECUTIVO  MOVIL DE SEGUROS</t>
        </is>
      </c>
      <c r="E186" s="5" t="inlineStr">
        <is>
          <t xml:space="preserve"> EMPLEADO</t>
        </is>
      </c>
      <c r="F186" s="5" t="inlineStr">
        <is>
          <t xml:space="preserve">SUB GERENCIA DE CANALES </t>
        </is>
      </c>
      <c r="G186" s="5" t="inlineStr">
        <is>
          <t>Gerencia de Negocios</t>
        </is>
      </c>
    </row>
    <row r="187">
      <c r="A187" s="4" t="inlineStr">
        <is>
          <t>651</t>
        </is>
      </c>
      <c r="B187" s="5" t="inlineStr">
        <is>
          <t xml:space="preserve">LUIS FERNANDO MORAN GARCIA </t>
        </is>
      </c>
      <c r="C187" s="4" t="inlineStr">
        <is>
          <t>16/02/2026</t>
        </is>
      </c>
      <c r="D187" s="5" t="inlineStr">
        <is>
          <t>JEFE MOVIL DE AGENCIAS</t>
        </is>
      </c>
      <c r="E187" s="5" t="inlineStr">
        <is>
          <t xml:space="preserve"> EMPLEADO</t>
        </is>
      </c>
      <c r="F187" s="5" t="inlineStr">
        <is>
          <t xml:space="preserve">SUB GERENCIA DE CANALES </t>
        </is>
      </c>
      <c r="G187" s="5" t="inlineStr">
        <is>
          <t>Gerencia de Negocios</t>
        </is>
      </c>
    </row>
    <row r="188">
      <c r="A188" s="4" t="inlineStr">
        <is>
          <t>713</t>
        </is>
      </c>
      <c r="B188" s="5" t="inlineStr">
        <is>
          <t xml:space="preserve">SANDRA VERONICA ACEVEDO BELTRAN </t>
        </is>
      </c>
      <c r="C188" s="4" t="inlineStr">
        <is>
          <t>03/05/2021</t>
        </is>
      </c>
      <c r="D188" s="5" t="inlineStr">
        <is>
          <t xml:space="preserve">ASISTENTE PARA CORRESPONSALES FINANCIEROS </t>
        </is>
      </c>
      <c r="E188" s="5" t="inlineStr">
        <is>
          <t xml:space="preserve"> EMPLEADO</t>
        </is>
      </c>
      <c r="F188" s="5" t="inlineStr">
        <is>
          <t xml:space="preserve">SUB GERENCIA DE CANALES </t>
        </is>
      </c>
      <c r="G188" s="5" t="inlineStr">
        <is>
          <t>Gerencia de Negocios</t>
        </is>
      </c>
    </row>
    <row r="189">
      <c r="A189" s="4" t="inlineStr">
        <is>
          <t>854</t>
        </is>
      </c>
      <c r="B189" s="5" t="inlineStr">
        <is>
          <t xml:space="preserve">REBECA ABIGAIL VEGA FLORES </t>
        </is>
      </c>
      <c r="C189" s="4" t="inlineStr">
        <is>
          <t>05/02/2024</t>
        </is>
      </c>
      <c r="D189" s="5" t="inlineStr">
        <is>
          <t>CAJERO MOVIL</t>
        </is>
      </c>
      <c r="E189" s="5" t="inlineStr">
        <is>
          <t xml:space="preserve"> EMPLEADO</t>
        </is>
      </c>
      <c r="F189" s="5" t="inlineStr">
        <is>
          <t xml:space="preserve">SUB GERENCIA DE CANALES </t>
        </is>
      </c>
      <c r="G189" s="5" t="inlineStr">
        <is>
          <t>Gerencia de Negocios</t>
        </is>
      </c>
    </row>
    <row r="190">
      <c r="A190" s="4" t="inlineStr">
        <is>
          <t>968</t>
        </is>
      </c>
      <c r="B190" s="5" t="inlineStr">
        <is>
          <t xml:space="preserve">SAMUEL ALBERTO SALGUERO RODRIGUEZ </t>
        </is>
      </c>
      <c r="C190" s="4" t="inlineStr">
        <is>
          <t>11/05/2026</t>
        </is>
      </c>
      <c r="D190" s="5" t="inlineStr">
        <is>
          <t>CAJERO MOVIL</t>
        </is>
      </c>
      <c r="E190" s="5" t="inlineStr">
        <is>
          <t xml:space="preserve"> EMPLEADO</t>
        </is>
      </c>
      <c r="F190" s="5" t="inlineStr">
        <is>
          <t xml:space="preserve">SUB GERENCIA DE CANALES </t>
        </is>
      </c>
      <c r="G190" s="5" t="inlineStr">
        <is>
          <t>Gerencia de Negocios</t>
        </is>
      </c>
    </row>
    <row r="191">
      <c r="A191" s="4" t="inlineStr">
        <is>
          <t>33</t>
        </is>
      </c>
      <c r="B191" s="5" t="inlineStr">
        <is>
          <t xml:space="preserve">CAROLINA ELIZABETH RAMIREZ PONCE </t>
        </is>
      </c>
      <c r="C191" s="4" t="inlineStr">
        <is>
          <t>20/12/1993</t>
        </is>
      </c>
      <c r="D191" s="5" t="inlineStr">
        <is>
          <t>SUBJEFE DE  AGENCIA</t>
        </is>
      </c>
      <c r="E191" s="5" t="inlineStr">
        <is>
          <t xml:space="preserve"> EMPLEADO</t>
        </is>
      </c>
      <c r="F191" s="5" t="inlineStr">
        <is>
          <t xml:space="preserve">AGENCIA CENTRAL  </t>
        </is>
      </c>
      <c r="G191" s="5" t="inlineStr">
        <is>
          <t>Gerencia de Negocios (Agencias)</t>
        </is>
      </c>
    </row>
    <row r="192">
      <c r="A192" s="4" t="inlineStr">
        <is>
          <t>49</t>
        </is>
      </c>
      <c r="B192" s="5" t="inlineStr">
        <is>
          <t>GRISELDA DEL CARMEN DOMINGUEZ MERINO</t>
        </is>
      </c>
      <c r="C192" s="4" t="inlineStr">
        <is>
          <t>04/07/1988</t>
        </is>
      </c>
      <c r="D192" s="5" t="inlineStr">
        <is>
          <t>EJECUTIVO DE NEGOCIOS</t>
        </is>
      </c>
      <c r="E192" s="5" t="inlineStr">
        <is>
          <t xml:space="preserve"> EMPLEADO</t>
        </is>
      </c>
      <c r="F192" s="5" t="inlineStr">
        <is>
          <t xml:space="preserve">AGENCIA CENTRAL  </t>
        </is>
      </c>
      <c r="G192" s="5" t="inlineStr">
        <is>
          <t>Gerencia de Negocios (Agencias)</t>
        </is>
      </c>
    </row>
    <row r="193">
      <c r="A193" s="4" t="inlineStr">
        <is>
          <t>234</t>
        </is>
      </c>
      <c r="B193" s="5" t="inlineStr">
        <is>
          <t xml:space="preserve">LETICIA ESMERALDA ROSA </t>
        </is>
      </c>
      <c r="C193" s="4" t="inlineStr">
        <is>
          <t>21/03/2001</t>
        </is>
      </c>
      <c r="D193" s="5" t="inlineStr">
        <is>
          <t>EJECUTIVO DE NEGOCIOS</t>
        </is>
      </c>
      <c r="E193" s="5" t="inlineStr">
        <is>
          <t xml:space="preserve"> EMPLEADO</t>
        </is>
      </c>
      <c r="F193" s="5" t="inlineStr">
        <is>
          <t xml:space="preserve">AGENCIA CENTRAL  </t>
        </is>
      </c>
      <c r="G193" s="5" t="inlineStr">
        <is>
          <t>Gerencia de Negocios (Agencias)</t>
        </is>
      </c>
    </row>
    <row r="194">
      <c r="A194" s="4" t="inlineStr">
        <is>
          <t>253</t>
        </is>
      </c>
      <c r="B194" s="5" t="inlineStr">
        <is>
          <t xml:space="preserve">ELSY GUADALUPE COREA AGUILUZ </t>
        </is>
      </c>
      <c r="C194" s="4" t="inlineStr">
        <is>
          <t>25/08/2001</t>
        </is>
      </c>
      <c r="D194" s="5" t="inlineStr">
        <is>
          <t>EJECUTIVO DE NEGOCIOS</t>
        </is>
      </c>
      <c r="E194" s="5" t="inlineStr">
        <is>
          <t xml:space="preserve"> EMPLEADO</t>
        </is>
      </c>
      <c r="F194" s="5" t="inlineStr">
        <is>
          <t xml:space="preserve">AGENCIA CENTRAL  </t>
        </is>
      </c>
      <c r="G194" s="5" t="inlineStr">
        <is>
          <t>Gerencia de Negocios (Agencias)</t>
        </is>
      </c>
    </row>
    <row r="195">
      <c r="A195" s="4" t="inlineStr">
        <is>
          <t>385</t>
        </is>
      </c>
      <c r="B195" s="5" t="inlineStr">
        <is>
          <t xml:space="preserve">BLANCA ARACELY MORENO HERNANDEZ </t>
        </is>
      </c>
      <c r="C195" s="4" t="inlineStr">
        <is>
          <t>27/07/2006</t>
        </is>
      </c>
      <c r="D195" s="5" t="inlineStr">
        <is>
          <t>AUXILIAR DE OPERACIONES Y ATENCION EN  AGENCIA</t>
        </is>
      </c>
      <c r="E195" s="5" t="inlineStr">
        <is>
          <t xml:space="preserve"> EMPLEADO</t>
        </is>
      </c>
      <c r="F195" s="5" t="inlineStr">
        <is>
          <t xml:space="preserve">AGENCIA CENTRAL  </t>
        </is>
      </c>
      <c r="G195" s="5" t="inlineStr">
        <is>
          <t>Gerencia de Negocios (Agencias)</t>
        </is>
      </c>
    </row>
    <row r="196">
      <c r="A196" s="4" t="inlineStr">
        <is>
          <t>440</t>
        </is>
      </c>
      <c r="B196" s="5" t="inlineStr">
        <is>
          <t xml:space="preserve">KARLA MERCEDES DELEON DELGADO </t>
        </is>
      </c>
      <c r="C196" s="4" t="inlineStr">
        <is>
          <t>09/10/2008</t>
        </is>
      </c>
      <c r="D196" s="5" t="inlineStr">
        <is>
          <t xml:space="preserve">JEFE DE AGENCIA  </t>
        </is>
      </c>
      <c r="E196" s="5" t="inlineStr">
        <is>
          <t xml:space="preserve"> EMPLEADO</t>
        </is>
      </c>
      <c r="F196" s="5" t="inlineStr">
        <is>
          <t xml:space="preserve">AGENCIA CENTRAL  </t>
        </is>
      </c>
      <c r="G196" s="5" t="inlineStr">
        <is>
          <t>Gerencia de Negocios (Agencias)</t>
        </is>
      </c>
    </row>
    <row r="197">
      <c r="A197" s="4" t="inlineStr">
        <is>
          <t>542</t>
        </is>
      </c>
      <c r="B197" s="5" t="inlineStr">
        <is>
          <t xml:space="preserve">ANA SILVIA ROQUE SANCHEZ </t>
        </is>
      </c>
      <c r="C197" s="4" t="inlineStr">
        <is>
          <t>01/01/2015</t>
        </is>
      </c>
      <c r="D197" s="5" t="inlineStr">
        <is>
          <t>EJECUTIVA DE SEGUROS</t>
        </is>
      </c>
      <c r="E197" s="5" t="inlineStr">
        <is>
          <t xml:space="preserve"> EMPLEADO</t>
        </is>
      </c>
      <c r="F197" s="5" t="inlineStr">
        <is>
          <t xml:space="preserve">AGENCIA CENTRAL  </t>
        </is>
      </c>
      <c r="G197" s="5" t="inlineStr">
        <is>
          <t>Gerencia de Negocios (Agencias)</t>
        </is>
      </c>
    </row>
    <row r="198">
      <c r="A198" s="4" t="inlineStr">
        <is>
          <t>739</t>
        </is>
      </c>
      <c r="B198" s="5" t="inlineStr">
        <is>
          <t xml:space="preserve">JOHANA PATRICIA LUNA RAMOS </t>
        </is>
      </c>
      <c r="C198" s="4" t="inlineStr">
        <is>
          <t>03/01/2022</t>
        </is>
      </c>
      <c r="D198" s="5" t="inlineStr">
        <is>
          <t>CAJERO</t>
        </is>
      </c>
      <c r="E198" s="5" t="inlineStr">
        <is>
          <t xml:space="preserve"> EMPLEADO</t>
        </is>
      </c>
      <c r="F198" s="5" t="inlineStr">
        <is>
          <t xml:space="preserve">AGENCIA CENTRAL  </t>
        </is>
      </c>
      <c r="G198" s="5" t="inlineStr">
        <is>
          <t>Gerencia de Negocios (Agencias)</t>
        </is>
      </c>
    </row>
    <row r="199">
      <c r="A199" s="4" t="inlineStr">
        <is>
          <t>757</t>
        </is>
      </c>
      <c r="B199" s="5" t="inlineStr">
        <is>
          <t xml:space="preserve">MARIA DE LOS ANGELES  OSORIO GIL </t>
        </is>
      </c>
      <c r="C199" s="4" t="inlineStr">
        <is>
          <t>01/07/2022</t>
        </is>
      </c>
      <c r="D199" s="5" t="inlineStr">
        <is>
          <t>CAJERO</t>
        </is>
      </c>
      <c r="E199" s="5" t="inlineStr">
        <is>
          <t xml:space="preserve"> EMPLEADO</t>
        </is>
      </c>
      <c r="F199" s="5" t="inlineStr">
        <is>
          <t xml:space="preserve">AGENCIA CENTRAL  </t>
        </is>
      </c>
      <c r="G199" s="5" t="inlineStr">
        <is>
          <t>Gerencia de Negocios (Agencias)</t>
        </is>
      </c>
    </row>
    <row r="200">
      <c r="A200" s="4" t="inlineStr">
        <is>
          <t>768</t>
        </is>
      </c>
      <c r="B200" s="5" t="inlineStr">
        <is>
          <t xml:space="preserve">KATHERINE MICHELLE LOPEZ LOPEZ </t>
        </is>
      </c>
      <c r="C200" s="4" t="inlineStr">
        <is>
          <t>16/08/2022</t>
        </is>
      </c>
      <c r="D200" s="5" t="inlineStr">
        <is>
          <t>AUXILIAR DE OPERACIONES Y ATENCION EN  AGENCIA</t>
        </is>
      </c>
      <c r="E200" s="5" t="inlineStr">
        <is>
          <t xml:space="preserve"> EMPLEADO</t>
        </is>
      </c>
      <c r="F200" s="5" t="inlineStr">
        <is>
          <t xml:space="preserve">AGENCIA CENTRAL  </t>
        </is>
      </c>
      <c r="G200" s="5" t="inlineStr">
        <is>
          <t>Gerencia de Negocios (Agencias)</t>
        </is>
      </c>
    </row>
    <row r="201">
      <c r="A201" s="4" t="inlineStr">
        <is>
          <t>848</t>
        </is>
      </c>
      <c r="B201" s="5" t="inlineStr">
        <is>
          <t xml:space="preserve">JAZMIN ABIGAIL VASQUEZ AVELAR </t>
        </is>
      </c>
      <c r="C201" s="4" t="inlineStr">
        <is>
          <t>05/01/2024</t>
        </is>
      </c>
      <c r="D201" s="5" t="inlineStr">
        <is>
          <t>CAJERO</t>
        </is>
      </c>
      <c r="E201" s="5" t="inlineStr">
        <is>
          <t xml:space="preserve"> EMPLEADO</t>
        </is>
      </c>
      <c r="F201" s="5" t="inlineStr">
        <is>
          <t xml:space="preserve">AGENCIA CENTRAL  </t>
        </is>
      </c>
      <c r="G201" s="5" t="inlineStr">
        <is>
          <t>Gerencia de Negocios (Agencias)</t>
        </is>
      </c>
    </row>
    <row r="202">
      <c r="A202" s="4" t="inlineStr">
        <is>
          <t>857</t>
        </is>
      </c>
      <c r="B202" s="5" t="inlineStr">
        <is>
          <t xml:space="preserve">ESTHER ABIGAIL FLORES GRANDE </t>
        </is>
      </c>
      <c r="C202" s="4" t="inlineStr">
        <is>
          <t>01/06/2024</t>
        </is>
      </c>
      <c r="D202" s="5" t="inlineStr">
        <is>
          <t>AUXILIAR DE OPERACIONES Y ATENCION EN  AGENCIA</t>
        </is>
      </c>
      <c r="E202" s="5" t="inlineStr">
        <is>
          <t xml:space="preserve"> EMPLEADO</t>
        </is>
      </c>
      <c r="F202" s="5" t="inlineStr">
        <is>
          <t xml:space="preserve">AGENCIA CENTRAL  </t>
        </is>
      </c>
      <c r="G202" s="5" t="inlineStr">
        <is>
          <t>Gerencia de Negocios (Agencias)</t>
        </is>
      </c>
    </row>
    <row r="203">
      <c r="A203" s="4" t="inlineStr">
        <is>
          <t>953</t>
        </is>
      </c>
      <c r="B203" s="5" t="inlineStr">
        <is>
          <t xml:space="preserve">JESUS ADRIAN MENA AVALOS </t>
        </is>
      </c>
      <c r="C203" s="4" t="inlineStr">
        <is>
          <t>16/12/2025</t>
        </is>
      </c>
      <c r="D203" s="5" t="inlineStr">
        <is>
          <t>CAJERO</t>
        </is>
      </c>
      <c r="E203" s="5" t="inlineStr">
        <is>
          <t xml:space="preserve"> EMPLEADO</t>
        </is>
      </c>
      <c r="F203" s="5" t="inlineStr">
        <is>
          <t xml:space="preserve">AGENCIA CENTRAL  </t>
        </is>
      </c>
      <c r="G203" s="5" t="inlineStr">
        <is>
          <t>Gerencia de Negocios (Agencias)</t>
        </is>
      </c>
    </row>
    <row r="204">
      <c r="A204" s="4" t="inlineStr">
        <is>
          <t>956</t>
        </is>
      </c>
      <c r="B204" s="5" t="inlineStr">
        <is>
          <t xml:space="preserve">ANGELA GABRIELA  REYES MOLINA </t>
        </is>
      </c>
      <c r="C204" s="4" t="inlineStr">
        <is>
          <t>05/01/2026</t>
        </is>
      </c>
      <c r="D204" s="5" t="inlineStr">
        <is>
          <t>CAJERO</t>
        </is>
      </c>
      <c r="E204" s="5" t="inlineStr">
        <is>
          <t xml:space="preserve"> EMPLEADO</t>
        </is>
      </c>
      <c r="F204" s="5" t="inlineStr">
        <is>
          <t xml:space="preserve">AGENCIA CENTRAL  </t>
        </is>
      </c>
      <c r="G204" s="5" t="inlineStr">
        <is>
          <t>Gerencia de Negocios (Agencias)</t>
        </is>
      </c>
    </row>
    <row r="205">
      <c r="A205" s="4" t="inlineStr">
        <is>
          <t>958</t>
        </is>
      </c>
      <c r="B205" s="5" t="inlineStr">
        <is>
          <t xml:space="preserve">ALEXANDRA DANIELA PINEDA JIMENEZ </t>
        </is>
      </c>
      <c r="C205" s="4" t="inlineStr">
        <is>
          <t>10/02/2026</t>
        </is>
      </c>
      <c r="D205" s="5" t="inlineStr">
        <is>
          <t>AUXILIAR DE ATENCION A  ASOCIADOS</t>
        </is>
      </c>
      <c r="E205" s="5" t="inlineStr">
        <is>
          <t xml:space="preserve"> EMPLEADO</t>
        </is>
      </c>
      <c r="F205" s="5" t="inlineStr">
        <is>
          <t xml:space="preserve">AGENCIA CENTRAL  </t>
        </is>
      </c>
      <c r="G205" s="5" t="inlineStr">
        <is>
          <t>Gerencia de Negocios (Agencias)</t>
        </is>
      </c>
    </row>
    <row r="206">
      <c r="A206" s="4" t="inlineStr">
        <is>
          <t>960</t>
        </is>
      </c>
      <c r="B206" s="5" t="inlineStr">
        <is>
          <t xml:space="preserve">LORENA DEL CARMEN MEJIA HERRERA </t>
        </is>
      </c>
      <c r="C206" s="4" t="inlineStr">
        <is>
          <t>16/02/2026</t>
        </is>
      </c>
      <c r="D206" s="5" t="inlineStr">
        <is>
          <t>CAJERO</t>
        </is>
      </c>
      <c r="E206" s="5" t="inlineStr">
        <is>
          <t xml:space="preserve"> EMPLEADO</t>
        </is>
      </c>
      <c r="F206" s="5" t="inlineStr">
        <is>
          <t xml:space="preserve">AGENCIA CENTRAL  </t>
        </is>
      </c>
      <c r="G206" s="5" t="inlineStr">
        <is>
          <t>Gerencia de Negocios (Agencias)</t>
        </is>
      </c>
    </row>
    <row r="207">
      <c r="A207" s="4" t="inlineStr">
        <is>
          <t>974</t>
        </is>
      </c>
      <c r="B207" s="5" t="inlineStr">
        <is>
          <t xml:space="preserve">LEIDY VANESSA GUZMAN SERVELLON  </t>
        </is>
      </c>
      <c r="C207" s="4" t="inlineStr">
        <is>
          <t>21/07/2026</t>
        </is>
      </c>
      <c r="D207" s="5" t="inlineStr">
        <is>
          <t>CAJERO</t>
        </is>
      </c>
      <c r="E207" s="5" t="inlineStr">
        <is>
          <t xml:space="preserve"> EMPLEADO</t>
        </is>
      </c>
      <c r="F207" s="5" t="inlineStr">
        <is>
          <t xml:space="preserve">AGENCIA CENTRAL  </t>
        </is>
      </c>
      <c r="G207" s="5" t="inlineStr">
        <is>
          <t>Gerencia de Negocios (Agencias)</t>
        </is>
      </c>
    </row>
    <row r="208">
      <c r="A208" s="4" t="inlineStr">
        <is>
          <t>976</t>
        </is>
      </c>
      <c r="B208" s="5" t="inlineStr">
        <is>
          <t xml:space="preserve">KEVIN ARTURO ANDRADE PALACIOS </t>
        </is>
      </c>
      <c r="C208" s="4" t="inlineStr">
        <is>
          <t>21/07/2026</t>
        </is>
      </c>
      <c r="D208" s="5" t="inlineStr">
        <is>
          <t>CAJERO</t>
        </is>
      </c>
      <c r="E208" s="5" t="inlineStr">
        <is>
          <t xml:space="preserve"> EMPLEADO</t>
        </is>
      </c>
      <c r="F208" s="5" t="inlineStr">
        <is>
          <t xml:space="preserve">AGENCIA CENTRAL  </t>
        </is>
      </c>
      <c r="G208" s="5" t="inlineStr">
        <is>
          <t>Gerencia de Negocios (Agencias)</t>
        </is>
      </c>
    </row>
    <row r="209">
      <c r="A209" s="4" t="inlineStr">
        <is>
          <t>26</t>
        </is>
      </c>
      <c r="B209" s="5" t="inlineStr">
        <is>
          <t>FLOR IMELDA VILLALOBOS ARDON</t>
        </is>
      </c>
      <c r="C209" s="4" t="inlineStr">
        <is>
          <t>09/08/1991</t>
        </is>
      </c>
      <c r="D209" s="5" t="inlineStr">
        <is>
          <t>EJECUTIVO DE NEGOCIOS</t>
        </is>
      </c>
      <c r="E209" s="5" t="inlineStr">
        <is>
          <t xml:space="preserve"> EMPLEADO</t>
        </is>
      </c>
      <c r="F209" s="5" t="inlineStr">
        <is>
          <t xml:space="preserve">AGENCIA COLEGIO MEDICO </t>
        </is>
      </c>
      <c r="G209" s="5" t="inlineStr">
        <is>
          <t>Gerencia de Negocios (Agencias)</t>
        </is>
      </c>
    </row>
    <row r="210">
      <c r="A210" s="4" t="inlineStr">
        <is>
          <t>29</t>
        </is>
      </c>
      <c r="B210" s="5" t="inlineStr">
        <is>
          <t>YANIRA ELIZABETH ORTEGA MIRANDA</t>
        </is>
      </c>
      <c r="C210" s="4" t="inlineStr">
        <is>
          <t>20/04/1995</t>
        </is>
      </c>
      <c r="D210" s="5" t="inlineStr">
        <is>
          <t>SUBJEFE DE  AGENCIA</t>
        </is>
      </c>
      <c r="E210" s="5" t="inlineStr">
        <is>
          <t xml:space="preserve"> EMPLEADO</t>
        </is>
      </c>
      <c r="F210" s="5" t="inlineStr">
        <is>
          <t xml:space="preserve">AGENCIA COLEGIO MEDICO </t>
        </is>
      </c>
      <c r="G210" s="5" t="inlineStr">
        <is>
          <t>Gerencia de Negocios (Agencias)</t>
        </is>
      </c>
    </row>
    <row r="211">
      <c r="A211" s="4" t="inlineStr">
        <is>
          <t>190</t>
        </is>
      </c>
      <c r="B211" s="5" t="inlineStr">
        <is>
          <t xml:space="preserve">MERCI ANTONIA CERON MEJIA </t>
        </is>
      </c>
      <c r="C211" s="4" t="inlineStr">
        <is>
          <t>16/09/1999</t>
        </is>
      </c>
      <c r="D211" s="5" t="inlineStr">
        <is>
          <t>EJECUTIVO DE NEGOCIOS</t>
        </is>
      </c>
      <c r="E211" s="5" t="inlineStr">
        <is>
          <t xml:space="preserve"> EMPLEADO</t>
        </is>
      </c>
      <c r="F211" s="5" t="inlineStr">
        <is>
          <t xml:space="preserve">AGENCIA COLEGIO MEDICO </t>
        </is>
      </c>
      <c r="G211" s="5" t="inlineStr">
        <is>
          <t>Gerencia de Negocios (Agencias)</t>
        </is>
      </c>
    </row>
    <row r="212">
      <c r="A212" s="4" t="inlineStr">
        <is>
          <t>360</t>
        </is>
      </c>
      <c r="B212" s="5" t="inlineStr">
        <is>
          <t>PATRICIA ESMERALDA PORTILLO  CESPEDES</t>
        </is>
      </c>
      <c r="C212" s="4" t="inlineStr">
        <is>
          <t>23/04/2009</t>
        </is>
      </c>
      <c r="D212" s="5" t="inlineStr">
        <is>
          <t xml:space="preserve">JEFE DE AGENCIA  </t>
        </is>
      </c>
      <c r="E212" s="5" t="inlineStr">
        <is>
          <t xml:space="preserve"> EMPLEADO</t>
        </is>
      </c>
      <c r="F212" s="5" t="inlineStr">
        <is>
          <t xml:space="preserve">AGENCIA COLEGIO MEDICO </t>
        </is>
      </c>
      <c r="G212" s="5" t="inlineStr">
        <is>
          <t>Gerencia de Negocios (Agencias)</t>
        </is>
      </c>
    </row>
    <row r="213">
      <c r="A213" s="4" t="inlineStr">
        <is>
          <t>466</t>
        </is>
      </c>
      <c r="B213" s="5" t="inlineStr">
        <is>
          <t xml:space="preserve">DORIS ELISA HERNANDEZ </t>
        </is>
      </c>
      <c r="C213" s="4" t="inlineStr">
        <is>
          <t>01/10/2010</t>
        </is>
      </c>
      <c r="D213" s="5" t="inlineStr">
        <is>
          <t>SERVICIOS VARIOS</t>
        </is>
      </c>
      <c r="E213" s="5" t="inlineStr">
        <is>
          <t xml:space="preserve"> EMPLEADO</t>
        </is>
      </c>
      <c r="F213" s="5" t="inlineStr">
        <is>
          <t xml:space="preserve">AGENCIA COLEGIO MEDICO </t>
        </is>
      </c>
      <c r="G213" s="5" t="inlineStr">
        <is>
          <t>Gerencia de Negocios (Agencias)</t>
        </is>
      </c>
    </row>
    <row r="214">
      <c r="A214" s="4" t="inlineStr">
        <is>
          <t>536</t>
        </is>
      </c>
      <c r="B214" s="5" t="inlineStr">
        <is>
          <t xml:space="preserve">MARTHA ESPERANZA VALTEZ GARCIA </t>
        </is>
      </c>
      <c r="C214" s="4" t="inlineStr">
        <is>
          <t>07/08/2014</t>
        </is>
      </c>
      <c r="D214" s="5" t="inlineStr">
        <is>
          <t>CAJERO</t>
        </is>
      </c>
      <c r="E214" s="5" t="inlineStr">
        <is>
          <t xml:space="preserve"> EMPLEADO</t>
        </is>
      </c>
      <c r="F214" s="5" t="inlineStr">
        <is>
          <t xml:space="preserve">AGENCIA COLEGIO MEDICO </t>
        </is>
      </c>
      <c r="G214" s="5" t="inlineStr">
        <is>
          <t>Gerencia de Negocios (Agencias)</t>
        </is>
      </c>
    </row>
    <row r="215">
      <c r="A215" s="4" t="inlineStr">
        <is>
          <t>543</t>
        </is>
      </c>
      <c r="B215" s="5" t="inlineStr">
        <is>
          <t>CLAUDIA ELENA GUARDADO VARELA</t>
        </is>
      </c>
      <c r="C215" s="4" t="inlineStr">
        <is>
          <t>02/01/2015</t>
        </is>
      </c>
      <c r="D215" s="5" t="inlineStr">
        <is>
          <t>EJECUTIVA DE SEGUROS</t>
        </is>
      </c>
      <c r="E215" s="5" t="inlineStr">
        <is>
          <t xml:space="preserve"> EMPLEADO</t>
        </is>
      </c>
      <c r="F215" s="5" t="inlineStr">
        <is>
          <t xml:space="preserve">AGENCIA COLEGIO MEDICO </t>
        </is>
      </c>
      <c r="G215" s="5" t="inlineStr">
        <is>
          <t>Gerencia de Negocios (Agencias)</t>
        </is>
      </c>
    </row>
    <row r="216">
      <c r="A216" s="4" t="inlineStr">
        <is>
          <t>811</t>
        </is>
      </c>
      <c r="B216" s="5" t="inlineStr">
        <is>
          <t xml:space="preserve">JACQUELINE ADRIANA CHAVEZ SARAVIA </t>
        </is>
      </c>
      <c r="C216" s="4" t="inlineStr">
        <is>
          <t>07/06/2023</t>
        </is>
      </c>
      <c r="D216" s="5" t="inlineStr">
        <is>
          <t>CAJERO</t>
        </is>
      </c>
      <c r="E216" s="5" t="inlineStr">
        <is>
          <t xml:space="preserve"> EMPLEADO</t>
        </is>
      </c>
      <c r="F216" s="5" t="inlineStr">
        <is>
          <t xml:space="preserve">AGENCIA COLEGIO MEDICO </t>
        </is>
      </c>
      <c r="G216" s="5" t="inlineStr">
        <is>
          <t>Gerencia de Negocios (Agencias)</t>
        </is>
      </c>
    </row>
    <row r="217">
      <c r="A217" s="4" t="inlineStr">
        <is>
          <t>841</t>
        </is>
      </c>
      <c r="B217" s="5" t="inlineStr">
        <is>
          <t xml:space="preserve">KRISSIA ANDREA  DOMINGUEZ OSORIO </t>
        </is>
      </c>
      <c r="C217" s="4" t="inlineStr">
        <is>
          <t>24/11/2023</t>
        </is>
      </c>
      <c r="D217" s="5" t="inlineStr">
        <is>
          <t>CAJERO</t>
        </is>
      </c>
      <c r="E217" s="5" t="inlineStr">
        <is>
          <t xml:space="preserve"> EMPLEADO</t>
        </is>
      </c>
      <c r="F217" s="5" t="inlineStr">
        <is>
          <t xml:space="preserve">AGENCIA COLEGIO MEDICO </t>
        </is>
      </c>
      <c r="G217" s="5" t="inlineStr">
        <is>
          <t>Gerencia de Negocios (Agencias)</t>
        </is>
      </c>
    </row>
    <row r="218">
      <c r="A218" s="4" t="inlineStr">
        <is>
          <t>890</t>
        </is>
      </c>
      <c r="B218" s="5" t="inlineStr">
        <is>
          <t xml:space="preserve">WILBER ERNESTO DIAZ GONZALEZ </t>
        </is>
      </c>
      <c r="C218" s="4" t="inlineStr">
        <is>
          <t>18/09/2024</t>
        </is>
      </c>
      <c r="D218" s="5" t="inlineStr">
        <is>
          <t>CAJERO</t>
        </is>
      </c>
      <c r="E218" s="5" t="inlineStr">
        <is>
          <t xml:space="preserve"> EMPLEADO</t>
        </is>
      </c>
      <c r="F218" s="5" t="inlineStr">
        <is>
          <t xml:space="preserve">AGENCIA COLEGIO MEDICO </t>
        </is>
      </c>
      <c r="G218" s="5" t="inlineStr">
        <is>
          <t>Gerencia de Negocios (Agencias)</t>
        </is>
      </c>
    </row>
    <row r="219">
      <c r="A219" s="4" t="inlineStr">
        <is>
          <t>971</t>
        </is>
      </c>
      <c r="B219" s="5" t="inlineStr">
        <is>
          <t xml:space="preserve">JAQUELIN JAZMIN ROMERO FLORES </t>
        </is>
      </c>
      <c r="C219" s="4" t="inlineStr">
        <is>
          <t>01/06/2026</t>
        </is>
      </c>
      <c r="D219" s="5" t="inlineStr">
        <is>
          <t>CAJERO</t>
        </is>
      </c>
      <c r="E219" s="5" t="inlineStr">
        <is>
          <t xml:space="preserve"> EMPLEADO</t>
        </is>
      </c>
      <c r="F219" s="5" t="inlineStr">
        <is>
          <t xml:space="preserve">AGENCIA COLEGIO MEDICO </t>
        </is>
      </c>
      <c r="G219" s="5" t="inlineStr">
        <is>
          <t>Gerencia de Negocios (Agencias)</t>
        </is>
      </c>
    </row>
    <row r="220">
      <c r="A220" s="4" t="inlineStr">
        <is>
          <t>975</t>
        </is>
      </c>
      <c r="B220" s="5" t="inlineStr">
        <is>
          <t xml:space="preserve">GABRIELA CONCEPCION GARCIA GUTIERREZ </t>
        </is>
      </c>
      <c r="C220" s="4" t="inlineStr">
        <is>
          <t>21/07/2026</t>
        </is>
      </c>
      <c r="D220" s="5" t="inlineStr">
        <is>
          <t>AUXILIAR DE ATENCION AL ASOCIADO EN AGENCIA</t>
        </is>
      </c>
      <c r="E220" s="5" t="inlineStr">
        <is>
          <t xml:space="preserve"> EMPLEADO</t>
        </is>
      </c>
      <c r="F220" s="5" t="inlineStr">
        <is>
          <t xml:space="preserve">AGENCIA COLEGIO MEDICO </t>
        </is>
      </c>
      <c r="G220" s="5" t="inlineStr">
        <is>
          <t>Gerencia de Negocios (Agencias)</t>
        </is>
      </c>
    </row>
    <row r="221">
      <c r="A221" s="4" t="inlineStr">
        <is>
          <t>197</t>
        </is>
      </c>
      <c r="B221" s="5" t="inlineStr">
        <is>
          <t>THELMA ESPERANZA FIGUEROA SORTO</t>
        </is>
      </c>
      <c r="C221" s="4" t="inlineStr">
        <is>
          <t>01/12/1999</t>
        </is>
      </c>
      <c r="D221" s="5" t="inlineStr">
        <is>
          <t>EJECUTIVO DE NEGOCIOS</t>
        </is>
      </c>
      <c r="E221" s="5" t="inlineStr">
        <is>
          <t xml:space="preserve"> EMPLEADO</t>
        </is>
      </c>
      <c r="F221" s="5" t="inlineStr">
        <is>
          <t xml:space="preserve">AGENCIA SAN  MIGUEL  </t>
        </is>
      </c>
      <c r="G221" s="5" t="inlineStr">
        <is>
          <t>Gerencia de Negocios (Agencias)</t>
        </is>
      </c>
    </row>
    <row r="222">
      <c r="A222" s="4" t="inlineStr">
        <is>
          <t>200</t>
        </is>
      </c>
      <c r="B222" s="5" t="inlineStr">
        <is>
          <t xml:space="preserve">JOSE MANUEL SERRANO ROVIRA </t>
        </is>
      </c>
      <c r="C222" s="4" t="inlineStr">
        <is>
          <t>03/01/2000</t>
        </is>
      </c>
      <c r="D222" s="5" t="inlineStr">
        <is>
          <t xml:space="preserve">JEFE DE AGENCIA  </t>
        </is>
      </c>
      <c r="E222" s="5" t="inlineStr">
        <is>
          <t xml:space="preserve"> EMPLEADO</t>
        </is>
      </c>
      <c r="F222" s="5" t="inlineStr">
        <is>
          <t xml:space="preserve">AGENCIA SAN  MIGUEL  </t>
        </is>
      </c>
      <c r="G222" s="5" t="inlineStr">
        <is>
          <t>Gerencia de Negocios (Agencias)</t>
        </is>
      </c>
    </row>
    <row r="223">
      <c r="A223" s="4" t="inlineStr">
        <is>
          <t>390</t>
        </is>
      </c>
      <c r="B223" s="5" t="inlineStr">
        <is>
          <t xml:space="preserve">MARTHA LORENA GONZALEZ GONZALEZ </t>
        </is>
      </c>
      <c r="C223" s="4" t="inlineStr">
        <is>
          <t>07/11/2006</t>
        </is>
      </c>
      <c r="D223" s="5" t="inlineStr">
        <is>
          <t>AUXILIAR DE OPERACIONES Y ATENCION EN  AGENCIA</t>
        </is>
      </c>
      <c r="E223" s="5" t="inlineStr">
        <is>
          <t xml:space="preserve"> EMPLEADO</t>
        </is>
      </c>
      <c r="F223" s="5" t="inlineStr">
        <is>
          <t xml:space="preserve">AGENCIA SAN  MIGUEL  </t>
        </is>
      </c>
      <c r="G223" s="5" t="inlineStr">
        <is>
          <t>Gerencia de Negocios (Agencias)</t>
        </is>
      </c>
    </row>
    <row r="224">
      <c r="A224" s="4" t="inlineStr">
        <is>
          <t>545</t>
        </is>
      </c>
      <c r="B224" s="5" t="inlineStr">
        <is>
          <t xml:space="preserve">LEIBY NATHALY ROMERO VANEGAS </t>
        </is>
      </c>
      <c r="C224" s="4" t="inlineStr">
        <is>
          <t>02/01/2015</t>
        </is>
      </c>
      <c r="D224" s="5" t="inlineStr">
        <is>
          <t>SUBJEFE DE  AGENCIA</t>
        </is>
      </c>
      <c r="E224" s="5" t="inlineStr">
        <is>
          <t xml:space="preserve"> EMPLEADO</t>
        </is>
      </c>
      <c r="F224" s="5" t="inlineStr">
        <is>
          <t xml:space="preserve">AGENCIA SAN  MIGUEL  </t>
        </is>
      </c>
      <c r="G224" s="5" t="inlineStr">
        <is>
          <t>Gerencia de Negocios (Agencias)</t>
        </is>
      </c>
    </row>
    <row r="225">
      <c r="A225" s="4" t="inlineStr">
        <is>
          <t>776</t>
        </is>
      </c>
      <c r="B225" s="5" t="inlineStr">
        <is>
          <t xml:space="preserve">DIEGO GERARDO GUANDIQUE TORRES </t>
        </is>
      </c>
      <c r="C225" s="4" t="inlineStr">
        <is>
          <t>05/10/2022</t>
        </is>
      </c>
      <c r="D225" s="5" t="inlineStr">
        <is>
          <t>CAJERO</t>
        </is>
      </c>
      <c r="E225" s="5" t="inlineStr">
        <is>
          <t xml:space="preserve"> EMPLEADO</t>
        </is>
      </c>
      <c r="F225" s="5" t="inlineStr">
        <is>
          <t xml:space="preserve">AGENCIA SAN  MIGUEL  </t>
        </is>
      </c>
      <c r="G225" s="5" t="inlineStr">
        <is>
          <t>Gerencia de Negocios (Agencias)</t>
        </is>
      </c>
    </row>
    <row r="226">
      <c r="A226" s="4" t="inlineStr">
        <is>
          <t>777</t>
        </is>
      </c>
      <c r="B226" s="5" t="inlineStr">
        <is>
          <t xml:space="preserve">MARCELINA YAMILETH LOPEZ VASQUEZ </t>
        </is>
      </c>
      <c r="C226" s="4" t="inlineStr">
        <is>
          <t>05/10/2022</t>
        </is>
      </c>
      <c r="D226" s="5" t="inlineStr">
        <is>
          <t>CAJERO</t>
        </is>
      </c>
      <c r="E226" s="5" t="inlineStr">
        <is>
          <t xml:space="preserve"> EMPLEADO</t>
        </is>
      </c>
      <c r="F226" s="5" t="inlineStr">
        <is>
          <t xml:space="preserve">AGENCIA SAN  MIGUEL  </t>
        </is>
      </c>
      <c r="G226" s="5" t="inlineStr">
        <is>
          <t>Gerencia de Negocios (Agencias)</t>
        </is>
      </c>
    </row>
    <row r="227">
      <c r="A227" s="4" t="inlineStr">
        <is>
          <t>807</t>
        </is>
      </c>
      <c r="B227" s="5" t="inlineStr">
        <is>
          <t xml:space="preserve">MARCELA GUADALUPE CRESPO BENAVIDEZ </t>
        </is>
      </c>
      <c r="C227" s="4" t="inlineStr">
        <is>
          <t>02/05/2023</t>
        </is>
      </c>
      <c r="D227" s="5" t="inlineStr">
        <is>
          <t>EJECUTIVA DE SEGUROS</t>
        </is>
      </c>
      <c r="E227" s="5" t="inlineStr">
        <is>
          <t xml:space="preserve"> EMPLEADO</t>
        </is>
      </c>
      <c r="F227" s="5" t="inlineStr">
        <is>
          <t xml:space="preserve">AGENCIA SAN  MIGUEL  </t>
        </is>
      </c>
      <c r="G227" s="5" t="inlineStr">
        <is>
          <t>Gerencia de Negocios (Agencias)</t>
        </is>
      </c>
    </row>
    <row r="228">
      <c r="A228" s="4" t="inlineStr">
        <is>
          <t>861</t>
        </is>
      </c>
      <c r="B228" s="5" t="inlineStr">
        <is>
          <t xml:space="preserve">SANDRA MARINA  BERRIOS SANTOS </t>
        </is>
      </c>
      <c r="C228" s="4" t="inlineStr">
        <is>
          <t>22/03/2024</t>
        </is>
      </c>
      <c r="D228" s="5" t="inlineStr">
        <is>
          <t>CAJERO</t>
        </is>
      </c>
      <c r="E228" s="5" t="inlineStr">
        <is>
          <t xml:space="preserve"> EMPLEADO</t>
        </is>
      </c>
      <c r="F228" s="5" t="inlineStr">
        <is>
          <t xml:space="preserve">AGENCIA SAN  MIGUEL  </t>
        </is>
      </c>
      <c r="G228" s="5" t="inlineStr">
        <is>
          <t>Gerencia de Negocios (Agencias)</t>
        </is>
      </c>
    </row>
    <row r="229">
      <c r="A229" s="4" t="inlineStr">
        <is>
          <t>168</t>
        </is>
      </c>
      <c r="B229" s="5" t="inlineStr">
        <is>
          <t xml:space="preserve">ANA MARIA GIRON </t>
        </is>
      </c>
      <c r="C229" s="4" t="inlineStr">
        <is>
          <t>01/12/1998</t>
        </is>
      </c>
      <c r="D229" s="5" t="inlineStr">
        <is>
          <t>EJECUTIVO DE NEGOCIOS</t>
        </is>
      </c>
      <c r="E229" s="5" t="inlineStr">
        <is>
          <t xml:space="preserve"> EMPLEADO</t>
        </is>
      </c>
      <c r="F229" s="5" t="inlineStr">
        <is>
          <t xml:space="preserve">AGENCIA SANTA  ANA  </t>
        </is>
      </c>
      <c r="G229" s="5" t="inlineStr">
        <is>
          <t>Gerencia de Negocios (Agencias)</t>
        </is>
      </c>
    </row>
    <row r="230">
      <c r="A230" s="4" t="inlineStr">
        <is>
          <t>295</t>
        </is>
      </c>
      <c r="B230" s="5" t="inlineStr">
        <is>
          <t xml:space="preserve">GLENDA MARAYA SALAZAR GONZALEZ </t>
        </is>
      </c>
      <c r="C230" s="4" t="inlineStr">
        <is>
          <t>12/11/2002</t>
        </is>
      </c>
      <c r="D230" s="5" t="inlineStr">
        <is>
          <t xml:space="preserve">JEFE DE AGENCIA  </t>
        </is>
      </c>
      <c r="E230" s="5" t="inlineStr">
        <is>
          <t xml:space="preserve"> EMPLEADO</t>
        </is>
      </c>
      <c r="F230" s="5" t="inlineStr">
        <is>
          <t xml:space="preserve">AGENCIA SANTA  ANA  </t>
        </is>
      </c>
      <c r="G230" s="5" t="inlineStr">
        <is>
          <t>Gerencia de Negocios (Agencias)</t>
        </is>
      </c>
    </row>
    <row r="231">
      <c r="A231" s="4" t="inlineStr">
        <is>
          <t>312</t>
        </is>
      </c>
      <c r="B231" s="5" t="inlineStr">
        <is>
          <t xml:space="preserve">JEANNETTE ANGELINNE HERNANDEZ MEJIA </t>
        </is>
      </c>
      <c r="C231" s="4" t="inlineStr">
        <is>
          <t>14/07/2004</t>
        </is>
      </c>
      <c r="D231" s="5" t="inlineStr">
        <is>
          <t>SUBJEFE DE  AGENCIA</t>
        </is>
      </c>
      <c r="E231" s="5" t="inlineStr">
        <is>
          <t xml:space="preserve"> EMPLEADO</t>
        </is>
      </c>
      <c r="F231" s="5" t="inlineStr">
        <is>
          <t xml:space="preserve">AGENCIA SANTA  ANA  </t>
        </is>
      </c>
      <c r="G231" s="5" t="inlineStr">
        <is>
          <t>Gerencia de Negocios (Agencias)</t>
        </is>
      </c>
    </row>
    <row r="232">
      <c r="A232" s="4" t="inlineStr">
        <is>
          <t>747</t>
        </is>
      </c>
      <c r="B232" s="5" t="inlineStr">
        <is>
          <t xml:space="preserve">IRVIN ADEMIR PERAZA MOLINA </t>
        </is>
      </c>
      <c r="C232" s="4" t="inlineStr">
        <is>
          <t>11/05/2022</t>
        </is>
      </c>
      <c r="D232" s="5" t="inlineStr">
        <is>
          <t>EJECUTIVO DE SEGUROS</t>
        </is>
      </c>
      <c r="E232" s="5" t="inlineStr">
        <is>
          <t xml:space="preserve"> EMPLEADO</t>
        </is>
      </c>
      <c r="F232" s="5" t="inlineStr">
        <is>
          <t xml:space="preserve">AGENCIA SANTA  ANA  </t>
        </is>
      </c>
      <c r="G232" s="5" t="inlineStr">
        <is>
          <t>Gerencia de Negocios (Agencias)</t>
        </is>
      </c>
    </row>
    <row r="233">
      <c r="A233" s="4" t="inlineStr">
        <is>
          <t>818</t>
        </is>
      </c>
      <c r="B233" s="5" t="inlineStr">
        <is>
          <t xml:space="preserve">ANDREA YAMILETH ESCOBAR CHICA </t>
        </is>
      </c>
      <c r="C233" s="4" t="inlineStr">
        <is>
          <t>13/07/2023</t>
        </is>
      </c>
      <c r="D233" s="5" t="inlineStr">
        <is>
          <t>CAJERO</t>
        </is>
      </c>
      <c r="E233" s="5" t="inlineStr">
        <is>
          <t xml:space="preserve"> EMPLEADO</t>
        </is>
      </c>
      <c r="F233" s="5" t="inlineStr">
        <is>
          <t xml:space="preserve">AGENCIA SANTA  ANA  </t>
        </is>
      </c>
      <c r="G233" s="5" t="inlineStr">
        <is>
          <t>Gerencia de Negocios (Agencias)</t>
        </is>
      </c>
    </row>
    <row r="234">
      <c r="A234" s="4" t="inlineStr">
        <is>
          <t>840</t>
        </is>
      </c>
      <c r="B234" s="5" t="inlineStr">
        <is>
          <t xml:space="preserve">SOFIA AZMINIA MENA ARGUETA </t>
        </is>
      </c>
      <c r="C234" s="4" t="inlineStr">
        <is>
          <t>24/11/2023</t>
        </is>
      </c>
      <c r="D234" s="5" t="inlineStr">
        <is>
          <t>CAJERO</t>
        </is>
      </c>
      <c r="E234" s="5" t="inlineStr">
        <is>
          <t xml:space="preserve"> EMPLEADO</t>
        </is>
      </c>
      <c r="F234" s="5" t="inlineStr">
        <is>
          <t xml:space="preserve">AGENCIA SANTA  ANA  </t>
        </is>
      </c>
      <c r="G234" s="5" t="inlineStr">
        <is>
          <t>Gerencia de Negocios (Agencias)</t>
        </is>
      </c>
    </row>
    <row r="235">
      <c r="A235" s="4" t="inlineStr">
        <is>
          <t>910</t>
        </is>
      </c>
      <c r="B235" s="5" t="inlineStr">
        <is>
          <t xml:space="preserve">JOSE CRISTOBAL LOPEZ ESQUIVEL </t>
        </is>
      </c>
      <c r="C235" s="4" t="inlineStr">
        <is>
          <t>11/02/2025</t>
        </is>
      </c>
      <c r="D235" s="5" t="inlineStr">
        <is>
          <t>MENSAJERO</t>
        </is>
      </c>
      <c r="E235" s="5" t="inlineStr">
        <is>
          <t xml:space="preserve"> EMPLEADO</t>
        </is>
      </c>
      <c r="F235" s="5" t="inlineStr">
        <is>
          <t xml:space="preserve">AGENCIA SANTA  ANA  </t>
        </is>
      </c>
      <c r="G235" s="5" t="inlineStr">
        <is>
          <t>Gerencia de Negocios (Agencias)</t>
        </is>
      </c>
    </row>
    <row r="236">
      <c r="A236" s="4" t="inlineStr">
        <is>
          <t>954</t>
        </is>
      </c>
      <c r="B236" s="5" t="inlineStr">
        <is>
          <t xml:space="preserve">LUIS GERARDO DUEÑAS VALLE </t>
        </is>
      </c>
      <c r="C236" s="4" t="inlineStr">
        <is>
          <t>19/12/2025</t>
        </is>
      </c>
      <c r="D236" s="5" t="inlineStr">
        <is>
          <t>CAJERO</t>
        </is>
      </c>
      <c r="E236" s="5" t="inlineStr">
        <is>
          <t xml:space="preserve"> EMPLEADO</t>
        </is>
      </c>
      <c r="F236" s="5" t="inlineStr">
        <is>
          <t xml:space="preserve">AGENCIA SANTA  ANA  </t>
        </is>
      </c>
      <c r="G236" s="5" t="inlineStr">
        <is>
          <t>Gerencia de Negocios (Agencias)</t>
        </is>
      </c>
    </row>
    <row r="237">
      <c r="A237" s="4" t="inlineStr">
        <is>
          <t>287</t>
        </is>
      </c>
      <c r="B237" s="5" t="inlineStr">
        <is>
          <t>MARIA ANGELICA ESCOBAR RENDEROS</t>
        </is>
      </c>
      <c r="C237" s="4" t="inlineStr">
        <is>
          <t>10/05/2002</t>
        </is>
      </c>
      <c r="D237" s="5" t="inlineStr">
        <is>
          <t xml:space="preserve">JEFE DE AGENCIA  </t>
        </is>
      </c>
      <c r="E237" s="5" t="inlineStr">
        <is>
          <t xml:space="preserve"> EMPLEADO</t>
        </is>
      </c>
      <c r="F237" s="5" t="inlineStr">
        <is>
          <t xml:space="preserve">AGENCIA SONSONATE  </t>
        </is>
      </c>
      <c r="G237" s="5" t="inlineStr">
        <is>
          <t>Gerencia de Negocios (Agencias)</t>
        </is>
      </c>
    </row>
    <row r="238">
      <c r="A238" s="4" t="inlineStr">
        <is>
          <t>448</t>
        </is>
      </c>
      <c r="B238" s="5" t="inlineStr">
        <is>
          <t xml:space="preserve">JOSE ALEXANDER TORRES PEREZ </t>
        </is>
      </c>
      <c r="C238" s="4" t="inlineStr">
        <is>
          <t>05/09/2009</t>
        </is>
      </c>
      <c r="D238" s="5" t="inlineStr">
        <is>
          <t>MENSAJERO</t>
        </is>
      </c>
      <c r="E238" s="5" t="inlineStr">
        <is>
          <t xml:space="preserve"> EMPLEADO</t>
        </is>
      </c>
      <c r="F238" s="5" t="inlineStr">
        <is>
          <t xml:space="preserve">AGENCIA SONSONATE  </t>
        </is>
      </c>
      <c r="G238" s="5" t="inlineStr">
        <is>
          <t>Gerencia de Negocios (Agencias)</t>
        </is>
      </c>
    </row>
    <row r="239">
      <c r="A239" s="4" t="inlineStr">
        <is>
          <t>526</t>
        </is>
      </c>
      <c r="B239" s="5" t="inlineStr">
        <is>
          <t xml:space="preserve">XIOMARA BEATRIZ MARTINEZ SERMEÑO </t>
        </is>
      </c>
      <c r="C239" s="4" t="inlineStr">
        <is>
          <t>18/04/2013</t>
        </is>
      </c>
      <c r="D239" s="5" t="inlineStr">
        <is>
          <t>SUBJEFE DE  AGENCIA</t>
        </is>
      </c>
      <c r="E239" s="5" t="inlineStr">
        <is>
          <t xml:space="preserve"> EMPLEADO</t>
        </is>
      </c>
      <c r="F239" s="5" t="inlineStr">
        <is>
          <t xml:space="preserve">AGENCIA SONSONATE  </t>
        </is>
      </c>
      <c r="G239" s="5" t="inlineStr">
        <is>
          <t>Gerencia de Negocios (Agencias)</t>
        </is>
      </c>
    </row>
    <row r="240">
      <c r="A240" s="4" t="inlineStr">
        <is>
          <t>559</t>
        </is>
      </c>
      <c r="B240" s="5" t="inlineStr">
        <is>
          <t xml:space="preserve">JOSUE ALEXANDER PEREZ HENRIQUEZ </t>
        </is>
      </c>
      <c r="C240" s="4" t="inlineStr">
        <is>
          <t>18/01/2016</t>
        </is>
      </c>
      <c r="D240" s="5" t="inlineStr">
        <is>
          <t>EJECUTIVO DE NEGOCIOS</t>
        </is>
      </c>
      <c r="E240" s="5" t="inlineStr">
        <is>
          <t xml:space="preserve"> EMPLEADO</t>
        </is>
      </c>
      <c r="F240" s="5" t="inlineStr">
        <is>
          <t xml:space="preserve">AGENCIA SONSONATE  </t>
        </is>
      </c>
      <c r="G240" s="5" t="inlineStr">
        <is>
          <t>Gerencia de Negocios (Agencias)</t>
        </is>
      </c>
    </row>
    <row r="241">
      <c r="A241" s="4" t="inlineStr">
        <is>
          <t>575</t>
        </is>
      </c>
      <c r="B241" s="5" t="inlineStr">
        <is>
          <t xml:space="preserve">JESSICA YAMILETH LEIVA VASQUEZ </t>
        </is>
      </c>
      <c r="C241" s="4" t="inlineStr">
        <is>
          <t>17/10/2016</t>
        </is>
      </c>
      <c r="D241" s="5" t="inlineStr">
        <is>
          <t>EJECUTIVA DE SEGUROS</t>
        </is>
      </c>
      <c r="E241" s="5" t="inlineStr">
        <is>
          <t xml:space="preserve"> EMPLEADO</t>
        </is>
      </c>
      <c r="F241" s="5" t="inlineStr">
        <is>
          <t xml:space="preserve">AGENCIA SONSONATE  </t>
        </is>
      </c>
      <c r="G241" s="5" t="inlineStr">
        <is>
          <t>Gerencia de Negocios (Agencias)</t>
        </is>
      </c>
    </row>
    <row r="242">
      <c r="A242" s="4" t="inlineStr">
        <is>
          <t>755</t>
        </is>
      </c>
      <c r="B242" s="5" t="inlineStr">
        <is>
          <t xml:space="preserve">MIGUEL ANGEL LEON MENA </t>
        </is>
      </c>
      <c r="C242" s="4" t="inlineStr">
        <is>
          <t>01/07/2022</t>
        </is>
      </c>
      <c r="D242" s="5" t="inlineStr">
        <is>
          <t>CAJERO</t>
        </is>
      </c>
      <c r="E242" s="5" t="inlineStr">
        <is>
          <t xml:space="preserve"> EMPLEADO</t>
        </is>
      </c>
      <c r="F242" s="5" t="inlineStr">
        <is>
          <t xml:space="preserve">AGENCIA SONSONATE  </t>
        </is>
      </c>
      <c r="G242" s="5" t="inlineStr">
        <is>
          <t>Gerencia de Negocios (Agencias)</t>
        </is>
      </c>
    </row>
    <row r="243">
      <c r="A243" s="4" t="inlineStr">
        <is>
          <t>849</t>
        </is>
      </c>
      <c r="B243" s="5" t="inlineStr">
        <is>
          <t xml:space="preserve">KARLA MARCELA  ESCOBAR TRIGUEROS </t>
        </is>
      </c>
      <c r="C243" s="4" t="inlineStr">
        <is>
          <t>16/01/2024</t>
        </is>
      </c>
      <c r="D243" s="5" t="inlineStr">
        <is>
          <t>CAJERO</t>
        </is>
      </c>
      <c r="E243" s="5" t="inlineStr">
        <is>
          <t xml:space="preserve"> EMPLEADO</t>
        </is>
      </c>
      <c r="F243" s="5" t="inlineStr">
        <is>
          <t xml:space="preserve">AGENCIA SONSONATE  </t>
        </is>
      </c>
      <c r="G243" s="5" t="inlineStr">
        <is>
          <t>Gerencia de Negocios (Agencias)</t>
        </is>
      </c>
    </row>
    <row r="244">
      <c r="A244" s="4" t="inlineStr">
        <is>
          <t>159</t>
        </is>
      </c>
      <c r="B244" s="5" t="inlineStr">
        <is>
          <t xml:space="preserve">PATRICIA GUADALUPE GUARDADO OSEGUEDA </t>
        </is>
      </c>
      <c r="C244" s="4" t="inlineStr">
        <is>
          <t>17/08/1998</t>
        </is>
      </c>
      <c r="D244" s="5" t="inlineStr">
        <is>
          <t>EJECUTIVO DE NEGOCIOS</t>
        </is>
      </c>
      <c r="E244" s="5" t="inlineStr">
        <is>
          <t xml:space="preserve"> EMPLEADO</t>
        </is>
      </c>
      <c r="F244" s="5" t="inlineStr">
        <is>
          <t xml:space="preserve">AGENCIA MERLIOT  </t>
        </is>
      </c>
      <c r="G244" s="5" t="inlineStr">
        <is>
          <t>Gerencia de Negocios (Agencias)</t>
        </is>
      </c>
    </row>
    <row r="245">
      <c r="A245" s="4" t="inlineStr">
        <is>
          <t>251</t>
        </is>
      </c>
      <c r="B245" s="5" t="inlineStr">
        <is>
          <t xml:space="preserve">NURIA LISSETH AGUILAR AGUILAR </t>
        </is>
      </c>
      <c r="C245" s="4" t="inlineStr">
        <is>
          <t>29/10/2001</t>
        </is>
      </c>
      <c r="D245" s="5" t="inlineStr">
        <is>
          <t>EJECUTIVO DE NEGOCIOS</t>
        </is>
      </c>
      <c r="E245" s="5" t="inlineStr">
        <is>
          <t xml:space="preserve"> EMPLEADO</t>
        </is>
      </c>
      <c r="F245" s="5" t="inlineStr">
        <is>
          <t xml:space="preserve">AGENCIA MERLIOT  </t>
        </is>
      </c>
      <c r="G245" s="5" t="inlineStr">
        <is>
          <t>Gerencia de Negocios (Agencias)</t>
        </is>
      </c>
    </row>
    <row r="246">
      <c r="A246" s="4" t="inlineStr">
        <is>
          <t>343</t>
        </is>
      </c>
      <c r="B246" s="5" t="inlineStr">
        <is>
          <t>FATIMA BERENICE MEDINA  ESCALANTE</t>
        </is>
      </c>
      <c r="C246" s="4" t="inlineStr">
        <is>
          <t>27/05/2005</t>
        </is>
      </c>
      <c r="D246" s="5" t="inlineStr">
        <is>
          <t xml:space="preserve">JEFE DE AGENCIA  </t>
        </is>
      </c>
      <c r="E246" s="5" t="inlineStr">
        <is>
          <t xml:space="preserve"> EMPLEADO</t>
        </is>
      </c>
      <c r="F246" s="5" t="inlineStr">
        <is>
          <t xml:space="preserve">AGENCIA MERLIOT  </t>
        </is>
      </c>
      <c r="G246" s="5" t="inlineStr">
        <is>
          <t>Gerencia de Negocios (Agencias)</t>
        </is>
      </c>
    </row>
    <row r="247">
      <c r="A247" s="4" t="inlineStr">
        <is>
          <t>657</t>
        </is>
      </c>
      <c r="B247" s="5" t="inlineStr">
        <is>
          <t>CLELIA DESIREE CAMPOS COSS</t>
        </is>
      </c>
      <c r="C247" s="4" t="inlineStr">
        <is>
          <t>09/07/2019</t>
        </is>
      </c>
      <c r="D247" s="5" t="inlineStr">
        <is>
          <t>SERVICIOS VARIOS</t>
        </is>
      </c>
      <c r="E247" s="5" t="inlineStr">
        <is>
          <t xml:space="preserve"> EMPLEADO</t>
        </is>
      </c>
      <c r="F247" s="5" t="inlineStr">
        <is>
          <t xml:space="preserve">AGENCIA MERLIOT  </t>
        </is>
      </c>
      <c r="G247" s="5" t="inlineStr">
        <is>
          <t>Gerencia de Negocios (Agencias)</t>
        </is>
      </c>
    </row>
    <row r="248">
      <c r="A248" s="4" t="inlineStr">
        <is>
          <t>671</t>
        </is>
      </c>
      <c r="B248" s="5" t="inlineStr">
        <is>
          <t xml:space="preserve">MILTON ALEXANDER CUELLAR GARCIA </t>
        </is>
      </c>
      <c r="C248" s="4" t="inlineStr">
        <is>
          <t>18/11/2019</t>
        </is>
      </c>
      <c r="D248" s="5" t="inlineStr">
        <is>
          <t>CAJERO</t>
        </is>
      </c>
      <c r="E248" s="5" t="inlineStr">
        <is>
          <t xml:space="preserve"> EMPLEADO</t>
        </is>
      </c>
      <c r="F248" s="5" t="inlineStr">
        <is>
          <t xml:space="preserve">AGENCIA MERLIOT  </t>
        </is>
      </c>
      <c r="G248" s="5" t="inlineStr">
        <is>
          <t>Gerencia de Negocios (Agencias)</t>
        </is>
      </c>
    </row>
    <row r="249">
      <c r="A249" s="4" t="inlineStr">
        <is>
          <t>700</t>
        </is>
      </c>
      <c r="B249" s="5" t="inlineStr">
        <is>
          <t xml:space="preserve">JENNIFFER MIREYA AYALA ZEPEDA </t>
        </is>
      </c>
      <c r="C249" s="4" t="inlineStr">
        <is>
          <t>18/01/2021</t>
        </is>
      </c>
      <c r="D249" s="5" t="inlineStr">
        <is>
          <t>SUBJEFE DE  AGENCIA</t>
        </is>
      </c>
      <c r="E249" s="5" t="inlineStr">
        <is>
          <t xml:space="preserve"> EMPLEADO</t>
        </is>
      </c>
      <c r="F249" s="5" t="inlineStr">
        <is>
          <t xml:space="preserve">AGENCIA MERLIOT  </t>
        </is>
      </c>
      <c r="G249" s="5" t="inlineStr">
        <is>
          <t>Gerencia de Negocios (Agencias)</t>
        </is>
      </c>
    </row>
    <row r="250">
      <c r="A250" s="4" t="inlineStr">
        <is>
          <t>827</t>
        </is>
      </c>
      <c r="B250" s="5" t="inlineStr">
        <is>
          <t xml:space="preserve">KELLY IDALIA CHAVEZ ABREGO </t>
        </is>
      </c>
      <c r="C250" s="4" t="inlineStr">
        <is>
          <t>07/09/2023</t>
        </is>
      </c>
      <c r="D250" s="5" t="inlineStr">
        <is>
          <t>CAJERO</t>
        </is>
      </c>
      <c r="E250" s="5" t="inlineStr">
        <is>
          <t xml:space="preserve"> EMPLEADO</t>
        </is>
      </c>
      <c r="F250" s="5" t="inlineStr">
        <is>
          <t xml:space="preserve">AGENCIA MERLIOT  </t>
        </is>
      </c>
      <c r="G250" s="5" t="inlineStr">
        <is>
          <t>Gerencia de Negocios (Agencias)</t>
        </is>
      </c>
    </row>
    <row r="251">
      <c r="A251" s="4" t="inlineStr">
        <is>
          <t>892</t>
        </is>
      </c>
      <c r="B251" s="5" t="inlineStr">
        <is>
          <t xml:space="preserve">DIANA VANESSA RODRIGUEZ SORIANO </t>
        </is>
      </c>
      <c r="C251" s="4" t="inlineStr">
        <is>
          <t>18/09/2024</t>
        </is>
      </c>
      <c r="D251" s="5" t="inlineStr">
        <is>
          <t>EJECUTIVA DE SEGUROS</t>
        </is>
      </c>
      <c r="E251" s="5" t="inlineStr">
        <is>
          <t xml:space="preserve"> EMPLEADO</t>
        </is>
      </c>
      <c r="F251" s="5" t="inlineStr">
        <is>
          <t xml:space="preserve">AGENCIA MERLIOT  </t>
        </is>
      </c>
      <c r="G251" s="5" t="inlineStr">
        <is>
          <t>Gerencia de Negocios (Agencias)</t>
        </is>
      </c>
    </row>
    <row r="252">
      <c r="A252" s="4" t="inlineStr">
        <is>
          <t>909</t>
        </is>
      </c>
      <c r="B252" s="5" t="inlineStr">
        <is>
          <t xml:space="preserve">GLADYS LISETH HERNANDEZ CRUZ </t>
        </is>
      </c>
      <c r="C252" s="4" t="inlineStr">
        <is>
          <t>11/02/2025</t>
        </is>
      </c>
      <c r="D252" s="5" t="inlineStr">
        <is>
          <t>CAJERO</t>
        </is>
      </c>
      <c r="E252" s="5" t="inlineStr">
        <is>
          <t xml:space="preserve"> EMPLEADO</t>
        </is>
      </c>
      <c r="F252" s="5" t="inlineStr">
        <is>
          <t xml:space="preserve">AGENCIA MERLIOT  </t>
        </is>
      </c>
      <c r="G252" s="5" t="inlineStr">
        <is>
          <t>Gerencia de Negocios (Agencias)</t>
        </is>
      </c>
    </row>
    <row r="253">
      <c r="A253" s="4" t="inlineStr">
        <is>
          <t>922</t>
        </is>
      </c>
      <c r="B253" s="5" t="inlineStr">
        <is>
          <t xml:space="preserve">MADELINE ADRIANA GOMEZ GARCIA </t>
        </is>
      </c>
      <c r="C253" s="4" t="inlineStr">
        <is>
          <t>05/05/2025</t>
        </is>
      </c>
      <c r="D253" s="5" t="inlineStr">
        <is>
          <t>CAJERO</t>
        </is>
      </c>
      <c r="E253" s="5" t="inlineStr">
        <is>
          <t xml:space="preserve"> EMPLEADO</t>
        </is>
      </c>
      <c r="F253" s="5" t="inlineStr">
        <is>
          <t xml:space="preserve">AGENCIA MERLIOT  </t>
        </is>
      </c>
      <c r="G253" s="5" t="inlineStr">
        <is>
          <t>Gerencia de Negocios (Agencias)</t>
        </is>
      </c>
    </row>
    <row r="254">
      <c r="A254" s="4" t="inlineStr">
        <is>
          <t>936</t>
        </is>
      </c>
      <c r="B254" s="5" t="inlineStr">
        <is>
          <t xml:space="preserve">MARISELA GUADALUPE MEJIA CRUZ </t>
        </is>
      </c>
      <c r="C254" s="4" t="inlineStr">
        <is>
          <t>14/07/2025</t>
        </is>
      </c>
      <c r="D254" s="5" t="inlineStr">
        <is>
          <t>CAJERO</t>
        </is>
      </c>
      <c r="E254" s="5" t="inlineStr">
        <is>
          <t xml:space="preserve"> EMPLEADO</t>
        </is>
      </c>
      <c r="F254" s="5" t="inlineStr">
        <is>
          <t xml:space="preserve">AGENCIA MERLIOT  </t>
        </is>
      </c>
      <c r="G254" s="5" t="inlineStr">
        <is>
          <t>Gerencia de Negocios (Agencias)</t>
        </is>
      </c>
    </row>
    <row r="255">
      <c r="A255" s="4" t="inlineStr">
        <is>
          <t>944</t>
        </is>
      </c>
      <c r="B255" s="5" t="inlineStr">
        <is>
          <t xml:space="preserve">JOSSELYN  IVONNE GARCIA  HERNANDEZ  </t>
        </is>
      </c>
      <c r="C255" s="4" t="inlineStr">
        <is>
          <t>17/10/2025</t>
        </is>
      </c>
      <c r="D255" s="5" t="inlineStr">
        <is>
          <t>AUXILIAR DE ATENCION A  ASOCIADOS</t>
        </is>
      </c>
      <c r="E255" s="5" t="inlineStr">
        <is>
          <t xml:space="preserve"> EMPLEADO</t>
        </is>
      </c>
      <c r="F255" s="5" t="inlineStr">
        <is>
          <t xml:space="preserve">AGENCIA MERLIOT  </t>
        </is>
      </c>
      <c r="G255" s="5" t="inlineStr">
        <is>
          <t>Gerencia de Negocios (Agencias)</t>
        </is>
      </c>
    </row>
    <row r="256">
      <c r="A256" s="4" t="inlineStr">
        <is>
          <t>967</t>
        </is>
      </c>
      <c r="B256" s="5" t="inlineStr">
        <is>
          <t xml:space="preserve">MAVERICK JOSSIMAR GONZALEZ  MUÑOZ </t>
        </is>
      </c>
      <c r="C256" s="4" t="inlineStr">
        <is>
          <t>11/05/2026</t>
        </is>
      </c>
      <c r="D256" s="5" t="inlineStr">
        <is>
          <t>CAJERO</t>
        </is>
      </c>
      <c r="E256" s="5" t="inlineStr">
        <is>
          <t xml:space="preserve"> EMPLEADO</t>
        </is>
      </c>
      <c r="F256" s="5" t="inlineStr">
        <is>
          <t xml:space="preserve">AGENCIA MERLIOT  </t>
        </is>
      </c>
      <c r="G256" s="5" t="inlineStr">
        <is>
          <t>Gerencia de Negocios (Agencias)</t>
        </is>
      </c>
    </row>
    <row r="257">
      <c r="A257" s="4" t="inlineStr">
        <is>
          <t>19</t>
        </is>
      </c>
      <c r="B257" s="5" t="inlineStr">
        <is>
          <t>ANA MARGARITA SERRANO RUBIO</t>
        </is>
      </c>
      <c r="C257" s="4" t="inlineStr">
        <is>
          <t>04/04/1994</t>
        </is>
      </c>
      <c r="D257" s="5" t="inlineStr">
        <is>
          <t>CAJERO</t>
        </is>
      </c>
      <c r="E257" s="5" t="inlineStr">
        <is>
          <t xml:space="preserve"> EMPLEADO</t>
        </is>
      </c>
      <c r="F257" s="5" t="inlineStr">
        <is>
          <t xml:space="preserve">AGENCIA COLONIA MEDICA  </t>
        </is>
      </c>
      <c r="G257" s="5" t="inlineStr">
        <is>
          <t>Gerencia de Negocios (Agencias)</t>
        </is>
      </c>
    </row>
    <row r="258">
      <c r="A258" s="4" t="inlineStr">
        <is>
          <t>89</t>
        </is>
      </c>
      <c r="B258" s="5" t="inlineStr">
        <is>
          <t xml:space="preserve">PATRICIA JEANNETTE FLORES MARTINEZ </t>
        </is>
      </c>
      <c r="C258" s="4" t="inlineStr">
        <is>
          <t>08/04/1996</t>
        </is>
      </c>
      <c r="D258" s="5" t="inlineStr">
        <is>
          <t>AUXILIAR DE OPERACIONES Y ATENCION EN  AGENCIA</t>
        </is>
      </c>
      <c r="E258" s="5" t="inlineStr">
        <is>
          <t xml:space="preserve"> EMPLEADO</t>
        </is>
      </c>
      <c r="F258" s="5" t="inlineStr">
        <is>
          <t xml:space="preserve">AGENCIA COLONIA MEDICA  </t>
        </is>
      </c>
      <c r="G258" s="5" t="inlineStr">
        <is>
          <t>Gerencia de Negocios (Agencias)</t>
        </is>
      </c>
    </row>
    <row r="259">
      <c r="A259" s="4" t="inlineStr">
        <is>
          <t>179</t>
        </is>
      </c>
      <c r="B259" s="5" t="inlineStr">
        <is>
          <t xml:space="preserve">JULIO RAFAEL FLORES HENRIQUEZ </t>
        </is>
      </c>
      <c r="C259" s="4" t="inlineStr">
        <is>
          <t>12/04/1999</t>
        </is>
      </c>
      <c r="D259" s="5" t="inlineStr">
        <is>
          <t xml:space="preserve">JEFE DE AGENCIA  </t>
        </is>
      </c>
      <c r="E259" s="5" t="inlineStr">
        <is>
          <t xml:space="preserve"> EMPLEADO</t>
        </is>
      </c>
      <c r="F259" s="5" t="inlineStr">
        <is>
          <t xml:space="preserve">AGENCIA COLONIA MEDICA  </t>
        </is>
      </c>
      <c r="G259" s="5" t="inlineStr">
        <is>
          <t>Gerencia de Negocios (Agencias)</t>
        </is>
      </c>
    </row>
    <row r="260">
      <c r="A260" s="4" t="inlineStr">
        <is>
          <t>308</t>
        </is>
      </c>
      <c r="B260" s="5" t="inlineStr">
        <is>
          <t xml:space="preserve">JENNIFFER IVETTE MORALES PEREZ </t>
        </is>
      </c>
      <c r="C260" s="4" t="inlineStr">
        <is>
          <t>12/04/2004</t>
        </is>
      </c>
      <c r="D260" s="5" t="inlineStr">
        <is>
          <t>EJECUTIVO DE NEGOCIOS</t>
        </is>
      </c>
      <c r="E260" s="5" t="inlineStr">
        <is>
          <t xml:space="preserve"> EMPLEADO</t>
        </is>
      </c>
      <c r="F260" s="5" t="inlineStr">
        <is>
          <t xml:space="preserve">AGENCIA COLONIA MEDICA  </t>
        </is>
      </c>
      <c r="G260" s="5" t="inlineStr">
        <is>
          <t>Gerencia de Negocios (Agencias)</t>
        </is>
      </c>
    </row>
    <row r="261">
      <c r="A261" s="4" t="inlineStr">
        <is>
          <t>412</t>
        </is>
      </c>
      <c r="B261" s="5" t="inlineStr">
        <is>
          <t xml:space="preserve">CARMEN DE JESÚS GONZÁLEZ BLANCO </t>
        </is>
      </c>
      <c r="C261" s="4" t="inlineStr">
        <is>
          <t>17/10/2007</t>
        </is>
      </c>
      <c r="D261" s="5" t="inlineStr">
        <is>
          <t>EJECUTIVA DE SEGUROS</t>
        </is>
      </c>
      <c r="E261" s="5" t="inlineStr">
        <is>
          <t xml:space="preserve"> EMPLEADO</t>
        </is>
      </c>
      <c r="F261" s="5" t="inlineStr">
        <is>
          <t xml:space="preserve">AGENCIA COLONIA MEDICA  </t>
        </is>
      </c>
      <c r="G261" s="5" t="inlineStr">
        <is>
          <t>Gerencia de Negocios (Agencias)</t>
        </is>
      </c>
    </row>
    <row r="262">
      <c r="A262" s="4" t="inlineStr">
        <is>
          <t>624</t>
        </is>
      </c>
      <c r="B262" s="5" t="inlineStr">
        <is>
          <t xml:space="preserve">JULIO ENRIQUE  CAMPOS ANDRADE </t>
        </is>
      </c>
      <c r="C262" s="4" t="inlineStr">
        <is>
          <t>09/07/2018</t>
        </is>
      </c>
      <c r="D262" s="5" t="inlineStr">
        <is>
          <t>EJECUTIVO DE NEGOCIOS</t>
        </is>
      </c>
      <c r="E262" s="5" t="inlineStr">
        <is>
          <t xml:space="preserve"> EMPLEADO</t>
        </is>
      </c>
      <c r="F262" s="5" t="inlineStr">
        <is>
          <t xml:space="preserve">AGENCIA COLONIA MEDICA  </t>
        </is>
      </c>
      <c r="G262" s="5" t="inlineStr">
        <is>
          <t>Gerencia de Negocios (Agencias)</t>
        </is>
      </c>
    </row>
    <row r="263">
      <c r="A263" s="4" t="inlineStr">
        <is>
          <t>674</t>
        </is>
      </c>
      <c r="B263" s="5" t="inlineStr">
        <is>
          <t xml:space="preserve">ALFREDO ARMANDO RAMOS ESCOBAR </t>
        </is>
      </c>
      <c r="C263" s="4" t="inlineStr">
        <is>
          <t>05/12/2019</t>
        </is>
      </c>
      <c r="D263" s="5" t="inlineStr">
        <is>
          <t>CAJERO</t>
        </is>
      </c>
      <c r="E263" s="5" t="inlineStr">
        <is>
          <t xml:space="preserve"> EMPLEADO</t>
        </is>
      </c>
      <c r="F263" s="5" t="inlineStr">
        <is>
          <t xml:space="preserve">AGENCIA COLONIA MEDICA  </t>
        </is>
      </c>
      <c r="G263" s="5" t="inlineStr">
        <is>
          <t>Gerencia de Negocios (Agencias)</t>
        </is>
      </c>
    </row>
    <row r="264">
      <c r="A264" s="4" t="inlineStr">
        <is>
          <t>722</t>
        </is>
      </c>
      <c r="B264" s="5" t="inlineStr">
        <is>
          <t xml:space="preserve">INGRID PAOLA  CORADO HERNANDEZ </t>
        </is>
      </c>
      <c r="C264" s="4" t="inlineStr">
        <is>
          <t>05/07/2021</t>
        </is>
      </c>
      <c r="D264" s="5" t="inlineStr">
        <is>
          <t>CAJERO</t>
        </is>
      </c>
      <c r="E264" s="5" t="inlineStr">
        <is>
          <t xml:space="preserve"> EMPLEADO</t>
        </is>
      </c>
      <c r="F264" s="5" t="inlineStr">
        <is>
          <t xml:space="preserve">AGENCIA COLONIA MEDICA  </t>
        </is>
      </c>
      <c r="G264" s="5" t="inlineStr">
        <is>
          <t>Gerencia de Negocios (Agencias)</t>
        </is>
      </c>
    </row>
    <row r="265">
      <c r="A265" s="4" t="inlineStr">
        <is>
          <t>728</t>
        </is>
      </c>
      <c r="B265" s="5" t="inlineStr">
        <is>
          <t xml:space="preserve">DIANA MARISOL BATRES BARAHONA </t>
        </is>
      </c>
      <c r="C265" s="4" t="inlineStr">
        <is>
          <t>16/08/2021</t>
        </is>
      </c>
      <c r="D265" s="5" t="inlineStr">
        <is>
          <t>SUBJEFE DE  AGENCIA</t>
        </is>
      </c>
      <c r="E265" s="5" t="inlineStr">
        <is>
          <t xml:space="preserve"> EMPLEADO</t>
        </is>
      </c>
      <c r="F265" s="5" t="inlineStr">
        <is>
          <t xml:space="preserve">AGENCIA COLONIA MEDICA  </t>
        </is>
      </c>
      <c r="G265" s="5" t="inlineStr">
        <is>
          <t>Gerencia de Negocios (Agencias)</t>
        </is>
      </c>
    </row>
    <row r="266">
      <c r="A266" s="4" t="inlineStr">
        <is>
          <t>735</t>
        </is>
      </c>
      <c r="B266" s="5" t="inlineStr">
        <is>
          <t>YHANA MILET  VALLE  HERNANDEZ</t>
        </is>
      </c>
      <c r="C266" s="4" t="inlineStr">
        <is>
          <t>22/11/2021</t>
        </is>
      </c>
      <c r="D266" s="5" t="inlineStr">
        <is>
          <t>CAJERO</t>
        </is>
      </c>
      <c r="E266" s="5" t="inlineStr">
        <is>
          <t xml:space="preserve"> EMPLEADO</t>
        </is>
      </c>
      <c r="F266" s="5" t="inlineStr">
        <is>
          <t xml:space="preserve">AGENCIA COLONIA MEDICA  </t>
        </is>
      </c>
      <c r="G266" s="5" t="inlineStr">
        <is>
          <t>Gerencia de Negocios (Agencias)</t>
        </is>
      </c>
    </row>
    <row r="267">
      <c r="A267" s="4" t="inlineStr">
        <is>
          <t>801</t>
        </is>
      </c>
      <c r="B267" s="5" t="inlineStr">
        <is>
          <t xml:space="preserve">ZULMA BEATRIZ RIVAS RIVERA </t>
        </is>
      </c>
      <c r="C267" s="4" t="inlineStr">
        <is>
          <t>16/03/2023</t>
        </is>
      </c>
      <c r="D267" s="5" t="inlineStr">
        <is>
          <t>CAJERO</t>
        </is>
      </c>
      <c r="E267" s="5" t="inlineStr">
        <is>
          <t xml:space="preserve"> EMPLEADO</t>
        </is>
      </c>
      <c r="F267" s="5" t="inlineStr">
        <is>
          <t xml:space="preserve">AGENCIA COLONIA MEDICA  </t>
        </is>
      </c>
      <c r="G267" s="5" t="inlineStr">
        <is>
          <t>Gerencia de Negocios (Agencias)</t>
        </is>
      </c>
    </row>
    <row r="268">
      <c r="A268" s="4" t="inlineStr">
        <is>
          <t>855</t>
        </is>
      </c>
      <c r="B268" s="5" t="inlineStr">
        <is>
          <t xml:space="preserve">STEFFANY MARIELOS MIRO HERNANDEZ </t>
        </is>
      </c>
      <c r="C268" s="4" t="inlineStr">
        <is>
          <t>09/02/2024</t>
        </is>
      </c>
      <c r="D268" s="5" t="inlineStr">
        <is>
          <t>CAJERO</t>
        </is>
      </c>
      <c r="E268" s="5" t="inlineStr">
        <is>
          <t xml:space="preserve"> EMPLEADO</t>
        </is>
      </c>
      <c r="F268" s="5" t="inlineStr">
        <is>
          <t xml:space="preserve">AGENCIA COLONIA MEDICA  </t>
        </is>
      </c>
      <c r="G268" s="5" t="inlineStr">
        <is>
          <t>Gerencia de Negocios (Agencias)</t>
        </is>
      </c>
    </row>
    <row r="269">
      <c r="A269" s="4" t="inlineStr">
        <is>
          <t>873</t>
        </is>
      </c>
      <c r="B269" s="5" t="inlineStr">
        <is>
          <t xml:space="preserve">FLOR DE MARIA ROSALES SORTO </t>
        </is>
      </c>
      <c r="C269" s="4" t="inlineStr">
        <is>
          <t>13/05/2024</t>
        </is>
      </c>
      <c r="D269" s="5" t="inlineStr">
        <is>
          <t>CAJERO</t>
        </is>
      </c>
      <c r="E269" s="5" t="inlineStr">
        <is>
          <t xml:space="preserve"> EMPLEADO</t>
        </is>
      </c>
      <c r="F269" s="5" t="inlineStr">
        <is>
          <t xml:space="preserve">AGENCIA COLONIA MEDICA  </t>
        </is>
      </c>
      <c r="G269" s="5" t="inlineStr">
        <is>
          <t>Gerencia de Negocios (Agencias)</t>
        </is>
      </c>
    </row>
    <row r="270">
      <c r="A270" s="4" t="inlineStr">
        <is>
          <t>891</t>
        </is>
      </c>
      <c r="B270" s="5" t="inlineStr">
        <is>
          <t xml:space="preserve">YESENIA LISSETH BARAHONA VALLE </t>
        </is>
      </c>
      <c r="C270" s="4" t="inlineStr">
        <is>
          <t>18/09/2024</t>
        </is>
      </c>
      <c r="D270" s="5" t="inlineStr">
        <is>
          <t>AUXILIAR DE ATENCION AL ASOCIADO EN AGENCIA</t>
        </is>
      </c>
      <c r="E270" s="5" t="inlineStr">
        <is>
          <t xml:space="preserve"> EMPLEADO</t>
        </is>
      </c>
      <c r="F270" s="5" t="inlineStr">
        <is>
          <t xml:space="preserve">AGENCIA COLONIA MEDICA  </t>
        </is>
      </c>
      <c r="G270" s="5" t="inlineStr">
        <is>
          <t>Gerencia de Negocios (Agencias)</t>
        </is>
      </c>
    </row>
    <row r="271">
      <c r="A271" s="4" t="inlineStr">
        <is>
          <t>913</t>
        </is>
      </c>
      <c r="B271" s="5" t="inlineStr">
        <is>
          <t xml:space="preserve">FLOR DEL CARMEN GONZALEZ HERNANDEZ </t>
        </is>
      </c>
      <c r="C271" s="4" t="inlineStr">
        <is>
          <t>10/03/2025</t>
        </is>
      </c>
      <c r="D271" s="5" t="inlineStr">
        <is>
          <t>SERVICIOS VARIOS</t>
        </is>
      </c>
      <c r="E271" s="5" t="inlineStr">
        <is>
          <t xml:space="preserve"> EMPLEADO</t>
        </is>
      </c>
      <c r="F271" s="5" t="inlineStr">
        <is>
          <t xml:space="preserve">AGENCIA COLONIA MEDICA  </t>
        </is>
      </c>
      <c r="G271" s="5" t="inlineStr">
        <is>
          <t>Gerencia de Negocios (Agencias)</t>
        </is>
      </c>
    </row>
    <row r="272">
      <c r="A272" s="4" t="inlineStr">
        <is>
          <t>933</t>
        </is>
      </c>
      <c r="B272" s="5" t="inlineStr">
        <is>
          <t xml:space="preserve">JACQUELINE GUADALUPE CEA ALVARADO </t>
        </is>
      </c>
      <c r="C272" s="4" t="inlineStr">
        <is>
          <t>08/07/2025</t>
        </is>
      </c>
      <c r="D272" s="5" t="inlineStr">
        <is>
          <t>EJECUTIVO DE NEGOCIOS</t>
        </is>
      </c>
      <c r="E272" s="5" t="inlineStr">
        <is>
          <t xml:space="preserve"> EMPLEADO</t>
        </is>
      </c>
      <c r="F272" s="5" t="inlineStr">
        <is>
          <t xml:space="preserve">AGENCIA COLONIA MEDICA  </t>
        </is>
      </c>
      <c r="G272" s="5" t="inlineStr">
        <is>
          <t>Gerencia de Negocios (Agencias)</t>
        </is>
      </c>
    </row>
    <row r="273">
      <c r="A273" s="4" t="inlineStr">
        <is>
          <t>59</t>
        </is>
      </c>
      <c r="B273" s="5" t="inlineStr">
        <is>
          <t xml:space="preserve">ZOILA AYDEE LARIOS  </t>
        </is>
      </c>
      <c r="C273" s="4" t="inlineStr">
        <is>
          <t>15/01/1996</t>
        </is>
      </c>
      <c r="D273" s="5" t="inlineStr">
        <is>
          <t>SERVICIOS VARIOS</t>
        </is>
      </c>
      <c r="E273" s="5" t="inlineStr">
        <is>
          <t xml:space="preserve"> EMPLEADO</t>
        </is>
      </c>
      <c r="F273" s="5" t="inlineStr">
        <is>
          <t xml:space="preserve">AGENCIA PLAZA MUNDO  </t>
        </is>
      </c>
      <c r="G273" s="5" t="inlineStr">
        <is>
          <t>Gerencia de Negocios (Agencias)</t>
        </is>
      </c>
    </row>
    <row r="274">
      <c r="A274" s="4" t="inlineStr">
        <is>
          <t>331</t>
        </is>
      </c>
      <c r="B274" s="5" t="inlineStr">
        <is>
          <t xml:space="preserve">NORMA ARACELY GUILLEN </t>
        </is>
      </c>
      <c r="C274" s="4" t="inlineStr">
        <is>
          <t>01/03/2005</t>
        </is>
      </c>
      <c r="D274" s="5" t="inlineStr">
        <is>
          <t>SUBJEFE DE  AGENCIA</t>
        </is>
      </c>
      <c r="E274" s="5" t="inlineStr">
        <is>
          <t xml:space="preserve"> EMPLEADO</t>
        </is>
      </c>
      <c r="F274" s="5" t="inlineStr">
        <is>
          <t xml:space="preserve">AGENCIA PLAZA MUNDO  </t>
        </is>
      </c>
      <c r="G274" s="5" t="inlineStr">
        <is>
          <t>Gerencia de Negocios (Agencias)</t>
        </is>
      </c>
    </row>
    <row r="275">
      <c r="A275" s="4" t="inlineStr">
        <is>
          <t>535</t>
        </is>
      </c>
      <c r="B275" s="5" t="inlineStr">
        <is>
          <t xml:space="preserve">ROSARIO DEL CARMEN PEREZ LOPEZ </t>
        </is>
      </c>
      <c r="C275" s="4" t="inlineStr">
        <is>
          <t>16/07/2014</t>
        </is>
      </c>
      <c r="D275" s="5" t="inlineStr">
        <is>
          <t xml:space="preserve">JEFE DE AGENCIA  </t>
        </is>
      </c>
      <c r="E275" s="5" t="inlineStr">
        <is>
          <t xml:space="preserve"> EMPLEADO</t>
        </is>
      </c>
      <c r="F275" s="5" t="inlineStr">
        <is>
          <t xml:space="preserve">AGENCIA PLAZA MUNDO  </t>
        </is>
      </c>
      <c r="G275" s="5" t="inlineStr">
        <is>
          <t>Gerencia de Negocios (Agencias)</t>
        </is>
      </c>
    </row>
    <row r="276">
      <c r="A276" s="4" t="inlineStr">
        <is>
          <t>616</t>
        </is>
      </c>
      <c r="B276" s="5" t="inlineStr">
        <is>
          <t xml:space="preserve">GABRIELA JEANNETTE BOLAÑOS HERRERA </t>
        </is>
      </c>
      <c r="C276" s="4" t="inlineStr">
        <is>
          <t>14/05/2018</t>
        </is>
      </c>
      <c r="D276" s="5" t="inlineStr">
        <is>
          <t>EJECUTIVA DE SEGUROS</t>
        </is>
      </c>
      <c r="E276" s="5" t="inlineStr">
        <is>
          <t xml:space="preserve"> EMPLEADO</t>
        </is>
      </c>
      <c r="F276" s="5" t="inlineStr">
        <is>
          <t xml:space="preserve">AGENCIA PLAZA MUNDO  </t>
        </is>
      </c>
      <c r="G276" s="5" t="inlineStr">
        <is>
          <t>Gerencia de Negocios (Agencias)</t>
        </is>
      </c>
    </row>
    <row r="277">
      <c r="A277" s="4" t="inlineStr">
        <is>
          <t>675</t>
        </is>
      </c>
      <c r="B277" s="5" t="inlineStr">
        <is>
          <t xml:space="preserve">NANCY CAROLINA FUENTES SORTO </t>
        </is>
      </c>
      <c r="C277" s="4" t="inlineStr">
        <is>
          <t>22/01/2020</t>
        </is>
      </c>
      <c r="D277" s="5" t="inlineStr">
        <is>
          <t>CAJERO</t>
        </is>
      </c>
      <c r="E277" s="5" t="inlineStr">
        <is>
          <t xml:space="preserve"> EMPLEADO</t>
        </is>
      </c>
      <c r="F277" s="5" t="inlineStr">
        <is>
          <t xml:space="preserve">AGENCIA PLAZA MUNDO  </t>
        </is>
      </c>
      <c r="G277" s="5" t="inlineStr">
        <is>
          <t>Gerencia de Negocios (Agencias)</t>
        </is>
      </c>
    </row>
    <row r="278">
      <c r="A278" s="4" t="inlineStr">
        <is>
          <t>748</t>
        </is>
      </c>
      <c r="B278" s="5" t="inlineStr">
        <is>
          <t xml:space="preserve">WALTER ALBERTO BARAHONA DIAZ </t>
        </is>
      </c>
      <c r="C278" s="4" t="inlineStr">
        <is>
          <t>16/05/2022</t>
        </is>
      </c>
      <c r="D278" s="5" t="inlineStr">
        <is>
          <t>CAJERO</t>
        </is>
      </c>
      <c r="E278" s="5" t="inlineStr">
        <is>
          <t xml:space="preserve"> EMPLEADO</t>
        </is>
      </c>
      <c r="F278" s="5" t="inlineStr">
        <is>
          <t xml:space="preserve">AGENCIA PLAZA MUNDO  </t>
        </is>
      </c>
      <c r="G278" s="5" t="inlineStr">
        <is>
          <t>Gerencia de Negocios (Agencias)</t>
        </is>
      </c>
    </row>
    <row r="279">
      <c r="A279" s="4" t="inlineStr">
        <is>
          <t>876</t>
        </is>
      </c>
      <c r="B279" s="5" t="inlineStr">
        <is>
          <t xml:space="preserve">PAOLA JEANNETTE ROMERO HERNANDEZ  </t>
        </is>
      </c>
      <c r="C279" s="4" t="inlineStr">
        <is>
          <t>10/06/2024</t>
        </is>
      </c>
      <c r="D279" s="5" t="inlineStr">
        <is>
          <t>CAJERO</t>
        </is>
      </c>
      <c r="E279" s="5" t="inlineStr">
        <is>
          <t xml:space="preserve"> EMPLEADO</t>
        </is>
      </c>
      <c r="F279" s="5" t="inlineStr">
        <is>
          <t xml:space="preserve">AGENCIA PLAZA MUNDO  </t>
        </is>
      </c>
      <c r="G279" s="5" t="inlineStr">
        <is>
          <t>Gerencia de Negocios (Agencias)</t>
        </is>
      </c>
    </row>
    <row r="280">
      <c r="A280" s="4" t="inlineStr">
        <is>
          <t>955</t>
        </is>
      </c>
      <c r="B280" s="5" t="inlineStr">
        <is>
          <t xml:space="preserve">ERIKA IVETH MANCIA HERNANDEZ </t>
        </is>
      </c>
      <c r="C280" s="4" t="inlineStr">
        <is>
          <t>05/01/2026</t>
        </is>
      </c>
      <c r="D280" s="5" t="inlineStr">
        <is>
          <t>CAJERO</t>
        </is>
      </c>
      <c r="E280" s="5" t="inlineStr">
        <is>
          <t xml:space="preserve"> EMPLEADO</t>
        </is>
      </c>
      <c r="F280" s="5" t="inlineStr">
        <is>
          <t xml:space="preserve">AGENCIA PLAZA MUNDO  </t>
        </is>
      </c>
      <c r="G280" s="5" t="inlineStr">
        <is>
          <t>Gerencia de Negocios (Agencias)</t>
        </is>
      </c>
    </row>
    <row r="281">
      <c r="A281" s="4" t="inlineStr">
        <is>
          <t>456</t>
        </is>
      </c>
      <c r="B281" s="5" t="inlineStr">
        <is>
          <t xml:space="preserve">LUCIANO DE JESUS SARAVIA BELTRAN </t>
        </is>
      </c>
      <c r="C281" s="4" t="inlineStr">
        <is>
          <t>15/02/2010</t>
        </is>
      </c>
      <c r="D281" s="5" t="inlineStr">
        <is>
          <t>MENSAJERO</t>
        </is>
      </c>
      <c r="E281" s="5" t="inlineStr">
        <is>
          <t xml:space="preserve"> EMPLEADO</t>
        </is>
      </c>
      <c r="F281" s="5" t="inlineStr">
        <is>
          <t xml:space="preserve">AGENCIA USULUTAN  </t>
        </is>
      </c>
      <c r="G281" s="5" t="inlineStr">
        <is>
          <t>Gerencia de Negocios (Agencias)</t>
        </is>
      </c>
    </row>
    <row r="282">
      <c r="A282" s="4" t="inlineStr">
        <is>
          <t>903</t>
        </is>
      </c>
      <c r="B282" s="5" t="inlineStr">
        <is>
          <t xml:space="preserve">WENDY YAMILETH  MARQUEZ VASQUEZ </t>
        </is>
      </c>
      <c r="C282" s="4" t="inlineStr">
        <is>
          <t>24/10/2024</t>
        </is>
      </c>
      <c r="D282" s="5" t="inlineStr">
        <is>
          <t xml:space="preserve">JEFE DE AGENCIA  </t>
        </is>
      </c>
      <c r="E282" s="5" t="inlineStr">
        <is>
          <t xml:space="preserve"> EMPLEADO</t>
        </is>
      </c>
      <c r="F282" s="5" t="inlineStr">
        <is>
          <t xml:space="preserve">AGENCIA USULUTAN  </t>
        </is>
      </c>
      <c r="G282" s="5" t="inlineStr">
        <is>
          <t>Gerencia de Negocios (Agencias)</t>
        </is>
      </c>
    </row>
    <row r="283">
      <c r="A283" s="4" t="inlineStr">
        <is>
          <t>912</t>
        </is>
      </c>
      <c r="B283" s="5" t="inlineStr">
        <is>
          <t xml:space="preserve">HECTOR MAURICIO GONZÁLEZ VÁSQUEZ </t>
        </is>
      </c>
      <c r="C283" s="4" t="inlineStr">
        <is>
          <t>10/03/2025</t>
        </is>
      </c>
      <c r="D283" s="5" t="inlineStr">
        <is>
          <t>EJECUTIVO DE SEGUROS</t>
        </is>
      </c>
      <c r="E283" s="5" t="inlineStr">
        <is>
          <t xml:space="preserve"> EMPLEADO</t>
        </is>
      </c>
      <c r="F283" s="5" t="inlineStr">
        <is>
          <t xml:space="preserve">AGENCIA USULUTAN  </t>
        </is>
      </c>
      <c r="G283" s="5" t="inlineStr">
        <is>
          <t>Gerencia de Negocios (Agencias)</t>
        </is>
      </c>
    </row>
    <row r="284">
      <c r="A284" s="4" t="inlineStr">
        <is>
          <t>917</t>
        </is>
      </c>
      <c r="B284" s="5" t="inlineStr">
        <is>
          <t xml:space="preserve">LUIS MANUEL VALENCIA GUERRERO </t>
        </is>
      </c>
      <c r="C284" s="4" t="inlineStr">
        <is>
          <t>10/04/2025</t>
        </is>
      </c>
      <c r="D284" s="5" t="inlineStr">
        <is>
          <t>SUBJEFE DE  AGENCIA</t>
        </is>
      </c>
      <c r="E284" s="5" t="inlineStr">
        <is>
          <t xml:space="preserve"> EMPLEADO</t>
        </is>
      </c>
      <c r="F284" s="5" t="inlineStr">
        <is>
          <t xml:space="preserve">AGENCIA USULUTAN  </t>
        </is>
      </c>
      <c r="G284" s="5" t="inlineStr">
        <is>
          <t>Gerencia de Negocios (Agencias)</t>
        </is>
      </c>
    </row>
    <row r="285">
      <c r="A285" s="4" t="inlineStr">
        <is>
          <t>951</t>
        </is>
      </c>
      <c r="B285" s="5" t="inlineStr">
        <is>
          <t xml:space="preserve">MELVIN ELISEO HERNANDEZ MACHADO </t>
        </is>
      </c>
      <c r="C285" s="4" t="inlineStr">
        <is>
          <t>16/12/2025</t>
        </is>
      </c>
      <c r="D285" s="5" t="inlineStr">
        <is>
          <t>EJECUTIVO DE NEGOCIOS</t>
        </is>
      </c>
      <c r="E285" s="5" t="inlineStr">
        <is>
          <t xml:space="preserve"> EMPLEADO</t>
        </is>
      </c>
      <c r="F285" s="5" t="inlineStr">
        <is>
          <t xml:space="preserve">AGENCIA USULUTAN  </t>
        </is>
      </c>
      <c r="G285" s="5" t="inlineStr">
        <is>
          <t>Gerencia de Negocios (Agencias)</t>
        </is>
      </c>
    </row>
    <row r="286">
      <c r="A286" s="4" t="inlineStr">
        <is>
          <t>961</t>
        </is>
      </c>
      <c r="B286" s="5" t="inlineStr">
        <is>
          <t>FATIMA LISSETTE HERNANDEZ  MEJIA</t>
        </is>
      </c>
      <c r="C286" s="4" t="inlineStr">
        <is>
          <t>16/03/2026</t>
        </is>
      </c>
      <c r="D286" s="5" t="inlineStr">
        <is>
          <t>CAJERO</t>
        </is>
      </c>
      <c r="E286" s="5" t="inlineStr">
        <is>
          <t xml:space="preserve"> EMPLEADO</t>
        </is>
      </c>
      <c r="F286" s="5" t="inlineStr">
        <is>
          <t xml:space="preserve">AGENCIA USULUTAN  </t>
        </is>
      </c>
      <c r="G286" s="5" t="inlineStr">
        <is>
          <t>Gerencia de Negocios (Agencias)</t>
        </is>
      </c>
    </row>
    <row r="287">
      <c r="A287" s="4" t="inlineStr">
        <is>
          <t>970</t>
        </is>
      </c>
      <c r="B287" s="5" t="inlineStr">
        <is>
          <t xml:space="preserve">EDUARDO JOSE GAMEZ VILLATORO </t>
        </is>
      </c>
      <c r="C287" s="4" t="inlineStr">
        <is>
          <t>01/06/2026</t>
        </is>
      </c>
      <c r="D287" s="5" t="inlineStr">
        <is>
          <t>CAJERO</t>
        </is>
      </c>
      <c r="E287" s="5" t="inlineStr">
        <is>
          <t xml:space="preserve"> EMPLEADO</t>
        </is>
      </c>
      <c r="F287" s="5" t="inlineStr">
        <is>
          <t xml:space="preserve">AGENCIA USULUTAN  </t>
        </is>
      </c>
      <c r="G287" s="5" t="inlineStr">
        <is>
          <t>Gerencia de Negocios (Agencias)</t>
        </is>
      </c>
    </row>
    <row r="288">
      <c r="A288" s="4" t="inlineStr">
        <is>
          <t>442</t>
        </is>
      </c>
      <c r="B288" s="5" t="inlineStr">
        <is>
          <t xml:space="preserve">JUAN JOSE CAÑAS COMAYAGUA </t>
        </is>
      </c>
      <c r="C288" s="4" t="inlineStr">
        <is>
          <t>22/10/2008</t>
        </is>
      </c>
      <c r="D288" s="5" t="inlineStr">
        <is>
          <t>JEFE DE DEPARTAMENTO LEGAL</t>
        </is>
      </c>
      <c r="E288" s="5" t="inlineStr">
        <is>
          <t xml:space="preserve"> EMPLEADO</t>
        </is>
      </c>
      <c r="F288" s="5" t="inlineStr">
        <is>
          <t>DEPARTAMENTO LEGAL</t>
        </is>
      </c>
      <c r="G288" s="5" t="inlineStr">
        <is>
          <t>Gerencia Legal y Cumplimiento Normativo</t>
        </is>
      </c>
    </row>
    <row r="289">
      <c r="A289" s="4" t="inlineStr">
        <is>
          <t>592</t>
        </is>
      </c>
      <c r="B289" s="5" t="inlineStr">
        <is>
          <t xml:space="preserve">CARLOS RENE CASTILLO GAMEZ </t>
        </is>
      </c>
      <c r="C289" s="4" t="inlineStr">
        <is>
          <t>16/05/2017</t>
        </is>
      </c>
      <c r="D289" s="5" t="inlineStr">
        <is>
          <t>ASISTENTE TECNICO LEGAL</t>
        </is>
      </c>
      <c r="E289" s="5" t="inlineStr">
        <is>
          <t xml:space="preserve"> EMPLEADO</t>
        </is>
      </c>
      <c r="F289" s="5" t="inlineStr">
        <is>
          <t>DEPARTAMENTO LEGAL</t>
        </is>
      </c>
      <c r="G289" s="5" t="inlineStr">
        <is>
          <t>Gerencia Legal y Cumplimiento Normativo</t>
        </is>
      </c>
    </row>
    <row r="290">
      <c r="A290" s="4" t="inlineStr">
        <is>
          <t>814</t>
        </is>
      </c>
      <c r="B290" s="5" t="inlineStr">
        <is>
          <t xml:space="preserve">ANDREA RAQUEL MONTOYA ALARCON </t>
        </is>
      </c>
      <c r="C290" s="4" t="inlineStr">
        <is>
          <t>19/12/2023</t>
        </is>
      </c>
      <c r="D290" s="5" t="inlineStr">
        <is>
          <t>AUXILIAR JURIDICO DE ESCRITURACION</t>
        </is>
      </c>
      <c r="E290" s="5" t="inlineStr">
        <is>
          <t xml:space="preserve"> EMPLEADO</t>
        </is>
      </c>
      <c r="F290" s="5" t="inlineStr">
        <is>
          <t>DEPARTAMENTO LEGAL</t>
        </is>
      </c>
      <c r="G290" s="5" t="inlineStr">
        <is>
          <t>Gerencia Legal y Cumplimiento Normativo</t>
        </is>
      </c>
    </row>
    <row r="291">
      <c r="A291" s="4" t="inlineStr">
        <is>
          <t>831</t>
        </is>
      </c>
      <c r="B291" s="5" t="inlineStr">
        <is>
          <t xml:space="preserve">NICOLLE ALEXANDRA MARINERO GALLARDO </t>
        </is>
      </c>
      <c r="C291" s="4" t="inlineStr">
        <is>
          <t>18/01/2024</t>
        </is>
      </c>
      <c r="D291" s="5" t="inlineStr">
        <is>
          <t>AUXILIAR JURIDICO NOTARIAL</t>
        </is>
      </c>
      <c r="E291" s="5" t="inlineStr">
        <is>
          <t xml:space="preserve"> EMPLEADO</t>
        </is>
      </c>
      <c r="F291" s="5" t="inlineStr">
        <is>
          <t>DEPARTAMENTO LEGAL</t>
        </is>
      </c>
      <c r="G291" s="5" t="inlineStr">
        <is>
          <t>Gerencia Legal y Cumplimiento Normativo</t>
        </is>
      </c>
    </row>
    <row r="292">
      <c r="A292" s="4" t="inlineStr">
        <is>
          <t>843</t>
        </is>
      </c>
      <c r="B292" s="5" t="inlineStr">
        <is>
          <t xml:space="preserve">DANIELA MARIA FUENTES MEDINA </t>
        </is>
      </c>
      <c r="C292" s="4" t="inlineStr">
        <is>
          <t>01/01/2025</t>
        </is>
      </c>
      <c r="D292" s="5" t="inlineStr">
        <is>
          <t>AUXILIAR JURIDICO DE CONTRATACION</t>
        </is>
      </c>
      <c r="E292" s="5" t="inlineStr">
        <is>
          <t xml:space="preserve"> EMPLEADO</t>
        </is>
      </c>
      <c r="F292" s="5" t="inlineStr">
        <is>
          <t>DEPARTAMENTO LEGAL</t>
        </is>
      </c>
      <c r="G292" s="5" t="inlineStr">
        <is>
          <t>Gerencia Legal y Cumplimiento Normativo</t>
        </is>
      </c>
    </row>
    <row r="293">
      <c r="A293" s="4" t="inlineStr">
        <is>
          <t>893</t>
        </is>
      </c>
      <c r="B293" s="5" t="inlineStr">
        <is>
          <t xml:space="preserve">ALEJANDRA MARIA GONZALEZ BENAVIDES </t>
        </is>
      </c>
      <c r="C293" s="4" t="inlineStr">
        <is>
          <t>01/01/2025</t>
        </is>
      </c>
      <c r="D293" s="5" t="inlineStr">
        <is>
          <t>AUXILIAR JURIDICO JUDICIAL</t>
        </is>
      </c>
      <c r="E293" s="5" t="inlineStr">
        <is>
          <t xml:space="preserve"> EMPLEADO</t>
        </is>
      </c>
      <c r="F293" s="5" t="inlineStr">
        <is>
          <t>DEPARTAMENTO LEGAL</t>
        </is>
      </c>
      <c r="G293" s="5" t="inlineStr">
        <is>
          <t>Gerencia Legal y Cumplimiento Normativo</t>
        </is>
      </c>
    </row>
    <row r="294">
      <c r="A294" s="4" t="inlineStr">
        <is>
          <t>905</t>
        </is>
      </c>
      <c r="B294" s="5" t="inlineStr">
        <is>
          <t xml:space="preserve">CHRISTIAN ENRIQUE CAMPOS PRIVADO </t>
        </is>
      </c>
      <c r="C294" s="4" t="inlineStr">
        <is>
          <t>02/12/2024</t>
        </is>
      </c>
      <c r="D294" s="5" t="inlineStr">
        <is>
          <t>ASISTENTE TECNICO LEGAL</t>
        </is>
      </c>
      <c r="E294" s="5" t="inlineStr">
        <is>
          <t xml:space="preserve"> EMPLEADO</t>
        </is>
      </c>
      <c r="F294" s="5" t="inlineStr">
        <is>
          <t>DEPARTAMENTO LEGAL</t>
        </is>
      </c>
      <c r="G294" s="5" t="inlineStr">
        <is>
          <t>Gerencia Legal y Cumplimiento Normativo</t>
        </is>
      </c>
    </row>
    <row r="295">
      <c r="A295" s="4" t="inlineStr">
        <is>
          <t>929</t>
        </is>
      </c>
      <c r="B295" s="5" t="inlineStr">
        <is>
          <t xml:space="preserve">GABRIELA LOURDES AREVALO SANCHEZ </t>
        </is>
      </c>
      <c r="C295" s="4" t="inlineStr">
        <is>
          <t>18/06/2025</t>
        </is>
      </c>
      <c r="D295" s="5" t="inlineStr">
        <is>
          <t>AUXILIAR JURIDICO DE CONTRATACION</t>
        </is>
      </c>
      <c r="E295" s="5" t="inlineStr">
        <is>
          <t xml:space="preserve"> EMPLEADO</t>
        </is>
      </c>
      <c r="F295" s="5" t="inlineStr">
        <is>
          <t>DEPARTAMENTO LEGAL</t>
        </is>
      </c>
      <c r="G295" s="5" t="inlineStr">
        <is>
          <t>Gerencia Legal y Cumplimiento Normativo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4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62" customWidth="1" min="2" max="2"/>
    <col width="22" customWidth="1" min="3" max="3"/>
    <col width="23" customWidth="1" min="4" max="4"/>
    <col width="24" customWidth="1" min="5" max="5"/>
    <col width="21" customWidth="1" min="6" max="6"/>
    <col width="12" customWidth="1" min="7" max="7"/>
    <col width="13" customWidth="1" min="8" max="8"/>
  </cols>
  <sheetData>
    <row r="1">
      <c r="A1" s="1" t="inlineStr">
        <is>
          <t>REGISTROS CRUDOS DEL EXAMEN</t>
        </is>
      </c>
    </row>
    <row r="2">
      <c r="A2" s="2" t="inlineStr">
        <is>
          <t>Datos exportados de la plataforma de evaluaciones</t>
        </is>
      </c>
    </row>
    <row r="4">
      <c r="A4" s="3" t="inlineStr">
        <is>
          <t>Nombre en Examen</t>
        </is>
      </c>
      <c r="B4" s="3" t="inlineStr">
        <is>
          <t>Área en Examen</t>
        </is>
      </c>
      <c r="C4" s="3" t="inlineStr">
        <is>
          <t>Código de Empleado</t>
        </is>
      </c>
      <c r="D4" s="3" t="inlineStr">
        <is>
          <t>Hora de Inicio</t>
        </is>
      </c>
      <c r="E4" s="3" t="inlineStr">
        <is>
          <t>Hora de Finalización</t>
        </is>
      </c>
      <c r="F4" s="3" t="inlineStr">
        <is>
          <t>Duración (min)</t>
        </is>
      </c>
      <c r="G4" s="3" t="inlineStr">
        <is>
          <t>Nota</t>
        </is>
      </c>
      <c r="H4" s="3" t="inlineStr">
        <is>
          <t>Correo</t>
        </is>
      </c>
    </row>
    <row r="5">
      <c r="A5" s="5" t="inlineStr">
        <is>
          <t>José Augusto De la O Gallegos</t>
        </is>
      </c>
      <c r="B5" s="5" t="inlineStr">
        <is>
          <t>Gerencia de Finanzas y Planificación</t>
        </is>
      </c>
      <c r="C5" s="4" t="inlineStr">
        <is>
          <t>524</t>
        </is>
      </c>
      <c r="D5" s="6" t="inlineStr">
        <is>
          <t>2026-10-01 10:14:58</t>
        </is>
      </c>
      <c r="E5" s="6" t="inlineStr">
        <is>
          <t>2026-10-01 10:18:34</t>
        </is>
      </c>
      <c r="F5" s="7">
        <f>(E5-D5)*1440</f>
        <v/>
      </c>
      <c r="G5" s="6" t="n">
        <v>100</v>
      </c>
      <c r="H5" s="6" t="inlineStr">
        <is>
          <t>anonymous</t>
        </is>
      </c>
    </row>
    <row r="6">
      <c r="A6" s="5" t="inlineStr">
        <is>
          <t>Henry Oswaldo Pineda García</t>
        </is>
      </c>
      <c r="B6" s="5" t="inlineStr">
        <is>
          <t>Seguros</t>
        </is>
      </c>
      <c r="C6" s="4" t="inlineStr">
        <is>
          <t>894</t>
        </is>
      </c>
      <c r="D6" s="6" t="inlineStr">
        <is>
          <t>2026-10-01 10:14:02</t>
        </is>
      </c>
      <c r="E6" s="6" t="inlineStr">
        <is>
          <t>2026-10-01 10:21:54</t>
        </is>
      </c>
      <c r="F6" s="7">
        <f>(E6-D6)*1440</f>
        <v/>
      </c>
      <c r="G6" s="6" t="n">
        <v>100</v>
      </c>
      <c r="H6" s="6" t="inlineStr">
        <is>
          <t>anonymous</t>
        </is>
      </c>
    </row>
    <row r="7">
      <c r="A7" s="5" t="inlineStr">
        <is>
          <t>Sara Patricia González de Jiménez</t>
        </is>
      </c>
      <c r="B7" s="5" t="inlineStr">
        <is>
          <t>Departamento de Riesgos</t>
        </is>
      </c>
      <c r="C7" s="4" t="inlineStr">
        <is>
          <t>408</t>
        </is>
      </c>
      <c r="D7" s="6" t="inlineStr">
        <is>
          <t>2026-10-01 10:28:49</t>
        </is>
      </c>
      <c r="E7" s="6" t="inlineStr">
        <is>
          <t>2026-10-01 10:31:52</t>
        </is>
      </c>
      <c r="F7" s="7">
        <f>(E7-D7)*1440</f>
        <v/>
      </c>
      <c r="G7" s="6" t="n">
        <v>100</v>
      </c>
      <c r="H7" s="6" t="inlineStr">
        <is>
          <t>anonymous</t>
        </is>
      </c>
    </row>
    <row r="8">
      <c r="A8" s="5" t="inlineStr">
        <is>
          <t>THELMA ESPERANZA DIGUEROA DE SORTO</t>
        </is>
      </c>
      <c r="B8" s="5" t="inlineStr">
        <is>
          <t>AGENCIA SAN MIGUEL</t>
        </is>
      </c>
      <c r="C8" s="4" t="inlineStr">
        <is>
          <t>197</t>
        </is>
      </c>
      <c r="D8" s="6" t="inlineStr">
        <is>
          <t>2026-10-01 10:26:17</t>
        </is>
      </c>
      <c r="E8" s="6" t="inlineStr">
        <is>
          <t>2026-10-01 10:34:32</t>
        </is>
      </c>
      <c r="F8" s="7">
        <f>(E8-D8)*1440</f>
        <v/>
      </c>
      <c r="G8" s="6" t="n">
        <v>100</v>
      </c>
      <c r="H8" s="6" t="inlineStr">
        <is>
          <t>anonymous</t>
        </is>
      </c>
    </row>
    <row r="9">
      <c r="A9" s="5" t="inlineStr">
        <is>
          <t>Mauricio Edgardo Miranda Campos</t>
        </is>
      </c>
      <c r="B9" s="5" t="inlineStr">
        <is>
          <t>Procesos</t>
        </is>
      </c>
      <c r="C9" s="4" t="inlineStr">
        <is>
          <t>817</t>
        </is>
      </c>
      <c r="D9" s="6" t="inlineStr">
        <is>
          <t>2026-10-01 10:28:47</t>
        </is>
      </c>
      <c r="E9" s="6" t="inlineStr">
        <is>
          <t>2026-10-01 10:35:35</t>
        </is>
      </c>
      <c r="F9" s="7">
        <f>(E9-D9)*1440</f>
        <v/>
      </c>
      <c r="G9" s="6" t="n">
        <v>100</v>
      </c>
      <c r="H9" s="6" t="inlineStr">
        <is>
          <t>anonymous</t>
        </is>
      </c>
    </row>
    <row r="10">
      <c r="A10" s="5" t="inlineStr">
        <is>
          <t>Héctor Sebastián López Granados</t>
        </is>
      </c>
      <c r="B10" s="5" t="inlineStr">
        <is>
          <t>Procesos</t>
        </is>
      </c>
      <c r="C10" s="4" t="inlineStr">
        <is>
          <t>932</t>
        </is>
      </c>
      <c r="D10" s="6" t="inlineStr">
        <is>
          <t>2026-10-01 10:29:33</t>
        </is>
      </c>
      <c r="E10" s="6" t="inlineStr">
        <is>
          <t>2026-10-01 10:35:40</t>
        </is>
      </c>
      <c r="F10" s="7">
        <f>(E10-D10)*1440</f>
        <v/>
      </c>
      <c r="G10" s="6" t="n">
        <v>100</v>
      </c>
      <c r="H10" s="6" t="inlineStr">
        <is>
          <t>anonymous</t>
        </is>
      </c>
    </row>
    <row r="11">
      <c r="A11" s="5" t="inlineStr">
        <is>
          <t>Claudia Carolina Henríquez Velasco</t>
        </is>
      </c>
      <c r="B11" s="5" t="inlineStr">
        <is>
          <t>Procesos</t>
        </is>
      </c>
      <c r="C11" s="4" t="inlineStr">
        <is>
          <t>318</t>
        </is>
      </c>
      <c r="D11" s="6" t="inlineStr">
        <is>
          <t>2026-10-01 10:28:40</t>
        </is>
      </c>
      <c r="E11" s="6" t="inlineStr">
        <is>
          <t>2026-10-01 10:35:45</t>
        </is>
      </c>
      <c r="F11" s="7">
        <f>(E11-D11)*1440</f>
        <v/>
      </c>
      <c r="G11" s="6" t="n">
        <v>100</v>
      </c>
      <c r="H11" s="6" t="inlineStr">
        <is>
          <t>anonymous</t>
        </is>
      </c>
    </row>
    <row r="12">
      <c r="A12" s="5" t="inlineStr">
        <is>
          <t>DIEGO GERARDO GUANDIQUE TORRES</t>
        </is>
      </c>
      <c r="B12" s="5" t="inlineStr">
        <is>
          <t>AGENCIA SAN MIGUEL</t>
        </is>
      </c>
      <c r="C12" s="4" t="inlineStr">
        <is>
          <t>776</t>
        </is>
      </c>
      <c r="D12" s="6" t="inlineStr">
        <is>
          <t>2026-10-01 10:37:59</t>
        </is>
      </c>
      <c r="E12" s="6" t="inlineStr">
        <is>
          <t>2026-10-01 10:41:23</t>
        </is>
      </c>
      <c r="F12" s="7">
        <f>(E12-D12)*1440</f>
        <v/>
      </c>
      <c r="G12" s="6" t="n">
        <v>100</v>
      </c>
      <c r="H12" s="6" t="inlineStr">
        <is>
          <t>anonymous</t>
        </is>
      </c>
    </row>
    <row r="13">
      <c r="A13" s="5" t="inlineStr">
        <is>
          <t xml:space="preserve">Martha Lorena González González </t>
        </is>
      </c>
      <c r="B13" s="5" t="inlineStr">
        <is>
          <t xml:space="preserve">San Miguel </t>
        </is>
      </c>
      <c r="C13" s="4" t="inlineStr">
        <is>
          <t>390</t>
        </is>
      </c>
      <c r="D13" s="6" t="inlineStr">
        <is>
          <t>2026-10-01 10:42:46</t>
        </is>
      </c>
      <c r="E13" s="6" t="inlineStr">
        <is>
          <t>2026-10-01 10:45:46</t>
        </is>
      </c>
      <c r="F13" s="7">
        <f>(E13-D13)*1440</f>
        <v/>
      </c>
      <c r="G13" s="6" t="n">
        <v>100</v>
      </c>
      <c r="H13" s="6" t="inlineStr">
        <is>
          <t>anonymous</t>
        </is>
      </c>
    </row>
    <row r="14">
      <c r="A14" s="5" t="inlineStr">
        <is>
          <t xml:space="preserve">Jennifer Georgina Alvarado de Hernández </t>
        </is>
      </c>
      <c r="B14" s="5" t="inlineStr">
        <is>
          <t>Seguridad de la Informacion y Ciberseguridad</t>
        </is>
      </c>
      <c r="C14" s="4" t="inlineStr">
        <is>
          <t>907</t>
        </is>
      </c>
      <c r="D14" s="6" t="inlineStr">
        <is>
          <t>2026-10-01 10:36:47</t>
        </is>
      </c>
      <c r="E14" s="6" t="inlineStr">
        <is>
          <t>2026-10-01 10:45:51</t>
        </is>
      </c>
      <c r="F14" s="7">
        <f>(E14-D14)*1440</f>
        <v/>
      </c>
      <c r="G14" s="6" t="n">
        <v>85</v>
      </c>
      <c r="H14" s="6" t="inlineStr">
        <is>
          <t>anonymous</t>
        </is>
      </c>
    </row>
    <row r="15">
      <c r="A15" s="5" t="inlineStr">
        <is>
          <t>Marvin Alonso Franco Ramirez</t>
        </is>
      </c>
      <c r="B15" s="5" t="inlineStr">
        <is>
          <t>Seguridad de la información y ciberseguridad</t>
        </is>
      </c>
      <c r="C15" s="4" t="inlineStr">
        <is>
          <t>918</t>
        </is>
      </c>
      <c r="D15" s="6" t="inlineStr">
        <is>
          <t>2026-10-01 10:36:14</t>
        </is>
      </c>
      <c r="E15" s="6" t="inlineStr">
        <is>
          <t>2026-10-01 10:45:52</t>
        </is>
      </c>
      <c r="F15" s="7">
        <f>(E15-D15)*1440</f>
        <v/>
      </c>
      <c r="G15" s="6" t="n">
        <v>100</v>
      </c>
      <c r="H15" s="6" t="inlineStr">
        <is>
          <t>anonymous</t>
        </is>
      </c>
    </row>
    <row r="16">
      <c r="A16" s="5" t="inlineStr">
        <is>
          <t>María Azucena Bonilla Rivera</t>
        </is>
      </c>
      <c r="B16" s="5" t="inlineStr">
        <is>
          <t xml:space="preserve">Seguridad de la Información </t>
        </is>
      </c>
      <c r="C16" s="4" t="inlineStr">
        <is>
          <t>710</t>
        </is>
      </c>
      <c r="D16" s="6" t="inlineStr">
        <is>
          <t>2026-10-01 10:34:47</t>
        </is>
      </c>
      <c r="E16" s="6" t="inlineStr">
        <is>
          <t>2026-10-01 10:46:31</t>
        </is>
      </c>
      <c r="F16" s="7">
        <f>(E16-D16)*1440</f>
        <v/>
      </c>
      <c r="G16" s="6" t="n">
        <v>100</v>
      </c>
      <c r="H16" s="6" t="inlineStr">
        <is>
          <t>anonymous</t>
        </is>
      </c>
    </row>
    <row r="17">
      <c r="A17" s="5" t="inlineStr">
        <is>
          <t>Valeria Michelle Quintanilla Flores</t>
        </is>
      </c>
      <c r="B17" s="5" t="inlineStr">
        <is>
          <t>Seguridad de la información y ciberseguridad</t>
        </is>
      </c>
      <c r="C17" s="4" t="inlineStr">
        <is>
          <t>950</t>
        </is>
      </c>
      <c r="D17" s="6" t="inlineStr">
        <is>
          <t>2026-10-01 10:34:46</t>
        </is>
      </c>
      <c r="E17" s="6" t="inlineStr">
        <is>
          <t>2026-10-01 10:46:42</t>
        </is>
      </c>
      <c r="F17" s="7">
        <f>(E17-D17)*1440</f>
        <v/>
      </c>
      <c r="G17" s="6" t="n">
        <v>100</v>
      </c>
      <c r="H17" s="6" t="inlineStr">
        <is>
          <t>anonymous</t>
        </is>
      </c>
    </row>
    <row r="18">
      <c r="A18" s="5" t="inlineStr">
        <is>
          <t>MARCELA GUADALUPE CRESPO BENAVIDEZ</t>
        </is>
      </c>
      <c r="B18" s="5" t="inlineStr">
        <is>
          <t xml:space="preserve">SAN MIGUEL </t>
        </is>
      </c>
      <c r="C18" s="4" t="inlineStr">
        <is>
          <t>807</t>
        </is>
      </c>
      <c r="D18" s="6" t="inlineStr">
        <is>
          <t>2026-10-01 10:47:03</t>
        </is>
      </c>
      <c r="E18" s="6" t="inlineStr">
        <is>
          <t>2026-10-01 10:51:14</t>
        </is>
      </c>
      <c r="F18" s="7">
        <f>(E18-D18)*1440</f>
        <v/>
      </c>
      <c r="G18" s="6" t="n">
        <v>100</v>
      </c>
      <c r="H18" s="6" t="inlineStr">
        <is>
          <t>anonymous</t>
        </is>
      </c>
    </row>
    <row r="19">
      <c r="A19" s="5" t="inlineStr">
        <is>
          <t>Victor Adonay Perez Castillo</t>
        </is>
      </c>
      <c r="B19" s="5" t="inlineStr">
        <is>
          <t>GERENCIA DE NEGOCIOS</t>
        </is>
      </c>
      <c r="C19" s="4" t="inlineStr">
        <is>
          <t>633</t>
        </is>
      </c>
      <c r="D19" s="6" t="inlineStr">
        <is>
          <t>2026-10-01 10:49:34</t>
        </is>
      </c>
      <c r="E19" s="6" t="inlineStr">
        <is>
          <t>2026-10-01 10:53:18</t>
        </is>
      </c>
      <c r="F19" s="7">
        <f>(E19-D19)*1440</f>
        <v/>
      </c>
      <c r="G19" s="6" t="n">
        <v>100</v>
      </c>
      <c r="H19" s="6" t="inlineStr">
        <is>
          <t>anonymous</t>
        </is>
      </c>
    </row>
    <row r="20">
      <c r="A20" s="5" t="inlineStr">
        <is>
          <t>LEIBY NATHALY ROMERO VANEGAS</t>
        </is>
      </c>
      <c r="B20" s="5" t="inlineStr">
        <is>
          <t>SAN MIGUEL</t>
        </is>
      </c>
      <c r="C20" s="4" t="inlineStr">
        <is>
          <t>545</t>
        </is>
      </c>
      <c r="D20" s="6" t="inlineStr">
        <is>
          <t>2026-10-01 10:47:03</t>
        </is>
      </c>
      <c r="E20" s="6" t="inlineStr">
        <is>
          <t>2026-10-01 10:54:28</t>
        </is>
      </c>
      <c r="F20" s="7">
        <f>(E20-D20)*1440</f>
        <v/>
      </c>
      <c r="G20" s="6" t="n">
        <v>100</v>
      </c>
      <c r="H20" s="6" t="inlineStr">
        <is>
          <t>anonymous</t>
        </is>
      </c>
    </row>
    <row r="21">
      <c r="A21" s="5" t="inlineStr">
        <is>
          <t>Carlos Alejandro Maravilla Mendez</t>
        </is>
      </c>
      <c r="B21" s="5" t="inlineStr">
        <is>
          <t>Departamento de Monitoreo y Seguridad</t>
        </is>
      </c>
      <c r="C21" s="4" t="inlineStr">
        <is>
          <t>901</t>
        </is>
      </c>
      <c r="D21" s="6" t="inlineStr">
        <is>
          <t>2026-10-01 10:53:49</t>
        </is>
      </c>
      <c r="E21" s="6" t="inlineStr">
        <is>
          <t>2026-10-01 10:57:07</t>
        </is>
      </c>
      <c r="F21" s="7">
        <f>(E21-D21)*1440</f>
        <v/>
      </c>
      <c r="G21" s="6" t="n">
        <v>100</v>
      </c>
      <c r="H21" s="6" t="inlineStr">
        <is>
          <t>anonymous</t>
        </is>
      </c>
    </row>
    <row r="22">
      <c r="A22" s="5" t="inlineStr">
        <is>
          <t>Marcelina Yamileth Lopez Vasquez</t>
        </is>
      </c>
      <c r="B22" s="5" t="inlineStr">
        <is>
          <t>Agencia san miguel</t>
        </is>
      </c>
      <c r="C22" s="4" t="inlineStr">
        <is>
          <t>777</t>
        </is>
      </c>
      <c r="D22" s="6" t="inlineStr">
        <is>
          <t>2026-10-01 10:56:40</t>
        </is>
      </c>
      <c r="E22" s="6" t="inlineStr">
        <is>
          <t>2026-10-01 10:59:37</t>
        </is>
      </c>
      <c r="F22" s="7">
        <f>(E22-D22)*1440</f>
        <v/>
      </c>
      <c r="G22" s="6" t="n">
        <v>100</v>
      </c>
      <c r="H22" s="6" t="inlineStr">
        <is>
          <t>anonymous</t>
        </is>
      </c>
    </row>
    <row r="23">
      <c r="A23" s="5" t="inlineStr">
        <is>
          <t>Sergio Artnuro Calderón Salazar</t>
        </is>
      </c>
      <c r="B23" s="5" t="inlineStr">
        <is>
          <t>Departamento de Monitoreo y Seguridad</t>
        </is>
      </c>
      <c r="C23" s="4" t="inlineStr">
        <is>
          <t>452</t>
        </is>
      </c>
      <c r="D23" s="6" t="inlineStr">
        <is>
          <t>2026-10-01 10:58:33</t>
        </is>
      </c>
      <c r="E23" s="6" t="inlineStr">
        <is>
          <t>2026-10-01 11:03:27</t>
        </is>
      </c>
      <c r="F23" s="7">
        <f>(E23-D23)*1440</f>
        <v/>
      </c>
      <c r="G23" s="6" t="n">
        <v>90</v>
      </c>
      <c r="H23" s="6" t="inlineStr">
        <is>
          <t>anonymous</t>
        </is>
      </c>
    </row>
    <row r="24">
      <c r="A24" s="5" t="inlineStr">
        <is>
          <t>Raúl Ernesto Palacios Landaverde</t>
        </is>
      </c>
      <c r="B24" s="5" t="inlineStr">
        <is>
          <t>SEGUROS</t>
        </is>
      </c>
      <c r="C24" s="4" t="inlineStr">
        <is>
          <t>689</t>
        </is>
      </c>
      <c r="D24" s="6" t="inlineStr">
        <is>
          <t>2026-10-01 10:53:28</t>
        </is>
      </c>
      <c r="E24" s="6" t="inlineStr">
        <is>
          <t>2026-10-01 11:10:37</t>
        </is>
      </c>
      <c r="F24" s="7">
        <f>(E24-D24)*1440</f>
        <v/>
      </c>
      <c r="G24" s="6" t="n">
        <v>100</v>
      </c>
      <c r="H24" s="6" t="inlineStr">
        <is>
          <t>anonymous</t>
        </is>
      </c>
    </row>
    <row r="25">
      <c r="A25" s="5" t="inlineStr">
        <is>
          <t>Patricia Esmeralda Portillo de Cespedes</t>
        </is>
      </c>
      <c r="B25" s="5" t="inlineStr">
        <is>
          <t>Colegio Medico</t>
        </is>
      </c>
      <c r="C25" s="4" t="inlineStr">
        <is>
          <t>360</t>
        </is>
      </c>
      <c r="D25" s="6" t="inlineStr">
        <is>
          <t>2026-10-01 11:18:06</t>
        </is>
      </c>
      <c r="E25" s="6" t="inlineStr">
        <is>
          <t>2026-10-01 11:25:56</t>
        </is>
      </c>
      <c r="F25" s="7">
        <f>(E25-D25)*1440</f>
        <v/>
      </c>
      <c r="G25" s="6" t="n">
        <v>100</v>
      </c>
      <c r="H25" s="6" t="inlineStr">
        <is>
          <t>anonymous</t>
        </is>
      </c>
    </row>
    <row r="26">
      <c r="A26" s="5" t="inlineStr">
        <is>
          <t>Georgi Roberto Castillo Chacón</t>
        </is>
      </c>
      <c r="B26" s="5" t="inlineStr">
        <is>
          <t>Gerencia de Oficialía de Cumplimiento</t>
        </is>
      </c>
      <c r="C26" s="4" t="inlineStr">
        <is>
          <t>862</t>
        </is>
      </c>
      <c r="D26" s="6" t="inlineStr">
        <is>
          <t>2026-10-01 11:16:58</t>
        </is>
      </c>
      <c r="E26" s="6" t="inlineStr">
        <is>
          <t>2026-10-01 11:27:26</t>
        </is>
      </c>
      <c r="F26" s="7">
        <f>(E26-D26)*1440</f>
        <v/>
      </c>
      <c r="G26" s="6" t="n">
        <v>100</v>
      </c>
      <c r="H26" s="6" t="inlineStr">
        <is>
          <t>anonymous</t>
        </is>
      </c>
    </row>
    <row r="27">
      <c r="A27" s="5" t="inlineStr">
        <is>
          <t xml:space="preserve">Fidel Isaías Castellón </t>
        </is>
      </c>
      <c r="B27" s="5" t="inlineStr">
        <is>
          <t xml:space="preserve">Oficialia de cumplimiento </t>
        </is>
      </c>
      <c r="C27" s="4" t="inlineStr">
        <is>
          <t>914</t>
        </is>
      </c>
      <c r="D27" s="6" t="inlineStr">
        <is>
          <t>2026-10-01 11:18:41</t>
        </is>
      </c>
      <c r="E27" s="6" t="inlineStr">
        <is>
          <t>2026-10-01 11:28:22</t>
        </is>
      </c>
      <c r="F27" s="7">
        <f>(E27-D27)*1440</f>
        <v/>
      </c>
      <c r="G27" s="6" t="n">
        <v>100</v>
      </c>
      <c r="H27" s="6" t="inlineStr">
        <is>
          <t>anonymous</t>
        </is>
      </c>
    </row>
    <row r="28">
      <c r="A28" s="5" t="inlineStr">
        <is>
          <t>Nico Eduardo Ciudad Real Mooij</t>
        </is>
      </c>
      <c r="B28" s="5" t="inlineStr">
        <is>
          <t>Oficialía de cumplimiento</t>
        </is>
      </c>
      <c r="C28" s="4" t="inlineStr">
        <is>
          <t>984</t>
        </is>
      </c>
      <c r="D28" s="6" t="inlineStr">
        <is>
          <t>2026-10-01 11:20:01</t>
        </is>
      </c>
      <c r="E28" s="6" t="inlineStr">
        <is>
          <t>2026-10-01 11:31:14</t>
        </is>
      </c>
      <c r="F28" s="7">
        <f>(E28-D28)*1440</f>
        <v/>
      </c>
      <c r="G28" s="6" t="n">
        <v>100</v>
      </c>
      <c r="H28" s="6" t="inlineStr">
        <is>
          <t>anonymous</t>
        </is>
      </c>
    </row>
    <row r="29">
      <c r="A29" s="5" t="inlineStr">
        <is>
          <t>Johanna Lisseth Romero Rivas</t>
        </is>
      </c>
      <c r="B29" s="5" t="inlineStr">
        <is>
          <t>Gerencia de Oficialía de Cumplimiento</t>
        </is>
      </c>
      <c r="C29" s="4" t="inlineStr">
        <is>
          <t>860</t>
        </is>
      </c>
      <c r="D29" s="6" t="inlineStr">
        <is>
          <t>2026-10-01 11:22:55</t>
        </is>
      </c>
      <c r="E29" s="6" t="inlineStr">
        <is>
          <t>2026-10-01 11:40:23</t>
        </is>
      </c>
      <c r="F29" s="7">
        <f>(E29-D29)*1440</f>
        <v/>
      </c>
      <c r="G29" s="6" t="n">
        <v>100</v>
      </c>
      <c r="H29" s="6" t="inlineStr">
        <is>
          <t>anonymous</t>
        </is>
      </c>
    </row>
    <row r="30">
      <c r="A30" s="5" t="inlineStr">
        <is>
          <t>HECTOR JOSE MENJIVAR SOMOZA</t>
        </is>
      </c>
      <c r="B30" s="5" t="inlineStr">
        <is>
          <t>DEPARTAMENTO DE ADMINISTRACION DE RIESGO</t>
        </is>
      </c>
      <c r="C30" s="4" t="inlineStr">
        <is>
          <t>583</t>
        </is>
      </c>
      <c r="D30" s="6" t="inlineStr">
        <is>
          <t>2026-10-01 11:36:51</t>
        </is>
      </c>
      <c r="E30" s="6" t="inlineStr">
        <is>
          <t>2026-10-01 11:41:26</t>
        </is>
      </c>
      <c r="F30" s="7">
        <f>(E30-D30)*1440</f>
        <v/>
      </c>
      <c r="G30" s="6" t="n">
        <v>100</v>
      </c>
      <c r="H30" s="6" t="inlineStr">
        <is>
          <t>anonymous</t>
        </is>
      </c>
    </row>
    <row r="31">
      <c r="A31" s="5" t="inlineStr">
        <is>
          <t>Josseline Lizbeth Ventura de Rivas</t>
        </is>
      </c>
      <c r="B31" s="5" t="inlineStr">
        <is>
          <t>Gerencia de Oficialia de Cumplimiento</t>
        </is>
      </c>
      <c r="C31" s="4" t="inlineStr">
        <is>
          <t>443</t>
        </is>
      </c>
      <c r="D31" s="6" t="inlineStr">
        <is>
          <t>2026-10-01 11:34:06</t>
        </is>
      </c>
      <c r="E31" s="6" t="inlineStr">
        <is>
          <t>2026-10-01 11:47:44</t>
        </is>
      </c>
      <c r="F31" s="7">
        <f>(E31-D31)*1440</f>
        <v/>
      </c>
      <c r="G31" s="6" t="n">
        <v>100</v>
      </c>
      <c r="H31" s="6" t="inlineStr">
        <is>
          <t>anonymous</t>
        </is>
      </c>
    </row>
    <row r="32">
      <c r="A32" s="5" t="inlineStr">
        <is>
          <t>JOSE MANUEL SERRANO ROVIRA</t>
        </is>
      </c>
      <c r="B32" s="5" t="inlineStr">
        <is>
          <t>AGENCIA SAN MIGUEL</t>
        </is>
      </c>
      <c r="C32" s="4" t="inlineStr">
        <is>
          <t>200</t>
        </is>
      </c>
      <c r="D32" s="6" t="inlineStr">
        <is>
          <t>2026-10-01 11:41:30</t>
        </is>
      </c>
      <c r="E32" s="6" t="inlineStr">
        <is>
          <t>2026-10-01 11:48:28</t>
        </is>
      </c>
      <c r="F32" s="7">
        <f>(E32-D32)*1440</f>
        <v/>
      </c>
      <c r="G32" s="6" t="n">
        <v>90</v>
      </c>
      <c r="H32" s="6" t="inlineStr">
        <is>
          <t>anonymous</t>
        </is>
      </c>
    </row>
    <row r="33">
      <c r="A33" s="5" t="inlineStr">
        <is>
          <t xml:space="preserve">Jorge Mateo Gutiérrez Flores </t>
        </is>
      </c>
      <c r="B33" s="5" t="inlineStr">
        <is>
          <t xml:space="preserve">Oficialía de cumplimiento </t>
        </is>
      </c>
      <c r="C33" s="4" t="inlineStr">
        <is>
          <t>985</t>
        </is>
      </c>
      <c r="D33" s="6" t="inlineStr">
        <is>
          <t>2026-10-01 11:40:37</t>
        </is>
      </c>
      <c r="E33" s="6" t="inlineStr">
        <is>
          <t>2026-10-01 11:52:44</t>
        </is>
      </c>
      <c r="F33" s="7">
        <f>(E33-D33)*1440</f>
        <v/>
      </c>
      <c r="G33" s="6" t="n">
        <v>100</v>
      </c>
      <c r="H33" s="6" t="inlineStr">
        <is>
          <t>anonymous</t>
        </is>
      </c>
    </row>
    <row r="34">
      <c r="A34" s="5" t="inlineStr">
        <is>
          <t>Lilian Liset Magaña Santos</t>
        </is>
      </c>
      <c r="B34" s="5" t="inlineStr">
        <is>
          <t>Oficialía de Cumplimiento</t>
        </is>
      </c>
      <c r="C34" s="4" t="inlineStr">
        <is>
          <t>983</t>
        </is>
      </c>
      <c r="D34" s="6" t="inlineStr">
        <is>
          <t>2026-10-01 11:47:12</t>
        </is>
      </c>
      <c r="E34" s="6" t="inlineStr">
        <is>
          <t>2026-10-01 11:56:22</t>
        </is>
      </c>
      <c r="F34" s="7">
        <f>(E34-D34)*1440</f>
        <v/>
      </c>
      <c r="G34" s="6" t="n">
        <v>100</v>
      </c>
      <c r="H34" s="6" t="inlineStr">
        <is>
          <t>anonymous</t>
        </is>
      </c>
    </row>
    <row r="35">
      <c r="A35" s="5" t="inlineStr">
        <is>
          <t>MILTON ALEXANDER CUELLAR GARCIA</t>
        </is>
      </c>
      <c r="B35" s="5" t="inlineStr">
        <is>
          <t>AGENCIA PLAZA MERLIOT</t>
        </is>
      </c>
      <c r="C35" s="4" t="inlineStr">
        <is>
          <t>671</t>
        </is>
      </c>
      <c r="D35" s="6" t="inlineStr">
        <is>
          <t>2026-10-01 13:07:11</t>
        </is>
      </c>
      <c r="E35" s="6" t="inlineStr">
        <is>
          <t>2026-10-01 13:15:34</t>
        </is>
      </c>
      <c r="F35" s="7">
        <f>(E35-D35)*1440</f>
        <v/>
      </c>
      <c r="G35" s="6" t="n">
        <v>70</v>
      </c>
      <c r="H35" s="6" t="inlineStr">
        <is>
          <t>anonymous</t>
        </is>
      </c>
    </row>
    <row r="36">
      <c r="A36" s="5" t="inlineStr">
        <is>
          <t>Lucila Margarita Corcio de Quintanilla</t>
        </is>
      </c>
      <c r="B36" s="5" t="inlineStr">
        <is>
          <t>Departamento de Depositos</t>
        </is>
      </c>
      <c r="C36" s="4" t="inlineStr">
        <is>
          <t>632</t>
        </is>
      </c>
      <c r="D36" s="6" t="inlineStr">
        <is>
          <t>2026-10-01 13:40:06</t>
        </is>
      </c>
      <c r="E36" s="6" t="inlineStr">
        <is>
          <t>2026-10-01 13:52:20</t>
        </is>
      </c>
      <c r="F36" s="7">
        <f>(E36-D36)*1440</f>
        <v/>
      </c>
      <c r="G36" s="6" t="n">
        <v>100</v>
      </c>
      <c r="H36" s="6" t="inlineStr">
        <is>
          <t>anonymous</t>
        </is>
      </c>
    </row>
    <row r="37">
      <c r="A37" s="5" t="inlineStr">
        <is>
          <t>Hilda Margarita Abrego Bran</t>
        </is>
      </c>
      <c r="B37" s="5" t="inlineStr">
        <is>
          <t>Análisis y Programación</t>
        </is>
      </c>
      <c r="C37" s="4" t="inlineStr">
        <is>
          <t>320</t>
        </is>
      </c>
      <c r="D37" s="6" t="inlineStr">
        <is>
          <t>2026-10-01 13:40:16</t>
        </is>
      </c>
      <c r="E37" s="6" t="inlineStr">
        <is>
          <t>2026-10-01 14:09:56</t>
        </is>
      </c>
      <c r="F37" s="7">
        <f>(E37-D37)*1440</f>
        <v/>
      </c>
      <c r="G37" s="6" t="n">
        <v>100</v>
      </c>
      <c r="H37" s="6" t="inlineStr">
        <is>
          <t>anonymous</t>
        </is>
      </c>
    </row>
    <row r="38">
      <c r="A38" s="5" t="inlineStr">
        <is>
          <t>Marlon Antonio Bonilla García</t>
        </is>
      </c>
      <c r="B38" s="5" t="inlineStr">
        <is>
          <t>Auditoría Interna</t>
        </is>
      </c>
      <c r="C38" s="4" t="inlineStr">
        <is>
          <t>750</t>
        </is>
      </c>
      <c r="D38" s="6" t="inlineStr">
        <is>
          <t>2026-10-01 14:49:18</t>
        </is>
      </c>
      <c r="E38" s="6" t="inlineStr">
        <is>
          <t>2026-10-01 14:57:26</t>
        </is>
      </c>
      <c r="F38" s="7">
        <f>(E38-D38)*1440</f>
        <v/>
      </c>
      <c r="G38" s="6" t="n">
        <v>100</v>
      </c>
      <c r="H38" s="6" t="inlineStr">
        <is>
          <t>anonymous</t>
        </is>
      </c>
    </row>
    <row r="39">
      <c r="A39" s="5" t="inlineStr">
        <is>
          <t>BRIAN ADONAY BARRERA ALVARADO</t>
        </is>
      </c>
      <c r="B39" s="5" t="inlineStr">
        <is>
          <t>DEPARTAMENTO DE CONTABILIDAD</t>
        </is>
      </c>
      <c r="C39" s="4" t="inlineStr">
        <is>
          <t>784</t>
        </is>
      </c>
      <c r="D39" s="6" t="inlineStr">
        <is>
          <t>2026-10-01 14:46:08</t>
        </is>
      </c>
      <c r="E39" s="6" t="inlineStr">
        <is>
          <t>2026-10-01 15:00:35</t>
        </is>
      </c>
      <c r="F39" s="7">
        <f>(E39-D39)*1440</f>
        <v/>
      </c>
      <c r="G39" s="6" t="n">
        <v>100</v>
      </c>
      <c r="H39" s="6" t="inlineStr">
        <is>
          <t>anonymous</t>
        </is>
      </c>
    </row>
    <row r="40">
      <c r="A40" s="5" t="inlineStr">
        <is>
          <t>Andrea Carolina Rumualdo Martinez</t>
        </is>
      </c>
      <c r="B40" s="5" t="inlineStr">
        <is>
          <t>Depto. de Tarjeta de Crédito y Débito</t>
        </is>
      </c>
      <c r="C40" s="4" t="inlineStr">
        <is>
          <t>952</t>
        </is>
      </c>
      <c r="D40" s="6" t="inlineStr">
        <is>
          <t>2026-10-01 15:30:37</t>
        </is>
      </c>
      <c r="E40" s="6" t="inlineStr">
        <is>
          <t>2026-10-01 15:46:26</t>
        </is>
      </c>
      <c r="F40" s="7">
        <f>(E40-D40)*1440</f>
        <v/>
      </c>
      <c r="G40" s="6" t="n">
        <v>100</v>
      </c>
      <c r="H40" s="6" t="inlineStr">
        <is>
          <t>anonymous</t>
        </is>
      </c>
    </row>
    <row r="41">
      <c r="A41" s="5" t="inlineStr">
        <is>
          <t>Celina Margarita Gutierrez de Rodriguez</t>
        </is>
      </c>
      <c r="B41" s="5" t="inlineStr">
        <is>
          <t>Gerencia de Sistemas--Analisis y Programacion</t>
        </is>
      </c>
      <c r="C41" s="4" t="inlineStr">
        <is>
          <t>239</t>
        </is>
      </c>
      <c r="D41" s="6" t="inlineStr">
        <is>
          <t>2026-10-01 15:23:36</t>
        </is>
      </c>
      <c r="E41" s="6" t="inlineStr">
        <is>
          <t>2026-10-01 15:49:31</t>
        </is>
      </c>
      <c r="F41" s="7">
        <f>(E41-D41)*1440</f>
        <v/>
      </c>
      <c r="G41" s="6" t="n">
        <v>100</v>
      </c>
      <c r="H41" s="6" t="inlineStr">
        <is>
          <t>anonymous</t>
        </is>
      </c>
    </row>
    <row r="42">
      <c r="A42" s="5" t="inlineStr">
        <is>
          <t>Josselyn Ivonne Garcia Hernandez</t>
        </is>
      </c>
      <c r="B42" s="5" t="inlineStr">
        <is>
          <t>Agencia. Merliot</t>
        </is>
      </c>
      <c r="C42" s="4" t="inlineStr">
        <is>
          <t>944</t>
        </is>
      </c>
      <c r="D42" s="6" t="inlineStr">
        <is>
          <t>2026-10-01 15:22:58</t>
        </is>
      </c>
      <c r="E42" s="6" t="inlineStr">
        <is>
          <t>2026-10-01 16:12:10</t>
        </is>
      </c>
      <c r="F42" s="7">
        <f>(E42-D42)*1440</f>
        <v/>
      </c>
      <c r="G42" s="6" t="n">
        <v>75</v>
      </c>
      <c r="H42" s="6" t="inlineStr">
        <is>
          <t>anonymous</t>
        </is>
      </c>
    </row>
    <row r="43">
      <c r="A43" s="5" t="inlineStr">
        <is>
          <t>maria elena valle benavides</t>
        </is>
      </c>
      <c r="B43" s="5" t="inlineStr">
        <is>
          <t>Departamento de Auditoria Interna</t>
        </is>
      </c>
      <c r="C43" s="4" t="inlineStr">
        <is>
          <t>865</t>
        </is>
      </c>
      <c r="D43" s="6" t="inlineStr">
        <is>
          <t>2026-10-01 16:13:44</t>
        </is>
      </c>
      <c r="E43" s="6" t="inlineStr">
        <is>
          <t>2026-10-01 16:20:16</t>
        </is>
      </c>
      <c r="F43" s="7">
        <f>(E43-D43)*1440</f>
        <v/>
      </c>
      <c r="G43" s="6" t="n">
        <v>100</v>
      </c>
      <c r="H43" s="6" t="inlineStr">
        <is>
          <t>anonymous</t>
        </is>
      </c>
    </row>
    <row r="44">
      <c r="A44" s="5" t="inlineStr">
        <is>
          <t>JENNIFER BETSABE MARAVILLA MORENO</t>
        </is>
      </c>
      <c r="B44" s="5" t="inlineStr">
        <is>
          <t xml:space="preserve">DEPARTAMENTO DE SEGUROS </t>
        </is>
      </c>
      <c r="C44" s="4" t="inlineStr">
        <is>
          <t>869</t>
        </is>
      </c>
      <c r="D44" s="6" t="inlineStr">
        <is>
          <t>2026-10-01 16:18:00</t>
        </is>
      </c>
      <c r="E44" s="6" t="inlineStr">
        <is>
          <t>2026-10-01 16:28:17</t>
        </is>
      </c>
      <c r="F44" s="7">
        <f>(E44-D44)*1440</f>
        <v/>
      </c>
      <c r="G44" s="6" t="n">
        <v>100</v>
      </c>
      <c r="H44" s="6" t="inlineStr">
        <is>
          <t>anonymous</t>
        </is>
      </c>
    </row>
    <row r="45">
      <c r="A45" s="5" t="inlineStr">
        <is>
          <t>ZORAIDA LORENA LOPEZ MEDINA</t>
        </is>
      </c>
      <c r="B45" s="5" t="inlineStr">
        <is>
          <t>AUDITORIA INTERNA</t>
        </is>
      </c>
      <c r="C45" s="4" t="inlineStr">
        <is>
          <t>548</t>
        </is>
      </c>
      <c r="D45" s="6" t="inlineStr">
        <is>
          <t>2026-10-01 16:54:07</t>
        </is>
      </c>
      <c r="E45" s="6" t="inlineStr">
        <is>
          <t>2026-10-01 17:04:38</t>
        </is>
      </c>
      <c r="F45" s="7">
        <f>(E45-D45)*1440</f>
        <v/>
      </c>
      <c r="G45" s="6" t="n">
        <v>100</v>
      </c>
      <c r="H45" s="6" t="inlineStr">
        <is>
          <t>anonymous</t>
        </is>
      </c>
    </row>
    <row r="46">
      <c r="A46" s="5" t="inlineStr">
        <is>
          <t xml:space="preserve">Fatima Elizabeth lemus Rodriguez </t>
        </is>
      </c>
      <c r="B46" s="5" t="inlineStr">
        <is>
          <t xml:space="preserve">Dpto Tarjeta de crédito y débito </t>
        </is>
      </c>
      <c r="C46" s="4" t="inlineStr">
        <is>
          <t>980</t>
        </is>
      </c>
      <c r="D46" s="6" t="inlineStr">
        <is>
          <t>2026-10-01 17:05:42</t>
        </is>
      </c>
      <c r="E46" s="6" t="inlineStr">
        <is>
          <t>2026-10-01 17:07:23</t>
        </is>
      </c>
      <c r="F46" s="7">
        <f>(E46-D46)*1440</f>
        <v/>
      </c>
      <c r="G46" s="6" t="n">
        <v>100</v>
      </c>
      <c r="H46" s="6" t="inlineStr">
        <is>
          <t>anonymous</t>
        </is>
      </c>
    </row>
    <row r="47">
      <c r="A47" s="5" t="inlineStr">
        <is>
          <t>Bessy Rodríguez de Inestroza</t>
        </is>
      </c>
      <c r="B47" s="5" t="inlineStr">
        <is>
          <t>Contabilidad</t>
        </is>
      </c>
      <c r="C47" s="4" t="inlineStr">
        <is>
          <t>373</t>
        </is>
      </c>
      <c r="D47" s="6" t="inlineStr">
        <is>
          <t>2026-10-01 19:50:07</t>
        </is>
      </c>
      <c r="E47" s="6" t="inlineStr">
        <is>
          <t>2026-10-01 19:53:00</t>
        </is>
      </c>
      <c r="F47" s="7">
        <f>(E47-D47)*1440</f>
        <v/>
      </c>
      <c r="G47" s="6" t="n">
        <v>100</v>
      </c>
      <c r="H47" s="6" t="inlineStr">
        <is>
          <t>anonymous</t>
        </is>
      </c>
    </row>
    <row r="48">
      <c r="A48" s="5" t="inlineStr">
        <is>
          <t>HELLEN ESTEFANI RODRIGUEZ GARCIA</t>
        </is>
      </c>
      <c r="B48" s="5" t="inlineStr">
        <is>
          <t>DEPOSITOS</t>
        </is>
      </c>
      <c r="C48" s="4" t="inlineStr">
        <is>
          <t>773</t>
        </is>
      </c>
      <c r="D48" s="6" t="inlineStr">
        <is>
          <t>2026-10-02 11:15:09</t>
        </is>
      </c>
      <c r="E48" s="6" t="inlineStr">
        <is>
          <t>2026-10-02 11:24:44</t>
        </is>
      </c>
      <c r="F48" s="7">
        <f>(E48-D48)*1440</f>
        <v/>
      </c>
      <c r="G48" s="6" t="n">
        <v>95</v>
      </c>
      <c r="H48" s="6" t="inlineStr">
        <is>
          <t>anonymous</t>
        </is>
      </c>
    </row>
    <row r="49">
      <c r="A49" s="5" t="inlineStr">
        <is>
          <t>Gladis Evelyn Castillo Torres</t>
        </is>
      </c>
      <c r="B49" s="5" t="inlineStr">
        <is>
          <t>Departamento Análisis y Programación</t>
        </is>
      </c>
      <c r="C49" s="4" t="inlineStr">
        <is>
          <t>474</t>
        </is>
      </c>
      <c r="D49" s="6" t="inlineStr">
        <is>
          <t>2026-10-02 11:32:17</t>
        </is>
      </c>
      <c r="E49" s="6" t="inlineStr">
        <is>
          <t>2026-10-02 11:43:05</t>
        </is>
      </c>
      <c r="F49" s="7">
        <f>(E49-D49)*1440</f>
        <v/>
      </c>
      <c r="G49" s="6" t="n">
        <v>100</v>
      </c>
      <c r="H49" s="6" t="inlineStr">
        <is>
          <t>anonymous</t>
        </is>
      </c>
    </row>
    <row r="50">
      <c r="A50" s="5" t="inlineStr">
        <is>
          <t>KRIZIA BETSABE FLORES DE MARTINEZ</t>
        </is>
      </c>
      <c r="B50" s="5" t="inlineStr">
        <is>
          <t>DEPTO.SEGUROS</t>
        </is>
      </c>
      <c r="C50" s="4" t="inlineStr">
        <is>
          <t>793</t>
        </is>
      </c>
      <c r="D50" s="6" t="inlineStr">
        <is>
          <t>2026-10-02 11:00:45</t>
        </is>
      </c>
      <c r="E50" s="6" t="inlineStr">
        <is>
          <t>2026-10-02 11:47:11</t>
        </is>
      </c>
      <c r="F50" s="7">
        <f>(E50-D50)*1440</f>
        <v/>
      </c>
      <c r="G50" s="6" t="n">
        <v>90</v>
      </c>
      <c r="H50" s="6" t="inlineStr">
        <is>
          <t>anonymous</t>
        </is>
      </c>
    </row>
    <row r="51">
      <c r="A51" s="5" t="inlineStr">
        <is>
          <t xml:space="preserve">carla eugenia hernandez de menjivar
</t>
        </is>
      </c>
      <c r="B51" s="5" t="inlineStr">
        <is>
          <t>GERENCIA ADMINISTRATIVA</t>
        </is>
      </c>
      <c r="C51" s="4" t="inlineStr">
        <is>
          <t>349</t>
        </is>
      </c>
      <c r="D51" s="6" t="inlineStr">
        <is>
          <t>2026-10-02 15:16:57</t>
        </is>
      </c>
      <c r="E51" s="6" t="inlineStr">
        <is>
          <t>2026-10-02 15:19:15</t>
        </is>
      </c>
      <c r="F51" s="7">
        <f>(E51-D51)*1440</f>
        <v/>
      </c>
      <c r="G51" s="6" t="n">
        <v>100</v>
      </c>
      <c r="H51" s="6" t="inlineStr">
        <is>
          <t>anonymous</t>
        </is>
      </c>
    </row>
    <row r="52">
      <c r="A52" s="5" t="inlineStr">
        <is>
          <t>ANA EVELYN ROQUE DE GALEANO</t>
        </is>
      </c>
      <c r="B52" s="5" t="inlineStr">
        <is>
          <t>DEPÁRTAMENTO DE CREDITOS</t>
        </is>
      </c>
      <c r="C52" s="4" t="inlineStr">
        <is>
          <t>345</t>
        </is>
      </c>
      <c r="D52" s="6" t="inlineStr">
        <is>
          <t>2026-10-02 15:31:55</t>
        </is>
      </c>
      <c r="E52" s="6" t="inlineStr">
        <is>
          <t>2026-10-02 15:38:41</t>
        </is>
      </c>
      <c r="F52" s="7">
        <f>(E52-D52)*1440</f>
        <v/>
      </c>
      <c r="G52" s="6" t="n">
        <v>90</v>
      </c>
      <c r="H52" s="6" t="inlineStr">
        <is>
          <t>anonymous</t>
        </is>
      </c>
    </row>
    <row r="53">
      <c r="A53" s="5" t="inlineStr">
        <is>
          <t>Cindia Ivette Zepeda Vásquez</t>
        </is>
      </c>
      <c r="B53" s="5" t="inlineStr">
        <is>
          <t>departamento de créditos</t>
        </is>
      </c>
      <c r="C53" s="4" t="inlineStr">
        <is>
          <t>492</t>
        </is>
      </c>
      <c r="D53" s="6" t="inlineStr">
        <is>
          <t>2026-10-02 15:40:04</t>
        </is>
      </c>
      <c r="E53" s="6" t="inlineStr">
        <is>
          <t>2026-10-02 15:50:35</t>
        </is>
      </c>
      <c r="F53" s="7">
        <f>(E53-D53)*1440</f>
        <v/>
      </c>
      <c r="G53" s="6" t="n">
        <v>100</v>
      </c>
      <c r="H53" s="6" t="inlineStr">
        <is>
          <t>anonymous</t>
        </is>
      </c>
    </row>
    <row r="54">
      <c r="A54" s="5" t="inlineStr">
        <is>
          <t>Karen Marcela Barillas Molina</t>
        </is>
      </c>
      <c r="B54" s="5" t="inlineStr">
        <is>
          <t>Departamento tarjeta comercial</t>
        </is>
      </c>
      <c r="C54" s="4" t="inlineStr">
        <is>
          <t>715</t>
        </is>
      </c>
      <c r="D54" s="6" t="inlineStr">
        <is>
          <t>2026-10-02 16:56:33</t>
        </is>
      </c>
      <c r="E54" s="6" t="inlineStr">
        <is>
          <t>2026-10-02 17:07:13</t>
        </is>
      </c>
      <c r="F54" s="7">
        <f>(E54-D54)*1440</f>
        <v/>
      </c>
      <c r="G54" s="6" t="n">
        <v>85</v>
      </c>
      <c r="H54" s="6" t="inlineStr">
        <is>
          <t>anonymous</t>
        </is>
      </c>
    </row>
    <row r="55">
      <c r="A55" s="5" t="inlineStr">
        <is>
          <t xml:space="preserve">JENNIFFER IVETTE MORALES PEREZ </t>
        </is>
      </c>
      <c r="B55" s="5" t="inlineStr">
        <is>
          <t xml:space="preserve">COLONIA MEDICA </t>
        </is>
      </c>
      <c r="C55" s="4" t="inlineStr">
        <is>
          <t>308</t>
        </is>
      </c>
      <c r="D55" s="6" t="inlineStr">
        <is>
          <t>2026-10-02 17:04:38</t>
        </is>
      </c>
      <c r="E55" s="6" t="inlineStr">
        <is>
          <t>2026-10-02 17:09:27</t>
        </is>
      </c>
      <c r="F55" s="7">
        <f>(E55-D55)*1440</f>
        <v/>
      </c>
      <c r="G55" s="6" t="n">
        <v>95</v>
      </c>
      <c r="H55" s="6" t="inlineStr">
        <is>
          <t>anonymous</t>
        </is>
      </c>
    </row>
    <row r="56">
      <c r="A56" s="5" t="inlineStr">
        <is>
          <t xml:space="preserve">Xiomara jeannette escobar portillo </t>
        </is>
      </c>
      <c r="B56" s="5" t="inlineStr">
        <is>
          <t xml:space="preserve">Servicios generales </t>
        </is>
      </c>
      <c r="C56" s="4" t="inlineStr">
        <is>
          <t>959</t>
        </is>
      </c>
      <c r="D56" s="6" t="inlineStr">
        <is>
          <t>2026-10-02 18:31:36</t>
        </is>
      </c>
      <c r="E56" s="6" t="inlineStr">
        <is>
          <t>2026-10-02 18:56:50</t>
        </is>
      </c>
      <c r="F56" s="7">
        <f>(E56-D56)*1440</f>
        <v/>
      </c>
      <c r="G56" s="6" t="n">
        <v>90</v>
      </c>
      <c r="H56" s="6" t="inlineStr">
        <is>
          <t>anonymous</t>
        </is>
      </c>
    </row>
    <row r="57">
      <c r="A57" s="5" t="inlineStr">
        <is>
          <t>Jesus guzma fuentes</t>
        </is>
      </c>
      <c r="B57" s="5" t="inlineStr">
        <is>
          <t>Servicios generales</t>
        </is>
      </c>
      <c r="C57" s="4" t="inlineStr">
        <is>
          <t>224</t>
        </is>
      </c>
      <c r="D57" s="6" t="inlineStr">
        <is>
          <t>2026-10-02 20:01:54</t>
        </is>
      </c>
      <c r="E57" s="6" t="inlineStr">
        <is>
          <t>2026-10-02 20:22:38</t>
        </is>
      </c>
      <c r="F57" s="7">
        <f>(E57-D57)*1440</f>
        <v/>
      </c>
      <c r="G57" s="6" t="n">
        <v>80</v>
      </c>
      <c r="H57" s="6" t="inlineStr">
        <is>
          <t>anonymous</t>
        </is>
      </c>
    </row>
    <row r="58">
      <c r="A58" s="5" t="inlineStr">
        <is>
          <t xml:space="preserve">Margarita Guadalupe Henríquez Elias </t>
        </is>
      </c>
      <c r="B58" s="5" t="inlineStr">
        <is>
          <t xml:space="preserve">Servicios vários </t>
        </is>
      </c>
      <c r="C58" s="4" t="inlineStr">
        <is>
          <t>522</t>
        </is>
      </c>
      <c r="D58" s="6" t="inlineStr">
        <is>
          <t>2026-10-02 20:20:45</t>
        </is>
      </c>
      <c r="E58" s="6" t="inlineStr">
        <is>
          <t>2026-10-02 20:29:07</t>
        </is>
      </c>
      <c r="F58" s="7">
        <f>(E58-D58)*1440</f>
        <v/>
      </c>
      <c r="G58" s="6" t="n">
        <v>85</v>
      </c>
      <c r="H58" s="6" t="inlineStr">
        <is>
          <t>anonymous</t>
        </is>
      </c>
    </row>
    <row r="59">
      <c r="A59" s="5" t="inlineStr">
        <is>
          <t xml:space="preserve">Iliana Carolina Flamenco flores </t>
        </is>
      </c>
      <c r="B59" s="5" t="inlineStr">
        <is>
          <t xml:space="preserve">Servicios generales </t>
        </is>
      </c>
      <c r="C59" s="4" t="inlineStr">
        <is>
          <t>684</t>
        </is>
      </c>
      <c r="D59" s="6" t="inlineStr">
        <is>
          <t>2026-10-03 07:07:42</t>
        </is>
      </c>
      <c r="E59" s="6" t="inlineStr">
        <is>
          <t>2026-10-03 07:12:18</t>
        </is>
      </c>
      <c r="F59" s="7">
        <f>(E59-D59)*1440</f>
        <v/>
      </c>
      <c r="G59" s="6" t="n">
        <v>80</v>
      </c>
      <c r="H59" s="6" t="inlineStr">
        <is>
          <t>anonymous</t>
        </is>
      </c>
    </row>
    <row r="60">
      <c r="A60" s="5" t="inlineStr">
        <is>
          <t>Mario Rosales</t>
        </is>
      </c>
      <c r="B60" s="5" t="inlineStr">
        <is>
          <t>Setvicio general</t>
        </is>
      </c>
      <c r="C60" s="4" t="inlineStr">
        <is>
          <t>430</t>
        </is>
      </c>
      <c r="D60" s="6" t="inlineStr">
        <is>
          <t>2026-10-03 08:04:49</t>
        </is>
      </c>
      <c r="E60" s="6" t="inlineStr">
        <is>
          <t>2026-10-03 08:16:38</t>
        </is>
      </c>
      <c r="F60" s="7">
        <f>(E60-D60)*1440</f>
        <v/>
      </c>
      <c r="G60" s="6" t="n">
        <v>40</v>
      </c>
      <c r="H60" s="6" t="inlineStr">
        <is>
          <t>anonymous</t>
        </is>
      </c>
    </row>
    <row r="61">
      <c r="A61" s="5" t="inlineStr">
        <is>
          <t xml:space="preserve">Jose.Rosalio.Garcia soto
</t>
        </is>
      </c>
      <c r="B61" s="5" t="inlineStr">
        <is>
          <t>servicios.Generales</t>
        </is>
      </c>
      <c r="C61" s="4" t="inlineStr">
        <is>
          <t>587</t>
        </is>
      </c>
      <c r="D61" s="6" t="inlineStr">
        <is>
          <t>2026-10-03 09:36:32</t>
        </is>
      </c>
      <c r="E61" s="6" t="inlineStr">
        <is>
          <t>2026-10-03 09:58:27</t>
        </is>
      </c>
      <c r="F61" s="7">
        <f>(E61-D61)*1440</f>
        <v/>
      </c>
      <c r="G61" s="6" t="n">
        <v>90</v>
      </c>
      <c r="H61" s="6" t="inlineStr">
        <is>
          <t>anonymous</t>
        </is>
      </c>
    </row>
    <row r="62">
      <c r="A62" s="5" t="inlineStr">
        <is>
          <t>Belly Emerson Rivera Ascencio</t>
        </is>
      </c>
      <c r="B62" s="5" t="inlineStr">
        <is>
          <t xml:space="preserve">Servicios Generales </t>
        </is>
      </c>
      <c r="C62" s="4" t="inlineStr">
        <is>
          <t>875</t>
        </is>
      </c>
      <c r="D62" s="6" t="inlineStr">
        <is>
          <t>2026-10-03 09:40:00</t>
        </is>
      </c>
      <c r="E62" s="6" t="inlineStr">
        <is>
          <t>2026-10-03 09:58:48</t>
        </is>
      </c>
      <c r="F62" s="7">
        <f>(E62-D62)*1440</f>
        <v/>
      </c>
      <c r="G62" s="6" t="n">
        <v>100</v>
      </c>
      <c r="H62" s="6" t="inlineStr">
        <is>
          <t>anonymous</t>
        </is>
      </c>
    </row>
    <row r="63">
      <c r="A63" s="5" t="inlineStr">
        <is>
          <t xml:space="preserve">Cecilia  Anzora </t>
        </is>
      </c>
      <c r="B63" s="5" t="inlineStr">
        <is>
          <t xml:space="preserve">Servicios generales </t>
        </is>
      </c>
      <c r="C63" s="4" t="inlineStr">
        <is>
          <t>387</t>
        </is>
      </c>
      <c r="D63" s="6" t="inlineStr">
        <is>
          <t>2026-10-03 10:00:10</t>
        </is>
      </c>
      <c r="E63" s="6" t="inlineStr">
        <is>
          <t>2026-10-03 10:02:33</t>
        </is>
      </c>
      <c r="F63" s="7">
        <f>(E63-D63)*1440</f>
        <v/>
      </c>
      <c r="G63" s="6" t="n">
        <v>90</v>
      </c>
      <c r="H63" s="6" t="inlineStr">
        <is>
          <t>anonymous</t>
        </is>
      </c>
    </row>
    <row r="64">
      <c r="A64" s="5" t="inlineStr">
        <is>
          <t>INGRID ALEJANDRINA LISSETH GUZMAN DE SANCHEZ</t>
        </is>
      </c>
      <c r="B64" s="5" t="inlineStr">
        <is>
          <t>GERENCIA DE NEGOCIOS</t>
        </is>
      </c>
      <c r="C64" s="4" t="inlineStr">
        <is>
          <t>719</t>
        </is>
      </c>
      <c r="D64" s="6" t="inlineStr">
        <is>
          <t>2026-10-03 09:50:10</t>
        </is>
      </c>
      <c r="E64" s="6" t="inlineStr">
        <is>
          <t>2026-10-03 10:03:03</t>
        </is>
      </c>
      <c r="F64" s="7">
        <f>(E64-D64)*1440</f>
        <v/>
      </c>
      <c r="G64" s="6" t="n">
        <v>100</v>
      </c>
      <c r="H64" s="6" t="inlineStr">
        <is>
          <t>anonymous</t>
        </is>
      </c>
    </row>
    <row r="65">
      <c r="A65" s="5" t="inlineStr">
        <is>
          <t>Hugo Rolando Velasco Rivera</t>
        </is>
      </c>
      <c r="B65" s="5" t="inlineStr">
        <is>
          <t>Depto. De Custodia y Garantía de valores</t>
        </is>
      </c>
      <c r="C65" s="4" t="inlineStr">
        <is>
          <t>973</t>
        </is>
      </c>
      <c r="D65" s="6" t="inlineStr">
        <is>
          <t>2026-10-03 12:01:19</t>
        </is>
      </c>
      <c r="E65" s="6" t="inlineStr">
        <is>
          <t>2026-10-03 12:20:36</t>
        </is>
      </c>
      <c r="F65" s="7">
        <f>(E65-D65)*1440</f>
        <v/>
      </c>
      <c r="G65" s="6" t="n">
        <v>100</v>
      </c>
      <c r="H65" s="6" t="inlineStr">
        <is>
          <t>anonymous</t>
        </is>
      </c>
    </row>
    <row r="66">
      <c r="A66" s="5" t="inlineStr">
        <is>
          <t>Rossemary Yamileth Lobato Martínez</t>
        </is>
      </c>
      <c r="B66" s="5" t="inlineStr">
        <is>
          <t>Departamento de Contabilidad</t>
        </is>
      </c>
      <c r="C66" s="4" t="inlineStr">
        <is>
          <t>733</t>
        </is>
      </c>
      <c r="D66" s="6" t="inlineStr">
        <is>
          <t>2026-10-05 07:22:26</t>
        </is>
      </c>
      <c r="E66" s="6" t="inlineStr">
        <is>
          <t>2026-10-05 07:36:35</t>
        </is>
      </c>
      <c r="F66" s="7">
        <f>(E66-D66)*1440</f>
        <v/>
      </c>
      <c r="G66" s="6" t="n">
        <v>100</v>
      </c>
      <c r="H66" s="6" t="inlineStr">
        <is>
          <t>anonymous</t>
        </is>
      </c>
    </row>
    <row r="67">
      <c r="A67" s="5" t="inlineStr">
        <is>
          <t>CARLOS FRANCISCO HERNANDEZ MUÑOZ</t>
        </is>
      </c>
      <c r="B67" s="5" t="inlineStr">
        <is>
          <t xml:space="preserve">DEPARTAMENTO DE ANALISIS Y PROGRAMACION </t>
        </is>
      </c>
      <c r="C67" s="4" t="inlineStr">
        <is>
          <t>680</t>
        </is>
      </c>
      <c r="D67" s="6" t="inlineStr">
        <is>
          <t>2026-10-05 09:16:48</t>
        </is>
      </c>
      <c r="E67" s="6" t="inlineStr">
        <is>
          <t>2026-10-05 09:24:04</t>
        </is>
      </c>
      <c r="F67" s="7">
        <f>(E67-D67)*1440</f>
        <v/>
      </c>
      <c r="G67" s="6" t="n">
        <v>100</v>
      </c>
      <c r="H67" s="6" t="inlineStr">
        <is>
          <t>anonymous</t>
        </is>
      </c>
    </row>
    <row r="68">
      <c r="A68" s="5" t="inlineStr">
        <is>
          <t>German Alberto Campos Torres</t>
        </is>
      </c>
      <c r="B68" s="5" t="inlineStr">
        <is>
          <t>Servicios Generales</t>
        </is>
      </c>
      <c r="C68" s="4" t="inlineStr">
        <is>
          <t>830</t>
        </is>
      </c>
      <c r="D68" s="6" t="inlineStr">
        <is>
          <t>2026-10-05 09:28:07</t>
        </is>
      </c>
      <c r="E68" s="6" t="inlineStr">
        <is>
          <t>2026-10-05 09:35:28</t>
        </is>
      </c>
      <c r="F68" s="7">
        <f>(E68-D68)*1440</f>
        <v/>
      </c>
      <c r="G68" s="6" t="n">
        <v>95</v>
      </c>
      <c r="H68" s="6" t="inlineStr">
        <is>
          <t>anonymous</t>
        </is>
      </c>
    </row>
    <row r="69">
      <c r="A69" s="5" t="inlineStr">
        <is>
          <t xml:space="preserve">Mario Rosales
</t>
        </is>
      </c>
      <c r="B69" s="5" t="inlineStr">
        <is>
          <t>Servicio general</t>
        </is>
      </c>
      <c r="C69" s="4" t="inlineStr">
        <is>
          <t>430</t>
        </is>
      </c>
      <c r="D69" s="6" t="inlineStr">
        <is>
          <t>2026-10-05 09:35:54</t>
        </is>
      </c>
      <c r="E69" s="6" t="inlineStr">
        <is>
          <t>2026-10-05 09:44:04</t>
        </is>
      </c>
      <c r="F69" s="7">
        <f>(E69-D69)*1440</f>
        <v/>
      </c>
      <c r="G69" s="6" t="n">
        <v>100</v>
      </c>
      <c r="H69" s="6" t="inlineStr">
        <is>
          <t>anonymous</t>
        </is>
      </c>
    </row>
    <row r="70">
      <c r="A70" s="5" t="inlineStr">
        <is>
          <t xml:space="preserve">Luis Marcelo Cruz Vigil
</t>
        </is>
      </c>
      <c r="B70" s="5" t="inlineStr">
        <is>
          <t>Sub Gerencia de Canales</t>
        </is>
      </c>
      <c r="C70" s="4" t="inlineStr">
        <is>
          <t>215</t>
        </is>
      </c>
      <c r="D70" s="6" t="inlineStr">
        <is>
          <t>2026-10-05 09:46:03</t>
        </is>
      </c>
      <c r="E70" s="6" t="inlineStr">
        <is>
          <t>2026-10-05 09:51:47</t>
        </is>
      </c>
      <c r="F70" s="7">
        <f>(E70-D70)*1440</f>
        <v/>
      </c>
      <c r="G70" s="6" t="n">
        <v>100</v>
      </c>
      <c r="H70" s="6" t="inlineStr">
        <is>
          <t>anonymous</t>
        </is>
      </c>
    </row>
    <row r="71">
      <c r="A71" s="5" t="inlineStr">
        <is>
          <t>Carlos Alfonso Molina Cardona</t>
        </is>
      </c>
      <c r="B71" s="5" t="inlineStr">
        <is>
          <t>Operaciones y Soporte Tecnico</t>
        </is>
      </c>
      <c r="C71" s="4" t="inlineStr">
        <is>
          <t>281</t>
        </is>
      </c>
      <c r="D71" s="6" t="inlineStr">
        <is>
          <t>2026-10-05 11:03:36</t>
        </is>
      </c>
      <c r="E71" s="6" t="inlineStr">
        <is>
          <t>2026-10-05 11:32:09</t>
        </is>
      </c>
      <c r="F71" s="7">
        <f>(E71-D71)*1440</f>
        <v/>
      </c>
      <c r="G71" s="6" t="n">
        <v>100</v>
      </c>
      <c r="H71" s="6" t="inlineStr">
        <is>
          <t>anonymous</t>
        </is>
      </c>
    </row>
    <row r="72">
      <c r="A72" s="5" t="inlineStr">
        <is>
          <t xml:space="preserve">Jonathan Enrique Aquino Sánchez </t>
        </is>
      </c>
      <c r="B72" s="5" t="inlineStr">
        <is>
          <t xml:space="preserve">Servicios Generales </t>
        </is>
      </c>
      <c r="C72" s="4" t="inlineStr">
        <is>
          <t>852</t>
        </is>
      </c>
      <c r="D72" s="6" t="inlineStr">
        <is>
          <t>2026-10-05 12:36:02</t>
        </is>
      </c>
      <c r="E72" s="6" t="inlineStr">
        <is>
          <t>2026-10-05 12:56:28</t>
        </is>
      </c>
      <c r="F72" s="7">
        <f>(E72-D72)*1440</f>
        <v/>
      </c>
      <c r="G72" s="6" t="n">
        <v>90</v>
      </c>
      <c r="H72" s="6" t="inlineStr">
        <is>
          <t>anonymous</t>
        </is>
      </c>
    </row>
    <row r="73">
      <c r="A73" s="5" t="inlineStr">
        <is>
          <t>Jorge Alberto Barrera</t>
        </is>
      </c>
      <c r="B73" s="5" t="inlineStr">
        <is>
          <t>Operaciones y Soporte de TI</t>
        </is>
      </c>
      <c r="C73" s="4" t="inlineStr">
        <is>
          <t>880</t>
        </is>
      </c>
      <c r="D73" s="6" t="inlineStr">
        <is>
          <t>2026-10-05 13:51:08</t>
        </is>
      </c>
      <c r="E73" s="6" t="inlineStr">
        <is>
          <t>2026-10-05 14:01:07</t>
        </is>
      </c>
      <c r="F73" s="7">
        <f>(E73-D73)*1440</f>
        <v/>
      </c>
      <c r="G73" s="6" t="n">
        <v>100</v>
      </c>
      <c r="H73" s="6" t="inlineStr">
        <is>
          <t>anonymous</t>
        </is>
      </c>
    </row>
    <row r="74">
      <c r="A74" s="5" t="inlineStr">
        <is>
          <t>ISMAEL HUMBERTO GUERRERO FLORES</t>
        </is>
      </c>
      <c r="B74" s="5" t="inlineStr">
        <is>
          <t>SISTEMAS</t>
        </is>
      </c>
      <c r="C74" s="4" t="inlineStr">
        <is>
          <t>883</t>
        </is>
      </c>
      <c r="D74" s="6" t="inlineStr">
        <is>
          <t>2026-10-05 13:58:35</t>
        </is>
      </c>
      <c r="E74" s="6" t="inlineStr">
        <is>
          <t>2026-10-05 14:02:02</t>
        </is>
      </c>
      <c r="F74" s="7">
        <f>(E74-D74)*1440</f>
        <v/>
      </c>
      <c r="G74" s="6" t="n">
        <v>95</v>
      </c>
      <c r="H74" s="6" t="inlineStr">
        <is>
          <t>anonymous</t>
        </is>
      </c>
    </row>
    <row r="75">
      <c r="A75" s="5" t="inlineStr">
        <is>
          <t>Carlos Orlando García</t>
        </is>
      </c>
      <c r="B75" s="5" t="inlineStr">
        <is>
          <t>Operaciones y Soporte Tecnico</t>
        </is>
      </c>
      <c r="C75" s="4" t="inlineStr">
        <is>
          <t>221</t>
        </is>
      </c>
      <c r="D75" s="6" t="inlineStr">
        <is>
          <t>2026-10-05 14:05:43</t>
        </is>
      </c>
      <c r="E75" s="6" t="inlineStr">
        <is>
          <t>2026-10-05 14:08:53</t>
        </is>
      </c>
      <c r="F75" s="7">
        <f>(E75-D75)*1440</f>
        <v/>
      </c>
      <c r="G75" s="6" t="n">
        <v>100</v>
      </c>
      <c r="H75" s="6" t="inlineStr">
        <is>
          <t>anonymous</t>
        </is>
      </c>
    </row>
    <row r="76">
      <c r="A76" s="5" t="inlineStr">
        <is>
          <t xml:space="preserve">Andres vladimir luna guevara </t>
        </is>
      </c>
      <c r="B76" s="5" t="inlineStr">
        <is>
          <t xml:space="preserve">Servicios generales </t>
        </is>
      </c>
      <c r="C76" s="4" t="inlineStr">
        <is>
          <t>926</t>
        </is>
      </c>
      <c r="D76" s="6" t="inlineStr">
        <is>
          <t>2026-10-05 14:26:00</t>
        </is>
      </c>
      <c r="E76" s="6" t="inlineStr">
        <is>
          <t>2026-10-05 14:35:22</t>
        </is>
      </c>
      <c r="F76" s="7">
        <f>(E76-D76)*1440</f>
        <v/>
      </c>
      <c r="G76" s="6" t="n">
        <v>90</v>
      </c>
      <c r="H76" s="6" t="inlineStr">
        <is>
          <t>anonymous</t>
        </is>
      </c>
    </row>
    <row r="77">
      <c r="A77" s="5" t="inlineStr">
        <is>
          <t>Gabriela Lourdes Arévalo Sánchez</t>
        </is>
      </c>
      <c r="B77" s="5" t="inlineStr">
        <is>
          <t xml:space="preserve">Departamento Legal </t>
        </is>
      </c>
      <c r="C77" s="4" t="inlineStr">
        <is>
          <t>929</t>
        </is>
      </c>
      <c r="D77" s="6" t="inlineStr">
        <is>
          <t>2026-10-05 14:56:56</t>
        </is>
      </c>
      <c r="E77" s="6" t="inlineStr">
        <is>
          <t>2026-10-05 15:05:01</t>
        </is>
      </c>
      <c r="F77" s="7">
        <f>(E77-D77)*1440</f>
        <v/>
      </c>
      <c r="G77" s="6" t="n">
        <v>90</v>
      </c>
      <c r="H77" s="6" t="inlineStr">
        <is>
          <t>anonymous</t>
        </is>
      </c>
    </row>
    <row r="78">
      <c r="A78" s="5" t="inlineStr">
        <is>
          <t>SILVIA IVETH MARTINEZ DE RAMIREZ</t>
        </is>
      </c>
      <c r="B78" s="5" t="inlineStr">
        <is>
          <t>ADMINISTRACION DE RIESGOS</t>
        </is>
      </c>
      <c r="C78" s="4" t="inlineStr">
        <is>
          <t>433</t>
        </is>
      </c>
      <c r="D78" s="6" t="inlineStr">
        <is>
          <t>2026-10-05 14:54:59</t>
        </is>
      </c>
      <c r="E78" s="6" t="inlineStr">
        <is>
          <t>2026-10-05 15:08:37</t>
        </is>
      </c>
      <c r="F78" s="7">
        <f>(E78-D78)*1440</f>
        <v/>
      </c>
      <c r="G78" s="6" t="n">
        <v>100</v>
      </c>
      <c r="H78" s="6" t="inlineStr">
        <is>
          <t>anonymous</t>
        </is>
      </c>
    </row>
    <row r="79">
      <c r="A79" s="5" t="inlineStr">
        <is>
          <t>Edgar Margarito PozoShupan</t>
        </is>
      </c>
      <c r="B79" s="5" t="inlineStr">
        <is>
          <t>Operaciones y Soporte Tecnico</t>
        </is>
      </c>
      <c r="C79" s="4" t="inlineStr">
        <is>
          <t>259</t>
        </is>
      </c>
      <c r="D79" s="6" t="inlineStr">
        <is>
          <t>2026-10-05 15:08:26</t>
        </is>
      </c>
      <c r="E79" s="6" t="inlineStr">
        <is>
          <t>2026-10-05 15:18:52</t>
        </is>
      </c>
      <c r="F79" s="7">
        <f>(E79-D79)*1440</f>
        <v/>
      </c>
      <c r="G79" s="6" t="n">
        <v>100</v>
      </c>
      <c r="H79" s="6" t="inlineStr">
        <is>
          <t>anonymous</t>
        </is>
      </c>
    </row>
    <row r="80">
      <c r="A80" s="5" t="inlineStr">
        <is>
          <t>CLAUDIA MARIA GIMENEZ PEREZ</t>
        </is>
      </c>
      <c r="B80" s="5" t="inlineStr">
        <is>
          <t xml:space="preserve">CONSEJO DE ADMINISTRACION </t>
        </is>
      </c>
      <c r="C80" s="4" t="inlineStr">
        <is>
          <t>53</t>
        </is>
      </c>
      <c r="D80" s="6" t="inlineStr">
        <is>
          <t>2026-10-05 15:39:34</t>
        </is>
      </c>
      <c r="E80" s="6" t="inlineStr">
        <is>
          <t>2026-10-05 15:47:32</t>
        </is>
      </c>
      <c r="F80" s="7">
        <f>(E80-D80)*1440</f>
        <v/>
      </c>
      <c r="G80" s="6" t="n">
        <v>90</v>
      </c>
      <c r="H80" s="6" t="inlineStr">
        <is>
          <t>anonymous</t>
        </is>
      </c>
    </row>
    <row r="81">
      <c r="A81" s="5" t="inlineStr">
        <is>
          <t>Ma. GUADALUPE MARTINEZ</t>
        </is>
      </c>
      <c r="B81" s="5" t="inlineStr">
        <is>
          <t>SERVICIOS GENERALES</t>
        </is>
      </c>
      <c r="C81" s="4" t="inlineStr">
        <is>
          <t>222</t>
        </is>
      </c>
      <c r="D81" s="6" t="inlineStr">
        <is>
          <t>2026-10-05 15:42:32</t>
        </is>
      </c>
      <c r="E81" s="6" t="inlineStr">
        <is>
          <t>2026-10-05 15:58:34</t>
        </is>
      </c>
      <c r="F81" s="7">
        <f>(E81-D81)*1440</f>
        <v/>
      </c>
      <c r="G81" s="6" t="n">
        <v>100</v>
      </c>
      <c r="H81" s="6" t="inlineStr">
        <is>
          <t>anonymous</t>
        </is>
      </c>
    </row>
    <row r="82">
      <c r="A82" s="5" t="inlineStr">
        <is>
          <t>Diana Marisol Batres Barahona</t>
        </is>
      </c>
      <c r="B82" s="5" t="inlineStr">
        <is>
          <t>Colonia Medica</t>
        </is>
      </c>
      <c r="C82" s="4" t="inlineStr">
        <is>
          <t>728</t>
        </is>
      </c>
      <c r="D82" s="6" t="inlineStr">
        <is>
          <t>2026-10-05 16:05:37</t>
        </is>
      </c>
      <c r="E82" s="6" t="inlineStr">
        <is>
          <t>2026-10-05 16:24:58</t>
        </is>
      </c>
      <c r="F82" s="7">
        <f>(E82-D82)*1440</f>
        <v/>
      </c>
      <c r="G82" s="6" t="n">
        <v>100</v>
      </c>
      <c r="H82" s="6" t="inlineStr">
        <is>
          <t>anonymous</t>
        </is>
      </c>
    </row>
    <row r="83">
      <c r="A83" s="5" t="inlineStr">
        <is>
          <t>Zulma Beatriz Rivas Rivera</t>
        </is>
      </c>
      <c r="B83" s="5" t="inlineStr">
        <is>
          <t>COLONIA MEDICA</t>
        </is>
      </c>
      <c r="C83" s="4" t="inlineStr">
        <is>
          <t>801</t>
        </is>
      </c>
      <c r="D83" s="6" t="inlineStr">
        <is>
          <t>2026-10-05 16:28:27</t>
        </is>
      </c>
      <c r="E83" s="6" t="inlineStr">
        <is>
          <t>2026-10-05 16:31:15</t>
        </is>
      </c>
      <c r="F83" s="7">
        <f>(E83-D83)*1440</f>
        <v/>
      </c>
      <c r="G83" s="6" t="n">
        <v>100</v>
      </c>
      <c r="H83" s="6" t="inlineStr">
        <is>
          <t>anonymous</t>
        </is>
      </c>
    </row>
    <row r="84">
      <c r="A84" s="5" t="inlineStr">
        <is>
          <t>Pedro Ernesto Morán Ramírez</t>
        </is>
      </c>
      <c r="B84" s="5" t="inlineStr">
        <is>
          <t>Administración de Base de Datos</t>
        </is>
      </c>
      <c r="C84" s="4" t="inlineStr">
        <is>
          <t>409</t>
        </is>
      </c>
      <c r="D84" s="6" t="inlineStr">
        <is>
          <t>2026-10-05 16:26:53</t>
        </is>
      </c>
      <c r="E84" s="6" t="inlineStr">
        <is>
          <t>2026-10-05 16:42:16</t>
        </is>
      </c>
      <c r="F84" s="7">
        <f>(E84-D84)*1440</f>
        <v/>
      </c>
      <c r="G84" s="6" t="n">
        <v>95</v>
      </c>
      <c r="H84" s="6" t="inlineStr">
        <is>
          <t>anonymous</t>
        </is>
      </c>
    </row>
    <row r="85">
      <c r="A85" s="5" t="inlineStr">
        <is>
          <t xml:space="preserve">Christian George Figueroa Blanco </t>
        </is>
      </c>
      <c r="B85" s="5" t="inlineStr">
        <is>
          <t xml:space="preserve">Servicio generales </t>
        </is>
      </c>
      <c r="C85" s="4" t="inlineStr">
        <is>
          <t>803</t>
        </is>
      </c>
      <c r="D85" s="6" t="inlineStr">
        <is>
          <t>2026-10-05 16:51:05</t>
        </is>
      </c>
      <c r="E85" s="6" t="inlineStr">
        <is>
          <t>2026-10-05 17:00:43</t>
        </is>
      </c>
      <c r="F85" s="7">
        <f>(E85-D85)*1440</f>
        <v/>
      </c>
      <c r="G85" s="6" t="n">
        <v>60</v>
      </c>
      <c r="H85" s="6" t="inlineStr">
        <is>
          <t>anonymous</t>
        </is>
      </c>
    </row>
    <row r="86">
      <c r="A86" s="5" t="inlineStr">
        <is>
          <t>MAIRA ELIZABETH PEREZ DE LEIVA</t>
        </is>
      </c>
      <c r="B86" s="5" t="inlineStr">
        <is>
          <t>SERVICIOS GENERALES</t>
        </is>
      </c>
      <c r="C86" s="4" t="inlineStr">
        <is>
          <t>599</t>
        </is>
      </c>
      <c r="D86" s="6" t="inlineStr">
        <is>
          <t>2026-10-05 17:48:22</t>
        </is>
      </c>
      <c r="E86" s="6" t="inlineStr">
        <is>
          <t>2026-10-05 17:58:08</t>
        </is>
      </c>
      <c r="F86" s="7">
        <f>(E86-D86)*1440</f>
        <v/>
      </c>
      <c r="G86" s="6" t="n">
        <v>100</v>
      </c>
      <c r="H86" s="6" t="inlineStr">
        <is>
          <t>anonymous</t>
        </is>
      </c>
    </row>
    <row r="87">
      <c r="A87" s="5" t="inlineStr">
        <is>
          <t>Leonel Edgardo Salazar Ramirez</t>
        </is>
      </c>
      <c r="B87" s="5" t="inlineStr">
        <is>
          <t xml:space="preserve">Agencia central, departamento de servicios generales </t>
        </is>
      </c>
      <c r="C87" s="4" t="inlineStr">
        <is>
          <t>55</t>
        </is>
      </c>
      <c r="D87" s="6" t="inlineStr">
        <is>
          <t>2026-10-05 19:21:40</t>
        </is>
      </c>
      <c r="E87" s="6" t="inlineStr">
        <is>
          <t>2026-10-05 19:32:28</t>
        </is>
      </c>
      <c r="F87" s="7">
        <f>(E87-D87)*1440</f>
        <v/>
      </c>
      <c r="G87" s="6" t="n">
        <v>90</v>
      </c>
      <c r="H87" s="6" t="inlineStr">
        <is>
          <t>anonymous</t>
        </is>
      </c>
    </row>
    <row r="88">
      <c r="A88" s="5" t="inlineStr">
        <is>
          <t>Wendy Yamileth Márquez Vásquez</t>
        </is>
      </c>
      <c r="B88" s="5" t="inlineStr">
        <is>
          <t>Usulután</t>
        </is>
      </c>
      <c r="C88" s="4" t="inlineStr">
        <is>
          <t>903</t>
        </is>
      </c>
      <c r="D88" s="6" t="inlineStr">
        <is>
          <t>2026-10-06 10:13:10</t>
        </is>
      </c>
      <c r="E88" s="6" t="inlineStr">
        <is>
          <t>2026-10-06 10:22:34</t>
        </is>
      </c>
      <c r="F88" s="7">
        <f>(E88-D88)*1440</f>
        <v/>
      </c>
      <c r="G88" s="6" t="n">
        <v>100</v>
      </c>
      <c r="H88" s="6" t="inlineStr">
        <is>
          <t>anonymous</t>
        </is>
      </c>
    </row>
    <row r="89">
      <c r="A89" s="5" t="inlineStr">
        <is>
          <t>Adolfo Molina</t>
        </is>
      </c>
      <c r="B89" s="5" t="inlineStr">
        <is>
          <t>Soporte Técnico</t>
        </is>
      </c>
      <c r="C89" s="4" t="inlineStr">
        <is>
          <t>490</t>
        </is>
      </c>
      <c r="D89" s="6" t="inlineStr">
        <is>
          <t>2026-10-06 10:11:37</t>
        </is>
      </c>
      <c r="E89" s="6" t="inlineStr">
        <is>
          <t>2026-10-06 10:28:36</t>
        </is>
      </c>
      <c r="F89" s="7">
        <f>(E89-D89)*1440</f>
        <v/>
      </c>
      <c r="G89" s="6" t="n">
        <v>100</v>
      </c>
      <c r="H89" s="6" t="inlineStr">
        <is>
          <t>anonymous</t>
        </is>
      </c>
    </row>
    <row r="90">
      <c r="A90" s="5" t="inlineStr">
        <is>
          <t>JOSUE ELIAZAR MARTINEZ RECINOS</t>
        </is>
      </c>
      <c r="B90" s="5" t="inlineStr">
        <is>
          <t>CONTABILIDAD</t>
        </is>
      </c>
      <c r="C90" s="4" t="inlineStr">
        <is>
          <t>872</t>
        </is>
      </c>
      <c r="D90" s="6" t="inlineStr">
        <is>
          <t>2026-10-06 10:28:17</t>
        </is>
      </c>
      <c r="E90" s="6" t="inlineStr">
        <is>
          <t>2026-10-06 10:31:47</t>
        </is>
      </c>
      <c r="F90" s="7">
        <f>(E90-D90)*1440</f>
        <v/>
      </c>
      <c r="G90" s="6" t="n">
        <v>100</v>
      </c>
      <c r="H90" s="6" t="inlineStr">
        <is>
          <t>anonymous</t>
        </is>
      </c>
    </row>
    <row r="91">
      <c r="A91" s="5" t="inlineStr">
        <is>
          <t xml:space="preserve">Wanda Moreno </t>
        </is>
      </c>
      <c r="B91" s="5" t="inlineStr">
        <is>
          <t xml:space="preserve">Gerencia de negocio </t>
        </is>
      </c>
      <c r="C91" s="4" t="inlineStr">
        <is>
          <t>782</t>
        </is>
      </c>
      <c r="D91" s="6" t="inlineStr">
        <is>
          <t>2026-10-06 10:16:01</t>
        </is>
      </c>
      <c r="E91" s="6" t="inlineStr">
        <is>
          <t>2026-10-06 10:34:02</t>
        </is>
      </c>
      <c r="F91" s="7">
        <f>(E91-D91)*1440</f>
        <v/>
      </c>
      <c r="G91" s="6" t="n">
        <v>100</v>
      </c>
      <c r="H91" s="6" t="inlineStr">
        <is>
          <t>anonymous</t>
        </is>
      </c>
    </row>
    <row r="92">
      <c r="A92" s="5" t="inlineStr">
        <is>
          <t>María Francisca De la Luz Hernández de Hernández</t>
        </is>
      </c>
      <c r="B92" s="5" t="inlineStr">
        <is>
          <t>Atención al Asociado</t>
        </is>
      </c>
      <c r="C92" s="4" t="inlineStr">
        <is>
          <t>166</t>
        </is>
      </c>
      <c r="D92" s="6" t="inlineStr">
        <is>
          <t>2026-10-06 11:37:40</t>
        </is>
      </c>
      <c r="E92" s="6" t="inlineStr">
        <is>
          <t>2026-10-06 11:44:34</t>
        </is>
      </c>
      <c r="F92" s="7">
        <f>(E92-D92)*1440</f>
        <v/>
      </c>
      <c r="G92" s="6" t="n">
        <v>100</v>
      </c>
      <c r="H92" s="6" t="inlineStr">
        <is>
          <t>anonymous</t>
        </is>
      </c>
    </row>
    <row r="93">
      <c r="A93" s="5" t="inlineStr">
        <is>
          <t xml:space="preserve">Luciano de Jesús Saravia Beltrán </t>
        </is>
      </c>
      <c r="B93" s="5" t="inlineStr">
        <is>
          <t xml:space="preserve">Agencia usulutan </t>
        </is>
      </c>
      <c r="C93" s="4" t="inlineStr">
        <is>
          <t>456</t>
        </is>
      </c>
      <c r="D93" s="6" t="inlineStr">
        <is>
          <t>2026-10-06 11:41:15</t>
        </is>
      </c>
      <c r="E93" s="6" t="inlineStr">
        <is>
          <t>2026-10-06 11:48:15</t>
        </is>
      </c>
      <c r="F93" s="7">
        <f>(E93-D93)*1440</f>
        <v/>
      </c>
      <c r="G93" s="6" t="n">
        <v>80</v>
      </c>
      <c r="H93" s="6" t="inlineStr">
        <is>
          <t>anonymous</t>
        </is>
      </c>
    </row>
    <row r="94">
      <c r="A94" s="5" t="inlineStr">
        <is>
          <t>Luciano de Jesús saravianbeltran</t>
        </is>
      </c>
      <c r="B94" s="5" t="inlineStr">
        <is>
          <t>Agencia usulutan</t>
        </is>
      </c>
      <c r="C94" s="4" t="inlineStr">
        <is>
          <t>456</t>
        </is>
      </c>
      <c r="D94" s="6" t="inlineStr">
        <is>
          <t>2026-10-06 12:11:19</t>
        </is>
      </c>
      <c r="E94" s="6" t="inlineStr">
        <is>
          <t>2026-10-06 12:19:43</t>
        </is>
      </c>
      <c r="F94" s="7">
        <f>(E94-D94)*1440</f>
        <v/>
      </c>
      <c r="G94" s="6" t="n">
        <v>100</v>
      </c>
      <c r="H94" s="6" t="inlineStr">
        <is>
          <t>anonymous</t>
        </is>
      </c>
    </row>
    <row r="95">
      <c r="A95" s="5" t="inlineStr">
        <is>
          <t>Alejandra Abigail Ramirez Romero</t>
        </is>
      </c>
      <c r="B95" s="5" t="inlineStr">
        <is>
          <t>Mercadeo</t>
        </is>
      </c>
      <c r="C95" s="4" t="inlineStr">
        <is>
          <t>982</t>
        </is>
      </c>
      <c r="D95" s="6" t="inlineStr">
        <is>
          <t>2026-10-06 14:47:16</t>
        </is>
      </c>
      <c r="E95" s="6" t="inlineStr">
        <is>
          <t>2026-10-06 15:23:25</t>
        </is>
      </c>
      <c r="F95" s="7">
        <f>(E95-D95)*1440</f>
        <v/>
      </c>
      <c r="G95" s="6" t="n">
        <v>100</v>
      </c>
      <c r="H95" s="6" t="inlineStr">
        <is>
          <t>anonymous</t>
        </is>
      </c>
    </row>
    <row r="96">
      <c r="A96" s="5" t="inlineStr">
        <is>
          <t>STEPHANIE CAROLINA MALDONADO FLORES</t>
        </is>
      </c>
      <c r="B96" s="5" t="inlineStr">
        <is>
          <t xml:space="preserve">EDUCACION Y RESPONSABILIDAD SOCIAL </t>
        </is>
      </c>
      <c r="C96" s="4" t="inlineStr">
        <is>
          <t>853</t>
        </is>
      </c>
      <c r="D96" s="6" t="inlineStr">
        <is>
          <t>2026-10-06 14:55:15</t>
        </is>
      </c>
      <c r="E96" s="6" t="inlineStr">
        <is>
          <t>2026-10-06 15:30:45</t>
        </is>
      </c>
      <c r="F96" s="7">
        <f>(E96-D96)*1440</f>
        <v/>
      </c>
      <c r="G96" s="6" t="n">
        <v>100</v>
      </c>
      <c r="H96" s="6" t="inlineStr">
        <is>
          <t>anonymous</t>
        </is>
      </c>
    </row>
    <row r="97">
      <c r="A97" s="5" t="inlineStr">
        <is>
          <t>Juan Antonio De Jesús Nunfio</t>
        </is>
      </c>
      <c r="B97" s="5" t="inlineStr">
        <is>
          <t>Departamento de créditos</t>
        </is>
      </c>
      <c r="C97" s="4" t="inlineStr">
        <is>
          <t>780</t>
        </is>
      </c>
      <c r="D97" s="6" t="inlineStr">
        <is>
          <t>2026-10-06 15:40:46</t>
        </is>
      </c>
      <c r="E97" s="6" t="inlineStr">
        <is>
          <t>2026-10-06 15:49:22</t>
        </is>
      </c>
      <c r="F97" s="7">
        <f>(E97-D97)*1440</f>
        <v/>
      </c>
      <c r="G97" s="6" t="n">
        <v>100</v>
      </c>
      <c r="H97" s="6" t="inlineStr">
        <is>
          <t>anonymous</t>
        </is>
      </c>
    </row>
    <row r="98">
      <c r="A98" s="5" t="inlineStr">
        <is>
          <t xml:space="preserve">Clelia Lizeth Ortiz Galdamez </t>
        </is>
      </c>
      <c r="B98" s="5" t="inlineStr">
        <is>
          <t xml:space="preserve">Seguros </t>
        </is>
      </c>
      <c r="C98" s="4" t="inlineStr">
        <is>
          <t>589</t>
        </is>
      </c>
      <c r="D98" s="6" t="inlineStr">
        <is>
          <t>2026-10-06 16:09:40</t>
        </is>
      </c>
      <c r="E98" s="6" t="inlineStr">
        <is>
          <t>2026-10-06 16:19:22</t>
        </is>
      </c>
      <c r="F98" s="7">
        <f>(E98-D98)*1440</f>
        <v/>
      </c>
      <c r="G98" s="6" t="n">
        <v>90</v>
      </c>
      <c r="H98" s="6" t="inlineStr">
        <is>
          <t>anonymous</t>
        </is>
      </c>
    </row>
    <row r="99">
      <c r="A99" s="5" t="inlineStr">
        <is>
          <t xml:space="preserve">juan jose lopez alfaro
</t>
        </is>
      </c>
      <c r="B99" s="5" t="inlineStr">
        <is>
          <t>Operaciones y soporte tecnico</t>
        </is>
      </c>
      <c r="C99" s="4" t="inlineStr">
        <is>
          <t>119</t>
        </is>
      </c>
      <c r="D99" s="6" t="inlineStr">
        <is>
          <t>2026-10-07 10:06:00</t>
        </is>
      </c>
      <c r="E99" s="6" t="inlineStr">
        <is>
          <t>2026-10-07 10:36:14</t>
        </is>
      </c>
      <c r="F99" s="7">
        <f>(E99-D99)*1440</f>
        <v/>
      </c>
      <c r="G99" s="6" t="n">
        <v>100</v>
      </c>
      <c r="H99" s="6" t="inlineStr">
        <is>
          <t>anonymous</t>
        </is>
      </c>
    </row>
    <row r="100">
      <c r="A100" s="5" t="inlineStr">
        <is>
          <t>NANCY ROCIO MENJIVAR RIVAS</t>
        </is>
      </c>
      <c r="B100" s="5" t="inlineStr">
        <is>
          <t>SUB GERENCIA DE CANALES</t>
        </is>
      </c>
      <c r="C100" s="4" t="inlineStr">
        <is>
          <t>585</t>
        </is>
      </c>
      <c r="D100" s="6" t="inlineStr">
        <is>
          <t>2026-10-07 11:07:19</t>
        </is>
      </c>
      <c r="E100" s="6" t="inlineStr">
        <is>
          <t>2026-10-07 11:29:54</t>
        </is>
      </c>
      <c r="F100" s="7">
        <f>(E100-D100)*1440</f>
        <v/>
      </c>
      <c r="G100" s="6" t="n">
        <v>100</v>
      </c>
      <c r="H100" s="6" t="inlineStr">
        <is>
          <t>anonymous</t>
        </is>
      </c>
    </row>
    <row r="101">
      <c r="A101" s="5" t="inlineStr">
        <is>
          <t>Lorena del Carmen Mejía Herrera</t>
        </is>
      </c>
      <c r="B101" s="5" t="inlineStr">
        <is>
          <t>Caja, agencia central</t>
        </is>
      </c>
      <c r="C101" s="4" t="inlineStr">
        <is>
          <t>960</t>
        </is>
      </c>
      <c r="D101" s="6" t="inlineStr">
        <is>
          <t>2026-10-07 11:16:47</t>
        </is>
      </c>
      <c r="E101" s="6" t="inlineStr">
        <is>
          <t>2026-10-07 11:35:55</t>
        </is>
      </c>
      <c r="F101" s="7">
        <f>(E101-D101)*1440</f>
        <v/>
      </c>
      <c r="G101" s="6" t="n">
        <v>100</v>
      </c>
      <c r="H101" s="6" t="inlineStr">
        <is>
          <t>anonymous</t>
        </is>
      </c>
    </row>
    <row r="102">
      <c r="A102" s="5" t="inlineStr">
        <is>
          <t>DAYANA ABIGAIL CHAVEZ DE CORDOVA</t>
        </is>
      </c>
      <c r="B102" s="5" t="inlineStr">
        <is>
          <t xml:space="preserve">DEPARTAMENTO DE CREDITOS </t>
        </is>
      </c>
      <c r="C102" s="4" t="inlineStr">
        <is>
          <t>837</t>
        </is>
      </c>
      <c r="D102" s="6" t="inlineStr">
        <is>
          <t>2026-10-07 11:24:17</t>
        </is>
      </c>
      <c r="E102" s="6" t="inlineStr">
        <is>
          <t>2026-10-07 11:38:44</t>
        </is>
      </c>
      <c r="F102" s="7">
        <f>(E102-D102)*1440</f>
        <v/>
      </c>
      <c r="G102" s="6" t="n">
        <v>100</v>
      </c>
      <c r="H102" s="6" t="inlineStr">
        <is>
          <t>anonymous</t>
        </is>
      </c>
    </row>
    <row r="103">
      <c r="A103" s="5" t="inlineStr">
        <is>
          <t xml:space="preserve">Jenniffer Mireya Ayala Zepeda </t>
        </is>
      </c>
      <c r="B103" s="5" t="inlineStr">
        <is>
          <t xml:space="preserve">Agencia Merliot </t>
        </is>
      </c>
      <c r="C103" s="4" t="inlineStr">
        <is>
          <t>700</t>
        </is>
      </c>
      <c r="D103" s="6" t="inlineStr">
        <is>
          <t>2026-10-07 13:17:33</t>
        </is>
      </c>
      <c r="E103" s="6" t="inlineStr">
        <is>
          <t>2026-10-07 13:29:07</t>
        </is>
      </c>
      <c r="F103" s="7">
        <f>(E103-D103)*1440</f>
        <v/>
      </c>
      <c r="G103" s="6" t="n">
        <v>100</v>
      </c>
      <c r="H103" s="6" t="inlineStr">
        <is>
          <t>anonymous</t>
        </is>
      </c>
    </row>
    <row r="104">
      <c r="A104" s="5" t="inlineStr">
        <is>
          <t>Madeline Adriana Gomez Garcia</t>
        </is>
      </c>
      <c r="B104" s="5" t="inlineStr">
        <is>
          <t>Agencia Merliot</t>
        </is>
      </c>
      <c r="C104" s="4" t="inlineStr">
        <is>
          <t>922</t>
        </is>
      </c>
      <c r="D104" s="6" t="inlineStr">
        <is>
          <t>2026-10-07 13:47:27</t>
        </is>
      </c>
      <c r="E104" s="6" t="inlineStr">
        <is>
          <t>2026-10-07 13:51:39</t>
        </is>
      </c>
      <c r="F104" s="7">
        <f>(E104-D104)*1440</f>
        <v/>
      </c>
      <c r="G104" s="6" t="n">
        <v>100</v>
      </c>
      <c r="H104" s="6" t="inlineStr">
        <is>
          <t>anonymous</t>
        </is>
      </c>
    </row>
    <row r="105">
      <c r="A105" s="5" t="inlineStr">
        <is>
          <t>kelly idalia chavez abrego</t>
        </is>
      </c>
      <c r="B105" s="5" t="inlineStr">
        <is>
          <t>agencia merliot</t>
        </is>
      </c>
      <c r="C105" s="4" t="inlineStr">
        <is>
          <t>827</t>
        </is>
      </c>
      <c r="D105" s="6" t="inlineStr">
        <is>
          <t>2026-10-07 14:00:40</t>
        </is>
      </c>
      <c r="E105" s="6" t="inlineStr">
        <is>
          <t>2026-10-07 14:03:59</t>
        </is>
      </c>
      <c r="F105" s="7">
        <f>(E105-D105)*1440</f>
        <v/>
      </c>
      <c r="G105" s="6" t="n">
        <v>100</v>
      </c>
      <c r="H105" s="6" t="inlineStr">
        <is>
          <t>anonymous</t>
        </is>
      </c>
    </row>
    <row r="106">
      <c r="A106" s="5" t="inlineStr">
        <is>
          <t>MAVERICK JOSSIMAR GONZALEZ MUÑOZ</t>
        </is>
      </c>
      <c r="B106" s="5" t="inlineStr">
        <is>
          <t>AGENCIA MERLIOT</t>
        </is>
      </c>
      <c r="C106" s="4" t="inlineStr">
        <is>
          <t>967</t>
        </is>
      </c>
      <c r="D106" s="6" t="inlineStr">
        <is>
          <t>2026-10-07 14:04:11</t>
        </is>
      </c>
      <c r="E106" s="6" t="inlineStr">
        <is>
          <t>2026-10-07 14:09:35</t>
        </is>
      </c>
      <c r="F106" s="7">
        <f>(E106-D106)*1440</f>
        <v/>
      </c>
      <c r="G106" s="6" t="n">
        <v>100</v>
      </c>
      <c r="H106" s="6" t="inlineStr">
        <is>
          <t>anonymous</t>
        </is>
      </c>
    </row>
    <row r="107">
      <c r="A107" s="5" t="inlineStr">
        <is>
          <t>Kevin Arturo Andrade Palacios</t>
        </is>
      </c>
      <c r="B107" s="5" t="inlineStr">
        <is>
          <t>Agencia Central</t>
        </is>
      </c>
      <c r="C107" s="4" t="inlineStr">
        <is>
          <t>976</t>
        </is>
      </c>
      <c r="D107" s="6" t="inlineStr">
        <is>
          <t>2026-10-07 14:19:40</t>
        </is>
      </c>
      <c r="E107" s="6" t="inlineStr">
        <is>
          <t>2026-10-07 14:22:05</t>
        </is>
      </c>
      <c r="F107" s="7">
        <f>(E107-D107)*1440</f>
        <v/>
      </c>
      <c r="G107" s="6" t="n">
        <v>100</v>
      </c>
      <c r="H107" s="6" t="inlineStr">
        <is>
          <t>anonymous</t>
        </is>
      </c>
    </row>
    <row r="108">
      <c r="A108" s="5" t="inlineStr">
        <is>
          <t>JESÚS ADRIÁN MENA AVALOS</t>
        </is>
      </c>
      <c r="B108" s="5" t="inlineStr">
        <is>
          <t>AGENCIA CENTRAL</t>
        </is>
      </c>
      <c r="C108" s="4" t="inlineStr">
        <is>
          <t>953</t>
        </is>
      </c>
      <c r="D108" s="6" t="inlineStr">
        <is>
          <t>2026-10-07 15:00:42</t>
        </is>
      </c>
      <c r="E108" s="6" t="inlineStr">
        <is>
          <t>2026-10-07 15:02:27</t>
        </is>
      </c>
      <c r="F108" s="7">
        <f>(E108-D108)*1440</f>
        <v/>
      </c>
      <c r="G108" s="6" t="n">
        <v>100</v>
      </c>
      <c r="H108" s="6" t="inlineStr">
        <is>
          <t>anonymous</t>
        </is>
      </c>
    </row>
    <row r="109">
      <c r="A109" s="5" t="inlineStr">
        <is>
          <t>CARMEN DE JESUS BLANCO GONZALEZ</t>
        </is>
      </c>
      <c r="B109" s="5" t="inlineStr">
        <is>
          <t>AGENCIA COLONIA MEDICA</t>
        </is>
      </c>
      <c r="C109" s="4" t="inlineStr">
        <is>
          <t>412</t>
        </is>
      </c>
      <c r="D109" s="6" t="inlineStr">
        <is>
          <t>2026-10-07 11:43:50</t>
        </is>
      </c>
      <c r="E109" s="6" t="inlineStr">
        <is>
          <t>2026-10-07 15:15:34</t>
        </is>
      </c>
      <c r="F109" s="7">
        <f>(E109-D109)*1440</f>
        <v/>
      </c>
      <c r="G109" s="6" t="n">
        <v>100</v>
      </c>
      <c r="H109" s="6" t="inlineStr">
        <is>
          <t>anonymous</t>
        </is>
      </c>
    </row>
    <row r="110">
      <c r="A110" s="5" t="inlineStr">
        <is>
          <t>MARISELA GUADALUPE MEJIA CRUZ</t>
        </is>
      </c>
      <c r="B110" s="5" t="inlineStr">
        <is>
          <t>AGENCIA MERLIOT</t>
        </is>
      </c>
      <c r="C110" s="4" t="inlineStr">
        <is>
          <t>936</t>
        </is>
      </c>
      <c r="D110" s="6" t="inlineStr">
        <is>
          <t>2026-10-07 15:11:51</t>
        </is>
      </c>
      <c r="E110" s="6" t="inlineStr">
        <is>
          <t>2026-10-07 15:17:20</t>
        </is>
      </c>
      <c r="F110" s="7">
        <f>(E110-D110)*1440</f>
        <v/>
      </c>
      <c r="G110" s="6" t="n">
        <v>100</v>
      </c>
      <c r="H110" s="6" t="inlineStr">
        <is>
          <t>anonymous</t>
        </is>
      </c>
    </row>
    <row r="111">
      <c r="A111" s="5" t="inlineStr">
        <is>
          <t>PATRICIA JEANNETTE FLORES MARTINEZ</t>
        </is>
      </c>
      <c r="B111" s="5" t="inlineStr">
        <is>
          <t>COLONIA MEDICA</t>
        </is>
      </c>
      <c r="C111" s="4" t="inlineStr">
        <is>
          <t>89</t>
        </is>
      </c>
      <c r="D111" s="6" t="inlineStr">
        <is>
          <t>2026-10-07 15:27:12</t>
        </is>
      </c>
      <c r="E111" s="6" t="inlineStr">
        <is>
          <t>2026-10-07 15:31:52</t>
        </is>
      </c>
      <c r="F111" s="7">
        <f>(E111-D111)*1440</f>
        <v/>
      </c>
      <c r="G111" s="6" t="n">
        <v>100</v>
      </c>
      <c r="H111" s="6" t="inlineStr">
        <is>
          <t>anonymous</t>
        </is>
      </c>
    </row>
    <row r="112">
      <c r="A112" s="5" t="inlineStr">
        <is>
          <t>ANA SILVIA ROQUE SANCHEZ</t>
        </is>
      </c>
      <c r="B112" s="5" t="inlineStr">
        <is>
          <t>AGENCIA CENTRAL</t>
        </is>
      </c>
      <c r="C112" s="4" t="inlineStr">
        <is>
          <t>542</t>
        </is>
      </c>
      <c r="D112" s="6" t="inlineStr">
        <is>
          <t>2026-10-07 15:19:01</t>
        </is>
      </c>
      <c r="E112" s="6" t="inlineStr">
        <is>
          <t>2026-10-07 16:10:34</t>
        </is>
      </c>
      <c r="F112" s="7">
        <f>(E112-D112)*1440</f>
        <v/>
      </c>
      <c r="G112" s="6" t="n">
        <v>95</v>
      </c>
      <c r="H112" s="6" t="inlineStr">
        <is>
          <t>anonymous</t>
        </is>
      </c>
    </row>
    <row r="113">
      <c r="A113" s="5" t="inlineStr">
        <is>
          <t>FATIMA BERENICE MEDINA DE ESCALANTE</t>
        </is>
      </c>
      <c r="B113" s="5" t="inlineStr">
        <is>
          <t>AGENCIA PLAZA MERLIOT</t>
        </is>
      </c>
      <c r="C113" s="4" t="inlineStr">
        <is>
          <t>343</t>
        </is>
      </c>
      <c r="D113" s="6" t="inlineStr">
        <is>
          <t>2026-10-07 16:48:18</t>
        </is>
      </c>
      <c r="E113" s="6" t="inlineStr">
        <is>
          <t>2026-10-07 16:51:44</t>
        </is>
      </c>
      <c r="F113" s="7">
        <f>(E113-D113)*1440</f>
        <v/>
      </c>
      <c r="G113" s="6" t="n">
        <v>100</v>
      </c>
      <c r="H113" s="6" t="inlineStr">
        <is>
          <t>anonymous</t>
        </is>
      </c>
    </row>
    <row r="114">
      <c r="A114" s="5" t="inlineStr">
        <is>
          <t xml:space="preserve">GLADYS LISETH HERNANDEZ CRUZ </t>
        </is>
      </c>
      <c r="B114" s="5" t="inlineStr">
        <is>
          <t>AGENCIA MERLIOT</t>
        </is>
      </c>
      <c r="C114" s="4" t="inlineStr">
        <is>
          <t>909</t>
        </is>
      </c>
      <c r="D114" s="6" t="inlineStr">
        <is>
          <t>2026-10-07 16:49:28</t>
        </is>
      </c>
      <c r="E114" s="6" t="inlineStr">
        <is>
          <t>2026-10-07 16:54:35</t>
        </is>
      </c>
      <c r="F114" s="7">
        <f>(E114-D114)*1440</f>
        <v/>
      </c>
      <c r="G114" s="6" t="n">
        <v>100</v>
      </c>
      <c r="H114" s="6" t="inlineStr">
        <is>
          <t>anonymous</t>
        </is>
      </c>
    </row>
    <row r="115">
      <c r="A115" s="5" t="inlineStr">
        <is>
          <t>DIANA VANESSA RODRIGUEZ SORIANO</t>
        </is>
      </c>
      <c r="B115" s="5" t="inlineStr">
        <is>
          <t>AGENCIA PLAZA MERLIOT</t>
        </is>
      </c>
      <c r="C115" s="4" t="inlineStr">
        <is>
          <t>892</t>
        </is>
      </c>
      <c r="D115" s="6" t="inlineStr">
        <is>
          <t>2026-10-08 09:20:01</t>
        </is>
      </c>
      <c r="E115" s="6" t="inlineStr">
        <is>
          <t>2026-10-08 09:21:48</t>
        </is>
      </c>
      <c r="F115" s="7">
        <f>(E115-D115)*1440</f>
        <v/>
      </c>
      <c r="G115" s="6" t="n">
        <v>100</v>
      </c>
      <c r="H115" s="6" t="inlineStr">
        <is>
          <t>anonymous</t>
        </is>
      </c>
    </row>
    <row r="116">
      <c r="A116" s="5" t="inlineStr">
        <is>
          <t>PATRICIA GUADALUPE GUARDADO OSEGUEDA</t>
        </is>
      </c>
      <c r="B116" s="5" t="inlineStr">
        <is>
          <t>AGENCIA PLAZA MERLIOT</t>
        </is>
      </c>
      <c r="C116" s="4" t="inlineStr">
        <is>
          <t>159</t>
        </is>
      </c>
      <c r="D116" s="6" t="inlineStr">
        <is>
          <t>2026-10-08 09:26:04</t>
        </is>
      </c>
      <c r="E116" s="6" t="inlineStr">
        <is>
          <t>2026-10-08 09:30:49</t>
        </is>
      </c>
      <c r="F116" s="7">
        <f>(E116-D116)*1440</f>
        <v/>
      </c>
      <c r="G116" s="6" t="n">
        <v>100</v>
      </c>
      <c r="H116" s="6" t="inlineStr">
        <is>
          <t>anonymous</t>
        </is>
      </c>
    </row>
    <row r="117">
      <c r="A117" s="5" t="inlineStr">
        <is>
          <t>Maria de los Angeles Osorio Gil</t>
        </is>
      </c>
      <c r="B117" s="5" t="inlineStr">
        <is>
          <t>Cajera, agencia central</t>
        </is>
      </c>
      <c r="C117" s="4" t="inlineStr">
        <is>
          <t>757</t>
        </is>
      </c>
      <c r="D117" s="6" t="inlineStr">
        <is>
          <t>2026-10-08 10:36:04</t>
        </is>
      </c>
      <c r="E117" s="6" t="inlineStr">
        <is>
          <t>2026-10-08 10:38:35</t>
        </is>
      </c>
      <c r="F117" s="7">
        <f>(E117-D117)*1440</f>
        <v/>
      </c>
      <c r="G117" s="6" t="n">
        <v>100</v>
      </c>
      <c r="H117" s="6" t="inlineStr">
        <is>
          <t>anonymous</t>
        </is>
      </c>
    </row>
    <row r="118">
      <c r="A118" s="5" t="inlineStr">
        <is>
          <t>HECTOR MAURICIO GONZALEZ VASQUEZ</t>
        </is>
      </c>
      <c r="B118" s="5" t="inlineStr">
        <is>
          <t>AGENCIA USULUTAN</t>
        </is>
      </c>
      <c r="C118" s="4" t="inlineStr">
        <is>
          <t>912</t>
        </is>
      </c>
      <c r="D118" s="6" t="inlineStr">
        <is>
          <t>2026-10-08 10:54:06</t>
        </is>
      </c>
      <c r="E118" s="6" t="inlineStr">
        <is>
          <t>2026-10-08 10:58:31</t>
        </is>
      </c>
      <c r="F118" s="7">
        <f>(E118-D118)*1440</f>
        <v/>
      </c>
      <c r="G118" s="6" t="n">
        <v>100</v>
      </c>
      <c r="H118" s="6" t="inlineStr">
        <is>
          <t>anonymous</t>
        </is>
      </c>
    </row>
    <row r="119">
      <c r="A119" s="5" t="inlineStr">
        <is>
          <t xml:space="preserve">NURIA LISSETH AGUILAR AGUILAR </t>
        </is>
      </c>
      <c r="B119" s="5" t="inlineStr">
        <is>
          <t xml:space="preserve">AGENCIA MERLIOT </t>
        </is>
      </c>
      <c r="C119" s="4" t="inlineStr">
        <is>
          <t>251</t>
        </is>
      </c>
      <c r="D119" s="6" t="inlineStr">
        <is>
          <t>2026-10-08 10:59:45</t>
        </is>
      </c>
      <c r="E119" s="6" t="inlineStr">
        <is>
          <t>2026-10-08 11:05:16</t>
        </is>
      </c>
      <c r="F119" s="7">
        <f>(E119-D119)*1440</f>
        <v/>
      </c>
      <c r="G119" s="6" t="n">
        <v>100</v>
      </c>
      <c r="H119" s="6" t="inlineStr">
        <is>
          <t>anonymous</t>
        </is>
      </c>
    </row>
    <row r="120">
      <c r="A120" s="5" t="inlineStr">
        <is>
          <t>Fátima Lissette Hernández de Mejía</t>
        </is>
      </c>
      <c r="B120" s="5" t="inlineStr">
        <is>
          <t>Agencia Usulutan</t>
        </is>
      </c>
      <c r="C120" s="4" t="inlineStr">
        <is>
          <t>961</t>
        </is>
      </c>
      <c r="D120" s="6" t="inlineStr">
        <is>
          <t>2026-10-08 12:49:46</t>
        </is>
      </c>
      <c r="E120" s="6" t="inlineStr">
        <is>
          <t>2026-10-08 13:03:50</t>
        </is>
      </c>
      <c r="F120" s="7">
        <f>(E120-D120)*1440</f>
        <v/>
      </c>
      <c r="G120" s="6" t="n">
        <v>100</v>
      </c>
      <c r="H120" s="6" t="inlineStr">
        <is>
          <t>anonymous</t>
        </is>
      </c>
    </row>
    <row r="121">
      <c r="A121" s="5" t="inlineStr">
        <is>
          <t>ERICK RODRIGO ORTIZ TURCIOS</t>
        </is>
      </c>
      <c r="B121" s="5" t="inlineStr">
        <is>
          <t>Contabilidad</t>
        </is>
      </c>
      <c r="C121" s="4" t="inlineStr">
        <is>
          <t>778</t>
        </is>
      </c>
      <c r="D121" s="6" t="inlineStr">
        <is>
          <t>2026-10-09 07:57:34</t>
        </is>
      </c>
      <c r="E121" s="6" t="inlineStr">
        <is>
          <t>2026-10-09 08:00:45</t>
        </is>
      </c>
      <c r="F121" s="7">
        <f>(E121-D121)*1440</f>
        <v/>
      </c>
      <c r="G121" s="6" t="n">
        <v>100</v>
      </c>
      <c r="H121" s="6" t="inlineStr">
        <is>
          <t>anonymous</t>
        </is>
      </c>
    </row>
    <row r="122">
      <c r="A122" s="5" t="inlineStr">
        <is>
          <t>DANIEL ENRIQUE FLORES RAMIREZ</t>
        </is>
      </c>
      <c r="B122" s="5" t="inlineStr">
        <is>
          <t>Departamento de contabilidad.</t>
        </is>
      </c>
      <c r="C122" s="4" t="inlineStr">
        <is>
          <t>676</t>
        </is>
      </c>
      <c r="D122" s="6" t="inlineStr">
        <is>
          <t>2026-10-09 08:36:12</t>
        </is>
      </c>
      <c r="E122" s="6" t="inlineStr">
        <is>
          <t>2026-10-09 08:39:36</t>
        </is>
      </c>
      <c r="F122" s="7">
        <f>(E122-D122)*1440</f>
        <v/>
      </c>
      <c r="G122" s="6" t="n">
        <v>100</v>
      </c>
      <c r="H122" s="6" t="inlineStr">
        <is>
          <t>anonymous</t>
        </is>
      </c>
    </row>
    <row r="123">
      <c r="A123" s="5" t="inlineStr">
        <is>
          <t>Carlos Roberto Aguilar Santos</t>
        </is>
      </c>
      <c r="B123" s="5" t="inlineStr">
        <is>
          <t>Soluciones Financieras</t>
        </is>
      </c>
      <c r="C123" s="4" t="inlineStr">
        <is>
          <t>472</t>
        </is>
      </c>
      <c r="D123" s="6" t="inlineStr">
        <is>
          <t>2026-10-09 08:57:28</t>
        </is>
      </c>
      <c r="E123" s="6" t="inlineStr">
        <is>
          <t>2026-10-09 09:00:30</t>
        </is>
      </c>
      <c r="F123" s="7">
        <f>(E123-D123)*1440</f>
        <v/>
      </c>
      <c r="G123" s="6" t="n">
        <v>100</v>
      </c>
      <c r="H123" s="6" t="inlineStr">
        <is>
          <t>anonymous</t>
        </is>
      </c>
    </row>
    <row r="124">
      <c r="A124" s="5" t="inlineStr">
        <is>
          <t>EDGARDO ISAIAS PEÑATE RIVAS</t>
        </is>
      </c>
      <c r="B124" s="5" t="inlineStr">
        <is>
          <t>GERENCIA DE NEGOCIOS</t>
        </is>
      </c>
      <c r="C124" s="4" t="inlineStr">
        <is>
          <t>712</t>
        </is>
      </c>
      <c r="D124" s="6" t="inlineStr">
        <is>
          <t>2026-10-09 08:57:15</t>
        </is>
      </c>
      <c r="E124" s="6" t="inlineStr">
        <is>
          <t>2026-10-09 09:02:10</t>
        </is>
      </c>
      <c r="F124" s="7">
        <f>(E124-D124)*1440</f>
        <v/>
      </c>
      <c r="G124" s="6" t="n">
        <v>100</v>
      </c>
      <c r="H124" s="6" t="inlineStr">
        <is>
          <t>anonymous</t>
        </is>
      </c>
    </row>
    <row r="125">
      <c r="A125" s="5" t="inlineStr">
        <is>
          <t>Victor Adonay Pérez Castillo</t>
        </is>
      </c>
      <c r="B125" s="5" t="inlineStr">
        <is>
          <t>GERENCIA DE NEGOCIOS</t>
        </is>
      </c>
      <c r="C125" s="4" t="inlineStr">
        <is>
          <t>633</t>
        </is>
      </c>
      <c r="D125" s="6" t="inlineStr">
        <is>
          <t>2026-10-09 09:00:26</t>
        </is>
      </c>
      <c r="E125" s="6" t="inlineStr">
        <is>
          <t>2026-10-09 09:04:47</t>
        </is>
      </c>
      <c r="F125" s="7">
        <f>(E125-D125)*1440</f>
        <v/>
      </c>
      <c r="G125" s="6" t="n">
        <v>100</v>
      </c>
      <c r="H125" s="6" t="inlineStr">
        <is>
          <t>anonymous</t>
        </is>
      </c>
    </row>
    <row r="126">
      <c r="A126" s="5" t="inlineStr">
        <is>
          <t>Byron Wilfredo Menjívar Melendez</t>
        </is>
      </c>
      <c r="B126" s="5" t="inlineStr">
        <is>
          <t>Análisis y programación</t>
        </is>
      </c>
      <c r="C126" s="4" t="inlineStr">
        <is>
          <t>806</t>
        </is>
      </c>
      <c r="D126" s="6" t="inlineStr">
        <is>
          <t>2026-10-09 08:51:53</t>
        </is>
      </c>
      <c r="E126" s="6" t="inlineStr">
        <is>
          <t>2026-10-09 09:13:51</t>
        </is>
      </c>
      <c r="F126" s="7">
        <f>(E126-D126)*1440</f>
        <v/>
      </c>
      <c r="G126" s="6" t="n">
        <v>100</v>
      </c>
      <c r="H126" s="6" t="inlineStr">
        <is>
          <t>anonymous</t>
        </is>
      </c>
    </row>
    <row r="127">
      <c r="A127" s="5" t="inlineStr">
        <is>
          <t>ILIANA DESIREE ALFARO</t>
        </is>
      </c>
      <c r="B127" s="5" t="inlineStr">
        <is>
          <t>DPTO SOLUCIONES</t>
        </is>
      </c>
      <c r="C127" s="4" t="inlineStr">
        <is>
          <t>439</t>
        </is>
      </c>
      <c r="D127" s="6" t="inlineStr">
        <is>
          <t>2026-10-09 09:07:43</t>
        </is>
      </c>
      <c r="E127" s="6" t="inlineStr">
        <is>
          <t>2026-10-09 09:15:05</t>
        </is>
      </c>
      <c r="F127" s="7">
        <f>(E127-D127)*1440</f>
        <v/>
      </c>
      <c r="G127" s="6" t="n">
        <v>80</v>
      </c>
      <c r="H127" s="6" t="inlineStr">
        <is>
          <t>anonymous</t>
        </is>
      </c>
    </row>
    <row r="128">
      <c r="A128" s="5" t="inlineStr">
        <is>
          <t>Rodrigo Fernando Figueroa Rivas</t>
        </is>
      </c>
      <c r="B128" s="5" t="inlineStr">
        <is>
          <t>Analisis y programacion</t>
        </is>
      </c>
      <c r="C128" s="4" t="inlineStr">
        <is>
          <t>824</t>
        </is>
      </c>
      <c r="D128" s="6" t="inlineStr">
        <is>
          <t>2026-10-09 08:57:31</t>
        </is>
      </c>
      <c r="E128" s="6" t="inlineStr">
        <is>
          <t>2026-10-09 09:18:30</t>
        </is>
      </c>
      <c r="F128" s="7">
        <f>(E128-D128)*1440</f>
        <v/>
      </c>
      <c r="G128" s="6" t="n">
        <v>100</v>
      </c>
      <c r="H128" s="6" t="inlineStr">
        <is>
          <t>anonymous</t>
        </is>
      </c>
    </row>
    <row r="129">
      <c r="A129" s="5" t="inlineStr">
        <is>
          <t>Milagro Natividad Escobar Melendez</t>
        </is>
      </c>
      <c r="B129" s="5" t="inlineStr">
        <is>
          <t xml:space="preserve">Análisis y Programación </t>
        </is>
      </c>
      <c r="C129" s="4" t="inlineStr">
        <is>
          <t>879</t>
        </is>
      </c>
      <c r="D129" s="6" t="inlineStr">
        <is>
          <t>2026-10-09 09:24:05</t>
        </is>
      </c>
      <c r="E129" s="6" t="inlineStr">
        <is>
          <t>2026-10-09 09:28:34</t>
        </is>
      </c>
      <c r="F129" s="7">
        <f>(E129-D129)*1440</f>
        <v/>
      </c>
      <c r="G129" s="6" t="n">
        <v>100</v>
      </c>
      <c r="H129" s="6" t="inlineStr">
        <is>
          <t>anonymous</t>
        </is>
      </c>
    </row>
    <row r="130">
      <c r="A130" s="5" t="inlineStr">
        <is>
          <t xml:space="preserve">ALMA BEATRIZ RAMIREZ SANDOVAL </t>
        </is>
      </c>
      <c r="B130" s="5" t="inlineStr">
        <is>
          <t xml:space="preserve">CONTABILIDAD </t>
        </is>
      </c>
      <c r="C130" s="4" t="inlineStr">
        <is>
          <t>850</t>
        </is>
      </c>
      <c r="D130" s="6" t="inlineStr">
        <is>
          <t>2026-10-09 09:17:04</t>
        </is>
      </c>
      <c r="E130" s="6" t="inlineStr">
        <is>
          <t>2026-10-09 09:36:23</t>
        </is>
      </c>
      <c r="F130" s="7">
        <f>(E130-D130)*1440</f>
        <v/>
      </c>
      <c r="G130" s="6" t="n">
        <v>90</v>
      </c>
      <c r="H130" s="6" t="inlineStr">
        <is>
          <t>anonymous</t>
        </is>
      </c>
    </row>
    <row r="131">
      <c r="A131" s="5" t="inlineStr">
        <is>
          <t>Jonathan Alexis Berrios Menjivar</t>
        </is>
      </c>
      <c r="B131" s="5" t="inlineStr">
        <is>
          <t>Analisis y Programacion</t>
        </is>
      </c>
      <c r="C131" s="4" t="inlineStr">
        <is>
          <t>783</t>
        </is>
      </c>
      <c r="D131" s="6" t="inlineStr">
        <is>
          <t>2026-10-09 09:30:00</t>
        </is>
      </c>
      <c r="E131" s="6" t="inlineStr">
        <is>
          <t>2026-10-09 09:36:24</t>
        </is>
      </c>
      <c r="F131" s="7">
        <f>(E131-D131)*1440</f>
        <v/>
      </c>
      <c r="G131" s="6" t="n">
        <v>100</v>
      </c>
      <c r="H131" s="6" t="inlineStr">
        <is>
          <t>anonymous</t>
        </is>
      </c>
    </row>
    <row r="132">
      <c r="A132" s="5" t="inlineStr">
        <is>
          <t>Patricia Guadalupe Segovia Ramirez</t>
        </is>
      </c>
      <c r="B132" s="5" t="inlineStr">
        <is>
          <t>Auditoria Interna</t>
        </is>
      </c>
      <c r="C132" s="4" t="inlineStr">
        <is>
          <t>742</t>
        </is>
      </c>
      <c r="D132" s="6" t="inlineStr">
        <is>
          <t>2026-10-09 09:35:23</t>
        </is>
      </c>
      <c r="E132" s="6" t="inlineStr">
        <is>
          <t>2026-10-09 09:40:36</t>
        </is>
      </c>
      <c r="F132" s="7">
        <f>(E132-D132)*1440</f>
        <v/>
      </c>
      <c r="G132" s="6" t="n">
        <v>90</v>
      </c>
      <c r="H132" s="6" t="inlineStr">
        <is>
          <t>anonymous</t>
        </is>
      </c>
    </row>
    <row r="133">
      <c r="A133" s="5" t="inlineStr">
        <is>
          <t>Mayra Lissette López de Sánchez</t>
        </is>
      </c>
      <c r="B133" s="5" t="inlineStr">
        <is>
          <t>Auditoría interna</t>
        </is>
      </c>
      <c r="C133" s="4" t="inlineStr">
        <is>
          <t>424</t>
        </is>
      </c>
      <c r="D133" s="6" t="inlineStr">
        <is>
          <t>2026-10-09 09:38:26</t>
        </is>
      </c>
      <c r="E133" s="6" t="inlineStr">
        <is>
          <t>2026-10-09 09:42:14</t>
        </is>
      </c>
      <c r="F133" s="7">
        <f>(E133-D133)*1440</f>
        <v/>
      </c>
      <c r="G133" s="6" t="n">
        <v>90</v>
      </c>
      <c r="H133" s="6" t="inlineStr">
        <is>
          <t>anonymous</t>
        </is>
      </c>
    </row>
    <row r="134">
      <c r="A134" s="5" t="inlineStr">
        <is>
          <t>Nelson Kilder Quijada Echeverria</t>
        </is>
      </c>
      <c r="B134" s="5" t="inlineStr">
        <is>
          <t>Talento Humano</t>
        </is>
      </c>
      <c r="C134" s="4" t="inlineStr">
        <is>
          <t>948</t>
        </is>
      </c>
      <c r="D134" s="6" t="inlineStr">
        <is>
          <t>2026-10-09 09:38:59</t>
        </is>
      </c>
      <c r="E134" s="6" t="inlineStr">
        <is>
          <t>2026-10-09 09:44:39</t>
        </is>
      </c>
      <c r="F134" s="7">
        <f>(E134-D134)*1440</f>
        <v/>
      </c>
      <c r="G134" s="6" t="n">
        <v>100</v>
      </c>
      <c r="H134" s="6" t="inlineStr">
        <is>
          <t>anonymous</t>
        </is>
      </c>
    </row>
    <row r="135">
      <c r="A135" s="5" t="inlineStr">
        <is>
          <t>Fermin Abiel Viera Linares</t>
        </is>
      </c>
      <c r="B135" s="5" t="inlineStr">
        <is>
          <t>Sistemas</t>
        </is>
      </c>
      <c r="C135" s="4" t="inlineStr">
        <is>
          <t>804</t>
        </is>
      </c>
      <c r="D135" s="6" t="inlineStr">
        <is>
          <t>2026-10-09 09:41:01</t>
        </is>
      </c>
      <c r="E135" s="6" t="inlineStr">
        <is>
          <t>2026-10-09 09:47:23</t>
        </is>
      </c>
      <c r="F135" s="7">
        <f>(E135-D135)*1440</f>
        <v/>
      </c>
      <c r="G135" s="6" t="n">
        <v>100</v>
      </c>
      <c r="H135" s="6" t="inlineStr">
        <is>
          <t>anonymous</t>
        </is>
      </c>
    </row>
    <row r="136">
      <c r="A136" s="5" t="inlineStr">
        <is>
          <t>Rosalba Rodríguez Jiménez</t>
        </is>
      </c>
      <c r="B136" s="5" t="inlineStr">
        <is>
          <t>Creditos</t>
        </is>
      </c>
      <c r="C136" s="4" t="inlineStr">
        <is>
          <t>470</t>
        </is>
      </c>
      <c r="D136" s="6" t="inlineStr">
        <is>
          <t>2026-10-09 09:44:18</t>
        </is>
      </c>
      <c r="E136" s="6" t="inlineStr">
        <is>
          <t>2026-10-09 09:49:25</t>
        </is>
      </c>
      <c r="F136" s="7">
        <f>(E136-D136)*1440</f>
        <v/>
      </c>
      <c r="G136" s="6" t="n">
        <v>100</v>
      </c>
      <c r="H136" s="6" t="inlineStr">
        <is>
          <t>anonymous</t>
        </is>
      </c>
    </row>
    <row r="137">
      <c r="A137" s="5" t="inlineStr">
        <is>
          <t>Melvin Enrique Portillo Valle</t>
        </is>
      </c>
      <c r="B137" s="5" t="inlineStr">
        <is>
          <t>Administración de Riesgos</t>
        </is>
      </c>
      <c r="C137" s="4" t="inlineStr">
        <is>
          <t>290</t>
        </is>
      </c>
      <c r="D137" s="6" t="inlineStr">
        <is>
          <t>2026-10-09 09:45:54</t>
        </is>
      </c>
      <c r="E137" s="6" t="inlineStr">
        <is>
          <t>2026-10-09 09:49:52</t>
        </is>
      </c>
      <c r="F137" s="7">
        <f>(E137-D137)*1440</f>
        <v/>
      </c>
      <c r="G137" s="6" t="n">
        <v>100</v>
      </c>
      <c r="H137" s="6" t="inlineStr">
        <is>
          <t>anonymous</t>
        </is>
      </c>
    </row>
    <row r="138">
      <c r="A138" s="5" t="inlineStr">
        <is>
          <t xml:space="preserve">Claudia Verónica Lara de Rodas  </t>
        </is>
      </c>
      <c r="B138" s="5" t="inlineStr">
        <is>
          <t xml:space="preserve">tarjeta comercial </t>
        </is>
      </c>
      <c r="C138" s="4" t="inlineStr">
        <is>
          <t>422</t>
        </is>
      </c>
      <c r="D138" s="6" t="inlineStr">
        <is>
          <t>2026-10-09 09:44:27</t>
        </is>
      </c>
      <c r="E138" s="6" t="inlineStr">
        <is>
          <t>2026-10-09 09:56:07</t>
        </is>
      </c>
      <c r="F138" s="7">
        <f>(E138-D138)*1440</f>
        <v/>
      </c>
      <c r="G138" s="6" t="n">
        <v>100</v>
      </c>
      <c r="H138" s="6" t="inlineStr">
        <is>
          <t>anonymous</t>
        </is>
      </c>
    </row>
    <row r="139">
      <c r="A139" s="5" t="inlineStr">
        <is>
          <t>Carlos Alberto Velásquez Alvarado</t>
        </is>
      </c>
      <c r="B139" s="5" t="inlineStr">
        <is>
          <t>Cutodia de Garantías y Valores</t>
        </is>
      </c>
      <c r="C139" s="4" t="inlineStr">
        <is>
          <t>678</t>
        </is>
      </c>
      <c r="D139" s="6" t="inlineStr">
        <is>
          <t>2026-10-09 09:59:06</t>
        </is>
      </c>
      <c r="E139" s="6" t="inlineStr">
        <is>
          <t>2026-10-09 10:08:49</t>
        </is>
      </c>
      <c r="F139" s="7">
        <f>(E139-D139)*1440</f>
        <v/>
      </c>
      <c r="G139" s="6" t="n">
        <v>100</v>
      </c>
      <c r="H139" s="6" t="inlineStr">
        <is>
          <t>anonymous</t>
        </is>
      </c>
    </row>
    <row r="140">
      <c r="A140" s="5" t="inlineStr">
        <is>
          <t>SOFIA SOLEDAD CASTRO VALLE</t>
        </is>
      </c>
      <c r="B140" s="5" t="inlineStr">
        <is>
          <t>CREDITOS AGENCIA CENTRAL</t>
        </is>
      </c>
      <c r="C140" s="4" t="inlineStr">
        <is>
          <t>781</t>
        </is>
      </c>
      <c r="D140" s="6" t="inlineStr">
        <is>
          <t>2026-10-09 10:18:14</t>
        </is>
      </c>
      <c r="E140" s="6" t="inlineStr">
        <is>
          <t>2026-10-09 10:40:14</t>
        </is>
      </c>
      <c r="F140" s="7">
        <f>(E140-D140)*1440</f>
        <v/>
      </c>
      <c r="G140" s="6" t="n">
        <v>90</v>
      </c>
      <c r="H140" s="6" t="inlineStr">
        <is>
          <t>anonymous</t>
        </is>
      </c>
    </row>
    <row r="141">
      <c r="A141" s="5" t="inlineStr">
        <is>
          <t>PAMELA GIOVANNA AGUILAR SERBELLON</t>
        </is>
      </c>
      <c r="B141" s="5" t="inlineStr">
        <is>
          <t>ADMINISTRACION DE CARTERAS</t>
        </is>
      </c>
      <c r="C141" s="4" t="inlineStr">
        <is>
          <t>572</t>
        </is>
      </c>
      <c r="D141" s="6" t="inlineStr">
        <is>
          <t>2026-10-09 11:51:31</t>
        </is>
      </c>
      <c r="E141" s="6" t="inlineStr">
        <is>
          <t>2026-10-09 12:17:18</t>
        </is>
      </c>
      <c r="F141" s="7">
        <f>(E141-D141)*1440</f>
        <v/>
      </c>
      <c r="G141" s="6" t="n">
        <v>100</v>
      </c>
      <c r="H141" s="6" t="inlineStr">
        <is>
          <t>anonymous</t>
        </is>
      </c>
    </row>
    <row r="142">
      <c r="A142" s="5" t="inlineStr">
        <is>
          <t xml:space="preserve">Geovanny Gabriel Rodriguez Solórzano </t>
        </is>
      </c>
      <c r="B142" s="5" t="inlineStr">
        <is>
          <t xml:space="preserve">Servicios generales </t>
        </is>
      </c>
      <c r="C142" s="4" t="inlineStr">
        <is>
          <t>972</t>
        </is>
      </c>
      <c r="D142" s="6" t="inlineStr">
        <is>
          <t>2026-10-09 12:25:27</t>
        </is>
      </c>
      <c r="E142" s="6" t="inlineStr">
        <is>
          <t>2026-10-09 12:29:56</t>
        </is>
      </c>
      <c r="F142" s="7">
        <f>(E142-D142)*1440</f>
        <v/>
      </c>
      <c r="G142" s="6" t="n">
        <v>90</v>
      </c>
      <c r="H142" s="6" t="inlineStr">
        <is>
          <t>anonymous</t>
        </is>
      </c>
    </row>
    <row r="143">
      <c r="A143" s="5" t="inlineStr">
        <is>
          <t xml:space="preserve">Helen Gloribel Platero Sánchez </t>
        </is>
      </c>
      <c r="B143" s="5" t="inlineStr">
        <is>
          <t xml:space="preserve">Talento Humano </t>
        </is>
      </c>
      <c r="C143" s="4" t="inlineStr">
        <is>
          <t>962</t>
        </is>
      </c>
      <c r="D143" s="6" t="inlineStr">
        <is>
          <t>2026-10-09 12:15:04</t>
        </is>
      </c>
      <c r="E143" s="6" t="inlineStr">
        <is>
          <t>2026-10-09 12:30:51</t>
        </is>
      </c>
      <c r="F143" s="7">
        <f>(E143-D143)*1440</f>
        <v/>
      </c>
      <c r="G143" s="6" t="n">
        <v>90</v>
      </c>
      <c r="H143" s="6" t="inlineStr">
        <is>
          <t>anonymous</t>
        </is>
      </c>
    </row>
    <row r="144">
      <c r="A144" s="5" t="inlineStr">
        <is>
          <t xml:space="preserve">Loyda Aracely Ramos Cañenguez </t>
        </is>
      </c>
      <c r="B144" s="5" t="inlineStr">
        <is>
          <t xml:space="preserve">Departamento de Administracion de carteras </t>
        </is>
      </c>
      <c r="C144" s="4" t="inlineStr">
        <is>
          <t>931</t>
        </is>
      </c>
      <c r="D144" s="6" t="inlineStr">
        <is>
          <t>2026-10-09 13:32:17</t>
        </is>
      </c>
      <c r="E144" s="6" t="inlineStr">
        <is>
          <t>2026-10-09 13:36:43</t>
        </is>
      </c>
      <c r="F144" s="7">
        <f>(E144-D144)*1440</f>
        <v/>
      </c>
      <c r="G144" s="6" t="n">
        <v>100</v>
      </c>
      <c r="H144" s="6" t="inlineStr">
        <is>
          <t>anonymous</t>
        </is>
      </c>
    </row>
    <row r="145">
      <c r="A145" s="5" t="inlineStr">
        <is>
          <t>Luis Alexander Ramirez Montalvo</t>
        </is>
      </c>
      <c r="B145" s="5" t="inlineStr">
        <is>
          <t>Departamento de operaciones de tarjeta de credito y debito</t>
        </is>
      </c>
      <c r="C145" s="4" t="inlineStr">
        <is>
          <t>459</t>
        </is>
      </c>
      <c r="D145" s="6" t="inlineStr">
        <is>
          <t>2026-10-09 13:47:01</t>
        </is>
      </c>
      <c r="E145" s="6" t="inlineStr">
        <is>
          <t>2026-10-09 13:54:20</t>
        </is>
      </c>
      <c r="F145" s="7">
        <f>(E145-D145)*1440</f>
        <v/>
      </c>
      <c r="G145" s="6" t="n">
        <v>95</v>
      </c>
      <c r="H145" s="6" t="inlineStr">
        <is>
          <t>anonymous</t>
        </is>
      </c>
    </row>
    <row r="146">
      <c r="A146" s="5" t="inlineStr">
        <is>
          <t>José Francisco Zeceña Muñoz</t>
        </is>
      </c>
      <c r="B146" s="5" t="inlineStr">
        <is>
          <t>Custodia de Garantías y Valores</t>
        </is>
      </c>
      <c r="C146" s="4" t="inlineStr">
        <is>
          <t>934</t>
        </is>
      </c>
      <c r="D146" s="6" t="inlineStr">
        <is>
          <t>2026-10-09 15:56:00</t>
        </is>
      </c>
      <c r="E146" s="6" t="inlineStr">
        <is>
          <t>2026-10-09 16:14:05</t>
        </is>
      </c>
      <c r="F146" s="7">
        <f>(E146-D146)*1440</f>
        <v/>
      </c>
      <c r="G146" s="6" t="n">
        <v>100</v>
      </c>
      <c r="H146" s="6" t="inlineStr">
        <is>
          <t>anonymous</t>
        </is>
      </c>
    </row>
    <row r="147">
      <c r="A147" s="5" t="inlineStr">
        <is>
          <t>Gabriela Alejandra Rodriguez Arias</t>
        </is>
      </c>
      <c r="B147" s="5" t="inlineStr">
        <is>
          <t>depto tarjeta comercial</t>
        </is>
      </c>
      <c r="C147" s="4" t="inlineStr">
        <is>
          <t>654</t>
        </is>
      </c>
      <c r="D147" s="6" t="inlineStr">
        <is>
          <t>2026-10-09 16:12:39</t>
        </is>
      </c>
      <c r="E147" s="6" t="inlineStr">
        <is>
          <t>2026-10-09 16:17:03</t>
        </is>
      </c>
      <c r="F147" s="7">
        <f>(E147-D147)*1440</f>
        <v/>
      </c>
      <c r="G147" s="6" t="n">
        <v>80</v>
      </c>
      <c r="H147" s="6" t="inlineStr">
        <is>
          <t>anonymous</t>
        </is>
      </c>
    </row>
    <row r="148">
      <c r="A148" s="5" t="inlineStr">
        <is>
          <t>Alejandro José Argueta Cortez</t>
        </is>
      </c>
      <c r="B148" s="5" t="inlineStr">
        <is>
          <t>Custodia de valores</t>
        </is>
      </c>
      <c r="C148" s="4" t="inlineStr">
        <is>
          <t>949</t>
        </is>
      </c>
      <c r="D148" s="6" t="inlineStr">
        <is>
          <t>2026-10-09 16:20:59</t>
        </is>
      </c>
      <c r="E148" s="6" t="inlineStr">
        <is>
          <t>2026-10-09 16:23:06</t>
        </is>
      </c>
      <c r="F148" s="7">
        <f>(E148-D148)*1440</f>
        <v/>
      </c>
      <c r="G148" s="6" t="n">
        <v>100</v>
      </c>
      <c r="H148" s="6" t="inlineStr">
        <is>
          <t>anonymous</t>
        </is>
      </c>
    </row>
    <row r="149">
      <c r="A149" s="5" t="inlineStr">
        <is>
          <t>Rafael Ernesto Lopez Martinez</t>
        </is>
      </c>
      <c r="B149" s="5" t="inlineStr">
        <is>
          <t>Custodia de valores</t>
        </is>
      </c>
      <c r="C149" s="4" t="inlineStr">
        <is>
          <t>740</t>
        </is>
      </c>
      <c r="D149" s="6" t="inlineStr">
        <is>
          <t>2026-10-09 16:24:37</t>
        </is>
      </c>
      <c r="E149" s="6" t="inlineStr">
        <is>
          <t>2026-10-09 16:27:46</t>
        </is>
      </c>
      <c r="F149" s="7">
        <f>(E149-D149)*1440</f>
        <v/>
      </c>
      <c r="G149" s="6" t="n">
        <v>100</v>
      </c>
      <c r="H149" s="6" t="inlineStr">
        <is>
          <t>anonymous</t>
        </is>
      </c>
    </row>
    <row r="150">
      <c r="A150" s="5" t="inlineStr">
        <is>
          <t>Walter Oswaldo Sánchez Rivas</t>
        </is>
      </c>
      <c r="B150" s="5" t="inlineStr">
        <is>
          <t>Depósitos</t>
        </is>
      </c>
      <c r="C150" s="4" t="inlineStr">
        <is>
          <t>787</t>
        </is>
      </c>
      <c r="D150" s="6" t="inlineStr">
        <is>
          <t>2026-10-09 16:34:28</t>
        </is>
      </c>
      <c r="E150" s="6" t="inlineStr">
        <is>
          <t>2026-10-09 16:37:49</t>
        </is>
      </c>
      <c r="F150" s="7">
        <f>(E150-D150)*1440</f>
        <v/>
      </c>
      <c r="G150" s="6" t="n">
        <v>100</v>
      </c>
      <c r="H150" s="6" t="inlineStr">
        <is>
          <t>anonymous</t>
        </is>
      </c>
    </row>
    <row r="151">
      <c r="A151" s="5" t="inlineStr">
        <is>
          <t>Andrea Victoria Mayorga Rodríguez</t>
        </is>
      </c>
      <c r="B151" s="5" t="inlineStr">
        <is>
          <t>Gerencia Legal y de Cumplimiento Normativo</t>
        </is>
      </c>
      <c r="C151" s="4" t="inlineStr">
        <is>
          <t>570</t>
        </is>
      </c>
      <c r="D151" s="6" t="inlineStr">
        <is>
          <t>2026-10-09 16:37:33</t>
        </is>
      </c>
      <c r="E151" s="6" t="inlineStr">
        <is>
          <t>2026-10-09 16:40:07</t>
        </is>
      </c>
      <c r="F151" s="7">
        <f>(E151-D151)*1440</f>
        <v/>
      </c>
      <c r="G151" s="6" t="n">
        <v>100</v>
      </c>
      <c r="H151" s="6" t="inlineStr">
        <is>
          <t>anonymous</t>
        </is>
      </c>
    </row>
    <row r="152">
      <c r="A152" s="5" t="inlineStr">
        <is>
          <t>Alejandra María González Benavides</t>
        </is>
      </c>
      <c r="B152" s="5" t="inlineStr">
        <is>
          <t>Departamento Legal</t>
        </is>
      </c>
      <c r="C152" s="4" t="inlineStr">
        <is>
          <t>893</t>
        </is>
      </c>
      <c r="D152" s="6" t="inlineStr">
        <is>
          <t>2026-10-09 16:42:12</t>
        </is>
      </c>
      <c r="E152" s="6" t="inlineStr">
        <is>
          <t>2026-10-09 16:53:18</t>
        </is>
      </c>
      <c r="F152" s="7">
        <f>(E152-D152)*1440</f>
        <v/>
      </c>
      <c r="G152" s="6" t="n">
        <v>100</v>
      </c>
      <c r="H152" s="6" t="inlineStr">
        <is>
          <t>anonymous</t>
        </is>
      </c>
    </row>
    <row r="153">
      <c r="A153" s="5" t="inlineStr">
        <is>
          <t>JESICA XIOMARA RAMOS PEÑA</t>
        </is>
      </c>
      <c r="B153" s="5" t="inlineStr">
        <is>
          <t>CUSTODIA DE VALORES</t>
        </is>
      </c>
      <c r="C153" s="4" t="inlineStr">
        <is>
          <t>539</t>
        </is>
      </c>
      <c r="D153" s="6" t="inlineStr">
        <is>
          <t>2026-10-09 16:49:45</t>
        </is>
      </c>
      <c r="E153" s="6" t="inlineStr">
        <is>
          <t>2026-10-09 16:53:28</t>
        </is>
      </c>
      <c r="F153" s="7">
        <f>(E153-D153)*1440</f>
        <v/>
      </c>
      <c r="G153" s="6" t="n">
        <v>100</v>
      </c>
      <c r="H153" s="6" t="inlineStr">
        <is>
          <t>anonymous</t>
        </is>
      </c>
    </row>
    <row r="154">
      <c r="A154" s="5" t="inlineStr">
        <is>
          <t>Lidia Patricia Morales Avalos</t>
        </is>
      </c>
      <c r="B154" s="5" t="inlineStr">
        <is>
          <t>Comercial de Tarjjeta de Crédito y Débito</t>
        </is>
      </c>
      <c r="C154" s="4" t="inlineStr">
        <is>
          <t>533</t>
        </is>
      </c>
      <c r="D154" s="6" t="inlineStr">
        <is>
          <t>2026-10-09 18:34:57</t>
        </is>
      </c>
      <c r="E154" s="6" t="inlineStr">
        <is>
          <t>2026-10-09 18:44:37</t>
        </is>
      </c>
      <c r="F154" s="7">
        <f>(E154-D154)*1440</f>
        <v/>
      </c>
      <c r="G154" s="6" t="n">
        <v>90</v>
      </c>
      <c r="H154" s="6" t="inlineStr">
        <is>
          <t>anonymous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5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24" customWidth="1" min="3" max="3"/>
    <col width="24" customWidth="1" min="4" max="4"/>
    <col width="24" customWidth="1" min="5" max="5"/>
    <col width="117" customWidth="1" min="6" max="6"/>
    <col width="89" customWidth="1" min="7" max="7"/>
    <col width="89" customWidth="1" min="8" max="8"/>
    <col width="89" customWidth="1" min="9" max="9"/>
    <col width="89" customWidth="1" min="10" max="10"/>
    <col width="98" customWidth="1" min="11" max="11"/>
  </cols>
  <sheetData>
    <row r="1">
      <c r="A1" s="1" t="inlineStr">
        <is>
          <t>DETALLE INDIVIDUAL DE PARTICIPANTES</t>
        </is>
      </c>
    </row>
    <row r="2">
      <c r="A2" s="2" t="inlineStr">
        <is>
          <t>Cruce oficial por Código de Empleado frente a la Base Oficial y Base Exámenes.</t>
        </is>
      </c>
    </row>
    <row r="4">
      <c r="A4" s="3" t="inlineStr">
        <is>
          <t>Código de empleado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Gerencia Asignada</t>
        </is>
      </c>
      <c r="E4" s="3" t="inlineStr">
        <is>
          <t>Cargo</t>
        </is>
      </c>
      <c r="F4" s="3" t="inlineStr">
        <is>
          <t>Estado Examen</t>
        </is>
      </c>
      <c r="G4" s="3" t="inlineStr">
        <is>
          <t>Hora de inicio</t>
        </is>
      </c>
      <c r="H4" s="3" t="inlineStr">
        <is>
          <t>Hora de finalización</t>
        </is>
      </c>
      <c r="I4" s="3" t="inlineStr">
        <is>
          <t>Duración (min)</t>
        </is>
      </c>
      <c r="J4" s="3" t="inlineStr">
        <is>
          <t>Nota</t>
        </is>
      </c>
      <c r="K4" s="3" t="inlineStr">
        <is>
          <t>Correo</t>
        </is>
      </c>
    </row>
    <row r="5">
      <c r="A5" s="4">
        <f>'Base Oficial'!A5</f>
        <v/>
      </c>
      <c r="B5" s="6">
        <f>'Base Oficial'!B5</f>
        <v/>
      </c>
      <c r="C5" s="6">
        <f>'Base Oficial'!F5</f>
        <v/>
      </c>
      <c r="D5" s="6">
        <f>'Base Oficial'!G5</f>
        <v/>
      </c>
      <c r="E5" s="6">
        <f>'Base Oficial'!D5</f>
        <v/>
      </c>
      <c r="F5" s="4">
        <f>IF(ISNUMBER(XLOOKUP(A5, 'Base Exámenes'!$C$5:$C$154, 'Base Exámenes'!$E$5:$E$154)), "Completado", "Pendiente")</f>
        <v/>
      </c>
      <c r="G5" s="6">
        <f>IFERROR(XLOOKUP(A5, 'Base Exámenes'!$C$5:$C$154, 'Base Exámenes'!$D$5:$D$154), "")</f>
        <v/>
      </c>
      <c r="H5" s="6">
        <f>IFERROR(XLOOKUP(A5, 'Base Exámenes'!$C$5:$C$154, 'Base Exámenes'!$E$5:$E$154), "")</f>
        <v/>
      </c>
      <c r="I5" s="7">
        <f>IFERROR(XLOOKUP(A5, 'Base Exámenes'!$C$5:$C$154, 'Base Exámenes'!$F$5:$F$154), "")</f>
        <v/>
      </c>
      <c r="J5" s="6">
        <f>IFERROR(XLOOKUP(A5, 'Base Exámenes'!$C$5:$C$154, 'Base Exámenes'!$G$5:$G$154), "")</f>
        <v/>
      </c>
      <c r="K5" s="6">
        <f>IFERROR(XLOOKUP(A5, 'Base Exámenes'!$C$5:$C$154, 'Base Exámenes'!$H$5:$H$154), "anonymous")</f>
        <v/>
      </c>
    </row>
    <row r="6">
      <c r="A6" s="4">
        <f>'Base Oficial'!A6</f>
        <v/>
      </c>
      <c r="B6" s="6">
        <f>'Base Oficial'!B6</f>
        <v/>
      </c>
      <c r="C6" s="6">
        <f>'Base Oficial'!F6</f>
        <v/>
      </c>
      <c r="D6" s="6">
        <f>'Base Oficial'!G6</f>
        <v/>
      </c>
      <c r="E6" s="6">
        <f>'Base Oficial'!D6</f>
        <v/>
      </c>
      <c r="F6" s="4">
        <f>IF(ISNUMBER(XLOOKUP(A6, 'Base Exámenes'!$C$5:$C$154, 'Base Exámenes'!$E$5:$E$154)), "Completado", "Pendiente")</f>
        <v/>
      </c>
      <c r="G6" s="6">
        <f>IFERROR(XLOOKUP(A6, 'Base Exámenes'!$C$5:$C$154, 'Base Exámenes'!$D$5:$D$154), "")</f>
        <v/>
      </c>
      <c r="H6" s="6">
        <f>IFERROR(XLOOKUP(A6, 'Base Exámenes'!$C$5:$C$154, 'Base Exámenes'!$E$5:$E$154), "")</f>
        <v/>
      </c>
      <c r="I6" s="7">
        <f>IFERROR(XLOOKUP(A6, 'Base Exámenes'!$C$5:$C$154, 'Base Exámenes'!$F$5:$F$154), "")</f>
        <v/>
      </c>
      <c r="J6" s="6">
        <f>IFERROR(XLOOKUP(A6, 'Base Exámenes'!$C$5:$C$154, 'Base Exámenes'!$G$5:$G$154), "")</f>
        <v/>
      </c>
      <c r="K6" s="6">
        <f>IFERROR(XLOOKUP(A6, 'Base Exámenes'!$C$5:$C$154, 'Base Exámenes'!$H$5:$H$154), "anonymous")</f>
        <v/>
      </c>
    </row>
    <row r="7">
      <c r="A7" s="4">
        <f>'Base Oficial'!A7</f>
        <v/>
      </c>
      <c r="B7" s="6">
        <f>'Base Oficial'!B7</f>
        <v/>
      </c>
      <c r="C7" s="6">
        <f>'Base Oficial'!F7</f>
        <v/>
      </c>
      <c r="D7" s="6">
        <f>'Base Oficial'!G7</f>
        <v/>
      </c>
      <c r="E7" s="6">
        <f>'Base Oficial'!D7</f>
        <v/>
      </c>
      <c r="F7" s="4">
        <f>IF(ISNUMBER(XLOOKUP(A7, 'Base Exámenes'!$C$5:$C$154, 'Base Exámenes'!$E$5:$E$154)), "Completado", "Pendiente")</f>
        <v/>
      </c>
      <c r="G7" s="6">
        <f>IFERROR(XLOOKUP(A7, 'Base Exámenes'!$C$5:$C$154, 'Base Exámenes'!$D$5:$D$154), "")</f>
        <v/>
      </c>
      <c r="H7" s="6">
        <f>IFERROR(XLOOKUP(A7, 'Base Exámenes'!$C$5:$C$154, 'Base Exámenes'!$E$5:$E$154), "")</f>
        <v/>
      </c>
      <c r="I7" s="7">
        <f>IFERROR(XLOOKUP(A7, 'Base Exámenes'!$C$5:$C$154, 'Base Exámenes'!$F$5:$F$154), "")</f>
        <v/>
      </c>
      <c r="J7" s="6">
        <f>IFERROR(XLOOKUP(A7, 'Base Exámenes'!$C$5:$C$154, 'Base Exámenes'!$G$5:$G$154), "")</f>
        <v/>
      </c>
      <c r="K7" s="6">
        <f>IFERROR(XLOOKUP(A7, 'Base Exámenes'!$C$5:$C$154, 'Base Exámenes'!$H$5:$H$154), "anonymous")</f>
        <v/>
      </c>
    </row>
    <row r="8">
      <c r="A8" s="4">
        <f>'Base Oficial'!A8</f>
        <v/>
      </c>
      <c r="B8" s="6">
        <f>'Base Oficial'!B8</f>
        <v/>
      </c>
      <c r="C8" s="6">
        <f>'Base Oficial'!F8</f>
        <v/>
      </c>
      <c r="D8" s="6">
        <f>'Base Oficial'!G8</f>
        <v/>
      </c>
      <c r="E8" s="6">
        <f>'Base Oficial'!D8</f>
        <v/>
      </c>
      <c r="F8" s="4">
        <f>IF(ISNUMBER(XLOOKUP(A8, 'Base Exámenes'!$C$5:$C$154, 'Base Exámenes'!$E$5:$E$154)), "Completado", "Pendiente")</f>
        <v/>
      </c>
      <c r="G8" s="6">
        <f>IFERROR(XLOOKUP(A8, 'Base Exámenes'!$C$5:$C$154, 'Base Exámenes'!$D$5:$D$154), "")</f>
        <v/>
      </c>
      <c r="H8" s="6">
        <f>IFERROR(XLOOKUP(A8, 'Base Exámenes'!$C$5:$C$154, 'Base Exámenes'!$E$5:$E$154), "")</f>
        <v/>
      </c>
      <c r="I8" s="7">
        <f>IFERROR(XLOOKUP(A8, 'Base Exámenes'!$C$5:$C$154, 'Base Exámenes'!$F$5:$F$154), "")</f>
        <v/>
      </c>
      <c r="J8" s="6">
        <f>IFERROR(XLOOKUP(A8, 'Base Exámenes'!$C$5:$C$154, 'Base Exámenes'!$G$5:$G$154), "")</f>
        <v/>
      </c>
      <c r="K8" s="6">
        <f>IFERROR(XLOOKUP(A8, 'Base Exámenes'!$C$5:$C$154, 'Base Exámenes'!$H$5:$H$154), "anonymous")</f>
        <v/>
      </c>
    </row>
    <row r="9">
      <c r="A9" s="4">
        <f>'Base Oficial'!A9</f>
        <v/>
      </c>
      <c r="B9" s="6">
        <f>'Base Oficial'!B9</f>
        <v/>
      </c>
      <c r="C9" s="6">
        <f>'Base Oficial'!F9</f>
        <v/>
      </c>
      <c r="D9" s="6">
        <f>'Base Oficial'!G9</f>
        <v/>
      </c>
      <c r="E9" s="6">
        <f>'Base Oficial'!D9</f>
        <v/>
      </c>
      <c r="F9" s="4">
        <f>IF(ISNUMBER(XLOOKUP(A9, 'Base Exámenes'!$C$5:$C$154, 'Base Exámenes'!$E$5:$E$154)), "Completado", "Pendiente")</f>
        <v/>
      </c>
      <c r="G9" s="6">
        <f>IFERROR(XLOOKUP(A9, 'Base Exámenes'!$C$5:$C$154, 'Base Exámenes'!$D$5:$D$154), "")</f>
        <v/>
      </c>
      <c r="H9" s="6">
        <f>IFERROR(XLOOKUP(A9, 'Base Exámenes'!$C$5:$C$154, 'Base Exámenes'!$E$5:$E$154), "")</f>
        <v/>
      </c>
      <c r="I9" s="7">
        <f>IFERROR(XLOOKUP(A9, 'Base Exámenes'!$C$5:$C$154, 'Base Exámenes'!$F$5:$F$154), "")</f>
        <v/>
      </c>
      <c r="J9" s="6">
        <f>IFERROR(XLOOKUP(A9, 'Base Exámenes'!$C$5:$C$154, 'Base Exámenes'!$G$5:$G$154), "")</f>
        <v/>
      </c>
      <c r="K9" s="6">
        <f>IFERROR(XLOOKUP(A9, 'Base Exámenes'!$C$5:$C$154, 'Base Exámenes'!$H$5:$H$154), "anonymous")</f>
        <v/>
      </c>
    </row>
    <row r="10">
      <c r="A10" s="4">
        <f>'Base Oficial'!A10</f>
        <v/>
      </c>
      <c r="B10" s="6">
        <f>'Base Oficial'!B10</f>
        <v/>
      </c>
      <c r="C10" s="6">
        <f>'Base Oficial'!F10</f>
        <v/>
      </c>
      <c r="D10" s="6">
        <f>'Base Oficial'!G10</f>
        <v/>
      </c>
      <c r="E10" s="6">
        <f>'Base Oficial'!D10</f>
        <v/>
      </c>
      <c r="F10" s="4">
        <f>IF(ISNUMBER(XLOOKUP(A10, 'Base Exámenes'!$C$5:$C$154, 'Base Exámenes'!$E$5:$E$154)), "Completado", "Pendiente")</f>
        <v/>
      </c>
      <c r="G10" s="6">
        <f>IFERROR(XLOOKUP(A10, 'Base Exámenes'!$C$5:$C$154, 'Base Exámenes'!$D$5:$D$154), "")</f>
        <v/>
      </c>
      <c r="H10" s="6">
        <f>IFERROR(XLOOKUP(A10, 'Base Exámenes'!$C$5:$C$154, 'Base Exámenes'!$E$5:$E$154), "")</f>
        <v/>
      </c>
      <c r="I10" s="7">
        <f>IFERROR(XLOOKUP(A10, 'Base Exámenes'!$C$5:$C$154, 'Base Exámenes'!$F$5:$F$154), "")</f>
        <v/>
      </c>
      <c r="J10" s="6">
        <f>IFERROR(XLOOKUP(A10, 'Base Exámenes'!$C$5:$C$154, 'Base Exámenes'!$G$5:$G$154), "")</f>
        <v/>
      </c>
      <c r="K10" s="6">
        <f>IFERROR(XLOOKUP(A10, 'Base Exámenes'!$C$5:$C$154, 'Base Exámenes'!$H$5:$H$154), "anonymous")</f>
        <v/>
      </c>
    </row>
    <row r="11">
      <c r="A11" s="4">
        <f>'Base Oficial'!A11</f>
        <v/>
      </c>
      <c r="B11" s="6">
        <f>'Base Oficial'!B11</f>
        <v/>
      </c>
      <c r="C11" s="6">
        <f>'Base Oficial'!F11</f>
        <v/>
      </c>
      <c r="D11" s="6">
        <f>'Base Oficial'!G11</f>
        <v/>
      </c>
      <c r="E11" s="6">
        <f>'Base Oficial'!D11</f>
        <v/>
      </c>
      <c r="F11" s="4">
        <f>IF(ISNUMBER(XLOOKUP(A11, 'Base Exámenes'!$C$5:$C$154, 'Base Exámenes'!$E$5:$E$154)), "Completado", "Pendiente")</f>
        <v/>
      </c>
      <c r="G11" s="6">
        <f>IFERROR(XLOOKUP(A11, 'Base Exámenes'!$C$5:$C$154, 'Base Exámenes'!$D$5:$D$154), "")</f>
        <v/>
      </c>
      <c r="H11" s="6">
        <f>IFERROR(XLOOKUP(A11, 'Base Exámenes'!$C$5:$C$154, 'Base Exámenes'!$E$5:$E$154), "")</f>
        <v/>
      </c>
      <c r="I11" s="7">
        <f>IFERROR(XLOOKUP(A11, 'Base Exámenes'!$C$5:$C$154, 'Base Exámenes'!$F$5:$F$154), "")</f>
        <v/>
      </c>
      <c r="J11" s="6">
        <f>IFERROR(XLOOKUP(A11, 'Base Exámenes'!$C$5:$C$154, 'Base Exámenes'!$G$5:$G$154), "")</f>
        <v/>
      </c>
      <c r="K11" s="6">
        <f>IFERROR(XLOOKUP(A11, 'Base Exámenes'!$C$5:$C$154, 'Base Exámenes'!$H$5:$H$154), "anonymous")</f>
        <v/>
      </c>
    </row>
    <row r="12">
      <c r="A12" s="4">
        <f>'Base Oficial'!A12</f>
        <v/>
      </c>
      <c r="B12" s="6">
        <f>'Base Oficial'!B12</f>
        <v/>
      </c>
      <c r="C12" s="6">
        <f>'Base Oficial'!F12</f>
        <v/>
      </c>
      <c r="D12" s="6">
        <f>'Base Oficial'!G12</f>
        <v/>
      </c>
      <c r="E12" s="6">
        <f>'Base Oficial'!D12</f>
        <v/>
      </c>
      <c r="F12" s="4">
        <f>IF(ISNUMBER(XLOOKUP(A12, 'Base Exámenes'!$C$5:$C$154, 'Base Exámenes'!$E$5:$E$154)), "Completado", "Pendiente")</f>
        <v/>
      </c>
      <c r="G12" s="6">
        <f>IFERROR(XLOOKUP(A12, 'Base Exámenes'!$C$5:$C$154, 'Base Exámenes'!$D$5:$D$154), "")</f>
        <v/>
      </c>
      <c r="H12" s="6">
        <f>IFERROR(XLOOKUP(A12, 'Base Exámenes'!$C$5:$C$154, 'Base Exámenes'!$E$5:$E$154), "")</f>
        <v/>
      </c>
      <c r="I12" s="7">
        <f>IFERROR(XLOOKUP(A12, 'Base Exámenes'!$C$5:$C$154, 'Base Exámenes'!$F$5:$F$154), "")</f>
        <v/>
      </c>
      <c r="J12" s="6">
        <f>IFERROR(XLOOKUP(A12, 'Base Exámenes'!$C$5:$C$154, 'Base Exámenes'!$G$5:$G$154), "")</f>
        <v/>
      </c>
      <c r="K12" s="6">
        <f>IFERROR(XLOOKUP(A12, 'Base Exámenes'!$C$5:$C$154, 'Base Exámenes'!$H$5:$H$154), "anonymous")</f>
        <v/>
      </c>
    </row>
    <row r="13">
      <c r="A13" s="4">
        <f>'Base Oficial'!A13</f>
        <v/>
      </c>
      <c r="B13" s="6">
        <f>'Base Oficial'!B13</f>
        <v/>
      </c>
      <c r="C13" s="6">
        <f>'Base Oficial'!F13</f>
        <v/>
      </c>
      <c r="D13" s="6">
        <f>'Base Oficial'!G13</f>
        <v/>
      </c>
      <c r="E13" s="6">
        <f>'Base Oficial'!D13</f>
        <v/>
      </c>
      <c r="F13" s="4">
        <f>IF(ISNUMBER(XLOOKUP(A13, 'Base Exámenes'!$C$5:$C$154, 'Base Exámenes'!$E$5:$E$154)), "Completado", "Pendiente")</f>
        <v/>
      </c>
      <c r="G13" s="6">
        <f>IFERROR(XLOOKUP(A13, 'Base Exámenes'!$C$5:$C$154, 'Base Exámenes'!$D$5:$D$154), "")</f>
        <v/>
      </c>
      <c r="H13" s="6">
        <f>IFERROR(XLOOKUP(A13, 'Base Exámenes'!$C$5:$C$154, 'Base Exámenes'!$E$5:$E$154), "")</f>
        <v/>
      </c>
      <c r="I13" s="7">
        <f>IFERROR(XLOOKUP(A13, 'Base Exámenes'!$C$5:$C$154, 'Base Exámenes'!$F$5:$F$154), "")</f>
        <v/>
      </c>
      <c r="J13" s="6">
        <f>IFERROR(XLOOKUP(A13, 'Base Exámenes'!$C$5:$C$154, 'Base Exámenes'!$G$5:$G$154), "")</f>
        <v/>
      </c>
      <c r="K13" s="6">
        <f>IFERROR(XLOOKUP(A13, 'Base Exámenes'!$C$5:$C$154, 'Base Exámenes'!$H$5:$H$154), "anonymous")</f>
        <v/>
      </c>
    </row>
    <row r="14">
      <c r="A14" s="4">
        <f>'Base Oficial'!A14</f>
        <v/>
      </c>
      <c r="B14" s="6">
        <f>'Base Oficial'!B14</f>
        <v/>
      </c>
      <c r="C14" s="6">
        <f>'Base Oficial'!F14</f>
        <v/>
      </c>
      <c r="D14" s="6">
        <f>'Base Oficial'!G14</f>
        <v/>
      </c>
      <c r="E14" s="6">
        <f>'Base Oficial'!D14</f>
        <v/>
      </c>
      <c r="F14" s="4">
        <f>IF(ISNUMBER(XLOOKUP(A14, 'Base Exámenes'!$C$5:$C$154, 'Base Exámenes'!$E$5:$E$154)), "Completado", "Pendiente")</f>
        <v/>
      </c>
      <c r="G14" s="6">
        <f>IFERROR(XLOOKUP(A14, 'Base Exámenes'!$C$5:$C$154, 'Base Exámenes'!$D$5:$D$154), "")</f>
        <v/>
      </c>
      <c r="H14" s="6">
        <f>IFERROR(XLOOKUP(A14, 'Base Exámenes'!$C$5:$C$154, 'Base Exámenes'!$E$5:$E$154), "")</f>
        <v/>
      </c>
      <c r="I14" s="7">
        <f>IFERROR(XLOOKUP(A14, 'Base Exámenes'!$C$5:$C$154, 'Base Exámenes'!$F$5:$F$154), "")</f>
        <v/>
      </c>
      <c r="J14" s="6">
        <f>IFERROR(XLOOKUP(A14, 'Base Exámenes'!$C$5:$C$154, 'Base Exámenes'!$G$5:$G$154), "")</f>
        <v/>
      </c>
      <c r="K14" s="6">
        <f>IFERROR(XLOOKUP(A14, 'Base Exámenes'!$C$5:$C$154, 'Base Exámenes'!$H$5:$H$154), "anonymous")</f>
        <v/>
      </c>
    </row>
    <row r="15">
      <c r="A15" s="4">
        <f>'Base Oficial'!A15</f>
        <v/>
      </c>
      <c r="B15" s="6">
        <f>'Base Oficial'!B15</f>
        <v/>
      </c>
      <c r="C15" s="6">
        <f>'Base Oficial'!F15</f>
        <v/>
      </c>
      <c r="D15" s="6">
        <f>'Base Oficial'!G15</f>
        <v/>
      </c>
      <c r="E15" s="6">
        <f>'Base Oficial'!D15</f>
        <v/>
      </c>
      <c r="F15" s="4">
        <f>IF(ISNUMBER(XLOOKUP(A15, 'Base Exámenes'!$C$5:$C$154, 'Base Exámenes'!$E$5:$E$154)), "Completado", "Pendiente")</f>
        <v/>
      </c>
      <c r="G15" s="6">
        <f>IFERROR(XLOOKUP(A15, 'Base Exámenes'!$C$5:$C$154, 'Base Exámenes'!$D$5:$D$154), "")</f>
        <v/>
      </c>
      <c r="H15" s="6">
        <f>IFERROR(XLOOKUP(A15, 'Base Exámenes'!$C$5:$C$154, 'Base Exámenes'!$E$5:$E$154), "")</f>
        <v/>
      </c>
      <c r="I15" s="7">
        <f>IFERROR(XLOOKUP(A15, 'Base Exámenes'!$C$5:$C$154, 'Base Exámenes'!$F$5:$F$154), "")</f>
        <v/>
      </c>
      <c r="J15" s="6">
        <f>IFERROR(XLOOKUP(A15, 'Base Exámenes'!$C$5:$C$154, 'Base Exámenes'!$G$5:$G$154), "")</f>
        <v/>
      </c>
      <c r="K15" s="6">
        <f>IFERROR(XLOOKUP(A15, 'Base Exámenes'!$C$5:$C$154, 'Base Exámenes'!$H$5:$H$154), "anonymous")</f>
        <v/>
      </c>
    </row>
    <row r="16">
      <c r="A16" s="4">
        <f>'Base Oficial'!A16</f>
        <v/>
      </c>
      <c r="B16" s="6">
        <f>'Base Oficial'!B16</f>
        <v/>
      </c>
      <c r="C16" s="6">
        <f>'Base Oficial'!F16</f>
        <v/>
      </c>
      <c r="D16" s="6">
        <f>'Base Oficial'!G16</f>
        <v/>
      </c>
      <c r="E16" s="6">
        <f>'Base Oficial'!D16</f>
        <v/>
      </c>
      <c r="F16" s="4">
        <f>IF(ISNUMBER(XLOOKUP(A16, 'Base Exámenes'!$C$5:$C$154, 'Base Exámenes'!$E$5:$E$154)), "Completado", "Pendiente")</f>
        <v/>
      </c>
      <c r="G16" s="6">
        <f>IFERROR(XLOOKUP(A16, 'Base Exámenes'!$C$5:$C$154, 'Base Exámenes'!$D$5:$D$154), "")</f>
        <v/>
      </c>
      <c r="H16" s="6">
        <f>IFERROR(XLOOKUP(A16, 'Base Exámenes'!$C$5:$C$154, 'Base Exámenes'!$E$5:$E$154), "")</f>
        <v/>
      </c>
      <c r="I16" s="7">
        <f>IFERROR(XLOOKUP(A16, 'Base Exámenes'!$C$5:$C$154, 'Base Exámenes'!$F$5:$F$154), "")</f>
        <v/>
      </c>
      <c r="J16" s="6">
        <f>IFERROR(XLOOKUP(A16, 'Base Exámenes'!$C$5:$C$154, 'Base Exámenes'!$G$5:$G$154), "")</f>
        <v/>
      </c>
      <c r="K16" s="6">
        <f>IFERROR(XLOOKUP(A16, 'Base Exámenes'!$C$5:$C$154, 'Base Exámenes'!$H$5:$H$154), "anonymous")</f>
        <v/>
      </c>
    </row>
    <row r="17">
      <c r="A17" s="4">
        <f>'Base Oficial'!A17</f>
        <v/>
      </c>
      <c r="B17" s="6">
        <f>'Base Oficial'!B17</f>
        <v/>
      </c>
      <c r="C17" s="6">
        <f>'Base Oficial'!F17</f>
        <v/>
      </c>
      <c r="D17" s="6">
        <f>'Base Oficial'!G17</f>
        <v/>
      </c>
      <c r="E17" s="6">
        <f>'Base Oficial'!D17</f>
        <v/>
      </c>
      <c r="F17" s="4">
        <f>IF(ISNUMBER(XLOOKUP(A17, 'Base Exámenes'!$C$5:$C$154, 'Base Exámenes'!$E$5:$E$154)), "Completado", "Pendiente")</f>
        <v/>
      </c>
      <c r="G17" s="6">
        <f>IFERROR(XLOOKUP(A17, 'Base Exámenes'!$C$5:$C$154, 'Base Exámenes'!$D$5:$D$154), "")</f>
        <v/>
      </c>
      <c r="H17" s="6">
        <f>IFERROR(XLOOKUP(A17, 'Base Exámenes'!$C$5:$C$154, 'Base Exámenes'!$E$5:$E$154), "")</f>
        <v/>
      </c>
      <c r="I17" s="7">
        <f>IFERROR(XLOOKUP(A17, 'Base Exámenes'!$C$5:$C$154, 'Base Exámenes'!$F$5:$F$154), "")</f>
        <v/>
      </c>
      <c r="J17" s="6">
        <f>IFERROR(XLOOKUP(A17, 'Base Exámenes'!$C$5:$C$154, 'Base Exámenes'!$G$5:$G$154), "")</f>
        <v/>
      </c>
      <c r="K17" s="6">
        <f>IFERROR(XLOOKUP(A17, 'Base Exámenes'!$C$5:$C$154, 'Base Exámenes'!$H$5:$H$154), "anonymous")</f>
        <v/>
      </c>
    </row>
    <row r="18">
      <c r="A18" s="4">
        <f>'Base Oficial'!A18</f>
        <v/>
      </c>
      <c r="B18" s="6">
        <f>'Base Oficial'!B18</f>
        <v/>
      </c>
      <c r="C18" s="6">
        <f>'Base Oficial'!F18</f>
        <v/>
      </c>
      <c r="D18" s="6">
        <f>'Base Oficial'!G18</f>
        <v/>
      </c>
      <c r="E18" s="6">
        <f>'Base Oficial'!D18</f>
        <v/>
      </c>
      <c r="F18" s="4">
        <f>IF(ISNUMBER(XLOOKUP(A18, 'Base Exámenes'!$C$5:$C$154, 'Base Exámenes'!$E$5:$E$154)), "Completado", "Pendiente")</f>
        <v/>
      </c>
      <c r="G18" s="6">
        <f>IFERROR(XLOOKUP(A18, 'Base Exámenes'!$C$5:$C$154, 'Base Exámenes'!$D$5:$D$154), "")</f>
        <v/>
      </c>
      <c r="H18" s="6">
        <f>IFERROR(XLOOKUP(A18, 'Base Exámenes'!$C$5:$C$154, 'Base Exámenes'!$E$5:$E$154), "")</f>
        <v/>
      </c>
      <c r="I18" s="7">
        <f>IFERROR(XLOOKUP(A18, 'Base Exámenes'!$C$5:$C$154, 'Base Exámenes'!$F$5:$F$154), "")</f>
        <v/>
      </c>
      <c r="J18" s="6">
        <f>IFERROR(XLOOKUP(A18, 'Base Exámenes'!$C$5:$C$154, 'Base Exámenes'!$G$5:$G$154), "")</f>
        <v/>
      </c>
      <c r="K18" s="6">
        <f>IFERROR(XLOOKUP(A18, 'Base Exámenes'!$C$5:$C$154, 'Base Exámenes'!$H$5:$H$154), "anonymous")</f>
        <v/>
      </c>
    </row>
    <row r="19">
      <c r="A19" s="4">
        <f>'Base Oficial'!A19</f>
        <v/>
      </c>
      <c r="B19" s="6">
        <f>'Base Oficial'!B19</f>
        <v/>
      </c>
      <c r="C19" s="6">
        <f>'Base Oficial'!F19</f>
        <v/>
      </c>
      <c r="D19" s="6">
        <f>'Base Oficial'!G19</f>
        <v/>
      </c>
      <c r="E19" s="6">
        <f>'Base Oficial'!D19</f>
        <v/>
      </c>
      <c r="F19" s="4">
        <f>IF(ISNUMBER(XLOOKUP(A19, 'Base Exámenes'!$C$5:$C$154, 'Base Exámenes'!$E$5:$E$154)), "Completado", "Pendiente")</f>
        <v/>
      </c>
      <c r="G19" s="6">
        <f>IFERROR(XLOOKUP(A19, 'Base Exámenes'!$C$5:$C$154, 'Base Exámenes'!$D$5:$D$154), "")</f>
        <v/>
      </c>
      <c r="H19" s="6">
        <f>IFERROR(XLOOKUP(A19, 'Base Exámenes'!$C$5:$C$154, 'Base Exámenes'!$E$5:$E$154), "")</f>
        <v/>
      </c>
      <c r="I19" s="7">
        <f>IFERROR(XLOOKUP(A19, 'Base Exámenes'!$C$5:$C$154, 'Base Exámenes'!$F$5:$F$154), "")</f>
        <v/>
      </c>
      <c r="J19" s="6">
        <f>IFERROR(XLOOKUP(A19, 'Base Exámenes'!$C$5:$C$154, 'Base Exámenes'!$G$5:$G$154), "")</f>
        <v/>
      </c>
      <c r="K19" s="6">
        <f>IFERROR(XLOOKUP(A19, 'Base Exámenes'!$C$5:$C$154, 'Base Exámenes'!$H$5:$H$154), "anonymous")</f>
        <v/>
      </c>
    </row>
    <row r="20">
      <c r="A20" s="4">
        <f>'Base Oficial'!A20</f>
        <v/>
      </c>
      <c r="B20" s="6">
        <f>'Base Oficial'!B20</f>
        <v/>
      </c>
      <c r="C20" s="6">
        <f>'Base Oficial'!F20</f>
        <v/>
      </c>
      <c r="D20" s="6">
        <f>'Base Oficial'!G20</f>
        <v/>
      </c>
      <c r="E20" s="6">
        <f>'Base Oficial'!D20</f>
        <v/>
      </c>
      <c r="F20" s="4">
        <f>IF(ISNUMBER(XLOOKUP(A20, 'Base Exámenes'!$C$5:$C$154, 'Base Exámenes'!$E$5:$E$154)), "Completado", "Pendiente")</f>
        <v/>
      </c>
      <c r="G20" s="6">
        <f>IFERROR(XLOOKUP(A20, 'Base Exámenes'!$C$5:$C$154, 'Base Exámenes'!$D$5:$D$154), "")</f>
        <v/>
      </c>
      <c r="H20" s="6">
        <f>IFERROR(XLOOKUP(A20, 'Base Exámenes'!$C$5:$C$154, 'Base Exámenes'!$E$5:$E$154), "")</f>
        <v/>
      </c>
      <c r="I20" s="7">
        <f>IFERROR(XLOOKUP(A20, 'Base Exámenes'!$C$5:$C$154, 'Base Exámenes'!$F$5:$F$154), "")</f>
        <v/>
      </c>
      <c r="J20" s="6">
        <f>IFERROR(XLOOKUP(A20, 'Base Exámenes'!$C$5:$C$154, 'Base Exámenes'!$G$5:$G$154), "")</f>
        <v/>
      </c>
      <c r="K20" s="6">
        <f>IFERROR(XLOOKUP(A20, 'Base Exámenes'!$C$5:$C$154, 'Base Exámenes'!$H$5:$H$154), "anonymous")</f>
        <v/>
      </c>
    </row>
    <row r="21">
      <c r="A21" s="4">
        <f>'Base Oficial'!A21</f>
        <v/>
      </c>
      <c r="B21" s="6">
        <f>'Base Oficial'!B21</f>
        <v/>
      </c>
      <c r="C21" s="6">
        <f>'Base Oficial'!F21</f>
        <v/>
      </c>
      <c r="D21" s="6">
        <f>'Base Oficial'!G21</f>
        <v/>
      </c>
      <c r="E21" s="6">
        <f>'Base Oficial'!D21</f>
        <v/>
      </c>
      <c r="F21" s="4">
        <f>IF(ISNUMBER(XLOOKUP(A21, 'Base Exámenes'!$C$5:$C$154, 'Base Exámenes'!$E$5:$E$154)), "Completado", "Pendiente")</f>
        <v/>
      </c>
      <c r="G21" s="6">
        <f>IFERROR(XLOOKUP(A21, 'Base Exámenes'!$C$5:$C$154, 'Base Exámenes'!$D$5:$D$154), "")</f>
        <v/>
      </c>
      <c r="H21" s="6">
        <f>IFERROR(XLOOKUP(A21, 'Base Exámenes'!$C$5:$C$154, 'Base Exámenes'!$E$5:$E$154), "")</f>
        <v/>
      </c>
      <c r="I21" s="7">
        <f>IFERROR(XLOOKUP(A21, 'Base Exámenes'!$C$5:$C$154, 'Base Exámenes'!$F$5:$F$154), "")</f>
        <v/>
      </c>
      <c r="J21" s="6">
        <f>IFERROR(XLOOKUP(A21, 'Base Exámenes'!$C$5:$C$154, 'Base Exámenes'!$G$5:$G$154), "")</f>
        <v/>
      </c>
      <c r="K21" s="6">
        <f>IFERROR(XLOOKUP(A21, 'Base Exámenes'!$C$5:$C$154, 'Base Exámenes'!$H$5:$H$154), "anonymous")</f>
        <v/>
      </c>
    </row>
    <row r="22">
      <c r="A22" s="4">
        <f>'Base Oficial'!A22</f>
        <v/>
      </c>
      <c r="B22" s="6">
        <f>'Base Oficial'!B22</f>
        <v/>
      </c>
      <c r="C22" s="6">
        <f>'Base Oficial'!F22</f>
        <v/>
      </c>
      <c r="D22" s="6">
        <f>'Base Oficial'!G22</f>
        <v/>
      </c>
      <c r="E22" s="6">
        <f>'Base Oficial'!D22</f>
        <v/>
      </c>
      <c r="F22" s="4">
        <f>IF(ISNUMBER(XLOOKUP(A22, 'Base Exámenes'!$C$5:$C$154, 'Base Exámenes'!$E$5:$E$154)), "Completado", "Pendiente")</f>
        <v/>
      </c>
      <c r="G22" s="6">
        <f>IFERROR(XLOOKUP(A22, 'Base Exámenes'!$C$5:$C$154, 'Base Exámenes'!$D$5:$D$154), "")</f>
        <v/>
      </c>
      <c r="H22" s="6">
        <f>IFERROR(XLOOKUP(A22, 'Base Exámenes'!$C$5:$C$154, 'Base Exámenes'!$E$5:$E$154), "")</f>
        <v/>
      </c>
      <c r="I22" s="7">
        <f>IFERROR(XLOOKUP(A22, 'Base Exámenes'!$C$5:$C$154, 'Base Exámenes'!$F$5:$F$154), "")</f>
        <v/>
      </c>
      <c r="J22" s="6">
        <f>IFERROR(XLOOKUP(A22, 'Base Exámenes'!$C$5:$C$154, 'Base Exámenes'!$G$5:$G$154), "")</f>
        <v/>
      </c>
      <c r="K22" s="6">
        <f>IFERROR(XLOOKUP(A22, 'Base Exámenes'!$C$5:$C$154, 'Base Exámenes'!$H$5:$H$154), "anonymous")</f>
        <v/>
      </c>
    </row>
    <row r="23">
      <c r="A23" s="4">
        <f>'Base Oficial'!A23</f>
        <v/>
      </c>
      <c r="B23" s="6">
        <f>'Base Oficial'!B23</f>
        <v/>
      </c>
      <c r="C23" s="6">
        <f>'Base Oficial'!F23</f>
        <v/>
      </c>
      <c r="D23" s="6">
        <f>'Base Oficial'!G23</f>
        <v/>
      </c>
      <c r="E23" s="6">
        <f>'Base Oficial'!D23</f>
        <v/>
      </c>
      <c r="F23" s="4">
        <f>IF(ISNUMBER(XLOOKUP(A23, 'Base Exámenes'!$C$5:$C$154, 'Base Exámenes'!$E$5:$E$154)), "Completado", "Pendiente")</f>
        <v/>
      </c>
      <c r="G23" s="6">
        <f>IFERROR(XLOOKUP(A23, 'Base Exámenes'!$C$5:$C$154, 'Base Exámenes'!$D$5:$D$154), "")</f>
        <v/>
      </c>
      <c r="H23" s="6">
        <f>IFERROR(XLOOKUP(A23, 'Base Exámenes'!$C$5:$C$154, 'Base Exámenes'!$E$5:$E$154), "")</f>
        <v/>
      </c>
      <c r="I23" s="7">
        <f>IFERROR(XLOOKUP(A23, 'Base Exámenes'!$C$5:$C$154, 'Base Exámenes'!$F$5:$F$154), "")</f>
        <v/>
      </c>
      <c r="J23" s="6">
        <f>IFERROR(XLOOKUP(A23, 'Base Exámenes'!$C$5:$C$154, 'Base Exámenes'!$G$5:$G$154), "")</f>
        <v/>
      </c>
      <c r="K23" s="6">
        <f>IFERROR(XLOOKUP(A23, 'Base Exámenes'!$C$5:$C$154, 'Base Exámenes'!$H$5:$H$154), "anonymous")</f>
        <v/>
      </c>
    </row>
    <row r="24">
      <c r="A24" s="4">
        <f>'Base Oficial'!A24</f>
        <v/>
      </c>
      <c r="B24" s="6">
        <f>'Base Oficial'!B24</f>
        <v/>
      </c>
      <c r="C24" s="6">
        <f>'Base Oficial'!F24</f>
        <v/>
      </c>
      <c r="D24" s="6">
        <f>'Base Oficial'!G24</f>
        <v/>
      </c>
      <c r="E24" s="6">
        <f>'Base Oficial'!D24</f>
        <v/>
      </c>
      <c r="F24" s="4">
        <f>IF(ISNUMBER(XLOOKUP(A24, 'Base Exámenes'!$C$5:$C$154, 'Base Exámenes'!$E$5:$E$154)), "Completado", "Pendiente")</f>
        <v/>
      </c>
      <c r="G24" s="6">
        <f>IFERROR(XLOOKUP(A24, 'Base Exámenes'!$C$5:$C$154, 'Base Exámenes'!$D$5:$D$154), "")</f>
        <v/>
      </c>
      <c r="H24" s="6">
        <f>IFERROR(XLOOKUP(A24, 'Base Exámenes'!$C$5:$C$154, 'Base Exámenes'!$E$5:$E$154), "")</f>
        <v/>
      </c>
      <c r="I24" s="7">
        <f>IFERROR(XLOOKUP(A24, 'Base Exámenes'!$C$5:$C$154, 'Base Exámenes'!$F$5:$F$154), "")</f>
        <v/>
      </c>
      <c r="J24" s="6">
        <f>IFERROR(XLOOKUP(A24, 'Base Exámenes'!$C$5:$C$154, 'Base Exámenes'!$G$5:$G$154), "")</f>
        <v/>
      </c>
      <c r="K24" s="6">
        <f>IFERROR(XLOOKUP(A24, 'Base Exámenes'!$C$5:$C$154, 'Base Exámenes'!$H$5:$H$154), "anonymous")</f>
        <v/>
      </c>
    </row>
    <row r="25">
      <c r="A25" s="4">
        <f>'Base Oficial'!A25</f>
        <v/>
      </c>
      <c r="B25" s="6">
        <f>'Base Oficial'!B25</f>
        <v/>
      </c>
      <c r="C25" s="6">
        <f>'Base Oficial'!F25</f>
        <v/>
      </c>
      <c r="D25" s="6">
        <f>'Base Oficial'!G25</f>
        <v/>
      </c>
      <c r="E25" s="6">
        <f>'Base Oficial'!D25</f>
        <v/>
      </c>
      <c r="F25" s="4">
        <f>IF(ISNUMBER(XLOOKUP(A25, 'Base Exámenes'!$C$5:$C$154, 'Base Exámenes'!$E$5:$E$154)), "Completado", "Pendiente")</f>
        <v/>
      </c>
      <c r="G25" s="6">
        <f>IFERROR(XLOOKUP(A25, 'Base Exámenes'!$C$5:$C$154, 'Base Exámenes'!$D$5:$D$154), "")</f>
        <v/>
      </c>
      <c r="H25" s="6">
        <f>IFERROR(XLOOKUP(A25, 'Base Exámenes'!$C$5:$C$154, 'Base Exámenes'!$E$5:$E$154), "")</f>
        <v/>
      </c>
      <c r="I25" s="7">
        <f>IFERROR(XLOOKUP(A25, 'Base Exámenes'!$C$5:$C$154, 'Base Exámenes'!$F$5:$F$154), "")</f>
        <v/>
      </c>
      <c r="J25" s="6">
        <f>IFERROR(XLOOKUP(A25, 'Base Exámenes'!$C$5:$C$154, 'Base Exámenes'!$G$5:$G$154), "")</f>
        <v/>
      </c>
      <c r="K25" s="6">
        <f>IFERROR(XLOOKUP(A25, 'Base Exámenes'!$C$5:$C$154, 'Base Exámenes'!$H$5:$H$154), "anonymous")</f>
        <v/>
      </c>
    </row>
    <row r="26">
      <c r="A26" s="4">
        <f>'Base Oficial'!A26</f>
        <v/>
      </c>
      <c r="B26" s="6">
        <f>'Base Oficial'!B26</f>
        <v/>
      </c>
      <c r="C26" s="6">
        <f>'Base Oficial'!F26</f>
        <v/>
      </c>
      <c r="D26" s="6">
        <f>'Base Oficial'!G26</f>
        <v/>
      </c>
      <c r="E26" s="6">
        <f>'Base Oficial'!D26</f>
        <v/>
      </c>
      <c r="F26" s="4">
        <f>IF(ISNUMBER(XLOOKUP(A26, 'Base Exámenes'!$C$5:$C$154, 'Base Exámenes'!$E$5:$E$154)), "Completado", "Pendiente")</f>
        <v/>
      </c>
      <c r="G26" s="6">
        <f>IFERROR(XLOOKUP(A26, 'Base Exámenes'!$C$5:$C$154, 'Base Exámenes'!$D$5:$D$154), "")</f>
        <v/>
      </c>
      <c r="H26" s="6">
        <f>IFERROR(XLOOKUP(A26, 'Base Exámenes'!$C$5:$C$154, 'Base Exámenes'!$E$5:$E$154), "")</f>
        <v/>
      </c>
      <c r="I26" s="7">
        <f>IFERROR(XLOOKUP(A26, 'Base Exámenes'!$C$5:$C$154, 'Base Exámenes'!$F$5:$F$154), "")</f>
        <v/>
      </c>
      <c r="J26" s="6">
        <f>IFERROR(XLOOKUP(A26, 'Base Exámenes'!$C$5:$C$154, 'Base Exámenes'!$G$5:$G$154), "")</f>
        <v/>
      </c>
      <c r="K26" s="6">
        <f>IFERROR(XLOOKUP(A26, 'Base Exámenes'!$C$5:$C$154, 'Base Exámenes'!$H$5:$H$154), "anonymous")</f>
        <v/>
      </c>
    </row>
    <row r="27">
      <c r="A27" s="4">
        <f>'Base Oficial'!A27</f>
        <v/>
      </c>
      <c r="B27" s="6">
        <f>'Base Oficial'!B27</f>
        <v/>
      </c>
      <c r="C27" s="6">
        <f>'Base Oficial'!F27</f>
        <v/>
      </c>
      <c r="D27" s="6">
        <f>'Base Oficial'!G27</f>
        <v/>
      </c>
      <c r="E27" s="6">
        <f>'Base Oficial'!D27</f>
        <v/>
      </c>
      <c r="F27" s="4">
        <f>IF(ISNUMBER(XLOOKUP(A27, 'Base Exámenes'!$C$5:$C$154, 'Base Exámenes'!$E$5:$E$154)), "Completado", "Pendiente")</f>
        <v/>
      </c>
      <c r="G27" s="6">
        <f>IFERROR(XLOOKUP(A27, 'Base Exámenes'!$C$5:$C$154, 'Base Exámenes'!$D$5:$D$154), "")</f>
        <v/>
      </c>
      <c r="H27" s="6">
        <f>IFERROR(XLOOKUP(A27, 'Base Exámenes'!$C$5:$C$154, 'Base Exámenes'!$E$5:$E$154), "")</f>
        <v/>
      </c>
      <c r="I27" s="7">
        <f>IFERROR(XLOOKUP(A27, 'Base Exámenes'!$C$5:$C$154, 'Base Exámenes'!$F$5:$F$154), "")</f>
        <v/>
      </c>
      <c r="J27" s="6">
        <f>IFERROR(XLOOKUP(A27, 'Base Exámenes'!$C$5:$C$154, 'Base Exámenes'!$G$5:$G$154), "")</f>
        <v/>
      </c>
      <c r="K27" s="6">
        <f>IFERROR(XLOOKUP(A27, 'Base Exámenes'!$C$5:$C$154, 'Base Exámenes'!$H$5:$H$154), "anonymous")</f>
        <v/>
      </c>
    </row>
    <row r="28">
      <c r="A28" s="4">
        <f>'Base Oficial'!A28</f>
        <v/>
      </c>
      <c r="B28" s="6">
        <f>'Base Oficial'!B28</f>
        <v/>
      </c>
      <c r="C28" s="6">
        <f>'Base Oficial'!F28</f>
        <v/>
      </c>
      <c r="D28" s="6">
        <f>'Base Oficial'!G28</f>
        <v/>
      </c>
      <c r="E28" s="6">
        <f>'Base Oficial'!D28</f>
        <v/>
      </c>
      <c r="F28" s="4">
        <f>IF(ISNUMBER(XLOOKUP(A28, 'Base Exámenes'!$C$5:$C$154, 'Base Exámenes'!$E$5:$E$154)), "Completado", "Pendiente")</f>
        <v/>
      </c>
      <c r="G28" s="6">
        <f>IFERROR(XLOOKUP(A28, 'Base Exámenes'!$C$5:$C$154, 'Base Exámenes'!$D$5:$D$154), "")</f>
        <v/>
      </c>
      <c r="H28" s="6">
        <f>IFERROR(XLOOKUP(A28, 'Base Exámenes'!$C$5:$C$154, 'Base Exámenes'!$E$5:$E$154), "")</f>
        <v/>
      </c>
      <c r="I28" s="7">
        <f>IFERROR(XLOOKUP(A28, 'Base Exámenes'!$C$5:$C$154, 'Base Exámenes'!$F$5:$F$154), "")</f>
        <v/>
      </c>
      <c r="J28" s="6">
        <f>IFERROR(XLOOKUP(A28, 'Base Exámenes'!$C$5:$C$154, 'Base Exámenes'!$G$5:$G$154), "")</f>
        <v/>
      </c>
      <c r="K28" s="6">
        <f>IFERROR(XLOOKUP(A28, 'Base Exámenes'!$C$5:$C$154, 'Base Exámenes'!$H$5:$H$154), "anonymous")</f>
        <v/>
      </c>
    </row>
    <row r="29">
      <c r="A29" s="4">
        <f>'Base Oficial'!A29</f>
        <v/>
      </c>
      <c r="B29" s="6">
        <f>'Base Oficial'!B29</f>
        <v/>
      </c>
      <c r="C29" s="6">
        <f>'Base Oficial'!F29</f>
        <v/>
      </c>
      <c r="D29" s="6">
        <f>'Base Oficial'!G29</f>
        <v/>
      </c>
      <c r="E29" s="6">
        <f>'Base Oficial'!D29</f>
        <v/>
      </c>
      <c r="F29" s="4">
        <f>IF(ISNUMBER(XLOOKUP(A29, 'Base Exámenes'!$C$5:$C$154, 'Base Exámenes'!$E$5:$E$154)), "Completado", "Pendiente")</f>
        <v/>
      </c>
      <c r="G29" s="6">
        <f>IFERROR(XLOOKUP(A29, 'Base Exámenes'!$C$5:$C$154, 'Base Exámenes'!$D$5:$D$154), "")</f>
        <v/>
      </c>
      <c r="H29" s="6">
        <f>IFERROR(XLOOKUP(A29, 'Base Exámenes'!$C$5:$C$154, 'Base Exámenes'!$E$5:$E$154), "")</f>
        <v/>
      </c>
      <c r="I29" s="7">
        <f>IFERROR(XLOOKUP(A29, 'Base Exámenes'!$C$5:$C$154, 'Base Exámenes'!$F$5:$F$154), "")</f>
        <v/>
      </c>
      <c r="J29" s="6">
        <f>IFERROR(XLOOKUP(A29, 'Base Exámenes'!$C$5:$C$154, 'Base Exámenes'!$G$5:$G$154), "")</f>
        <v/>
      </c>
      <c r="K29" s="6">
        <f>IFERROR(XLOOKUP(A29, 'Base Exámenes'!$C$5:$C$154, 'Base Exámenes'!$H$5:$H$154), "anonymous")</f>
        <v/>
      </c>
    </row>
    <row r="30">
      <c r="A30" s="4">
        <f>'Base Oficial'!A30</f>
        <v/>
      </c>
      <c r="B30" s="6">
        <f>'Base Oficial'!B30</f>
        <v/>
      </c>
      <c r="C30" s="6">
        <f>'Base Oficial'!F30</f>
        <v/>
      </c>
      <c r="D30" s="6">
        <f>'Base Oficial'!G30</f>
        <v/>
      </c>
      <c r="E30" s="6">
        <f>'Base Oficial'!D30</f>
        <v/>
      </c>
      <c r="F30" s="4">
        <f>IF(ISNUMBER(XLOOKUP(A30, 'Base Exámenes'!$C$5:$C$154, 'Base Exámenes'!$E$5:$E$154)), "Completado", "Pendiente")</f>
        <v/>
      </c>
      <c r="G30" s="6">
        <f>IFERROR(XLOOKUP(A30, 'Base Exámenes'!$C$5:$C$154, 'Base Exámenes'!$D$5:$D$154), "")</f>
        <v/>
      </c>
      <c r="H30" s="6">
        <f>IFERROR(XLOOKUP(A30, 'Base Exámenes'!$C$5:$C$154, 'Base Exámenes'!$E$5:$E$154), "")</f>
        <v/>
      </c>
      <c r="I30" s="7">
        <f>IFERROR(XLOOKUP(A30, 'Base Exámenes'!$C$5:$C$154, 'Base Exámenes'!$F$5:$F$154), "")</f>
        <v/>
      </c>
      <c r="J30" s="6">
        <f>IFERROR(XLOOKUP(A30, 'Base Exámenes'!$C$5:$C$154, 'Base Exámenes'!$G$5:$G$154), "")</f>
        <v/>
      </c>
      <c r="K30" s="6">
        <f>IFERROR(XLOOKUP(A30, 'Base Exámenes'!$C$5:$C$154, 'Base Exámenes'!$H$5:$H$154), "anonymous")</f>
        <v/>
      </c>
    </row>
    <row r="31">
      <c r="A31" s="4">
        <f>'Base Oficial'!A31</f>
        <v/>
      </c>
      <c r="B31" s="6">
        <f>'Base Oficial'!B31</f>
        <v/>
      </c>
      <c r="C31" s="6">
        <f>'Base Oficial'!F31</f>
        <v/>
      </c>
      <c r="D31" s="6">
        <f>'Base Oficial'!G31</f>
        <v/>
      </c>
      <c r="E31" s="6">
        <f>'Base Oficial'!D31</f>
        <v/>
      </c>
      <c r="F31" s="4">
        <f>IF(ISNUMBER(XLOOKUP(A31, 'Base Exámenes'!$C$5:$C$154, 'Base Exámenes'!$E$5:$E$154)), "Completado", "Pendiente")</f>
        <v/>
      </c>
      <c r="G31" s="6">
        <f>IFERROR(XLOOKUP(A31, 'Base Exámenes'!$C$5:$C$154, 'Base Exámenes'!$D$5:$D$154), "")</f>
        <v/>
      </c>
      <c r="H31" s="6">
        <f>IFERROR(XLOOKUP(A31, 'Base Exámenes'!$C$5:$C$154, 'Base Exámenes'!$E$5:$E$154), "")</f>
        <v/>
      </c>
      <c r="I31" s="7">
        <f>IFERROR(XLOOKUP(A31, 'Base Exámenes'!$C$5:$C$154, 'Base Exámenes'!$F$5:$F$154), "")</f>
        <v/>
      </c>
      <c r="J31" s="6">
        <f>IFERROR(XLOOKUP(A31, 'Base Exámenes'!$C$5:$C$154, 'Base Exámenes'!$G$5:$G$154), "")</f>
        <v/>
      </c>
      <c r="K31" s="6">
        <f>IFERROR(XLOOKUP(A31, 'Base Exámenes'!$C$5:$C$154, 'Base Exámenes'!$H$5:$H$154), "anonymous")</f>
        <v/>
      </c>
    </row>
    <row r="32">
      <c r="A32" s="4">
        <f>'Base Oficial'!A32</f>
        <v/>
      </c>
      <c r="B32" s="6">
        <f>'Base Oficial'!B32</f>
        <v/>
      </c>
      <c r="C32" s="6">
        <f>'Base Oficial'!F32</f>
        <v/>
      </c>
      <c r="D32" s="6">
        <f>'Base Oficial'!G32</f>
        <v/>
      </c>
      <c r="E32" s="6">
        <f>'Base Oficial'!D32</f>
        <v/>
      </c>
      <c r="F32" s="4">
        <f>IF(ISNUMBER(XLOOKUP(A32, 'Base Exámenes'!$C$5:$C$154, 'Base Exámenes'!$E$5:$E$154)), "Completado", "Pendiente")</f>
        <v/>
      </c>
      <c r="G32" s="6">
        <f>IFERROR(XLOOKUP(A32, 'Base Exámenes'!$C$5:$C$154, 'Base Exámenes'!$D$5:$D$154), "")</f>
        <v/>
      </c>
      <c r="H32" s="6">
        <f>IFERROR(XLOOKUP(A32, 'Base Exámenes'!$C$5:$C$154, 'Base Exámenes'!$E$5:$E$154), "")</f>
        <v/>
      </c>
      <c r="I32" s="7">
        <f>IFERROR(XLOOKUP(A32, 'Base Exámenes'!$C$5:$C$154, 'Base Exámenes'!$F$5:$F$154), "")</f>
        <v/>
      </c>
      <c r="J32" s="6">
        <f>IFERROR(XLOOKUP(A32, 'Base Exámenes'!$C$5:$C$154, 'Base Exámenes'!$G$5:$G$154), "")</f>
        <v/>
      </c>
      <c r="K32" s="6">
        <f>IFERROR(XLOOKUP(A32, 'Base Exámenes'!$C$5:$C$154, 'Base Exámenes'!$H$5:$H$154), "anonymous")</f>
        <v/>
      </c>
    </row>
    <row r="33">
      <c r="A33" s="4">
        <f>'Base Oficial'!A33</f>
        <v/>
      </c>
      <c r="B33" s="6">
        <f>'Base Oficial'!B33</f>
        <v/>
      </c>
      <c r="C33" s="6">
        <f>'Base Oficial'!F33</f>
        <v/>
      </c>
      <c r="D33" s="6">
        <f>'Base Oficial'!G33</f>
        <v/>
      </c>
      <c r="E33" s="6">
        <f>'Base Oficial'!D33</f>
        <v/>
      </c>
      <c r="F33" s="4">
        <f>IF(ISNUMBER(XLOOKUP(A33, 'Base Exámenes'!$C$5:$C$154, 'Base Exámenes'!$E$5:$E$154)), "Completado", "Pendiente")</f>
        <v/>
      </c>
      <c r="G33" s="6">
        <f>IFERROR(XLOOKUP(A33, 'Base Exámenes'!$C$5:$C$154, 'Base Exámenes'!$D$5:$D$154), "")</f>
        <v/>
      </c>
      <c r="H33" s="6">
        <f>IFERROR(XLOOKUP(A33, 'Base Exámenes'!$C$5:$C$154, 'Base Exámenes'!$E$5:$E$154), "")</f>
        <v/>
      </c>
      <c r="I33" s="7">
        <f>IFERROR(XLOOKUP(A33, 'Base Exámenes'!$C$5:$C$154, 'Base Exámenes'!$F$5:$F$154), "")</f>
        <v/>
      </c>
      <c r="J33" s="6">
        <f>IFERROR(XLOOKUP(A33, 'Base Exámenes'!$C$5:$C$154, 'Base Exámenes'!$G$5:$G$154), "")</f>
        <v/>
      </c>
      <c r="K33" s="6">
        <f>IFERROR(XLOOKUP(A33, 'Base Exámenes'!$C$5:$C$154, 'Base Exámenes'!$H$5:$H$154), "anonymous")</f>
        <v/>
      </c>
    </row>
    <row r="34">
      <c r="A34" s="4">
        <f>'Base Oficial'!A34</f>
        <v/>
      </c>
      <c r="B34" s="6">
        <f>'Base Oficial'!B34</f>
        <v/>
      </c>
      <c r="C34" s="6">
        <f>'Base Oficial'!F34</f>
        <v/>
      </c>
      <c r="D34" s="6">
        <f>'Base Oficial'!G34</f>
        <v/>
      </c>
      <c r="E34" s="6">
        <f>'Base Oficial'!D34</f>
        <v/>
      </c>
      <c r="F34" s="4">
        <f>IF(ISNUMBER(XLOOKUP(A34, 'Base Exámenes'!$C$5:$C$154, 'Base Exámenes'!$E$5:$E$154)), "Completado", "Pendiente")</f>
        <v/>
      </c>
      <c r="G34" s="6">
        <f>IFERROR(XLOOKUP(A34, 'Base Exámenes'!$C$5:$C$154, 'Base Exámenes'!$D$5:$D$154), "")</f>
        <v/>
      </c>
      <c r="H34" s="6">
        <f>IFERROR(XLOOKUP(A34, 'Base Exámenes'!$C$5:$C$154, 'Base Exámenes'!$E$5:$E$154), "")</f>
        <v/>
      </c>
      <c r="I34" s="7">
        <f>IFERROR(XLOOKUP(A34, 'Base Exámenes'!$C$5:$C$154, 'Base Exámenes'!$F$5:$F$154), "")</f>
        <v/>
      </c>
      <c r="J34" s="6">
        <f>IFERROR(XLOOKUP(A34, 'Base Exámenes'!$C$5:$C$154, 'Base Exámenes'!$G$5:$G$154), "")</f>
        <v/>
      </c>
      <c r="K34" s="6">
        <f>IFERROR(XLOOKUP(A34, 'Base Exámenes'!$C$5:$C$154, 'Base Exámenes'!$H$5:$H$154), "anonymous")</f>
        <v/>
      </c>
    </row>
    <row r="35">
      <c r="A35" s="4">
        <f>'Base Oficial'!A35</f>
        <v/>
      </c>
      <c r="B35" s="6">
        <f>'Base Oficial'!B35</f>
        <v/>
      </c>
      <c r="C35" s="6">
        <f>'Base Oficial'!F35</f>
        <v/>
      </c>
      <c r="D35" s="6">
        <f>'Base Oficial'!G35</f>
        <v/>
      </c>
      <c r="E35" s="6">
        <f>'Base Oficial'!D35</f>
        <v/>
      </c>
      <c r="F35" s="4">
        <f>IF(ISNUMBER(XLOOKUP(A35, 'Base Exámenes'!$C$5:$C$154, 'Base Exámenes'!$E$5:$E$154)), "Completado", "Pendiente")</f>
        <v/>
      </c>
      <c r="G35" s="6">
        <f>IFERROR(XLOOKUP(A35, 'Base Exámenes'!$C$5:$C$154, 'Base Exámenes'!$D$5:$D$154), "")</f>
        <v/>
      </c>
      <c r="H35" s="6">
        <f>IFERROR(XLOOKUP(A35, 'Base Exámenes'!$C$5:$C$154, 'Base Exámenes'!$E$5:$E$154), "")</f>
        <v/>
      </c>
      <c r="I35" s="7">
        <f>IFERROR(XLOOKUP(A35, 'Base Exámenes'!$C$5:$C$154, 'Base Exámenes'!$F$5:$F$154), "")</f>
        <v/>
      </c>
      <c r="J35" s="6">
        <f>IFERROR(XLOOKUP(A35, 'Base Exámenes'!$C$5:$C$154, 'Base Exámenes'!$G$5:$G$154), "")</f>
        <v/>
      </c>
      <c r="K35" s="6">
        <f>IFERROR(XLOOKUP(A35, 'Base Exámenes'!$C$5:$C$154, 'Base Exámenes'!$H$5:$H$154), "anonymous")</f>
        <v/>
      </c>
    </row>
    <row r="36">
      <c r="A36" s="4">
        <f>'Base Oficial'!A36</f>
        <v/>
      </c>
      <c r="B36" s="6">
        <f>'Base Oficial'!B36</f>
        <v/>
      </c>
      <c r="C36" s="6">
        <f>'Base Oficial'!F36</f>
        <v/>
      </c>
      <c r="D36" s="6">
        <f>'Base Oficial'!G36</f>
        <v/>
      </c>
      <c r="E36" s="6">
        <f>'Base Oficial'!D36</f>
        <v/>
      </c>
      <c r="F36" s="4">
        <f>IF(ISNUMBER(XLOOKUP(A36, 'Base Exámenes'!$C$5:$C$154, 'Base Exámenes'!$E$5:$E$154)), "Completado", "Pendiente")</f>
        <v/>
      </c>
      <c r="G36" s="6">
        <f>IFERROR(XLOOKUP(A36, 'Base Exámenes'!$C$5:$C$154, 'Base Exámenes'!$D$5:$D$154), "")</f>
        <v/>
      </c>
      <c r="H36" s="6">
        <f>IFERROR(XLOOKUP(A36, 'Base Exámenes'!$C$5:$C$154, 'Base Exámenes'!$E$5:$E$154), "")</f>
        <v/>
      </c>
      <c r="I36" s="7">
        <f>IFERROR(XLOOKUP(A36, 'Base Exámenes'!$C$5:$C$154, 'Base Exámenes'!$F$5:$F$154), "")</f>
        <v/>
      </c>
      <c r="J36" s="6">
        <f>IFERROR(XLOOKUP(A36, 'Base Exámenes'!$C$5:$C$154, 'Base Exámenes'!$G$5:$G$154), "")</f>
        <v/>
      </c>
      <c r="K36" s="6">
        <f>IFERROR(XLOOKUP(A36, 'Base Exámenes'!$C$5:$C$154, 'Base Exámenes'!$H$5:$H$154), "anonymous")</f>
        <v/>
      </c>
    </row>
    <row r="37">
      <c r="A37" s="4">
        <f>'Base Oficial'!A37</f>
        <v/>
      </c>
      <c r="B37" s="6">
        <f>'Base Oficial'!B37</f>
        <v/>
      </c>
      <c r="C37" s="6">
        <f>'Base Oficial'!F37</f>
        <v/>
      </c>
      <c r="D37" s="6">
        <f>'Base Oficial'!G37</f>
        <v/>
      </c>
      <c r="E37" s="6">
        <f>'Base Oficial'!D37</f>
        <v/>
      </c>
      <c r="F37" s="4">
        <f>IF(ISNUMBER(XLOOKUP(A37, 'Base Exámenes'!$C$5:$C$154, 'Base Exámenes'!$E$5:$E$154)), "Completado", "Pendiente")</f>
        <v/>
      </c>
      <c r="G37" s="6">
        <f>IFERROR(XLOOKUP(A37, 'Base Exámenes'!$C$5:$C$154, 'Base Exámenes'!$D$5:$D$154), "")</f>
        <v/>
      </c>
      <c r="H37" s="6">
        <f>IFERROR(XLOOKUP(A37, 'Base Exámenes'!$C$5:$C$154, 'Base Exámenes'!$E$5:$E$154), "")</f>
        <v/>
      </c>
      <c r="I37" s="7">
        <f>IFERROR(XLOOKUP(A37, 'Base Exámenes'!$C$5:$C$154, 'Base Exámenes'!$F$5:$F$154), "")</f>
        <v/>
      </c>
      <c r="J37" s="6">
        <f>IFERROR(XLOOKUP(A37, 'Base Exámenes'!$C$5:$C$154, 'Base Exámenes'!$G$5:$G$154), "")</f>
        <v/>
      </c>
      <c r="K37" s="6">
        <f>IFERROR(XLOOKUP(A37, 'Base Exámenes'!$C$5:$C$154, 'Base Exámenes'!$H$5:$H$154), "anonymous")</f>
        <v/>
      </c>
    </row>
    <row r="38">
      <c r="A38" s="4">
        <f>'Base Oficial'!A38</f>
        <v/>
      </c>
      <c r="B38" s="6">
        <f>'Base Oficial'!B38</f>
        <v/>
      </c>
      <c r="C38" s="6">
        <f>'Base Oficial'!F38</f>
        <v/>
      </c>
      <c r="D38" s="6">
        <f>'Base Oficial'!G38</f>
        <v/>
      </c>
      <c r="E38" s="6">
        <f>'Base Oficial'!D38</f>
        <v/>
      </c>
      <c r="F38" s="4">
        <f>IF(ISNUMBER(XLOOKUP(A38, 'Base Exámenes'!$C$5:$C$154, 'Base Exámenes'!$E$5:$E$154)), "Completado", "Pendiente")</f>
        <v/>
      </c>
      <c r="G38" s="6">
        <f>IFERROR(XLOOKUP(A38, 'Base Exámenes'!$C$5:$C$154, 'Base Exámenes'!$D$5:$D$154), "")</f>
        <v/>
      </c>
      <c r="H38" s="6">
        <f>IFERROR(XLOOKUP(A38, 'Base Exámenes'!$C$5:$C$154, 'Base Exámenes'!$E$5:$E$154), "")</f>
        <v/>
      </c>
      <c r="I38" s="7">
        <f>IFERROR(XLOOKUP(A38, 'Base Exámenes'!$C$5:$C$154, 'Base Exámenes'!$F$5:$F$154), "")</f>
        <v/>
      </c>
      <c r="J38" s="6">
        <f>IFERROR(XLOOKUP(A38, 'Base Exámenes'!$C$5:$C$154, 'Base Exámenes'!$G$5:$G$154), "")</f>
        <v/>
      </c>
      <c r="K38" s="6">
        <f>IFERROR(XLOOKUP(A38, 'Base Exámenes'!$C$5:$C$154, 'Base Exámenes'!$H$5:$H$154), "anonymous")</f>
        <v/>
      </c>
    </row>
    <row r="39">
      <c r="A39" s="4">
        <f>'Base Oficial'!A39</f>
        <v/>
      </c>
      <c r="B39" s="6">
        <f>'Base Oficial'!B39</f>
        <v/>
      </c>
      <c r="C39" s="6">
        <f>'Base Oficial'!F39</f>
        <v/>
      </c>
      <c r="D39" s="6">
        <f>'Base Oficial'!G39</f>
        <v/>
      </c>
      <c r="E39" s="6">
        <f>'Base Oficial'!D39</f>
        <v/>
      </c>
      <c r="F39" s="4">
        <f>IF(ISNUMBER(XLOOKUP(A39, 'Base Exámenes'!$C$5:$C$154, 'Base Exámenes'!$E$5:$E$154)), "Completado", "Pendiente")</f>
        <v/>
      </c>
      <c r="G39" s="6">
        <f>IFERROR(XLOOKUP(A39, 'Base Exámenes'!$C$5:$C$154, 'Base Exámenes'!$D$5:$D$154), "")</f>
        <v/>
      </c>
      <c r="H39" s="6">
        <f>IFERROR(XLOOKUP(A39, 'Base Exámenes'!$C$5:$C$154, 'Base Exámenes'!$E$5:$E$154), "")</f>
        <v/>
      </c>
      <c r="I39" s="7">
        <f>IFERROR(XLOOKUP(A39, 'Base Exámenes'!$C$5:$C$154, 'Base Exámenes'!$F$5:$F$154), "")</f>
        <v/>
      </c>
      <c r="J39" s="6">
        <f>IFERROR(XLOOKUP(A39, 'Base Exámenes'!$C$5:$C$154, 'Base Exámenes'!$G$5:$G$154), "")</f>
        <v/>
      </c>
      <c r="K39" s="6">
        <f>IFERROR(XLOOKUP(A39, 'Base Exámenes'!$C$5:$C$154, 'Base Exámenes'!$H$5:$H$154), "anonymous")</f>
        <v/>
      </c>
    </row>
    <row r="40">
      <c r="A40" s="4">
        <f>'Base Oficial'!A40</f>
        <v/>
      </c>
      <c r="B40" s="6">
        <f>'Base Oficial'!B40</f>
        <v/>
      </c>
      <c r="C40" s="6">
        <f>'Base Oficial'!F40</f>
        <v/>
      </c>
      <c r="D40" s="6">
        <f>'Base Oficial'!G40</f>
        <v/>
      </c>
      <c r="E40" s="6">
        <f>'Base Oficial'!D40</f>
        <v/>
      </c>
      <c r="F40" s="4">
        <f>IF(ISNUMBER(XLOOKUP(A40, 'Base Exámenes'!$C$5:$C$154, 'Base Exámenes'!$E$5:$E$154)), "Completado", "Pendiente")</f>
        <v/>
      </c>
      <c r="G40" s="6">
        <f>IFERROR(XLOOKUP(A40, 'Base Exámenes'!$C$5:$C$154, 'Base Exámenes'!$D$5:$D$154), "")</f>
        <v/>
      </c>
      <c r="H40" s="6">
        <f>IFERROR(XLOOKUP(A40, 'Base Exámenes'!$C$5:$C$154, 'Base Exámenes'!$E$5:$E$154), "")</f>
        <v/>
      </c>
      <c r="I40" s="7">
        <f>IFERROR(XLOOKUP(A40, 'Base Exámenes'!$C$5:$C$154, 'Base Exámenes'!$F$5:$F$154), "")</f>
        <v/>
      </c>
      <c r="J40" s="6">
        <f>IFERROR(XLOOKUP(A40, 'Base Exámenes'!$C$5:$C$154, 'Base Exámenes'!$G$5:$G$154), "")</f>
        <v/>
      </c>
      <c r="K40" s="6">
        <f>IFERROR(XLOOKUP(A40, 'Base Exámenes'!$C$5:$C$154, 'Base Exámenes'!$H$5:$H$154), "anonymous")</f>
        <v/>
      </c>
    </row>
    <row r="41">
      <c r="A41" s="4">
        <f>'Base Oficial'!A41</f>
        <v/>
      </c>
      <c r="B41" s="6">
        <f>'Base Oficial'!B41</f>
        <v/>
      </c>
      <c r="C41" s="6">
        <f>'Base Oficial'!F41</f>
        <v/>
      </c>
      <c r="D41" s="6">
        <f>'Base Oficial'!G41</f>
        <v/>
      </c>
      <c r="E41" s="6">
        <f>'Base Oficial'!D41</f>
        <v/>
      </c>
      <c r="F41" s="4">
        <f>IF(ISNUMBER(XLOOKUP(A41, 'Base Exámenes'!$C$5:$C$154, 'Base Exámenes'!$E$5:$E$154)), "Completado", "Pendiente")</f>
        <v/>
      </c>
      <c r="G41" s="6">
        <f>IFERROR(XLOOKUP(A41, 'Base Exámenes'!$C$5:$C$154, 'Base Exámenes'!$D$5:$D$154), "")</f>
        <v/>
      </c>
      <c r="H41" s="6">
        <f>IFERROR(XLOOKUP(A41, 'Base Exámenes'!$C$5:$C$154, 'Base Exámenes'!$E$5:$E$154), "")</f>
        <v/>
      </c>
      <c r="I41" s="7">
        <f>IFERROR(XLOOKUP(A41, 'Base Exámenes'!$C$5:$C$154, 'Base Exámenes'!$F$5:$F$154), "")</f>
        <v/>
      </c>
      <c r="J41" s="6">
        <f>IFERROR(XLOOKUP(A41, 'Base Exámenes'!$C$5:$C$154, 'Base Exámenes'!$G$5:$G$154), "")</f>
        <v/>
      </c>
      <c r="K41" s="6">
        <f>IFERROR(XLOOKUP(A41, 'Base Exámenes'!$C$5:$C$154, 'Base Exámenes'!$H$5:$H$154), "anonymous")</f>
        <v/>
      </c>
    </row>
    <row r="42">
      <c r="A42" s="4">
        <f>'Base Oficial'!A42</f>
        <v/>
      </c>
      <c r="B42" s="6">
        <f>'Base Oficial'!B42</f>
        <v/>
      </c>
      <c r="C42" s="6">
        <f>'Base Oficial'!F42</f>
        <v/>
      </c>
      <c r="D42" s="6">
        <f>'Base Oficial'!G42</f>
        <v/>
      </c>
      <c r="E42" s="6">
        <f>'Base Oficial'!D42</f>
        <v/>
      </c>
      <c r="F42" s="4">
        <f>IF(ISNUMBER(XLOOKUP(A42, 'Base Exámenes'!$C$5:$C$154, 'Base Exámenes'!$E$5:$E$154)), "Completado", "Pendiente")</f>
        <v/>
      </c>
      <c r="G42" s="6">
        <f>IFERROR(XLOOKUP(A42, 'Base Exámenes'!$C$5:$C$154, 'Base Exámenes'!$D$5:$D$154), "")</f>
        <v/>
      </c>
      <c r="H42" s="6">
        <f>IFERROR(XLOOKUP(A42, 'Base Exámenes'!$C$5:$C$154, 'Base Exámenes'!$E$5:$E$154), "")</f>
        <v/>
      </c>
      <c r="I42" s="7">
        <f>IFERROR(XLOOKUP(A42, 'Base Exámenes'!$C$5:$C$154, 'Base Exámenes'!$F$5:$F$154), "")</f>
        <v/>
      </c>
      <c r="J42" s="6">
        <f>IFERROR(XLOOKUP(A42, 'Base Exámenes'!$C$5:$C$154, 'Base Exámenes'!$G$5:$G$154), "")</f>
        <v/>
      </c>
      <c r="K42" s="6">
        <f>IFERROR(XLOOKUP(A42, 'Base Exámenes'!$C$5:$C$154, 'Base Exámenes'!$H$5:$H$154), "anonymous")</f>
        <v/>
      </c>
    </row>
    <row r="43">
      <c r="A43" s="4">
        <f>'Base Oficial'!A43</f>
        <v/>
      </c>
      <c r="B43" s="6">
        <f>'Base Oficial'!B43</f>
        <v/>
      </c>
      <c r="C43" s="6">
        <f>'Base Oficial'!F43</f>
        <v/>
      </c>
      <c r="D43" s="6">
        <f>'Base Oficial'!G43</f>
        <v/>
      </c>
      <c r="E43" s="6">
        <f>'Base Oficial'!D43</f>
        <v/>
      </c>
      <c r="F43" s="4">
        <f>IF(ISNUMBER(XLOOKUP(A43, 'Base Exámenes'!$C$5:$C$154, 'Base Exámenes'!$E$5:$E$154)), "Completado", "Pendiente")</f>
        <v/>
      </c>
      <c r="G43" s="6">
        <f>IFERROR(XLOOKUP(A43, 'Base Exámenes'!$C$5:$C$154, 'Base Exámenes'!$D$5:$D$154), "")</f>
        <v/>
      </c>
      <c r="H43" s="6">
        <f>IFERROR(XLOOKUP(A43, 'Base Exámenes'!$C$5:$C$154, 'Base Exámenes'!$E$5:$E$154), "")</f>
        <v/>
      </c>
      <c r="I43" s="7">
        <f>IFERROR(XLOOKUP(A43, 'Base Exámenes'!$C$5:$C$154, 'Base Exámenes'!$F$5:$F$154), "")</f>
        <v/>
      </c>
      <c r="J43" s="6">
        <f>IFERROR(XLOOKUP(A43, 'Base Exámenes'!$C$5:$C$154, 'Base Exámenes'!$G$5:$G$154), "")</f>
        <v/>
      </c>
      <c r="K43" s="6">
        <f>IFERROR(XLOOKUP(A43, 'Base Exámenes'!$C$5:$C$154, 'Base Exámenes'!$H$5:$H$154), "anonymous")</f>
        <v/>
      </c>
    </row>
    <row r="44">
      <c r="A44" s="4">
        <f>'Base Oficial'!A44</f>
        <v/>
      </c>
      <c r="B44" s="6">
        <f>'Base Oficial'!B44</f>
        <v/>
      </c>
      <c r="C44" s="6">
        <f>'Base Oficial'!F44</f>
        <v/>
      </c>
      <c r="D44" s="6">
        <f>'Base Oficial'!G44</f>
        <v/>
      </c>
      <c r="E44" s="6">
        <f>'Base Oficial'!D44</f>
        <v/>
      </c>
      <c r="F44" s="4">
        <f>IF(ISNUMBER(XLOOKUP(A44, 'Base Exámenes'!$C$5:$C$154, 'Base Exámenes'!$E$5:$E$154)), "Completado", "Pendiente")</f>
        <v/>
      </c>
      <c r="G44" s="6">
        <f>IFERROR(XLOOKUP(A44, 'Base Exámenes'!$C$5:$C$154, 'Base Exámenes'!$D$5:$D$154), "")</f>
        <v/>
      </c>
      <c r="H44" s="6">
        <f>IFERROR(XLOOKUP(A44, 'Base Exámenes'!$C$5:$C$154, 'Base Exámenes'!$E$5:$E$154), "")</f>
        <v/>
      </c>
      <c r="I44" s="7">
        <f>IFERROR(XLOOKUP(A44, 'Base Exámenes'!$C$5:$C$154, 'Base Exámenes'!$F$5:$F$154), "")</f>
        <v/>
      </c>
      <c r="J44" s="6">
        <f>IFERROR(XLOOKUP(A44, 'Base Exámenes'!$C$5:$C$154, 'Base Exámenes'!$G$5:$G$154), "")</f>
        <v/>
      </c>
      <c r="K44" s="6">
        <f>IFERROR(XLOOKUP(A44, 'Base Exámenes'!$C$5:$C$154, 'Base Exámenes'!$H$5:$H$154), "anonymous")</f>
        <v/>
      </c>
    </row>
    <row r="45">
      <c r="A45" s="4">
        <f>'Base Oficial'!A45</f>
        <v/>
      </c>
      <c r="B45" s="6">
        <f>'Base Oficial'!B45</f>
        <v/>
      </c>
      <c r="C45" s="6">
        <f>'Base Oficial'!F45</f>
        <v/>
      </c>
      <c r="D45" s="6">
        <f>'Base Oficial'!G45</f>
        <v/>
      </c>
      <c r="E45" s="6">
        <f>'Base Oficial'!D45</f>
        <v/>
      </c>
      <c r="F45" s="4">
        <f>IF(ISNUMBER(XLOOKUP(A45, 'Base Exámenes'!$C$5:$C$154, 'Base Exámenes'!$E$5:$E$154)), "Completado", "Pendiente")</f>
        <v/>
      </c>
      <c r="G45" s="6">
        <f>IFERROR(XLOOKUP(A45, 'Base Exámenes'!$C$5:$C$154, 'Base Exámenes'!$D$5:$D$154), "")</f>
        <v/>
      </c>
      <c r="H45" s="6">
        <f>IFERROR(XLOOKUP(A45, 'Base Exámenes'!$C$5:$C$154, 'Base Exámenes'!$E$5:$E$154), "")</f>
        <v/>
      </c>
      <c r="I45" s="7">
        <f>IFERROR(XLOOKUP(A45, 'Base Exámenes'!$C$5:$C$154, 'Base Exámenes'!$F$5:$F$154), "")</f>
        <v/>
      </c>
      <c r="J45" s="6">
        <f>IFERROR(XLOOKUP(A45, 'Base Exámenes'!$C$5:$C$154, 'Base Exámenes'!$G$5:$G$154), "")</f>
        <v/>
      </c>
      <c r="K45" s="6">
        <f>IFERROR(XLOOKUP(A45, 'Base Exámenes'!$C$5:$C$154, 'Base Exámenes'!$H$5:$H$154), "anonymous")</f>
        <v/>
      </c>
    </row>
    <row r="46">
      <c r="A46" s="4">
        <f>'Base Oficial'!A46</f>
        <v/>
      </c>
      <c r="B46" s="6">
        <f>'Base Oficial'!B46</f>
        <v/>
      </c>
      <c r="C46" s="6">
        <f>'Base Oficial'!F46</f>
        <v/>
      </c>
      <c r="D46" s="6">
        <f>'Base Oficial'!G46</f>
        <v/>
      </c>
      <c r="E46" s="6">
        <f>'Base Oficial'!D46</f>
        <v/>
      </c>
      <c r="F46" s="4">
        <f>IF(ISNUMBER(XLOOKUP(A46, 'Base Exámenes'!$C$5:$C$154, 'Base Exámenes'!$E$5:$E$154)), "Completado", "Pendiente")</f>
        <v/>
      </c>
      <c r="G46" s="6">
        <f>IFERROR(XLOOKUP(A46, 'Base Exámenes'!$C$5:$C$154, 'Base Exámenes'!$D$5:$D$154), "")</f>
        <v/>
      </c>
      <c r="H46" s="6">
        <f>IFERROR(XLOOKUP(A46, 'Base Exámenes'!$C$5:$C$154, 'Base Exámenes'!$E$5:$E$154), "")</f>
        <v/>
      </c>
      <c r="I46" s="7">
        <f>IFERROR(XLOOKUP(A46, 'Base Exámenes'!$C$5:$C$154, 'Base Exámenes'!$F$5:$F$154), "")</f>
        <v/>
      </c>
      <c r="J46" s="6">
        <f>IFERROR(XLOOKUP(A46, 'Base Exámenes'!$C$5:$C$154, 'Base Exámenes'!$G$5:$G$154), "")</f>
        <v/>
      </c>
      <c r="K46" s="6">
        <f>IFERROR(XLOOKUP(A46, 'Base Exámenes'!$C$5:$C$154, 'Base Exámenes'!$H$5:$H$154), "anonymous")</f>
        <v/>
      </c>
    </row>
    <row r="47">
      <c r="A47" s="4">
        <f>'Base Oficial'!A47</f>
        <v/>
      </c>
      <c r="B47" s="6">
        <f>'Base Oficial'!B47</f>
        <v/>
      </c>
      <c r="C47" s="6">
        <f>'Base Oficial'!F47</f>
        <v/>
      </c>
      <c r="D47" s="6">
        <f>'Base Oficial'!G47</f>
        <v/>
      </c>
      <c r="E47" s="6">
        <f>'Base Oficial'!D47</f>
        <v/>
      </c>
      <c r="F47" s="4">
        <f>IF(ISNUMBER(XLOOKUP(A47, 'Base Exámenes'!$C$5:$C$154, 'Base Exámenes'!$E$5:$E$154)), "Completado", "Pendiente")</f>
        <v/>
      </c>
      <c r="G47" s="6">
        <f>IFERROR(XLOOKUP(A47, 'Base Exámenes'!$C$5:$C$154, 'Base Exámenes'!$D$5:$D$154), "")</f>
        <v/>
      </c>
      <c r="H47" s="6">
        <f>IFERROR(XLOOKUP(A47, 'Base Exámenes'!$C$5:$C$154, 'Base Exámenes'!$E$5:$E$154), "")</f>
        <v/>
      </c>
      <c r="I47" s="7">
        <f>IFERROR(XLOOKUP(A47, 'Base Exámenes'!$C$5:$C$154, 'Base Exámenes'!$F$5:$F$154), "")</f>
        <v/>
      </c>
      <c r="J47" s="6">
        <f>IFERROR(XLOOKUP(A47, 'Base Exámenes'!$C$5:$C$154, 'Base Exámenes'!$G$5:$G$154), "")</f>
        <v/>
      </c>
      <c r="K47" s="6">
        <f>IFERROR(XLOOKUP(A47, 'Base Exámenes'!$C$5:$C$154, 'Base Exámenes'!$H$5:$H$154), "anonymous")</f>
        <v/>
      </c>
    </row>
    <row r="48">
      <c r="A48" s="4">
        <f>'Base Oficial'!A48</f>
        <v/>
      </c>
      <c r="B48" s="6">
        <f>'Base Oficial'!B48</f>
        <v/>
      </c>
      <c r="C48" s="6">
        <f>'Base Oficial'!F48</f>
        <v/>
      </c>
      <c r="D48" s="6">
        <f>'Base Oficial'!G48</f>
        <v/>
      </c>
      <c r="E48" s="6">
        <f>'Base Oficial'!D48</f>
        <v/>
      </c>
      <c r="F48" s="4">
        <f>IF(ISNUMBER(XLOOKUP(A48, 'Base Exámenes'!$C$5:$C$154, 'Base Exámenes'!$E$5:$E$154)), "Completado", "Pendiente")</f>
        <v/>
      </c>
      <c r="G48" s="6">
        <f>IFERROR(XLOOKUP(A48, 'Base Exámenes'!$C$5:$C$154, 'Base Exámenes'!$D$5:$D$154), "")</f>
        <v/>
      </c>
      <c r="H48" s="6">
        <f>IFERROR(XLOOKUP(A48, 'Base Exámenes'!$C$5:$C$154, 'Base Exámenes'!$E$5:$E$154), "")</f>
        <v/>
      </c>
      <c r="I48" s="7">
        <f>IFERROR(XLOOKUP(A48, 'Base Exámenes'!$C$5:$C$154, 'Base Exámenes'!$F$5:$F$154), "")</f>
        <v/>
      </c>
      <c r="J48" s="6">
        <f>IFERROR(XLOOKUP(A48, 'Base Exámenes'!$C$5:$C$154, 'Base Exámenes'!$G$5:$G$154), "")</f>
        <v/>
      </c>
      <c r="K48" s="6">
        <f>IFERROR(XLOOKUP(A48, 'Base Exámenes'!$C$5:$C$154, 'Base Exámenes'!$H$5:$H$154), "anonymous")</f>
        <v/>
      </c>
    </row>
    <row r="49">
      <c r="A49" s="4">
        <f>'Base Oficial'!A49</f>
        <v/>
      </c>
      <c r="B49" s="6">
        <f>'Base Oficial'!B49</f>
        <v/>
      </c>
      <c r="C49" s="6">
        <f>'Base Oficial'!F49</f>
        <v/>
      </c>
      <c r="D49" s="6">
        <f>'Base Oficial'!G49</f>
        <v/>
      </c>
      <c r="E49" s="6">
        <f>'Base Oficial'!D49</f>
        <v/>
      </c>
      <c r="F49" s="4">
        <f>IF(ISNUMBER(XLOOKUP(A49, 'Base Exámenes'!$C$5:$C$154, 'Base Exámenes'!$E$5:$E$154)), "Completado", "Pendiente")</f>
        <v/>
      </c>
      <c r="G49" s="6">
        <f>IFERROR(XLOOKUP(A49, 'Base Exámenes'!$C$5:$C$154, 'Base Exámenes'!$D$5:$D$154), "")</f>
        <v/>
      </c>
      <c r="H49" s="6">
        <f>IFERROR(XLOOKUP(A49, 'Base Exámenes'!$C$5:$C$154, 'Base Exámenes'!$E$5:$E$154), "")</f>
        <v/>
      </c>
      <c r="I49" s="7">
        <f>IFERROR(XLOOKUP(A49, 'Base Exámenes'!$C$5:$C$154, 'Base Exámenes'!$F$5:$F$154), "")</f>
        <v/>
      </c>
      <c r="J49" s="6">
        <f>IFERROR(XLOOKUP(A49, 'Base Exámenes'!$C$5:$C$154, 'Base Exámenes'!$G$5:$G$154), "")</f>
        <v/>
      </c>
      <c r="K49" s="6">
        <f>IFERROR(XLOOKUP(A49, 'Base Exámenes'!$C$5:$C$154, 'Base Exámenes'!$H$5:$H$154), "anonymous")</f>
        <v/>
      </c>
    </row>
    <row r="50">
      <c r="A50" s="4">
        <f>'Base Oficial'!A50</f>
        <v/>
      </c>
      <c r="B50" s="6">
        <f>'Base Oficial'!B50</f>
        <v/>
      </c>
      <c r="C50" s="6">
        <f>'Base Oficial'!F50</f>
        <v/>
      </c>
      <c r="D50" s="6">
        <f>'Base Oficial'!G50</f>
        <v/>
      </c>
      <c r="E50" s="6">
        <f>'Base Oficial'!D50</f>
        <v/>
      </c>
      <c r="F50" s="4">
        <f>IF(ISNUMBER(XLOOKUP(A50, 'Base Exámenes'!$C$5:$C$154, 'Base Exámenes'!$E$5:$E$154)), "Completado", "Pendiente")</f>
        <v/>
      </c>
      <c r="G50" s="6">
        <f>IFERROR(XLOOKUP(A50, 'Base Exámenes'!$C$5:$C$154, 'Base Exámenes'!$D$5:$D$154), "")</f>
        <v/>
      </c>
      <c r="H50" s="6">
        <f>IFERROR(XLOOKUP(A50, 'Base Exámenes'!$C$5:$C$154, 'Base Exámenes'!$E$5:$E$154), "")</f>
        <v/>
      </c>
      <c r="I50" s="7">
        <f>IFERROR(XLOOKUP(A50, 'Base Exámenes'!$C$5:$C$154, 'Base Exámenes'!$F$5:$F$154), "")</f>
        <v/>
      </c>
      <c r="J50" s="6">
        <f>IFERROR(XLOOKUP(A50, 'Base Exámenes'!$C$5:$C$154, 'Base Exámenes'!$G$5:$G$154), "")</f>
        <v/>
      </c>
      <c r="K50" s="6">
        <f>IFERROR(XLOOKUP(A50, 'Base Exámenes'!$C$5:$C$154, 'Base Exámenes'!$H$5:$H$154), "anonymous")</f>
        <v/>
      </c>
    </row>
    <row r="51">
      <c r="A51" s="4">
        <f>'Base Oficial'!A51</f>
        <v/>
      </c>
      <c r="B51" s="6">
        <f>'Base Oficial'!B51</f>
        <v/>
      </c>
      <c r="C51" s="6">
        <f>'Base Oficial'!F51</f>
        <v/>
      </c>
      <c r="D51" s="6">
        <f>'Base Oficial'!G51</f>
        <v/>
      </c>
      <c r="E51" s="6">
        <f>'Base Oficial'!D51</f>
        <v/>
      </c>
      <c r="F51" s="4">
        <f>IF(ISNUMBER(XLOOKUP(A51, 'Base Exámenes'!$C$5:$C$154, 'Base Exámenes'!$E$5:$E$154)), "Completado", "Pendiente")</f>
        <v/>
      </c>
      <c r="G51" s="6">
        <f>IFERROR(XLOOKUP(A51, 'Base Exámenes'!$C$5:$C$154, 'Base Exámenes'!$D$5:$D$154), "")</f>
        <v/>
      </c>
      <c r="H51" s="6">
        <f>IFERROR(XLOOKUP(A51, 'Base Exámenes'!$C$5:$C$154, 'Base Exámenes'!$E$5:$E$154), "")</f>
        <v/>
      </c>
      <c r="I51" s="7">
        <f>IFERROR(XLOOKUP(A51, 'Base Exámenes'!$C$5:$C$154, 'Base Exámenes'!$F$5:$F$154), "")</f>
        <v/>
      </c>
      <c r="J51" s="6">
        <f>IFERROR(XLOOKUP(A51, 'Base Exámenes'!$C$5:$C$154, 'Base Exámenes'!$G$5:$G$154), "")</f>
        <v/>
      </c>
      <c r="K51" s="6">
        <f>IFERROR(XLOOKUP(A51, 'Base Exámenes'!$C$5:$C$154, 'Base Exámenes'!$H$5:$H$154), "anonymous")</f>
        <v/>
      </c>
    </row>
    <row r="52">
      <c r="A52" s="4">
        <f>'Base Oficial'!A52</f>
        <v/>
      </c>
      <c r="B52" s="6">
        <f>'Base Oficial'!B52</f>
        <v/>
      </c>
      <c r="C52" s="6">
        <f>'Base Oficial'!F52</f>
        <v/>
      </c>
      <c r="D52" s="6">
        <f>'Base Oficial'!G52</f>
        <v/>
      </c>
      <c r="E52" s="6">
        <f>'Base Oficial'!D52</f>
        <v/>
      </c>
      <c r="F52" s="4">
        <f>IF(ISNUMBER(XLOOKUP(A52, 'Base Exámenes'!$C$5:$C$154, 'Base Exámenes'!$E$5:$E$154)), "Completado", "Pendiente")</f>
        <v/>
      </c>
      <c r="G52" s="6">
        <f>IFERROR(XLOOKUP(A52, 'Base Exámenes'!$C$5:$C$154, 'Base Exámenes'!$D$5:$D$154), "")</f>
        <v/>
      </c>
      <c r="H52" s="6">
        <f>IFERROR(XLOOKUP(A52, 'Base Exámenes'!$C$5:$C$154, 'Base Exámenes'!$E$5:$E$154), "")</f>
        <v/>
      </c>
      <c r="I52" s="7">
        <f>IFERROR(XLOOKUP(A52, 'Base Exámenes'!$C$5:$C$154, 'Base Exámenes'!$F$5:$F$154), "")</f>
        <v/>
      </c>
      <c r="J52" s="6">
        <f>IFERROR(XLOOKUP(A52, 'Base Exámenes'!$C$5:$C$154, 'Base Exámenes'!$G$5:$G$154), "")</f>
        <v/>
      </c>
      <c r="K52" s="6">
        <f>IFERROR(XLOOKUP(A52, 'Base Exámenes'!$C$5:$C$154, 'Base Exámenes'!$H$5:$H$154), "anonymous")</f>
        <v/>
      </c>
    </row>
    <row r="53">
      <c r="A53" s="4">
        <f>'Base Oficial'!A53</f>
        <v/>
      </c>
      <c r="B53" s="6">
        <f>'Base Oficial'!B53</f>
        <v/>
      </c>
      <c r="C53" s="6">
        <f>'Base Oficial'!F53</f>
        <v/>
      </c>
      <c r="D53" s="6">
        <f>'Base Oficial'!G53</f>
        <v/>
      </c>
      <c r="E53" s="6">
        <f>'Base Oficial'!D53</f>
        <v/>
      </c>
      <c r="F53" s="4">
        <f>IF(ISNUMBER(XLOOKUP(A53, 'Base Exámenes'!$C$5:$C$154, 'Base Exámenes'!$E$5:$E$154)), "Completado", "Pendiente")</f>
        <v/>
      </c>
      <c r="G53" s="6">
        <f>IFERROR(XLOOKUP(A53, 'Base Exámenes'!$C$5:$C$154, 'Base Exámenes'!$D$5:$D$154), "")</f>
        <v/>
      </c>
      <c r="H53" s="6">
        <f>IFERROR(XLOOKUP(A53, 'Base Exámenes'!$C$5:$C$154, 'Base Exámenes'!$E$5:$E$154), "")</f>
        <v/>
      </c>
      <c r="I53" s="7">
        <f>IFERROR(XLOOKUP(A53, 'Base Exámenes'!$C$5:$C$154, 'Base Exámenes'!$F$5:$F$154), "")</f>
        <v/>
      </c>
      <c r="J53" s="6">
        <f>IFERROR(XLOOKUP(A53, 'Base Exámenes'!$C$5:$C$154, 'Base Exámenes'!$G$5:$G$154), "")</f>
        <v/>
      </c>
      <c r="K53" s="6">
        <f>IFERROR(XLOOKUP(A53, 'Base Exámenes'!$C$5:$C$154, 'Base Exámenes'!$H$5:$H$154), "anonymous")</f>
        <v/>
      </c>
    </row>
    <row r="54">
      <c r="A54" s="4">
        <f>'Base Oficial'!A54</f>
        <v/>
      </c>
      <c r="B54" s="6">
        <f>'Base Oficial'!B54</f>
        <v/>
      </c>
      <c r="C54" s="6">
        <f>'Base Oficial'!F54</f>
        <v/>
      </c>
      <c r="D54" s="6">
        <f>'Base Oficial'!G54</f>
        <v/>
      </c>
      <c r="E54" s="6">
        <f>'Base Oficial'!D54</f>
        <v/>
      </c>
      <c r="F54" s="4">
        <f>IF(ISNUMBER(XLOOKUP(A54, 'Base Exámenes'!$C$5:$C$154, 'Base Exámenes'!$E$5:$E$154)), "Completado", "Pendiente")</f>
        <v/>
      </c>
      <c r="G54" s="6">
        <f>IFERROR(XLOOKUP(A54, 'Base Exámenes'!$C$5:$C$154, 'Base Exámenes'!$D$5:$D$154), "")</f>
        <v/>
      </c>
      <c r="H54" s="6">
        <f>IFERROR(XLOOKUP(A54, 'Base Exámenes'!$C$5:$C$154, 'Base Exámenes'!$E$5:$E$154), "")</f>
        <v/>
      </c>
      <c r="I54" s="7">
        <f>IFERROR(XLOOKUP(A54, 'Base Exámenes'!$C$5:$C$154, 'Base Exámenes'!$F$5:$F$154), "")</f>
        <v/>
      </c>
      <c r="J54" s="6">
        <f>IFERROR(XLOOKUP(A54, 'Base Exámenes'!$C$5:$C$154, 'Base Exámenes'!$G$5:$G$154), "")</f>
        <v/>
      </c>
      <c r="K54" s="6">
        <f>IFERROR(XLOOKUP(A54, 'Base Exámenes'!$C$5:$C$154, 'Base Exámenes'!$H$5:$H$154), "anonymous")</f>
        <v/>
      </c>
    </row>
    <row r="55">
      <c r="A55" s="4">
        <f>'Base Oficial'!A55</f>
        <v/>
      </c>
      <c r="B55" s="6">
        <f>'Base Oficial'!B55</f>
        <v/>
      </c>
      <c r="C55" s="6">
        <f>'Base Oficial'!F55</f>
        <v/>
      </c>
      <c r="D55" s="6">
        <f>'Base Oficial'!G55</f>
        <v/>
      </c>
      <c r="E55" s="6">
        <f>'Base Oficial'!D55</f>
        <v/>
      </c>
      <c r="F55" s="4">
        <f>IF(ISNUMBER(XLOOKUP(A55, 'Base Exámenes'!$C$5:$C$154, 'Base Exámenes'!$E$5:$E$154)), "Completado", "Pendiente")</f>
        <v/>
      </c>
      <c r="G55" s="6">
        <f>IFERROR(XLOOKUP(A55, 'Base Exámenes'!$C$5:$C$154, 'Base Exámenes'!$D$5:$D$154), "")</f>
        <v/>
      </c>
      <c r="H55" s="6">
        <f>IFERROR(XLOOKUP(A55, 'Base Exámenes'!$C$5:$C$154, 'Base Exámenes'!$E$5:$E$154), "")</f>
        <v/>
      </c>
      <c r="I55" s="7">
        <f>IFERROR(XLOOKUP(A55, 'Base Exámenes'!$C$5:$C$154, 'Base Exámenes'!$F$5:$F$154), "")</f>
        <v/>
      </c>
      <c r="J55" s="6">
        <f>IFERROR(XLOOKUP(A55, 'Base Exámenes'!$C$5:$C$154, 'Base Exámenes'!$G$5:$G$154), "")</f>
        <v/>
      </c>
      <c r="K55" s="6">
        <f>IFERROR(XLOOKUP(A55, 'Base Exámenes'!$C$5:$C$154, 'Base Exámenes'!$H$5:$H$154), "anonymous")</f>
        <v/>
      </c>
    </row>
    <row r="56">
      <c r="A56" s="4">
        <f>'Base Oficial'!A56</f>
        <v/>
      </c>
      <c r="B56" s="6">
        <f>'Base Oficial'!B56</f>
        <v/>
      </c>
      <c r="C56" s="6">
        <f>'Base Oficial'!F56</f>
        <v/>
      </c>
      <c r="D56" s="6">
        <f>'Base Oficial'!G56</f>
        <v/>
      </c>
      <c r="E56" s="6">
        <f>'Base Oficial'!D56</f>
        <v/>
      </c>
      <c r="F56" s="4">
        <f>IF(ISNUMBER(XLOOKUP(A56, 'Base Exámenes'!$C$5:$C$154, 'Base Exámenes'!$E$5:$E$154)), "Completado", "Pendiente")</f>
        <v/>
      </c>
      <c r="G56" s="6">
        <f>IFERROR(XLOOKUP(A56, 'Base Exámenes'!$C$5:$C$154, 'Base Exámenes'!$D$5:$D$154), "")</f>
        <v/>
      </c>
      <c r="H56" s="6">
        <f>IFERROR(XLOOKUP(A56, 'Base Exámenes'!$C$5:$C$154, 'Base Exámenes'!$E$5:$E$154), "")</f>
        <v/>
      </c>
      <c r="I56" s="7">
        <f>IFERROR(XLOOKUP(A56, 'Base Exámenes'!$C$5:$C$154, 'Base Exámenes'!$F$5:$F$154), "")</f>
        <v/>
      </c>
      <c r="J56" s="6">
        <f>IFERROR(XLOOKUP(A56, 'Base Exámenes'!$C$5:$C$154, 'Base Exámenes'!$G$5:$G$154), "")</f>
        <v/>
      </c>
      <c r="K56" s="6">
        <f>IFERROR(XLOOKUP(A56, 'Base Exámenes'!$C$5:$C$154, 'Base Exámenes'!$H$5:$H$154), "anonymous")</f>
        <v/>
      </c>
    </row>
    <row r="57">
      <c r="A57" s="4">
        <f>'Base Oficial'!A57</f>
        <v/>
      </c>
      <c r="B57" s="6">
        <f>'Base Oficial'!B57</f>
        <v/>
      </c>
      <c r="C57" s="6">
        <f>'Base Oficial'!F57</f>
        <v/>
      </c>
      <c r="D57" s="6">
        <f>'Base Oficial'!G57</f>
        <v/>
      </c>
      <c r="E57" s="6">
        <f>'Base Oficial'!D57</f>
        <v/>
      </c>
      <c r="F57" s="4">
        <f>IF(ISNUMBER(XLOOKUP(A57, 'Base Exámenes'!$C$5:$C$154, 'Base Exámenes'!$E$5:$E$154)), "Completado", "Pendiente")</f>
        <v/>
      </c>
      <c r="G57" s="6">
        <f>IFERROR(XLOOKUP(A57, 'Base Exámenes'!$C$5:$C$154, 'Base Exámenes'!$D$5:$D$154), "")</f>
        <v/>
      </c>
      <c r="H57" s="6">
        <f>IFERROR(XLOOKUP(A57, 'Base Exámenes'!$C$5:$C$154, 'Base Exámenes'!$E$5:$E$154), "")</f>
        <v/>
      </c>
      <c r="I57" s="7">
        <f>IFERROR(XLOOKUP(A57, 'Base Exámenes'!$C$5:$C$154, 'Base Exámenes'!$F$5:$F$154), "")</f>
        <v/>
      </c>
      <c r="J57" s="6">
        <f>IFERROR(XLOOKUP(A57, 'Base Exámenes'!$C$5:$C$154, 'Base Exámenes'!$G$5:$G$154), "")</f>
        <v/>
      </c>
      <c r="K57" s="6">
        <f>IFERROR(XLOOKUP(A57, 'Base Exámenes'!$C$5:$C$154, 'Base Exámenes'!$H$5:$H$154), "anonymous")</f>
        <v/>
      </c>
    </row>
    <row r="58">
      <c r="A58" s="4">
        <f>'Base Oficial'!A58</f>
        <v/>
      </c>
      <c r="B58" s="6">
        <f>'Base Oficial'!B58</f>
        <v/>
      </c>
      <c r="C58" s="6">
        <f>'Base Oficial'!F58</f>
        <v/>
      </c>
      <c r="D58" s="6">
        <f>'Base Oficial'!G58</f>
        <v/>
      </c>
      <c r="E58" s="6">
        <f>'Base Oficial'!D58</f>
        <v/>
      </c>
      <c r="F58" s="4">
        <f>IF(ISNUMBER(XLOOKUP(A58, 'Base Exámenes'!$C$5:$C$154, 'Base Exámenes'!$E$5:$E$154)), "Completado", "Pendiente")</f>
        <v/>
      </c>
      <c r="G58" s="6">
        <f>IFERROR(XLOOKUP(A58, 'Base Exámenes'!$C$5:$C$154, 'Base Exámenes'!$D$5:$D$154), "")</f>
        <v/>
      </c>
      <c r="H58" s="6">
        <f>IFERROR(XLOOKUP(A58, 'Base Exámenes'!$C$5:$C$154, 'Base Exámenes'!$E$5:$E$154), "")</f>
        <v/>
      </c>
      <c r="I58" s="7">
        <f>IFERROR(XLOOKUP(A58, 'Base Exámenes'!$C$5:$C$154, 'Base Exámenes'!$F$5:$F$154), "")</f>
        <v/>
      </c>
      <c r="J58" s="6">
        <f>IFERROR(XLOOKUP(A58, 'Base Exámenes'!$C$5:$C$154, 'Base Exámenes'!$G$5:$G$154), "")</f>
        <v/>
      </c>
      <c r="K58" s="6">
        <f>IFERROR(XLOOKUP(A58, 'Base Exámenes'!$C$5:$C$154, 'Base Exámenes'!$H$5:$H$154), "anonymous")</f>
        <v/>
      </c>
    </row>
    <row r="59">
      <c r="A59" s="4">
        <f>'Base Oficial'!A59</f>
        <v/>
      </c>
      <c r="B59" s="6">
        <f>'Base Oficial'!B59</f>
        <v/>
      </c>
      <c r="C59" s="6">
        <f>'Base Oficial'!F59</f>
        <v/>
      </c>
      <c r="D59" s="6">
        <f>'Base Oficial'!G59</f>
        <v/>
      </c>
      <c r="E59" s="6">
        <f>'Base Oficial'!D59</f>
        <v/>
      </c>
      <c r="F59" s="4">
        <f>IF(ISNUMBER(XLOOKUP(A59, 'Base Exámenes'!$C$5:$C$154, 'Base Exámenes'!$E$5:$E$154)), "Completado", "Pendiente")</f>
        <v/>
      </c>
      <c r="G59" s="6">
        <f>IFERROR(XLOOKUP(A59, 'Base Exámenes'!$C$5:$C$154, 'Base Exámenes'!$D$5:$D$154), "")</f>
        <v/>
      </c>
      <c r="H59" s="6">
        <f>IFERROR(XLOOKUP(A59, 'Base Exámenes'!$C$5:$C$154, 'Base Exámenes'!$E$5:$E$154), "")</f>
        <v/>
      </c>
      <c r="I59" s="7">
        <f>IFERROR(XLOOKUP(A59, 'Base Exámenes'!$C$5:$C$154, 'Base Exámenes'!$F$5:$F$154), "")</f>
        <v/>
      </c>
      <c r="J59" s="6">
        <f>IFERROR(XLOOKUP(A59, 'Base Exámenes'!$C$5:$C$154, 'Base Exámenes'!$G$5:$G$154), "")</f>
        <v/>
      </c>
      <c r="K59" s="6">
        <f>IFERROR(XLOOKUP(A59, 'Base Exámenes'!$C$5:$C$154, 'Base Exámenes'!$H$5:$H$154), "anonymous")</f>
        <v/>
      </c>
    </row>
    <row r="60">
      <c r="A60" s="4">
        <f>'Base Oficial'!A60</f>
        <v/>
      </c>
      <c r="B60" s="6">
        <f>'Base Oficial'!B60</f>
        <v/>
      </c>
      <c r="C60" s="6">
        <f>'Base Oficial'!F60</f>
        <v/>
      </c>
      <c r="D60" s="6">
        <f>'Base Oficial'!G60</f>
        <v/>
      </c>
      <c r="E60" s="6">
        <f>'Base Oficial'!D60</f>
        <v/>
      </c>
      <c r="F60" s="4">
        <f>IF(ISNUMBER(XLOOKUP(A60, 'Base Exámenes'!$C$5:$C$154, 'Base Exámenes'!$E$5:$E$154)), "Completado", "Pendiente")</f>
        <v/>
      </c>
      <c r="G60" s="6">
        <f>IFERROR(XLOOKUP(A60, 'Base Exámenes'!$C$5:$C$154, 'Base Exámenes'!$D$5:$D$154), "")</f>
        <v/>
      </c>
      <c r="H60" s="6">
        <f>IFERROR(XLOOKUP(A60, 'Base Exámenes'!$C$5:$C$154, 'Base Exámenes'!$E$5:$E$154), "")</f>
        <v/>
      </c>
      <c r="I60" s="7">
        <f>IFERROR(XLOOKUP(A60, 'Base Exámenes'!$C$5:$C$154, 'Base Exámenes'!$F$5:$F$154), "")</f>
        <v/>
      </c>
      <c r="J60" s="6">
        <f>IFERROR(XLOOKUP(A60, 'Base Exámenes'!$C$5:$C$154, 'Base Exámenes'!$G$5:$G$154), "")</f>
        <v/>
      </c>
      <c r="K60" s="6">
        <f>IFERROR(XLOOKUP(A60, 'Base Exámenes'!$C$5:$C$154, 'Base Exámenes'!$H$5:$H$154), "anonymous")</f>
        <v/>
      </c>
    </row>
    <row r="61">
      <c r="A61" s="4">
        <f>'Base Oficial'!A61</f>
        <v/>
      </c>
      <c r="B61" s="6">
        <f>'Base Oficial'!B61</f>
        <v/>
      </c>
      <c r="C61" s="6">
        <f>'Base Oficial'!F61</f>
        <v/>
      </c>
      <c r="D61" s="6">
        <f>'Base Oficial'!G61</f>
        <v/>
      </c>
      <c r="E61" s="6">
        <f>'Base Oficial'!D61</f>
        <v/>
      </c>
      <c r="F61" s="4">
        <f>IF(ISNUMBER(XLOOKUP(A61, 'Base Exámenes'!$C$5:$C$154, 'Base Exámenes'!$E$5:$E$154)), "Completado", "Pendiente")</f>
        <v/>
      </c>
      <c r="G61" s="6">
        <f>IFERROR(XLOOKUP(A61, 'Base Exámenes'!$C$5:$C$154, 'Base Exámenes'!$D$5:$D$154), "")</f>
        <v/>
      </c>
      <c r="H61" s="6">
        <f>IFERROR(XLOOKUP(A61, 'Base Exámenes'!$C$5:$C$154, 'Base Exámenes'!$E$5:$E$154), "")</f>
        <v/>
      </c>
      <c r="I61" s="7">
        <f>IFERROR(XLOOKUP(A61, 'Base Exámenes'!$C$5:$C$154, 'Base Exámenes'!$F$5:$F$154), "")</f>
        <v/>
      </c>
      <c r="J61" s="6">
        <f>IFERROR(XLOOKUP(A61, 'Base Exámenes'!$C$5:$C$154, 'Base Exámenes'!$G$5:$G$154), "")</f>
        <v/>
      </c>
      <c r="K61" s="6">
        <f>IFERROR(XLOOKUP(A61, 'Base Exámenes'!$C$5:$C$154, 'Base Exámenes'!$H$5:$H$154), "anonymous")</f>
        <v/>
      </c>
    </row>
    <row r="62">
      <c r="A62" s="4">
        <f>'Base Oficial'!A62</f>
        <v/>
      </c>
      <c r="B62" s="6">
        <f>'Base Oficial'!B62</f>
        <v/>
      </c>
      <c r="C62" s="6">
        <f>'Base Oficial'!F62</f>
        <v/>
      </c>
      <c r="D62" s="6">
        <f>'Base Oficial'!G62</f>
        <v/>
      </c>
      <c r="E62" s="6">
        <f>'Base Oficial'!D62</f>
        <v/>
      </c>
      <c r="F62" s="4">
        <f>IF(ISNUMBER(XLOOKUP(A62, 'Base Exámenes'!$C$5:$C$154, 'Base Exámenes'!$E$5:$E$154)), "Completado", "Pendiente")</f>
        <v/>
      </c>
      <c r="G62" s="6">
        <f>IFERROR(XLOOKUP(A62, 'Base Exámenes'!$C$5:$C$154, 'Base Exámenes'!$D$5:$D$154), "")</f>
        <v/>
      </c>
      <c r="H62" s="6">
        <f>IFERROR(XLOOKUP(A62, 'Base Exámenes'!$C$5:$C$154, 'Base Exámenes'!$E$5:$E$154), "")</f>
        <v/>
      </c>
      <c r="I62" s="7">
        <f>IFERROR(XLOOKUP(A62, 'Base Exámenes'!$C$5:$C$154, 'Base Exámenes'!$F$5:$F$154), "")</f>
        <v/>
      </c>
      <c r="J62" s="6">
        <f>IFERROR(XLOOKUP(A62, 'Base Exámenes'!$C$5:$C$154, 'Base Exámenes'!$G$5:$G$154), "")</f>
        <v/>
      </c>
      <c r="K62" s="6">
        <f>IFERROR(XLOOKUP(A62, 'Base Exámenes'!$C$5:$C$154, 'Base Exámenes'!$H$5:$H$154), "anonymous")</f>
        <v/>
      </c>
    </row>
    <row r="63">
      <c r="A63" s="4">
        <f>'Base Oficial'!A63</f>
        <v/>
      </c>
      <c r="B63" s="6">
        <f>'Base Oficial'!B63</f>
        <v/>
      </c>
      <c r="C63" s="6">
        <f>'Base Oficial'!F63</f>
        <v/>
      </c>
      <c r="D63" s="6">
        <f>'Base Oficial'!G63</f>
        <v/>
      </c>
      <c r="E63" s="6">
        <f>'Base Oficial'!D63</f>
        <v/>
      </c>
      <c r="F63" s="4">
        <f>IF(ISNUMBER(XLOOKUP(A63, 'Base Exámenes'!$C$5:$C$154, 'Base Exámenes'!$E$5:$E$154)), "Completado", "Pendiente")</f>
        <v/>
      </c>
      <c r="G63" s="6">
        <f>IFERROR(XLOOKUP(A63, 'Base Exámenes'!$C$5:$C$154, 'Base Exámenes'!$D$5:$D$154), "")</f>
        <v/>
      </c>
      <c r="H63" s="6">
        <f>IFERROR(XLOOKUP(A63, 'Base Exámenes'!$C$5:$C$154, 'Base Exámenes'!$E$5:$E$154), "")</f>
        <v/>
      </c>
      <c r="I63" s="7">
        <f>IFERROR(XLOOKUP(A63, 'Base Exámenes'!$C$5:$C$154, 'Base Exámenes'!$F$5:$F$154), "")</f>
        <v/>
      </c>
      <c r="J63" s="6">
        <f>IFERROR(XLOOKUP(A63, 'Base Exámenes'!$C$5:$C$154, 'Base Exámenes'!$G$5:$G$154), "")</f>
        <v/>
      </c>
      <c r="K63" s="6">
        <f>IFERROR(XLOOKUP(A63, 'Base Exámenes'!$C$5:$C$154, 'Base Exámenes'!$H$5:$H$154), "anonymous")</f>
        <v/>
      </c>
    </row>
    <row r="64">
      <c r="A64" s="4">
        <f>'Base Oficial'!A64</f>
        <v/>
      </c>
      <c r="B64" s="6">
        <f>'Base Oficial'!B64</f>
        <v/>
      </c>
      <c r="C64" s="6">
        <f>'Base Oficial'!F64</f>
        <v/>
      </c>
      <c r="D64" s="6">
        <f>'Base Oficial'!G64</f>
        <v/>
      </c>
      <c r="E64" s="6">
        <f>'Base Oficial'!D64</f>
        <v/>
      </c>
      <c r="F64" s="4">
        <f>IF(ISNUMBER(XLOOKUP(A64, 'Base Exámenes'!$C$5:$C$154, 'Base Exámenes'!$E$5:$E$154)), "Completado", "Pendiente")</f>
        <v/>
      </c>
      <c r="G64" s="6">
        <f>IFERROR(XLOOKUP(A64, 'Base Exámenes'!$C$5:$C$154, 'Base Exámenes'!$D$5:$D$154), "")</f>
        <v/>
      </c>
      <c r="H64" s="6">
        <f>IFERROR(XLOOKUP(A64, 'Base Exámenes'!$C$5:$C$154, 'Base Exámenes'!$E$5:$E$154), "")</f>
        <v/>
      </c>
      <c r="I64" s="7">
        <f>IFERROR(XLOOKUP(A64, 'Base Exámenes'!$C$5:$C$154, 'Base Exámenes'!$F$5:$F$154), "")</f>
        <v/>
      </c>
      <c r="J64" s="6">
        <f>IFERROR(XLOOKUP(A64, 'Base Exámenes'!$C$5:$C$154, 'Base Exámenes'!$G$5:$G$154), "")</f>
        <v/>
      </c>
      <c r="K64" s="6">
        <f>IFERROR(XLOOKUP(A64, 'Base Exámenes'!$C$5:$C$154, 'Base Exámenes'!$H$5:$H$154), "anonymous")</f>
        <v/>
      </c>
    </row>
    <row r="65">
      <c r="A65" s="4">
        <f>'Base Oficial'!A65</f>
        <v/>
      </c>
      <c r="B65" s="6">
        <f>'Base Oficial'!B65</f>
        <v/>
      </c>
      <c r="C65" s="6">
        <f>'Base Oficial'!F65</f>
        <v/>
      </c>
      <c r="D65" s="6">
        <f>'Base Oficial'!G65</f>
        <v/>
      </c>
      <c r="E65" s="6">
        <f>'Base Oficial'!D65</f>
        <v/>
      </c>
      <c r="F65" s="4">
        <f>IF(ISNUMBER(XLOOKUP(A65, 'Base Exámenes'!$C$5:$C$154, 'Base Exámenes'!$E$5:$E$154)), "Completado", "Pendiente")</f>
        <v/>
      </c>
      <c r="G65" s="6">
        <f>IFERROR(XLOOKUP(A65, 'Base Exámenes'!$C$5:$C$154, 'Base Exámenes'!$D$5:$D$154), "")</f>
        <v/>
      </c>
      <c r="H65" s="6">
        <f>IFERROR(XLOOKUP(A65, 'Base Exámenes'!$C$5:$C$154, 'Base Exámenes'!$E$5:$E$154), "")</f>
        <v/>
      </c>
      <c r="I65" s="7">
        <f>IFERROR(XLOOKUP(A65, 'Base Exámenes'!$C$5:$C$154, 'Base Exámenes'!$F$5:$F$154), "")</f>
        <v/>
      </c>
      <c r="J65" s="6">
        <f>IFERROR(XLOOKUP(A65, 'Base Exámenes'!$C$5:$C$154, 'Base Exámenes'!$G$5:$G$154), "")</f>
        <v/>
      </c>
      <c r="K65" s="6">
        <f>IFERROR(XLOOKUP(A65, 'Base Exámenes'!$C$5:$C$154, 'Base Exámenes'!$H$5:$H$154), "anonymous")</f>
        <v/>
      </c>
    </row>
    <row r="66">
      <c r="A66" s="4">
        <f>'Base Oficial'!A66</f>
        <v/>
      </c>
      <c r="B66" s="6">
        <f>'Base Oficial'!B66</f>
        <v/>
      </c>
      <c r="C66" s="6">
        <f>'Base Oficial'!F66</f>
        <v/>
      </c>
      <c r="D66" s="6">
        <f>'Base Oficial'!G66</f>
        <v/>
      </c>
      <c r="E66" s="6">
        <f>'Base Oficial'!D66</f>
        <v/>
      </c>
      <c r="F66" s="4">
        <f>IF(ISNUMBER(XLOOKUP(A66, 'Base Exámenes'!$C$5:$C$154, 'Base Exámenes'!$E$5:$E$154)), "Completado", "Pendiente")</f>
        <v/>
      </c>
      <c r="G66" s="6">
        <f>IFERROR(XLOOKUP(A66, 'Base Exámenes'!$C$5:$C$154, 'Base Exámenes'!$D$5:$D$154), "")</f>
        <v/>
      </c>
      <c r="H66" s="6">
        <f>IFERROR(XLOOKUP(A66, 'Base Exámenes'!$C$5:$C$154, 'Base Exámenes'!$E$5:$E$154), "")</f>
        <v/>
      </c>
      <c r="I66" s="7">
        <f>IFERROR(XLOOKUP(A66, 'Base Exámenes'!$C$5:$C$154, 'Base Exámenes'!$F$5:$F$154), "")</f>
        <v/>
      </c>
      <c r="J66" s="6">
        <f>IFERROR(XLOOKUP(A66, 'Base Exámenes'!$C$5:$C$154, 'Base Exámenes'!$G$5:$G$154), "")</f>
        <v/>
      </c>
      <c r="K66" s="6">
        <f>IFERROR(XLOOKUP(A66, 'Base Exámenes'!$C$5:$C$154, 'Base Exámenes'!$H$5:$H$154), "anonymous")</f>
        <v/>
      </c>
    </row>
    <row r="67">
      <c r="A67" s="4">
        <f>'Base Oficial'!A67</f>
        <v/>
      </c>
      <c r="B67" s="6">
        <f>'Base Oficial'!B67</f>
        <v/>
      </c>
      <c r="C67" s="6">
        <f>'Base Oficial'!F67</f>
        <v/>
      </c>
      <c r="D67" s="6">
        <f>'Base Oficial'!G67</f>
        <v/>
      </c>
      <c r="E67" s="6">
        <f>'Base Oficial'!D67</f>
        <v/>
      </c>
      <c r="F67" s="4">
        <f>IF(ISNUMBER(XLOOKUP(A67, 'Base Exámenes'!$C$5:$C$154, 'Base Exámenes'!$E$5:$E$154)), "Completado", "Pendiente")</f>
        <v/>
      </c>
      <c r="G67" s="6">
        <f>IFERROR(XLOOKUP(A67, 'Base Exámenes'!$C$5:$C$154, 'Base Exámenes'!$D$5:$D$154), "")</f>
        <v/>
      </c>
      <c r="H67" s="6">
        <f>IFERROR(XLOOKUP(A67, 'Base Exámenes'!$C$5:$C$154, 'Base Exámenes'!$E$5:$E$154), "")</f>
        <v/>
      </c>
      <c r="I67" s="7">
        <f>IFERROR(XLOOKUP(A67, 'Base Exámenes'!$C$5:$C$154, 'Base Exámenes'!$F$5:$F$154), "")</f>
        <v/>
      </c>
      <c r="J67" s="6">
        <f>IFERROR(XLOOKUP(A67, 'Base Exámenes'!$C$5:$C$154, 'Base Exámenes'!$G$5:$G$154), "")</f>
        <v/>
      </c>
      <c r="K67" s="6">
        <f>IFERROR(XLOOKUP(A67, 'Base Exámenes'!$C$5:$C$154, 'Base Exámenes'!$H$5:$H$154), "anonymous")</f>
        <v/>
      </c>
    </row>
    <row r="68">
      <c r="A68" s="4">
        <f>'Base Oficial'!A68</f>
        <v/>
      </c>
      <c r="B68" s="6">
        <f>'Base Oficial'!B68</f>
        <v/>
      </c>
      <c r="C68" s="6">
        <f>'Base Oficial'!F68</f>
        <v/>
      </c>
      <c r="D68" s="6">
        <f>'Base Oficial'!G68</f>
        <v/>
      </c>
      <c r="E68" s="6">
        <f>'Base Oficial'!D68</f>
        <v/>
      </c>
      <c r="F68" s="4">
        <f>IF(ISNUMBER(XLOOKUP(A68, 'Base Exámenes'!$C$5:$C$154, 'Base Exámenes'!$E$5:$E$154)), "Completado", "Pendiente")</f>
        <v/>
      </c>
      <c r="G68" s="6">
        <f>IFERROR(XLOOKUP(A68, 'Base Exámenes'!$C$5:$C$154, 'Base Exámenes'!$D$5:$D$154), "")</f>
        <v/>
      </c>
      <c r="H68" s="6">
        <f>IFERROR(XLOOKUP(A68, 'Base Exámenes'!$C$5:$C$154, 'Base Exámenes'!$E$5:$E$154), "")</f>
        <v/>
      </c>
      <c r="I68" s="7">
        <f>IFERROR(XLOOKUP(A68, 'Base Exámenes'!$C$5:$C$154, 'Base Exámenes'!$F$5:$F$154), "")</f>
        <v/>
      </c>
      <c r="J68" s="6">
        <f>IFERROR(XLOOKUP(A68, 'Base Exámenes'!$C$5:$C$154, 'Base Exámenes'!$G$5:$G$154), "")</f>
        <v/>
      </c>
      <c r="K68" s="6">
        <f>IFERROR(XLOOKUP(A68, 'Base Exámenes'!$C$5:$C$154, 'Base Exámenes'!$H$5:$H$154), "anonymous")</f>
        <v/>
      </c>
    </row>
    <row r="69">
      <c r="A69" s="4">
        <f>'Base Oficial'!A69</f>
        <v/>
      </c>
      <c r="B69" s="6">
        <f>'Base Oficial'!B69</f>
        <v/>
      </c>
      <c r="C69" s="6">
        <f>'Base Oficial'!F69</f>
        <v/>
      </c>
      <c r="D69" s="6">
        <f>'Base Oficial'!G69</f>
        <v/>
      </c>
      <c r="E69" s="6">
        <f>'Base Oficial'!D69</f>
        <v/>
      </c>
      <c r="F69" s="4">
        <f>IF(ISNUMBER(XLOOKUP(A69, 'Base Exámenes'!$C$5:$C$154, 'Base Exámenes'!$E$5:$E$154)), "Completado", "Pendiente")</f>
        <v/>
      </c>
      <c r="G69" s="6">
        <f>IFERROR(XLOOKUP(A69, 'Base Exámenes'!$C$5:$C$154, 'Base Exámenes'!$D$5:$D$154), "")</f>
        <v/>
      </c>
      <c r="H69" s="6">
        <f>IFERROR(XLOOKUP(A69, 'Base Exámenes'!$C$5:$C$154, 'Base Exámenes'!$E$5:$E$154), "")</f>
        <v/>
      </c>
      <c r="I69" s="7">
        <f>IFERROR(XLOOKUP(A69, 'Base Exámenes'!$C$5:$C$154, 'Base Exámenes'!$F$5:$F$154), "")</f>
        <v/>
      </c>
      <c r="J69" s="6">
        <f>IFERROR(XLOOKUP(A69, 'Base Exámenes'!$C$5:$C$154, 'Base Exámenes'!$G$5:$G$154), "")</f>
        <v/>
      </c>
      <c r="K69" s="6">
        <f>IFERROR(XLOOKUP(A69, 'Base Exámenes'!$C$5:$C$154, 'Base Exámenes'!$H$5:$H$154), "anonymous")</f>
        <v/>
      </c>
    </row>
    <row r="70">
      <c r="A70" s="4">
        <f>'Base Oficial'!A70</f>
        <v/>
      </c>
      <c r="B70" s="6">
        <f>'Base Oficial'!B70</f>
        <v/>
      </c>
      <c r="C70" s="6">
        <f>'Base Oficial'!F70</f>
        <v/>
      </c>
      <c r="D70" s="6">
        <f>'Base Oficial'!G70</f>
        <v/>
      </c>
      <c r="E70" s="6">
        <f>'Base Oficial'!D70</f>
        <v/>
      </c>
      <c r="F70" s="4">
        <f>IF(ISNUMBER(XLOOKUP(A70, 'Base Exámenes'!$C$5:$C$154, 'Base Exámenes'!$E$5:$E$154)), "Completado", "Pendiente")</f>
        <v/>
      </c>
      <c r="G70" s="6">
        <f>IFERROR(XLOOKUP(A70, 'Base Exámenes'!$C$5:$C$154, 'Base Exámenes'!$D$5:$D$154), "")</f>
        <v/>
      </c>
      <c r="H70" s="6">
        <f>IFERROR(XLOOKUP(A70, 'Base Exámenes'!$C$5:$C$154, 'Base Exámenes'!$E$5:$E$154), "")</f>
        <v/>
      </c>
      <c r="I70" s="7">
        <f>IFERROR(XLOOKUP(A70, 'Base Exámenes'!$C$5:$C$154, 'Base Exámenes'!$F$5:$F$154), "")</f>
        <v/>
      </c>
      <c r="J70" s="6">
        <f>IFERROR(XLOOKUP(A70, 'Base Exámenes'!$C$5:$C$154, 'Base Exámenes'!$G$5:$G$154), "")</f>
        <v/>
      </c>
      <c r="K70" s="6">
        <f>IFERROR(XLOOKUP(A70, 'Base Exámenes'!$C$5:$C$154, 'Base Exámenes'!$H$5:$H$154), "anonymous")</f>
        <v/>
      </c>
    </row>
    <row r="71">
      <c r="A71" s="4">
        <f>'Base Oficial'!A71</f>
        <v/>
      </c>
      <c r="B71" s="6">
        <f>'Base Oficial'!B71</f>
        <v/>
      </c>
      <c r="C71" s="6">
        <f>'Base Oficial'!F71</f>
        <v/>
      </c>
      <c r="D71" s="6">
        <f>'Base Oficial'!G71</f>
        <v/>
      </c>
      <c r="E71" s="6">
        <f>'Base Oficial'!D71</f>
        <v/>
      </c>
      <c r="F71" s="4">
        <f>IF(ISNUMBER(XLOOKUP(A71, 'Base Exámenes'!$C$5:$C$154, 'Base Exámenes'!$E$5:$E$154)), "Completado", "Pendiente")</f>
        <v/>
      </c>
      <c r="G71" s="6">
        <f>IFERROR(XLOOKUP(A71, 'Base Exámenes'!$C$5:$C$154, 'Base Exámenes'!$D$5:$D$154), "")</f>
        <v/>
      </c>
      <c r="H71" s="6">
        <f>IFERROR(XLOOKUP(A71, 'Base Exámenes'!$C$5:$C$154, 'Base Exámenes'!$E$5:$E$154), "")</f>
        <v/>
      </c>
      <c r="I71" s="7">
        <f>IFERROR(XLOOKUP(A71, 'Base Exámenes'!$C$5:$C$154, 'Base Exámenes'!$F$5:$F$154), "")</f>
        <v/>
      </c>
      <c r="J71" s="6">
        <f>IFERROR(XLOOKUP(A71, 'Base Exámenes'!$C$5:$C$154, 'Base Exámenes'!$G$5:$G$154), "")</f>
        <v/>
      </c>
      <c r="K71" s="6">
        <f>IFERROR(XLOOKUP(A71, 'Base Exámenes'!$C$5:$C$154, 'Base Exámenes'!$H$5:$H$154), "anonymous")</f>
        <v/>
      </c>
    </row>
    <row r="72">
      <c r="A72" s="4">
        <f>'Base Oficial'!A72</f>
        <v/>
      </c>
      <c r="B72" s="6">
        <f>'Base Oficial'!B72</f>
        <v/>
      </c>
      <c r="C72" s="6">
        <f>'Base Oficial'!F72</f>
        <v/>
      </c>
      <c r="D72" s="6">
        <f>'Base Oficial'!G72</f>
        <v/>
      </c>
      <c r="E72" s="6">
        <f>'Base Oficial'!D72</f>
        <v/>
      </c>
      <c r="F72" s="4">
        <f>IF(ISNUMBER(XLOOKUP(A72, 'Base Exámenes'!$C$5:$C$154, 'Base Exámenes'!$E$5:$E$154)), "Completado", "Pendiente")</f>
        <v/>
      </c>
      <c r="G72" s="6">
        <f>IFERROR(XLOOKUP(A72, 'Base Exámenes'!$C$5:$C$154, 'Base Exámenes'!$D$5:$D$154), "")</f>
        <v/>
      </c>
      <c r="H72" s="6">
        <f>IFERROR(XLOOKUP(A72, 'Base Exámenes'!$C$5:$C$154, 'Base Exámenes'!$E$5:$E$154), "")</f>
        <v/>
      </c>
      <c r="I72" s="7">
        <f>IFERROR(XLOOKUP(A72, 'Base Exámenes'!$C$5:$C$154, 'Base Exámenes'!$F$5:$F$154), "")</f>
        <v/>
      </c>
      <c r="J72" s="6">
        <f>IFERROR(XLOOKUP(A72, 'Base Exámenes'!$C$5:$C$154, 'Base Exámenes'!$G$5:$G$154), "")</f>
        <v/>
      </c>
      <c r="K72" s="6">
        <f>IFERROR(XLOOKUP(A72, 'Base Exámenes'!$C$5:$C$154, 'Base Exámenes'!$H$5:$H$154), "anonymous")</f>
        <v/>
      </c>
    </row>
    <row r="73">
      <c r="A73" s="4">
        <f>'Base Oficial'!A73</f>
        <v/>
      </c>
      <c r="B73" s="6">
        <f>'Base Oficial'!B73</f>
        <v/>
      </c>
      <c r="C73" s="6">
        <f>'Base Oficial'!F73</f>
        <v/>
      </c>
      <c r="D73" s="6">
        <f>'Base Oficial'!G73</f>
        <v/>
      </c>
      <c r="E73" s="6">
        <f>'Base Oficial'!D73</f>
        <v/>
      </c>
      <c r="F73" s="4">
        <f>IF(ISNUMBER(XLOOKUP(A73, 'Base Exámenes'!$C$5:$C$154, 'Base Exámenes'!$E$5:$E$154)), "Completado", "Pendiente")</f>
        <v/>
      </c>
      <c r="G73" s="6">
        <f>IFERROR(XLOOKUP(A73, 'Base Exámenes'!$C$5:$C$154, 'Base Exámenes'!$D$5:$D$154), "")</f>
        <v/>
      </c>
      <c r="H73" s="6">
        <f>IFERROR(XLOOKUP(A73, 'Base Exámenes'!$C$5:$C$154, 'Base Exámenes'!$E$5:$E$154), "")</f>
        <v/>
      </c>
      <c r="I73" s="7">
        <f>IFERROR(XLOOKUP(A73, 'Base Exámenes'!$C$5:$C$154, 'Base Exámenes'!$F$5:$F$154), "")</f>
        <v/>
      </c>
      <c r="J73" s="6">
        <f>IFERROR(XLOOKUP(A73, 'Base Exámenes'!$C$5:$C$154, 'Base Exámenes'!$G$5:$G$154), "")</f>
        <v/>
      </c>
      <c r="K73" s="6">
        <f>IFERROR(XLOOKUP(A73, 'Base Exámenes'!$C$5:$C$154, 'Base Exámenes'!$H$5:$H$154), "anonymous")</f>
        <v/>
      </c>
    </row>
    <row r="74">
      <c r="A74" s="4">
        <f>'Base Oficial'!A74</f>
        <v/>
      </c>
      <c r="B74" s="6">
        <f>'Base Oficial'!B74</f>
        <v/>
      </c>
      <c r="C74" s="6">
        <f>'Base Oficial'!F74</f>
        <v/>
      </c>
      <c r="D74" s="6">
        <f>'Base Oficial'!G74</f>
        <v/>
      </c>
      <c r="E74" s="6">
        <f>'Base Oficial'!D74</f>
        <v/>
      </c>
      <c r="F74" s="4">
        <f>IF(ISNUMBER(XLOOKUP(A74, 'Base Exámenes'!$C$5:$C$154, 'Base Exámenes'!$E$5:$E$154)), "Completado", "Pendiente")</f>
        <v/>
      </c>
      <c r="G74" s="6">
        <f>IFERROR(XLOOKUP(A74, 'Base Exámenes'!$C$5:$C$154, 'Base Exámenes'!$D$5:$D$154), "")</f>
        <v/>
      </c>
      <c r="H74" s="6">
        <f>IFERROR(XLOOKUP(A74, 'Base Exámenes'!$C$5:$C$154, 'Base Exámenes'!$E$5:$E$154), "")</f>
        <v/>
      </c>
      <c r="I74" s="7">
        <f>IFERROR(XLOOKUP(A74, 'Base Exámenes'!$C$5:$C$154, 'Base Exámenes'!$F$5:$F$154), "")</f>
        <v/>
      </c>
      <c r="J74" s="6">
        <f>IFERROR(XLOOKUP(A74, 'Base Exámenes'!$C$5:$C$154, 'Base Exámenes'!$G$5:$G$154), "")</f>
        <v/>
      </c>
      <c r="K74" s="6">
        <f>IFERROR(XLOOKUP(A74, 'Base Exámenes'!$C$5:$C$154, 'Base Exámenes'!$H$5:$H$154), "anonymous")</f>
        <v/>
      </c>
    </row>
    <row r="75">
      <c r="A75" s="4">
        <f>'Base Oficial'!A75</f>
        <v/>
      </c>
      <c r="B75" s="6">
        <f>'Base Oficial'!B75</f>
        <v/>
      </c>
      <c r="C75" s="6">
        <f>'Base Oficial'!F75</f>
        <v/>
      </c>
      <c r="D75" s="6">
        <f>'Base Oficial'!G75</f>
        <v/>
      </c>
      <c r="E75" s="6">
        <f>'Base Oficial'!D75</f>
        <v/>
      </c>
      <c r="F75" s="4">
        <f>IF(ISNUMBER(XLOOKUP(A75, 'Base Exámenes'!$C$5:$C$154, 'Base Exámenes'!$E$5:$E$154)), "Completado", "Pendiente")</f>
        <v/>
      </c>
      <c r="G75" s="6">
        <f>IFERROR(XLOOKUP(A75, 'Base Exámenes'!$C$5:$C$154, 'Base Exámenes'!$D$5:$D$154), "")</f>
        <v/>
      </c>
      <c r="H75" s="6">
        <f>IFERROR(XLOOKUP(A75, 'Base Exámenes'!$C$5:$C$154, 'Base Exámenes'!$E$5:$E$154), "")</f>
        <v/>
      </c>
      <c r="I75" s="7">
        <f>IFERROR(XLOOKUP(A75, 'Base Exámenes'!$C$5:$C$154, 'Base Exámenes'!$F$5:$F$154), "")</f>
        <v/>
      </c>
      <c r="J75" s="6">
        <f>IFERROR(XLOOKUP(A75, 'Base Exámenes'!$C$5:$C$154, 'Base Exámenes'!$G$5:$G$154), "")</f>
        <v/>
      </c>
      <c r="K75" s="6">
        <f>IFERROR(XLOOKUP(A75, 'Base Exámenes'!$C$5:$C$154, 'Base Exámenes'!$H$5:$H$154), "anonymous")</f>
        <v/>
      </c>
    </row>
    <row r="76">
      <c r="A76" s="4">
        <f>'Base Oficial'!A76</f>
        <v/>
      </c>
      <c r="B76" s="6">
        <f>'Base Oficial'!B76</f>
        <v/>
      </c>
      <c r="C76" s="6">
        <f>'Base Oficial'!F76</f>
        <v/>
      </c>
      <c r="D76" s="6">
        <f>'Base Oficial'!G76</f>
        <v/>
      </c>
      <c r="E76" s="6">
        <f>'Base Oficial'!D76</f>
        <v/>
      </c>
      <c r="F76" s="4">
        <f>IF(ISNUMBER(XLOOKUP(A76, 'Base Exámenes'!$C$5:$C$154, 'Base Exámenes'!$E$5:$E$154)), "Completado", "Pendiente")</f>
        <v/>
      </c>
      <c r="G76" s="6">
        <f>IFERROR(XLOOKUP(A76, 'Base Exámenes'!$C$5:$C$154, 'Base Exámenes'!$D$5:$D$154), "")</f>
        <v/>
      </c>
      <c r="H76" s="6">
        <f>IFERROR(XLOOKUP(A76, 'Base Exámenes'!$C$5:$C$154, 'Base Exámenes'!$E$5:$E$154), "")</f>
        <v/>
      </c>
      <c r="I76" s="7">
        <f>IFERROR(XLOOKUP(A76, 'Base Exámenes'!$C$5:$C$154, 'Base Exámenes'!$F$5:$F$154), "")</f>
        <v/>
      </c>
      <c r="J76" s="6">
        <f>IFERROR(XLOOKUP(A76, 'Base Exámenes'!$C$5:$C$154, 'Base Exámenes'!$G$5:$G$154), "")</f>
        <v/>
      </c>
      <c r="K76" s="6">
        <f>IFERROR(XLOOKUP(A76, 'Base Exámenes'!$C$5:$C$154, 'Base Exámenes'!$H$5:$H$154), "anonymous")</f>
        <v/>
      </c>
    </row>
    <row r="77">
      <c r="A77" s="4">
        <f>'Base Oficial'!A77</f>
        <v/>
      </c>
      <c r="B77" s="6">
        <f>'Base Oficial'!B77</f>
        <v/>
      </c>
      <c r="C77" s="6">
        <f>'Base Oficial'!F77</f>
        <v/>
      </c>
      <c r="D77" s="6">
        <f>'Base Oficial'!G77</f>
        <v/>
      </c>
      <c r="E77" s="6">
        <f>'Base Oficial'!D77</f>
        <v/>
      </c>
      <c r="F77" s="4">
        <f>IF(ISNUMBER(XLOOKUP(A77, 'Base Exámenes'!$C$5:$C$154, 'Base Exámenes'!$E$5:$E$154)), "Completado", "Pendiente")</f>
        <v/>
      </c>
      <c r="G77" s="6">
        <f>IFERROR(XLOOKUP(A77, 'Base Exámenes'!$C$5:$C$154, 'Base Exámenes'!$D$5:$D$154), "")</f>
        <v/>
      </c>
      <c r="H77" s="6">
        <f>IFERROR(XLOOKUP(A77, 'Base Exámenes'!$C$5:$C$154, 'Base Exámenes'!$E$5:$E$154), "")</f>
        <v/>
      </c>
      <c r="I77" s="7">
        <f>IFERROR(XLOOKUP(A77, 'Base Exámenes'!$C$5:$C$154, 'Base Exámenes'!$F$5:$F$154), "")</f>
        <v/>
      </c>
      <c r="J77" s="6">
        <f>IFERROR(XLOOKUP(A77, 'Base Exámenes'!$C$5:$C$154, 'Base Exámenes'!$G$5:$G$154), "")</f>
        <v/>
      </c>
      <c r="K77" s="6">
        <f>IFERROR(XLOOKUP(A77, 'Base Exámenes'!$C$5:$C$154, 'Base Exámenes'!$H$5:$H$154), "anonymous")</f>
        <v/>
      </c>
    </row>
    <row r="78">
      <c r="A78" s="4">
        <f>'Base Oficial'!A78</f>
        <v/>
      </c>
      <c r="B78" s="6">
        <f>'Base Oficial'!B78</f>
        <v/>
      </c>
      <c r="C78" s="6">
        <f>'Base Oficial'!F78</f>
        <v/>
      </c>
      <c r="D78" s="6">
        <f>'Base Oficial'!G78</f>
        <v/>
      </c>
      <c r="E78" s="6">
        <f>'Base Oficial'!D78</f>
        <v/>
      </c>
      <c r="F78" s="4">
        <f>IF(ISNUMBER(XLOOKUP(A78, 'Base Exámenes'!$C$5:$C$154, 'Base Exámenes'!$E$5:$E$154)), "Completado", "Pendiente")</f>
        <v/>
      </c>
      <c r="G78" s="6">
        <f>IFERROR(XLOOKUP(A78, 'Base Exámenes'!$C$5:$C$154, 'Base Exámenes'!$D$5:$D$154), "")</f>
        <v/>
      </c>
      <c r="H78" s="6">
        <f>IFERROR(XLOOKUP(A78, 'Base Exámenes'!$C$5:$C$154, 'Base Exámenes'!$E$5:$E$154), "")</f>
        <v/>
      </c>
      <c r="I78" s="7">
        <f>IFERROR(XLOOKUP(A78, 'Base Exámenes'!$C$5:$C$154, 'Base Exámenes'!$F$5:$F$154), "")</f>
        <v/>
      </c>
      <c r="J78" s="6">
        <f>IFERROR(XLOOKUP(A78, 'Base Exámenes'!$C$5:$C$154, 'Base Exámenes'!$G$5:$G$154), "")</f>
        <v/>
      </c>
      <c r="K78" s="6">
        <f>IFERROR(XLOOKUP(A78, 'Base Exámenes'!$C$5:$C$154, 'Base Exámenes'!$H$5:$H$154), "anonymous")</f>
        <v/>
      </c>
    </row>
    <row r="79">
      <c r="A79" s="4">
        <f>'Base Oficial'!A79</f>
        <v/>
      </c>
      <c r="B79" s="6">
        <f>'Base Oficial'!B79</f>
        <v/>
      </c>
      <c r="C79" s="6">
        <f>'Base Oficial'!F79</f>
        <v/>
      </c>
      <c r="D79" s="6">
        <f>'Base Oficial'!G79</f>
        <v/>
      </c>
      <c r="E79" s="6">
        <f>'Base Oficial'!D79</f>
        <v/>
      </c>
      <c r="F79" s="4">
        <f>IF(ISNUMBER(XLOOKUP(A79, 'Base Exámenes'!$C$5:$C$154, 'Base Exámenes'!$E$5:$E$154)), "Completado", "Pendiente")</f>
        <v/>
      </c>
      <c r="G79" s="6">
        <f>IFERROR(XLOOKUP(A79, 'Base Exámenes'!$C$5:$C$154, 'Base Exámenes'!$D$5:$D$154), "")</f>
        <v/>
      </c>
      <c r="H79" s="6">
        <f>IFERROR(XLOOKUP(A79, 'Base Exámenes'!$C$5:$C$154, 'Base Exámenes'!$E$5:$E$154), "")</f>
        <v/>
      </c>
      <c r="I79" s="7">
        <f>IFERROR(XLOOKUP(A79, 'Base Exámenes'!$C$5:$C$154, 'Base Exámenes'!$F$5:$F$154), "")</f>
        <v/>
      </c>
      <c r="J79" s="6">
        <f>IFERROR(XLOOKUP(A79, 'Base Exámenes'!$C$5:$C$154, 'Base Exámenes'!$G$5:$G$154), "")</f>
        <v/>
      </c>
      <c r="K79" s="6">
        <f>IFERROR(XLOOKUP(A79, 'Base Exámenes'!$C$5:$C$154, 'Base Exámenes'!$H$5:$H$154), "anonymous")</f>
        <v/>
      </c>
    </row>
    <row r="80">
      <c r="A80" s="4">
        <f>'Base Oficial'!A80</f>
        <v/>
      </c>
      <c r="B80" s="6">
        <f>'Base Oficial'!B80</f>
        <v/>
      </c>
      <c r="C80" s="6">
        <f>'Base Oficial'!F80</f>
        <v/>
      </c>
      <c r="D80" s="6">
        <f>'Base Oficial'!G80</f>
        <v/>
      </c>
      <c r="E80" s="6">
        <f>'Base Oficial'!D80</f>
        <v/>
      </c>
      <c r="F80" s="4">
        <f>IF(ISNUMBER(XLOOKUP(A80, 'Base Exámenes'!$C$5:$C$154, 'Base Exámenes'!$E$5:$E$154)), "Completado", "Pendiente")</f>
        <v/>
      </c>
      <c r="G80" s="6">
        <f>IFERROR(XLOOKUP(A80, 'Base Exámenes'!$C$5:$C$154, 'Base Exámenes'!$D$5:$D$154), "")</f>
        <v/>
      </c>
      <c r="H80" s="6">
        <f>IFERROR(XLOOKUP(A80, 'Base Exámenes'!$C$5:$C$154, 'Base Exámenes'!$E$5:$E$154), "")</f>
        <v/>
      </c>
      <c r="I80" s="7">
        <f>IFERROR(XLOOKUP(A80, 'Base Exámenes'!$C$5:$C$154, 'Base Exámenes'!$F$5:$F$154), "")</f>
        <v/>
      </c>
      <c r="J80" s="6">
        <f>IFERROR(XLOOKUP(A80, 'Base Exámenes'!$C$5:$C$154, 'Base Exámenes'!$G$5:$G$154), "")</f>
        <v/>
      </c>
      <c r="K80" s="6">
        <f>IFERROR(XLOOKUP(A80, 'Base Exámenes'!$C$5:$C$154, 'Base Exámenes'!$H$5:$H$154), "anonymous")</f>
        <v/>
      </c>
    </row>
    <row r="81">
      <c r="A81" s="4">
        <f>'Base Oficial'!A81</f>
        <v/>
      </c>
      <c r="B81" s="6">
        <f>'Base Oficial'!B81</f>
        <v/>
      </c>
      <c r="C81" s="6">
        <f>'Base Oficial'!F81</f>
        <v/>
      </c>
      <c r="D81" s="6">
        <f>'Base Oficial'!G81</f>
        <v/>
      </c>
      <c r="E81" s="6">
        <f>'Base Oficial'!D81</f>
        <v/>
      </c>
      <c r="F81" s="4">
        <f>IF(ISNUMBER(XLOOKUP(A81, 'Base Exámenes'!$C$5:$C$154, 'Base Exámenes'!$E$5:$E$154)), "Completado", "Pendiente")</f>
        <v/>
      </c>
      <c r="G81" s="6">
        <f>IFERROR(XLOOKUP(A81, 'Base Exámenes'!$C$5:$C$154, 'Base Exámenes'!$D$5:$D$154), "")</f>
        <v/>
      </c>
      <c r="H81" s="6">
        <f>IFERROR(XLOOKUP(A81, 'Base Exámenes'!$C$5:$C$154, 'Base Exámenes'!$E$5:$E$154), "")</f>
        <v/>
      </c>
      <c r="I81" s="7">
        <f>IFERROR(XLOOKUP(A81, 'Base Exámenes'!$C$5:$C$154, 'Base Exámenes'!$F$5:$F$154), "")</f>
        <v/>
      </c>
      <c r="J81" s="6">
        <f>IFERROR(XLOOKUP(A81, 'Base Exámenes'!$C$5:$C$154, 'Base Exámenes'!$G$5:$G$154), "")</f>
        <v/>
      </c>
      <c r="K81" s="6">
        <f>IFERROR(XLOOKUP(A81, 'Base Exámenes'!$C$5:$C$154, 'Base Exámenes'!$H$5:$H$154), "anonymous")</f>
        <v/>
      </c>
    </row>
    <row r="82">
      <c r="A82" s="4">
        <f>'Base Oficial'!A82</f>
        <v/>
      </c>
      <c r="B82" s="6">
        <f>'Base Oficial'!B82</f>
        <v/>
      </c>
      <c r="C82" s="6">
        <f>'Base Oficial'!F82</f>
        <v/>
      </c>
      <c r="D82" s="6">
        <f>'Base Oficial'!G82</f>
        <v/>
      </c>
      <c r="E82" s="6">
        <f>'Base Oficial'!D82</f>
        <v/>
      </c>
      <c r="F82" s="4">
        <f>IF(ISNUMBER(XLOOKUP(A82, 'Base Exámenes'!$C$5:$C$154, 'Base Exámenes'!$E$5:$E$154)), "Completado", "Pendiente")</f>
        <v/>
      </c>
      <c r="G82" s="6">
        <f>IFERROR(XLOOKUP(A82, 'Base Exámenes'!$C$5:$C$154, 'Base Exámenes'!$D$5:$D$154), "")</f>
        <v/>
      </c>
      <c r="H82" s="6">
        <f>IFERROR(XLOOKUP(A82, 'Base Exámenes'!$C$5:$C$154, 'Base Exámenes'!$E$5:$E$154), "")</f>
        <v/>
      </c>
      <c r="I82" s="7">
        <f>IFERROR(XLOOKUP(A82, 'Base Exámenes'!$C$5:$C$154, 'Base Exámenes'!$F$5:$F$154), "")</f>
        <v/>
      </c>
      <c r="J82" s="6">
        <f>IFERROR(XLOOKUP(A82, 'Base Exámenes'!$C$5:$C$154, 'Base Exámenes'!$G$5:$G$154), "")</f>
        <v/>
      </c>
      <c r="K82" s="6">
        <f>IFERROR(XLOOKUP(A82, 'Base Exámenes'!$C$5:$C$154, 'Base Exámenes'!$H$5:$H$154), "anonymous")</f>
        <v/>
      </c>
    </row>
    <row r="83">
      <c r="A83" s="4">
        <f>'Base Oficial'!A83</f>
        <v/>
      </c>
      <c r="B83" s="6">
        <f>'Base Oficial'!B83</f>
        <v/>
      </c>
      <c r="C83" s="6">
        <f>'Base Oficial'!F83</f>
        <v/>
      </c>
      <c r="D83" s="6">
        <f>'Base Oficial'!G83</f>
        <v/>
      </c>
      <c r="E83" s="6">
        <f>'Base Oficial'!D83</f>
        <v/>
      </c>
      <c r="F83" s="4">
        <f>IF(ISNUMBER(XLOOKUP(A83, 'Base Exámenes'!$C$5:$C$154, 'Base Exámenes'!$E$5:$E$154)), "Completado", "Pendiente")</f>
        <v/>
      </c>
      <c r="G83" s="6">
        <f>IFERROR(XLOOKUP(A83, 'Base Exámenes'!$C$5:$C$154, 'Base Exámenes'!$D$5:$D$154), "")</f>
        <v/>
      </c>
      <c r="H83" s="6">
        <f>IFERROR(XLOOKUP(A83, 'Base Exámenes'!$C$5:$C$154, 'Base Exámenes'!$E$5:$E$154), "")</f>
        <v/>
      </c>
      <c r="I83" s="7">
        <f>IFERROR(XLOOKUP(A83, 'Base Exámenes'!$C$5:$C$154, 'Base Exámenes'!$F$5:$F$154), "")</f>
        <v/>
      </c>
      <c r="J83" s="6">
        <f>IFERROR(XLOOKUP(A83, 'Base Exámenes'!$C$5:$C$154, 'Base Exámenes'!$G$5:$G$154), "")</f>
        <v/>
      </c>
      <c r="K83" s="6">
        <f>IFERROR(XLOOKUP(A83, 'Base Exámenes'!$C$5:$C$154, 'Base Exámenes'!$H$5:$H$154), "anonymous")</f>
        <v/>
      </c>
    </row>
    <row r="84">
      <c r="A84" s="4">
        <f>'Base Oficial'!A84</f>
        <v/>
      </c>
      <c r="B84" s="6">
        <f>'Base Oficial'!B84</f>
        <v/>
      </c>
      <c r="C84" s="6">
        <f>'Base Oficial'!F84</f>
        <v/>
      </c>
      <c r="D84" s="6">
        <f>'Base Oficial'!G84</f>
        <v/>
      </c>
      <c r="E84" s="6">
        <f>'Base Oficial'!D84</f>
        <v/>
      </c>
      <c r="F84" s="4">
        <f>IF(ISNUMBER(XLOOKUP(A84, 'Base Exámenes'!$C$5:$C$154, 'Base Exámenes'!$E$5:$E$154)), "Completado", "Pendiente")</f>
        <v/>
      </c>
      <c r="G84" s="6">
        <f>IFERROR(XLOOKUP(A84, 'Base Exámenes'!$C$5:$C$154, 'Base Exámenes'!$D$5:$D$154), "")</f>
        <v/>
      </c>
      <c r="H84" s="6">
        <f>IFERROR(XLOOKUP(A84, 'Base Exámenes'!$C$5:$C$154, 'Base Exámenes'!$E$5:$E$154), "")</f>
        <v/>
      </c>
      <c r="I84" s="7">
        <f>IFERROR(XLOOKUP(A84, 'Base Exámenes'!$C$5:$C$154, 'Base Exámenes'!$F$5:$F$154), "")</f>
        <v/>
      </c>
      <c r="J84" s="6">
        <f>IFERROR(XLOOKUP(A84, 'Base Exámenes'!$C$5:$C$154, 'Base Exámenes'!$G$5:$G$154), "")</f>
        <v/>
      </c>
      <c r="K84" s="6">
        <f>IFERROR(XLOOKUP(A84, 'Base Exámenes'!$C$5:$C$154, 'Base Exámenes'!$H$5:$H$154), "anonymous")</f>
        <v/>
      </c>
    </row>
    <row r="85">
      <c r="A85" s="4">
        <f>'Base Oficial'!A85</f>
        <v/>
      </c>
      <c r="B85" s="6">
        <f>'Base Oficial'!B85</f>
        <v/>
      </c>
      <c r="C85" s="6">
        <f>'Base Oficial'!F85</f>
        <v/>
      </c>
      <c r="D85" s="6">
        <f>'Base Oficial'!G85</f>
        <v/>
      </c>
      <c r="E85" s="6">
        <f>'Base Oficial'!D85</f>
        <v/>
      </c>
      <c r="F85" s="4">
        <f>IF(ISNUMBER(XLOOKUP(A85, 'Base Exámenes'!$C$5:$C$154, 'Base Exámenes'!$E$5:$E$154)), "Completado", "Pendiente")</f>
        <v/>
      </c>
      <c r="G85" s="6">
        <f>IFERROR(XLOOKUP(A85, 'Base Exámenes'!$C$5:$C$154, 'Base Exámenes'!$D$5:$D$154), "")</f>
        <v/>
      </c>
      <c r="H85" s="6">
        <f>IFERROR(XLOOKUP(A85, 'Base Exámenes'!$C$5:$C$154, 'Base Exámenes'!$E$5:$E$154), "")</f>
        <v/>
      </c>
      <c r="I85" s="7">
        <f>IFERROR(XLOOKUP(A85, 'Base Exámenes'!$C$5:$C$154, 'Base Exámenes'!$F$5:$F$154), "")</f>
        <v/>
      </c>
      <c r="J85" s="6">
        <f>IFERROR(XLOOKUP(A85, 'Base Exámenes'!$C$5:$C$154, 'Base Exámenes'!$G$5:$G$154), "")</f>
        <v/>
      </c>
      <c r="K85" s="6">
        <f>IFERROR(XLOOKUP(A85, 'Base Exámenes'!$C$5:$C$154, 'Base Exámenes'!$H$5:$H$154), "anonymous")</f>
        <v/>
      </c>
    </row>
    <row r="86">
      <c r="A86" s="4">
        <f>'Base Oficial'!A86</f>
        <v/>
      </c>
      <c r="B86" s="6">
        <f>'Base Oficial'!B86</f>
        <v/>
      </c>
      <c r="C86" s="6">
        <f>'Base Oficial'!F86</f>
        <v/>
      </c>
      <c r="D86" s="6">
        <f>'Base Oficial'!G86</f>
        <v/>
      </c>
      <c r="E86" s="6">
        <f>'Base Oficial'!D86</f>
        <v/>
      </c>
      <c r="F86" s="4">
        <f>IF(ISNUMBER(XLOOKUP(A86, 'Base Exámenes'!$C$5:$C$154, 'Base Exámenes'!$E$5:$E$154)), "Completado", "Pendiente")</f>
        <v/>
      </c>
      <c r="G86" s="6">
        <f>IFERROR(XLOOKUP(A86, 'Base Exámenes'!$C$5:$C$154, 'Base Exámenes'!$D$5:$D$154), "")</f>
        <v/>
      </c>
      <c r="H86" s="6">
        <f>IFERROR(XLOOKUP(A86, 'Base Exámenes'!$C$5:$C$154, 'Base Exámenes'!$E$5:$E$154), "")</f>
        <v/>
      </c>
      <c r="I86" s="7">
        <f>IFERROR(XLOOKUP(A86, 'Base Exámenes'!$C$5:$C$154, 'Base Exámenes'!$F$5:$F$154), "")</f>
        <v/>
      </c>
      <c r="J86" s="6">
        <f>IFERROR(XLOOKUP(A86, 'Base Exámenes'!$C$5:$C$154, 'Base Exámenes'!$G$5:$G$154), "")</f>
        <v/>
      </c>
      <c r="K86" s="6">
        <f>IFERROR(XLOOKUP(A86, 'Base Exámenes'!$C$5:$C$154, 'Base Exámenes'!$H$5:$H$154), "anonymous")</f>
        <v/>
      </c>
    </row>
    <row r="87">
      <c r="A87" s="4">
        <f>'Base Oficial'!A87</f>
        <v/>
      </c>
      <c r="B87" s="6">
        <f>'Base Oficial'!B87</f>
        <v/>
      </c>
      <c r="C87" s="6">
        <f>'Base Oficial'!F87</f>
        <v/>
      </c>
      <c r="D87" s="6">
        <f>'Base Oficial'!G87</f>
        <v/>
      </c>
      <c r="E87" s="6">
        <f>'Base Oficial'!D87</f>
        <v/>
      </c>
      <c r="F87" s="4">
        <f>IF(ISNUMBER(XLOOKUP(A87, 'Base Exámenes'!$C$5:$C$154, 'Base Exámenes'!$E$5:$E$154)), "Completado", "Pendiente")</f>
        <v/>
      </c>
      <c r="G87" s="6">
        <f>IFERROR(XLOOKUP(A87, 'Base Exámenes'!$C$5:$C$154, 'Base Exámenes'!$D$5:$D$154), "")</f>
        <v/>
      </c>
      <c r="H87" s="6">
        <f>IFERROR(XLOOKUP(A87, 'Base Exámenes'!$C$5:$C$154, 'Base Exámenes'!$E$5:$E$154), "")</f>
        <v/>
      </c>
      <c r="I87" s="7">
        <f>IFERROR(XLOOKUP(A87, 'Base Exámenes'!$C$5:$C$154, 'Base Exámenes'!$F$5:$F$154), "")</f>
        <v/>
      </c>
      <c r="J87" s="6">
        <f>IFERROR(XLOOKUP(A87, 'Base Exámenes'!$C$5:$C$154, 'Base Exámenes'!$G$5:$G$154), "")</f>
        <v/>
      </c>
      <c r="K87" s="6">
        <f>IFERROR(XLOOKUP(A87, 'Base Exámenes'!$C$5:$C$154, 'Base Exámenes'!$H$5:$H$154), "anonymous")</f>
        <v/>
      </c>
    </row>
    <row r="88">
      <c r="A88" s="4">
        <f>'Base Oficial'!A88</f>
        <v/>
      </c>
      <c r="B88" s="6">
        <f>'Base Oficial'!B88</f>
        <v/>
      </c>
      <c r="C88" s="6">
        <f>'Base Oficial'!F88</f>
        <v/>
      </c>
      <c r="D88" s="6">
        <f>'Base Oficial'!G88</f>
        <v/>
      </c>
      <c r="E88" s="6">
        <f>'Base Oficial'!D88</f>
        <v/>
      </c>
      <c r="F88" s="4">
        <f>IF(ISNUMBER(XLOOKUP(A88, 'Base Exámenes'!$C$5:$C$154, 'Base Exámenes'!$E$5:$E$154)), "Completado", "Pendiente")</f>
        <v/>
      </c>
      <c r="G88" s="6">
        <f>IFERROR(XLOOKUP(A88, 'Base Exámenes'!$C$5:$C$154, 'Base Exámenes'!$D$5:$D$154), "")</f>
        <v/>
      </c>
      <c r="H88" s="6">
        <f>IFERROR(XLOOKUP(A88, 'Base Exámenes'!$C$5:$C$154, 'Base Exámenes'!$E$5:$E$154), "")</f>
        <v/>
      </c>
      <c r="I88" s="7">
        <f>IFERROR(XLOOKUP(A88, 'Base Exámenes'!$C$5:$C$154, 'Base Exámenes'!$F$5:$F$154), "")</f>
        <v/>
      </c>
      <c r="J88" s="6">
        <f>IFERROR(XLOOKUP(A88, 'Base Exámenes'!$C$5:$C$154, 'Base Exámenes'!$G$5:$G$154), "")</f>
        <v/>
      </c>
      <c r="K88" s="6">
        <f>IFERROR(XLOOKUP(A88, 'Base Exámenes'!$C$5:$C$154, 'Base Exámenes'!$H$5:$H$154), "anonymous")</f>
        <v/>
      </c>
    </row>
    <row r="89">
      <c r="A89" s="4">
        <f>'Base Oficial'!A89</f>
        <v/>
      </c>
      <c r="B89" s="6">
        <f>'Base Oficial'!B89</f>
        <v/>
      </c>
      <c r="C89" s="6">
        <f>'Base Oficial'!F89</f>
        <v/>
      </c>
      <c r="D89" s="6">
        <f>'Base Oficial'!G89</f>
        <v/>
      </c>
      <c r="E89" s="6">
        <f>'Base Oficial'!D89</f>
        <v/>
      </c>
      <c r="F89" s="4">
        <f>IF(ISNUMBER(XLOOKUP(A89, 'Base Exámenes'!$C$5:$C$154, 'Base Exámenes'!$E$5:$E$154)), "Completado", "Pendiente")</f>
        <v/>
      </c>
      <c r="G89" s="6">
        <f>IFERROR(XLOOKUP(A89, 'Base Exámenes'!$C$5:$C$154, 'Base Exámenes'!$D$5:$D$154), "")</f>
        <v/>
      </c>
      <c r="H89" s="6">
        <f>IFERROR(XLOOKUP(A89, 'Base Exámenes'!$C$5:$C$154, 'Base Exámenes'!$E$5:$E$154), "")</f>
        <v/>
      </c>
      <c r="I89" s="7">
        <f>IFERROR(XLOOKUP(A89, 'Base Exámenes'!$C$5:$C$154, 'Base Exámenes'!$F$5:$F$154), "")</f>
        <v/>
      </c>
      <c r="J89" s="6">
        <f>IFERROR(XLOOKUP(A89, 'Base Exámenes'!$C$5:$C$154, 'Base Exámenes'!$G$5:$G$154), "")</f>
        <v/>
      </c>
      <c r="K89" s="6">
        <f>IFERROR(XLOOKUP(A89, 'Base Exámenes'!$C$5:$C$154, 'Base Exámenes'!$H$5:$H$154), "anonymous")</f>
        <v/>
      </c>
    </row>
    <row r="90">
      <c r="A90" s="4">
        <f>'Base Oficial'!A90</f>
        <v/>
      </c>
      <c r="B90" s="6">
        <f>'Base Oficial'!B90</f>
        <v/>
      </c>
      <c r="C90" s="6">
        <f>'Base Oficial'!F90</f>
        <v/>
      </c>
      <c r="D90" s="6">
        <f>'Base Oficial'!G90</f>
        <v/>
      </c>
      <c r="E90" s="6">
        <f>'Base Oficial'!D90</f>
        <v/>
      </c>
      <c r="F90" s="4">
        <f>IF(ISNUMBER(XLOOKUP(A90, 'Base Exámenes'!$C$5:$C$154, 'Base Exámenes'!$E$5:$E$154)), "Completado", "Pendiente")</f>
        <v/>
      </c>
      <c r="G90" s="6">
        <f>IFERROR(XLOOKUP(A90, 'Base Exámenes'!$C$5:$C$154, 'Base Exámenes'!$D$5:$D$154), "")</f>
        <v/>
      </c>
      <c r="H90" s="6">
        <f>IFERROR(XLOOKUP(A90, 'Base Exámenes'!$C$5:$C$154, 'Base Exámenes'!$E$5:$E$154), "")</f>
        <v/>
      </c>
      <c r="I90" s="7">
        <f>IFERROR(XLOOKUP(A90, 'Base Exámenes'!$C$5:$C$154, 'Base Exámenes'!$F$5:$F$154), "")</f>
        <v/>
      </c>
      <c r="J90" s="6">
        <f>IFERROR(XLOOKUP(A90, 'Base Exámenes'!$C$5:$C$154, 'Base Exámenes'!$G$5:$G$154), "")</f>
        <v/>
      </c>
      <c r="K90" s="6">
        <f>IFERROR(XLOOKUP(A90, 'Base Exámenes'!$C$5:$C$154, 'Base Exámenes'!$H$5:$H$154), "anonymous")</f>
        <v/>
      </c>
    </row>
    <row r="91">
      <c r="A91" s="4">
        <f>'Base Oficial'!A91</f>
        <v/>
      </c>
      <c r="B91" s="6">
        <f>'Base Oficial'!B91</f>
        <v/>
      </c>
      <c r="C91" s="6">
        <f>'Base Oficial'!F91</f>
        <v/>
      </c>
      <c r="D91" s="6">
        <f>'Base Oficial'!G91</f>
        <v/>
      </c>
      <c r="E91" s="6">
        <f>'Base Oficial'!D91</f>
        <v/>
      </c>
      <c r="F91" s="4">
        <f>IF(ISNUMBER(XLOOKUP(A91, 'Base Exámenes'!$C$5:$C$154, 'Base Exámenes'!$E$5:$E$154)), "Completado", "Pendiente")</f>
        <v/>
      </c>
      <c r="G91" s="6">
        <f>IFERROR(XLOOKUP(A91, 'Base Exámenes'!$C$5:$C$154, 'Base Exámenes'!$D$5:$D$154), "")</f>
        <v/>
      </c>
      <c r="H91" s="6">
        <f>IFERROR(XLOOKUP(A91, 'Base Exámenes'!$C$5:$C$154, 'Base Exámenes'!$E$5:$E$154), "")</f>
        <v/>
      </c>
      <c r="I91" s="7">
        <f>IFERROR(XLOOKUP(A91, 'Base Exámenes'!$C$5:$C$154, 'Base Exámenes'!$F$5:$F$154), "")</f>
        <v/>
      </c>
      <c r="J91" s="6">
        <f>IFERROR(XLOOKUP(A91, 'Base Exámenes'!$C$5:$C$154, 'Base Exámenes'!$G$5:$G$154), "")</f>
        <v/>
      </c>
      <c r="K91" s="6">
        <f>IFERROR(XLOOKUP(A91, 'Base Exámenes'!$C$5:$C$154, 'Base Exámenes'!$H$5:$H$154), "anonymous")</f>
        <v/>
      </c>
    </row>
    <row r="92">
      <c r="A92" s="4">
        <f>'Base Oficial'!A92</f>
        <v/>
      </c>
      <c r="B92" s="6">
        <f>'Base Oficial'!B92</f>
        <v/>
      </c>
      <c r="C92" s="6">
        <f>'Base Oficial'!F92</f>
        <v/>
      </c>
      <c r="D92" s="6">
        <f>'Base Oficial'!G92</f>
        <v/>
      </c>
      <c r="E92" s="6">
        <f>'Base Oficial'!D92</f>
        <v/>
      </c>
      <c r="F92" s="4">
        <f>IF(ISNUMBER(XLOOKUP(A92, 'Base Exámenes'!$C$5:$C$154, 'Base Exámenes'!$E$5:$E$154)), "Completado", "Pendiente")</f>
        <v/>
      </c>
      <c r="G92" s="6">
        <f>IFERROR(XLOOKUP(A92, 'Base Exámenes'!$C$5:$C$154, 'Base Exámenes'!$D$5:$D$154), "")</f>
        <v/>
      </c>
      <c r="H92" s="6">
        <f>IFERROR(XLOOKUP(A92, 'Base Exámenes'!$C$5:$C$154, 'Base Exámenes'!$E$5:$E$154), "")</f>
        <v/>
      </c>
      <c r="I92" s="7">
        <f>IFERROR(XLOOKUP(A92, 'Base Exámenes'!$C$5:$C$154, 'Base Exámenes'!$F$5:$F$154), "")</f>
        <v/>
      </c>
      <c r="J92" s="6">
        <f>IFERROR(XLOOKUP(A92, 'Base Exámenes'!$C$5:$C$154, 'Base Exámenes'!$G$5:$G$154), "")</f>
        <v/>
      </c>
      <c r="K92" s="6">
        <f>IFERROR(XLOOKUP(A92, 'Base Exámenes'!$C$5:$C$154, 'Base Exámenes'!$H$5:$H$154), "anonymous")</f>
        <v/>
      </c>
    </row>
    <row r="93">
      <c r="A93" s="4">
        <f>'Base Oficial'!A93</f>
        <v/>
      </c>
      <c r="B93" s="6">
        <f>'Base Oficial'!B93</f>
        <v/>
      </c>
      <c r="C93" s="6">
        <f>'Base Oficial'!F93</f>
        <v/>
      </c>
      <c r="D93" s="6">
        <f>'Base Oficial'!G93</f>
        <v/>
      </c>
      <c r="E93" s="6">
        <f>'Base Oficial'!D93</f>
        <v/>
      </c>
      <c r="F93" s="4">
        <f>IF(ISNUMBER(XLOOKUP(A93, 'Base Exámenes'!$C$5:$C$154, 'Base Exámenes'!$E$5:$E$154)), "Completado", "Pendiente")</f>
        <v/>
      </c>
      <c r="G93" s="6">
        <f>IFERROR(XLOOKUP(A93, 'Base Exámenes'!$C$5:$C$154, 'Base Exámenes'!$D$5:$D$154), "")</f>
        <v/>
      </c>
      <c r="H93" s="6">
        <f>IFERROR(XLOOKUP(A93, 'Base Exámenes'!$C$5:$C$154, 'Base Exámenes'!$E$5:$E$154), "")</f>
        <v/>
      </c>
      <c r="I93" s="7">
        <f>IFERROR(XLOOKUP(A93, 'Base Exámenes'!$C$5:$C$154, 'Base Exámenes'!$F$5:$F$154), "")</f>
        <v/>
      </c>
      <c r="J93" s="6">
        <f>IFERROR(XLOOKUP(A93, 'Base Exámenes'!$C$5:$C$154, 'Base Exámenes'!$G$5:$G$154), "")</f>
        <v/>
      </c>
      <c r="K93" s="6">
        <f>IFERROR(XLOOKUP(A93, 'Base Exámenes'!$C$5:$C$154, 'Base Exámenes'!$H$5:$H$154), "anonymous")</f>
        <v/>
      </c>
    </row>
    <row r="94">
      <c r="A94" s="4">
        <f>'Base Oficial'!A94</f>
        <v/>
      </c>
      <c r="B94" s="6">
        <f>'Base Oficial'!B94</f>
        <v/>
      </c>
      <c r="C94" s="6">
        <f>'Base Oficial'!F94</f>
        <v/>
      </c>
      <c r="D94" s="6">
        <f>'Base Oficial'!G94</f>
        <v/>
      </c>
      <c r="E94" s="6">
        <f>'Base Oficial'!D94</f>
        <v/>
      </c>
      <c r="F94" s="4">
        <f>IF(ISNUMBER(XLOOKUP(A94, 'Base Exámenes'!$C$5:$C$154, 'Base Exámenes'!$E$5:$E$154)), "Completado", "Pendiente")</f>
        <v/>
      </c>
      <c r="G94" s="6">
        <f>IFERROR(XLOOKUP(A94, 'Base Exámenes'!$C$5:$C$154, 'Base Exámenes'!$D$5:$D$154), "")</f>
        <v/>
      </c>
      <c r="H94" s="6">
        <f>IFERROR(XLOOKUP(A94, 'Base Exámenes'!$C$5:$C$154, 'Base Exámenes'!$E$5:$E$154), "")</f>
        <v/>
      </c>
      <c r="I94" s="7">
        <f>IFERROR(XLOOKUP(A94, 'Base Exámenes'!$C$5:$C$154, 'Base Exámenes'!$F$5:$F$154), "")</f>
        <v/>
      </c>
      <c r="J94" s="6">
        <f>IFERROR(XLOOKUP(A94, 'Base Exámenes'!$C$5:$C$154, 'Base Exámenes'!$G$5:$G$154), "")</f>
        <v/>
      </c>
      <c r="K94" s="6">
        <f>IFERROR(XLOOKUP(A94, 'Base Exámenes'!$C$5:$C$154, 'Base Exámenes'!$H$5:$H$154), "anonymous")</f>
        <v/>
      </c>
    </row>
    <row r="95">
      <c r="A95" s="4">
        <f>'Base Oficial'!A95</f>
        <v/>
      </c>
      <c r="B95" s="6">
        <f>'Base Oficial'!B95</f>
        <v/>
      </c>
      <c r="C95" s="6">
        <f>'Base Oficial'!F95</f>
        <v/>
      </c>
      <c r="D95" s="6">
        <f>'Base Oficial'!G95</f>
        <v/>
      </c>
      <c r="E95" s="6">
        <f>'Base Oficial'!D95</f>
        <v/>
      </c>
      <c r="F95" s="4">
        <f>IF(ISNUMBER(XLOOKUP(A95, 'Base Exámenes'!$C$5:$C$154, 'Base Exámenes'!$E$5:$E$154)), "Completado", "Pendiente")</f>
        <v/>
      </c>
      <c r="G95" s="6">
        <f>IFERROR(XLOOKUP(A95, 'Base Exámenes'!$C$5:$C$154, 'Base Exámenes'!$D$5:$D$154), "")</f>
        <v/>
      </c>
      <c r="H95" s="6">
        <f>IFERROR(XLOOKUP(A95, 'Base Exámenes'!$C$5:$C$154, 'Base Exámenes'!$E$5:$E$154), "")</f>
        <v/>
      </c>
      <c r="I95" s="7">
        <f>IFERROR(XLOOKUP(A95, 'Base Exámenes'!$C$5:$C$154, 'Base Exámenes'!$F$5:$F$154), "")</f>
        <v/>
      </c>
      <c r="J95" s="6">
        <f>IFERROR(XLOOKUP(A95, 'Base Exámenes'!$C$5:$C$154, 'Base Exámenes'!$G$5:$G$154), "")</f>
        <v/>
      </c>
      <c r="K95" s="6">
        <f>IFERROR(XLOOKUP(A95, 'Base Exámenes'!$C$5:$C$154, 'Base Exámenes'!$H$5:$H$154), "anonymous")</f>
        <v/>
      </c>
    </row>
    <row r="96">
      <c r="A96" s="4">
        <f>'Base Oficial'!A96</f>
        <v/>
      </c>
      <c r="B96" s="6">
        <f>'Base Oficial'!B96</f>
        <v/>
      </c>
      <c r="C96" s="6">
        <f>'Base Oficial'!F96</f>
        <v/>
      </c>
      <c r="D96" s="6">
        <f>'Base Oficial'!G96</f>
        <v/>
      </c>
      <c r="E96" s="6">
        <f>'Base Oficial'!D96</f>
        <v/>
      </c>
      <c r="F96" s="4">
        <f>IF(ISNUMBER(XLOOKUP(A96, 'Base Exámenes'!$C$5:$C$154, 'Base Exámenes'!$E$5:$E$154)), "Completado", "Pendiente")</f>
        <v/>
      </c>
      <c r="G96" s="6">
        <f>IFERROR(XLOOKUP(A96, 'Base Exámenes'!$C$5:$C$154, 'Base Exámenes'!$D$5:$D$154), "")</f>
        <v/>
      </c>
      <c r="H96" s="6">
        <f>IFERROR(XLOOKUP(A96, 'Base Exámenes'!$C$5:$C$154, 'Base Exámenes'!$E$5:$E$154), "")</f>
        <v/>
      </c>
      <c r="I96" s="7">
        <f>IFERROR(XLOOKUP(A96, 'Base Exámenes'!$C$5:$C$154, 'Base Exámenes'!$F$5:$F$154), "")</f>
        <v/>
      </c>
      <c r="J96" s="6">
        <f>IFERROR(XLOOKUP(A96, 'Base Exámenes'!$C$5:$C$154, 'Base Exámenes'!$G$5:$G$154), "")</f>
        <v/>
      </c>
      <c r="K96" s="6">
        <f>IFERROR(XLOOKUP(A96, 'Base Exámenes'!$C$5:$C$154, 'Base Exámenes'!$H$5:$H$154), "anonymous")</f>
        <v/>
      </c>
    </row>
    <row r="97">
      <c r="A97" s="4">
        <f>'Base Oficial'!A97</f>
        <v/>
      </c>
      <c r="B97" s="6">
        <f>'Base Oficial'!B97</f>
        <v/>
      </c>
      <c r="C97" s="6">
        <f>'Base Oficial'!F97</f>
        <v/>
      </c>
      <c r="D97" s="6">
        <f>'Base Oficial'!G97</f>
        <v/>
      </c>
      <c r="E97" s="6">
        <f>'Base Oficial'!D97</f>
        <v/>
      </c>
      <c r="F97" s="4">
        <f>IF(ISNUMBER(XLOOKUP(A97, 'Base Exámenes'!$C$5:$C$154, 'Base Exámenes'!$E$5:$E$154)), "Completado", "Pendiente")</f>
        <v/>
      </c>
      <c r="G97" s="6">
        <f>IFERROR(XLOOKUP(A97, 'Base Exámenes'!$C$5:$C$154, 'Base Exámenes'!$D$5:$D$154), "")</f>
        <v/>
      </c>
      <c r="H97" s="6">
        <f>IFERROR(XLOOKUP(A97, 'Base Exámenes'!$C$5:$C$154, 'Base Exámenes'!$E$5:$E$154), "")</f>
        <v/>
      </c>
      <c r="I97" s="7">
        <f>IFERROR(XLOOKUP(A97, 'Base Exámenes'!$C$5:$C$154, 'Base Exámenes'!$F$5:$F$154), "")</f>
        <v/>
      </c>
      <c r="J97" s="6">
        <f>IFERROR(XLOOKUP(A97, 'Base Exámenes'!$C$5:$C$154, 'Base Exámenes'!$G$5:$G$154), "")</f>
        <v/>
      </c>
      <c r="K97" s="6">
        <f>IFERROR(XLOOKUP(A97, 'Base Exámenes'!$C$5:$C$154, 'Base Exámenes'!$H$5:$H$154), "anonymous")</f>
        <v/>
      </c>
    </row>
    <row r="98">
      <c r="A98" s="4">
        <f>'Base Oficial'!A98</f>
        <v/>
      </c>
      <c r="B98" s="6">
        <f>'Base Oficial'!B98</f>
        <v/>
      </c>
      <c r="C98" s="6">
        <f>'Base Oficial'!F98</f>
        <v/>
      </c>
      <c r="D98" s="6">
        <f>'Base Oficial'!G98</f>
        <v/>
      </c>
      <c r="E98" s="6">
        <f>'Base Oficial'!D98</f>
        <v/>
      </c>
      <c r="F98" s="4">
        <f>IF(ISNUMBER(XLOOKUP(A98, 'Base Exámenes'!$C$5:$C$154, 'Base Exámenes'!$E$5:$E$154)), "Completado", "Pendiente")</f>
        <v/>
      </c>
      <c r="G98" s="6">
        <f>IFERROR(XLOOKUP(A98, 'Base Exámenes'!$C$5:$C$154, 'Base Exámenes'!$D$5:$D$154), "")</f>
        <v/>
      </c>
      <c r="H98" s="6">
        <f>IFERROR(XLOOKUP(A98, 'Base Exámenes'!$C$5:$C$154, 'Base Exámenes'!$E$5:$E$154), "")</f>
        <v/>
      </c>
      <c r="I98" s="7">
        <f>IFERROR(XLOOKUP(A98, 'Base Exámenes'!$C$5:$C$154, 'Base Exámenes'!$F$5:$F$154), "")</f>
        <v/>
      </c>
      <c r="J98" s="6">
        <f>IFERROR(XLOOKUP(A98, 'Base Exámenes'!$C$5:$C$154, 'Base Exámenes'!$G$5:$G$154), "")</f>
        <v/>
      </c>
      <c r="K98" s="6">
        <f>IFERROR(XLOOKUP(A98, 'Base Exámenes'!$C$5:$C$154, 'Base Exámenes'!$H$5:$H$154), "anonymous")</f>
        <v/>
      </c>
    </row>
    <row r="99">
      <c r="A99" s="4">
        <f>'Base Oficial'!A99</f>
        <v/>
      </c>
      <c r="B99" s="6">
        <f>'Base Oficial'!B99</f>
        <v/>
      </c>
      <c r="C99" s="6">
        <f>'Base Oficial'!F99</f>
        <v/>
      </c>
      <c r="D99" s="6">
        <f>'Base Oficial'!G99</f>
        <v/>
      </c>
      <c r="E99" s="6">
        <f>'Base Oficial'!D99</f>
        <v/>
      </c>
      <c r="F99" s="4">
        <f>IF(ISNUMBER(XLOOKUP(A99, 'Base Exámenes'!$C$5:$C$154, 'Base Exámenes'!$E$5:$E$154)), "Completado", "Pendiente")</f>
        <v/>
      </c>
      <c r="G99" s="6">
        <f>IFERROR(XLOOKUP(A99, 'Base Exámenes'!$C$5:$C$154, 'Base Exámenes'!$D$5:$D$154), "")</f>
        <v/>
      </c>
      <c r="H99" s="6">
        <f>IFERROR(XLOOKUP(A99, 'Base Exámenes'!$C$5:$C$154, 'Base Exámenes'!$E$5:$E$154), "")</f>
        <v/>
      </c>
      <c r="I99" s="7">
        <f>IFERROR(XLOOKUP(A99, 'Base Exámenes'!$C$5:$C$154, 'Base Exámenes'!$F$5:$F$154), "")</f>
        <v/>
      </c>
      <c r="J99" s="6">
        <f>IFERROR(XLOOKUP(A99, 'Base Exámenes'!$C$5:$C$154, 'Base Exámenes'!$G$5:$G$154), "")</f>
        <v/>
      </c>
      <c r="K99" s="6">
        <f>IFERROR(XLOOKUP(A99, 'Base Exámenes'!$C$5:$C$154, 'Base Exámenes'!$H$5:$H$154), "anonymous")</f>
        <v/>
      </c>
    </row>
    <row r="100">
      <c r="A100" s="4">
        <f>'Base Oficial'!A100</f>
        <v/>
      </c>
      <c r="B100" s="6">
        <f>'Base Oficial'!B100</f>
        <v/>
      </c>
      <c r="C100" s="6">
        <f>'Base Oficial'!F100</f>
        <v/>
      </c>
      <c r="D100" s="6">
        <f>'Base Oficial'!G100</f>
        <v/>
      </c>
      <c r="E100" s="6">
        <f>'Base Oficial'!D100</f>
        <v/>
      </c>
      <c r="F100" s="4">
        <f>IF(ISNUMBER(XLOOKUP(A100, 'Base Exámenes'!$C$5:$C$154, 'Base Exámenes'!$E$5:$E$154)), "Completado", "Pendiente")</f>
        <v/>
      </c>
      <c r="G100" s="6">
        <f>IFERROR(XLOOKUP(A100, 'Base Exámenes'!$C$5:$C$154, 'Base Exámenes'!$D$5:$D$154), "")</f>
        <v/>
      </c>
      <c r="H100" s="6">
        <f>IFERROR(XLOOKUP(A100, 'Base Exámenes'!$C$5:$C$154, 'Base Exámenes'!$E$5:$E$154), "")</f>
        <v/>
      </c>
      <c r="I100" s="7">
        <f>IFERROR(XLOOKUP(A100, 'Base Exámenes'!$C$5:$C$154, 'Base Exámenes'!$F$5:$F$154), "")</f>
        <v/>
      </c>
      <c r="J100" s="6">
        <f>IFERROR(XLOOKUP(A100, 'Base Exámenes'!$C$5:$C$154, 'Base Exámenes'!$G$5:$G$154), "")</f>
        <v/>
      </c>
      <c r="K100" s="6">
        <f>IFERROR(XLOOKUP(A100, 'Base Exámenes'!$C$5:$C$154, 'Base Exámenes'!$H$5:$H$154), "anonymous")</f>
        <v/>
      </c>
    </row>
    <row r="101">
      <c r="A101" s="4">
        <f>'Base Oficial'!A101</f>
        <v/>
      </c>
      <c r="B101" s="6">
        <f>'Base Oficial'!B101</f>
        <v/>
      </c>
      <c r="C101" s="6">
        <f>'Base Oficial'!F101</f>
        <v/>
      </c>
      <c r="D101" s="6">
        <f>'Base Oficial'!G101</f>
        <v/>
      </c>
      <c r="E101" s="6">
        <f>'Base Oficial'!D101</f>
        <v/>
      </c>
      <c r="F101" s="4">
        <f>IF(ISNUMBER(XLOOKUP(A101, 'Base Exámenes'!$C$5:$C$154, 'Base Exámenes'!$E$5:$E$154)), "Completado", "Pendiente")</f>
        <v/>
      </c>
      <c r="G101" s="6">
        <f>IFERROR(XLOOKUP(A101, 'Base Exámenes'!$C$5:$C$154, 'Base Exámenes'!$D$5:$D$154), "")</f>
        <v/>
      </c>
      <c r="H101" s="6">
        <f>IFERROR(XLOOKUP(A101, 'Base Exámenes'!$C$5:$C$154, 'Base Exámenes'!$E$5:$E$154), "")</f>
        <v/>
      </c>
      <c r="I101" s="7">
        <f>IFERROR(XLOOKUP(A101, 'Base Exámenes'!$C$5:$C$154, 'Base Exámenes'!$F$5:$F$154), "")</f>
        <v/>
      </c>
      <c r="J101" s="6">
        <f>IFERROR(XLOOKUP(A101, 'Base Exámenes'!$C$5:$C$154, 'Base Exámenes'!$G$5:$G$154), "")</f>
        <v/>
      </c>
      <c r="K101" s="6">
        <f>IFERROR(XLOOKUP(A101, 'Base Exámenes'!$C$5:$C$154, 'Base Exámenes'!$H$5:$H$154), "anonymous")</f>
        <v/>
      </c>
    </row>
    <row r="102">
      <c r="A102" s="4">
        <f>'Base Oficial'!A102</f>
        <v/>
      </c>
      <c r="B102" s="6">
        <f>'Base Oficial'!B102</f>
        <v/>
      </c>
      <c r="C102" s="6">
        <f>'Base Oficial'!F102</f>
        <v/>
      </c>
      <c r="D102" s="6">
        <f>'Base Oficial'!G102</f>
        <v/>
      </c>
      <c r="E102" s="6">
        <f>'Base Oficial'!D102</f>
        <v/>
      </c>
      <c r="F102" s="4">
        <f>IF(ISNUMBER(XLOOKUP(A102, 'Base Exámenes'!$C$5:$C$154, 'Base Exámenes'!$E$5:$E$154)), "Completado", "Pendiente")</f>
        <v/>
      </c>
      <c r="G102" s="6">
        <f>IFERROR(XLOOKUP(A102, 'Base Exámenes'!$C$5:$C$154, 'Base Exámenes'!$D$5:$D$154), "")</f>
        <v/>
      </c>
      <c r="H102" s="6">
        <f>IFERROR(XLOOKUP(A102, 'Base Exámenes'!$C$5:$C$154, 'Base Exámenes'!$E$5:$E$154), "")</f>
        <v/>
      </c>
      <c r="I102" s="7">
        <f>IFERROR(XLOOKUP(A102, 'Base Exámenes'!$C$5:$C$154, 'Base Exámenes'!$F$5:$F$154), "")</f>
        <v/>
      </c>
      <c r="J102" s="6">
        <f>IFERROR(XLOOKUP(A102, 'Base Exámenes'!$C$5:$C$154, 'Base Exámenes'!$G$5:$G$154), "")</f>
        <v/>
      </c>
      <c r="K102" s="6">
        <f>IFERROR(XLOOKUP(A102, 'Base Exámenes'!$C$5:$C$154, 'Base Exámenes'!$H$5:$H$154), "anonymous")</f>
        <v/>
      </c>
    </row>
    <row r="103">
      <c r="A103" s="4">
        <f>'Base Oficial'!A103</f>
        <v/>
      </c>
      <c r="B103" s="6">
        <f>'Base Oficial'!B103</f>
        <v/>
      </c>
      <c r="C103" s="6">
        <f>'Base Oficial'!F103</f>
        <v/>
      </c>
      <c r="D103" s="6">
        <f>'Base Oficial'!G103</f>
        <v/>
      </c>
      <c r="E103" s="6">
        <f>'Base Oficial'!D103</f>
        <v/>
      </c>
      <c r="F103" s="4">
        <f>IF(ISNUMBER(XLOOKUP(A103, 'Base Exámenes'!$C$5:$C$154, 'Base Exámenes'!$E$5:$E$154)), "Completado", "Pendiente")</f>
        <v/>
      </c>
      <c r="G103" s="6">
        <f>IFERROR(XLOOKUP(A103, 'Base Exámenes'!$C$5:$C$154, 'Base Exámenes'!$D$5:$D$154), "")</f>
        <v/>
      </c>
      <c r="H103" s="6">
        <f>IFERROR(XLOOKUP(A103, 'Base Exámenes'!$C$5:$C$154, 'Base Exámenes'!$E$5:$E$154), "")</f>
        <v/>
      </c>
      <c r="I103" s="7">
        <f>IFERROR(XLOOKUP(A103, 'Base Exámenes'!$C$5:$C$154, 'Base Exámenes'!$F$5:$F$154), "")</f>
        <v/>
      </c>
      <c r="J103" s="6">
        <f>IFERROR(XLOOKUP(A103, 'Base Exámenes'!$C$5:$C$154, 'Base Exámenes'!$G$5:$G$154), "")</f>
        <v/>
      </c>
      <c r="K103" s="6">
        <f>IFERROR(XLOOKUP(A103, 'Base Exámenes'!$C$5:$C$154, 'Base Exámenes'!$H$5:$H$154), "anonymous")</f>
        <v/>
      </c>
    </row>
    <row r="104">
      <c r="A104" s="4">
        <f>'Base Oficial'!A104</f>
        <v/>
      </c>
      <c r="B104" s="6">
        <f>'Base Oficial'!B104</f>
        <v/>
      </c>
      <c r="C104" s="6">
        <f>'Base Oficial'!F104</f>
        <v/>
      </c>
      <c r="D104" s="6">
        <f>'Base Oficial'!G104</f>
        <v/>
      </c>
      <c r="E104" s="6">
        <f>'Base Oficial'!D104</f>
        <v/>
      </c>
      <c r="F104" s="4">
        <f>IF(ISNUMBER(XLOOKUP(A104, 'Base Exámenes'!$C$5:$C$154, 'Base Exámenes'!$E$5:$E$154)), "Completado", "Pendiente")</f>
        <v/>
      </c>
      <c r="G104" s="6">
        <f>IFERROR(XLOOKUP(A104, 'Base Exámenes'!$C$5:$C$154, 'Base Exámenes'!$D$5:$D$154), "")</f>
        <v/>
      </c>
      <c r="H104" s="6">
        <f>IFERROR(XLOOKUP(A104, 'Base Exámenes'!$C$5:$C$154, 'Base Exámenes'!$E$5:$E$154), "")</f>
        <v/>
      </c>
      <c r="I104" s="7">
        <f>IFERROR(XLOOKUP(A104, 'Base Exámenes'!$C$5:$C$154, 'Base Exámenes'!$F$5:$F$154), "")</f>
        <v/>
      </c>
      <c r="J104" s="6">
        <f>IFERROR(XLOOKUP(A104, 'Base Exámenes'!$C$5:$C$154, 'Base Exámenes'!$G$5:$G$154), "")</f>
        <v/>
      </c>
      <c r="K104" s="6">
        <f>IFERROR(XLOOKUP(A104, 'Base Exámenes'!$C$5:$C$154, 'Base Exámenes'!$H$5:$H$154), "anonymous")</f>
        <v/>
      </c>
    </row>
    <row r="105">
      <c r="A105" s="4">
        <f>'Base Oficial'!A105</f>
        <v/>
      </c>
      <c r="B105" s="6">
        <f>'Base Oficial'!B105</f>
        <v/>
      </c>
      <c r="C105" s="6">
        <f>'Base Oficial'!F105</f>
        <v/>
      </c>
      <c r="D105" s="6">
        <f>'Base Oficial'!G105</f>
        <v/>
      </c>
      <c r="E105" s="6">
        <f>'Base Oficial'!D105</f>
        <v/>
      </c>
      <c r="F105" s="4">
        <f>IF(ISNUMBER(XLOOKUP(A105, 'Base Exámenes'!$C$5:$C$154, 'Base Exámenes'!$E$5:$E$154)), "Completado", "Pendiente")</f>
        <v/>
      </c>
      <c r="G105" s="6">
        <f>IFERROR(XLOOKUP(A105, 'Base Exámenes'!$C$5:$C$154, 'Base Exámenes'!$D$5:$D$154), "")</f>
        <v/>
      </c>
      <c r="H105" s="6">
        <f>IFERROR(XLOOKUP(A105, 'Base Exámenes'!$C$5:$C$154, 'Base Exámenes'!$E$5:$E$154), "")</f>
        <v/>
      </c>
      <c r="I105" s="7">
        <f>IFERROR(XLOOKUP(A105, 'Base Exámenes'!$C$5:$C$154, 'Base Exámenes'!$F$5:$F$154), "")</f>
        <v/>
      </c>
      <c r="J105" s="6">
        <f>IFERROR(XLOOKUP(A105, 'Base Exámenes'!$C$5:$C$154, 'Base Exámenes'!$G$5:$G$154), "")</f>
        <v/>
      </c>
      <c r="K105" s="6">
        <f>IFERROR(XLOOKUP(A105, 'Base Exámenes'!$C$5:$C$154, 'Base Exámenes'!$H$5:$H$154), "anonymous")</f>
        <v/>
      </c>
    </row>
    <row r="106">
      <c r="A106" s="4">
        <f>'Base Oficial'!A106</f>
        <v/>
      </c>
      <c r="B106" s="6">
        <f>'Base Oficial'!B106</f>
        <v/>
      </c>
      <c r="C106" s="6">
        <f>'Base Oficial'!F106</f>
        <v/>
      </c>
      <c r="D106" s="6">
        <f>'Base Oficial'!G106</f>
        <v/>
      </c>
      <c r="E106" s="6">
        <f>'Base Oficial'!D106</f>
        <v/>
      </c>
      <c r="F106" s="4">
        <f>IF(ISNUMBER(XLOOKUP(A106, 'Base Exámenes'!$C$5:$C$154, 'Base Exámenes'!$E$5:$E$154)), "Completado", "Pendiente")</f>
        <v/>
      </c>
      <c r="G106" s="6">
        <f>IFERROR(XLOOKUP(A106, 'Base Exámenes'!$C$5:$C$154, 'Base Exámenes'!$D$5:$D$154), "")</f>
        <v/>
      </c>
      <c r="H106" s="6">
        <f>IFERROR(XLOOKUP(A106, 'Base Exámenes'!$C$5:$C$154, 'Base Exámenes'!$E$5:$E$154), "")</f>
        <v/>
      </c>
      <c r="I106" s="7">
        <f>IFERROR(XLOOKUP(A106, 'Base Exámenes'!$C$5:$C$154, 'Base Exámenes'!$F$5:$F$154), "")</f>
        <v/>
      </c>
      <c r="J106" s="6">
        <f>IFERROR(XLOOKUP(A106, 'Base Exámenes'!$C$5:$C$154, 'Base Exámenes'!$G$5:$G$154), "")</f>
        <v/>
      </c>
      <c r="K106" s="6">
        <f>IFERROR(XLOOKUP(A106, 'Base Exámenes'!$C$5:$C$154, 'Base Exámenes'!$H$5:$H$154), "anonymous")</f>
        <v/>
      </c>
    </row>
    <row r="107">
      <c r="A107" s="4">
        <f>'Base Oficial'!A107</f>
        <v/>
      </c>
      <c r="B107" s="6">
        <f>'Base Oficial'!B107</f>
        <v/>
      </c>
      <c r="C107" s="6">
        <f>'Base Oficial'!F107</f>
        <v/>
      </c>
      <c r="D107" s="6">
        <f>'Base Oficial'!G107</f>
        <v/>
      </c>
      <c r="E107" s="6">
        <f>'Base Oficial'!D107</f>
        <v/>
      </c>
      <c r="F107" s="4">
        <f>IF(ISNUMBER(XLOOKUP(A107, 'Base Exámenes'!$C$5:$C$154, 'Base Exámenes'!$E$5:$E$154)), "Completado", "Pendiente")</f>
        <v/>
      </c>
      <c r="G107" s="6">
        <f>IFERROR(XLOOKUP(A107, 'Base Exámenes'!$C$5:$C$154, 'Base Exámenes'!$D$5:$D$154), "")</f>
        <v/>
      </c>
      <c r="H107" s="6">
        <f>IFERROR(XLOOKUP(A107, 'Base Exámenes'!$C$5:$C$154, 'Base Exámenes'!$E$5:$E$154), "")</f>
        <v/>
      </c>
      <c r="I107" s="7">
        <f>IFERROR(XLOOKUP(A107, 'Base Exámenes'!$C$5:$C$154, 'Base Exámenes'!$F$5:$F$154), "")</f>
        <v/>
      </c>
      <c r="J107" s="6">
        <f>IFERROR(XLOOKUP(A107, 'Base Exámenes'!$C$5:$C$154, 'Base Exámenes'!$G$5:$G$154), "")</f>
        <v/>
      </c>
      <c r="K107" s="6">
        <f>IFERROR(XLOOKUP(A107, 'Base Exámenes'!$C$5:$C$154, 'Base Exámenes'!$H$5:$H$154), "anonymous")</f>
        <v/>
      </c>
    </row>
    <row r="108">
      <c r="A108" s="4">
        <f>'Base Oficial'!A108</f>
        <v/>
      </c>
      <c r="B108" s="6">
        <f>'Base Oficial'!B108</f>
        <v/>
      </c>
      <c r="C108" s="6">
        <f>'Base Oficial'!F108</f>
        <v/>
      </c>
      <c r="D108" s="6">
        <f>'Base Oficial'!G108</f>
        <v/>
      </c>
      <c r="E108" s="6">
        <f>'Base Oficial'!D108</f>
        <v/>
      </c>
      <c r="F108" s="4">
        <f>IF(ISNUMBER(XLOOKUP(A108, 'Base Exámenes'!$C$5:$C$154, 'Base Exámenes'!$E$5:$E$154)), "Completado", "Pendiente")</f>
        <v/>
      </c>
      <c r="G108" s="6">
        <f>IFERROR(XLOOKUP(A108, 'Base Exámenes'!$C$5:$C$154, 'Base Exámenes'!$D$5:$D$154), "")</f>
        <v/>
      </c>
      <c r="H108" s="6">
        <f>IFERROR(XLOOKUP(A108, 'Base Exámenes'!$C$5:$C$154, 'Base Exámenes'!$E$5:$E$154), "")</f>
        <v/>
      </c>
      <c r="I108" s="7">
        <f>IFERROR(XLOOKUP(A108, 'Base Exámenes'!$C$5:$C$154, 'Base Exámenes'!$F$5:$F$154), "")</f>
        <v/>
      </c>
      <c r="J108" s="6">
        <f>IFERROR(XLOOKUP(A108, 'Base Exámenes'!$C$5:$C$154, 'Base Exámenes'!$G$5:$G$154), "")</f>
        <v/>
      </c>
      <c r="K108" s="6">
        <f>IFERROR(XLOOKUP(A108, 'Base Exámenes'!$C$5:$C$154, 'Base Exámenes'!$H$5:$H$154), "anonymous")</f>
        <v/>
      </c>
    </row>
    <row r="109">
      <c r="A109" s="4">
        <f>'Base Oficial'!A109</f>
        <v/>
      </c>
      <c r="B109" s="6">
        <f>'Base Oficial'!B109</f>
        <v/>
      </c>
      <c r="C109" s="6">
        <f>'Base Oficial'!F109</f>
        <v/>
      </c>
      <c r="D109" s="6">
        <f>'Base Oficial'!G109</f>
        <v/>
      </c>
      <c r="E109" s="6">
        <f>'Base Oficial'!D109</f>
        <v/>
      </c>
      <c r="F109" s="4">
        <f>IF(ISNUMBER(XLOOKUP(A109, 'Base Exámenes'!$C$5:$C$154, 'Base Exámenes'!$E$5:$E$154)), "Completado", "Pendiente")</f>
        <v/>
      </c>
      <c r="G109" s="6">
        <f>IFERROR(XLOOKUP(A109, 'Base Exámenes'!$C$5:$C$154, 'Base Exámenes'!$D$5:$D$154), "")</f>
        <v/>
      </c>
      <c r="H109" s="6">
        <f>IFERROR(XLOOKUP(A109, 'Base Exámenes'!$C$5:$C$154, 'Base Exámenes'!$E$5:$E$154), "")</f>
        <v/>
      </c>
      <c r="I109" s="7">
        <f>IFERROR(XLOOKUP(A109, 'Base Exámenes'!$C$5:$C$154, 'Base Exámenes'!$F$5:$F$154), "")</f>
        <v/>
      </c>
      <c r="J109" s="6">
        <f>IFERROR(XLOOKUP(A109, 'Base Exámenes'!$C$5:$C$154, 'Base Exámenes'!$G$5:$G$154), "")</f>
        <v/>
      </c>
      <c r="K109" s="6">
        <f>IFERROR(XLOOKUP(A109, 'Base Exámenes'!$C$5:$C$154, 'Base Exámenes'!$H$5:$H$154), "anonymous")</f>
        <v/>
      </c>
    </row>
    <row r="110">
      <c r="A110" s="4">
        <f>'Base Oficial'!A110</f>
        <v/>
      </c>
      <c r="B110" s="6">
        <f>'Base Oficial'!B110</f>
        <v/>
      </c>
      <c r="C110" s="6">
        <f>'Base Oficial'!F110</f>
        <v/>
      </c>
      <c r="D110" s="6">
        <f>'Base Oficial'!G110</f>
        <v/>
      </c>
      <c r="E110" s="6">
        <f>'Base Oficial'!D110</f>
        <v/>
      </c>
      <c r="F110" s="4">
        <f>IF(ISNUMBER(XLOOKUP(A110, 'Base Exámenes'!$C$5:$C$154, 'Base Exámenes'!$E$5:$E$154)), "Completado", "Pendiente")</f>
        <v/>
      </c>
      <c r="G110" s="6">
        <f>IFERROR(XLOOKUP(A110, 'Base Exámenes'!$C$5:$C$154, 'Base Exámenes'!$D$5:$D$154), "")</f>
        <v/>
      </c>
      <c r="H110" s="6">
        <f>IFERROR(XLOOKUP(A110, 'Base Exámenes'!$C$5:$C$154, 'Base Exámenes'!$E$5:$E$154), "")</f>
        <v/>
      </c>
      <c r="I110" s="7">
        <f>IFERROR(XLOOKUP(A110, 'Base Exámenes'!$C$5:$C$154, 'Base Exámenes'!$F$5:$F$154), "")</f>
        <v/>
      </c>
      <c r="J110" s="6">
        <f>IFERROR(XLOOKUP(A110, 'Base Exámenes'!$C$5:$C$154, 'Base Exámenes'!$G$5:$G$154), "")</f>
        <v/>
      </c>
      <c r="K110" s="6">
        <f>IFERROR(XLOOKUP(A110, 'Base Exámenes'!$C$5:$C$154, 'Base Exámenes'!$H$5:$H$154), "anonymous")</f>
        <v/>
      </c>
    </row>
    <row r="111">
      <c r="A111" s="4">
        <f>'Base Oficial'!A111</f>
        <v/>
      </c>
      <c r="B111" s="6">
        <f>'Base Oficial'!B111</f>
        <v/>
      </c>
      <c r="C111" s="6">
        <f>'Base Oficial'!F111</f>
        <v/>
      </c>
      <c r="D111" s="6">
        <f>'Base Oficial'!G111</f>
        <v/>
      </c>
      <c r="E111" s="6">
        <f>'Base Oficial'!D111</f>
        <v/>
      </c>
      <c r="F111" s="4">
        <f>IF(ISNUMBER(XLOOKUP(A111, 'Base Exámenes'!$C$5:$C$154, 'Base Exámenes'!$E$5:$E$154)), "Completado", "Pendiente")</f>
        <v/>
      </c>
      <c r="G111" s="6">
        <f>IFERROR(XLOOKUP(A111, 'Base Exámenes'!$C$5:$C$154, 'Base Exámenes'!$D$5:$D$154), "")</f>
        <v/>
      </c>
      <c r="H111" s="6">
        <f>IFERROR(XLOOKUP(A111, 'Base Exámenes'!$C$5:$C$154, 'Base Exámenes'!$E$5:$E$154), "")</f>
        <v/>
      </c>
      <c r="I111" s="7">
        <f>IFERROR(XLOOKUP(A111, 'Base Exámenes'!$C$5:$C$154, 'Base Exámenes'!$F$5:$F$154), "")</f>
        <v/>
      </c>
      <c r="J111" s="6">
        <f>IFERROR(XLOOKUP(A111, 'Base Exámenes'!$C$5:$C$154, 'Base Exámenes'!$G$5:$G$154), "")</f>
        <v/>
      </c>
      <c r="K111" s="6">
        <f>IFERROR(XLOOKUP(A111, 'Base Exámenes'!$C$5:$C$154, 'Base Exámenes'!$H$5:$H$154), "anonymous")</f>
        <v/>
      </c>
    </row>
    <row r="112">
      <c r="A112" s="4">
        <f>'Base Oficial'!A112</f>
        <v/>
      </c>
      <c r="B112" s="6">
        <f>'Base Oficial'!B112</f>
        <v/>
      </c>
      <c r="C112" s="6">
        <f>'Base Oficial'!F112</f>
        <v/>
      </c>
      <c r="D112" s="6">
        <f>'Base Oficial'!G112</f>
        <v/>
      </c>
      <c r="E112" s="6">
        <f>'Base Oficial'!D112</f>
        <v/>
      </c>
      <c r="F112" s="4">
        <f>IF(ISNUMBER(XLOOKUP(A112, 'Base Exámenes'!$C$5:$C$154, 'Base Exámenes'!$E$5:$E$154)), "Completado", "Pendiente")</f>
        <v/>
      </c>
      <c r="G112" s="6">
        <f>IFERROR(XLOOKUP(A112, 'Base Exámenes'!$C$5:$C$154, 'Base Exámenes'!$D$5:$D$154), "")</f>
        <v/>
      </c>
      <c r="H112" s="6">
        <f>IFERROR(XLOOKUP(A112, 'Base Exámenes'!$C$5:$C$154, 'Base Exámenes'!$E$5:$E$154), "")</f>
        <v/>
      </c>
      <c r="I112" s="7">
        <f>IFERROR(XLOOKUP(A112, 'Base Exámenes'!$C$5:$C$154, 'Base Exámenes'!$F$5:$F$154), "")</f>
        <v/>
      </c>
      <c r="J112" s="6">
        <f>IFERROR(XLOOKUP(A112, 'Base Exámenes'!$C$5:$C$154, 'Base Exámenes'!$G$5:$G$154), "")</f>
        <v/>
      </c>
      <c r="K112" s="6">
        <f>IFERROR(XLOOKUP(A112, 'Base Exámenes'!$C$5:$C$154, 'Base Exámenes'!$H$5:$H$154), "anonymous")</f>
        <v/>
      </c>
    </row>
    <row r="113">
      <c r="A113" s="4">
        <f>'Base Oficial'!A113</f>
        <v/>
      </c>
      <c r="B113" s="6">
        <f>'Base Oficial'!B113</f>
        <v/>
      </c>
      <c r="C113" s="6">
        <f>'Base Oficial'!F113</f>
        <v/>
      </c>
      <c r="D113" s="6">
        <f>'Base Oficial'!G113</f>
        <v/>
      </c>
      <c r="E113" s="6">
        <f>'Base Oficial'!D113</f>
        <v/>
      </c>
      <c r="F113" s="4">
        <f>IF(ISNUMBER(XLOOKUP(A113, 'Base Exámenes'!$C$5:$C$154, 'Base Exámenes'!$E$5:$E$154)), "Completado", "Pendiente")</f>
        <v/>
      </c>
      <c r="G113" s="6">
        <f>IFERROR(XLOOKUP(A113, 'Base Exámenes'!$C$5:$C$154, 'Base Exámenes'!$D$5:$D$154), "")</f>
        <v/>
      </c>
      <c r="H113" s="6">
        <f>IFERROR(XLOOKUP(A113, 'Base Exámenes'!$C$5:$C$154, 'Base Exámenes'!$E$5:$E$154), "")</f>
        <v/>
      </c>
      <c r="I113" s="7">
        <f>IFERROR(XLOOKUP(A113, 'Base Exámenes'!$C$5:$C$154, 'Base Exámenes'!$F$5:$F$154), "")</f>
        <v/>
      </c>
      <c r="J113" s="6">
        <f>IFERROR(XLOOKUP(A113, 'Base Exámenes'!$C$5:$C$154, 'Base Exámenes'!$G$5:$G$154), "")</f>
        <v/>
      </c>
      <c r="K113" s="6">
        <f>IFERROR(XLOOKUP(A113, 'Base Exámenes'!$C$5:$C$154, 'Base Exámenes'!$H$5:$H$154), "anonymous")</f>
        <v/>
      </c>
    </row>
    <row r="114">
      <c r="A114" s="4">
        <f>'Base Oficial'!A114</f>
        <v/>
      </c>
      <c r="B114" s="6">
        <f>'Base Oficial'!B114</f>
        <v/>
      </c>
      <c r="C114" s="6">
        <f>'Base Oficial'!F114</f>
        <v/>
      </c>
      <c r="D114" s="6">
        <f>'Base Oficial'!G114</f>
        <v/>
      </c>
      <c r="E114" s="6">
        <f>'Base Oficial'!D114</f>
        <v/>
      </c>
      <c r="F114" s="4">
        <f>IF(ISNUMBER(XLOOKUP(A114, 'Base Exámenes'!$C$5:$C$154, 'Base Exámenes'!$E$5:$E$154)), "Completado", "Pendiente")</f>
        <v/>
      </c>
      <c r="G114" s="6">
        <f>IFERROR(XLOOKUP(A114, 'Base Exámenes'!$C$5:$C$154, 'Base Exámenes'!$D$5:$D$154), "")</f>
        <v/>
      </c>
      <c r="H114" s="6">
        <f>IFERROR(XLOOKUP(A114, 'Base Exámenes'!$C$5:$C$154, 'Base Exámenes'!$E$5:$E$154), "")</f>
        <v/>
      </c>
      <c r="I114" s="7">
        <f>IFERROR(XLOOKUP(A114, 'Base Exámenes'!$C$5:$C$154, 'Base Exámenes'!$F$5:$F$154), "")</f>
        <v/>
      </c>
      <c r="J114" s="6">
        <f>IFERROR(XLOOKUP(A114, 'Base Exámenes'!$C$5:$C$154, 'Base Exámenes'!$G$5:$G$154), "")</f>
        <v/>
      </c>
      <c r="K114" s="6">
        <f>IFERROR(XLOOKUP(A114, 'Base Exámenes'!$C$5:$C$154, 'Base Exámenes'!$H$5:$H$154), "anonymous")</f>
        <v/>
      </c>
    </row>
    <row r="115">
      <c r="A115" s="4">
        <f>'Base Oficial'!A115</f>
        <v/>
      </c>
      <c r="B115" s="6">
        <f>'Base Oficial'!B115</f>
        <v/>
      </c>
      <c r="C115" s="6">
        <f>'Base Oficial'!F115</f>
        <v/>
      </c>
      <c r="D115" s="6">
        <f>'Base Oficial'!G115</f>
        <v/>
      </c>
      <c r="E115" s="6">
        <f>'Base Oficial'!D115</f>
        <v/>
      </c>
      <c r="F115" s="4">
        <f>IF(ISNUMBER(XLOOKUP(A115, 'Base Exámenes'!$C$5:$C$154, 'Base Exámenes'!$E$5:$E$154)), "Completado", "Pendiente")</f>
        <v/>
      </c>
      <c r="G115" s="6">
        <f>IFERROR(XLOOKUP(A115, 'Base Exámenes'!$C$5:$C$154, 'Base Exámenes'!$D$5:$D$154), "")</f>
        <v/>
      </c>
      <c r="H115" s="6">
        <f>IFERROR(XLOOKUP(A115, 'Base Exámenes'!$C$5:$C$154, 'Base Exámenes'!$E$5:$E$154), "")</f>
        <v/>
      </c>
      <c r="I115" s="7">
        <f>IFERROR(XLOOKUP(A115, 'Base Exámenes'!$C$5:$C$154, 'Base Exámenes'!$F$5:$F$154), "")</f>
        <v/>
      </c>
      <c r="J115" s="6">
        <f>IFERROR(XLOOKUP(A115, 'Base Exámenes'!$C$5:$C$154, 'Base Exámenes'!$G$5:$G$154), "")</f>
        <v/>
      </c>
      <c r="K115" s="6">
        <f>IFERROR(XLOOKUP(A115, 'Base Exámenes'!$C$5:$C$154, 'Base Exámenes'!$H$5:$H$154), "anonymous")</f>
        <v/>
      </c>
    </row>
    <row r="116">
      <c r="A116" s="4">
        <f>'Base Oficial'!A116</f>
        <v/>
      </c>
      <c r="B116" s="6">
        <f>'Base Oficial'!B116</f>
        <v/>
      </c>
      <c r="C116" s="6">
        <f>'Base Oficial'!F116</f>
        <v/>
      </c>
      <c r="D116" s="6">
        <f>'Base Oficial'!G116</f>
        <v/>
      </c>
      <c r="E116" s="6">
        <f>'Base Oficial'!D116</f>
        <v/>
      </c>
      <c r="F116" s="4">
        <f>IF(ISNUMBER(XLOOKUP(A116, 'Base Exámenes'!$C$5:$C$154, 'Base Exámenes'!$E$5:$E$154)), "Completado", "Pendiente")</f>
        <v/>
      </c>
      <c r="G116" s="6">
        <f>IFERROR(XLOOKUP(A116, 'Base Exámenes'!$C$5:$C$154, 'Base Exámenes'!$D$5:$D$154), "")</f>
        <v/>
      </c>
      <c r="H116" s="6">
        <f>IFERROR(XLOOKUP(A116, 'Base Exámenes'!$C$5:$C$154, 'Base Exámenes'!$E$5:$E$154), "")</f>
        <v/>
      </c>
      <c r="I116" s="7">
        <f>IFERROR(XLOOKUP(A116, 'Base Exámenes'!$C$5:$C$154, 'Base Exámenes'!$F$5:$F$154), "")</f>
        <v/>
      </c>
      <c r="J116" s="6">
        <f>IFERROR(XLOOKUP(A116, 'Base Exámenes'!$C$5:$C$154, 'Base Exámenes'!$G$5:$G$154), "")</f>
        <v/>
      </c>
      <c r="K116" s="6">
        <f>IFERROR(XLOOKUP(A116, 'Base Exámenes'!$C$5:$C$154, 'Base Exámenes'!$H$5:$H$154), "anonymous")</f>
        <v/>
      </c>
    </row>
    <row r="117">
      <c r="A117" s="4">
        <f>'Base Oficial'!A117</f>
        <v/>
      </c>
      <c r="B117" s="6">
        <f>'Base Oficial'!B117</f>
        <v/>
      </c>
      <c r="C117" s="6">
        <f>'Base Oficial'!F117</f>
        <v/>
      </c>
      <c r="D117" s="6">
        <f>'Base Oficial'!G117</f>
        <v/>
      </c>
      <c r="E117" s="6">
        <f>'Base Oficial'!D117</f>
        <v/>
      </c>
      <c r="F117" s="4">
        <f>IF(ISNUMBER(XLOOKUP(A117, 'Base Exámenes'!$C$5:$C$154, 'Base Exámenes'!$E$5:$E$154)), "Completado", "Pendiente")</f>
        <v/>
      </c>
      <c r="G117" s="6">
        <f>IFERROR(XLOOKUP(A117, 'Base Exámenes'!$C$5:$C$154, 'Base Exámenes'!$D$5:$D$154), "")</f>
        <v/>
      </c>
      <c r="H117" s="6">
        <f>IFERROR(XLOOKUP(A117, 'Base Exámenes'!$C$5:$C$154, 'Base Exámenes'!$E$5:$E$154), "")</f>
        <v/>
      </c>
      <c r="I117" s="7">
        <f>IFERROR(XLOOKUP(A117, 'Base Exámenes'!$C$5:$C$154, 'Base Exámenes'!$F$5:$F$154), "")</f>
        <v/>
      </c>
      <c r="J117" s="6">
        <f>IFERROR(XLOOKUP(A117, 'Base Exámenes'!$C$5:$C$154, 'Base Exámenes'!$G$5:$G$154), "")</f>
        <v/>
      </c>
      <c r="K117" s="6">
        <f>IFERROR(XLOOKUP(A117, 'Base Exámenes'!$C$5:$C$154, 'Base Exámenes'!$H$5:$H$154), "anonymous")</f>
        <v/>
      </c>
    </row>
    <row r="118">
      <c r="A118" s="4">
        <f>'Base Oficial'!A118</f>
        <v/>
      </c>
      <c r="B118" s="6">
        <f>'Base Oficial'!B118</f>
        <v/>
      </c>
      <c r="C118" s="6">
        <f>'Base Oficial'!F118</f>
        <v/>
      </c>
      <c r="D118" s="6">
        <f>'Base Oficial'!G118</f>
        <v/>
      </c>
      <c r="E118" s="6">
        <f>'Base Oficial'!D118</f>
        <v/>
      </c>
      <c r="F118" s="4">
        <f>IF(ISNUMBER(XLOOKUP(A118, 'Base Exámenes'!$C$5:$C$154, 'Base Exámenes'!$E$5:$E$154)), "Completado", "Pendiente")</f>
        <v/>
      </c>
      <c r="G118" s="6">
        <f>IFERROR(XLOOKUP(A118, 'Base Exámenes'!$C$5:$C$154, 'Base Exámenes'!$D$5:$D$154), "")</f>
        <v/>
      </c>
      <c r="H118" s="6">
        <f>IFERROR(XLOOKUP(A118, 'Base Exámenes'!$C$5:$C$154, 'Base Exámenes'!$E$5:$E$154), "")</f>
        <v/>
      </c>
      <c r="I118" s="7">
        <f>IFERROR(XLOOKUP(A118, 'Base Exámenes'!$C$5:$C$154, 'Base Exámenes'!$F$5:$F$154), "")</f>
        <v/>
      </c>
      <c r="J118" s="6">
        <f>IFERROR(XLOOKUP(A118, 'Base Exámenes'!$C$5:$C$154, 'Base Exámenes'!$G$5:$G$154), "")</f>
        <v/>
      </c>
      <c r="K118" s="6">
        <f>IFERROR(XLOOKUP(A118, 'Base Exámenes'!$C$5:$C$154, 'Base Exámenes'!$H$5:$H$154), "anonymous")</f>
        <v/>
      </c>
    </row>
    <row r="119">
      <c r="A119" s="4">
        <f>'Base Oficial'!A119</f>
        <v/>
      </c>
      <c r="B119" s="6">
        <f>'Base Oficial'!B119</f>
        <v/>
      </c>
      <c r="C119" s="6">
        <f>'Base Oficial'!F119</f>
        <v/>
      </c>
      <c r="D119" s="6">
        <f>'Base Oficial'!G119</f>
        <v/>
      </c>
      <c r="E119" s="6">
        <f>'Base Oficial'!D119</f>
        <v/>
      </c>
      <c r="F119" s="4">
        <f>IF(ISNUMBER(XLOOKUP(A119, 'Base Exámenes'!$C$5:$C$154, 'Base Exámenes'!$E$5:$E$154)), "Completado", "Pendiente")</f>
        <v/>
      </c>
      <c r="G119" s="6">
        <f>IFERROR(XLOOKUP(A119, 'Base Exámenes'!$C$5:$C$154, 'Base Exámenes'!$D$5:$D$154), "")</f>
        <v/>
      </c>
      <c r="H119" s="6">
        <f>IFERROR(XLOOKUP(A119, 'Base Exámenes'!$C$5:$C$154, 'Base Exámenes'!$E$5:$E$154), "")</f>
        <v/>
      </c>
      <c r="I119" s="7">
        <f>IFERROR(XLOOKUP(A119, 'Base Exámenes'!$C$5:$C$154, 'Base Exámenes'!$F$5:$F$154), "")</f>
        <v/>
      </c>
      <c r="J119" s="6">
        <f>IFERROR(XLOOKUP(A119, 'Base Exámenes'!$C$5:$C$154, 'Base Exámenes'!$G$5:$G$154), "")</f>
        <v/>
      </c>
      <c r="K119" s="6">
        <f>IFERROR(XLOOKUP(A119, 'Base Exámenes'!$C$5:$C$154, 'Base Exámenes'!$H$5:$H$154), "anonymous")</f>
        <v/>
      </c>
    </row>
    <row r="120">
      <c r="A120" s="4">
        <f>'Base Oficial'!A120</f>
        <v/>
      </c>
      <c r="B120" s="6">
        <f>'Base Oficial'!B120</f>
        <v/>
      </c>
      <c r="C120" s="6">
        <f>'Base Oficial'!F120</f>
        <v/>
      </c>
      <c r="D120" s="6">
        <f>'Base Oficial'!G120</f>
        <v/>
      </c>
      <c r="E120" s="6">
        <f>'Base Oficial'!D120</f>
        <v/>
      </c>
      <c r="F120" s="4">
        <f>IF(ISNUMBER(XLOOKUP(A120, 'Base Exámenes'!$C$5:$C$154, 'Base Exámenes'!$E$5:$E$154)), "Completado", "Pendiente")</f>
        <v/>
      </c>
      <c r="G120" s="6">
        <f>IFERROR(XLOOKUP(A120, 'Base Exámenes'!$C$5:$C$154, 'Base Exámenes'!$D$5:$D$154), "")</f>
        <v/>
      </c>
      <c r="H120" s="6">
        <f>IFERROR(XLOOKUP(A120, 'Base Exámenes'!$C$5:$C$154, 'Base Exámenes'!$E$5:$E$154), "")</f>
        <v/>
      </c>
      <c r="I120" s="7">
        <f>IFERROR(XLOOKUP(A120, 'Base Exámenes'!$C$5:$C$154, 'Base Exámenes'!$F$5:$F$154), "")</f>
        <v/>
      </c>
      <c r="J120" s="6">
        <f>IFERROR(XLOOKUP(A120, 'Base Exámenes'!$C$5:$C$154, 'Base Exámenes'!$G$5:$G$154), "")</f>
        <v/>
      </c>
      <c r="K120" s="6">
        <f>IFERROR(XLOOKUP(A120, 'Base Exámenes'!$C$5:$C$154, 'Base Exámenes'!$H$5:$H$154), "anonymous")</f>
        <v/>
      </c>
    </row>
    <row r="121">
      <c r="A121" s="4">
        <f>'Base Oficial'!A121</f>
        <v/>
      </c>
      <c r="B121" s="6">
        <f>'Base Oficial'!B121</f>
        <v/>
      </c>
      <c r="C121" s="6">
        <f>'Base Oficial'!F121</f>
        <v/>
      </c>
      <c r="D121" s="6">
        <f>'Base Oficial'!G121</f>
        <v/>
      </c>
      <c r="E121" s="6">
        <f>'Base Oficial'!D121</f>
        <v/>
      </c>
      <c r="F121" s="4">
        <f>IF(ISNUMBER(XLOOKUP(A121, 'Base Exámenes'!$C$5:$C$154, 'Base Exámenes'!$E$5:$E$154)), "Completado", "Pendiente")</f>
        <v/>
      </c>
      <c r="G121" s="6">
        <f>IFERROR(XLOOKUP(A121, 'Base Exámenes'!$C$5:$C$154, 'Base Exámenes'!$D$5:$D$154), "")</f>
        <v/>
      </c>
      <c r="H121" s="6">
        <f>IFERROR(XLOOKUP(A121, 'Base Exámenes'!$C$5:$C$154, 'Base Exámenes'!$E$5:$E$154), "")</f>
        <v/>
      </c>
      <c r="I121" s="7">
        <f>IFERROR(XLOOKUP(A121, 'Base Exámenes'!$C$5:$C$154, 'Base Exámenes'!$F$5:$F$154), "")</f>
        <v/>
      </c>
      <c r="J121" s="6">
        <f>IFERROR(XLOOKUP(A121, 'Base Exámenes'!$C$5:$C$154, 'Base Exámenes'!$G$5:$G$154), "")</f>
        <v/>
      </c>
      <c r="K121" s="6">
        <f>IFERROR(XLOOKUP(A121, 'Base Exámenes'!$C$5:$C$154, 'Base Exámenes'!$H$5:$H$154), "anonymous")</f>
        <v/>
      </c>
    </row>
    <row r="122">
      <c r="A122" s="4">
        <f>'Base Oficial'!A122</f>
        <v/>
      </c>
      <c r="B122" s="6">
        <f>'Base Oficial'!B122</f>
        <v/>
      </c>
      <c r="C122" s="6">
        <f>'Base Oficial'!F122</f>
        <v/>
      </c>
      <c r="D122" s="6">
        <f>'Base Oficial'!G122</f>
        <v/>
      </c>
      <c r="E122" s="6">
        <f>'Base Oficial'!D122</f>
        <v/>
      </c>
      <c r="F122" s="4">
        <f>IF(ISNUMBER(XLOOKUP(A122, 'Base Exámenes'!$C$5:$C$154, 'Base Exámenes'!$E$5:$E$154)), "Completado", "Pendiente")</f>
        <v/>
      </c>
      <c r="G122" s="6">
        <f>IFERROR(XLOOKUP(A122, 'Base Exámenes'!$C$5:$C$154, 'Base Exámenes'!$D$5:$D$154), "")</f>
        <v/>
      </c>
      <c r="H122" s="6">
        <f>IFERROR(XLOOKUP(A122, 'Base Exámenes'!$C$5:$C$154, 'Base Exámenes'!$E$5:$E$154), "")</f>
        <v/>
      </c>
      <c r="I122" s="7">
        <f>IFERROR(XLOOKUP(A122, 'Base Exámenes'!$C$5:$C$154, 'Base Exámenes'!$F$5:$F$154), "")</f>
        <v/>
      </c>
      <c r="J122" s="6">
        <f>IFERROR(XLOOKUP(A122, 'Base Exámenes'!$C$5:$C$154, 'Base Exámenes'!$G$5:$G$154), "")</f>
        <v/>
      </c>
      <c r="K122" s="6">
        <f>IFERROR(XLOOKUP(A122, 'Base Exámenes'!$C$5:$C$154, 'Base Exámenes'!$H$5:$H$154), "anonymous")</f>
        <v/>
      </c>
    </row>
    <row r="123">
      <c r="A123" s="4">
        <f>'Base Oficial'!A123</f>
        <v/>
      </c>
      <c r="B123" s="6">
        <f>'Base Oficial'!B123</f>
        <v/>
      </c>
      <c r="C123" s="6">
        <f>'Base Oficial'!F123</f>
        <v/>
      </c>
      <c r="D123" s="6">
        <f>'Base Oficial'!G123</f>
        <v/>
      </c>
      <c r="E123" s="6">
        <f>'Base Oficial'!D123</f>
        <v/>
      </c>
      <c r="F123" s="4">
        <f>IF(ISNUMBER(XLOOKUP(A123, 'Base Exámenes'!$C$5:$C$154, 'Base Exámenes'!$E$5:$E$154)), "Completado", "Pendiente")</f>
        <v/>
      </c>
      <c r="G123" s="6">
        <f>IFERROR(XLOOKUP(A123, 'Base Exámenes'!$C$5:$C$154, 'Base Exámenes'!$D$5:$D$154), "")</f>
        <v/>
      </c>
      <c r="H123" s="6">
        <f>IFERROR(XLOOKUP(A123, 'Base Exámenes'!$C$5:$C$154, 'Base Exámenes'!$E$5:$E$154), "")</f>
        <v/>
      </c>
      <c r="I123" s="7">
        <f>IFERROR(XLOOKUP(A123, 'Base Exámenes'!$C$5:$C$154, 'Base Exámenes'!$F$5:$F$154), "")</f>
        <v/>
      </c>
      <c r="J123" s="6">
        <f>IFERROR(XLOOKUP(A123, 'Base Exámenes'!$C$5:$C$154, 'Base Exámenes'!$G$5:$G$154), "")</f>
        <v/>
      </c>
      <c r="K123" s="6">
        <f>IFERROR(XLOOKUP(A123, 'Base Exámenes'!$C$5:$C$154, 'Base Exámenes'!$H$5:$H$154), "anonymous")</f>
        <v/>
      </c>
    </row>
    <row r="124">
      <c r="A124" s="4">
        <f>'Base Oficial'!A124</f>
        <v/>
      </c>
      <c r="B124" s="6">
        <f>'Base Oficial'!B124</f>
        <v/>
      </c>
      <c r="C124" s="6">
        <f>'Base Oficial'!F124</f>
        <v/>
      </c>
      <c r="D124" s="6">
        <f>'Base Oficial'!G124</f>
        <v/>
      </c>
      <c r="E124" s="6">
        <f>'Base Oficial'!D124</f>
        <v/>
      </c>
      <c r="F124" s="4">
        <f>IF(ISNUMBER(XLOOKUP(A124, 'Base Exámenes'!$C$5:$C$154, 'Base Exámenes'!$E$5:$E$154)), "Completado", "Pendiente")</f>
        <v/>
      </c>
      <c r="G124" s="6">
        <f>IFERROR(XLOOKUP(A124, 'Base Exámenes'!$C$5:$C$154, 'Base Exámenes'!$D$5:$D$154), "")</f>
        <v/>
      </c>
      <c r="H124" s="6">
        <f>IFERROR(XLOOKUP(A124, 'Base Exámenes'!$C$5:$C$154, 'Base Exámenes'!$E$5:$E$154), "")</f>
        <v/>
      </c>
      <c r="I124" s="7">
        <f>IFERROR(XLOOKUP(A124, 'Base Exámenes'!$C$5:$C$154, 'Base Exámenes'!$F$5:$F$154), "")</f>
        <v/>
      </c>
      <c r="J124" s="6">
        <f>IFERROR(XLOOKUP(A124, 'Base Exámenes'!$C$5:$C$154, 'Base Exámenes'!$G$5:$G$154), "")</f>
        <v/>
      </c>
      <c r="K124" s="6">
        <f>IFERROR(XLOOKUP(A124, 'Base Exámenes'!$C$5:$C$154, 'Base Exámenes'!$H$5:$H$154), "anonymous")</f>
        <v/>
      </c>
    </row>
    <row r="125">
      <c r="A125" s="4">
        <f>'Base Oficial'!A125</f>
        <v/>
      </c>
      <c r="B125" s="6">
        <f>'Base Oficial'!B125</f>
        <v/>
      </c>
      <c r="C125" s="6">
        <f>'Base Oficial'!F125</f>
        <v/>
      </c>
      <c r="D125" s="6">
        <f>'Base Oficial'!G125</f>
        <v/>
      </c>
      <c r="E125" s="6">
        <f>'Base Oficial'!D125</f>
        <v/>
      </c>
      <c r="F125" s="4">
        <f>IF(ISNUMBER(XLOOKUP(A125, 'Base Exámenes'!$C$5:$C$154, 'Base Exámenes'!$E$5:$E$154)), "Completado", "Pendiente")</f>
        <v/>
      </c>
      <c r="G125" s="6">
        <f>IFERROR(XLOOKUP(A125, 'Base Exámenes'!$C$5:$C$154, 'Base Exámenes'!$D$5:$D$154), "")</f>
        <v/>
      </c>
      <c r="H125" s="6">
        <f>IFERROR(XLOOKUP(A125, 'Base Exámenes'!$C$5:$C$154, 'Base Exámenes'!$E$5:$E$154), "")</f>
        <v/>
      </c>
      <c r="I125" s="7">
        <f>IFERROR(XLOOKUP(A125, 'Base Exámenes'!$C$5:$C$154, 'Base Exámenes'!$F$5:$F$154), "")</f>
        <v/>
      </c>
      <c r="J125" s="6">
        <f>IFERROR(XLOOKUP(A125, 'Base Exámenes'!$C$5:$C$154, 'Base Exámenes'!$G$5:$G$154), "")</f>
        <v/>
      </c>
      <c r="K125" s="6">
        <f>IFERROR(XLOOKUP(A125, 'Base Exámenes'!$C$5:$C$154, 'Base Exámenes'!$H$5:$H$154), "anonymous")</f>
        <v/>
      </c>
    </row>
    <row r="126">
      <c r="A126" s="4">
        <f>'Base Oficial'!A126</f>
        <v/>
      </c>
      <c r="B126" s="6">
        <f>'Base Oficial'!B126</f>
        <v/>
      </c>
      <c r="C126" s="6">
        <f>'Base Oficial'!F126</f>
        <v/>
      </c>
      <c r="D126" s="6">
        <f>'Base Oficial'!G126</f>
        <v/>
      </c>
      <c r="E126" s="6">
        <f>'Base Oficial'!D126</f>
        <v/>
      </c>
      <c r="F126" s="4">
        <f>IF(ISNUMBER(XLOOKUP(A126, 'Base Exámenes'!$C$5:$C$154, 'Base Exámenes'!$E$5:$E$154)), "Completado", "Pendiente")</f>
        <v/>
      </c>
      <c r="G126" s="6">
        <f>IFERROR(XLOOKUP(A126, 'Base Exámenes'!$C$5:$C$154, 'Base Exámenes'!$D$5:$D$154), "")</f>
        <v/>
      </c>
      <c r="H126" s="6">
        <f>IFERROR(XLOOKUP(A126, 'Base Exámenes'!$C$5:$C$154, 'Base Exámenes'!$E$5:$E$154), "")</f>
        <v/>
      </c>
      <c r="I126" s="7">
        <f>IFERROR(XLOOKUP(A126, 'Base Exámenes'!$C$5:$C$154, 'Base Exámenes'!$F$5:$F$154), "")</f>
        <v/>
      </c>
      <c r="J126" s="6">
        <f>IFERROR(XLOOKUP(A126, 'Base Exámenes'!$C$5:$C$154, 'Base Exámenes'!$G$5:$G$154), "")</f>
        <v/>
      </c>
      <c r="K126" s="6">
        <f>IFERROR(XLOOKUP(A126, 'Base Exámenes'!$C$5:$C$154, 'Base Exámenes'!$H$5:$H$154), "anonymous")</f>
        <v/>
      </c>
    </row>
    <row r="127">
      <c r="A127" s="4">
        <f>'Base Oficial'!A127</f>
        <v/>
      </c>
      <c r="B127" s="6">
        <f>'Base Oficial'!B127</f>
        <v/>
      </c>
      <c r="C127" s="6">
        <f>'Base Oficial'!F127</f>
        <v/>
      </c>
      <c r="D127" s="6">
        <f>'Base Oficial'!G127</f>
        <v/>
      </c>
      <c r="E127" s="6">
        <f>'Base Oficial'!D127</f>
        <v/>
      </c>
      <c r="F127" s="4">
        <f>IF(ISNUMBER(XLOOKUP(A127, 'Base Exámenes'!$C$5:$C$154, 'Base Exámenes'!$E$5:$E$154)), "Completado", "Pendiente")</f>
        <v/>
      </c>
      <c r="G127" s="6">
        <f>IFERROR(XLOOKUP(A127, 'Base Exámenes'!$C$5:$C$154, 'Base Exámenes'!$D$5:$D$154), "")</f>
        <v/>
      </c>
      <c r="H127" s="6">
        <f>IFERROR(XLOOKUP(A127, 'Base Exámenes'!$C$5:$C$154, 'Base Exámenes'!$E$5:$E$154), "")</f>
        <v/>
      </c>
      <c r="I127" s="7">
        <f>IFERROR(XLOOKUP(A127, 'Base Exámenes'!$C$5:$C$154, 'Base Exámenes'!$F$5:$F$154), "")</f>
        <v/>
      </c>
      <c r="J127" s="6">
        <f>IFERROR(XLOOKUP(A127, 'Base Exámenes'!$C$5:$C$154, 'Base Exámenes'!$G$5:$G$154), "")</f>
        <v/>
      </c>
      <c r="K127" s="6">
        <f>IFERROR(XLOOKUP(A127, 'Base Exámenes'!$C$5:$C$154, 'Base Exámenes'!$H$5:$H$154), "anonymous")</f>
        <v/>
      </c>
    </row>
    <row r="128">
      <c r="A128" s="4">
        <f>'Base Oficial'!A128</f>
        <v/>
      </c>
      <c r="B128" s="6">
        <f>'Base Oficial'!B128</f>
        <v/>
      </c>
      <c r="C128" s="6">
        <f>'Base Oficial'!F128</f>
        <v/>
      </c>
      <c r="D128" s="6">
        <f>'Base Oficial'!G128</f>
        <v/>
      </c>
      <c r="E128" s="6">
        <f>'Base Oficial'!D128</f>
        <v/>
      </c>
      <c r="F128" s="4">
        <f>IF(ISNUMBER(XLOOKUP(A128, 'Base Exámenes'!$C$5:$C$154, 'Base Exámenes'!$E$5:$E$154)), "Completado", "Pendiente")</f>
        <v/>
      </c>
      <c r="G128" s="6">
        <f>IFERROR(XLOOKUP(A128, 'Base Exámenes'!$C$5:$C$154, 'Base Exámenes'!$D$5:$D$154), "")</f>
        <v/>
      </c>
      <c r="H128" s="6">
        <f>IFERROR(XLOOKUP(A128, 'Base Exámenes'!$C$5:$C$154, 'Base Exámenes'!$E$5:$E$154), "")</f>
        <v/>
      </c>
      <c r="I128" s="7">
        <f>IFERROR(XLOOKUP(A128, 'Base Exámenes'!$C$5:$C$154, 'Base Exámenes'!$F$5:$F$154), "")</f>
        <v/>
      </c>
      <c r="J128" s="6">
        <f>IFERROR(XLOOKUP(A128, 'Base Exámenes'!$C$5:$C$154, 'Base Exámenes'!$G$5:$G$154), "")</f>
        <v/>
      </c>
      <c r="K128" s="6">
        <f>IFERROR(XLOOKUP(A128, 'Base Exámenes'!$C$5:$C$154, 'Base Exámenes'!$H$5:$H$154), "anonymous")</f>
        <v/>
      </c>
    </row>
    <row r="129">
      <c r="A129" s="4">
        <f>'Base Oficial'!A129</f>
        <v/>
      </c>
      <c r="B129" s="6">
        <f>'Base Oficial'!B129</f>
        <v/>
      </c>
      <c r="C129" s="6">
        <f>'Base Oficial'!F129</f>
        <v/>
      </c>
      <c r="D129" s="6">
        <f>'Base Oficial'!G129</f>
        <v/>
      </c>
      <c r="E129" s="6">
        <f>'Base Oficial'!D129</f>
        <v/>
      </c>
      <c r="F129" s="4">
        <f>IF(ISNUMBER(XLOOKUP(A129, 'Base Exámenes'!$C$5:$C$154, 'Base Exámenes'!$E$5:$E$154)), "Completado", "Pendiente")</f>
        <v/>
      </c>
      <c r="G129" s="6">
        <f>IFERROR(XLOOKUP(A129, 'Base Exámenes'!$C$5:$C$154, 'Base Exámenes'!$D$5:$D$154), "")</f>
        <v/>
      </c>
      <c r="H129" s="6">
        <f>IFERROR(XLOOKUP(A129, 'Base Exámenes'!$C$5:$C$154, 'Base Exámenes'!$E$5:$E$154), "")</f>
        <v/>
      </c>
      <c r="I129" s="7">
        <f>IFERROR(XLOOKUP(A129, 'Base Exámenes'!$C$5:$C$154, 'Base Exámenes'!$F$5:$F$154), "")</f>
        <v/>
      </c>
      <c r="J129" s="6">
        <f>IFERROR(XLOOKUP(A129, 'Base Exámenes'!$C$5:$C$154, 'Base Exámenes'!$G$5:$G$154), "")</f>
        <v/>
      </c>
      <c r="K129" s="6">
        <f>IFERROR(XLOOKUP(A129, 'Base Exámenes'!$C$5:$C$154, 'Base Exámenes'!$H$5:$H$154), "anonymous")</f>
        <v/>
      </c>
    </row>
    <row r="130">
      <c r="A130" s="4">
        <f>'Base Oficial'!A130</f>
        <v/>
      </c>
      <c r="B130" s="6">
        <f>'Base Oficial'!B130</f>
        <v/>
      </c>
      <c r="C130" s="6">
        <f>'Base Oficial'!F130</f>
        <v/>
      </c>
      <c r="D130" s="6">
        <f>'Base Oficial'!G130</f>
        <v/>
      </c>
      <c r="E130" s="6">
        <f>'Base Oficial'!D130</f>
        <v/>
      </c>
      <c r="F130" s="4">
        <f>IF(ISNUMBER(XLOOKUP(A130, 'Base Exámenes'!$C$5:$C$154, 'Base Exámenes'!$E$5:$E$154)), "Completado", "Pendiente")</f>
        <v/>
      </c>
      <c r="G130" s="6">
        <f>IFERROR(XLOOKUP(A130, 'Base Exámenes'!$C$5:$C$154, 'Base Exámenes'!$D$5:$D$154), "")</f>
        <v/>
      </c>
      <c r="H130" s="6">
        <f>IFERROR(XLOOKUP(A130, 'Base Exámenes'!$C$5:$C$154, 'Base Exámenes'!$E$5:$E$154), "")</f>
        <v/>
      </c>
      <c r="I130" s="7">
        <f>IFERROR(XLOOKUP(A130, 'Base Exámenes'!$C$5:$C$154, 'Base Exámenes'!$F$5:$F$154), "")</f>
        <v/>
      </c>
      <c r="J130" s="6">
        <f>IFERROR(XLOOKUP(A130, 'Base Exámenes'!$C$5:$C$154, 'Base Exámenes'!$G$5:$G$154), "")</f>
        <v/>
      </c>
      <c r="K130" s="6">
        <f>IFERROR(XLOOKUP(A130, 'Base Exámenes'!$C$5:$C$154, 'Base Exámenes'!$H$5:$H$154), "anonymous")</f>
        <v/>
      </c>
    </row>
    <row r="131">
      <c r="A131" s="4">
        <f>'Base Oficial'!A131</f>
        <v/>
      </c>
      <c r="B131" s="6">
        <f>'Base Oficial'!B131</f>
        <v/>
      </c>
      <c r="C131" s="6">
        <f>'Base Oficial'!F131</f>
        <v/>
      </c>
      <c r="D131" s="6">
        <f>'Base Oficial'!G131</f>
        <v/>
      </c>
      <c r="E131" s="6">
        <f>'Base Oficial'!D131</f>
        <v/>
      </c>
      <c r="F131" s="4">
        <f>IF(ISNUMBER(XLOOKUP(A131, 'Base Exámenes'!$C$5:$C$154, 'Base Exámenes'!$E$5:$E$154)), "Completado", "Pendiente")</f>
        <v/>
      </c>
      <c r="G131" s="6">
        <f>IFERROR(XLOOKUP(A131, 'Base Exámenes'!$C$5:$C$154, 'Base Exámenes'!$D$5:$D$154), "")</f>
        <v/>
      </c>
      <c r="H131" s="6">
        <f>IFERROR(XLOOKUP(A131, 'Base Exámenes'!$C$5:$C$154, 'Base Exámenes'!$E$5:$E$154), "")</f>
        <v/>
      </c>
      <c r="I131" s="7">
        <f>IFERROR(XLOOKUP(A131, 'Base Exámenes'!$C$5:$C$154, 'Base Exámenes'!$F$5:$F$154), "")</f>
        <v/>
      </c>
      <c r="J131" s="6">
        <f>IFERROR(XLOOKUP(A131, 'Base Exámenes'!$C$5:$C$154, 'Base Exámenes'!$G$5:$G$154), "")</f>
        <v/>
      </c>
      <c r="K131" s="6">
        <f>IFERROR(XLOOKUP(A131, 'Base Exámenes'!$C$5:$C$154, 'Base Exámenes'!$H$5:$H$154), "anonymous")</f>
        <v/>
      </c>
    </row>
    <row r="132">
      <c r="A132" s="4">
        <f>'Base Oficial'!A132</f>
        <v/>
      </c>
      <c r="B132" s="6">
        <f>'Base Oficial'!B132</f>
        <v/>
      </c>
      <c r="C132" s="6">
        <f>'Base Oficial'!F132</f>
        <v/>
      </c>
      <c r="D132" s="6">
        <f>'Base Oficial'!G132</f>
        <v/>
      </c>
      <c r="E132" s="6">
        <f>'Base Oficial'!D132</f>
        <v/>
      </c>
      <c r="F132" s="4">
        <f>IF(ISNUMBER(XLOOKUP(A132, 'Base Exámenes'!$C$5:$C$154, 'Base Exámenes'!$E$5:$E$154)), "Completado", "Pendiente")</f>
        <v/>
      </c>
      <c r="G132" s="6">
        <f>IFERROR(XLOOKUP(A132, 'Base Exámenes'!$C$5:$C$154, 'Base Exámenes'!$D$5:$D$154), "")</f>
        <v/>
      </c>
      <c r="H132" s="6">
        <f>IFERROR(XLOOKUP(A132, 'Base Exámenes'!$C$5:$C$154, 'Base Exámenes'!$E$5:$E$154), "")</f>
        <v/>
      </c>
      <c r="I132" s="7">
        <f>IFERROR(XLOOKUP(A132, 'Base Exámenes'!$C$5:$C$154, 'Base Exámenes'!$F$5:$F$154), "")</f>
        <v/>
      </c>
      <c r="J132" s="6">
        <f>IFERROR(XLOOKUP(A132, 'Base Exámenes'!$C$5:$C$154, 'Base Exámenes'!$G$5:$G$154), "")</f>
        <v/>
      </c>
      <c r="K132" s="6">
        <f>IFERROR(XLOOKUP(A132, 'Base Exámenes'!$C$5:$C$154, 'Base Exámenes'!$H$5:$H$154), "anonymous")</f>
        <v/>
      </c>
    </row>
    <row r="133">
      <c r="A133" s="4">
        <f>'Base Oficial'!A133</f>
        <v/>
      </c>
      <c r="B133" s="6">
        <f>'Base Oficial'!B133</f>
        <v/>
      </c>
      <c r="C133" s="6">
        <f>'Base Oficial'!F133</f>
        <v/>
      </c>
      <c r="D133" s="6">
        <f>'Base Oficial'!G133</f>
        <v/>
      </c>
      <c r="E133" s="6">
        <f>'Base Oficial'!D133</f>
        <v/>
      </c>
      <c r="F133" s="4">
        <f>IF(ISNUMBER(XLOOKUP(A133, 'Base Exámenes'!$C$5:$C$154, 'Base Exámenes'!$E$5:$E$154)), "Completado", "Pendiente")</f>
        <v/>
      </c>
      <c r="G133" s="6">
        <f>IFERROR(XLOOKUP(A133, 'Base Exámenes'!$C$5:$C$154, 'Base Exámenes'!$D$5:$D$154), "")</f>
        <v/>
      </c>
      <c r="H133" s="6">
        <f>IFERROR(XLOOKUP(A133, 'Base Exámenes'!$C$5:$C$154, 'Base Exámenes'!$E$5:$E$154), "")</f>
        <v/>
      </c>
      <c r="I133" s="7">
        <f>IFERROR(XLOOKUP(A133, 'Base Exámenes'!$C$5:$C$154, 'Base Exámenes'!$F$5:$F$154), "")</f>
        <v/>
      </c>
      <c r="J133" s="6">
        <f>IFERROR(XLOOKUP(A133, 'Base Exámenes'!$C$5:$C$154, 'Base Exámenes'!$G$5:$G$154), "")</f>
        <v/>
      </c>
      <c r="K133" s="6">
        <f>IFERROR(XLOOKUP(A133, 'Base Exámenes'!$C$5:$C$154, 'Base Exámenes'!$H$5:$H$154), "anonymous")</f>
        <v/>
      </c>
    </row>
    <row r="134">
      <c r="A134" s="4">
        <f>'Base Oficial'!A134</f>
        <v/>
      </c>
      <c r="B134" s="6">
        <f>'Base Oficial'!B134</f>
        <v/>
      </c>
      <c r="C134" s="6">
        <f>'Base Oficial'!F134</f>
        <v/>
      </c>
      <c r="D134" s="6">
        <f>'Base Oficial'!G134</f>
        <v/>
      </c>
      <c r="E134" s="6">
        <f>'Base Oficial'!D134</f>
        <v/>
      </c>
      <c r="F134" s="4">
        <f>IF(ISNUMBER(XLOOKUP(A134, 'Base Exámenes'!$C$5:$C$154, 'Base Exámenes'!$E$5:$E$154)), "Completado", "Pendiente")</f>
        <v/>
      </c>
      <c r="G134" s="6">
        <f>IFERROR(XLOOKUP(A134, 'Base Exámenes'!$C$5:$C$154, 'Base Exámenes'!$D$5:$D$154), "")</f>
        <v/>
      </c>
      <c r="H134" s="6">
        <f>IFERROR(XLOOKUP(A134, 'Base Exámenes'!$C$5:$C$154, 'Base Exámenes'!$E$5:$E$154), "")</f>
        <v/>
      </c>
      <c r="I134" s="7">
        <f>IFERROR(XLOOKUP(A134, 'Base Exámenes'!$C$5:$C$154, 'Base Exámenes'!$F$5:$F$154), "")</f>
        <v/>
      </c>
      <c r="J134" s="6">
        <f>IFERROR(XLOOKUP(A134, 'Base Exámenes'!$C$5:$C$154, 'Base Exámenes'!$G$5:$G$154), "")</f>
        <v/>
      </c>
      <c r="K134" s="6">
        <f>IFERROR(XLOOKUP(A134, 'Base Exámenes'!$C$5:$C$154, 'Base Exámenes'!$H$5:$H$154), "anonymous")</f>
        <v/>
      </c>
    </row>
    <row r="135">
      <c r="A135" s="4">
        <f>'Base Oficial'!A135</f>
        <v/>
      </c>
      <c r="B135" s="6">
        <f>'Base Oficial'!B135</f>
        <v/>
      </c>
      <c r="C135" s="6">
        <f>'Base Oficial'!F135</f>
        <v/>
      </c>
      <c r="D135" s="6">
        <f>'Base Oficial'!G135</f>
        <v/>
      </c>
      <c r="E135" s="6">
        <f>'Base Oficial'!D135</f>
        <v/>
      </c>
      <c r="F135" s="4">
        <f>IF(ISNUMBER(XLOOKUP(A135, 'Base Exámenes'!$C$5:$C$154, 'Base Exámenes'!$E$5:$E$154)), "Completado", "Pendiente")</f>
        <v/>
      </c>
      <c r="G135" s="6">
        <f>IFERROR(XLOOKUP(A135, 'Base Exámenes'!$C$5:$C$154, 'Base Exámenes'!$D$5:$D$154), "")</f>
        <v/>
      </c>
      <c r="H135" s="6">
        <f>IFERROR(XLOOKUP(A135, 'Base Exámenes'!$C$5:$C$154, 'Base Exámenes'!$E$5:$E$154), "")</f>
        <v/>
      </c>
      <c r="I135" s="7">
        <f>IFERROR(XLOOKUP(A135, 'Base Exámenes'!$C$5:$C$154, 'Base Exámenes'!$F$5:$F$154), "")</f>
        <v/>
      </c>
      <c r="J135" s="6">
        <f>IFERROR(XLOOKUP(A135, 'Base Exámenes'!$C$5:$C$154, 'Base Exámenes'!$G$5:$G$154), "")</f>
        <v/>
      </c>
      <c r="K135" s="6">
        <f>IFERROR(XLOOKUP(A135, 'Base Exámenes'!$C$5:$C$154, 'Base Exámenes'!$H$5:$H$154), "anonymous")</f>
        <v/>
      </c>
    </row>
    <row r="136">
      <c r="A136" s="4">
        <f>'Base Oficial'!A136</f>
        <v/>
      </c>
      <c r="B136" s="6">
        <f>'Base Oficial'!B136</f>
        <v/>
      </c>
      <c r="C136" s="6">
        <f>'Base Oficial'!F136</f>
        <v/>
      </c>
      <c r="D136" s="6">
        <f>'Base Oficial'!G136</f>
        <v/>
      </c>
      <c r="E136" s="6">
        <f>'Base Oficial'!D136</f>
        <v/>
      </c>
      <c r="F136" s="4">
        <f>IF(ISNUMBER(XLOOKUP(A136, 'Base Exámenes'!$C$5:$C$154, 'Base Exámenes'!$E$5:$E$154)), "Completado", "Pendiente")</f>
        <v/>
      </c>
      <c r="G136" s="6">
        <f>IFERROR(XLOOKUP(A136, 'Base Exámenes'!$C$5:$C$154, 'Base Exámenes'!$D$5:$D$154), "")</f>
        <v/>
      </c>
      <c r="H136" s="6">
        <f>IFERROR(XLOOKUP(A136, 'Base Exámenes'!$C$5:$C$154, 'Base Exámenes'!$E$5:$E$154), "")</f>
        <v/>
      </c>
      <c r="I136" s="7">
        <f>IFERROR(XLOOKUP(A136, 'Base Exámenes'!$C$5:$C$154, 'Base Exámenes'!$F$5:$F$154), "")</f>
        <v/>
      </c>
      <c r="J136" s="6">
        <f>IFERROR(XLOOKUP(A136, 'Base Exámenes'!$C$5:$C$154, 'Base Exámenes'!$G$5:$G$154), "")</f>
        <v/>
      </c>
      <c r="K136" s="6">
        <f>IFERROR(XLOOKUP(A136, 'Base Exámenes'!$C$5:$C$154, 'Base Exámenes'!$H$5:$H$154), "anonymous")</f>
        <v/>
      </c>
    </row>
    <row r="137">
      <c r="A137" s="4">
        <f>'Base Oficial'!A137</f>
        <v/>
      </c>
      <c r="B137" s="6">
        <f>'Base Oficial'!B137</f>
        <v/>
      </c>
      <c r="C137" s="6">
        <f>'Base Oficial'!F137</f>
        <v/>
      </c>
      <c r="D137" s="6">
        <f>'Base Oficial'!G137</f>
        <v/>
      </c>
      <c r="E137" s="6">
        <f>'Base Oficial'!D137</f>
        <v/>
      </c>
      <c r="F137" s="4">
        <f>IF(ISNUMBER(XLOOKUP(A137, 'Base Exámenes'!$C$5:$C$154, 'Base Exámenes'!$E$5:$E$154)), "Completado", "Pendiente")</f>
        <v/>
      </c>
      <c r="G137" s="6">
        <f>IFERROR(XLOOKUP(A137, 'Base Exámenes'!$C$5:$C$154, 'Base Exámenes'!$D$5:$D$154), "")</f>
        <v/>
      </c>
      <c r="H137" s="6">
        <f>IFERROR(XLOOKUP(A137, 'Base Exámenes'!$C$5:$C$154, 'Base Exámenes'!$E$5:$E$154), "")</f>
        <v/>
      </c>
      <c r="I137" s="7">
        <f>IFERROR(XLOOKUP(A137, 'Base Exámenes'!$C$5:$C$154, 'Base Exámenes'!$F$5:$F$154), "")</f>
        <v/>
      </c>
      <c r="J137" s="6">
        <f>IFERROR(XLOOKUP(A137, 'Base Exámenes'!$C$5:$C$154, 'Base Exámenes'!$G$5:$G$154), "")</f>
        <v/>
      </c>
      <c r="K137" s="6">
        <f>IFERROR(XLOOKUP(A137, 'Base Exámenes'!$C$5:$C$154, 'Base Exámenes'!$H$5:$H$154), "anonymous")</f>
        <v/>
      </c>
    </row>
    <row r="138">
      <c r="A138" s="4">
        <f>'Base Oficial'!A138</f>
        <v/>
      </c>
      <c r="B138" s="6">
        <f>'Base Oficial'!B138</f>
        <v/>
      </c>
      <c r="C138" s="6">
        <f>'Base Oficial'!F138</f>
        <v/>
      </c>
      <c r="D138" s="6">
        <f>'Base Oficial'!G138</f>
        <v/>
      </c>
      <c r="E138" s="6">
        <f>'Base Oficial'!D138</f>
        <v/>
      </c>
      <c r="F138" s="4">
        <f>IF(ISNUMBER(XLOOKUP(A138, 'Base Exámenes'!$C$5:$C$154, 'Base Exámenes'!$E$5:$E$154)), "Completado", "Pendiente")</f>
        <v/>
      </c>
      <c r="G138" s="6">
        <f>IFERROR(XLOOKUP(A138, 'Base Exámenes'!$C$5:$C$154, 'Base Exámenes'!$D$5:$D$154), "")</f>
        <v/>
      </c>
      <c r="H138" s="6">
        <f>IFERROR(XLOOKUP(A138, 'Base Exámenes'!$C$5:$C$154, 'Base Exámenes'!$E$5:$E$154), "")</f>
        <v/>
      </c>
      <c r="I138" s="7">
        <f>IFERROR(XLOOKUP(A138, 'Base Exámenes'!$C$5:$C$154, 'Base Exámenes'!$F$5:$F$154), "")</f>
        <v/>
      </c>
      <c r="J138" s="6">
        <f>IFERROR(XLOOKUP(A138, 'Base Exámenes'!$C$5:$C$154, 'Base Exámenes'!$G$5:$G$154), "")</f>
        <v/>
      </c>
      <c r="K138" s="6">
        <f>IFERROR(XLOOKUP(A138, 'Base Exámenes'!$C$5:$C$154, 'Base Exámenes'!$H$5:$H$154), "anonymous")</f>
        <v/>
      </c>
    </row>
    <row r="139">
      <c r="A139" s="4">
        <f>'Base Oficial'!A139</f>
        <v/>
      </c>
      <c r="B139" s="6">
        <f>'Base Oficial'!B139</f>
        <v/>
      </c>
      <c r="C139" s="6">
        <f>'Base Oficial'!F139</f>
        <v/>
      </c>
      <c r="D139" s="6">
        <f>'Base Oficial'!G139</f>
        <v/>
      </c>
      <c r="E139" s="6">
        <f>'Base Oficial'!D139</f>
        <v/>
      </c>
      <c r="F139" s="4">
        <f>IF(ISNUMBER(XLOOKUP(A139, 'Base Exámenes'!$C$5:$C$154, 'Base Exámenes'!$E$5:$E$154)), "Completado", "Pendiente")</f>
        <v/>
      </c>
      <c r="G139" s="6">
        <f>IFERROR(XLOOKUP(A139, 'Base Exámenes'!$C$5:$C$154, 'Base Exámenes'!$D$5:$D$154), "")</f>
        <v/>
      </c>
      <c r="H139" s="6">
        <f>IFERROR(XLOOKUP(A139, 'Base Exámenes'!$C$5:$C$154, 'Base Exámenes'!$E$5:$E$154), "")</f>
        <v/>
      </c>
      <c r="I139" s="7">
        <f>IFERROR(XLOOKUP(A139, 'Base Exámenes'!$C$5:$C$154, 'Base Exámenes'!$F$5:$F$154), "")</f>
        <v/>
      </c>
      <c r="J139" s="6">
        <f>IFERROR(XLOOKUP(A139, 'Base Exámenes'!$C$5:$C$154, 'Base Exámenes'!$G$5:$G$154), "")</f>
        <v/>
      </c>
      <c r="K139" s="6">
        <f>IFERROR(XLOOKUP(A139, 'Base Exámenes'!$C$5:$C$154, 'Base Exámenes'!$H$5:$H$154), "anonymous")</f>
        <v/>
      </c>
    </row>
    <row r="140">
      <c r="A140" s="4">
        <f>'Base Oficial'!A140</f>
        <v/>
      </c>
      <c r="B140" s="6">
        <f>'Base Oficial'!B140</f>
        <v/>
      </c>
      <c r="C140" s="6">
        <f>'Base Oficial'!F140</f>
        <v/>
      </c>
      <c r="D140" s="6">
        <f>'Base Oficial'!G140</f>
        <v/>
      </c>
      <c r="E140" s="6">
        <f>'Base Oficial'!D140</f>
        <v/>
      </c>
      <c r="F140" s="4">
        <f>IF(ISNUMBER(XLOOKUP(A140, 'Base Exámenes'!$C$5:$C$154, 'Base Exámenes'!$E$5:$E$154)), "Completado", "Pendiente")</f>
        <v/>
      </c>
      <c r="G140" s="6">
        <f>IFERROR(XLOOKUP(A140, 'Base Exámenes'!$C$5:$C$154, 'Base Exámenes'!$D$5:$D$154), "")</f>
        <v/>
      </c>
      <c r="H140" s="6">
        <f>IFERROR(XLOOKUP(A140, 'Base Exámenes'!$C$5:$C$154, 'Base Exámenes'!$E$5:$E$154), "")</f>
        <v/>
      </c>
      <c r="I140" s="7">
        <f>IFERROR(XLOOKUP(A140, 'Base Exámenes'!$C$5:$C$154, 'Base Exámenes'!$F$5:$F$154), "")</f>
        <v/>
      </c>
      <c r="J140" s="6">
        <f>IFERROR(XLOOKUP(A140, 'Base Exámenes'!$C$5:$C$154, 'Base Exámenes'!$G$5:$G$154), "")</f>
        <v/>
      </c>
      <c r="K140" s="6">
        <f>IFERROR(XLOOKUP(A140, 'Base Exámenes'!$C$5:$C$154, 'Base Exámenes'!$H$5:$H$154), "anonymous")</f>
        <v/>
      </c>
    </row>
    <row r="141">
      <c r="A141" s="4">
        <f>'Base Oficial'!A141</f>
        <v/>
      </c>
      <c r="B141" s="6">
        <f>'Base Oficial'!B141</f>
        <v/>
      </c>
      <c r="C141" s="6">
        <f>'Base Oficial'!F141</f>
        <v/>
      </c>
      <c r="D141" s="6">
        <f>'Base Oficial'!G141</f>
        <v/>
      </c>
      <c r="E141" s="6">
        <f>'Base Oficial'!D141</f>
        <v/>
      </c>
      <c r="F141" s="4">
        <f>IF(ISNUMBER(XLOOKUP(A141, 'Base Exámenes'!$C$5:$C$154, 'Base Exámenes'!$E$5:$E$154)), "Completado", "Pendiente")</f>
        <v/>
      </c>
      <c r="G141" s="6">
        <f>IFERROR(XLOOKUP(A141, 'Base Exámenes'!$C$5:$C$154, 'Base Exámenes'!$D$5:$D$154), "")</f>
        <v/>
      </c>
      <c r="H141" s="6">
        <f>IFERROR(XLOOKUP(A141, 'Base Exámenes'!$C$5:$C$154, 'Base Exámenes'!$E$5:$E$154), "")</f>
        <v/>
      </c>
      <c r="I141" s="7">
        <f>IFERROR(XLOOKUP(A141, 'Base Exámenes'!$C$5:$C$154, 'Base Exámenes'!$F$5:$F$154), "")</f>
        <v/>
      </c>
      <c r="J141" s="6">
        <f>IFERROR(XLOOKUP(A141, 'Base Exámenes'!$C$5:$C$154, 'Base Exámenes'!$G$5:$G$154), "")</f>
        <v/>
      </c>
      <c r="K141" s="6">
        <f>IFERROR(XLOOKUP(A141, 'Base Exámenes'!$C$5:$C$154, 'Base Exámenes'!$H$5:$H$154), "anonymous")</f>
        <v/>
      </c>
    </row>
    <row r="142">
      <c r="A142" s="4">
        <f>'Base Oficial'!A142</f>
        <v/>
      </c>
      <c r="B142" s="6">
        <f>'Base Oficial'!B142</f>
        <v/>
      </c>
      <c r="C142" s="6">
        <f>'Base Oficial'!F142</f>
        <v/>
      </c>
      <c r="D142" s="6">
        <f>'Base Oficial'!G142</f>
        <v/>
      </c>
      <c r="E142" s="6">
        <f>'Base Oficial'!D142</f>
        <v/>
      </c>
      <c r="F142" s="4">
        <f>IF(ISNUMBER(XLOOKUP(A142, 'Base Exámenes'!$C$5:$C$154, 'Base Exámenes'!$E$5:$E$154)), "Completado", "Pendiente")</f>
        <v/>
      </c>
      <c r="G142" s="6">
        <f>IFERROR(XLOOKUP(A142, 'Base Exámenes'!$C$5:$C$154, 'Base Exámenes'!$D$5:$D$154), "")</f>
        <v/>
      </c>
      <c r="H142" s="6">
        <f>IFERROR(XLOOKUP(A142, 'Base Exámenes'!$C$5:$C$154, 'Base Exámenes'!$E$5:$E$154), "")</f>
        <v/>
      </c>
      <c r="I142" s="7">
        <f>IFERROR(XLOOKUP(A142, 'Base Exámenes'!$C$5:$C$154, 'Base Exámenes'!$F$5:$F$154), "")</f>
        <v/>
      </c>
      <c r="J142" s="6">
        <f>IFERROR(XLOOKUP(A142, 'Base Exámenes'!$C$5:$C$154, 'Base Exámenes'!$G$5:$G$154), "")</f>
        <v/>
      </c>
      <c r="K142" s="6">
        <f>IFERROR(XLOOKUP(A142, 'Base Exámenes'!$C$5:$C$154, 'Base Exámenes'!$H$5:$H$154), "anonymous")</f>
        <v/>
      </c>
    </row>
    <row r="143">
      <c r="A143" s="4">
        <f>'Base Oficial'!A143</f>
        <v/>
      </c>
      <c r="B143" s="6">
        <f>'Base Oficial'!B143</f>
        <v/>
      </c>
      <c r="C143" s="6">
        <f>'Base Oficial'!F143</f>
        <v/>
      </c>
      <c r="D143" s="6">
        <f>'Base Oficial'!G143</f>
        <v/>
      </c>
      <c r="E143" s="6">
        <f>'Base Oficial'!D143</f>
        <v/>
      </c>
      <c r="F143" s="4">
        <f>IF(ISNUMBER(XLOOKUP(A143, 'Base Exámenes'!$C$5:$C$154, 'Base Exámenes'!$E$5:$E$154)), "Completado", "Pendiente")</f>
        <v/>
      </c>
      <c r="G143" s="6">
        <f>IFERROR(XLOOKUP(A143, 'Base Exámenes'!$C$5:$C$154, 'Base Exámenes'!$D$5:$D$154), "")</f>
        <v/>
      </c>
      <c r="H143" s="6">
        <f>IFERROR(XLOOKUP(A143, 'Base Exámenes'!$C$5:$C$154, 'Base Exámenes'!$E$5:$E$154), "")</f>
        <v/>
      </c>
      <c r="I143" s="7">
        <f>IFERROR(XLOOKUP(A143, 'Base Exámenes'!$C$5:$C$154, 'Base Exámenes'!$F$5:$F$154), "")</f>
        <v/>
      </c>
      <c r="J143" s="6">
        <f>IFERROR(XLOOKUP(A143, 'Base Exámenes'!$C$5:$C$154, 'Base Exámenes'!$G$5:$G$154), "")</f>
        <v/>
      </c>
      <c r="K143" s="6">
        <f>IFERROR(XLOOKUP(A143, 'Base Exámenes'!$C$5:$C$154, 'Base Exámenes'!$H$5:$H$154), "anonymous")</f>
        <v/>
      </c>
    </row>
    <row r="144">
      <c r="A144" s="4">
        <f>'Base Oficial'!A144</f>
        <v/>
      </c>
      <c r="B144" s="6">
        <f>'Base Oficial'!B144</f>
        <v/>
      </c>
      <c r="C144" s="6">
        <f>'Base Oficial'!F144</f>
        <v/>
      </c>
      <c r="D144" s="6">
        <f>'Base Oficial'!G144</f>
        <v/>
      </c>
      <c r="E144" s="6">
        <f>'Base Oficial'!D144</f>
        <v/>
      </c>
      <c r="F144" s="4">
        <f>IF(ISNUMBER(XLOOKUP(A144, 'Base Exámenes'!$C$5:$C$154, 'Base Exámenes'!$E$5:$E$154)), "Completado", "Pendiente")</f>
        <v/>
      </c>
      <c r="G144" s="6">
        <f>IFERROR(XLOOKUP(A144, 'Base Exámenes'!$C$5:$C$154, 'Base Exámenes'!$D$5:$D$154), "")</f>
        <v/>
      </c>
      <c r="H144" s="6">
        <f>IFERROR(XLOOKUP(A144, 'Base Exámenes'!$C$5:$C$154, 'Base Exámenes'!$E$5:$E$154), "")</f>
        <v/>
      </c>
      <c r="I144" s="7">
        <f>IFERROR(XLOOKUP(A144, 'Base Exámenes'!$C$5:$C$154, 'Base Exámenes'!$F$5:$F$154), "")</f>
        <v/>
      </c>
      <c r="J144" s="6">
        <f>IFERROR(XLOOKUP(A144, 'Base Exámenes'!$C$5:$C$154, 'Base Exámenes'!$G$5:$G$154), "")</f>
        <v/>
      </c>
      <c r="K144" s="6">
        <f>IFERROR(XLOOKUP(A144, 'Base Exámenes'!$C$5:$C$154, 'Base Exámenes'!$H$5:$H$154), "anonymous")</f>
        <v/>
      </c>
    </row>
    <row r="145">
      <c r="A145" s="4">
        <f>'Base Oficial'!A145</f>
        <v/>
      </c>
      <c r="B145" s="6">
        <f>'Base Oficial'!B145</f>
        <v/>
      </c>
      <c r="C145" s="6">
        <f>'Base Oficial'!F145</f>
        <v/>
      </c>
      <c r="D145" s="6">
        <f>'Base Oficial'!G145</f>
        <v/>
      </c>
      <c r="E145" s="6">
        <f>'Base Oficial'!D145</f>
        <v/>
      </c>
      <c r="F145" s="4">
        <f>IF(ISNUMBER(XLOOKUP(A145, 'Base Exámenes'!$C$5:$C$154, 'Base Exámenes'!$E$5:$E$154)), "Completado", "Pendiente")</f>
        <v/>
      </c>
      <c r="G145" s="6">
        <f>IFERROR(XLOOKUP(A145, 'Base Exámenes'!$C$5:$C$154, 'Base Exámenes'!$D$5:$D$154), "")</f>
        <v/>
      </c>
      <c r="H145" s="6">
        <f>IFERROR(XLOOKUP(A145, 'Base Exámenes'!$C$5:$C$154, 'Base Exámenes'!$E$5:$E$154), "")</f>
        <v/>
      </c>
      <c r="I145" s="7">
        <f>IFERROR(XLOOKUP(A145, 'Base Exámenes'!$C$5:$C$154, 'Base Exámenes'!$F$5:$F$154), "")</f>
        <v/>
      </c>
      <c r="J145" s="6">
        <f>IFERROR(XLOOKUP(A145, 'Base Exámenes'!$C$5:$C$154, 'Base Exámenes'!$G$5:$G$154), "")</f>
        <v/>
      </c>
      <c r="K145" s="6">
        <f>IFERROR(XLOOKUP(A145, 'Base Exámenes'!$C$5:$C$154, 'Base Exámenes'!$H$5:$H$154), "anonymous")</f>
        <v/>
      </c>
    </row>
    <row r="146">
      <c r="A146" s="4">
        <f>'Base Oficial'!A146</f>
        <v/>
      </c>
      <c r="B146" s="6">
        <f>'Base Oficial'!B146</f>
        <v/>
      </c>
      <c r="C146" s="6">
        <f>'Base Oficial'!F146</f>
        <v/>
      </c>
      <c r="D146" s="6">
        <f>'Base Oficial'!G146</f>
        <v/>
      </c>
      <c r="E146" s="6">
        <f>'Base Oficial'!D146</f>
        <v/>
      </c>
      <c r="F146" s="4">
        <f>IF(ISNUMBER(XLOOKUP(A146, 'Base Exámenes'!$C$5:$C$154, 'Base Exámenes'!$E$5:$E$154)), "Completado", "Pendiente")</f>
        <v/>
      </c>
      <c r="G146" s="6">
        <f>IFERROR(XLOOKUP(A146, 'Base Exámenes'!$C$5:$C$154, 'Base Exámenes'!$D$5:$D$154), "")</f>
        <v/>
      </c>
      <c r="H146" s="6">
        <f>IFERROR(XLOOKUP(A146, 'Base Exámenes'!$C$5:$C$154, 'Base Exámenes'!$E$5:$E$154), "")</f>
        <v/>
      </c>
      <c r="I146" s="7">
        <f>IFERROR(XLOOKUP(A146, 'Base Exámenes'!$C$5:$C$154, 'Base Exámenes'!$F$5:$F$154), "")</f>
        <v/>
      </c>
      <c r="J146" s="6">
        <f>IFERROR(XLOOKUP(A146, 'Base Exámenes'!$C$5:$C$154, 'Base Exámenes'!$G$5:$G$154), "")</f>
        <v/>
      </c>
      <c r="K146" s="6">
        <f>IFERROR(XLOOKUP(A146, 'Base Exámenes'!$C$5:$C$154, 'Base Exámenes'!$H$5:$H$154), "anonymous")</f>
        <v/>
      </c>
    </row>
    <row r="147">
      <c r="A147" s="4">
        <f>'Base Oficial'!A147</f>
        <v/>
      </c>
      <c r="B147" s="6">
        <f>'Base Oficial'!B147</f>
        <v/>
      </c>
      <c r="C147" s="6">
        <f>'Base Oficial'!F147</f>
        <v/>
      </c>
      <c r="D147" s="6">
        <f>'Base Oficial'!G147</f>
        <v/>
      </c>
      <c r="E147" s="6">
        <f>'Base Oficial'!D147</f>
        <v/>
      </c>
      <c r="F147" s="4">
        <f>IF(ISNUMBER(XLOOKUP(A147, 'Base Exámenes'!$C$5:$C$154, 'Base Exámenes'!$E$5:$E$154)), "Completado", "Pendiente")</f>
        <v/>
      </c>
      <c r="G147" s="6">
        <f>IFERROR(XLOOKUP(A147, 'Base Exámenes'!$C$5:$C$154, 'Base Exámenes'!$D$5:$D$154), "")</f>
        <v/>
      </c>
      <c r="H147" s="6">
        <f>IFERROR(XLOOKUP(A147, 'Base Exámenes'!$C$5:$C$154, 'Base Exámenes'!$E$5:$E$154), "")</f>
        <v/>
      </c>
      <c r="I147" s="7">
        <f>IFERROR(XLOOKUP(A147, 'Base Exámenes'!$C$5:$C$154, 'Base Exámenes'!$F$5:$F$154), "")</f>
        <v/>
      </c>
      <c r="J147" s="6">
        <f>IFERROR(XLOOKUP(A147, 'Base Exámenes'!$C$5:$C$154, 'Base Exámenes'!$G$5:$G$154), "")</f>
        <v/>
      </c>
      <c r="K147" s="6">
        <f>IFERROR(XLOOKUP(A147, 'Base Exámenes'!$C$5:$C$154, 'Base Exámenes'!$H$5:$H$154), "anonymous")</f>
        <v/>
      </c>
    </row>
    <row r="148">
      <c r="A148" s="4">
        <f>'Base Oficial'!A148</f>
        <v/>
      </c>
      <c r="B148" s="6">
        <f>'Base Oficial'!B148</f>
        <v/>
      </c>
      <c r="C148" s="6">
        <f>'Base Oficial'!F148</f>
        <v/>
      </c>
      <c r="D148" s="6">
        <f>'Base Oficial'!G148</f>
        <v/>
      </c>
      <c r="E148" s="6">
        <f>'Base Oficial'!D148</f>
        <v/>
      </c>
      <c r="F148" s="4">
        <f>IF(ISNUMBER(XLOOKUP(A148, 'Base Exámenes'!$C$5:$C$154, 'Base Exámenes'!$E$5:$E$154)), "Completado", "Pendiente")</f>
        <v/>
      </c>
      <c r="G148" s="6">
        <f>IFERROR(XLOOKUP(A148, 'Base Exámenes'!$C$5:$C$154, 'Base Exámenes'!$D$5:$D$154), "")</f>
        <v/>
      </c>
      <c r="H148" s="6">
        <f>IFERROR(XLOOKUP(A148, 'Base Exámenes'!$C$5:$C$154, 'Base Exámenes'!$E$5:$E$154), "")</f>
        <v/>
      </c>
      <c r="I148" s="7">
        <f>IFERROR(XLOOKUP(A148, 'Base Exámenes'!$C$5:$C$154, 'Base Exámenes'!$F$5:$F$154), "")</f>
        <v/>
      </c>
      <c r="J148" s="6">
        <f>IFERROR(XLOOKUP(A148, 'Base Exámenes'!$C$5:$C$154, 'Base Exámenes'!$G$5:$G$154), "")</f>
        <v/>
      </c>
      <c r="K148" s="6">
        <f>IFERROR(XLOOKUP(A148, 'Base Exámenes'!$C$5:$C$154, 'Base Exámenes'!$H$5:$H$154), "anonymous")</f>
        <v/>
      </c>
    </row>
    <row r="149">
      <c r="A149" s="4">
        <f>'Base Oficial'!A149</f>
        <v/>
      </c>
      <c r="B149" s="6">
        <f>'Base Oficial'!B149</f>
        <v/>
      </c>
      <c r="C149" s="6">
        <f>'Base Oficial'!F149</f>
        <v/>
      </c>
      <c r="D149" s="6">
        <f>'Base Oficial'!G149</f>
        <v/>
      </c>
      <c r="E149" s="6">
        <f>'Base Oficial'!D149</f>
        <v/>
      </c>
      <c r="F149" s="4">
        <f>IF(ISNUMBER(XLOOKUP(A149, 'Base Exámenes'!$C$5:$C$154, 'Base Exámenes'!$E$5:$E$154)), "Completado", "Pendiente")</f>
        <v/>
      </c>
      <c r="G149" s="6">
        <f>IFERROR(XLOOKUP(A149, 'Base Exámenes'!$C$5:$C$154, 'Base Exámenes'!$D$5:$D$154), "")</f>
        <v/>
      </c>
      <c r="H149" s="6">
        <f>IFERROR(XLOOKUP(A149, 'Base Exámenes'!$C$5:$C$154, 'Base Exámenes'!$E$5:$E$154), "")</f>
        <v/>
      </c>
      <c r="I149" s="7">
        <f>IFERROR(XLOOKUP(A149, 'Base Exámenes'!$C$5:$C$154, 'Base Exámenes'!$F$5:$F$154), "")</f>
        <v/>
      </c>
      <c r="J149" s="6">
        <f>IFERROR(XLOOKUP(A149, 'Base Exámenes'!$C$5:$C$154, 'Base Exámenes'!$G$5:$G$154), "")</f>
        <v/>
      </c>
      <c r="K149" s="6">
        <f>IFERROR(XLOOKUP(A149, 'Base Exámenes'!$C$5:$C$154, 'Base Exámenes'!$H$5:$H$154), "anonymous")</f>
        <v/>
      </c>
    </row>
    <row r="150">
      <c r="A150" s="4">
        <f>'Base Oficial'!A150</f>
        <v/>
      </c>
      <c r="B150" s="6">
        <f>'Base Oficial'!B150</f>
        <v/>
      </c>
      <c r="C150" s="6">
        <f>'Base Oficial'!F150</f>
        <v/>
      </c>
      <c r="D150" s="6">
        <f>'Base Oficial'!G150</f>
        <v/>
      </c>
      <c r="E150" s="6">
        <f>'Base Oficial'!D150</f>
        <v/>
      </c>
      <c r="F150" s="4">
        <f>IF(ISNUMBER(XLOOKUP(A150, 'Base Exámenes'!$C$5:$C$154, 'Base Exámenes'!$E$5:$E$154)), "Completado", "Pendiente")</f>
        <v/>
      </c>
      <c r="G150" s="6">
        <f>IFERROR(XLOOKUP(A150, 'Base Exámenes'!$C$5:$C$154, 'Base Exámenes'!$D$5:$D$154), "")</f>
        <v/>
      </c>
      <c r="H150" s="6">
        <f>IFERROR(XLOOKUP(A150, 'Base Exámenes'!$C$5:$C$154, 'Base Exámenes'!$E$5:$E$154), "")</f>
        <v/>
      </c>
      <c r="I150" s="7">
        <f>IFERROR(XLOOKUP(A150, 'Base Exámenes'!$C$5:$C$154, 'Base Exámenes'!$F$5:$F$154), "")</f>
        <v/>
      </c>
      <c r="J150" s="6">
        <f>IFERROR(XLOOKUP(A150, 'Base Exámenes'!$C$5:$C$154, 'Base Exámenes'!$G$5:$G$154), "")</f>
        <v/>
      </c>
      <c r="K150" s="6">
        <f>IFERROR(XLOOKUP(A150, 'Base Exámenes'!$C$5:$C$154, 'Base Exámenes'!$H$5:$H$154), "anonymous")</f>
        <v/>
      </c>
    </row>
    <row r="151">
      <c r="A151" s="4">
        <f>'Base Oficial'!A151</f>
        <v/>
      </c>
      <c r="B151" s="6">
        <f>'Base Oficial'!B151</f>
        <v/>
      </c>
      <c r="C151" s="6">
        <f>'Base Oficial'!F151</f>
        <v/>
      </c>
      <c r="D151" s="6">
        <f>'Base Oficial'!G151</f>
        <v/>
      </c>
      <c r="E151" s="6">
        <f>'Base Oficial'!D151</f>
        <v/>
      </c>
      <c r="F151" s="4">
        <f>IF(ISNUMBER(XLOOKUP(A151, 'Base Exámenes'!$C$5:$C$154, 'Base Exámenes'!$E$5:$E$154)), "Completado", "Pendiente")</f>
        <v/>
      </c>
      <c r="G151" s="6">
        <f>IFERROR(XLOOKUP(A151, 'Base Exámenes'!$C$5:$C$154, 'Base Exámenes'!$D$5:$D$154), "")</f>
        <v/>
      </c>
      <c r="H151" s="6">
        <f>IFERROR(XLOOKUP(A151, 'Base Exámenes'!$C$5:$C$154, 'Base Exámenes'!$E$5:$E$154), "")</f>
        <v/>
      </c>
      <c r="I151" s="7">
        <f>IFERROR(XLOOKUP(A151, 'Base Exámenes'!$C$5:$C$154, 'Base Exámenes'!$F$5:$F$154), "")</f>
        <v/>
      </c>
      <c r="J151" s="6">
        <f>IFERROR(XLOOKUP(A151, 'Base Exámenes'!$C$5:$C$154, 'Base Exámenes'!$G$5:$G$154), "")</f>
        <v/>
      </c>
      <c r="K151" s="6">
        <f>IFERROR(XLOOKUP(A151, 'Base Exámenes'!$C$5:$C$154, 'Base Exámenes'!$H$5:$H$154), "anonymous")</f>
        <v/>
      </c>
    </row>
    <row r="152">
      <c r="A152" s="4">
        <f>'Base Oficial'!A152</f>
        <v/>
      </c>
      <c r="B152" s="6">
        <f>'Base Oficial'!B152</f>
        <v/>
      </c>
      <c r="C152" s="6">
        <f>'Base Oficial'!F152</f>
        <v/>
      </c>
      <c r="D152" s="6">
        <f>'Base Oficial'!G152</f>
        <v/>
      </c>
      <c r="E152" s="6">
        <f>'Base Oficial'!D152</f>
        <v/>
      </c>
      <c r="F152" s="4">
        <f>IF(ISNUMBER(XLOOKUP(A152, 'Base Exámenes'!$C$5:$C$154, 'Base Exámenes'!$E$5:$E$154)), "Completado", "Pendiente")</f>
        <v/>
      </c>
      <c r="G152" s="6">
        <f>IFERROR(XLOOKUP(A152, 'Base Exámenes'!$C$5:$C$154, 'Base Exámenes'!$D$5:$D$154), "")</f>
        <v/>
      </c>
      <c r="H152" s="6">
        <f>IFERROR(XLOOKUP(A152, 'Base Exámenes'!$C$5:$C$154, 'Base Exámenes'!$E$5:$E$154), "")</f>
        <v/>
      </c>
      <c r="I152" s="7">
        <f>IFERROR(XLOOKUP(A152, 'Base Exámenes'!$C$5:$C$154, 'Base Exámenes'!$F$5:$F$154), "")</f>
        <v/>
      </c>
      <c r="J152" s="6">
        <f>IFERROR(XLOOKUP(A152, 'Base Exámenes'!$C$5:$C$154, 'Base Exámenes'!$G$5:$G$154), "")</f>
        <v/>
      </c>
      <c r="K152" s="6">
        <f>IFERROR(XLOOKUP(A152, 'Base Exámenes'!$C$5:$C$154, 'Base Exámenes'!$H$5:$H$154), "anonymous")</f>
        <v/>
      </c>
    </row>
    <row r="153">
      <c r="A153" s="4">
        <f>'Base Oficial'!A153</f>
        <v/>
      </c>
      <c r="B153" s="6">
        <f>'Base Oficial'!B153</f>
        <v/>
      </c>
      <c r="C153" s="6">
        <f>'Base Oficial'!F153</f>
        <v/>
      </c>
      <c r="D153" s="6">
        <f>'Base Oficial'!G153</f>
        <v/>
      </c>
      <c r="E153" s="6">
        <f>'Base Oficial'!D153</f>
        <v/>
      </c>
      <c r="F153" s="4">
        <f>IF(ISNUMBER(XLOOKUP(A153, 'Base Exámenes'!$C$5:$C$154, 'Base Exámenes'!$E$5:$E$154)), "Completado", "Pendiente")</f>
        <v/>
      </c>
      <c r="G153" s="6">
        <f>IFERROR(XLOOKUP(A153, 'Base Exámenes'!$C$5:$C$154, 'Base Exámenes'!$D$5:$D$154), "")</f>
        <v/>
      </c>
      <c r="H153" s="6">
        <f>IFERROR(XLOOKUP(A153, 'Base Exámenes'!$C$5:$C$154, 'Base Exámenes'!$E$5:$E$154), "")</f>
        <v/>
      </c>
      <c r="I153" s="7">
        <f>IFERROR(XLOOKUP(A153, 'Base Exámenes'!$C$5:$C$154, 'Base Exámenes'!$F$5:$F$154), "")</f>
        <v/>
      </c>
      <c r="J153" s="6">
        <f>IFERROR(XLOOKUP(A153, 'Base Exámenes'!$C$5:$C$154, 'Base Exámenes'!$G$5:$G$154), "")</f>
        <v/>
      </c>
      <c r="K153" s="6">
        <f>IFERROR(XLOOKUP(A153, 'Base Exámenes'!$C$5:$C$154, 'Base Exámenes'!$H$5:$H$154), "anonymous")</f>
        <v/>
      </c>
    </row>
    <row r="154">
      <c r="A154" s="4">
        <f>'Base Oficial'!A154</f>
        <v/>
      </c>
      <c r="B154" s="6">
        <f>'Base Oficial'!B154</f>
        <v/>
      </c>
      <c r="C154" s="6">
        <f>'Base Oficial'!F154</f>
        <v/>
      </c>
      <c r="D154" s="6">
        <f>'Base Oficial'!G154</f>
        <v/>
      </c>
      <c r="E154" s="6">
        <f>'Base Oficial'!D154</f>
        <v/>
      </c>
      <c r="F154" s="4">
        <f>IF(ISNUMBER(XLOOKUP(A154, 'Base Exámenes'!$C$5:$C$154, 'Base Exámenes'!$E$5:$E$154)), "Completado", "Pendiente")</f>
        <v/>
      </c>
      <c r="G154" s="6">
        <f>IFERROR(XLOOKUP(A154, 'Base Exámenes'!$C$5:$C$154, 'Base Exámenes'!$D$5:$D$154), "")</f>
        <v/>
      </c>
      <c r="H154" s="6">
        <f>IFERROR(XLOOKUP(A154, 'Base Exámenes'!$C$5:$C$154, 'Base Exámenes'!$E$5:$E$154), "")</f>
        <v/>
      </c>
      <c r="I154" s="7">
        <f>IFERROR(XLOOKUP(A154, 'Base Exámenes'!$C$5:$C$154, 'Base Exámenes'!$F$5:$F$154), "")</f>
        <v/>
      </c>
      <c r="J154" s="6">
        <f>IFERROR(XLOOKUP(A154, 'Base Exámenes'!$C$5:$C$154, 'Base Exámenes'!$G$5:$G$154), "")</f>
        <v/>
      </c>
      <c r="K154" s="6">
        <f>IFERROR(XLOOKUP(A154, 'Base Exámenes'!$C$5:$C$154, 'Base Exámenes'!$H$5:$H$154), "anonymous")</f>
        <v/>
      </c>
    </row>
    <row r="155">
      <c r="A155" s="4">
        <f>'Base Oficial'!A155</f>
        <v/>
      </c>
      <c r="B155" s="6">
        <f>'Base Oficial'!B155</f>
        <v/>
      </c>
      <c r="C155" s="6">
        <f>'Base Oficial'!F155</f>
        <v/>
      </c>
      <c r="D155" s="6">
        <f>'Base Oficial'!G155</f>
        <v/>
      </c>
      <c r="E155" s="6">
        <f>'Base Oficial'!D155</f>
        <v/>
      </c>
      <c r="F155" s="4">
        <f>IF(ISNUMBER(XLOOKUP(A155, 'Base Exámenes'!$C$5:$C$154, 'Base Exámenes'!$E$5:$E$154)), "Completado", "Pendiente")</f>
        <v/>
      </c>
      <c r="G155" s="6">
        <f>IFERROR(XLOOKUP(A155, 'Base Exámenes'!$C$5:$C$154, 'Base Exámenes'!$D$5:$D$154), "")</f>
        <v/>
      </c>
      <c r="H155" s="6">
        <f>IFERROR(XLOOKUP(A155, 'Base Exámenes'!$C$5:$C$154, 'Base Exámenes'!$E$5:$E$154), "")</f>
        <v/>
      </c>
      <c r="I155" s="7">
        <f>IFERROR(XLOOKUP(A155, 'Base Exámenes'!$C$5:$C$154, 'Base Exámenes'!$F$5:$F$154), "")</f>
        <v/>
      </c>
      <c r="J155" s="6">
        <f>IFERROR(XLOOKUP(A155, 'Base Exámenes'!$C$5:$C$154, 'Base Exámenes'!$G$5:$G$154), "")</f>
        <v/>
      </c>
      <c r="K155" s="6">
        <f>IFERROR(XLOOKUP(A155, 'Base Exámenes'!$C$5:$C$154, 'Base Exámenes'!$H$5:$H$154), "anonymous")</f>
        <v/>
      </c>
    </row>
    <row r="156">
      <c r="A156" s="4">
        <f>'Base Oficial'!A156</f>
        <v/>
      </c>
      <c r="B156" s="6">
        <f>'Base Oficial'!B156</f>
        <v/>
      </c>
      <c r="C156" s="6">
        <f>'Base Oficial'!F156</f>
        <v/>
      </c>
      <c r="D156" s="6">
        <f>'Base Oficial'!G156</f>
        <v/>
      </c>
      <c r="E156" s="6">
        <f>'Base Oficial'!D156</f>
        <v/>
      </c>
      <c r="F156" s="4">
        <f>IF(ISNUMBER(XLOOKUP(A156, 'Base Exámenes'!$C$5:$C$154, 'Base Exámenes'!$E$5:$E$154)), "Completado", "Pendiente")</f>
        <v/>
      </c>
      <c r="G156" s="6">
        <f>IFERROR(XLOOKUP(A156, 'Base Exámenes'!$C$5:$C$154, 'Base Exámenes'!$D$5:$D$154), "")</f>
        <v/>
      </c>
      <c r="H156" s="6">
        <f>IFERROR(XLOOKUP(A156, 'Base Exámenes'!$C$5:$C$154, 'Base Exámenes'!$E$5:$E$154), "")</f>
        <v/>
      </c>
      <c r="I156" s="7">
        <f>IFERROR(XLOOKUP(A156, 'Base Exámenes'!$C$5:$C$154, 'Base Exámenes'!$F$5:$F$154), "")</f>
        <v/>
      </c>
      <c r="J156" s="6">
        <f>IFERROR(XLOOKUP(A156, 'Base Exámenes'!$C$5:$C$154, 'Base Exámenes'!$G$5:$G$154), "")</f>
        <v/>
      </c>
      <c r="K156" s="6">
        <f>IFERROR(XLOOKUP(A156, 'Base Exámenes'!$C$5:$C$154, 'Base Exámenes'!$H$5:$H$154), "anonymous")</f>
        <v/>
      </c>
    </row>
    <row r="157">
      <c r="A157" s="4">
        <f>'Base Oficial'!A157</f>
        <v/>
      </c>
      <c r="B157" s="6">
        <f>'Base Oficial'!B157</f>
        <v/>
      </c>
      <c r="C157" s="6">
        <f>'Base Oficial'!F157</f>
        <v/>
      </c>
      <c r="D157" s="6">
        <f>'Base Oficial'!G157</f>
        <v/>
      </c>
      <c r="E157" s="6">
        <f>'Base Oficial'!D157</f>
        <v/>
      </c>
      <c r="F157" s="4">
        <f>IF(ISNUMBER(XLOOKUP(A157, 'Base Exámenes'!$C$5:$C$154, 'Base Exámenes'!$E$5:$E$154)), "Completado", "Pendiente")</f>
        <v/>
      </c>
      <c r="G157" s="6">
        <f>IFERROR(XLOOKUP(A157, 'Base Exámenes'!$C$5:$C$154, 'Base Exámenes'!$D$5:$D$154), "")</f>
        <v/>
      </c>
      <c r="H157" s="6">
        <f>IFERROR(XLOOKUP(A157, 'Base Exámenes'!$C$5:$C$154, 'Base Exámenes'!$E$5:$E$154), "")</f>
        <v/>
      </c>
      <c r="I157" s="7">
        <f>IFERROR(XLOOKUP(A157, 'Base Exámenes'!$C$5:$C$154, 'Base Exámenes'!$F$5:$F$154), "")</f>
        <v/>
      </c>
      <c r="J157" s="6">
        <f>IFERROR(XLOOKUP(A157, 'Base Exámenes'!$C$5:$C$154, 'Base Exámenes'!$G$5:$G$154), "")</f>
        <v/>
      </c>
      <c r="K157" s="6">
        <f>IFERROR(XLOOKUP(A157, 'Base Exámenes'!$C$5:$C$154, 'Base Exámenes'!$H$5:$H$154), "anonymous")</f>
        <v/>
      </c>
    </row>
    <row r="158">
      <c r="A158" s="4">
        <f>'Base Oficial'!A158</f>
        <v/>
      </c>
      <c r="B158" s="6">
        <f>'Base Oficial'!B158</f>
        <v/>
      </c>
      <c r="C158" s="6">
        <f>'Base Oficial'!F158</f>
        <v/>
      </c>
      <c r="D158" s="6">
        <f>'Base Oficial'!G158</f>
        <v/>
      </c>
      <c r="E158" s="6">
        <f>'Base Oficial'!D158</f>
        <v/>
      </c>
      <c r="F158" s="4">
        <f>IF(ISNUMBER(XLOOKUP(A158, 'Base Exámenes'!$C$5:$C$154, 'Base Exámenes'!$E$5:$E$154)), "Completado", "Pendiente")</f>
        <v/>
      </c>
      <c r="G158" s="6">
        <f>IFERROR(XLOOKUP(A158, 'Base Exámenes'!$C$5:$C$154, 'Base Exámenes'!$D$5:$D$154), "")</f>
        <v/>
      </c>
      <c r="H158" s="6">
        <f>IFERROR(XLOOKUP(A158, 'Base Exámenes'!$C$5:$C$154, 'Base Exámenes'!$E$5:$E$154), "")</f>
        <v/>
      </c>
      <c r="I158" s="7">
        <f>IFERROR(XLOOKUP(A158, 'Base Exámenes'!$C$5:$C$154, 'Base Exámenes'!$F$5:$F$154), "")</f>
        <v/>
      </c>
      <c r="J158" s="6">
        <f>IFERROR(XLOOKUP(A158, 'Base Exámenes'!$C$5:$C$154, 'Base Exámenes'!$G$5:$G$154), "")</f>
        <v/>
      </c>
      <c r="K158" s="6">
        <f>IFERROR(XLOOKUP(A158, 'Base Exámenes'!$C$5:$C$154, 'Base Exámenes'!$H$5:$H$154), "anonymous")</f>
        <v/>
      </c>
    </row>
    <row r="159">
      <c r="A159" s="4">
        <f>'Base Oficial'!A159</f>
        <v/>
      </c>
      <c r="B159" s="6">
        <f>'Base Oficial'!B159</f>
        <v/>
      </c>
      <c r="C159" s="6">
        <f>'Base Oficial'!F159</f>
        <v/>
      </c>
      <c r="D159" s="6">
        <f>'Base Oficial'!G159</f>
        <v/>
      </c>
      <c r="E159" s="6">
        <f>'Base Oficial'!D159</f>
        <v/>
      </c>
      <c r="F159" s="4">
        <f>IF(ISNUMBER(XLOOKUP(A159, 'Base Exámenes'!$C$5:$C$154, 'Base Exámenes'!$E$5:$E$154)), "Completado", "Pendiente")</f>
        <v/>
      </c>
      <c r="G159" s="6">
        <f>IFERROR(XLOOKUP(A159, 'Base Exámenes'!$C$5:$C$154, 'Base Exámenes'!$D$5:$D$154), "")</f>
        <v/>
      </c>
      <c r="H159" s="6">
        <f>IFERROR(XLOOKUP(A159, 'Base Exámenes'!$C$5:$C$154, 'Base Exámenes'!$E$5:$E$154), "")</f>
        <v/>
      </c>
      <c r="I159" s="7">
        <f>IFERROR(XLOOKUP(A159, 'Base Exámenes'!$C$5:$C$154, 'Base Exámenes'!$F$5:$F$154), "")</f>
        <v/>
      </c>
      <c r="J159" s="6">
        <f>IFERROR(XLOOKUP(A159, 'Base Exámenes'!$C$5:$C$154, 'Base Exámenes'!$G$5:$G$154), "")</f>
        <v/>
      </c>
      <c r="K159" s="6">
        <f>IFERROR(XLOOKUP(A159, 'Base Exámenes'!$C$5:$C$154, 'Base Exámenes'!$H$5:$H$154), "anonymous")</f>
        <v/>
      </c>
    </row>
    <row r="160">
      <c r="A160" s="4">
        <f>'Base Oficial'!A160</f>
        <v/>
      </c>
      <c r="B160" s="6">
        <f>'Base Oficial'!B160</f>
        <v/>
      </c>
      <c r="C160" s="6">
        <f>'Base Oficial'!F160</f>
        <v/>
      </c>
      <c r="D160" s="6">
        <f>'Base Oficial'!G160</f>
        <v/>
      </c>
      <c r="E160" s="6">
        <f>'Base Oficial'!D160</f>
        <v/>
      </c>
      <c r="F160" s="4">
        <f>IF(ISNUMBER(XLOOKUP(A160, 'Base Exámenes'!$C$5:$C$154, 'Base Exámenes'!$E$5:$E$154)), "Completado", "Pendiente")</f>
        <v/>
      </c>
      <c r="G160" s="6">
        <f>IFERROR(XLOOKUP(A160, 'Base Exámenes'!$C$5:$C$154, 'Base Exámenes'!$D$5:$D$154), "")</f>
        <v/>
      </c>
      <c r="H160" s="6">
        <f>IFERROR(XLOOKUP(A160, 'Base Exámenes'!$C$5:$C$154, 'Base Exámenes'!$E$5:$E$154), "")</f>
        <v/>
      </c>
      <c r="I160" s="7">
        <f>IFERROR(XLOOKUP(A160, 'Base Exámenes'!$C$5:$C$154, 'Base Exámenes'!$F$5:$F$154), "")</f>
        <v/>
      </c>
      <c r="J160" s="6">
        <f>IFERROR(XLOOKUP(A160, 'Base Exámenes'!$C$5:$C$154, 'Base Exámenes'!$G$5:$G$154), "")</f>
        <v/>
      </c>
      <c r="K160" s="6">
        <f>IFERROR(XLOOKUP(A160, 'Base Exámenes'!$C$5:$C$154, 'Base Exámenes'!$H$5:$H$154), "anonymous")</f>
        <v/>
      </c>
    </row>
    <row r="161">
      <c r="A161" s="4">
        <f>'Base Oficial'!A161</f>
        <v/>
      </c>
      <c r="B161" s="6">
        <f>'Base Oficial'!B161</f>
        <v/>
      </c>
      <c r="C161" s="6">
        <f>'Base Oficial'!F161</f>
        <v/>
      </c>
      <c r="D161" s="6">
        <f>'Base Oficial'!G161</f>
        <v/>
      </c>
      <c r="E161" s="6">
        <f>'Base Oficial'!D161</f>
        <v/>
      </c>
      <c r="F161" s="4">
        <f>IF(ISNUMBER(XLOOKUP(A161, 'Base Exámenes'!$C$5:$C$154, 'Base Exámenes'!$E$5:$E$154)), "Completado", "Pendiente")</f>
        <v/>
      </c>
      <c r="G161" s="6">
        <f>IFERROR(XLOOKUP(A161, 'Base Exámenes'!$C$5:$C$154, 'Base Exámenes'!$D$5:$D$154), "")</f>
        <v/>
      </c>
      <c r="H161" s="6">
        <f>IFERROR(XLOOKUP(A161, 'Base Exámenes'!$C$5:$C$154, 'Base Exámenes'!$E$5:$E$154), "")</f>
        <v/>
      </c>
      <c r="I161" s="7">
        <f>IFERROR(XLOOKUP(A161, 'Base Exámenes'!$C$5:$C$154, 'Base Exámenes'!$F$5:$F$154), "")</f>
        <v/>
      </c>
      <c r="J161" s="6">
        <f>IFERROR(XLOOKUP(A161, 'Base Exámenes'!$C$5:$C$154, 'Base Exámenes'!$G$5:$G$154), "")</f>
        <v/>
      </c>
      <c r="K161" s="6">
        <f>IFERROR(XLOOKUP(A161, 'Base Exámenes'!$C$5:$C$154, 'Base Exámenes'!$H$5:$H$154), "anonymous")</f>
        <v/>
      </c>
    </row>
    <row r="162">
      <c r="A162" s="4">
        <f>'Base Oficial'!A162</f>
        <v/>
      </c>
      <c r="B162" s="6">
        <f>'Base Oficial'!B162</f>
        <v/>
      </c>
      <c r="C162" s="6">
        <f>'Base Oficial'!F162</f>
        <v/>
      </c>
      <c r="D162" s="6">
        <f>'Base Oficial'!G162</f>
        <v/>
      </c>
      <c r="E162" s="6">
        <f>'Base Oficial'!D162</f>
        <v/>
      </c>
      <c r="F162" s="4">
        <f>IF(ISNUMBER(XLOOKUP(A162, 'Base Exámenes'!$C$5:$C$154, 'Base Exámenes'!$E$5:$E$154)), "Completado", "Pendiente")</f>
        <v/>
      </c>
      <c r="G162" s="6">
        <f>IFERROR(XLOOKUP(A162, 'Base Exámenes'!$C$5:$C$154, 'Base Exámenes'!$D$5:$D$154), "")</f>
        <v/>
      </c>
      <c r="H162" s="6">
        <f>IFERROR(XLOOKUP(A162, 'Base Exámenes'!$C$5:$C$154, 'Base Exámenes'!$E$5:$E$154), "")</f>
        <v/>
      </c>
      <c r="I162" s="7">
        <f>IFERROR(XLOOKUP(A162, 'Base Exámenes'!$C$5:$C$154, 'Base Exámenes'!$F$5:$F$154), "")</f>
        <v/>
      </c>
      <c r="J162" s="6">
        <f>IFERROR(XLOOKUP(A162, 'Base Exámenes'!$C$5:$C$154, 'Base Exámenes'!$G$5:$G$154), "")</f>
        <v/>
      </c>
      <c r="K162" s="6">
        <f>IFERROR(XLOOKUP(A162, 'Base Exámenes'!$C$5:$C$154, 'Base Exámenes'!$H$5:$H$154), "anonymous")</f>
        <v/>
      </c>
    </row>
    <row r="163">
      <c r="A163" s="4">
        <f>'Base Oficial'!A163</f>
        <v/>
      </c>
      <c r="B163" s="6">
        <f>'Base Oficial'!B163</f>
        <v/>
      </c>
      <c r="C163" s="6">
        <f>'Base Oficial'!F163</f>
        <v/>
      </c>
      <c r="D163" s="6">
        <f>'Base Oficial'!G163</f>
        <v/>
      </c>
      <c r="E163" s="6">
        <f>'Base Oficial'!D163</f>
        <v/>
      </c>
      <c r="F163" s="4">
        <f>IF(ISNUMBER(XLOOKUP(A163, 'Base Exámenes'!$C$5:$C$154, 'Base Exámenes'!$E$5:$E$154)), "Completado", "Pendiente")</f>
        <v/>
      </c>
      <c r="G163" s="6">
        <f>IFERROR(XLOOKUP(A163, 'Base Exámenes'!$C$5:$C$154, 'Base Exámenes'!$D$5:$D$154), "")</f>
        <v/>
      </c>
      <c r="H163" s="6">
        <f>IFERROR(XLOOKUP(A163, 'Base Exámenes'!$C$5:$C$154, 'Base Exámenes'!$E$5:$E$154), "")</f>
        <v/>
      </c>
      <c r="I163" s="7">
        <f>IFERROR(XLOOKUP(A163, 'Base Exámenes'!$C$5:$C$154, 'Base Exámenes'!$F$5:$F$154), "")</f>
        <v/>
      </c>
      <c r="J163" s="6">
        <f>IFERROR(XLOOKUP(A163, 'Base Exámenes'!$C$5:$C$154, 'Base Exámenes'!$G$5:$G$154), "")</f>
        <v/>
      </c>
      <c r="K163" s="6">
        <f>IFERROR(XLOOKUP(A163, 'Base Exámenes'!$C$5:$C$154, 'Base Exámenes'!$H$5:$H$154), "anonymous")</f>
        <v/>
      </c>
    </row>
    <row r="164">
      <c r="A164" s="4">
        <f>'Base Oficial'!A164</f>
        <v/>
      </c>
      <c r="B164" s="6">
        <f>'Base Oficial'!B164</f>
        <v/>
      </c>
      <c r="C164" s="6">
        <f>'Base Oficial'!F164</f>
        <v/>
      </c>
      <c r="D164" s="6">
        <f>'Base Oficial'!G164</f>
        <v/>
      </c>
      <c r="E164" s="6">
        <f>'Base Oficial'!D164</f>
        <v/>
      </c>
      <c r="F164" s="4">
        <f>IF(ISNUMBER(XLOOKUP(A164, 'Base Exámenes'!$C$5:$C$154, 'Base Exámenes'!$E$5:$E$154)), "Completado", "Pendiente")</f>
        <v/>
      </c>
      <c r="G164" s="6">
        <f>IFERROR(XLOOKUP(A164, 'Base Exámenes'!$C$5:$C$154, 'Base Exámenes'!$D$5:$D$154), "")</f>
        <v/>
      </c>
      <c r="H164" s="6">
        <f>IFERROR(XLOOKUP(A164, 'Base Exámenes'!$C$5:$C$154, 'Base Exámenes'!$E$5:$E$154), "")</f>
        <v/>
      </c>
      <c r="I164" s="7">
        <f>IFERROR(XLOOKUP(A164, 'Base Exámenes'!$C$5:$C$154, 'Base Exámenes'!$F$5:$F$154), "")</f>
        <v/>
      </c>
      <c r="J164" s="6">
        <f>IFERROR(XLOOKUP(A164, 'Base Exámenes'!$C$5:$C$154, 'Base Exámenes'!$G$5:$G$154), "")</f>
        <v/>
      </c>
      <c r="K164" s="6">
        <f>IFERROR(XLOOKUP(A164, 'Base Exámenes'!$C$5:$C$154, 'Base Exámenes'!$H$5:$H$154), "anonymous")</f>
        <v/>
      </c>
    </row>
    <row r="165">
      <c r="A165" s="4">
        <f>'Base Oficial'!A165</f>
        <v/>
      </c>
      <c r="B165" s="6">
        <f>'Base Oficial'!B165</f>
        <v/>
      </c>
      <c r="C165" s="6">
        <f>'Base Oficial'!F165</f>
        <v/>
      </c>
      <c r="D165" s="6">
        <f>'Base Oficial'!G165</f>
        <v/>
      </c>
      <c r="E165" s="6">
        <f>'Base Oficial'!D165</f>
        <v/>
      </c>
      <c r="F165" s="4">
        <f>IF(ISNUMBER(XLOOKUP(A165, 'Base Exámenes'!$C$5:$C$154, 'Base Exámenes'!$E$5:$E$154)), "Completado", "Pendiente")</f>
        <v/>
      </c>
      <c r="G165" s="6">
        <f>IFERROR(XLOOKUP(A165, 'Base Exámenes'!$C$5:$C$154, 'Base Exámenes'!$D$5:$D$154), "")</f>
        <v/>
      </c>
      <c r="H165" s="6">
        <f>IFERROR(XLOOKUP(A165, 'Base Exámenes'!$C$5:$C$154, 'Base Exámenes'!$E$5:$E$154), "")</f>
        <v/>
      </c>
      <c r="I165" s="7">
        <f>IFERROR(XLOOKUP(A165, 'Base Exámenes'!$C$5:$C$154, 'Base Exámenes'!$F$5:$F$154), "")</f>
        <v/>
      </c>
      <c r="J165" s="6">
        <f>IFERROR(XLOOKUP(A165, 'Base Exámenes'!$C$5:$C$154, 'Base Exámenes'!$G$5:$G$154), "")</f>
        <v/>
      </c>
      <c r="K165" s="6">
        <f>IFERROR(XLOOKUP(A165, 'Base Exámenes'!$C$5:$C$154, 'Base Exámenes'!$H$5:$H$154), "anonymous")</f>
        <v/>
      </c>
    </row>
    <row r="166">
      <c r="A166" s="4">
        <f>'Base Oficial'!A166</f>
        <v/>
      </c>
      <c r="B166" s="6">
        <f>'Base Oficial'!B166</f>
        <v/>
      </c>
      <c r="C166" s="6">
        <f>'Base Oficial'!F166</f>
        <v/>
      </c>
      <c r="D166" s="6">
        <f>'Base Oficial'!G166</f>
        <v/>
      </c>
      <c r="E166" s="6">
        <f>'Base Oficial'!D166</f>
        <v/>
      </c>
      <c r="F166" s="4">
        <f>IF(ISNUMBER(XLOOKUP(A166, 'Base Exámenes'!$C$5:$C$154, 'Base Exámenes'!$E$5:$E$154)), "Completado", "Pendiente")</f>
        <v/>
      </c>
      <c r="G166" s="6">
        <f>IFERROR(XLOOKUP(A166, 'Base Exámenes'!$C$5:$C$154, 'Base Exámenes'!$D$5:$D$154), "")</f>
        <v/>
      </c>
      <c r="H166" s="6">
        <f>IFERROR(XLOOKUP(A166, 'Base Exámenes'!$C$5:$C$154, 'Base Exámenes'!$E$5:$E$154), "")</f>
        <v/>
      </c>
      <c r="I166" s="7">
        <f>IFERROR(XLOOKUP(A166, 'Base Exámenes'!$C$5:$C$154, 'Base Exámenes'!$F$5:$F$154), "")</f>
        <v/>
      </c>
      <c r="J166" s="6">
        <f>IFERROR(XLOOKUP(A166, 'Base Exámenes'!$C$5:$C$154, 'Base Exámenes'!$G$5:$G$154), "")</f>
        <v/>
      </c>
      <c r="K166" s="6">
        <f>IFERROR(XLOOKUP(A166, 'Base Exámenes'!$C$5:$C$154, 'Base Exámenes'!$H$5:$H$154), "anonymous")</f>
        <v/>
      </c>
    </row>
    <row r="167">
      <c r="A167" s="4">
        <f>'Base Oficial'!A167</f>
        <v/>
      </c>
      <c r="B167" s="6">
        <f>'Base Oficial'!B167</f>
        <v/>
      </c>
      <c r="C167" s="6">
        <f>'Base Oficial'!F167</f>
        <v/>
      </c>
      <c r="D167" s="6">
        <f>'Base Oficial'!G167</f>
        <v/>
      </c>
      <c r="E167" s="6">
        <f>'Base Oficial'!D167</f>
        <v/>
      </c>
      <c r="F167" s="4">
        <f>IF(ISNUMBER(XLOOKUP(A167, 'Base Exámenes'!$C$5:$C$154, 'Base Exámenes'!$E$5:$E$154)), "Completado", "Pendiente")</f>
        <v/>
      </c>
      <c r="G167" s="6">
        <f>IFERROR(XLOOKUP(A167, 'Base Exámenes'!$C$5:$C$154, 'Base Exámenes'!$D$5:$D$154), "")</f>
        <v/>
      </c>
      <c r="H167" s="6">
        <f>IFERROR(XLOOKUP(A167, 'Base Exámenes'!$C$5:$C$154, 'Base Exámenes'!$E$5:$E$154), "")</f>
        <v/>
      </c>
      <c r="I167" s="7">
        <f>IFERROR(XLOOKUP(A167, 'Base Exámenes'!$C$5:$C$154, 'Base Exámenes'!$F$5:$F$154), "")</f>
        <v/>
      </c>
      <c r="J167" s="6">
        <f>IFERROR(XLOOKUP(A167, 'Base Exámenes'!$C$5:$C$154, 'Base Exámenes'!$G$5:$G$154), "")</f>
        <v/>
      </c>
      <c r="K167" s="6">
        <f>IFERROR(XLOOKUP(A167, 'Base Exámenes'!$C$5:$C$154, 'Base Exámenes'!$H$5:$H$154), "anonymous")</f>
        <v/>
      </c>
    </row>
    <row r="168">
      <c r="A168" s="4">
        <f>'Base Oficial'!A168</f>
        <v/>
      </c>
      <c r="B168" s="6">
        <f>'Base Oficial'!B168</f>
        <v/>
      </c>
      <c r="C168" s="6">
        <f>'Base Oficial'!F168</f>
        <v/>
      </c>
      <c r="D168" s="6">
        <f>'Base Oficial'!G168</f>
        <v/>
      </c>
      <c r="E168" s="6">
        <f>'Base Oficial'!D168</f>
        <v/>
      </c>
      <c r="F168" s="4">
        <f>IF(ISNUMBER(XLOOKUP(A168, 'Base Exámenes'!$C$5:$C$154, 'Base Exámenes'!$E$5:$E$154)), "Completado", "Pendiente")</f>
        <v/>
      </c>
      <c r="G168" s="6">
        <f>IFERROR(XLOOKUP(A168, 'Base Exámenes'!$C$5:$C$154, 'Base Exámenes'!$D$5:$D$154), "")</f>
        <v/>
      </c>
      <c r="H168" s="6">
        <f>IFERROR(XLOOKUP(A168, 'Base Exámenes'!$C$5:$C$154, 'Base Exámenes'!$E$5:$E$154), "")</f>
        <v/>
      </c>
      <c r="I168" s="7">
        <f>IFERROR(XLOOKUP(A168, 'Base Exámenes'!$C$5:$C$154, 'Base Exámenes'!$F$5:$F$154), "")</f>
        <v/>
      </c>
      <c r="J168" s="6">
        <f>IFERROR(XLOOKUP(A168, 'Base Exámenes'!$C$5:$C$154, 'Base Exámenes'!$G$5:$G$154), "")</f>
        <v/>
      </c>
      <c r="K168" s="6">
        <f>IFERROR(XLOOKUP(A168, 'Base Exámenes'!$C$5:$C$154, 'Base Exámenes'!$H$5:$H$154), "anonymous")</f>
        <v/>
      </c>
    </row>
    <row r="169">
      <c r="A169" s="4">
        <f>'Base Oficial'!A169</f>
        <v/>
      </c>
      <c r="B169" s="6">
        <f>'Base Oficial'!B169</f>
        <v/>
      </c>
      <c r="C169" s="6">
        <f>'Base Oficial'!F169</f>
        <v/>
      </c>
      <c r="D169" s="6">
        <f>'Base Oficial'!G169</f>
        <v/>
      </c>
      <c r="E169" s="6">
        <f>'Base Oficial'!D169</f>
        <v/>
      </c>
      <c r="F169" s="4">
        <f>IF(ISNUMBER(XLOOKUP(A169, 'Base Exámenes'!$C$5:$C$154, 'Base Exámenes'!$E$5:$E$154)), "Completado", "Pendiente")</f>
        <v/>
      </c>
      <c r="G169" s="6">
        <f>IFERROR(XLOOKUP(A169, 'Base Exámenes'!$C$5:$C$154, 'Base Exámenes'!$D$5:$D$154), "")</f>
        <v/>
      </c>
      <c r="H169" s="6">
        <f>IFERROR(XLOOKUP(A169, 'Base Exámenes'!$C$5:$C$154, 'Base Exámenes'!$E$5:$E$154), "")</f>
        <v/>
      </c>
      <c r="I169" s="7">
        <f>IFERROR(XLOOKUP(A169, 'Base Exámenes'!$C$5:$C$154, 'Base Exámenes'!$F$5:$F$154), "")</f>
        <v/>
      </c>
      <c r="J169" s="6">
        <f>IFERROR(XLOOKUP(A169, 'Base Exámenes'!$C$5:$C$154, 'Base Exámenes'!$G$5:$G$154), "")</f>
        <v/>
      </c>
      <c r="K169" s="6">
        <f>IFERROR(XLOOKUP(A169, 'Base Exámenes'!$C$5:$C$154, 'Base Exámenes'!$H$5:$H$154), "anonymous")</f>
        <v/>
      </c>
    </row>
    <row r="170">
      <c r="A170" s="4">
        <f>'Base Oficial'!A170</f>
        <v/>
      </c>
      <c r="B170" s="6">
        <f>'Base Oficial'!B170</f>
        <v/>
      </c>
      <c r="C170" s="6">
        <f>'Base Oficial'!F170</f>
        <v/>
      </c>
      <c r="D170" s="6">
        <f>'Base Oficial'!G170</f>
        <v/>
      </c>
      <c r="E170" s="6">
        <f>'Base Oficial'!D170</f>
        <v/>
      </c>
      <c r="F170" s="4">
        <f>IF(ISNUMBER(XLOOKUP(A170, 'Base Exámenes'!$C$5:$C$154, 'Base Exámenes'!$E$5:$E$154)), "Completado", "Pendiente")</f>
        <v/>
      </c>
      <c r="G170" s="6">
        <f>IFERROR(XLOOKUP(A170, 'Base Exámenes'!$C$5:$C$154, 'Base Exámenes'!$D$5:$D$154), "")</f>
        <v/>
      </c>
      <c r="H170" s="6">
        <f>IFERROR(XLOOKUP(A170, 'Base Exámenes'!$C$5:$C$154, 'Base Exámenes'!$E$5:$E$154), "")</f>
        <v/>
      </c>
      <c r="I170" s="7">
        <f>IFERROR(XLOOKUP(A170, 'Base Exámenes'!$C$5:$C$154, 'Base Exámenes'!$F$5:$F$154), "")</f>
        <v/>
      </c>
      <c r="J170" s="6">
        <f>IFERROR(XLOOKUP(A170, 'Base Exámenes'!$C$5:$C$154, 'Base Exámenes'!$G$5:$G$154), "")</f>
        <v/>
      </c>
      <c r="K170" s="6">
        <f>IFERROR(XLOOKUP(A170, 'Base Exámenes'!$C$5:$C$154, 'Base Exámenes'!$H$5:$H$154), "anonymous")</f>
        <v/>
      </c>
    </row>
    <row r="171">
      <c r="A171" s="4">
        <f>'Base Oficial'!A171</f>
        <v/>
      </c>
      <c r="B171" s="6">
        <f>'Base Oficial'!B171</f>
        <v/>
      </c>
      <c r="C171" s="6">
        <f>'Base Oficial'!F171</f>
        <v/>
      </c>
      <c r="D171" s="6">
        <f>'Base Oficial'!G171</f>
        <v/>
      </c>
      <c r="E171" s="6">
        <f>'Base Oficial'!D171</f>
        <v/>
      </c>
      <c r="F171" s="4">
        <f>IF(ISNUMBER(XLOOKUP(A171, 'Base Exámenes'!$C$5:$C$154, 'Base Exámenes'!$E$5:$E$154)), "Completado", "Pendiente")</f>
        <v/>
      </c>
      <c r="G171" s="6">
        <f>IFERROR(XLOOKUP(A171, 'Base Exámenes'!$C$5:$C$154, 'Base Exámenes'!$D$5:$D$154), "")</f>
        <v/>
      </c>
      <c r="H171" s="6">
        <f>IFERROR(XLOOKUP(A171, 'Base Exámenes'!$C$5:$C$154, 'Base Exámenes'!$E$5:$E$154), "")</f>
        <v/>
      </c>
      <c r="I171" s="7">
        <f>IFERROR(XLOOKUP(A171, 'Base Exámenes'!$C$5:$C$154, 'Base Exámenes'!$F$5:$F$154), "")</f>
        <v/>
      </c>
      <c r="J171" s="6">
        <f>IFERROR(XLOOKUP(A171, 'Base Exámenes'!$C$5:$C$154, 'Base Exámenes'!$G$5:$G$154), "")</f>
        <v/>
      </c>
      <c r="K171" s="6">
        <f>IFERROR(XLOOKUP(A171, 'Base Exámenes'!$C$5:$C$154, 'Base Exámenes'!$H$5:$H$154), "anonymous")</f>
        <v/>
      </c>
    </row>
    <row r="172">
      <c r="A172" s="4">
        <f>'Base Oficial'!A172</f>
        <v/>
      </c>
      <c r="B172" s="6">
        <f>'Base Oficial'!B172</f>
        <v/>
      </c>
      <c r="C172" s="6">
        <f>'Base Oficial'!F172</f>
        <v/>
      </c>
      <c r="D172" s="6">
        <f>'Base Oficial'!G172</f>
        <v/>
      </c>
      <c r="E172" s="6">
        <f>'Base Oficial'!D172</f>
        <v/>
      </c>
      <c r="F172" s="4">
        <f>IF(ISNUMBER(XLOOKUP(A172, 'Base Exámenes'!$C$5:$C$154, 'Base Exámenes'!$E$5:$E$154)), "Completado", "Pendiente")</f>
        <v/>
      </c>
      <c r="G172" s="6">
        <f>IFERROR(XLOOKUP(A172, 'Base Exámenes'!$C$5:$C$154, 'Base Exámenes'!$D$5:$D$154), "")</f>
        <v/>
      </c>
      <c r="H172" s="6">
        <f>IFERROR(XLOOKUP(A172, 'Base Exámenes'!$C$5:$C$154, 'Base Exámenes'!$E$5:$E$154), "")</f>
        <v/>
      </c>
      <c r="I172" s="7">
        <f>IFERROR(XLOOKUP(A172, 'Base Exámenes'!$C$5:$C$154, 'Base Exámenes'!$F$5:$F$154), "")</f>
        <v/>
      </c>
      <c r="J172" s="6">
        <f>IFERROR(XLOOKUP(A172, 'Base Exámenes'!$C$5:$C$154, 'Base Exámenes'!$G$5:$G$154), "")</f>
        <v/>
      </c>
      <c r="K172" s="6">
        <f>IFERROR(XLOOKUP(A172, 'Base Exámenes'!$C$5:$C$154, 'Base Exámenes'!$H$5:$H$154), "anonymous")</f>
        <v/>
      </c>
    </row>
    <row r="173">
      <c r="A173" s="4">
        <f>'Base Oficial'!A173</f>
        <v/>
      </c>
      <c r="B173" s="6">
        <f>'Base Oficial'!B173</f>
        <v/>
      </c>
      <c r="C173" s="6">
        <f>'Base Oficial'!F173</f>
        <v/>
      </c>
      <c r="D173" s="6">
        <f>'Base Oficial'!G173</f>
        <v/>
      </c>
      <c r="E173" s="6">
        <f>'Base Oficial'!D173</f>
        <v/>
      </c>
      <c r="F173" s="4">
        <f>IF(ISNUMBER(XLOOKUP(A173, 'Base Exámenes'!$C$5:$C$154, 'Base Exámenes'!$E$5:$E$154)), "Completado", "Pendiente")</f>
        <v/>
      </c>
      <c r="G173" s="6">
        <f>IFERROR(XLOOKUP(A173, 'Base Exámenes'!$C$5:$C$154, 'Base Exámenes'!$D$5:$D$154), "")</f>
        <v/>
      </c>
      <c r="H173" s="6">
        <f>IFERROR(XLOOKUP(A173, 'Base Exámenes'!$C$5:$C$154, 'Base Exámenes'!$E$5:$E$154), "")</f>
        <v/>
      </c>
      <c r="I173" s="7">
        <f>IFERROR(XLOOKUP(A173, 'Base Exámenes'!$C$5:$C$154, 'Base Exámenes'!$F$5:$F$154), "")</f>
        <v/>
      </c>
      <c r="J173" s="6">
        <f>IFERROR(XLOOKUP(A173, 'Base Exámenes'!$C$5:$C$154, 'Base Exámenes'!$G$5:$G$154), "")</f>
        <v/>
      </c>
      <c r="K173" s="6">
        <f>IFERROR(XLOOKUP(A173, 'Base Exámenes'!$C$5:$C$154, 'Base Exámenes'!$H$5:$H$154), "anonymous")</f>
        <v/>
      </c>
    </row>
    <row r="174">
      <c r="A174" s="4">
        <f>'Base Oficial'!A174</f>
        <v/>
      </c>
      <c r="B174" s="6">
        <f>'Base Oficial'!B174</f>
        <v/>
      </c>
      <c r="C174" s="6">
        <f>'Base Oficial'!F174</f>
        <v/>
      </c>
      <c r="D174" s="6">
        <f>'Base Oficial'!G174</f>
        <v/>
      </c>
      <c r="E174" s="6">
        <f>'Base Oficial'!D174</f>
        <v/>
      </c>
      <c r="F174" s="4">
        <f>IF(ISNUMBER(XLOOKUP(A174, 'Base Exámenes'!$C$5:$C$154, 'Base Exámenes'!$E$5:$E$154)), "Completado", "Pendiente")</f>
        <v/>
      </c>
      <c r="G174" s="6">
        <f>IFERROR(XLOOKUP(A174, 'Base Exámenes'!$C$5:$C$154, 'Base Exámenes'!$D$5:$D$154), "")</f>
        <v/>
      </c>
      <c r="H174" s="6">
        <f>IFERROR(XLOOKUP(A174, 'Base Exámenes'!$C$5:$C$154, 'Base Exámenes'!$E$5:$E$154), "")</f>
        <v/>
      </c>
      <c r="I174" s="7">
        <f>IFERROR(XLOOKUP(A174, 'Base Exámenes'!$C$5:$C$154, 'Base Exámenes'!$F$5:$F$154), "")</f>
        <v/>
      </c>
      <c r="J174" s="6">
        <f>IFERROR(XLOOKUP(A174, 'Base Exámenes'!$C$5:$C$154, 'Base Exámenes'!$G$5:$G$154), "")</f>
        <v/>
      </c>
      <c r="K174" s="6">
        <f>IFERROR(XLOOKUP(A174, 'Base Exámenes'!$C$5:$C$154, 'Base Exámenes'!$H$5:$H$154), "anonymous")</f>
        <v/>
      </c>
    </row>
    <row r="175">
      <c r="A175" s="4">
        <f>'Base Oficial'!A175</f>
        <v/>
      </c>
      <c r="B175" s="6">
        <f>'Base Oficial'!B175</f>
        <v/>
      </c>
      <c r="C175" s="6">
        <f>'Base Oficial'!F175</f>
        <v/>
      </c>
      <c r="D175" s="6">
        <f>'Base Oficial'!G175</f>
        <v/>
      </c>
      <c r="E175" s="6">
        <f>'Base Oficial'!D175</f>
        <v/>
      </c>
      <c r="F175" s="4">
        <f>IF(ISNUMBER(XLOOKUP(A175, 'Base Exámenes'!$C$5:$C$154, 'Base Exámenes'!$E$5:$E$154)), "Completado", "Pendiente")</f>
        <v/>
      </c>
      <c r="G175" s="6">
        <f>IFERROR(XLOOKUP(A175, 'Base Exámenes'!$C$5:$C$154, 'Base Exámenes'!$D$5:$D$154), "")</f>
        <v/>
      </c>
      <c r="H175" s="6">
        <f>IFERROR(XLOOKUP(A175, 'Base Exámenes'!$C$5:$C$154, 'Base Exámenes'!$E$5:$E$154), "")</f>
        <v/>
      </c>
      <c r="I175" s="7">
        <f>IFERROR(XLOOKUP(A175, 'Base Exámenes'!$C$5:$C$154, 'Base Exámenes'!$F$5:$F$154), "")</f>
        <v/>
      </c>
      <c r="J175" s="6">
        <f>IFERROR(XLOOKUP(A175, 'Base Exámenes'!$C$5:$C$154, 'Base Exámenes'!$G$5:$G$154), "")</f>
        <v/>
      </c>
      <c r="K175" s="6">
        <f>IFERROR(XLOOKUP(A175, 'Base Exámenes'!$C$5:$C$154, 'Base Exámenes'!$H$5:$H$154), "anonymous")</f>
        <v/>
      </c>
    </row>
    <row r="176">
      <c r="A176" s="4">
        <f>'Base Oficial'!A176</f>
        <v/>
      </c>
      <c r="B176" s="6">
        <f>'Base Oficial'!B176</f>
        <v/>
      </c>
      <c r="C176" s="6">
        <f>'Base Oficial'!F176</f>
        <v/>
      </c>
      <c r="D176" s="6">
        <f>'Base Oficial'!G176</f>
        <v/>
      </c>
      <c r="E176" s="6">
        <f>'Base Oficial'!D176</f>
        <v/>
      </c>
      <c r="F176" s="4">
        <f>IF(ISNUMBER(XLOOKUP(A176, 'Base Exámenes'!$C$5:$C$154, 'Base Exámenes'!$E$5:$E$154)), "Completado", "Pendiente")</f>
        <v/>
      </c>
      <c r="G176" s="6">
        <f>IFERROR(XLOOKUP(A176, 'Base Exámenes'!$C$5:$C$154, 'Base Exámenes'!$D$5:$D$154), "")</f>
        <v/>
      </c>
      <c r="H176" s="6">
        <f>IFERROR(XLOOKUP(A176, 'Base Exámenes'!$C$5:$C$154, 'Base Exámenes'!$E$5:$E$154), "")</f>
        <v/>
      </c>
      <c r="I176" s="7">
        <f>IFERROR(XLOOKUP(A176, 'Base Exámenes'!$C$5:$C$154, 'Base Exámenes'!$F$5:$F$154), "")</f>
        <v/>
      </c>
      <c r="J176" s="6">
        <f>IFERROR(XLOOKUP(A176, 'Base Exámenes'!$C$5:$C$154, 'Base Exámenes'!$G$5:$G$154), "")</f>
        <v/>
      </c>
      <c r="K176" s="6">
        <f>IFERROR(XLOOKUP(A176, 'Base Exámenes'!$C$5:$C$154, 'Base Exámenes'!$H$5:$H$154), "anonymous")</f>
        <v/>
      </c>
    </row>
    <row r="177">
      <c r="A177" s="4">
        <f>'Base Oficial'!A177</f>
        <v/>
      </c>
      <c r="B177" s="6">
        <f>'Base Oficial'!B177</f>
        <v/>
      </c>
      <c r="C177" s="6">
        <f>'Base Oficial'!F177</f>
        <v/>
      </c>
      <c r="D177" s="6">
        <f>'Base Oficial'!G177</f>
        <v/>
      </c>
      <c r="E177" s="6">
        <f>'Base Oficial'!D177</f>
        <v/>
      </c>
      <c r="F177" s="4">
        <f>IF(ISNUMBER(XLOOKUP(A177, 'Base Exámenes'!$C$5:$C$154, 'Base Exámenes'!$E$5:$E$154)), "Completado", "Pendiente")</f>
        <v/>
      </c>
      <c r="G177" s="6">
        <f>IFERROR(XLOOKUP(A177, 'Base Exámenes'!$C$5:$C$154, 'Base Exámenes'!$D$5:$D$154), "")</f>
        <v/>
      </c>
      <c r="H177" s="6">
        <f>IFERROR(XLOOKUP(A177, 'Base Exámenes'!$C$5:$C$154, 'Base Exámenes'!$E$5:$E$154), "")</f>
        <v/>
      </c>
      <c r="I177" s="7">
        <f>IFERROR(XLOOKUP(A177, 'Base Exámenes'!$C$5:$C$154, 'Base Exámenes'!$F$5:$F$154), "")</f>
        <v/>
      </c>
      <c r="J177" s="6">
        <f>IFERROR(XLOOKUP(A177, 'Base Exámenes'!$C$5:$C$154, 'Base Exámenes'!$G$5:$G$154), "")</f>
        <v/>
      </c>
      <c r="K177" s="6">
        <f>IFERROR(XLOOKUP(A177, 'Base Exámenes'!$C$5:$C$154, 'Base Exámenes'!$H$5:$H$154), "anonymous")</f>
        <v/>
      </c>
    </row>
    <row r="178">
      <c r="A178" s="4">
        <f>'Base Oficial'!A178</f>
        <v/>
      </c>
      <c r="B178" s="6">
        <f>'Base Oficial'!B178</f>
        <v/>
      </c>
      <c r="C178" s="6">
        <f>'Base Oficial'!F178</f>
        <v/>
      </c>
      <c r="D178" s="6">
        <f>'Base Oficial'!G178</f>
        <v/>
      </c>
      <c r="E178" s="6">
        <f>'Base Oficial'!D178</f>
        <v/>
      </c>
      <c r="F178" s="4">
        <f>IF(ISNUMBER(XLOOKUP(A178, 'Base Exámenes'!$C$5:$C$154, 'Base Exámenes'!$E$5:$E$154)), "Completado", "Pendiente")</f>
        <v/>
      </c>
      <c r="G178" s="6">
        <f>IFERROR(XLOOKUP(A178, 'Base Exámenes'!$C$5:$C$154, 'Base Exámenes'!$D$5:$D$154), "")</f>
        <v/>
      </c>
      <c r="H178" s="6">
        <f>IFERROR(XLOOKUP(A178, 'Base Exámenes'!$C$5:$C$154, 'Base Exámenes'!$E$5:$E$154), "")</f>
        <v/>
      </c>
      <c r="I178" s="7">
        <f>IFERROR(XLOOKUP(A178, 'Base Exámenes'!$C$5:$C$154, 'Base Exámenes'!$F$5:$F$154), "")</f>
        <v/>
      </c>
      <c r="J178" s="6">
        <f>IFERROR(XLOOKUP(A178, 'Base Exámenes'!$C$5:$C$154, 'Base Exámenes'!$G$5:$G$154), "")</f>
        <v/>
      </c>
      <c r="K178" s="6">
        <f>IFERROR(XLOOKUP(A178, 'Base Exámenes'!$C$5:$C$154, 'Base Exámenes'!$H$5:$H$154), "anonymous")</f>
        <v/>
      </c>
    </row>
    <row r="179">
      <c r="A179" s="4">
        <f>'Base Oficial'!A179</f>
        <v/>
      </c>
      <c r="B179" s="6">
        <f>'Base Oficial'!B179</f>
        <v/>
      </c>
      <c r="C179" s="6">
        <f>'Base Oficial'!F179</f>
        <v/>
      </c>
      <c r="D179" s="6">
        <f>'Base Oficial'!G179</f>
        <v/>
      </c>
      <c r="E179" s="6">
        <f>'Base Oficial'!D179</f>
        <v/>
      </c>
      <c r="F179" s="4">
        <f>IF(ISNUMBER(XLOOKUP(A179, 'Base Exámenes'!$C$5:$C$154, 'Base Exámenes'!$E$5:$E$154)), "Completado", "Pendiente")</f>
        <v/>
      </c>
      <c r="G179" s="6">
        <f>IFERROR(XLOOKUP(A179, 'Base Exámenes'!$C$5:$C$154, 'Base Exámenes'!$D$5:$D$154), "")</f>
        <v/>
      </c>
      <c r="H179" s="6">
        <f>IFERROR(XLOOKUP(A179, 'Base Exámenes'!$C$5:$C$154, 'Base Exámenes'!$E$5:$E$154), "")</f>
        <v/>
      </c>
      <c r="I179" s="7">
        <f>IFERROR(XLOOKUP(A179, 'Base Exámenes'!$C$5:$C$154, 'Base Exámenes'!$F$5:$F$154), "")</f>
        <v/>
      </c>
      <c r="J179" s="6">
        <f>IFERROR(XLOOKUP(A179, 'Base Exámenes'!$C$5:$C$154, 'Base Exámenes'!$G$5:$G$154), "")</f>
        <v/>
      </c>
      <c r="K179" s="6">
        <f>IFERROR(XLOOKUP(A179, 'Base Exámenes'!$C$5:$C$154, 'Base Exámenes'!$H$5:$H$154), "anonymous")</f>
        <v/>
      </c>
    </row>
    <row r="180">
      <c r="A180" s="4">
        <f>'Base Oficial'!A180</f>
        <v/>
      </c>
      <c r="B180" s="6">
        <f>'Base Oficial'!B180</f>
        <v/>
      </c>
      <c r="C180" s="6">
        <f>'Base Oficial'!F180</f>
        <v/>
      </c>
      <c r="D180" s="6">
        <f>'Base Oficial'!G180</f>
        <v/>
      </c>
      <c r="E180" s="6">
        <f>'Base Oficial'!D180</f>
        <v/>
      </c>
      <c r="F180" s="4">
        <f>IF(ISNUMBER(XLOOKUP(A180, 'Base Exámenes'!$C$5:$C$154, 'Base Exámenes'!$E$5:$E$154)), "Completado", "Pendiente")</f>
        <v/>
      </c>
      <c r="G180" s="6">
        <f>IFERROR(XLOOKUP(A180, 'Base Exámenes'!$C$5:$C$154, 'Base Exámenes'!$D$5:$D$154), "")</f>
        <v/>
      </c>
      <c r="H180" s="6">
        <f>IFERROR(XLOOKUP(A180, 'Base Exámenes'!$C$5:$C$154, 'Base Exámenes'!$E$5:$E$154), "")</f>
        <v/>
      </c>
      <c r="I180" s="7">
        <f>IFERROR(XLOOKUP(A180, 'Base Exámenes'!$C$5:$C$154, 'Base Exámenes'!$F$5:$F$154), "")</f>
        <v/>
      </c>
      <c r="J180" s="6">
        <f>IFERROR(XLOOKUP(A180, 'Base Exámenes'!$C$5:$C$154, 'Base Exámenes'!$G$5:$G$154), "")</f>
        <v/>
      </c>
      <c r="K180" s="6">
        <f>IFERROR(XLOOKUP(A180, 'Base Exámenes'!$C$5:$C$154, 'Base Exámenes'!$H$5:$H$154), "anonymous")</f>
        <v/>
      </c>
    </row>
    <row r="181">
      <c r="A181" s="4">
        <f>'Base Oficial'!A181</f>
        <v/>
      </c>
      <c r="B181" s="6">
        <f>'Base Oficial'!B181</f>
        <v/>
      </c>
      <c r="C181" s="6">
        <f>'Base Oficial'!F181</f>
        <v/>
      </c>
      <c r="D181" s="6">
        <f>'Base Oficial'!G181</f>
        <v/>
      </c>
      <c r="E181" s="6">
        <f>'Base Oficial'!D181</f>
        <v/>
      </c>
      <c r="F181" s="4">
        <f>IF(ISNUMBER(XLOOKUP(A181, 'Base Exámenes'!$C$5:$C$154, 'Base Exámenes'!$E$5:$E$154)), "Completado", "Pendiente")</f>
        <v/>
      </c>
      <c r="G181" s="6">
        <f>IFERROR(XLOOKUP(A181, 'Base Exámenes'!$C$5:$C$154, 'Base Exámenes'!$D$5:$D$154), "")</f>
        <v/>
      </c>
      <c r="H181" s="6">
        <f>IFERROR(XLOOKUP(A181, 'Base Exámenes'!$C$5:$C$154, 'Base Exámenes'!$E$5:$E$154), "")</f>
        <v/>
      </c>
      <c r="I181" s="7">
        <f>IFERROR(XLOOKUP(A181, 'Base Exámenes'!$C$5:$C$154, 'Base Exámenes'!$F$5:$F$154), "")</f>
        <v/>
      </c>
      <c r="J181" s="6">
        <f>IFERROR(XLOOKUP(A181, 'Base Exámenes'!$C$5:$C$154, 'Base Exámenes'!$G$5:$G$154), "")</f>
        <v/>
      </c>
      <c r="K181" s="6">
        <f>IFERROR(XLOOKUP(A181, 'Base Exámenes'!$C$5:$C$154, 'Base Exámenes'!$H$5:$H$154), "anonymous")</f>
        <v/>
      </c>
    </row>
    <row r="182">
      <c r="A182" s="4">
        <f>'Base Oficial'!A182</f>
        <v/>
      </c>
      <c r="B182" s="6">
        <f>'Base Oficial'!B182</f>
        <v/>
      </c>
      <c r="C182" s="6">
        <f>'Base Oficial'!F182</f>
        <v/>
      </c>
      <c r="D182" s="6">
        <f>'Base Oficial'!G182</f>
        <v/>
      </c>
      <c r="E182" s="6">
        <f>'Base Oficial'!D182</f>
        <v/>
      </c>
      <c r="F182" s="4">
        <f>IF(ISNUMBER(XLOOKUP(A182, 'Base Exámenes'!$C$5:$C$154, 'Base Exámenes'!$E$5:$E$154)), "Completado", "Pendiente")</f>
        <v/>
      </c>
      <c r="G182" s="6">
        <f>IFERROR(XLOOKUP(A182, 'Base Exámenes'!$C$5:$C$154, 'Base Exámenes'!$D$5:$D$154), "")</f>
        <v/>
      </c>
      <c r="H182" s="6">
        <f>IFERROR(XLOOKUP(A182, 'Base Exámenes'!$C$5:$C$154, 'Base Exámenes'!$E$5:$E$154), "")</f>
        <v/>
      </c>
      <c r="I182" s="7">
        <f>IFERROR(XLOOKUP(A182, 'Base Exámenes'!$C$5:$C$154, 'Base Exámenes'!$F$5:$F$154), "")</f>
        <v/>
      </c>
      <c r="J182" s="6">
        <f>IFERROR(XLOOKUP(A182, 'Base Exámenes'!$C$5:$C$154, 'Base Exámenes'!$G$5:$G$154), "")</f>
        <v/>
      </c>
      <c r="K182" s="6">
        <f>IFERROR(XLOOKUP(A182, 'Base Exámenes'!$C$5:$C$154, 'Base Exámenes'!$H$5:$H$154), "anonymous")</f>
        <v/>
      </c>
    </row>
    <row r="183">
      <c r="A183" s="4">
        <f>'Base Oficial'!A183</f>
        <v/>
      </c>
      <c r="B183" s="6">
        <f>'Base Oficial'!B183</f>
        <v/>
      </c>
      <c r="C183" s="6">
        <f>'Base Oficial'!F183</f>
        <v/>
      </c>
      <c r="D183" s="6">
        <f>'Base Oficial'!G183</f>
        <v/>
      </c>
      <c r="E183" s="6">
        <f>'Base Oficial'!D183</f>
        <v/>
      </c>
      <c r="F183" s="4">
        <f>IF(ISNUMBER(XLOOKUP(A183, 'Base Exámenes'!$C$5:$C$154, 'Base Exámenes'!$E$5:$E$154)), "Completado", "Pendiente")</f>
        <v/>
      </c>
      <c r="G183" s="6">
        <f>IFERROR(XLOOKUP(A183, 'Base Exámenes'!$C$5:$C$154, 'Base Exámenes'!$D$5:$D$154), "")</f>
        <v/>
      </c>
      <c r="H183" s="6">
        <f>IFERROR(XLOOKUP(A183, 'Base Exámenes'!$C$5:$C$154, 'Base Exámenes'!$E$5:$E$154), "")</f>
        <v/>
      </c>
      <c r="I183" s="7">
        <f>IFERROR(XLOOKUP(A183, 'Base Exámenes'!$C$5:$C$154, 'Base Exámenes'!$F$5:$F$154), "")</f>
        <v/>
      </c>
      <c r="J183" s="6">
        <f>IFERROR(XLOOKUP(A183, 'Base Exámenes'!$C$5:$C$154, 'Base Exámenes'!$G$5:$G$154), "")</f>
        <v/>
      </c>
      <c r="K183" s="6">
        <f>IFERROR(XLOOKUP(A183, 'Base Exámenes'!$C$5:$C$154, 'Base Exámenes'!$H$5:$H$154), "anonymous")</f>
        <v/>
      </c>
    </row>
    <row r="184">
      <c r="A184" s="4">
        <f>'Base Oficial'!A184</f>
        <v/>
      </c>
      <c r="B184" s="6">
        <f>'Base Oficial'!B184</f>
        <v/>
      </c>
      <c r="C184" s="6">
        <f>'Base Oficial'!F184</f>
        <v/>
      </c>
      <c r="D184" s="6">
        <f>'Base Oficial'!G184</f>
        <v/>
      </c>
      <c r="E184" s="6">
        <f>'Base Oficial'!D184</f>
        <v/>
      </c>
      <c r="F184" s="4">
        <f>IF(ISNUMBER(XLOOKUP(A184, 'Base Exámenes'!$C$5:$C$154, 'Base Exámenes'!$E$5:$E$154)), "Completado", "Pendiente")</f>
        <v/>
      </c>
      <c r="G184" s="6">
        <f>IFERROR(XLOOKUP(A184, 'Base Exámenes'!$C$5:$C$154, 'Base Exámenes'!$D$5:$D$154), "")</f>
        <v/>
      </c>
      <c r="H184" s="6">
        <f>IFERROR(XLOOKUP(A184, 'Base Exámenes'!$C$5:$C$154, 'Base Exámenes'!$E$5:$E$154), "")</f>
        <v/>
      </c>
      <c r="I184" s="7">
        <f>IFERROR(XLOOKUP(A184, 'Base Exámenes'!$C$5:$C$154, 'Base Exámenes'!$F$5:$F$154), "")</f>
        <v/>
      </c>
      <c r="J184" s="6">
        <f>IFERROR(XLOOKUP(A184, 'Base Exámenes'!$C$5:$C$154, 'Base Exámenes'!$G$5:$G$154), "")</f>
        <v/>
      </c>
      <c r="K184" s="6">
        <f>IFERROR(XLOOKUP(A184, 'Base Exámenes'!$C$5:$C$154, 'Base Exámenes'!$H$5:$H$154), "anonymous")</f>
        <v/>
      </c>
    </row>
    <row r="185">
      <c r="A185" s="4">
        <f>'Base Oficial'!A185</f>
        <v/>
      </c>
      <c r="B185" s="6">
        <f>'Base Oficial'!B185</f>
        <v/>
      </c>
      <c r="C185" s="6">
        <f>'Base Oficial'!F185</f>
        <v/>
      </c>
      <c r="D185" s="6">
        <f>'Base Oficial'!G185</f>
        <v/>
      </c>
      <c r="E185" s="6">
        <f>'Base Oficial'!D185</f>
        <v/>
      </c>
      <c r="F185" s="4">
        <f>IF(ISNUMBER(XLOOKUP(A185, 'Base Exámenes'!$C$5:$C$154, 'Base Exámenes'!$E$5:$E$154)), "Completado", "Pendiente")</f>
        <v/>
      </c>
      <c r="G185" s="6">
        <f>IFERROR(XLOOKUP(A185, 'Base Exámenes'!$C$5:$C$154, 'Base Exámenes'!$D$5:$D$154), "")</f>
        <v/>
      </c>
      <c r="H185" s="6">
        <f>IFERROR(XLOOKUP(A185, 'Base Exámenes'!$C$5:$C$154, 'Base Exámenes'!$E$5:$E$154), "")</f>
        <v/>
      </c>
      <c r="I185" s="7">
        <f>IFERROR(XLOOKUP(A185, 'Base Exámenes'!$C$5:$C$154, 'Base Exámenes'!$F$5:$F$154), "")</f>
        <v/>
      </c>
      <c r="J185" s="6">
        <f>IFERROR(XLOOKUP(A185, 'Base Exámenes'!$C$5:$C$154, 'Base Exámenes'!$G$5:$G$154), "")</f>
        <v/>
      </c>
      <c r="K185" s="6">
        <f>IFERROR(XLOOKUP(A185, 'Base Exámenes'!$C$5:$C$154, 'Base Exámenes'!$H$5:$H$154), "anonymous")</f>
        <v/>
      </c>
    </row>
    <row r="186">
      <c r="A186" s="4">
        <f>'Base Oficial'!A186</f>
        <v/>
      </c>
      <c r="B186" s="6">
        <f>'Base Oficial'!B186</f>
        <v/>
      </c>
      <c r="C186" s="6">
        <f>'Base Oficial'!F186</f>
        <v/>
      </c>
      <c r="D186" s="6">
        <f>'Base Oficial'!G186</f>
        <v/>
      </c>
      <c r="E186" s="6">
        <f>'Base Oficial'!D186</f>
        <v/>
      </c>
      <c r="F186" s="4">
        <f>IF(ISNUMBER(XLOOKUP(A186, 'Base Exámenes'!$C$5:$C$154, 'Base Exámenes'!$E$5:$E$154)), "Completado", "Pendiente")</f>
        <v/>
      </c>
      <c r="G186" s="6">
        <f>IFERROR(XLOOKUP(A186, 'Base Exámenes'!$C$5:$C$154, 'Base Exámenes'!$D$5:$D$154), "")</f>
        <v/>
      </c>
      <c r="H186" s="6">
        <f>IFERROR(XLOOKUP(A186, 'Base Exámenes'!$C$5:$C$154, 'Base Exámenes'!$E$5:$E$154), "")</f>
        <v/>
      </c>
      <c r="I186" s="7">
        <f>IFERROR(XLOOKUP(A186, 'Base Exámenes'!$C$5:$C$154, 'Base Exámenes'!$F$5:$F$154), "")</f>
        <v/>
      </c>
      <c r="J186" s="6">
        <f>IFERROR(XLOOKUP(A186, 'Base Exámenes'!$C$5:$C$154, 'Base Exámenes'!$G$5:$G$154), "")</f>
        <v/>
      </c>
      <c r="K186" s="6">
        <f>IFERROR(XLOOKUP(A186, 'Base Exámenes'!$C$5:$C$154, 'Base Exámenes'!$H$5:$H$154), "anonymous")</f>
        <v/>
      </c>
    </row>
    <row r="187">
      <c r="A187" s="4">
        <f>'Base Oficial'!A187</f>
        <v/>
      </c>
      <c r="B187" s="6">
        <f>'Base Oficial'!B187</f>
        <v/>
      </c>
      <c r="C187" s="6">
        <f>'Base Oficial'!F187</f>
        <v/>
      </c>
      <c r="D187" s="6">
        <f>'Base Oficial'!G187</f>
        <v/>
      </c>
      <c r="E187" s="6">
        <f>'Base Oficial'!D187</f>
        <v/>
      </c>
      <c r="F187" s="4">
        <f>IF(ISNUMBER(XLOOKUP(A187, 'Base Exámenes'!$C$5:$C$154, 'Base Exámenes'!$E$5:$E$154)), "Completado", "Pendiente")</f>
        <v/>
      </c>
      <c r="G187" s="6">
        <f>IFERROR(XLOOKUP(A187, 'Base Exámenes'!$C$5:$C$154, 'Base Exámenes'!$D$5:$D$154), "")</f>
        <v/>
      </c>
      <c r="H187" s="6">
        <f>IFERROR(XLOOKUP(A187, 'Base Exámenes'!$C$5:$C$154, 'Base Exámenes'!$E$5:$E$154), "")</f>
        <v/>
      </c>
      <c r="I187" s="7">
        <f>IFERROR(XLOOKUP(A187, 'Base Exámenes'!$C$5:$C$154, 'Base Exámenes'!$F$5:$F$154), "")</f>
        <v/>
      </c>
      <c r="J187" s="6">
        <f>IFERROR(XLOOKUP(A187, 'Base Exámenes'!$C$5:$C$154, 'Base Exámenes'!$G$5:$G$154), "")</f>
        <v/>
      </c>
      <c r="K187" s="6">
        <f>IFERROR(XLOOKUP(A187, 'Base Exámenes'!$C$5:$C$154, 'Base Exámenes'!$H$5:$H$154), "anonymous")</f>
        <v/>
      </c>
    </row>
    <row r="188">
      <c r="A188" s="4">
        <f>'Base Oficial'!A188</f>
        <v/>
      </c>
      <c r="B188" s="6">
        <f>'Base Oficial'!B188</f>
        <v/>
      </c>
      <c r="C188" s="6">
        <f>'Base Oficial'!F188</f>
        <v/>
      </c>
      <c r="D188" s="6">
        <f>'Base Oficial'!G188</f>
        <v/>
      </c>
      <c r="E188" s="6">
        <f>'Base Oficial'!D188</f>
        <v/>
      </c>
      <c r="F188" s="4">
        <f>IF(ISNUMBER(XLOOKUP(A188, 'Base Exámenes'!$C$5:$C$154, 'Base Exámenes'!$E$5:$E$154)), "Completado", "Pendiente")</f>
        <v/>
      </c>
      <c r="G188" s="6">
        <f>IFERROR(XLOOKUP(A188, 'Base Exámenes'!$C$5:$C$154, 'Base Exámenes'!$D$5:$D$154), "")</f>
        <v/>
      </c>
      <c r="H188" s="6">
        <f>IFERROR(XLOOKUP(A188, 'Base Exámenes'!$C$5:$C$154, 'Base Exámenes'!$E$5:$E$154), "")</f>
        <v/>
      </c>
      <c r="I188" s="7">
        <f>IFERROR(XLOOKUP(A188, 'Base Exámenes'!$C$5:$C$154, 'Base Exámenes'!$F$5:$F$154), "")</f>
        <v/>
      </c>
      <c r="J188" s="6">
        <f>IFERROR(XLOOKUP(A188, 'Base Exámenes'!$C$5:$C$154, 'Base Exámenes'!$G$5:$G$154), "")</f>
        <v/>
      </c>
      <c r="K188" s="6">
        <f>IFERROR(XLOOKUP(A188, 'Base Exámenes'!$C$5:$C$154, 'Base Exámenes'!$H$5:$H$154), "anonymous")</f>
        <v/>
      </c>
    </row>
    <row r="189">
      <c r="A189" s="4">
        <f>'Base Oficial'!A189</f>
        <v/>
      </c>
      <c r="B189" s="6">
        <f>'Base Oficial'!B189</f>
        <v/>
      </c>
      <c r="C189" s="6">
        <f>'Base Oficial'!F189</f>
        <v/>
      </c>
      <c r="D189" s="6">
        <f>'Base Oficial'!G189</f>
        <v/>
      </c>
      <c r="E189" s="6">
        <f>'Base Oficial'!D189</f>
        <v/>
      </c>
      <c r="F189" s="4">
        <f>IF(ISNUMBER(XLOOKUP(A189, 'Base Exámenes'!$C$5:$C$154, 'Base Exámenes'!$E$5:$E$154)), "Completado", "Pendiente")</f>
        <v/>
      </c>
      <c r="G189" s="6">
        <f>IFERROR(XLOOKUP(A189, 'Base Exámenes'!$C$5:$C$154, 'Base Exámenes'!$D$5:$D$154), "")</f>
        <v/>
      </c>
      <c r="H189" s="6">
        <f>IFERROR(XLOOKUP(A189, 'Base Exámenes'!$C$5:$C$154, 'Base Exámenes'!$E$5:$E$154), "")</f>
        <v/>
      </c>
      <c r="I189" s="7">
        <f>IFERROR(XLOOKUP(A189, 'Base Exámenes'!$C$5:$C$154, 'Base Exámenes'!$F$5:$F$154), "")</f>
        <v/>
      </c>
      <c r="J189" s="6">
        <f>IFERROR(XLOOKUP(A189, 'Base Exámenes'!$C$5:$C$154, 'Base Exámenes'!$G$5:$G$154), "")</f>
        <v/>
      </c>
      <c r="K189" s="6">
        <f>IFERROR(XLOOKUP(A189, 'Base Exámenes'!$C$5:$C$154, 'Base Exámenes'!$H$5:$H$154), "anonymous")</f>
        <v/>
      </c>
    </row>
    <row r="190">
      <c r="A190" s="4">
        <f>'Base Oficial'!A190</f>
        <v/>
      </c>
      <c r="B190" s="6">
        <f>'Base Oficial'!B190</f>
        <v/>
      </c>
      <c r="C190" s="6">
        <f>'Base Oficial'!F190</f>
        <v/>
      </c>
      <c r="D190" s="6">
        <f>'Base Oficial'!G190</f>
        <v/>
      </c>
      <c r="E190" s="6">
        <f>'Base Oficial'!D190</f>
        <v/>
      </c>
      <c r="F190" s="4">
        <f>IF(ISNUMBER(XLOOKUP(A190, 'Base Exámenes'!$C$5:$C$154, 'Base Exámenes'!$E$5:$E$154)), "Completado", "Pendiente")</f>
        <v/>
      </c>
      <c r="G190" s="6">
        <f>IFERROR(XLOOKUP(A190, 'Base Exámenes'!$C$5:$C$154, 'Base Exámenes'!$D$5:$D$154), "")</f>
        <v/>
      </c>
      <c r="H190" s="6">
        <f>IFERROR(XLOOKUP(A190, 'Base Exámenes'!$C$5:$C$154, 'Base Exámenes'!$E$5:$E$154), "")</f>
        <v/>
      </c>
      <c r="I190" s="7">
        <f>IFERROR(XLOOKUP(A190, 'Base Exámenes'!$C$5:$C$154, 'Base Exámenes'!$F$5:$F$154), "")</f>
        <v/>
      </c>
      <c r="J190" s="6">
        <f>IFERROR(XLOOKUP(A190, 'Base Exámenes'!$C$5:$C$154, 'Base Exámenes'!$G$5:$G$154), "")</f>
        <v/>
      </c>
      <c r="K190" s="6">
        <f>IFERROR(XLOOKUP(A190, 'Base Exámenes'!$C$5:$C$154, 'Base Exámenes'!$H$5:$H$154), "anonymous")</f>
        <v/>
      </c>
    </row>
    <row r="191">
      <c r="A191" s="4">
        <f>'Base Oficial'!A191</f>
        <v/>
      </c>
      <c r="B191" s="6">
        <f>'Base Oficial'!B191</f>
        <v/>
      </c>
      <c r="C191" s="6">
        <f>'Base Oficial'!F191</f>
        <v/>
      </c>
      <c r="D191" s="6">
        <f>'Base Oficial'!G191</f>
        <v/>
      </c>
      <c r="E191" s="6">
        <f>'Base Oficial'!D191</f>
        <v/>
      </c>
      <c r="F191" s="4">
        <f>IF(ISNUMBER(XLOOKUP(A191, 'Base Exámenes'!$C$5:$C$154, 'Base Exámenes'!$E$5:$E$154)), "Completado", "Pendiente")</f>
        <v/>
      </c>
      <c r="G191" s="6">
        <f>IFERROR(XLOOKUP(A191, 'Base Exámenes'!$C$5:$C$154, 'Base Exámenes'!$D$5:$D$154), "")</f>
        <v/>
      </c>
      <c r="H191" s="6">
        <f>IFERROR(XLOOKUP(A191, 'Base Exámenes'!$C$5:$C$154, 'Base Exámenes'!$E$5:$E$154), "")</f>
        <v/>
      </c>
      <c r="I191" s="7">
        <f>IFERROR(XLOOKUP(A191, 'Base Exámenes'!$C$5:$C$154, 'Base Exámenes'!$F$5:$F$154), "")</f>
        <v/>
      </c>
      <c r="J191" s="6">
        <f>IFERROR(XLOOKUP(A191, 'Base Exámenes'!$C$5:$C$154, 'Base Exámenes'!$G$5:$G$154), "")</f>
        <v/>
      </c>
      <c r="K191" s="6">
        <f>IFERROR(XLOOKUP(A191, 'Base Exámenes'!$C$5:$C$154, 'Base Exámenes'!$H$5:$H$154), "anonymous")</f>
        <v/>
      </c>
    </row>
    <row r="192">
      <c r="A192" s="4">
        <f>'Base Oficial'!A192</f>
        <v/>
      </c>
      <c r="B192" s="6">
        <f>'Base Oficial'!B192</f>
        <v/>
      </c>
      <c r="C192" s="6">
        <f>'Base Oficial'!F192</f>
        <v/>
      </c>
      <c r="D192" s="6">
        <f>'Base Oficial'!G192</f>
        <v/>
      </c>
      <c r="E192" s="6">
        <f>'Base Oficial'!D192</f>
        <v/>
      </c>
      <c r="F192" s="4">
        <f>IF(ISNUMBER(XLOOKUP(A192, 'Base Exámenes'!$C$5:$C$154, 'Base Exámenes'!$E$5:$E$154)), "Completado", "Pendiente")</f>
        <v/>
      </c>
      <c r="G192" s="6">
        <f>IFERROR(XLOOKUP(A192, 'Base Exámenes'!$C$5:$C$154, 'Base Exámenes'!$D$5:$D$154), "")</f>
        <v/>
      </c>
      <c r="H192" s="6">
        <f>IFERROR(XLOOKUP(A192, 'Base Exámenes'!$C$5:$C$154, 'Base Exámenes'!$E$5:$E$154), "")</f>
        <v/>
      </c>
      <c r="I192" s="7">
        <f>IFERROR(XLOOKUP(A192, 'Base Exámenes'!$C$5:$C$154, 'Base Exámenes'!$F$5:$F$154), "")</f>
        <v/>
      </c>
      <c r="J192" s="6">
        <f>IFERROR(XLOOKUP(A192, 'Base Exámenes'!$C$5:$C$154, 'Base Exámenes'!$G$5:$G$154), "")</f>
        <v/>
      </c>
      <c r="K192" s="6">
        <f>IFERROR(XLOOKUP(A192, 'Base Exámenes'!$C$5:$C$154, 'Base Exámenes'!$H$5:$H$154), "anonymous")</f>
        <v/>
      </c>
    </row>
    <row r="193">
      <c r="A193" s="4">
        <f>'Base Oficial'!A193</f>
        <v/>
      </c>
      <c r="B193" s="6">
        <f>'Base Oficial'!B193</f>
        <v/>
      </c>
      <c r="C193" s="6">
        <f>'Base Oficial'!F193</f>
        <v/>
      </c>
      <c r="D193" s="6">
        <f>'Base Oficial'!G193</f>
        <v/>
      </c>
      <c r="E193" s="6">
        <f>'Base Oficial'!D193</f>
        <v/>
      </c>
      <c r="F193" s="4">
        <f>IF(ISNUMBER(XLOOKUP(A193, 'Base Exámenes'!$C$5:$C$154, 'Base Exámenes'!$E$5:$E$154)), "Completado", "Pendiente")</f>
        <v/>
      </c>
      <c r="G193" s="6">
        <f>IFERROR(XLOOKUP(A193, 'Base Exámenes'!$C$5:$C$154, 'Base Exámenes'!$D$5:$D$154), "")</f>
        <v/>
      </c>
      <c r="H193" s="6">
        <f>IFERROR(XLOOKUP(A193, 'Base Exámenes'!$C$5:$C$154, 'Base Exámenes'!$E$5:$E$154), "")</f>
        <v/>
      </c>
      <c r="I193" s="7">
        <f>IFERROR(XLOOKUP(A193, 'Base Exámenes'!$C$5:$C$154, 'Base Exámenes'!$F$5:$F$154), "")</f>
        <v/>
      </c>
      <c r="J193" s="6">
        <f>IFERROR(XLOOKUP(A193, 'Base Exámenes'!$C$5:$C$154, 'Base Exámenes'!$G$5:$G$154), "")</f>
        <v/>
      </c>
      <c r="K193" s="6">
        <f>IFERROR(XLOOKUP(A193, 'Base Exámenes'!$C$5:$C$154, 'Base Exámenes'!$H$5:$H$154), "anonymous")</f>
        <v/>
      </c>
    </row>
    <row r="194">
      <c r="A194" s="4">
        <f>'Base Oficial'!A194</f>
        <v/>
      </c>
      <c r="B194" s="6">
        <f>'Base Oficial'!B194</f>
        <v/>
      </c>
      <c r="C194" s="6">
        <f>'Base Oficial'!F194</f>
        <v/>
      </c>
      <c r="D194" s="6">
        <f>'Base Oficial'!G194</f>
        <v/>
      </c>
      <c r="E194" s="6">
        <f>'Base Oficial'!D194</f>
        <v/>
      </c>
      <c r="F194" s="4">
        <f>IF(ISNUMBER(XLOOKUP(A194, 'Base Exámenes'!$C$5:$C$154, 'Base Exámenes'!$E$5:$E$154)), "Completado", "Pendiente")</f>
        <v/>
      </c>
      <c r="G194" s="6">
        <f>IFERROR(XLOOKUP(A194, 'Base Exámenes'!$C$5:$C$154, 'Base Exámenes'!$D$5:$D$154), "")</f>
        <v/>
      </c>
      <c r="H194" s="6">
        <f>IFERROR(XLOOKUP(A194, 'Base Exámenes'!$C$5:$C$154, 'Base Exámenes'!$E$5:$E$154), "")</f>
        <v/>
      </c>
      <c r="I194" s="7">
        <f>IFERROR(XLOOKUP(A194, 'Base Exámenes'!$C$5:$C$154, 'Base Exámenes'!$F$5:$F$154), "")</f>
        <v/>
      </c>
      <c r="J194" s="6">
        <f>IFERROR(XLOOKUP(A194, 'Base Exámenes'!$C$5:$C$154, 'Base Exámenes'!$G$5:$G$154), "")</f>
        <v/>
      </c>
      <c r="K194" s="6">
        <f>IFERROR(XLOOKUP(A194, 'Base Exámenes'!$C$5:$C$154, 'Base Exámenes'!$H$5:$H$154), "anonymous")</f>
        <v/>
      </c>
    </row>
    <row r="195">
      <c r="A195" s="4">
        <f>'Base Oficial'!A195</f>
        <v/>
      </c>
      <c r="B195" s="6">
        <f>'Base Oficial'!B195</f>
        <v/>
      </c>
      <c r="C195" s="6">
        <f>'Base Oficial'!F195</f>
        <v/>
      </c>
      <c r="D195" s="6">
        <f>'Base Oficial'!G195</f>
        <v/>
      </c>
      <c r="E195" s="6">
        <f>'Base Oficial'!D195</f>
        <v/>
      </c>
      <c r="F195" s="4">
        <f>IF(ISNUMBER(XLOOKUP(A195, 'Base Exámenes'!$C$5:$C$154, 'Base Exámenes'!$E$5:$E$154)), "Completado", "Pendiente")</f>
        <v/>
      </c>
      <c r="G195" s="6">
        <f>IFERROR(XLOOKUP(A195, 'Base Exámenes'!$C$5:$C$154, 'Base Exámenes'!$D$5:$D$154), "")</f>
        <v/>
      </c>
      <c r="H195" s="6">
        <f>IFERROR(XLOOKUP(A195, 'Base Exámenes'!$C$5:$C$154, 'Base Exámenes'!$E$5:$E$154), "")</f>
        <v/>
      </c>
      <c r="I195" s="7">
        <f>IFERROR(XLOOKUP(A195, 'Base Exámenes'!$C$5:$C$154, 'Base Exámenes'!$F$5:$F$154), "")</f>
        <v/>
      </c>
      <c r="J195" s="6">
        <f>IFERROR(XLOOKUP(A195, 'Base Exámenes'!$C$5:$C$154, 'Base Exámenes'!$G$5:$G$154), "")</f>
        <v/>
      </c>
      <c r="K195" s="6">
        <f>IFERROR(XLOOKUP(A195, 'Base Exámenes'!$C$5:$C$154, 'Base Exámenes'!$H$5:$H$154), "anonymous")</f>
        <v/>
      </c>
    </row>
    <row r="196">
      <c r="A196" s="4">
        <f>'Base Oficial'!A196</f>
        <v/>
      </c>
      <c r="B196" s="6">
        <f>'Base Oficial'!B196</f>
        <v/>
      </c>
      <c r="C196" s="6">
        <f>'Base Oficial'!F196</f>
        <v/>
      </c>
      <c r="D196" s="6">
        <f>'Base Oficial'!G196</f>
        <v/>
      </c>
      <c r="E196" s="6">
        <f>'Base Oficial'!D196</f>
        <v/>
      </c>
      <c r="F196" s="4">
        <f>IF(ISNUMBER(XLOOKUP(A196, 'Base Exámenes'!$C$5:$C$154, 'Base Exámenes'!$E$5:$E$154)), "Completado", "Pendiente")</f>
        <v/>
      </c>
      <c r="G196" s="6">
        <f>IFERROR(XLOOKUP(A196, 'Base Exámenes'!$C$5:$C$154, 'Base Exámenes'!$D$5:$D$154), "")</f>
        <v/>
      </c>
      <c r="H196" s="6">
        <f>IFERROR(XLOOKUP(A196, 'Base Exámenes'!$C$5:$C$154, 'Base Exámenes'!$E$5:$E$154), "")</f>
        <v/>
      </c>
      <c r="I196" s="7">
        <f>IFERROR(XLOOKUP(A196, 'Base Exámenes'!$C$5:$C$154, 'Base Exámenes'!$F$5:$F$154), "")</f>
        <v/>
      </c>
      <c r="J196" s="6">
        <f>IFERROR(XLOOKUP(A196, 'Base Exámenes'!$C$5:$C$154, 'Base Exámenes'!$G$5:$G$154), "")</f>
        <v/>
      </c>
      <c r="K196" s="6">
        <f>IFERROR(XLOOKUP(A196, 'Base Exámenes'!$C$5:$C$154, 'Base Exámenes'!$H$5:$H$154), "anonymous")</f>
        <v/>
      </c>
    </row>
    <row r="197">
      <c r="A197" s="4">
        <f>'Base Oficial'!A197</f>
        <v/>
      </c>
      <c r="B197" s="6">
        <f>'Base Oficial'!B197</f>
        <v/>
      </c>
      <c r="C197" s="6">
        <f>'Base Oficial'!F197</f>
        <v/>
      </c>
      <c r="D197" s="6">
        <f>'Base Oficial'!G197</f>
        <v/>
      </c>
      <c r="E197" s="6">
        <f>'Base Oficial'!D197</f>
        <v/>
      </c>
      <c r="F197" s="4">
        <f>IF(ISNUMBER(XLOOKUP(A197, 'Base Exámenes'!$C$5:$C$154, 'Base Exámenes'!$E$5:$E$154)), "Completado", "Pendiente")</f>
        <v/>
      </c>
      <c r="G197" s="6">
        <f>IFERROR(XLOOKUP(A197, 'Base Exámenes'!$C$5:$C$154, 'Base Exámenes'!$D$5:$D$154), "")</f>
        <v/>
      </c>
      <c r="H197" s="6">
        <f>IFERROR(XLOOKUP(A197, 'Base Exámenes'!$C$5:$C$154, 'Base Exámenes'!$E$5:$E$154), "")</f>
        <v/>
      </c>
      <c r="I197" s="7">
        <f>IFERROR(XLOOKUP(A197, 'Base Exámenes'!$C$5:$C$154, 'Base Exámenes'!$F$5:$F$154), "")</f>
        <v/>
      </c>
      <c r="J197" s="6">
        <f>IFERROR(XLOOKUP(A197, 'Base Exámenes'!$C$5:$C$154, 'Base Exámenes'!$G$5:$G$154), "")</f>
        <v/>
      </c>
      <c r="K197" s="6">
        <f>IFERROR(XLOOKUP(A197, 'Base Exámenes'!$C$5:$C$154, 'Base Exámenes'!$H$5:$H$154), "anonymous")</f>
        <v/>
      </c>
    </row>
    <row r="198">
      <c r="A198" s="4">
        <f>'Base Oficial'!A198</f>
        <v/>
      </c>
      <c r="B198" s="6">
        <f>'Base Oficial'!B198</f>
        <v/>
      </c>
      <c r="C198" s="6">
        <f>'Base Oficial'!F198</f>
        <v/>
      </c>
      <c r="D198" s="6">
        <f>'Base Oficial'!G198</f>
        <v/>
      </c>
      <c r="E198" s="6">
        <f>'Base Oficial'!D198</f>
        <v/>
      </c>
      <c r="F198" s="4">
        <f>IF(ISNUMBER(XLOOKUP(A198, 'Base Exámenes'!$C$5:$C$154, 'Base Exámenes'!$E$5:$E$154)), "Completado", "Pendiente")</f>
        <v/>
      </c>
      <c r="G198" s="6">
        <f>IFERROR(XLOOKUP(A198, 'Base Exámenes'!$C$5:$C$154, 'Base Exámenes'!$D$5:$D$154), "")</f>
        <v/>
      </c>
      <c r="H198" s="6">
        <f>IFERROR(XLOOKUP(A198, 'Base Exámenes'!$C$5:$C$154, 'Base Exámenes'!$E$5:$E$154), "")</f>
        <v/>
      </c>
      <c r="I198" s="7">
        <f>IFERROR(XLOOKUP(A198, 'Base Exámenes'!$C$5:$C$154, 'Base Exámenes'!$F$5:$F$154), "")</f>
        <v/>
      </c>
      <c r="J198" s="6">
        <f>IFERROR(XLOOKUP(A198, 'Base Exámenes'!$C$5:$C$154, 'Base Exámenes'!$G$5:$G$154), "")</f>
        <v/>
      </c>
      <c r="K198" s="6">
        <f>IFERROR(XLOOKUP(A198, 'Base Exámenes'!$C$5:$C$154, 'Base Exámenes'!$H$5:$H$154), "anonymous")</f>
        <v/>
      </c>
    </row>
    <row r="199">
      <c r="A199" s="4">
        <f>'Base Oficial'!A199</f>
        <v/>
      </c>
      <c r="B199" s="6">
        <f>'Base Oficial'!B199</f>
        <v/>
      </c>
      <c r="C199" s="6">
        <f>'Base Oficial'!F199</f>
        <v/>
      </c>
      <c r="D199" s="6">
        <f>'Base Oficial'!G199</f>
        <v/>
      </c>
      <c r="E199" s="6">
        <f>'Base Oficial'!D199</f>
        <v/>
      </c>
      <c r="F199" s="4">
        <f>IF(ISNUMBER(XLOOKUP(A199, 'Base Exámenes'!$C$5:$C$154, 'Base Exámenes'!$E$5:$E$154)), "Completado", "Pendiente")</f>
        <v/>
      </c>
      <c r="G199" s="6">
        <f>IFERROR(XLOOKUP(A199, 'Base Exámenes'!$C$5:$C$154, 'Base Exámenes'!$D$5:$D$154), "")</f>
        <v/>
      </c>
      <c r="H199" s="6">
        <f>IFERROR(XLOOKUP(A199, 'Base Exámenes'!$C$5:$C$154, 'Base Exámenes'!$E$5:$E$154), "")</f>
        <v/>
      </c>
      <c r="I199" s="7">
        <f>IFERROR(XLOOKUP(A199, 'Base Exámenes'!$C$5:$C$154, 'Base Exámenes'!$F$5:$F$154), "")</f>
        <v/>
      </c>
      <c r="J199" s="6">
        <f>IFERROR(XLOOKUP(A199, 'Base Exámenes'!$C$5:$C$154, 'Base Exámenes'!$G$5:$G$154), "")</f>
        <v/>
      </c>
      <c r="K199" s="6">
        <f>IFERROR(XLOOKUP(A199, 'Base Exámenes'!$C$5:$C$154, 'Base Exámenes'!$H$5:$H$154), "anonymous")</f>
        <v/>
      </c>
    </row>
    <row r="200">
      <c r="A200" s="4">
        <f>'Base Oficial'!A200</f>
        <v/>
      </c>
      <c r="B200" s="6">
        <f>'Base Oficial'!B200</f>
        <v/>
      </c>
      <c r="C200" s="6">
        <f>'Base Oficial'!F200</f>
        <v/>
      </c>
      <c r="D200" s="6">
        <f>'Base Oficial'!G200</f>
        <v/>
      </c>
      <c r="E200" s="6">
        <f>'Base Oficial'!D200</f>
        <v/>
      </c>
      <c r="F200" s="4">
        <f>IF(ISNUMBER(XLOOKUP(A200, 'Base Exámenes'!$C$5:$C$154, 'Base Exámenes'!$E$5:$E$154)), "Completado", "Pendiente")</f>
        <v/>
      </c>
      <c r="G200" s="6">
        <f>IFERROR(XLOOKUP(A200, 'Base Exámenes'!$C$5:$C$154, 'Base Exámenes'!$D$5:$D$154), "")</f>
        <v/>
      </c>
      <c r="H200" s="6">
        <f>IFERROR(XLOOKUP(A200, 'Base Exámenes'!$C$5:$C$154, 'Base Exámenes'!$E$5:$E$154), "")</f>
        <v/>
      </c>
      <c r="I200" s="7">
        <f>IFERROR(XLOOKUP(A200, 'Base Exámenes'!$C$5:$C$154, 'Base Exámenes'!$F$5:$F$154), "")</f>
        <v/>
      </c>
      <c r="J200" s="6">
        <f>IFERROR(XLOOKUP(A200, 'Base Exámenes'!$C$5:$C$154, 'Base Exámenes'!$G$5:$G$154), "")</f>
        <v/>
      </c>
      <c r="K200" s="6">
        <f>IFERROR(XLOOKUP(A200, 'Base Exámenes'!$C$5:$C$154, 'Base Exámenes'!$H$5:$H$154), "anonymous")</f>
        <v/>
      </c>
    </row>
    <row r="201">
      <c r="A201" s="4">
        <f>'Base Oficial'!A201</f>
        <v/>
      </c>
      <c r="B201" s="6">
        <f>'Base Oficial'!B201</f>
        <v/>
      </c>
      <c r="C201" s="6">
        <f>'Base Oficial'!F201</f>
        <v/>
      </c>
      <c r="D201" s="6">
        <f>'Base Oficial'!G201</f>
        <v/>
      </c>
      <c r="E201" s="6">
        <f>'Base Oficial'!D201</f>
        <v/>
      </c>
      <c r="F201" s="4">
        <f>IF(ISNUMBER(XLOOKUP(A201, 'Base Exámenes'!$C$5:$C$154, 'Base Exámenes'!$E$5:$E$154)), "Completado", "Pendiente")</f>
        <v/>
      </c>
      <c r="G201" s="6">
        <f>IFERROR(XLOOKUP(A201, 'Base Exámenes'!$C$5:$C$154, 'Base Exámenes'!$D$5:$D$154), "")</f>
        <v/>
      </c>
      <c r="H201" s="6">
        <f>IFERROR(XLOOKUP(A201, 'Base Exámenes'!$C$5:$C$154, 'Base Exámenes'!$E$5:$E$154), "")</f>
        <v/>
      </c>
      <c r="I201" s="7">
        <f>IFERROR(XLOOKUP(A201, 'Base Exámenes'!$C$5:$C$154, 'Base Exámenes'!$F$5:$F$154), "")</f>
        <v/>
      </c>
      <c r="J201" s="6">
        <f>IFERROR(XLOOKUP(A201, 'Base Exámenes'!$C$5:$C$154, 'Base Exámenes'!$G$5:$G$154), "")</f>
        <v/>
      </c>
      <c r="K201" s="6">
        <f>IFERROR(XLOOKUP(A201, 'Base Exámenes'!$C$5:$C$154, 'Base Exámenes'!$H$5:$H$154), "anonymous")</f>
        <v/>
      </c>
    </row>
    <row r="202">
      <c r="A202" s="4">
        <f>'Base Oficial'!A202</f>
        <v/>
      </c>
      <c r="B202" s="6">
        <f>'Base Oficial'!B202</f>
        <v/>
      </c>
      <c r="C202" s="6">
        <f>'Base Oficial'!F202</f>
        <v/>
      </c>
      <c r="D202" s="6">
        <f>'Base Oficial'!G202</f>
        <v/>
      </c>
      <c r="E202" s="6">
        <f>'Base Oficial'!D202</f>
        <v/>
      </c>
      <c r="F202" s="4">
        <f>IF(ISNUMBER(XLOOKUP(A202, 'Base Exámenes'!$C$5:$C$154, 'Base Exámenes'!$E$5:$E$154)), "Completado", "Pendiente")</f>
        <v/>
      </c>
      <c r="G202" s="6">
        <f>IFERROR(XLOOKUP(A202, 'Base Exámenes'!$C$5:$C$154, 'Base Exámenes'!$D$5:$D$154), "")</f>
        <v/>
      </c>
      <c r="H202" s="6">
        <f>IFERROR(XLOOKUP(A202, 'Base Exámenes'!$C$5:$C$154, 'Base Exámenes'!$E$5:$E$154), "")</f>
        <v/>
      </c>
      <c r="I202" s="7">
        <f>IFERROR(XLOOKUP(A202, 'Base Exámenes'!$C$5:$C$154, 'Base Exámenes'!$F$5:$F$154), "")</f>
        <v/>
      </c>
      <c r="J202" s="6">
        <f>IFERROR(XLOOKUP(A202, 'Base Exámenes'!$C$5:$C$154, 'Base Exámenes'!$G$5:$G$154), "")</f>
        <v/>
      </c>
      <c r="K202" s="6">
        <f>IFERROR(XLOOKUP(A202, 'Base Exámenes'!$C$5:$C$154, 'Base Exámenes'!$H$5:$H$154), "anonymous")</f>
        <v/>
      </c>
    </row>
    <row r="203">
      <c r="A203" s="4">
        <f>'Base Oficial'!A203</f>
        <v/>
      </c>
      <c r="B203" s="6">
        <f>'Base Oficial'!B203</f>
        <v/>
      </c>
      <c r="C203" s="6">
        <f>'Base Oficial'!F203</f>
        <v/>
      </c>
      <c r="D203" s="6">
        <f>'Base Oficial'!G203</f>
        <v/>
      </c>
      <c r="E203" s="6">
        <f>'Base Oficial'!D203</f>
        <v/>
      </c>
      <c r="F203" s="4">
        <f>IF(ISNUMBER(XLOOKUP(A203, 'Base Exámenes'!$C$5:$C$154, 'Base Exámenes'!$E$5:$E$154)), "Completado", "Pendiente")</f>
        <v/>
      </c>
      <c r="G203" s="6">
        <f>IFERROR(XLOOKUP(A203, 'Base Exámenes'!$C$5:$C$154, 'Base Exámenes'!$D$5:$D$154), "")</f>
        <v/>
      </c>
      <c r="H203" s="6">
        <f>IFERROR(XLOOKUP(A203, 'Base Exámenes'!$C$5:$C$154, 'Base Exámenes'!$E$5:$E$154), "")</f>
        <v/>
      </c>
      <c r="I203" s="7">
        <f>IFERROR(XLOOKUP(A203, 'Base Exámenes'!$C$5:$C$154, 'Base Exámenes'!$F$5:$F$154), "")</f>
        <v/>
      </c>
      <c r="J203" s="6">
        <f>IFERROR(XLOOKUP(A203, 'Base Exámenes'!$C$5:$C$154, 'Base Exámenes'!$G$5:$G$154), "")</f>
        <v/>
      </c>
      <c r="K203" s="6">
        <f>IFERROR(XLOOKUP(A203, 'Base Exámenes'!$C$5:$C$154, 'Base Exámenes'!$H$5:$H$154), "anonymous")</f>
        <v/>
      </c>
    </row>
    <row r="204">
      <c r="A204" s="4">
        <f>'Base Oficial'!A204</f>
        <v/>
      </c>
      <c r="B204" s="6">
        <f>'Base Oficial'!B204</f>
        <v/>
      </c>
      <c r="C204" s="6">
        <f>'Base Oficial'!F204</f>
        <v/>
      </c>
      <c r="D204" s="6">
        <f>'Base Oficial'!G204</f>
        <v/>
      </c>
      <c r="E204" s="6">
        <f>'Base Oficial'!D204</f>
        <v/>
      </c>
      <c r="F204" s="4">
        <f>IF(ISNUMBER(XLOOKUP(A204, 'Base Exámenes'!$C$5:$C$154, 'Base Exámenes'!$E$5:$E$154)), "Completado", "Pendiente")</f>
        <v/>
      </c>
      <c r="G204" s="6">
        <f>IFERROR(XLOOKUP(A204, 'Base Exámenes'!$C$5:$C$154, 'Base Exámenes'!$D$5:$D$154), "")</f>
        <v/>
      </c>
      <c r="H204" s="6">
        <f>IFERROR(XLOOKUP(A204, 'Base Exámenes'!$C$5:$C$154, 'Base Exámenes'!$E$5:$E$154), "")</f>
        <v/>
      </c>
      <c r="I204" s="7">
        <f>IFERROR(XLOOKUP(A204, 'Base Exámenes'!$C$5:$C$154, 'Base Exámenes'!$F$5:$F$154), "")</f>
        <v/>
      </c>
      <c r="J204" s="6">
        <f>IFERROR(XLOOKUP(A204, 'Base Exámenes'!$C$5:$C$154, 'Base Exámenes'!$G$5:$G$154), "")</f>
        <v/>
      </c>
      <c r="K204" s="6">
        <f>IFERROR(XLOOKUP(A204, 'Base Exámenes'!$C$5:$C$154, 'Base Exámenes'!$H$5:$H$154), "anonymous")</f>
        <v/>
      </c>
    </row>
    <row r="205">
      <c r="A205" s="4">
        <f>'Base Oficial'!A205</f>
        <v/>
      </c>
      <c r="B205" s="6">
        <f>'Base Oficial'!B205</f>
        <v/>
      </c>
      <c r="C205" s="6">
        <f>'Base Oficial'!F205</f>
        <v/>
      </c>
      <c r="D205" s="6">
        <f>'Base Oficial'!G205</f>
        <v/>
      </c>
      <c r="E205" s="6">
        <f>'Base Oficial'!D205</f>
        <v/>
      </c>
      <c r="F205" s="4">
        <f>IF(ISNUMBER(XLOOKUP(A205, 'Base Exámenes'!$C$5:$C$154, 'Base Exámenes'!$E$5:$E$154)), "Completado", "Pendiente")</f>
        <v/>
      </c>
      <c r="G205" s="6">
        <f>IFERROR(XLOOKUP(A205, 'Base Exámenes'!$C$5:$C$154, 'Base Exámenes'!$D$5:$D$154), "")</f>
        <v/>
      </c>
      <c r="H205" s="6">
        <f>IFERROR(XLOOKUP(A205, 'Base Exámenes'!$C$5:$C$154, 'Base Exámenes'!$E$5:$E$154), "")</f>
        <v/>
      </c>
      <c r="I205" s="7">
        <f>IFERROR(XLOOKUP(A205, 'Base Exámenes'!$C$5:$C$154, 'Base Exámenes'!$F$5:$F$154), "")</f>
        <v/>
      </c>
      <c r="J205" s="6">
        <f>IFERROR(XLOOKUP(A205, 'Base Exámenes'!$C$5:$C$154, 'Base Exámenes'!$G$5:$G$154), "")</f>
        <v/>
      </c>
      <c r="K205" s="6">
        <f>IFERROR(XLOOKUP(A205, 'Base Exámenes'!$C$5:$C$154, 'Base Exámenes'!$H$5:$H$154), "anonymous")</f>
        <v/>
      </c>
    </row>
    <row r="206">
      <c r="A206" s="4">
        <f>'Base Oficial'!A206</f>
        <v/>
      </c>
      <c r="B206" s="6">
        <f>'Base Oficial'!B206</f>
        <v/>
      </c>
      <c r="C206" s="6">
        <f>'Base Oficial'!F206</f>
        <v/>
      </c>
      <c r="D206" s="6">
        <f>'Base Oficial'!G206</f>
        <v/>
      </c>
      <c r="E206" s="6">
        <f>'Base Oficial'!D206</f>
        <v/>
      </c>
      <c r="F206" s="4">
        <f>IF(ISNUMBER(XLOOKUP(A206, 'Base Exámenes'!$C$5:$C$154, 'Base Exámenes'!$E$5:$E$154)), "Completado", "Pendiente")</f>
        <v/>
      </c>
      <c r="G206" s="6">
        <f>IFERROR(XLOOKUP(A206, 'Base Exámenes'!$C$5:$C$154, 'Base Exámenes'!$D$5:$D$154), "")</f>
        <v/>
      </c>
      <c r="H206" s="6">
        <f>IFERROR(XLOOKUP(A206, 'Base Exámenes'!$C$5:$C$154, 'Base Exámenes'!$E$5:$E$154), "")</f>
        <v/>
      </c>
      <c r="I206" s="7">
        <f>IFERROR(XLOOKUP(A206, 'Base Exámenes'!$C$5:$C$154, 'Base Exámenes'!$F$5:$F$154), "")</f>
        <v/>
      </c>
      <c r="J206" s="6">
        <f>IFERROR(XLOOKUP(A206, 'Base Exámenes'!$C$5:$C$154, 'Base Exámenes'!$G$5:$G$154), "")</f>
        <v/>
      </c>
      <c r="K206" s="6">
        <f>IFERROR(XLOOKUP(A206, 'Base Exámenes'!$C$5:$C$154, 'Base Exámenes'!$H$5:$H$154), "anonymous")</f>
        <v/>
      </c>
    </row>
    <row r="207">
      <c r="A207" s="4">
        <f>'Base Oficial'!A207</f>
        <v/>
      </c>
      <c r="B207" s="6">
        <f>'Base Oficial'!B207</f>
        <v/>
      </c>
      <c r="C207" s="6">
        <f>'Base Oficial'!F207</f>
        <v/>
      </c>
      <c r="D207" s="6">
        <f>'Base Oficial'!G207</f>
        <v/>
      </c>
      <c r="E207" s="6">
        <f>'Base Oficial'!D207</f>
        <v/>
      </c>
      <c r="F207" s="4">
        <f>IF(ISNUMBER(XLOOKUP(A207, 'Base Exámenes'!$C$5:$C$154, 'Base Exámenes'!$E$5:$E$154)), "Completado", "Pendiente")</f>
        <v/>
      </c>
      <c r="G207" s="6">
        <f>IFERROR(XLOOKUP(A207, 'Base Exámenes'!$C$5:$C$154, 'Base Exámenes'!$D$5:$D$154), "")</f>
        <v/>
      </c>
      <c r="H207" s="6">
        <f>IFERROR(XLOOKUP(A207, 'Base Exámenes'!$C$5:$C$154, 'Base Exámenes'!$E$5:$E$154), "")</f>
        <v/>
      </c>
      <c r="I207" s="7">
        <f>IFERROR(XLOOKUP(A207, 'Base Exámenes'!$C$5:$C$154, 'Base Exámenes'!$F$5:$F$154), "")</f>
        <v/>
      </c>
      <c r="J207" s="6">
        <f>IFERROR(XLOOKUP(A207, 'Base Exámenes'!$C$5:$C$154, 'Base Exámenes'!$G$5:$G$154), "")</f>
        <v/>
      </c>
      <c r="K207" s="6">
        <f>IFERROR(XLOOKUP(A207, 'Base Exámenes'!$C$5:$C$154, 'Base Exámenes'!$H$5:$H$154), "anonymous")</f>
        <v/>
      </c>
    </row>
    <row r="208">
      <c r="A208" s="4">
        <f>'Base Oficial'!A208</f>
        <v/>
      </c>
      <c r="B208" s="6">
        <f>'Base Oficial'!B208</f>
        <v/>
      </c>
      <c r="C208" s="6">
        <f>'Base Oficial'!F208</f>
        <v/>
      </c>
      <c r="D208" s="6">
        <f>'Base Oficial'!G208</f>
        <v/>
      </c>
      <c r="E208" s="6">
        <f>'Base Oficial'!D208</f>
        <v/>
      </c>
      <c r="F208" s="4">
        <f>IF(ISNUMBER(XLOOKUP(A208, 'Base Exámenes'!$C$5:$C$154, 'Base Exámenes'!$E$5:$E$154)), "Completado", "Pendiente")</f>
        <v/>
      </c>
      <c r="G208" s="6">
        <f>IFERROR(XLOOKUP(A208, 'Base Exámenes'!$C$5:$C$154, 'Base Exámenes'!$D$5:$D$154), "")</f>
        <v/>
      </c>
      <c r="H208" s="6">
        <f>IFERROR(XLOOKUP(A208, 'Base Exámenes'!$C$5:$C$154, 'Base Exámenes'!$E$5:$E$154), "")</f>
        <v/>
      </c>
      <c r="I208" s="7">
        <f>IFERROR(XLOOKUP(A208, 'Base Exámenes'!$C$5:$C$154, 'Base Exámenes'!$F$5:$F$154), "")</f>
        <v/>
      </c>
      <c r="J208" s="6">
        <f>IFERROR(XLOOKUP(A208, 'Base Exámenes'!$C$5:$C$154, 'Base Exámenes'!$G$5:$G$154), "")</f>
        <v/>
      </c>
      <c r="K208" s="6">
        <f>IFERROR(XLOOKUP(A208, 'Base Exámenes'!$C$5:$C$154, 'Base Exámenes'!$H$5:$H$154), "anonymous")</f>
        <v/>
      </c>
    </row>
    <row r="209">
      <c r="A209" s="4">
        <f>'Base Oficial'!A209</f>
        <v/>
      </c>
      <c r="B209" s="6">
        <f>'Base Oficial'!B209</f>
        <v/>
      </c>
      <c r="C209" s="6">
        <f>'Base Oficial'!F209</f>
        <v/>
      </c>
      <c r="D209" s="6">
        <f>'Base Oficial'!G209</f>
        <v/>
      </c>
      <c r="E209" s="6">
        <f>'Base Oficial'!D209</f>
        <v/>
      </c>
      <c r="F209" s="4">
        <f>IF(ISNUMBER(XLOOKUP(A209, 'Base Exámenes'!$C$5:$C$154, 'Base Exámenes'!$E$5:$E$154)), "Completado", "Pendiente")</f>
        <v/>
      </c>
      <c r="G209" s="6">
        <f>IFERROR(XLOOKUP(A209, 'Base Exámenes'!$C$5:$C$154, 'Base Exámenes'!$D$5:$D$154), "")</f>
        <v/>
      </c>
      <c r="H209" s="6">
        <f>IFERROR(XLOOKUP(A209, 'Base Exámenes'!$C$5:$C$154, 'Base Exámenes'!$E$5:$E$154), "")</f>
        <v/>
      </c>
      <c r="I209" s="7">
        <f>IFERROR(XLOOKUP(A209, 'Base Exámenes'!$C$5:$C$154, 'Base Exámenes'!$F$5:$F$154), "")</f>
        <v/>
      </c>
      <c r="J209" s="6">
        <f>IFERROR(XLOOKUP(A209, 'Base Exámenes'!$C$5:$C$154, 'Base Exámenes'!$G$5:$G$154), "")</f>
        <v/>
      </c>
      <c r="K209" s="6">
        <f>IFERROR(XLOOKUP(A209, 'Base Exámenes'!$C$5:$C$154, 'Base Exámenes'!$H$5:$H$154), "anonymous")</f>
        <v/>
      </c>
    </row>
    <row r="210">
      <c r="A210" s="4">
        <f>'Base Oficial'!A210</f>
        <v/>
      </c>
      <c r="B210" s="6">
        <f>'Base Oficial'!B210</f>
        <v/>
      </c>
      <c r="C210" s="6">
        <f>'Base Oficial'!F210</f>
        <v/>
      </c>
      <c r="D210" s="6">
        <f>'Base Oficial'!G210</f>
        <v/>
      </c>
      <c r="E210" s="6">
        <f>'Base Oficial'!D210</f>
        <v/>
      </c>
      <c r="F210" s="4">
        <f>IF(ISNUMBER(XLOOKUP(A210, 'Base Exámenes'!$C$5:$C$154, 'Base Exámenes'!$E$5:$E$154)), "Completado", "Pendiente")</f>
        <v/>
      </c>
      <c r="G210" s="6">
        <f>IFERROR(XLOOKUP(A210, 'Base Exámenes'!$C$5:$C$154, 'Base Exámenes'!$D$5:$D$154), "")</f>
        <v/>
      </c>
      <c r="H210" s="6">
        <f>IFERROR(XLOOKUP(A210, 'Base Exámenes'!$C$5:$C$154, 'Base Exámenes'!$E$5:$E$154), "")</f>
        <v/>
      </c>
      <c r="I210" s="7">
        <f>IFERROR(XLOOKUP(A210, 'Base Exámenes'!$C$5:$C$154, 'Base Exámenes'!$F$5:$F$154), "")</f>
        <v/>
      </c>
      <c r="J210" s="6">
        <f>IFERROR(XLOOKUP(A210, 'Base Exámenes'!$C$5:$C$154, 'Base Exámenes'!$G$5:$G$154), "")</f>
        <v/>
      </c>
      <c r="K210" s="6">
        <f>IFERROR(XLOOKUP(A210, 'Base Exámenes'!$C$5:$C$154, 'Base Exámenes'!$H$5:$H$154), "anonymous")</f>
        <v/>
      </c>
    </row>
    <row r="211">
      <c r="A211" s="4">
        <f>'Base Oficial'!A211</f>
        <v/>
      </c>
      <c r="B211" s="6">
        <f>'Base Oficial'!B211</f>
        <v/>
      </c>
      <c r="C211" s="6">
        <f>'Base Oficial'!F211</f>
        <v/>
      </c>
      <c r="D211" s="6">
        <f>'Base Oficial'!G211</f>
        <v/>
      </c>
      <c r="E211" s="6">
        <f>'Base Oficial'!D211</f>
        <v/>
      </c>
      <c r="F211" s="4">
        <f>IF(ISNUMBER(XLOOKUP(A211, 'Base Exámenes'!$C$5:$C$154, 'Base Exámenes'!$E$5:$E$154)), "Completado", "Pendiente")</f>
        <v/>
      </c>
      <c r="G211" s="6">
        <f>IFERROR(XLOOKUP(A211, 'Base Exámenes'!$C$5:$C$154, 'Base Exámenes'!$D$5:$D$154), "")</f>
        <v/>
      </c>
      <c r="H211" s="6">
        <f>IFERROR(XLOOKUP(A211, 'Base Exámenes'!$C$5:$C$154, 'Base Exámenes'!$E$5:$E$154), "")</f>
        <v/>
      </c>
      <c r="I211" s="7">
        <f>IFERROR(XLOOKUP(A211, 'Base Exámenes'!$C$5:$C$154, 'Base Exámenes'!$F$5:$F$154), "")</f>
        <v/>
      </c>
      <c r="J211" s="6">
        <f>IFERROR(XLOOKUP(A211, 'Base Exámenes'!$C$5:$C$154, 'Base Exámenes'!$G$5:$G$154), "")</f>
        <v/>
      </c>
      <c r="K211" s="6">
        <f>IFERROR(XLOOKUP(A211, 'Base Exámenes'!$C$5:$C$154, 'Base Exámenes'!$H$5:$H$154), "anonymous")</f>
        <v/>
      </c>
    </row>
    <row r="212">
      <c r="A212" s="4">
        <f>'Base Oficial'!A212</f>
        <v/>
      </c>
      <c r="B212" s="6">
        <f>'Base Oficial'!B212</f>
        <v/>
      </c>
      <c r="C212" s="6">
        <f>'Base Oficial'!F212</f>
        <v/>
      </c>
      <c r="D212" s="6">
        <f>'Base Oficial'!G212</f>
        <v/>
      </c>
      <c r="E212" s="6">
        <f>'Base Oficial'!D212</f>
        <v/>
      </c>
      <c r="F212" s="4">
        <f>IF(ISNUMBER(XLOOKUP(A212, 'Base Exámenes'!$C$5:$C$154, 'Base Exámenes'!$E$5:$E$154)), "Completado", "Pendiente")</f>
        <v/>
      </c>
      <c r="G212" s="6">
        <f>IFERROR(XLOOKUP(A212, 'Base Exámenes'!$C$5:$C$154, 'Base Exámenes'!$D$5:$D$154), "")</f>
        <v/>
      </c>
      <c r="H212" s="6">
        <f>IFERROR(XLOOKUP(A212, 'Base Exámenes'!$C$5:$C$154, 'Base Exámenes'!$E$5:$E$154), "")</f>
        <v/>
      </c>
      <c r="I212" s="7">
        <f>IFERROR(XLOOKUP(A212, 'Base Exámenes'!$C$5:$C$154, 'Base Exámenes'!$F$5:$F$154), "")</f>
        <v/>
      </c>
      <c r="J212" s="6">
        <f>IFERROR(XLOOKUP(A212, 'Base Exámenes'!$C$5:$C$154, 'Base Exámenes'!$G$5:$G$154), "")</f>
        <v/>
      </c>
      <c r="K212" s="6">
        <f>IFERROR(XLOOKUP(A212, 'Base Exámenes'!$C$5:$C$154, 'Base Exámenes'!$H$5:$H$154), "anonymous")</f>
        <v/>
      </c>
    </row>
    <row r="213">
      <c r="A213" s="4">
        <f>'Base Oficial'!A213</f>
        <v/>
      </c>
      <c r="B213" s="6">
        <f>'Base Oficial'!B213</f>
        <v/>
      </c>
      <c r="C213" s="6">
        <f>'Base Oficial'!F213</f>
        <v/>
      </c>
      <c r="D213" s="6">
        <f>'Base Oficial'!G213</f>
        <v/>
      </c>
      <c r="E213" s="6">
        <f>'Base Oficial'!D213</f>
        <v/>
      </c>
      <c r="F213" s="4">
        <f>IF(ISNUMBER(XLOOKUP(A213, 'Base Exámenes'!$C$5:$C$154, 'Base Exámenes'!$E$5:$E$154)), "Completado", "Pendiente")</f>
        <v/>
      </c>
      <c r="G213" s="6">
        <f>IFERROR(XLOOKUP(A213, 'Base Exámenes'!$C$5:$C$154, 'Base Exámenes'!$D$5:$D$154), "")</f>
        <v/>
      </c>
      <c r="H213" s="6">
        <f>IFERROR(XLOOKUP(A213, 'Base Exámenes'!$C$5:$C$154, 'Base Exámenes'!$E$5:$E$154), "")</f>
        <v/>
      </c>
      <c r="I213" s="7">
        <f>IFERROR(XLOOKUP(A213, 'Base Exámenes'!$C$5:$C$154, 'Base Exámenes'!$F$5:$F$154), "")</f>
        <v/>
      </c>
      <c r="J213" s="6">
        <f>IFERROR(XLOOKUP(A213, 'Base Exámenes'!$C$5:$C$154, 'Base Exámenes'!$G$5:$G$154), "")</f>
        <v/>
      </c>
      <c r="K213" s="6">
        <f>IFERROR(XLOOKUP(A213, 'Base Exámenes'!$C$5:$C$154, 'Base Exámenes'!$H$5:$H$154), "anonymous")</f>
        <v/>
      </c>
    </row>
    <row r="214">
      <c r="A214" s="4">
        <f>'Base Oficial'!A214</f>
        <v/>
      </c>
      <c r="B214" s="6">
        <f>'Base Oficial'!B214</f>
        <v/>
      </c>
      <c r="C214" s="6">
        <f>'Base Oficial'!F214</f>
        <v/>
      </c>
      <c r="D214" s="6">
        <f>'Base Oficial'!G214</f>
        <v/>
      </c>
      <c r="E214" s="6">
        <f>'Base Oficial'!D214</f>
        <v/>
      </c>
      <c r="F214" s="4">
        <f>IF(ISNUMBER(XLOOKUP(A214, 'Base Exámenes'!$C$5:$C$154, 'Base Exámenes'!$E$5:$E$154)), "Completado", "Pendiente")</f>
        <v/>
      </c>
      <c r="G214" s="6">
        <f>IFERROR(XLOOKUP(A214, 'Base Exámenes'!$C$5:$C$154, 'Base Exámenes'!$D$5:$D$154), "")</f>
        <v/>
      </c>
      <c r="H214" s="6">
        <f>IFERROR(XLOOKUP(A214, 'Base Exámenes'!$C$5:$C$154, 'Base Exámenes'!$E$5:$E$154), "")</f>
        <v/>
      </c>
      <c r="I214" s="7">
        <f>IFERROR(XLOOKUP(A214, 'Base Exámenes'!$C$5:$C$154, 'Base Exámenes'!$F$5:$F$154), "")</f>
        <v/>
      </c>
      <c r="J214" s="6">
        <f>IFERROR(XLOOKUP(A214, 'Base Exámenes'!$C$5:$C$154, 'Base Exámenes'!$G$5:$G$154), "")</f>
        <v/>
      </c>
      <c r="K214" s="6">
        <f>IFERROR(XLOOKUP(A214, 'Base Exámenes'!$C$5:$C$154, 'Base Exámenes'!$H$5:$H$154), "anonymous")</f>
        <v/>
      </c>
    </row>
    <row r="215">
      <c r="A215" s="4">
        <f>'Base Oficial'!A215</f>
        <v/>
      </c>
      <c r="B215" s="6">
        <f>'Base Oficial'!B215</f>
        <v/>
      </c>
      <c r="C215" s="6">
        <f>'Base Oficial'!F215</f>
        <v/>
      </c>
      <c r="D215" s="6">
        <f>'Base Oficial'!G215</f>
        <v/>
      </c>
      <c r="E215" s="6">
        <f>'Base Oficial'!D215</f>
        <v/>
      </c>
      <c r="F215" s="4">
        <f>IF(ISNUMBER(XLOOKUP(A215, 'Base Exámenes'!$C$5:$C$154, 'Base Exámenes'!$E$5:$E$154)), "Completado", "Pendiente")</f>
        <v/>
      </c>
      <c r="G215" s="6">
        <f>IFERROR(XLOOKUP(A215, 'Base Exámenes'!$C$5:$C$154, 'Base Exámenes'!$D$5:$D$154), "")</f>
        <v/>
      </c>
      <c r="H215" s="6">
        <f>IFERROR(XLOOKUP(A215, 'Base Exámenes'!$C$5:$C$154, 'Base Exámenes'!$E$5:$E$154), "")</f>
        <v/>
      </c>
      <c r="I215" s="7">
        <f>IFERROR(XLOOKUP(A215, 'Base Exámenes'!$C$5:$C$154, 'Base Exámenes'!$F$5:$F$154), "")</f>
        <v/>
      </c>
      <c r="J215" s="6">
        <f>IFERROR(XLOOKUP(A215, 'Base Exámenes'!$C$5:$C$154, 'Base Exámenes'!$G$5:$G$154), "")</f>
        <v/>
      </c>
      <c r="K215" s="6">
        <f>IFERROR(XLOOKUP(A215, 'Base Exámenes'!$C$5:$C$154, 'Base Exámenes'!$H$5:$H$154), "anonymous")</f>
        <v/>
      </c>
    </row>
    <row r="216">
      <c r="A216" s="4">
        <f>'Base Oficial'!A216</f>
        <v/>
      </c>
      <c r="B216" s="6">
        <f>'Base Oficial'!B216</f>
        <v/>
      </c>
      <c r="C216" s="6">
        <f>'Base Oficial'!F216</f>
        <v/>
      </c>
      <c r="D216" s="6">
        <f>'Base Oficial'!G216</f>
        <v/>
      </c>
      <c r="E216" s="6">
        <f>'Base Oficial'!D216</f>
        <v/>
      </c>
      <c r="F216" s="4">
        <f>IF(ISNUMBER(XLOOKUP(A216, 'Base Exámenes'!$C$5:$C$154, 'Base Exámenes'!$E$5:$E$154)), "Completado", "Pendiente")</f>
        <v/>
      </c>
      <c r="G216" s="6">
        <f>IFERROR(XLOOKUP(A216, 'Base Exámenes'!$C$5:$C$154, 'Base Exámenes'!$D$5:$D$154), "")</f>
        <v/>
      </c>
      <c r="H216" s="6">
        <f>IFERROR(XLOOKUP(A216, 'Base Exámenes'!$C$5:$C$154, 'Base Exámenes'!$E$5:$E$154), "")</f>
        <v/>
      </c>
      <c r="I216" s="7">
        <f>IFERROR(XLOOKUP(A216, 'Base Exámenes'!$C$5:$C$154, 'Base Exámenes'!$F$5:$F$154), "")</f>
        <v/>
      </c>
      <c r="J216" s="6">
        <f>IFERROR(XLOOKUP(A216, 'Base Exámenes'!$C$5:$C$154, 'Base Exámenes'!$G$5:$G$154), "")</f>
        <v/>
      </c>
      <c r="K216" s="6">
        <f>IFERROR(XLOOKUP(A216, 'Base Exámenes'!$C$5:$C$154, 'Base Exámenes'!$H$5:$H$154), "anonymous")</f>
        <v/>
      </c>
    </row>
    <row r="217">
      <c r="A217" s="4">
        <f>'Base Oficial'!A217</f>
        <v/>
      </c>
      <c r="B217" s="6">
        <f>'Base Oficial'!B217</f>
        <v/>
      </c>
      <c r="C217" s="6">
        <f>'Base Oficial'!F217</f>
        <v/>
      </c>
      <c r="D217" s="6">
        <f>'Base Oficial'!G217</f>
        <v/>
      </c>
      <c r="E217" s="6">
        <f>'Base Oficial'!D217</f>
        <v/>
      </c>
      <c r="F217" s="4">
        <f>IF(ISNUMBER(XLOOKUP(A217, 'Base Exámenes'!$C$5:$C$154, 'Base Exámenes'!$E$5:$E$154)), "Completado", "Pendiente")</f>
        <v/>
      </c>
      <c r="G217" s="6">
        <f>IFERROR(XLOOKUP(A217, 'Base Exámenes'!$C$5:$C$154, 'Base Exámenes'!$D$5:$D$154), "")</f>
        <v/>
      </c>
      <c r="H217" s="6">
        <f>IFERROR(XLOOKUP(A217, 'Base Exámenes'!$C$5:$C$154, 'Base Exámenes'!$E$5:$E$154), "")</f>
        <v/>
      </c>
      <c r="I217" s="7">
        <f>IFERROR(XLOOKUP(A217, 'Base Exámenes'!$C$5:$C$154, 'Base Exámenes'!$F$5:$F$154), "")</f>
        <v/>
      </c>
      <c r="J217" s="6">
        <f>IFERROR(XLOOKUP(A217, 'Base Exámenes'!$C$5:$C$154, 'Base Exámenes'!$G$5:$G$154), "")</f>
        <v/>
      </c>
      <c r="K217" s="6">
        <f>IFERROR(XLOOKUP(A217, 'Base Exámenes'!$C$5:$C$154, 'Base Exámenes'!$H$5:$H$154), "anonymous")</f>
        <v/>
      </c>
    </row>
    <row r="218">
      <c r="A218" s="4">
        <f>'Base Oficial'!A218</f>
        <v/>
      </c>
      <c r="B218" s="6">
        <f>'Base Oficial'!B218</f>
        <v/>
      </c>
      <c r="C218" s="6">
        <f>'Base Oficial'!F218</f>
        <v/>
      </c>
      <c r="D218" s="6">
        <f>'Base Oficial'!G218</f>
        <v/>
      </c>
      <c r="E218" s="6">
        <f>'Base Oficial'!D218</f>
        <v/>
      </c>
      <c r="F218" s="4">
        <f>IF(ISNUMBER(XLOOKUP(A218, 'Base Exámenes'!$C$5:$C$154, 'Base Exámenes'!$E$5:$E$154)), "Completado", "Pendiente")</f>
        <v/>
      </c>
      <c r="G218" s="6">
        <f>IFERROR(XLOOKUP(A218, 'Base Exámenes'!$C$5:$C$154, 'Base Exámenes'!$D$5:$D$154), "")</f>
        <v/>
      </c>
      <c r="H218" s="6">
        <f>IFERROR(XLOOKUP(A218, 'Base Exámenes'!$C$5:$C$154, 'Base Exámenes'!$E$5:$E$154), "")</f>
        <v/>
      </c>
      <c r="I218" s="7">
        <f>IFERROR(XLOOKUP(A218, 'Base Exámenes'!$C$5:$C$154, 'Base Exámenes'!$F$5:$F$154), "")</f>
        <v/>
      </c>
      <c r="J218" s="6">
        <f>IFERROR(XLOOKUP(A218, 'Base Exámenes'!$C$5:$C$154, 'Base Exámenes'!$G$5:$G$154), "")</f>
        <v/>
      </c>
      <c r="K218" s="6">
        <f>IFERROR(XLOOKUP(A218, 'Base Exámenes'!$C$5:$C$154, 'Base Exámenes'!$H$5:$H$154), "anonymous")</f>
        <v/>
      </c>
    </row>
    <row r="219">
      <c r="A219" s="4">
        <f>'Base Oficial'!A219</f>
        <v/>
      </c>
      <c r="B219" s="6">
        <f>'Base Oficial'!B219</f>
        <v/>
      </c>
      <c r="C219" s="6">
        <f>'Base Oficial'!F219</f>
        <v/>
      </c>
      <c r="D219" s="6">
        <f>'Base Oficial'!G219</f>
        <v/>
      </c>
      <c r="E219" s="6">
        <f>'Base Oficial'!D219</f>
        <v/>
      </c>
      <c r="F219" s="4">
        <f>IF(ISNUMBER(XLOOKUP(A219, 'Base Exámenes'!$C$5:$C$154, 'Base Exámenes'!$E$5:$E$154)), "Completado", "Pendiente")</f>
        <v/>
      </c>
      <c r="G219" s="6">
        <f>IFERROR(XLOOKUP(A219, 'Base Exámenes'!$C$5:$C$154, 'Base Exámenes'!$D$5:$D$154), "")</f>
        <v/>
      </c>
      <c r="H219" s="6">
        <f>IFERROR(XLOOKUP(A219, 'Base Exámenes'!$C$5:$C$154, 'Base Exámenes'!$E$5:$E$154), "")</f>
        <v/>
      </c>
      <c r="I219" s="7">
        <f>IFERROR(XLOOKUP(A219, 'Base Exámenes'!$C$5:$C$154, 'Base Exámenes'!$F$5:$F$154), "")</f>
        <v/>
      </c>
      <c r="J219" s="6">
        <f>IFERROR(XLOOKUP(A219, 'Base Exámenes'!$C$5:$C$154, 'Base Exámenes'!$G$5:$G$154), "")</f>
        <v/>
      </c>
      <c r="K219" s="6">
        <f>IFERROR(XLOOKUP(A219, 'Base Exámenes'!$C$5:$C$154, 'Base Exámenes'!$H$5:$H$154), "anonymous")</f>
        <v/>
      </c>
    </row>
    <row r="220">
      <c r="A220" s="4">
        <f>'Base Oficial'!A220</f>
        <v/>
      </c>
      <c r="B220" s="6">
        <f>'Base Oficial'!B220</f>
        <v/>
      </c>
      <c r="C220" s="6">
        <f>'Base Oficial'!F220</f>
        <v/>
      </c>
      <c r="D220" s="6">
        <f>'Base Oficial'!G220</f>
        <v/>
      </c>
      <c r="E220" s="6">
        <f>'Base Oficial'!D220</f>
        <v/>
      </c>
      <c r="F220" s="4">
        <f>IF(ISNUMBER(XLOOKUP(A220, 'Base Exámenes'!$C$5:$C$154, 'Base Exámenes'!$E$5:$E$154)), "Completado", "Pendiente")</f>
        <v/>
      </c>
      <c r="G220" s="6">
        <f>IFERROR(XLOOKUP(A220, 'Base Exámenes'!$C$5:$C$154, 'Base Exámenes'!$D$5:$D$154), "")</f>
        <v/>
      </c>
      <c r="H220" s="6">
        <f>IFERROR(XLOOKUP(A220, 'Base Exámenes'!$C$5:$C$154, 'Base Exámenes'!$E$5:$E$154), "")</f>
        <v/>
      </c>
      <c r="I220" s="7">
        <f>IFERROR(XLOOKUP(A220, 'Base Exámenes'!$C$5:$C$154, 'Base Exámenes'!$F$5:$F$154), "")</f>
        <v/>
      </c>
      <c r="J220" s="6">
        <f>IFERROR(XLOOKUP(A220, 'Base Exámenes'!$C$5:$C$154, 'Base Exámenes'!$G$5:$G$154), "")</f>
        <v/>
      </c>
      <c r="K220" s="6">
        <f>IFERROR(XLOOKUP(A220, 'Base Exámenes'!$C$5:$C$154, 'Base Exámenes'!$H$5:$H$154), "anonymous")</f>
        <v/>
      </c>
    </row>
    <row r="221">
      <c r="A221" s="4">
        <f>'Base Oficial'!A221</f>
        <v/>
      </c>
      <c r="B221" s="6">
        <f>'Base Oficial'!B221</f>
        <v/>
      </c>
      <c r="C221" s="6">
        <f>'Base Oficial'!F221</f>
        <v/>
      </c>
      <c r="D221" s="6">
        <f>'Base Oficial'!G221</f>
        <v/>
      </c>
      <c r="E221" s="6">
        <f>'Base Oficial'!D221</f>
        <v/>
      </c>
      <c r="F221" s="4">
        <f>IF(ISNUMBER(XLOOKUP(A221, 'Base Exámenes'!$C$5:$C$154, 'Base Exámenes'!$E$5:$E$154)), "Completado", "Pendiente")</f>
        <v/>
      </c>
      <c r="G221" s="6">
        <f>IFERROR(XLOOKUP(A221, 'Base Exámenes'!$C$5:$C$154, 'Base Exámenes'!$D$5:$D$154), "")</f>
        <v/>
      </c>
      <c r="H221" s="6">
        <f>IFERROR(XLOOKUP(A221, 'Base Exámenes'!$C$5:$C$154, 'Base Exámenes'!$E$5:$E$154), "")</f>
        <v/>
      </c>
      <c r="I221" s="7">
        <f>IFERROR(XLOOKUP(A221, 'Base Exámenes'!$C$5:$C$154, 'Base Exámenes'!$F$5:$F$154), "")</f>
        <v/>
      </c>
      <c r="J221" s="6">
        <f>IFERROR(XLOOKUP(A221, 'Base Exámenes'!$C$5:$C$154, 'Base Exámenes'!$G$5:$G$154), "")</f>
        <v/>
      </c>
      <c r="K221" s="6">
        <f>IFERROR(XLOOKUP(A221, 'Base Exámenes'!$C$5:$C$154, 'Base Exámenes'!$H$5:$H$154), "anonymous")</f>
        <v/>
      </c>
    </row>
    <row r="222">
      <c r="A222" s="4">
        <f>'Base Oficial'!A222</f>
        <v/>
      </c>
      <c r="B222" s="6">
        <f>'Base Oficial'!B222</f>
        <v/>
      </c>
      <c r="C222" s="6">
        <f>'Base Oficial'!F222</f>
        <v/>
      </c>
      <c r="D222" s="6">
        <f>'Base Oficial'!G222</f>
        <v/>
      </c>
      <c r="E222" s="6">
        <f>'Base Oficial'!D222</f>
        <v/>
      </c>
      <c r="F222" s="4">
        <f>IF(ISNUMBER(XLOOKUP(A222, 'Base Exámenes'!$C$5:$C$154, 'Base Exámenes'!$E$5:$E$154)), "Completado", "Pendiente")</f>
        <v/>
      </c>
      <c r="G222" s="6">
        <f>IFERROR(XLOOKUP(A222, 'Base Exámenes'!$C$5:$C$154, 'Base Exámenes'!$D$5:$D$154), "")</f>
        <v/>
      </c>
      <c r="H222" s="6">
        <f>IFERROR(XLOOKUP(A222, 'Base Exámenes'!$C$5:$C$154, 'Base Exámenes'!$E$5:$E$154), "")</f>
        <v/>
      </c>
      <c r="I222" s="7">
        <f>IFERROR(XLOOKUP(A222, 'Base Exámenes'!$C$5:$C$154, 'Base Exámenes'!$F$5:$F$154), "")</f>
        <v/>
      </c>
      <c r="J222" s="6">
        <f>IFERROR(XLOOKUP(A222, 'Base Exámenes'!$C$5:$C$154, 'Base Exámenes'!$G$5:$G$154), "")</f>
        <v/>
      </c>
      <c r="K222" s="6">
        <f>IFERROR(XLOOKUP(A222, 'Base Exámenes'!$C$5:$C$154, 'Base Exámenes'!$H$5:$H$154), "anonymous")</f>
        <v/>
      </c>
    </row>
    <row r="223">
      <c r="A223" s="4">
        <f>'Base Oficial'!A223</f>
        <v/>
      </c>
      <c r="B223" s="6">
        <f>'Base Oficial'!B223</f>
        <v/>
      </c>
      <c r="C223" s="6">
        <f>'Base Oficial'!F223</f>
        <v/>
      </c>
      <c r="D223" s="6">
        <f>'Base Oficial'!G223</f>
        <v/>
      </c>
      <c r="E223" s="6">
        <f>'Base Oficial'!D223</f>
        <v/>
      </c>
      <c r="F223" s="4">
        <f>IF(ISNUMBER(XLOOKUP(A223, 'Base Exámenes'!$C$5:$C$154, 'Base Exámenes'!$E$5:$E$154)), "Completado", "Pendiente")</f>
        <v/>
      </c>
      <c r="G223" s="6">
        <f>IFERROR(XLOOKUP(A223, 'Base Exámenes'!$C$5:$C$154, 'Base Exámenes'!$D$5:$D$154), "")</f>
        <v/>
      </c>
      <c r="H223" s="6">
        <f>IFERROR(XLOOKUP(A223, 'Base Exámenes'!$C$5:$C$154, 'Base Exámenes'!$E$5:$E$154), "")</f>
        <v/>
      </c>
      <c r="I223" s="7">
        <f>IFERROR(XLOOKUP(A223, 'Base Exámenes'!$C$5:$C$154, 'Base Exámenes'!$F$5:$F$154), "")</f>
        <v/>
      </c>
      <c r="J223" s="6">
        <f>IFERROR(XLOOKUP(A223, 'Base Exámenes'!$C$5:$C$154, 'Base Exámenes'!$G$5:$G$154), "")</f>
        <v/>
      </c>
      <c r="K223" s="6">
        <f>IFERROR(XLOOKUP(A223, 'Base Exámenes'!$C$5:$C$154, 'Base Exámenes'!$H$5:$H$154), "anonymous")</f>
        <v/>
      </c>
    </row>
    <row r="224">
      <c r="A224" s="4">
        <f>'Base Oficial'!A224</f>
        <v/>
      </c>
      <c r="B224" s="6">
        <f>'Base Oficial'!B224</f>
        <v/>
      </c>
      <c r="C224" s="6">
        <f>'Base Oficial'!F224</f>
        <v/>
      </c>
      <c r="D224" s="6">
        <f>'Base Oficial'!G224</f>
        <v/>
      </c>
      <c r="E224" s="6">
        <f>'Base Oficial'!D224</f>
        <v/>
      </c>
      <c r="F224" s="4">
        <f>IF(ISNUMBER(XLOOKUP(A224, 'Base Exámenes'!$C$5:$C$154, 'Base Exámenes'!$E$5:$E$154)), "Completado", "Pendiente")</f>
        <v/>
      </c>
      <c r="G224" s="6">
        <f>IFERROR(XLOOKUP(A224, 'Base Exámenes'!$C$5:$C$154, 'Base Exámenes'!$D$5:$D$154), "")</f>
        <v/>
      </c>
      <c r="H224" s="6">
        <f>IFERROR(XLOOKUP(A224, 'Base Exámenes'!$C$5:$C$154, 'Base Exámenes'!$E$5:$E$154), "")</f>
        <v/>
      </c>
      <c r="I224" s="7">
        <f>IFERROR(XLOOKUP(A224, 'Base Exámenes'!$C$5:$C$154, 'Base Exámenes'!$F$5:$F$154), "")</f>
        <v/>
      </c>
      <c r="J224" s="6">
        <f>IFERROR(XLOOKUP(A224, 'Base Exámenes'!$C$5:$C$154, 'Base Exámenes'!$G$5:$G$154), "")</f>
        <v/>
      </c>
      <c r="K224" s="6">
        <f>IFERROR(XLOOKUP(A224, 'Base Exámenes'!$C$5:$C$154, 'Base Exámenes'!$H$5:$H$154), "anonymous")</f>
        <v/>
      </c>
    </row>
    <row r="225">
      <c r="A225" s="4">
        <f>'Base Oficial'!A225</f>
        <v/>
      </c>
      <c r="B225" s="6">
        <f>'Base Oficial'!B225</f>
        <v/>
      </c>
      <c r="C225" s="6">
        <f>'Base Oficial'!F225</f>
        <v/>
      </c>
      <c r="D225" s="6">
        <f>'Base Oficial'!G225</f>
        <v/>
      </c>
      <c r="E225" s="6">
        <f>'Base Oficial'!D225</f>
        <v/>
      </c>
      <c r="F225" s="4">
        <f>IF(ISNUMBER(XLOOKUP(A225, 'Base Exámenes'!$C$5:$C$154, 'Base Exámenes'!$E$5:$E$154)), "Completado", "Pendiente")</f>
        <v/>
      </c>
      <c r="G225" s="6">
        <f>IFERROR(XLOOKUP(A225, 'Base Exámenes'!$C$5:$C$154, 'Base Exámenes'!$D$5:$D$154), "")</f>
        <v/>
      </c>
      <c r="H225" s="6">
        <f>IFERROR(XLOOKUP(A225, 'Base Exámenes'!$C$5:$C$154, 'Base Exámenes'!$E$5:$E$154), "")</f>
        <v/>
      </c>
      <c r="I225" s="7">
        <f>IFERROR(XLOOKUP(A225, 'Base Exámenes'!$C$5:$C$154, 'Base Exámenes'!$F$5:$F$154), "")</f>
        <v/>
      </c>
      <c r="J225" s="6">
        <f>IFERROR(XLOOKUP(A225, 'Base Exámenes'!$C$5:$C$154, 'Base Exámenes'!$G$5:$G$154), "")</f>
        <v/>
      </c>
      <c r="K225" s="6">
        <f>IFERROR(XLOOKUP(A225, 'Base Exámenes'!$C$5:$C$154, 'Base Exámenes'!$H$5:$H$154), "anonymous")</f>
        <v/>
      </c>
    </row>
    <row r="226">
      <c r="A226" s="4">
        <f>'Base Oficial'!A226</f>
        <v/>
      </c>
      <c r="B226" s="6">
        <f>'Base Oficial'!B226</f>
        <v/>
      </c>
      <c r="C226" s="6">
        <f>'Base Oficial'!F226</f>
        <v/>
      </c>
      <c r="D226" s="6">
        <f>'Base Oficial'!G226</f>
        <v/>
      </c>
      <c r="E226" s="6">
        <f>'Base Oficial'!D226</f>
        <v/>
      </c>
      <c r="F226" s="4">
        <f>IF(ISNUMBER(XLOOKUP(A226, 'Base Exámenes'!$C$5:$C$154, 'Base Exámenes'!$E$5:$E$154)), "Completado", "Pendiente")</f>
        <v/>
      </c>
      <c r="G226" s="6">
        <f>IFERROR(XLOOKUP(A226, 'Base Exámenes'!$C$5:$C$154, 'Base Exámenes'!$D$5:$D$154), "")</f>
        <v/>
      </c>
      <c r="H226" s="6">
        <f>IFERROR(XLOOKUP(A226, 'Base Exámenes'!$C$5:$C$154, 'Base Exámenes'!$E$5:$E$154), "")</f>
        <v/>
      </c>
      <c r="I226" s="7">
        <f>IFERROR(XLOOKUP(A226, 'Base Exámenes'!$C$5:$C$154, 'Base Exámenes'!$F$5:$F$154), "")</f>
        <v/>
      </c>
      <c r="J226" s="6">
        <f>IFERROR(XLOOKUP(A226, 'Base Exámenes'!$C$5:$C$154, 'Base Exámenes'!$G$5:$G$154), "")</f>
        <v/>
      </c>
      <c r="K226" s="6">
        <f>IFERROR(XLOOKUP(A226, 'Base Exámenes'!$C$5:$C$154, 'Base Exámenes'!$H$5:$H$154), "anonymous")</f>
        <v/>
      </c>
    </row>
    <row r="227">
      <c r="A227" s="4">
        <f>'Base Oficial'!A227</f>
        <v/>
      </c>
      <c r="B227" s="6">
        <f>'Base Oficial'!B227</f>
        <v/>
      </c>
      <c r="C227" s="6">
        <f>'Base Oficial'!F227</f>
        <v/>
      </c>
      <c r="D227" s="6">
        <f>'Base Oficial'!G227</f>
        <v/>
      </c>
      <c r="E227" s="6">
        <f>'Base Oficial'!D227</f>
        <v/>
      </c>
      <c r="F227" s="4">
        <f>IF(ISNUMBER(XLOOKUP(A227, 'Base Exámenes'!$C$5:$C$154, 'Base Exámenes'!$E$5:$E$154)), "Completado", "Pendiente")</f>
        <v/>
      </c>
      <c r="G227" s="6">
        <f>IFERROR(XLOOKUP(A227, 'Base Exámenes'!$C$5:$C$154, 'Base Exámenes'!$D$5:$D$154), "")</f>
        <v/>
      </c>
      <c r="H227" s="6">
        <f>IFERROR(XLOOKUP(A227, 'Base Exámenes'!$C$5:$C$154, 'Base Exámenes'!$E$5:$E$154), "")</f>
        <v/>
      </c>
      <c r="I227" s="7">
        <f>IFERROR(XLOOKUP(A227, 'Base Exámenes'!$C$5:$C$154, 'Base Exámenes'!$F$5:$F$154), "")</f>
        <v/>
      </c>
      <c r="J227" s="6">
        <f>IFERROR(XLOOKUP(A227, 'Base Exámenes'!$C$5:$C$154, 'Base Exámenes'!$G$5:$G$154), "")</f>
        <v/>
      </c>
      <c r="K227" s="6">
        <f>IFERROR(XLOOKUP(A227, 'Base Exámenes'!$C$5:$C$154, 'Base Exámenes'!$H$5:$H$154), "anonymous")</f>
        <v/>
      </c>
    </row>
    <row r="228">
      <c r="A228" s="4">
        <f>'Base Oficial'!A228</f>
        <v/>
      </c>
      <c r="B228" s="6">
        <f>'Base Oficial'!B228</f>
        <v/>
      </c>
      <c r="C228" s="6">
        <f>'Base Oficial'!F228</f>
        <v/>
      </c>
      <c r="D228" s="6">
        <f>'Base Oficial'!G228</f>
        <v/>
      </c>
      <c r="E228" s="6">
        <f>'Base Oficial'!D228</f>
        <v/>
      </c>
      <c r="F228" s="4">
        <f>IF(ISNUMBER(XLOOKUP(A228, 'Base Exámenes'!$C$5:$C$154, 'Base Exámenes'!$E$5:$E$154)), "Completado", "Pendiente")</f>
        <v/>
      </c>
      <c r="G228" s="6">
        <f>IFERROR(XLOOKUP(A228, 'Base Exámenes'!$C$5:$C$154, 'Base Exámenes'!$D$5:$D$154), "")</f>
        <v/>
      </c>
      <c r="H228" s="6">
        <f>IFERROR(XLOOKUP(A228, 'Base Exámenes'!$C$5:$C$154, 'Base Exámenes'!$E$5:$E$154), "")</f>
        <v/>
      </c>
      <c r="I228" s="7">
        <f>IFERROR(XLOOKUP(A228, 'Base Exámenes'!$C$5:$C$154, 'Base Exámenes'!$F$5:$F$154), "")</f>
        <v/>
      </c>
      <c r="J228" s="6">
        <f>IFERROR(XLOOKUP(A228, 'Base Exámenes'!$C$5:$C$154, 'Base Exámenes'!$G$5:$G$154), "")</f>
        <v/>
      </c>
      <c r="K228" s="6">
        <f>IFERROR(XLOOKUP(A228, 'Base Exámenes'!$C$5:$C$154, 'Base Exámenes'!$H$5:$H$154), "anonymous")</f>
        <v/>
      </c>
    </row>
    <row r="229">
      <c r="A229" s="4">
        <f>'Base Oficial'!A229</f>
        <v/>
      </c>
      <c r="B229" s="6">
        <f>'Base Oficial'!B229</f>
        <v/>
      </c>
      <c r="C229" s="6">
        <f>'Base Oficial'!F229</f>
        <v/>
      </c>
      <c r="D229" s="6">
        <f>'Base Oficial'!G229</f>
        <v/>
      </c>
      <c r="E229" s="6">
        <f>'Base Oficial'!D229</f>
        <v/>
      </c>
      <c r="F229" s="4">
        <f>IF(ISNUMBER(XLOOKUP(A229, 'Base Exámenes'!$C$5:$C$154, 'Base Exámenes'!$E$5:$E$154)), "Completado", "Pendiente")</f>
        <v/>
      </c>
      <c r="G229" s="6">
        <f>IFERROR(XLOOKUP(A229, 'Base Exámenes'!$C$5:$C$154, 'Base Exámenes'!$D$5:$D$154), "")</f>
        <v/>
      </c>
      <c r="H229" s="6">
        <f>IFERROR(XLOOKUP(A229, 'Base Exámenes'!$C$5:$C$154, 'Base Exámenes'!$E$5:$E$154), "")</f>
        <v/>
      </c>
      <c r="I229" s="7">
        <f>IFERROR(XLOOKUP(A229, 'Base Exámenes'!$C$5:$C$154, 'Base Exámenes'!$F$5:$F$154), "")</f>
        <v/>
      </c>
      <c r="J229" s="6">
        <f>IFERROR(XLOOKUP(A229, 'Base Exámenes'!$C$5:$C$154, 'Base Exámenes'!$G$5:$G$154), "")</f>
        <v/>
      </c>
      <c r="K229" s="6">
        <f>IFERROR(XLOOKUP(A229, 'Base Exámenes'!$C$5:$C$154, 'Base Exámenes'!$H$5:$H$154), "anonymous")</f>
        <v/>
      </c>
    </row>
    <row r="230">
      <c r="A230" s="4">
        <f>'Base Oficial'!A230</f>
        <v/>
      </c>
      <c r="B230" s="6">
        <f>'Base Oficial'!B230</f>
        <v/>
      </c>
      <c r="C230" s="6">
        <f>'Base Oficial'!F230</f>
        <v/>
      </c>
      <c r="D230" s="6">
        <f>'Base Oficial'!G230</f>
        <v/>
      </c>
      <c r="E230" s="6">
        <f>'Base Oficial'!D230</f>
        <v/>
      </c>
      <c r="F230" s="4">
        <f>IF(ISNUMBER(XLOOKUP(A230, 'Base Exámenes'!$C$5:$C$154, 'Base Exámenes'!$E$5:$E$154)), "Completado", "Pendiente")</f>
        <v/>
      </c>
      <c r="G230" s="6">
        <f>IFERROR(XLOOKUP(A230, 'Base Exámenes'!$C$5:$C$154, 'Base Exámenes'!$D$5:$D$154), "")</f>
        <v/>
      </c>
      <c r="H230" s="6">
        <f>IFERROR(XLOOKUP(A230, 'Base Exámenes'!$C$5:$C$154, 'Base Exámenes'!$E$5:$E$154), "")</f>
        <v/>
      </c>
      <c r="I230" s="7">
        <f>IFERROR(XLOOKUP(A230, 'Base Exámenes'!$C$5:$C$154, 'Base Exámenes'!$F$5:$F$154), "")</f>
        <v/>
      </c>
      <c r="J230" s="6">
        <f>IFERROR(XLOOKUP(A230, 'Base Exámenes'!$C$5:$C$154, 'Base Exámenes'!$G$5:$G$154), "")</f>
        <v/>
      </c>
      <c r="K230" s="6">
        <f>IFERROR(XLOOKUP(A230, 'Base Exámenes'!$C$5:$C$154, 'Base Exámenes'!$H$5:$H$154), "anonymous")</f>
        <v/>
      </c>
    </row>
    <row r="231">
      <c r="A231" s="4">
        <f>'Base Oficial'!A231</f>
        <v/>
      </c>
      <c r="B231" s="6">
        <f>'Base Oficial'!B231</f>
        <v/>
      </c>
      <c r="C231" s="6">
        <f>'Base Oficial'!F231</f>
        <v/>
      </c>
      <c r="D231" s="6">
        <f>'Base Oficial'!G231</f>
        <v/>
      </c>
      <c r="E231" s="6">
        <f>'Base Oficial'!D231</f>
        <v/>
      </c>
      <c r="F231" s="4">
        <f>IF(ISNUMBER(XLOOKUP(A231, 'Base Exámenes'!$C$5:$C$154, 'Base Exámenes'!$E$5:$E$154)), "Completado", "Pendiente")</f>
        <v/>
      </c>
      <c r="G231" s="6">
        <f>IFERROR(XLOOKUP(A231, 'Base Exámenes'!$C$5:$C$154, 'Base Exámenes'!$D$5:$D$154), "")</f>
        <v/>
      </c>
      <c r="H231" s="6">
        <f>IFERROR(XLOOKUP(A231, 'Base Exámenes'!$C$5:$C$154, 'Base Exámenes'!$E$5:$E$154), "")</f>
        <v/>
      </c>
      <c r="I231" s="7">
        <f>IFERROR(XLOOKUP(A231, 'Base Exámenes'!$C$5:$C$154, 'Base Exámenes'!$F$5:$F$154), "")</f>
        <v/>
      </c>
      <c r="J231" s="6">
        <f>IFERROR(XLOOKUP(A231, 'Base Exámenes'!$C$5:$C$154, 'Base Exámenes'!$G$5:$G$154), "")</f>
        <v/>
      </c>
      <c r="K231" s="6">
        <f>IFERROR(XLOOKUP(A231, 'Base Exámenes'!$C$5:$C$154, 'Base Exámenes'!$H$5:$H$154), "anonymous")</f>
        <v/>
      </c>
    </row>
    <row r="232">
      <c r="A232" s="4">
        <f>'Base Oficial'!A232</f>
        <v/>
      </c>
      <c r="B232" s="6">
        <f>'Base Oficial'!B232</f>
        <v/>
      </c>
      <c r="C232" s="6">
        <f>'Base Oficial'!F232</f>
        <v/>
      </c>
      <c r="D232" s="6">
        <f>'Base Oficial'!G232</f>
        <v/>
      </c>
      <c r="E232" s="6">
        <f>'Base Oficial'!D232</f>
        <v/>
      </c>
      <c r="F232" s="4">
        <f>IF(ISNUMBER(XLOOKUP(A232, 'Base Exámenes'!$C$5:$C$154, 'Base Exámenes'!$E$5:$E$154)), "Completado", "Pendiente")</f>
        <v/>
      </c>
      <c r="G232" s="6">
        <f>IFERROR(XLOOKUP(A232, 'Base Exámenes'!$C$5:$C$154, 'Base Exámenes'!$D$5:$D$154), "")</f>
        <v/>
      </c>
      <c r="H232" s="6">
        <f>IFERROR(XLOOKUP(A232, 'Base Exámenes'!$C$5:$C$154, 'Base Exámenes'!$E$5:$E$154), "")</f>
        <v/>
      </c>
      <c r="I232" s="7">
        <f>IFERROR(XLOOKUP(A232, 'Base Exámenes'!$C$5:$C$154, 'Base Exámenes'!$F$5:$F$154), "")</f>
        <v/>
      </c>
      <c r="J232" s="6">
        <f>IFERROR(XLOOKUP(A232, 'Base Exámenes'!$C$5:$C$154, 'Base Exámenes'!$G$5:$G$154), "")</f>
        <v/>
      </c>
      <c r="K232" s="6">
        <f>IFERROR(XLOOKUP(A232, 'Base Exámenes'!$C$5:$C$154, 'Base Exámenes'!$H$5:$H$154), "anonymous")</f>
        <v/>
      </c>
    </row>
    <row r="233">
      <c r="A233" s="4">
        <f>'Base Oficial'!A233</f>
        <v/>
      </c>
      <c r="B233" s="6">
        <f>'Base Oficial'!B233</f>
        <v/>
      </c>
      <c r="C233" s="6">
        <f>'Base Oficial'!F233</f>
        <v/>
      </c>
      <c r="D233" s="6">
        <f>'Base Oficial'!G233</f>
        <v/>
      </c>
      <c r="E233" s="6">
        <f>'Base Oficial'!D233</f>
        <v/>
      </c>
      <c r="F233" s="4">
        <f>IF(ISNUMBER(XLOOKUP(A233, 'Base Exámenes'!$C$5:$C$154, 'Base Exámenes'!$E$5:$E$154)), "Completado", "Pendiente")</f>
        <v/>
      </c>
      <c r="G233" s="6">
        <f>IFERROR(XLOOKUP(A233, 'Base Exámenes'!$C$5:$C$154, 'Base Exámenes'!$D$5:$D$154), "")</f>
        <v/>
      </c>
      <c r="H233" s="6">
        <f>IFERROR(XLOOKUP(A233, 'Base Exámenes'!$C$5:$C$154, 'Base Exámenes'!$E$5:$E$154), "")</f>
        <v/>
      </c>
      <c r="I233" s="7">
        <f>IFERROR(XLOOKUP(A233, 'Base Exámenes'!$C$5:$C$154, 'Base Exámenes'!$F$5:$F$154), "")</f>
        <v/>
      </c>
      <c r="J233" s="6">
        <f>IFERROR(XLOOKUP(A233, 'Base Exámenes'!$C$5:$C$154, 'Base Exámenes'!$G$5:$G$154), "")</f>
        <v/>
      </c>
      <c r="K233" s="6">
        <f>IFERROR(XLOOKUP(A233, 'Base Exámenes'!$C$5:$C$154, 'Base Exámenes'!$H$5:$H$154), "anonymous")</f>
        <v/>
      </c>
    </row>
    <row r="234">
      <c r="A234" s="4">
        <f>'Base Oficial'!A234</f>
        <v/>
      </c>
      <c r="B234" s="6">
        <f>'Base Oficial'!B234</f>
        <v/>
      </c>
      <c r="C234" s="6">
        <f>'Base Oficial'!F234</f>
        <v/>
      </c>
      <c r="D234" s="6">
        <f>'Base Oficial'!G234</f>
        <v/>
      </c>
      <c r="E234" s="6">
        <f>'Base Oficial'!D234</f>
        <v/>
      </c>
      <c r="F234" s="4">
        <f>IF(ISNUMBER(XLOOKUP(A234, 'Base Exámenes'!$C$5:$C$154, 'Base Exámenes'!$E$5:$E$154)), "Completado", "Pendiente")</f>
        <v/>
      </c>
      <c r="G234" s="6">
        <f>IFERROR(XLOOKUP(A234, 'Base Exámenes'!$C$5:$C$154, 'Base Exámenes'!$D$5:$D$154), "")</f>
        <v/>
      </c>
      <c r="H234" s="6">
        <f>IFERROR(XLOOKUP(A234, 'Base Exámenes'!$C$5:$C$154, 'Base Exámenes'!$E$5:$E$154), "")</f>
        <v/>
      </c>
      <c r="I234" s="7">
        <f>IFERROR(XLOOKUP(A234, 'Base Exámenes'!$C$5:$C$154, 'Base Exámenes'!$F$5:$F$154), "")</f>
        <v/>
      </c>
      <c r="J234" s="6">
        <f>IFERROR(XLOOKUP(A234, 'Base Exámenes'!$C$5:$C$154, 'Base Exámenes'!$G$5:$G$154), "")</f>
        <v/>
      </c>
      <c r="K234" s="6">
        <f>IFERROR(XLOOKUP(A234, 'Base Exámenes'!$C$5:$C$154, 'Base Exámenes'!$H$5:$H$154), "anonymous")</f>
        <v/>
      </c>
    </row>
    <row r="235">
      <c r="A235" s="4">
        <f>'Base Oficial'!A235</f>
        <v/>
      </c>
      <c r="B235" s="6">
        <f>'Base Oficial'!B235</f>
        <v/>
      </c>
      <c r="C235" s="6">
        <f>'Base Oficial'!F235</f>
        <v/>
      </c>
      <c r="D235" s="6">
        <f>'Base Oficial'!G235</f>
        <v/>
      </c>
      <c r="E235" s="6">
        <f>'Base Oficial'!D235</f>
        <v/>
      </c>
      <c r="F235" s="4">
        <f>IF(ISNUMBER(XLOOKUP(A235, 'Base Exámenes'!$C$5:$C$154, 'Base Exámenes'!$E$5:$E$154)), "Completado", "Pendiente")</f>
        <v/>
      </c>
      <c r="G235" s="6">
        <f>IFERROR(XLOOKUP(A235, 'Base Exámenes'!$C$5:$C$154, 'Base Exámenes'!$D$5:$D$154), "")</f>
        <v/>
      </c>
      <c r="H235" s="6">
        <f>IFERROR(XLOOKUP(A235, 'Base Exámenes'!$C$5:$C$154, 'Base Exámenes'!$E$5:$E$154), "")</f>
        <v/>
      </c>
      <c r="I235" s="7">
        <f>IFERROR(XLOOKUP(A235, 'Base Exámenes'!$C$5:$C$154, 'Base Exámenes'!$F$5:$F$154), "")</f>
        <v/>
      </c>
      <c r="J235" s="6">
        <f>IFERROR(XLOOKUP(A235, 'Base Exámenes'!$C$5:$C$154, 'Base Exámenes'!$G$5:$G$154), "")</f>
        <v/>
      </c>
      <c r="K235" s="6">
        <f>IFERROR(XLOOKUP(A235, 'Base Exámenes'!$C$5:$C$154, 'Base Exámenes'!$H$5:$H$154), "anonymous")</f>
        <v/>
      </c>
    </row>
    <row r="236">
      <c r="A236" s="4">
        <f>'Base Oficial'!A236</f>
        <v/>
      </c>
      <c r="B236" s="6">
        <f>'Base Oficial'!B236</f>
        <v/>
      </c>
      <c r="C236" s="6">
        <f>'Base Oficial'!F236</f>
        <v/>
      </c>
      <c r="D236" s="6">
        <f>'Base Oficial'!G236</f>
        <v/>
      </c>
      <c r="E236" s="6">
        <f>'Base Oficial'!D236</f>
        <v/>
      </c>
      <c r="F236" s="4">
        <f>IF(ISNUMBER(XLOOKUP(A236, 'Base Exámenes'!$C$5:$C$154, 'Base Exámenes'!$E$5:$E$154)), "Completado", "Pendiente")</f>
        <v/>
      </c>
      <c r="G236" s="6">
        <f>IFERROR(XLOOKUP(A236, 'Base Exámenes'!$C$5:$C$154, 'Base Exámenes'!$D$5:$D$154), "")</f>
        <v/>
      </c>
      <c r="H236" s="6">
        <f>IFERROR(XLOOKUP(A236, 'Base Exámenes'!$C$5:$C$154, 'Base Exámenes'!$E$5:$E$154), "")</f>
        <v/>
      </c>
      <c r="I236" s="7">
        <f>IFERROR(XLOOKUP(A236, 'Base Exámenes'!$C$5:$C$154, 'Base Exámenes'!$F$5:$F$154), "")</f>
        <v/>
      </c>
      <c r="J236" s="6">
        <f>IFERROR(XLOOKUP(A236, 'Base Exámenes'!$C$5:$C$154, 'Base Exámenes'!$G$5:$G$154), "")</f>
        <v/>
      </c>
      <c r="K236" s="6">
        <f>IFERROR(XLOOKUP(A236, 'Base Exámenes'!$C$5:$C$154, 'Base Exámenes'!$H$5:$H$154), "anonymous")</f>
        <v/>
      </c>
    </row>
    <row r="237">
      <c r="A237" s="4">
        <f>'Base Oficial'!A237</f>
        <v/>
      </c>
      <c r="B237" s="6">
        <f>'Base Oficial'!B237</f>
        <v/>
      </c>
      <c r="C237" s="6">
        <f>'Base Oficial'!F237</f>
        <v/>
      </c>
      <c r="D237" s="6">
        <f>'Base Oficial'!G237</f>
        <v/>
      </c>
      <c r="E237" s="6">
        <f>'Base Oficial'!D237</f>
        <v/>
      </c>
      <c r="F237" s="4">
        <f>IF(ISNUMBER(XLOOKUP(A237, 'Base Exámenes'!$C$5:$C$154, 'Base Exámenes'!$E$5:$E$154)), "Completado", "Pendiente")</f>
        <v/>
      </c>
      <c r="G237" s="6">
        <f>IFERROR(XLOOKUP(A237, 'Base Exámenes'!$C$5:$C$154, 'Base Exámenes'!$D$5:$D$154), "")</f>
        <v/>
      </c>
      <c r="H237" s="6">
        <f>IFERROR(XLOOKUP(A237, 'Base Exámenes'!$C$5:$C$154, 'Base Exámenes'!$E$5:$E$154), "")</f>
        <v/>
      </c>
      <c r="I237" s="7">
        <f>IFERROR(XLOOKUP(A237, 'Base Exámenes'!$C$5:$C$154, 'Base Exámenes'!$F$5:$F$154), "")</f>
        <v/>
      </c>
      <c r="J237" s="6">
        <f>IFERROR(XLOOKUP(A237, 'Base Exámenes'!$C$5:$C$154, 'Base Exámenes'!$G$5:$G$154), "")</f>
        <v/>
      </c>
      <c r="K237" s="6">
        <f>IFERROR(XLOOKUP(A237, 'Base Exámenes'!$C$5:$C$154, 'Base Exámenes'!$H$5:$H$154), "anonymous")</f>
        <v/>
      </c>
    </row>
    <row r="238">
      <c r="A238" s="4">
        <f>'Base Oficial'!A238</f>
        <v/>
      </c>
      <c r="B238" s="6">
        <f>'Base Oficial'!B238</f>
        <v/>
      </c>
      <c r="C238" s="6">
        <f>'Base Oficial'!F238</f>
        <v/>
      </c>
      <c r="D238" s="6">
        <f>'Base Oficial'!G238</f>
        <v/>
      </c>
      <c r="E238" s="6">
        <f>'Base Oficial'!D238</f>
        <v/>
      </c>
      <c r="F238" s="4">
        <f>IF(ISNUMBER(XLOOKUP(A238, 'Base Exámenes'!$C$5:$C$154, 'Base Exámenes'!$E$5:$E$154)), "Completado", "Pendiente")</f>
        <v/>
      </c>
      <c r="G238" s="6">
        <f>IFERROR(XLOOKUP(A238, 'Base Exámenes'!$C$5:$C$154, 'Base Exámenes'!$D$5:$D$154), "")</f>
        <v/>
      </c>
      <c r="H238" s="6">
        <f>IFERROR(XLOOKUP(A238, 'Base Exámenes'!$C$5:$C$154, 'Base Exámenes'!$E$5:$E$154), "")</f>
        <v/>
      </c>
      <c r="I238" s="7">
        <f>IFERROR(XLOOKUP(A238, 'Base Exámenes'!$C$5:$C$154, 'Base Exámenes'!$F$5:$F$154), "")</f>
        <v/>
      </c>
      <c r="J238" s="6">
        <f>IFERROR(XLOOKUP(A238, 'Base Exámenes'!$C$5:$C$154, 'Base Exámenes'!$G$5:$G$154), "")</f>
        <v/>
      </c>
      <c r="K238" s="6">
        <f>IFERROR(XLOOKUP(A238, 'Base Exámenes'!$C$5:$C$154, 'Base Exámenes'!$H$5:$H$154), "anonymous")</f>
        <v/>
      </c>
    </row>
    <row r="239">
      <c r="A239" s="4">
        <f>'Base Oficial'!A239</f>
        <v/>
      </c>
      <c r="B239" s="6">
        <f>'Base Oficial'!B239</f>
        <v/>
      </c>
      <c r="C239" s="6">
        <f>'Base Oficial'!F239</f>
        <v/>
      </c>
      <c r="D239" s="6">
        <f>'Base Oficial'!G239</f>
        <v/>
      </c>
      <c r="E239" s="6">
        <f>'Base Oficial'!D239</f>
        <v/>
      </c>
      <c r="F239" s="4">
        <f>IF(ISNUMBER(XLOOKUP(A239, 'Base Exámenes'!$C$5:$C$154, 'Base Exámenes'!$E$5:$E$154)), "Completado", "Pendiente")</f>
        <v/>
      </c>
      <c r="G239" s="6">
        <f>IFERROR(XLOOKUP(A239, 'Base Exámenes'!$C$5:$C$154, 'Base Exámenes'!$D$5:$D$154), "")</f>
        <v/>
      </c>
      <c r="H239" s="6">
        <f>IFERROR(XLOOKUP(A239, 'Base Exámenes'!$C$5:$C$154, 'Base Exámenes'!$E$5:$E$154), "")</f>
        <v/>
      </c>
      <c r="I239" s="7">
        <f>IFERROR(XLOOKUP(A239, 'Base Exámenes'!$C$5:$C$154, 'Base Exámenes'!$F$5:$F$154), "")</f>
        <v/>
      </c>
      <c r="J239" s="6">
        <f>IFERROR(XLOOKUP(A239, 'Base Exámenes'!$C$5:$C$154, 'Base Exámenes'!$G$5:$G$154), "")</f>
        <v/>
      </c>
      <c r="K239" s="6">
        <f>IFERROR(XLOOKUP(A239, 'Base Exámenes'!$C$5:$C$154, 'Base Exámenes'!$H$5:$H$154), "anonymous")</f>
        <v/>
      </c>
    </row>
    <row r="240">
      <c r="A240" s="4">
        <f>'Base Oficial'!A240</f>
        <v/>
      </c>
      <c r="B240" s="6">
        <f>'Base Oficial'!B240</f>
        <v/>
      </c>
      <c r="C240" s="6">
        <f>'Base Oficial'!F240</f>
        <v/>
      </c>
      <c r="D240" s="6">
        <f>'Base Oficial'!G240</f>
        <v/>
      </c>
      <c r="E240" s="6">
        <f>'Base Oficial'!D240</f>
        <v/>
      </c>
      <c r="F240" s="4">
        <f>IF(ISNUMBER(XLOOKUP(A240, 'Base Exámenes'!$C$5:$C$154, 'Base Exámenes'!$E$5:$E$154)), "Completado", "Pendiente")</f>
        <v/>
      </c>
      <c r="G240" s="6">
        <f>IFERROR(XLOOKUP(A240, 'Base Exámenes'!$C$5:$C$154, 'Base Exámenes'!$D$5:$D$154), "")</f>
        <v/>
      </c>
      <c r="H240" s="6">
        <f>IFERROR(XLOOKUP(A240, 'Base Exámenes'!$C$5:$C$154, 'Base Exámenes'!$E$5:$E$154), "")</f>
        <v/>
      </c>
      <c r="I240" s="7">
        <f>IFERROR(XLOOKUP(A240, 'Base Exámenes'!$C$5:$C$154, 'Base Exámenes'!$F$5:$F$154), "")</f>
        <v/>
      </c>
      <c r="J240" s="6">
        <f>IFERROR(XLOOKUP(A240, 'Base Exámenes'!$C$5:$C$154, 'Base Exámenes'!$G$5:$G$154), "")</f>
        <v/>
      </c>
      <c r="K240" s="6">
        <f>IFERROR(XLOOKUP(A240, 'Base Exámenes'!$C$5:$C$154, 'Base Exámenes'!$H$5:$H$154), "anonymous")</f>
        <v/>
      </c>
    </row>
    <row r="241">
      <c r="A241" s="4">
        <f>'Base Oficial'!A241</f>
        <v/>
      </c>
      <c r="B241" s="6">
        <f>'Base Oficial'!B241</f>
        <v/>
      </c>
      <c r="C241" s="6">
        <f>'Base Oficial'!F241</f>
        <v/>
      </c>
      <c r="D241" s="6">
        <f>'Base Oficial'!G241</f>
        <v/>
      </c>
      <c r="E241" s="6">
        <f>'Base Oficial'!D241</f>
        <v/>
      </c>
      <c r="F241" s="4">
        <f>IF(ISNUMBER(XLOOKUP(A241, 'Base Exámenes'!$C$5:$C$154, 'Base Exámenes'!$E$5:$E$154)), "Completado", "Pendiente")</f>
        <v/>
      </c>
      <c r="G241" s="6">
        <f>IFERROR(XLOOKUP(A241, 'Base Exámenes'!$C$5:$C$154, 'Base Exámenes'!$D$5:$D$154), "")</f>
        <v/>
      </c>
      <c r="H241" s="6">
        <f>IFERROR(XLOOKUP(A241, 'Base Exámenes'!$C$5:$C$154, 'Base Exámenes'!$E$5:$E$154), "")</f>
        <v/>
      </c>
      <c r="I241" s="7">
        <f>IFERROR(XLOOKUP(A241, 'Base Exámenes'!$C$5:$C$154, 'Base Exámenes'!$F$5:$F$154), "")</f>
        <v/>
      </c>
      <c r="J241" s="6">
        <f>IFERROR(XLOOKUP(A241, 'Base Exámenes'!$C$5:$C$154, 'Base Exámenes'!$G$5:$G$154), "")</f>
        <v/>
      </c>
      <c r="K241" s="6">
        <f>IFERROR(XLOOKUP(A241, 'Base Exámenes'!$C$5:$C$154, 'Base Exámenes'!$H$5:$H$154), "anonymous")</f>
        <v/>
      </c>
    </row>
    <row r="242">
      <c r="A242" s="4">
        <f>'Base Oficial'!A242</f>
        <v/>
      </c>
      <c r="B242" s="6">
        <f>'Base Oficial'!B242</f>
        <v/>
      </c>
      <c r="C242" s="6">
        <f>'Base Oficial'!F242</f>
        <v/>
      </c>
      <c r="D242" s="6">
        <f>'Base Oficial'!G242</f>
        <v/>
      </c>
      <c r="E242" s="6">
        <f>'Base Oficial'!D242</f>
        <v/>
      </c>
      <c r="F242" s="4">
        <f>IF(ISNUMBER(XLOOKUP(A242, 'Base Exámenes'!$C$5:$C$154, 'Base Exámenes'!$E$5:$E$154)), "Completado", "Pendiente")</f>
        <v/>
      </c>
      <c r="G242" s="6">
        <f>IFERROR(XLOOKUP(A242, 'Base Exámenes'!$C$5:$C$154, 'Base Exámenes'!$D$5:$D$154), "")</f>
        <v/>
      </c>
      <c r="H242" s="6">
        <f>IFERROR(XLOOKUP(A242, 'Base Exámenes'!$C$5:$C$154, 'Base Exámenes'!$E$5:$E$154), "")</f>
        <v/>
      </c>
      <c r="I242" s="7">
        <f>IFERROR(XLOOKUP(A242, 'Base Exámenes'!$C$5:$C$154, 'Base Exámenes'!$F$5:$F$154), "")</f>
        <v/>
      </c>
      <c r="J242" s="6">
        <f>IFERROR(XLOOKUP(A242, 'Base Exámenes'!$C$5:$C$154, 'Base Exámenes'!$G$5:$G$154), "")</f>
        <v/>
      </c>
      <c r="K242" s="6">
        <f>IFERROR(XLOOKUP(A242, 'Base Exámenes'!$C$5:$C$154, 'Base Exámenes'!$H$5:$H$154), "anonymous")</f>
        <v/>
      </c>
    </row>
    <row r="243">
      <c r="A243" s="4">
        <f>'Base Oficial'!A243</f>
        <v/>
      </c>
      <c r="B243" s="6">
        <f>'Base Oficial'!B243</f>
        <v/>
      </c>
      <c r="C243" s="6">
        <f>'Base Oficial'!F243</f>
        <v/>
      </c>
      <c r="D243" s="6">
        <f>'Base Oficial'!G243</f>
        <v/>
      </c>
      <c r="E243" s="6">
        <f>'Base Oficial'!D243</f>
        <v/>
      </c>
      <c r="F243" s="4">
        <f>IF(ISNUMBER(XLOOKUP(A243, 'Base Exámenes'!$C$5:$C$154, 'Base Exámenes'!$E$5:$E$154)), "Completado", "Pendiente")</f>
        <v/>
      </c>
      <c r="G243" s="6">
        <f>IFERROR(XLOOKUP(A243, 'Base Exámenes'!$C$5:$C$154, 'Base Exámenes'!$D$5:$D$154), "")</f>
        <v/>
      </c>
      <c r="H243" s="6">
        <f>IFERROR(XLOOKUP(A243, 'Base Exámenes'!$C$5:$C$154, 'Base Exámenes'!$E$5:$E$154), "")</f>
        <v/>
      </c>
      <c r="I243" s="7">
        <f>IFERROR(XLOOKUP(A243, 'Base Exámenes'!$C$5:$C$154, 'Base Exámenes'!$F$5:$F$154), "")</f>
        <v/>
      </c>
      <c r="J243" s="6">
        <f>IFERROR(XLOOKUP(A243, 'Base Exámenes'!$C$5:$C$154, 'Base Exámenes'!$G$5:$G$154), "")</f>
        <v/>
      </c>
      <c r="K243" s="6">
        <f>IFERROR(XLOOKUP(A243, 'Base Exámenes'!$C$5:$C$154, 'Base Exámenes'!$H$5:$H$154), "anonymous")</f>
        <v/>
      </c>
    </row>
    <row r="244">
      <c r="A244" s="4">
        <f>'Base Oficial'!A244</f>
        <v/>
      </c>
      <c r="B244" s="6">
        <f>'Base Oficial'!B244</f>
        <v/>
      </c>
      <c r="C244" s="6">
        <f>'Base Oficial'!F244</f>
        <v/>
      </c>
      <c r="D244" s="6">
        <f>'Base Oficial'!G244</f>
        <v/>
      </c>
      <c r="E244" s="6">
        <f>'Base Oficial'!D244</f>
        <v/>
      </c>
      <c r="F244" s="4">
        <f>IF(ISNUMBER(XLOOKUP(A244, 'Base Exámenes'!$C$5:$C$154, 'Base Exámenes'!$E$5:$E$154)), "Completado", "Pendiente")</f>
        <v/>
      </c>
      <c r="G244" s="6">
        <f>IFERROR(XLOOKUP(A244, 'Base Exámenes'!$C$5:$C$154, 'Base Exámenes'!$D$5:$D$154), "")</f>
        <v/>
      </c>
      <c r="H244" s="6">
        <f>IFERROR(XLOOKUP(A244, 'Base Exámenes'!$C$5:$C$154, 'Base Exámenes'!$E$5:$E$154), "")</f>
        <v/>
      </c>
      <c r="I244" s="7">
        <f>IFERROR(XLOOKUP(A244, 'Base Exámenes'!$C$5:$C$154, 'Base Exámenes'!$F$5:$F$154), "")</f>
        <v/>
      </c>
      <c r="J244" s="6">
        <f>IFERROR(XLOOKUP(A244, 'Base Exámenes'!$C$5:$C$154, 'Base Exámenes'!$G$5:$G$154), "")</f>
        <v/>
      </c>
      <c r="K244" s="6">
        <f>IFERROR(XLOOKUP(A244, 'Base Exámenes'!$C$5:$C$154, 'Base Exámenes'!$H$5:$H$154), "anonymous")</f>
        <v/>
      </c>
    </row>
    <row r="245">
      <c r="A245" s="4">
        <f>'Base Oficial'!A245</f>
        <v/>
      </c>
      <c r="B245" s="6">
        <f>'Base Oficial'!B245</f>
        <v/>
      </c>
      <c r="C245" s="6">
        <f>'Base Oficial'!F245</f>
        <v/>
      </c>
      <c r="D245" s="6">
        <f>'Base Oficial'!G245</f>
        <v/>
      </c>
      <c r="E245" s="6">
        <f>'Base Oficial'!D245</f>
        <v/>
      </c>
      <c r="F245" s="4">
        <f>IF(ISNUMBER(XLOOKUP(A245, 'Base Exámenes'!$C$5:$C$154, 'Base Exámenes'!$E$5:$E$154)), "Completado", "Pendiente")</f>
        <v/>
      </c>
      <c r="G245" s="6">
        <f>IFERROR(XLOOKUP(A245, 'Base Exámenes'!$C$5:$C$154, 'Base Exámenes'!$D$5:$D$154), "")</f>
        <v/>
      </c>
      <c r="H245" s="6">
        <f>IFERROR(XLOOKUP(A245, 'Base Exámenes'!$C$5:$C$154, 'Base Exámenes'!$E$5:$E$154), "")</f>
        <v/>
      </c>
      <c r="I245" s="7">
        <f>IFERROR(XLOOKUP(A245, 'Base Exámenes'!$C$5:$C$154, 'Base Exámenes'!$F$5:$F$154), "")</f>
        <v/>
      </c>
      <c r="J245" s="6">
        <f>IFERROR(XLOOKUP(A245, 'Base Exámenes'!$C$5:$C$154, 'Base Exámenes'!$G$5:$G$154), "")</f>
        <v/>
      </c>
      <c r="K245" s="6">
        <f>IFERROR(XLOOKUP(A245, 'Base Exámenes'!$C$5:$C$154, 'Base Exámenes'!$H$5:$H$154), "anonymous")</f>
        <v/>
      </c>
    </row>
    <row r="246">
      <c r="A246" s="4">
        <f>'Base Oficial'!A246</f>
        <v/>
      </c>
      <c r="B246" s="6">
        <f>'Base Oficial'!B246</f>
        <v/>
      </c>
      <c r="C246" s="6">
        <f>'Base Oficial'!F246</f>
        <v/>
      </c>
      <c r="D246" s="6">
        <f>'Base Oficial'!G246</f>
        <v/>
      </c>
      <c r="E246" s="6">
        <f>'Base Oficial'!D246</f>
        <v/>
      </c>
      <c r="F246" s="4">
        <f>IF(ISNUMBER(XLOOKUP(A246, 'Base Exámenes'!$C$5:$C$154, 'Base Exámenes'!$E$5:$E$154)), "Completado", "Pendiente")</f>
        <v/>
      </c>
      <c r="G246" s="6">
        <f>IFERROR(XLOOKUP(A246, 'Base Exámenes'!$C$5:$C$154, 'Base Exámenes'!$D$5:$D$154), "")</f>
        <v/>
      </c>
      <c r="H246" s="6">
        <f>IFERROR(XLOOKUP(A246, 'Base Exámenes'!$C$5:$C$154, 'Base Exámenes'!$E$5:$E$154), "")</f>
        <v/>
      </c>
      <c r="I246" s="7">
        <f>IFERROR(XLOOKUP(A246, 'Base Exámenes'!$C$5:$C$154, 'Base Exámenes'!$F$5:$F$154), "")</f>
        <v/>
      </c>
      <c r="J246" s="6">
        <f>IFERROR(XLOOKUP(A246, 'Base Exámenes'!$C$5:$C$154, 'Base Exámenes'!$G$5:$G$154), "")</f>
        <v/>
      </c>
      <c r="K246" s="6">
        <f>IFERROR(XLOOKUP(A246, 'Base Exámenes'!$C$5:$C$154, 'Base Exámenes'!$H$5:$H$154), "anonymous")</f>
        <v/>
      </c>
    </row>
    <row r="247">
      <c r="A247" s="4">
        <f>'Base Oficial'!A247</f>
        <v/>
      </c>
      <c r="B247" s="6">
        <f>'Base Oficial'!B247</f>
        <v/>
      </c>
      <c r="C247" s="6">
        <f>'Base Oficial'!F247</f>
        <v/>
      </c>
      <c r="D247" s="6">
        <f>'Base Oficial'!G247</f>
        <v/>
      </c>
      <c r="E247" s="6">
        <f>'Base Oficial'!D247</f>
        <v/>
      </c>
      <c r="F247" s="4">
        <f>IF(ISNUMBER(XLOOKUP(A247, 'Base Exámenes'!$C$5:$C$154, 'Base Exámenes'!$E$5:$E$154)), "Completado", "Pendiente")</f>
        <v/>
      </c>
      <c r="G247" s="6">
        <f>IFERROR(XLOOKUP(A247, 'Base Exámenes'!$C$5:$C$154, 'Base Exámenes'!$D$5:$D$154), "")</f>
        <v/>
      </c>
      <c r="H247" s="6">
        <f>IFERROR(XLOOKUP(A247, 'Base Exámenes'!$C$5:$C$154, 'Base Exámenes'!$E$5:$E$154), "")</f>
        <v/>
      </c>
      <c r="I247" s="7">
        <f>IFERROR(XLOOKUP(A247, 'Base Exámenes'!$C$5:$C$154, 'Base Exámenes'!$F$5:$F$154), "")</f>
        <v/>
      </c>
      <c r="J247" s="6">
        <f>IFERROR(XLOOKUP(A247, 'Base Exámenes'!$C$5:$C$154, 'Base Exámenes'!$G$5:$G$154), "")</f>
        <v/>
      </c>
      <c r="K247" s="6">
        <f>IFERROR(XLOOKUP(A247, 'Base Exámenes'!$C$5:$C$154, 'Base Exámenes'!$H$5:$H$154), "anonymous")</f>
        <v/>
      </c>
    </row>
    <row r="248">
      <c r="A248" s="4">
        <f>'Base Oficial'!A248</f>
        <v/>
      </c>
      <c r="B248" s="6">
        <f>'Base Oficial'!B248</f>
        <v/>
      </c>
      <c r="C248" s="6">
        <f>'Base Oficial'!F248</f>
        <v/>
      </c>
      <c r="D248" s="6">
        <f>'Base Oficial'!G248</f>
        <v/>
      </c>
      <c r="E248" s="6">
        <f>'Base Oficial'!D248</f>
        <v/>
      </c>
      <c r="F248" s="4">
        <f>IF(ISNUMBER(XLOOKUP(A248, 'Base Exámenes'!$C$5:$C$154, 'Base Exámenes'!$E$5:$E$154)), "Completado", "Pendiente")</f>
        <v/>
      </c>
      <c r="G248" s="6">
        <f>IFERROR(XLOOKUP(A248, 'Base Exámenes'!$C$5:$C$154, 'Base Exámenes'!$D$5:$D$154), "")</f>
        <v/>
      </c>
      <c r="H248" s="6">
        <f>IFERROR(XLOOKUP(A248, 'Base Exámenes'!$C$5:$C$154, 'Base Exámenes'!$E$5:$E$154), "")</f>
        <v/>
      </c>
      <c r="I248" s="7">
        <f>IFERROR(XLOOKUP(A248, 'Base Exámenes'!$C$5:$C$154, 'Base Exámenes'!$F$5:$F$154), "")</f>
        <v/>
      </c>
      <c r="J248" s="6">
        <f>IFERROR(XLOOKUP(A248, 'Base Exámenes'!$C$5:$C$154, 'Base Exámenes'!$G$5:$G$154), "")</f>
        <v/>
      </c>
      <c r="K248" s="6">
        <f>IFERROR(XLOOKUP(A248, 'Base Exámenes'!$C$5:$C$154, 'Base Exámenes'!$H$5:$H$154), "anonymous")</f>
        <v/>
      </c>
    </row>
    <row r="249">
      <c r="A249" s="4">
        <f>'Base Oficial'!A249</f>
        <v/>
      </c>
      <c r="B249" s="6">
        <f>'Base Oficial'!B249</f>
        <v/>
      </c>
      <c r="C249" s="6">
        <f>'Base Oficial'!F249</f>
        <v/>
      </c>
      <c r="D249" s="6">
        <f>'Base Oficial'!G249</f>
        <v/>
      </c>
      <c r="E249" s="6">
        <f>'Base Oficial'!D249</f>
        <v/>
      </c>
      <c r="F249" s="4">
        <f>IF(ISNUMBER(XLOOKUP(A249, 'Base Exámenes'!$C$5:$C$154, 'Base Exámenes'!$E$5:$E$154)), "Completado", "Pendiente")</f>
        <v/>
      </c>
      <c r="G249" s="6">
        <f>IFERROR(XLOOKUP(A249, 'Base Exámenes'!$C$5:$C$154, 'Base Exámenes'!$D$5:$D$154), "")</f>
        <v/>
      </c>
      <c r="H249" s="6">
        <f>IFERROR(XLOOKUP(A249, 'Base Exámenes'!$C$5:$C$154, 'Base Exámenes'!$E$5:$E$154), "")</f>
        <v/>
      </c>
      <c r="I249" s="7">
        <f>IFERROR(XLOOKUP(A249, 'Base Exámenes'!$C$5:$C$154, 'Base Exámenes'!$F$5:$F$154), "")</f>
        <v/>
      </c>
      <c r="J249" s="6">
        <f>IFERROR(XLOOKUP(A249, 'Base Exámenes'!$C$5:$C$154, 'Base Exámenes'!$G$5:$G$154), "")</f>
        <v/>
      </c>
      <c r="K249" s="6">
        <f>IFERROR(XLOOKUP(A249, 'Base Exámenes'!$C$5:$C$154, 'Base Exámenes'!$H$5:$H$154), "anonymous")</f>
        <v/>
      </c>
    </row>
    <row r="250">
      <c r="A250" s="4">
        <f>'Base Oficial'!A250</f>
        <v/>
      </c>
      <c r="B250" s="6">
        <f>'Base Oficial'!B250</f>
        <v/>
      </c>
      <c r="C250" s="6">
        <f>'Base Oficial'!F250</f>
        <v/>
      </c>
      <c r="D250" s="6">
        <f>'Base Oficial'!G250</f>
        <v/>
      </c>
      <c r="E250" s="6">
        <f>'Base Oficial'!D250</f>
        <v/>
      </c>
      <c r="F250" s="4">
        <f>IF(ISNUMBER(XLOOKUP(A250, 'Base Exámenes'!$C$5:$C$154, 'Base Exámenes'!$E$5:$E$154)), "Completado", "Pendiente")</f>
        <v/>
      </c>
      <c r="G250" s="6">
        <f>IFERROR(XLOOKUP(A250, 'Base Exámenes'!$C$5:$C$154, 'Base Exámenes'!$D$5:$D$154), "")</f>
        <v/>
      </c>
      <c r="H250" s="6">
        <f>IFERROR(XLOOKUP(A250, 'Base Exámenes'!$C$5:$C$154, 'Base Exámenes'!$E$5:$E$154), "")</f>
        <v/>
      </c>
      <c r="I250" s="7">
        <f>IFERROR(XLOOKUP(A250, 'Base Exámenes'!$C$5:$C$154, 'Base Exámenes'!$F$5:$F$154), "")</f>
        <v/>
      </c>
      <c r="J250" s="6">
        <f>IFERROR(XLOOKUP(A250, 'Base Exámenes'!$C$5:$C$154, 'Base Exámenes'!$G$5:$G$154), "")</f>
        <v/>
      </c>
      <c r="K250" s="6">
        <f>IFERROR(XLOOKUP(A250, 'Base Exámenes'!$C$5:$C$154, 'Base Exámenes'!$H$5:$H$154), "anonymous")</f>
        <v/>
      </c>
    </row>
    <row r="251">
      <c r="A251" s="4">
        <f>'Base Oficial'!A251</f>
        <v/>
      </c>
      <c r="B251" s="6">
        <f>'Base Oficial'!B251</f>
        <v/>
      </c>
      <c r="C251" s="6">
        <f>'Base Oficial'!F251</f>
        <v/>
      </c>
      <c r="D251" s="6">
        <f>'Base Oficial'!G251</f>
        <v/>
      </c>
      <c r="E251" s="6">
        <f>'Base Oficial'!D251</f>
        <v/>
      </c>
      <c r="F251" s="4">
        <f>IF(ISNUMBER(XLOOKUP(A251, 'Base Exámenes'!$C$5:$C$154, 'Base Exámenes'!$E$5:$E$154)), "Completado", "Pendiente")</f>
        <v/>
      </c>
      <c r="G251" s="6">
        <f>IFERROR(XLOOKUP(A251, 'Base Exámenes'!$C$5:$C$154, 'Base Exámenes'!$D$5:$D$154), "")</f>
        <v/>
      </c>
      <c r="H251" s="6">
        <f>IFERROR(XLOOKUP(A251, 'Base Exámenes'!$C$5:$C$154, 'Base Exámenes'!$E$5:$E$154), "")</f>
        <v/>
      </c>
      <c r="I251" s="7">
        <f>IFERROR(XLOOKUP(A251, 'Base Exámenes'!$C$5:$C$154, 'Base Exámenes'!$F$5:$F$154), "")</f>
        <v/>
      </c>
      <c r="J251" s="6">
        <f>IFERROR(XLOOKUP(A251, 'Base Exámenes'!$C$5:$C$154, 'Base Exámenes'!$G$5:$G$154), "")</f>
        <v/>
      </c>
      <c r="K251" s="6">
        <f>IFERROR(XLOOKUP(A251, 'Base Exámenes'!$C$5:$C$154, 'Base Exámenes'!$H$5:$H$154), "anonymous")</f>
        <v/>
      </c>
    </row>
    <row r="252">
      <c r="A252" s="4">
        <f>'Base Oficial'!A252</f>
        <v/>
      </c>
      <c r="B252" s="6">
        <f>'Base Oficial'!B252</f>
        <v/>
      </c>
      <c r="C252" s="6">
        <f>'Base Oficial'!F252</f>
        <v/>
      </c>
      <c r="D252" s="6">
        <f>'Base Oficial'!G252</f>
        <v/>
      </c>
      <c r="E252" s="6">
        <f>'Base Oficial'!D252</f>
        <v/>
      </c>
      <c r="F252" s="4">
        <f>IF(ISNUMBER(XLOOKUP(A252, 'Base Exámenes'!$C$5:$C$154, 'Base Exámenes'!$E$5:$E$154)), "Completado", "Pendiente")</f>
        <v/>
      </c>
      <c r="G252" s="6">
        <f>IFERROR(XLOOKUP(A252, 'Base Exámenes'!$C$5:$C$154, 'Base Exámenes'!$D$5:$D$154), "")</f>
        <v/>
      </c>
      <c r="H252" s="6">
        <f>IFERROR(XLOOKUP(A252, 'Base Exámenes'!$C$5:$C$154, 'Base Exámenes'!$E$5:$E$154), "")</f>
        <v/>
      </c>
      <c r="I252" s="7">
        <f>IFERROR(XLOOKUP(A252, 'Base Exámenes'!$C$5:$C$154, 'Base Exámenes'!$F$5:$F$154), "")</f>
        <v/>
      </c>
      <c r="J252" s="6">
        <f>IFERROR(XLOOKUP(A252, 'Base Exámenes'!$C$5:$C$154, 'Base Exámenes'!$G$5:$G$154), "")</f>
        <v/>
      </c>
      <c r="K252" s="6">
        <f>IFERROR(XLOOKUP(A252, 'Base Exámenes'!$C$5:$C$154, 'Base Exámenes'!$H$5:$H$154), "anonymous")</f>
        <v/>
      </c>
    </row>
    <row r="253">
      <c r="A253" s="4">
        <f>'Base Oficial'!A253</f>
        <v/>
      </c>
      <c r="B253" s="6">
        <f>'Base Oficial'!B253</f>
        <v/>
      </c>
      <c r="C253" s="6">
        <f>'Base Oficial'!F253</f>
        <v/>
      </c>
      <c r="D253" s="6">
        <f>'Base Oficial'!G253</f>
        <v/>
      </c>
      <c r="E253" s="6">
        <f>'Base Oficial'!D253</f>
        <v/>
      </c>
      <c r="F253" s="4">
        <f>IF(ISNUMBER(XLOOKUP(A253, 'Base Exámenes'!$C$5:$C$154, 'Base Exámenes'!$E$5:$E$154)), "Completado", "Pendiente")</f>
        <v/>
      </c>
      <c r="G253" s="6">
        <f>IFERROR(XLOOKUP(A253, 'Base Exámenes'!$C$5:$C$154, 'Base Exámenes'!$D$5:$D$154), "")</f>
        <v/>
      </c>
      <c r="H253" s="6">
        <f>IFERROR(XLOOKUP(A253, 'Base Exámenes'!$C$5:$C$154, 'Base Exámenes'!$E$5:$E$154), "")</f>
        <v/>
      </c>
      <c r="I253" s="7">
        <f>IFERROR(XLOOKUP(A253, 'Base Exámenes'!$C$5:$C$154, 'Base Exámenes'!$F$5:$F$154), "")</f>
        <v/>
      </c>
      <c r="J253" s="6">
        <f>IFERROR(XLOOKUP(A253, 'Base Exámenes'!$C$5:$C$154, 'Base Exámenes'!$G$5:$G$154), "")</f>
        <v/>
      </c>
      <c r="K253" s="6">
        <f>IFERROR(XLOOKUP(A253, 'Base Exámenes'!$C$5:$C$154, 'Base Exámenes'!$H$5:$H$154), "anonymous")</f>
        <v/>
      </c>
    </row>
    <row r="254">
      <c r="A254" s="4">
        <f>'Base Oficial'!A254</f>
        <v/>
      </c>
      <c r="B254" s="6">
        <f>'Base Oficial'!B254</f>
        <v/>
      </c>
      <c r="C254" s="6">
        <f>'Base Oficial'!F254</f>
        <v/>
      </c>
      <c r="D254" s="6">
        <f>'Base Oficial'!G254</f>
        <v/>
      </c>
      <c r="E254" s="6">
        <f>'Base Oficial'!D254</f>
        <v/>
      </c>
      <c r="F254" s="4">
        <f>IF(ISNUMBER(XLOOKUP(A254, 'Base Exámenes'!$C$5:$C$154, 'Base Exámenes'!$E$5:$E$154)), "Completado", "Pendiente")</f>
        <v/>
      </c>
      <c r="G254" s="6">
        <f>IFERROR(XLOOKUP(A254, 'Base Exámenes'!$C$5:$C$154, 'Base Exámenes'!$D$5:$D$154), "")</f>
        <v/>
      </c>
      <c r="H254" s="6">
        <f>IFERROR(XLOOKUP(A254, 'Base Exámenes'!$C$5:$C$154, 'Base Exámenes'!$E$5:$E$154), "")</f>
        <v/>
      </c>
      <c r="I254" s="7">
        <f>IFERROR(XLOOKUP(A254, 'Base Exámenes'!$C$5:$C$154, 'Base Exámenes'!$F$5:$F$154), "")</f>
        <v/>
      </c>
      <c r="J254" s="6">
        <f>IFERROR(XLOOKUP(A254, 'Base Exámenes'!$C$5:$C$154, 'Base Exámenes'!$G$5:$G$154), "")</f>
        <v/>
      </c>
      <c r="K254" s="6">
        <f>IFERROR(XLOOKUP(A254, 'Base Exámenes'!$C$5:$C$154, 'Base Exámenes'!$H$5:$H$154), "anonymous")</f>
        <v/>
      </c>
    </row>
    <row r="255">
      <c r="A255" s="4">
        <f>'Base Oficial'!A255</f>
        <v/>
      </c>
      <c r="B255" s="6">
        <f>'Base Oficial'!B255</f>
        <v/>
      </c>
      <c r="C255" s="6">
        <f>'Base Oficial'!F255</f>
        <v/>
      </c>
      <c r="D255" s="6">
        <f>'Base Oficial'!G255</f>
        <v/>
      </c>
      <c r="E255" s="6">
        <f>'Base Oficial'!D255</f>
        <v/>
      </c>
      <c r="F255" s="4">
        <f>IF(ISNUMBER(XLOOKUP(A255, 'Base Exámenes'!$C$5:$C$154, 'Base Exámenes'!$E$5:$E$154)), "Completado", "Pendiente")</f>
        <v/>
      </c>
      <c r="G255" s="6">
        <f>IFERROR(XLOOKUP(A255, 'Base Exámenes'!$C$5:$C$154, 'Base Exámenes'!$D$5:$D$154), "")</f>
        <v/>
      </c>
      <c r="H255" s="6">
        <f>IFERROR(XLOOKUP(A255, 'Base Exámenes'!$C$5:$C$154, 'Base Exámenes'!$E$5:$E$154), "")</f>
        <v/>
      </c>
      <c r="I255" s="7">
        <f>IFERROR(XLOOKUP(A255, 'Base Exámenes'!$C$5:$C$154, 'Base Exámenes'!$F$5:$F$154), "")</f>
        <v/>
      </c>
      <c r="J255" s="6">
        <f>IFERROR(XLOOKUP(A255, 'Base Exámenes'!$C$5:$C$154, 'Base Exámenes'!$G$5:$G$154), "")</f>
        <v/>
      </c>
      <c r="K255" s="6">
        <f>IFERROR(XLOOKUP(A255, 'Base Exámenes'!$C$5:$C$154, 'Base Exámenes'!$H$5:$H$154), "anonymous")</f>
        <v/>
      </c>
    </row>
    <row r="256">
      <c r="A256" s="4">
        <f>'Base Oficial'!A256</f>
        <v/>
      </c>
      <c r="B256" s="6">
        <f>'Base Oficial'!B256</f>
        <v/>
      </c>
      <c r="C256" s="6">
        <f>'Base Oficial'!F256</f>
        <v/>
      </c>
      <c r="D256" s="6">
        <f>'Base Oficial'!G256</f>
        <v/>
      </c>
      <c r="E256" s="6">
        <f>'Base Oficial'!D256</f>
        <v/>
      </c>
      <c r="F256" s="4">
        <f>IF(ISNUMBER(XLOOKUP(A256, 'Base Exámenes'!$C$5:$C$154, 'Base Exámenes'!$E$5:$E$154)), "Completado", "Pendiente")</f>
        <v/>
      </c>
      <c r="G256" s="6">
        <f>IFERROR(XLOOKUP(A256, 'Base Exámenes'!$C$5:$C$154, 'Base Exámenes'!$D$5:$D$154), "")</f>
        <v/>
      </c>
      <c r="H256" s="6">
        <f>IFERROR(XLOOKUP(A256, 'Base Exámenes'!$C$5:$C$154, 'Base Exámenes'!$E$5:$E$154), "")</f>
        <v/>
      </c>
      <c r="I256" s="7">
        <f>IFERROR(XLOOKUP(A256, 'Base Exámenes'!$C$5:$C$154, 'Base Exámenes'!$F$5:$F$154), "")</f>
        <v/>
      </c>
      <c r="J256" s="6">
        <f>IFERROR(XLOOKUP(A256, 'Base Exámenes'!$C$5:$C$154, 'Base Exámenes'!$G$5:$G$154), "")</f>
        <v/>
      </c>
      <c r="K256" s="6">
        <f>IFERROR(XLOOKUP(A256, 'Base Exámenes'!$C$5:$C$154, 'Base Exámenes'!$H$5:$H$154), "anonymous")</f>
        <v/>
      </c>
    </row>
    <row r="257">
      <c r="A257" s="4">
        <f>'Base Oficial'!A257</f>
        <v/>
      </c>
      <c r="B257" s="6">
        <f>'Base Oficial'!B257</f>
        <v/>
      </c>
      <c r="C257" s="6">
        <f>'Base Oficial'!F257</f>
        <v/>
      </c>
      <c r="D257" s="6">
        <f>'Base Oficial'!G257</f>
        <v/>
      </c>
      <c r="E257" s="6">
        <f>'Base Oficial'!D257</f>
        <v/>
      </c>
      <c r="F257" s="4">
        <f>IF(ISNUMBER(XLOOKUP(A257, 'Base Exámenes'!$C$5:$C$154, 'Base Exámenes'!$E$5:$E$154)), "Completado", "Pendiente")</f>
        <v/>
      </c>
      <c r="G257" s="6">
        <f>IFERROR(XLOOKUP(A257, 'Base Exámenes'!$C$5:$C$154, 'Base Exámenes'!$D$5:$D$154), "")</f>
        <v/>
      </c>
      <c r="H257" s="6">
        <f>IFERROR(XLOOKUP(A257, 'Base Exámenes'!$C$5:$C$154, 'Base Exámenes'!$E$5:$E$154), "")</f>
        <v/>
      </c>
      <c r="I257" s="7">
        <f>IFERROR(XLOOKUP(A257, 'Base Exámenes'!$C$5:$C$154, 'Base Exámenes'!$F$5:$F$154), "")</f>
        <v/>
      </c>
      <c r="J257" s="6">
        <f>IFERROR(XLOOKUP(A257, 'Base Exámenes'!$C$5:$C$154, 'Base Exámenes'!$G$5:$G$154), "")</f>
        <v/>
      </c>
      <c r="K257" s="6">
        <f>IFERROR(XLOOKUP(A257, 'Base Exámenes'!$C$5:$C$154, 'Base Exámenes'!$H$5:$H$154), "anonymous")</f>
        <v/>
      </c>
    </row>
    <row r="258">
      <c r="A258" s="4">
        <f>'Base Oficial'!A258</f>
        <v/>
      </c>
      <c r="B258" s="6">
        <f>'Base Oficial'!B258</f>
        <v/>
      </c>
      <c r="C258" s="6">
        <f>'Base Oficial'!F258</f>
        <v/>
      </c>
      <c r="D258" s="6">
        <f>'Base Oficial'!G258</f>
        <v/>
      </c>
      <c r="E258" s="6">
        <f>'Base Oficial'!D258</f>
        <v/>
      </c>
      <c r="F258" s="4">
        <f>IF(ISNUMBER(XLOOKUP(A258, 'Base Exámenes'!$C$5:$C$154, 'Base Exámenes'!$E$5:$E$154)), "Completado", "Pendiente")</f>
        <v/>
      </c>
      <c r="G258" s="6">
        <f>IFERROR(XLOOKUP(A258, 'Base Exámenes'!$C$5:$C$154, 'Base Exámenes'!$D$5:$D$154), "")</f>
        <v/>
      </c>
      <c r="H258" s="6">
        <f>IFERROR(XLOOKUP(A258, 'Base Exámenes'!$C$5:$C$154, 'Base Exámenes'!$E$5:$E$154), "")</f>
        <v/>
      </c>
      <c r="I258" s="7">
        <f>IFERROR(XLOOKUP(A258, 'Base Exámenes'!$C$5:$C$154, 'Base Exámenes'!$F$5:$F$154), "")</f>
        <v/>
      </c>
      <c r="J258" s="6">
        <f>IFERROR(XLOOKUP(A258, 'Base Exámenes'!$C$5:$C$154, 'Base Exámenes'!$G$5:$G$154), "")</f>
        <v/>
      </c>
      <c r="K258" s="6">
        <f>IFERROR(XLOOKUP(A258, 'Base Exámenes'!$C$5:$C$154, 'Base Exámenes'!$H$5:$H$154), "anonymous")</f>
        <v/>
      </c>
    </row>
    <row r="259">
      <c r="A259" s="4">
        <f>'Base Oficial'!A259</f>
        <v/>
      </c>
      <c r="B259" s="6">
        <f>'Base Oficial'!B259</f>
        <v/>
      </c>
      <c r="C259" s="6">
        <f>'Base Oficial'!F259</f>
        <v/>
      </c>
      <c r="D259" s="6">
        <f>'Base Oficial'!G259</f>
        <v/>
      </c>
      <c r="E259" s="6">
        <f>'Base Oficial'!D259</f>
        <v/>
      </c>
      <c r="F259" s="4">
        <f>IF(ISNUMBER(XLOOKUP(A259, 'Base Exámenes'!$C$5:$C$154, 'Base Exámenes'!$E$5:$E$154)), "Completado", "Pendiente")</f>
        <v/>
      </c>
      <c r="G259" s="6">
        <f>IFERROR(XLOOKUP(A259, 'Base Exámenes'!$C$5:$C$154, 'Base Exámenes'!$D$5:$D$154), "")</f>
        <v/>
      </c>
      <c r="H259" s="6">
        <f>IFERROR(XLOOKUP(A259, 'Base Exámenes'!$C$5:$C$154, 'Base Exámenes'!$E$5:$E$154), "")</f>
        <v/>
      </c>
      <c r="I259" s="7">
        <f>IFERROR(XLOOKUP(A259, 'Base Exámenes'!$C$5:$C$154, 'Base Exámenes'!$F$5:$F$154), "")</f>
        <v/>
      </c>
      <c r="J259" s="6">
        <f>IFERROR(XLOOKUP(A259, 'Base Exámenes'!$C$5:$C$154, 'Base Exámenes'!$G$5:$G$154), "")</f>
        <v/>
      </c>
      <c r="K259" s="6">
        <f>IFERROR(XLOOKUP(A259, 'Base Exámenes'!$C$5:$C$154, 'Base Exámenes'!$H$5:$H$154), "anonymous")</f>
        <v/>
      </c>
    </row>
    <row r="260">
      <c r="A260" s="4">
        <f>'Base Oficial'!A260</f>
        <v/>
      </c>
      <c r="B260" s="6">
        <f>'Base Oficial'!B260</f>
        <v/>
      </c>
      <c r="C260" s="6">
        <f>'Base Oficial'!F260</f>
        <v/>
      </c>
      <c r="D260" s="6">
        <f>'Base Oficial'!G260</f>
        <v/>
      </c>
      <c r="E260" s="6">
        <f>'Base Oficial'!D260</f>
        <v/>
      </c>
      <c r="F260" s="4">
        <f>IF(ISNUMBER(XLOOKUP(A260, 'Base Exámenes'!$C$5:$C$154, 'Base Exámenes'!$E$5:$E$154)), "Completado", "Pendiente")</f>
        <v/>
      </c>
      <c r="G260" s="6">
        <f>IFERROR(XLOOKUP(A260, 'Base Exámenes'!$C$5:$C$154, 'Base Exámenes'!$D$5:$D$154), "")</f>
        <v/>
      </c>
      <c r="H260" s="6">
        <f>IFERROR(XLOOKUP(A260, 'Base Exámenes'!$C$5:$C$154, 'Base Exámenes'!$E$5:$E$154), "")</f>
        <v/>
      </c>
      <c r="I260" s="7">
        <f>IFERROR(XLOOKUP(A260, 'Base Exámenes'!$C$5:$C$154, 'Base Exámenes'!$F$5:$F$154), "")</f>
        <v/>
      </c>
      <c r="J260" s="6">
        <f>IFERROR(XLOOKUP(A260, 'Base Exámenes'!$C$5:$C$154, 'Base Exámenes'!$G$5:$G$154), "")</f>
        <v/>
      </c>
      <c r="K260" s="6">
        <f>IFERROR(XLOOKUP(A260, 'Base Exámenes'!$C$5:$C$154, 'Base Exámenes'!$H$5:$H$154), "anonymous")</f>
        <v/>
      </c>
    </row>
    <row r="261">
      <c r="A261" s="4">
        <f>'Base Oficial'!A261</f>
        <v/>
      </c>
      <c r="B261" s="6">
        <f>'Base Oficial'!B261</f>
        <v/>
      </c>
      <c r="C261" s="6">
        <f>'Base Oficial'!F261</f>
        <v/>
      </c>
      <c r="D261" s="6">
        <f>'Base Oficial'!G261</f>
        <v/>
      </c>
      <c r="E261" s="6">
        <f>'Base Oficial'!D261</f>
        <v/>
      </c>
      <c r="F261" s="4">
        <f>IF(ISNUMBER(XLOOKUP(A261, 'Base Exámenes'!$C$5:$C$154, 'Base Exámenes'!$E$5:$E$154)), "Completado", "Pendiente")</f>
        <v/>
      </c>
      <c r="G261" s="6">
        <f>IFERROR(XLOOKUP(A261, 'Base Exámenes'!$C$5:$C$154, 'Base Exámenes'!$D$5:$D$154), "")</f>
        <v/>
      </c>
      <c r="H261" s="6">
        <f>IFERROR(XLOOKUP(A261, 'Base Exámenes'!$C$5:$C$154, 'Base Exámenes'!$E$5:$E$154), "")</f>
        <v/>
      </c>
      <c r="I261" s="7">
        <f>IFERROR(XLOOKUP(A261, 'Base Exámenes'!$C$5:$C$154, 'Base Exámenes'!$F$5:$F$154), "")</f>
        <v/>
      </c>
      <c r="J261" s="6">
        <f>IFERROR(XLOOKUP(A261, 'Base Exámenes'!$C$5:$C$154, 'Base Exámenes'!$G$5:$G$154), "")</f>
        <v/>
      </c>
      <c r="K261" s="6">
        <f>IFERROR(XLOOKUP(A261, 'Base Exámenes'!$C$5:$C$154, 'Base Exámenes'!$H$5:$H$154), "anonymous")</f>
        <v/>
      </c>
    </row>
    <row r="262">
      <c r="A262" s="4">
        <f>'Base Oficial'!A262</f>
        <v/>
      </c>
      <c r="B262" s="6">
        <f>'Base Oficial'!B262</f>
        <v/>
      </c>
      <c r="C262" s="6">
        <f>'Base Oficial'!F262</f>
        <v/>
      </c>
      <c r="D262" s="6">
        <f>'Base Oficial'!G262</f>
        <v/>
      </c>
      <c r="E262" s="6">
        <f>'Base Oficial'!D262</f>
        <v/>
      </c>
      <c r="F262" s="4">
        <f>IF(ISNUMBER(XLOOKUP(A262, 'Base Exámenes'!$C$5:$C$154, 'Base Exámenes'!$E$5:$E$154)), "Completado", "Pendiente")</f>
        <v/>
      </c>
      <c r="G262" s="6">
        <f>IFERROR(XLOOKUP(A262, 'Base Exámenes'!$C$5:$C$154, 'Base Exámenes'!$D$5:$D$154), "")</f>
        <v/>
      </c>
      <c r="H262" s="6">
        <f>IFERROR(XLOOKUP(A262, 'Base Exámenes'!$C$5:$C$154, 'Base Exámenes'!$E$5:$E$154), "")</f>
        <v/>
      </c>
      <c r="I262" s="7">
        <f>IFERROR(XLOOKUP(A262, 'Base Exámenes'!$C$5:$C$154, 'Base Exámenes'!$F$5:$F$154), "")</f>
        <v/>
      </c>
      <c r="J262" s="6">
        <f>IFERROR(XLOOKUP(A262, 'Base Exámenes'!$C$5:$C$154, 'Base Exámenes'!$G$5:$G$154), "")</f>
        <v/>
      </c>
      <c r="K262" s="6">
        <f>IFERROR(XLOOKUP(A262, 'Base Exámenes'!$C$5:$C$154, 'Base Exámenes'!$H$5:$H$154), "anonymous")</f>
        <v/>
      </c>
    </row>
    <row r="263">
      <c r="A263" s="4">
        <f>'Base Oficial'!A263</f>
        <v/>
      </c>
      <c r="B263" s="6">
        <f>'Base Oficial'!B263</f>
        <v/>
      </c>
      <c r="C263" s="6">
        <f>'Base Oficial'!F263</f>
        <v/>
      </c>
      <c r="D263" s="6">
        <f>'Base Oficial'!G263</f>
        <v/>
      </c>
      <c r="E263" s="6">
        <f>'Base Oficial'!D263</f>
        <v/>
      </c>
      <c r="F263" s="4">
        <f>IF(ISNUMBER(XLOOKUP(A263, 'Base Exámenes'!$C$5:$C$154, 'Base Exámenes'!$E$5:$E$154)), "Completado", "Pendiente")</f>
        <v/>
      </c>
      <c r="G263" s="6">
        <f>IFERROR(XLOOKUP(A263, 'Base Exámenes'!$C$5:$C$154, 'Base Exámenes'!$D$5:$D$154), "")</f>
        <v/>
      </c>
      <c r="H263" s="6">
        <f>IFERROR(XLOOKUP(A263, 'Base Exámenes'!$C$5:$C$154, 'Base Exámenes'!$E$5:$E$154), "")</f>
        <v/>
      </c>
      <c r="I263" s="7">
        <f>IFERROR(XLOOKUP(A263, 'Base Exámenes'!$C$5:$C$154, 'Base Exámenes'!$F$5:$F$154), "")</f>
        <v/>
      </c>
      <c r="J263" s="6">
        <f>IFERROR(XLOOKUP(A263, 'Base Exámenes'!$C$5:$C$154, 'Base Exámenes'!$G$5:$G$154), "")</f>
        <v/>
      </c>
      <c r="K263" s="6">
        <f>IFERROR(XLOOKUP(A263, 'Base Exámenes'!$C$5:$C$154, 'Base Exámenes'!$H$5:$H$154), "anonymous")</f>
        <v/>
      </c>
    </row>
    <row r="264">
      <c r="A264" s="4">
        <f>'Base Oficial'!A264</f>
        <v/>
      </c>
      <c r="B264" s="6">
        <f>'Base Oficial'!B264</f>
        <v/>
      </c>
      <c r="C264" s="6">
        <f>'Base Oficial'!F264</f>
        <v/>
      </c>
      <c r="D264" s="6">
        <f>'Base Oficial'!G264</f>
        <v/>
      </c>
      <c r="E264" s="6">
        <f>'Base Oficial'!D264</f>
        <v/>
      </c>
      <c r="F264" s="4">
        <f>IF(ISNUMBER(XLOOKUP(A264, 'Base Exámenes'!$C$5:$C$154, 'Base Exámenes'!$E$5:$E$154)), "Completado", "Pendiente")</f>
        <v/>
      </c>
      <c r="G264" s="6">
        <f>IFERROR(XLOOKUP(A264, 'Base Exámenes'!$C$5:$C$154, 'Base Exámenes'!$D$5:$D$154), "")</f>
        <v/>
      </c>
      <c r="H264" s="6">
        <f>IFERROR(XLOOKUP(A264, 'Base Exámenes'!$C$5:$C$154, 'Base Exámenes'!$E$5:$E$154), "")</f>
        <v/>
      </c>
      <c r="I264" s="7">
        <f>IFERROR(XLOOKUP(A264, 'Base Exámenes'!$C$5:$C$154, 'Base Exámenes'!$F$5:$F$154), "")</f>
        <v/>
      </c>
      <c r="J264" s="6">
        <f>IFERROR(XLOOKUP(A264, 'Base Exámenes'!$C$5:$C$154, 'Base Exámenes'!$G$5:$G$154), "")</f>
        <v/>
      </c>
      <c r="K264" s="6">
        <f>IFERROR(XLOOKUP(A264, 'Base Exámenes'!$C$5:$C$154, 'Base Exámenes'!$H$5:$H$154), "anonymous")</f>
        <v/>
      </c>
    </row>
    <row r="265">
      <c r="A265" s="4">
        <f>'Base Oficial'!A265</f>
        <v/>
      </c>
      <c r="B265" s="6">
        <f>'Base Oficial'!B265</f>
        <v/>
      </c>
      <c r="C265" s="6">
        <f>'Base Oficial'!F265</f>
        <v/>
      </c>
      <c r="D265" s="6">
        <f>'Base Oficial'!G265</f>
        <v/>
      </c>
      <c r="E265" s="6">
        <f>'Base Oficial'!D265</f>
        <v/>
      </c>
      <c r="F265" s="4">
        <f>IF(ISNUMBER(XLOOKUP(A265, 'Base Exámenes'!$C$5:$C$154, 'Base Exámenes'!$E$5:$E$154)), "Completado", "Pendiente")</f>
        <v/>
      </c>
      <c r="G265" s="6">
        <f>IFERROR(XLOOKUP(A265, 'Base Exámenes'!$C$5:$C$154, 'Base Exámenes'!$D$5:$D$154), "")</f>
        <v/>
      </c>
      <c r="H265" s="6">
        <f>IFERROR(XLOOKUP(A265, 'Base Exámenes'!$C$5:$C$154, 'Base Exámenes'!$E$5:$E$154), "")</f>
        <v/>
      </c>
      <c r="I265" s="7">
        <f>IFERROR(XLOOKUP(A265, 'Base Exámenes'!$C$5:$C$154, 'Base Exámenes'!$F$5:$F$154), "")</f>
        <v/>
      </c>
      <c r="J265" s="6">
        <f>IFERROR(XLOOKUP(A265, 'Base Exámenes'!$C$5:$C$154, 'Base Exámenes'!$G$5:$G$154), "")</f>
        <v/>
      </c>
      <c r="K265" s="6">
        <f>IFERROR(XLOOKUP(A265, 'Base Exámenes'!$C$5:$C$154, 'Base Exámenes'!$H$5:$H$154), "anonymous")</f>
        <v/>
      </c>
    </row>
    <row r="266">
      <c r="A266" s="4">
        <f>'Base Oficial'!A266</f>
        <v/>
      </c>
      <c r="B266" s="6">
        <f>'Base Oficial'!B266</f>
        <v/>
      </c>
      <c r="C266" s="6">
        <f>'Base Oficial'!F266</f>
        <v/>
      </c>
      <c r="D266" s="6">
        <f>'Base Oficial'!G266</f>
        <v/>
      </c>
      <c r="E266" s="6">
        <f>'Base Oficial'!D266</f>
        <v/>
      </c>
      <c r="F266" s="4">
        <f>IF(ISNUMBER(XLOOKUP(A266, 'Base Exámenes'!$C$5:$C$154, 'Base Exámenes'!$E$5:$E$154)), "Completado", "Pendiente")</f>
        <v/>
      </c>
      <c r="G266" s="6">
        <f>IFERROR(XLOOKUP(A266, 'Base Exámenes'!$C$5:$C$154, 'Base Exámenes'!$D$5:$D$154), "")</f>
        <v/>
      </c>
      <c r="H266" s="6">
        <f>IFERROR(XLOOKUP(A266, 'Base Exámenes'!$C$5:$C$154, 'Base Exámenes'!$E$5:$E$154), "")</f>
        <v/>
      </c>
      <c r="I266" s="7">
        <f>IFERROR(XLOOKUP(A266, 'Base Exámenes'!$C$5:$C$154, 'Base Exámenes'!$F$5:$F$154), "")</f>
        <v/>
      </c>
      <c r="J266" s="6">
        <f>IFERROR(XLOOKUP(A266, 'Base Exámenes'!$C$5:$C$154, 'Base Exámenes'!$G$5:$G$154), "")</f>
        <v/>
      </c>
      <c r="K266" s="6">
        <f>IFERROR(XLOOKUP(A266, 'Base Exámenes'!$C$5:$C$154, 'Base Exámenes'!$H$5:$H$154), "anonymous")</f>
        <v/>
      </c>
    </row>
    <row r="267">
      <c r="A267" s="4">
        <f>'Base Oficial'!A267</f>
        <v/>
      </c>
      <c r="B267" s="6">
        <f>'Base Oficial'!B267</f>
        <v/>
      </c>
      <c r="C267" s="6">
        <f>'Base Oficial'!F267</f>
        <v/>
      </c>
      <c r="D267" s="6">
        <f>'Base Oficial'!G267</f>
        <v/>
      </c>
      <c r="E267" s="6">
        <f>'Base Oficial'!D267</f>
        <v/>
      </c>
      <c r="F267" s="4">
        <f>IF(ISNUMBER(XLOOKUP(A267, 'Base Exámenes'!$C$5:$C$154, 'Base Exámenes'!$E$5:$E$154)), "Completado", "Pendiente")</f>
        <v/>
      </c>
      <c r="G267" s="6">
        <f>IFERROR(XLOOKUP(A267, 'Base Exámenes'!$C$5:$C$154, 'Base Exámenes'!$D$5:$D$154), "")</f>
        <v/>
      </c>
      <c r="H267" s="6">
        <f>IFERROR(XLOOKUP(A267, 'Base Exámenes'!$C$5:$C$154, 'Base Exámenes'!$E$5:$E$154), "")</f>
        <v/>
      </c>
      <c r="I267" s="7">
        <f>IFERROR(XLOOKUP(A267, 'Base Exámenes'!$C$5:$C$154, 'Base Exámenes'!$F$5:$F$154), "")</f>
        <v/>
      </c>
      <c r="J267" s="6">
        <f>IFERROR(XLOOKUP(A267, 'Base Exámenes'!$C$5:$C$154, 'Base Exámenes'!$G$5:$G$154), "")</f>
        <v/>
      </c>
      <c r="K267" s="6">
        <f>IFERROR(XLOOKUP(A267, 'Base Exámenes'!$C$5:$C$154, 'Base Exámenes'!$H$5:$H$154), "anonymous")</f>
        <v/>
      </c>
    </row>
    <row r="268">
      <c r="A268" s="4">
        <f>'Base Oficial'!A268</f>
        <v/>
      </c>
      <c r="B268" s="6">
        <f>'Base Oficial'!B268</f>
        <v/>
      </c>
      <c r="C268" s="6">
        <f>'Base Oficial'!F268</f>
        <v/>
      </c>
      <c r="D268" s="6">
        <f>'Base Oficial'!G268</f>
        <v/>
      </c>
      <c r="E268" s="6">
        <f>'Base Oficial'!D268</f>
        <v/>
      </c>
      <c r="F268" s="4">
        <f>IF(ISNUMBER(XLOOKUP(A268, 'Base Exámenes'!$C$5:$C$154, 'Base Exámenes'!$E$5:$E$154)), "Completado", "Pendiente")</f>
        <v/>
      </c>
      <c r="G268" s="6">
        <f>IFERROR(XLOOKUP(A268, 'Base Exámenes'!$C$5:$C$154, 'Base Exámenes'!$D$5:$D$154), "")</f>
        <v/>
      </c>
      <c r="H268" s="6">
        <f>IFERROR(XLOOKUP(A268, 'Base Exámenes'!$C$5:$C$154, 'Base Exámenes'!$E$5:$E$154), "")</f>
        <v/>
      </c>
      <c r="I268" s="7">
        <f>IFERROR(XLOOKUP(A268, 'Base Exámenes'!$C$5:$C$154, 'Base Exámenes'!$F$5:$F$154), "")</f>
        <v/>
      </c>
      <c r="J268" s="6">
        <f>IFERROR(XLOOKUP(A268, 'Base Exámenes'!$C$5:$C$154, 'Base Exámenes'!$G$5:$G$154), "")</f>
        <v/>
      </c>
      <c r="K268" s="6">
        <f>IFERROR(XLOOKUP(A268, 'Base Exámenes'!$C$5:$C$154, 'Base Exámenes'!$H$5:$H$154), "anonymous")</f>
        <v/>
      </c>
    </row>
    <row r="269">
      <c r="A269" s="4">
        <f>'Base Oficial'!A269</f>
        <v/>
      </c>
      <c r="B269" s="6">
        <f>'Base Oficial'!B269</f>
        <v/>
      </c>
      <c r="C269" s="6">
        <f>'Base Oficial'!F269</f>
        <v/>
      </c>
      <c r="D269" s="6">
        <f>'Base Oficial'!G269</f>
        <v/>
      </c>
      <c r="E269" s="6">
        <f>'Base Oficial'!D269</f>
        <v/>
      </c>
      <c r="F269" s="4">
        <f>IF(ISNUMBER(XLOOKUP(A269, 'Base Exámenes'!$C$5:$C$154, 'Base Exámenes'!$E$5:$E$154)), "Completado", "Pendiente")</f>
        <v/>
      </c>
      <c r="G269" s="6">
        <f>IFERROR(XLOOKUP(A269, 'Base Exámenes'!$C$5:$C$154, 'Base Exámenes'!$D$5:$D$154), "")</f>
        <v/>
      </c>
      <c r="H269" s="6">
        <f>IFERROR(XLOOKUP(A269, 'Base Exámenes'!$C$5:$C$154, 'Base Exámenes'!$E$5:$E$154), "")</f>
        <v/>
      </c>
      <c r="I269" s="7">
        <f>IFERROR(XLOOKUP(A269, 'Base Exámenes'!$C$5:$C$154, 'Base Exámenes'!$F$5:$F$154), "")</f>
        <v/>
      </c>
      <c r="J269" s="6">
        <f>IFERROR(XLOOKUP(A269, 'Base Exámenes'!$C$5:$C$154, 'Base Exámenes'!$G$5:$G$154), "")</f>
        <v/>
      </c>
      <c r="K269" s="6">
        <f>IFERROR(XLOOKUP(A269, 'Base Exámenes'!$C$5:$C$154, 'Base Exámenes'!$H$5:$H$154), "anonymous")</f>
        <v/>
      </c>
    </row>
    <row r="270">
      <c r="A270" s="4">
        <f>'Base Oficial'!A270</f>
        <v/>
      </c>
      <c r="B270" s="6">
        <f>'Base Oficial'!B270</f>
        <v/>
      </c>
      <c r="C270" s="6">
        <f>'Base Oficial'!F270</f>
        <v/>
      </c>
      <c r="D270" s="6">
        <f>'Base Oficial'!G270</f>
        <v/>
      </c>
      <c r="E270" s="6">
        <f>'Base Oficial'!D270</f>
        <v/>
      </c>
      <c r="F270" s="4">
        <f>IF(ISNUMBER(XLOOKUP(A270, 'Base Exámenes'!$C$5:$C$154, 'Base Exámenes'!$E$5:$E$154)), "Completado", "Pendiente")</f>
        <v/>
      </c>
      <c r="G270" s="6">
        <f>IFERROR(XLOOKUP(A270, 'Base Exámenes'!$C$5:$C$154, 'Base Exámenes'!$D$5:$D$154), "")</f>
        <v/>
      </c>
      <c r="H270" s="6">
        <f>IFERROR(XLOOKUP(A270, 'Base Exámenes'!$C$5:$C$154, 'Base Exámenes'!$E$5:$E$154), "")</f>
        <v/>
      </c>
      <c r="I270" s="7">
        <f>IFERROR(XLOOKUP(A270, 'Base Exámenes'!$C$5:$C$154, 'Base Exámenes'!$F$5:$F$154), "")</f>
        <v/>
      </c>
      <c r="J270" s="6">
        <f>IFERROR(XLOOKUP(A270, 'Base Exámenes'!$C$5:$C$154, 'Base Exámenes'!$G$5:$G$154), "")</f>
        <v/>
      </c>
      <c r="K270" s="6">
        <f>IFERROR(XLOOKUP(A270, 'Base Exámenes'!$C$5:$C$154, 'Base Exámenes'!$H$5:$H$154), "anonymous")</f>
        <v/>
      </c>
    </row>
    <row r="271">
      <c r="A271" s="4">
        <f>'Base Oficial'!A271</f>
        <v/>
      </c>
      <c r="B271" s="6">
        <f>'Base Oficial'!B271</f>
        <v/>
      </c>
      <c r="C271" s="6">
        <f>'Base Oficial'!F271</f>
        <v/>
      </c>
      <c r="D271" s="6">
        <f>'Base Oficial'!G271</f>
        <v/>
      </c>
      <c r="E271" s="6">
        <f>'Base Oficial'!D271</f>
        <v/>
      </c>
      <c r="F271" s="4">
        <f>IF(ISNUMBER(XLOOKUP(A271, 'Base Exámenes'!$C$5:$C$154, 'Base Exámenes'!$E$5:$E$154)), "Completado", "Pendiente")</f>
        <v/>
      </c>
      <c r="G271" s="6">
        <f>IFERROR(XLOOKUP(A271, 'Base Exámenes'!$C$5:$C$154, 'Base Exámenes'!$D$5:$D$154), "")</f>
        <v/>
      </c>
      <c r="H271" s="6">
        <f>IFERROR(XLOOKUP(A271, 'Base Exámenes'!$C$5:$C$154, 'Base Exámenes'!$E$5:$E$154), "")</f>
        <v/>
      </c>
      <c r="I271" s="7">
        <f>IFERROR(XLOOKUP(A271, 'Base Exámenes'!$C$5:$C$154, 'Base Exámenes'!$F$5:$F$154), "")</f>
        <v/>
      </c>
      <c r="J271" s="6">
        <f>IFERROR(XLOOKUP(A271, 'Base Exámenes'!$C$5:$C$154, 'Base Exámenes'!$G$5:$G$154), "")</f>
        <v/>
      </c>
      <c r="K271" s="6">
        <f>IFERROR(XLOOKUP(A271, 'Base Exámenes'!$C$5:$C$154, 'Base Exámenes'!$H$5:$H$154), "anonymous")</f>
        <v/>
      </c>
    </row>
    <row r="272">
      <c r="A272" s="4">
        <f>'Base Oficial'!A272</f>
        <v/>
      </c>
      <c r="B272" s="6">
        <f>'Base Oficial'!B272</f>
        <v/>
      </c>
      <c r="C272" s="6">
        <f>'Base Oficial'!F272</f>
        <v/>
      </c>
      <c r="D272" s="6">
        <f>'Base Oficial'!G272</f>
        <v/>
      </c>
      <c r="E272" s="6">
        <f>'Base Oficial'!D272</f>
        <v/>
      </c>
      <c r="F272" s="4">
        <f>IF(ISNUMBER(XLOOKUP(A272, 'Base Exámenes'!$C$5:$C$154, 'Base Exámenes'!$E$5:$E$154)), "Completado", "Pendiente")</f>
        <v/>
      </c>
      <c r="G272" s="6">
        <f>IFERROR(XLOOKUP(A272, 'Base Exámenes'!$C$5:$C$154, 'Base Exámenes'!$D$5:$D$154), "")</f>
        <v/>
      </c>
      <c r="H272" s="6">
        <f>IFERROR(XLOOKUP(A272, 'Base Exámenes'!$C$5:$C$154, 'Base Exámenes'!$E$5:$E$154), "")</f>
        <v/>
      </c>
      <c r="I272" s="7">
        <f>IFERROR(XLOOKUP(A272, 'Base Exámenes'!$C$5:$C$154, 'Base Exámenes'!$F$5:$F$154), "")</f>
        <v/>
      </c>
      <c r="J272" s="6">
        <f>IFERROR(XLOOKUP(A272, 'Base Exámenes'!$C$5:$C$154, 'Base Exámenes'!$G$5:$G$154), "")</f>
        <v/>
      </c>
      <c r="K272" s="6">
        <f>IFERROR(XLOOKUP(A272, 'Base Exámenes'!$C$5:$C$154, 'Base Exámenes'!$H$5:$H$154), "anonymous")</f>
        <v/>
      </c>
    </row>
    <row r="273">
      <c r="A273" s="4">
        <f>'Base Oficial'!A273</f>
        <v/>
      </c>
      <c r="B273" s="6">
        <f>'Base Oficial'!B273</f>
        <v/>
      </c>
      <c r="C273" s="6">
        <f>'Base Oficial'!F273</f>
        <v/>
      </c>
      <c r="D273" s="6">
        <f>'Base Oficial'!G273</f>
        <v/>
      </c>
      <c r="E273" s="6">
        <f>'Base Oficial'!D273</f>
        <v/>
      </c>
      <c r="F273" s="4">
        <f>IF(ISNUMBER(XLOOKUP(A273, 'Base Exámenes'!$C$5:$C$154, 'Base Exámenes'!$E$5:$E$154)), "Completado", "Pendiente")</f>
        <v/>
      </c>
      <c r="G273" s="6">
        <f>IFERROR(XLOOKUP(A273, 'Base Exámenes'!$C$5:$C$154, 'Base Exámenes'!$D$5:$D$154), "")</f>
        <v/>
      </c>
      <c r="H273" s="6">
        <f>IFERROR(XLOOKUP(A273, 'Base Exámenes'!$C$5:$C$154, 'Base Exámenes'!$E$5:$E$154), "")</f>
        <v/>
      </c>
      <c r="I273" s="7">
        <f>IFERROR(XLOOKUP(A273, 'Base Exámenes'!$C$5:$C$154, 'Base Exámenes'!$F$5:$F$154), "")</f>
        <v/>
      </c>
      <c r="J273" s="6">
        <f>IFERROR(XLOOKUP(A273, 'Base Exámenes'!$C$5:$C$154, 'Base Exámenes'!$G$5:$G$154), "")</f>
        <v/>
      </c>
      <c r="K273" s="6">
        <f>IFERROR(XLOOKUP(A273, 'Base Exámenes'!$C$5:$C$154, 'Base Exámenes'!$H$5:$H$154), "anonymous")</f>
        <v/>
      </c>
    </row>
    <row r="274">
      <c r="A274" s="4">
        <f>'Base Oficial'!A274</f>
        <v/>
      </c>
      <c r="B274" s="6">
        <f>'Base Oficial'!B274</f>
        <v/>
      </c>
      <c r="C274" s="6">
        <f>'Base Oficial'!F274</f>
        <v/>
      </c>
      <c r="D274" s="6">
        <f>'Base Oficial'!G274</f>
        <v/>
      </c>
      <c r="E274" s="6">
        <f>'Base Oficial'!D274</f>
        <v/>
      </c>
      <c r="F274" s="4">
        <f>IF(ISNUMBER(XLOOKUP(A274, 'Base Exámenes'!$C$5:$C$154, 'Base Exámenes'!$E$5:$E$154)), "Completado", "Pendiente")</f>
        <v/>
      </c>
      <c r="G274" s="6">
        <f>IFERROR(XLOOKUP(A274, 'Base Exámenes'!$C$5:$C$154, 'Base Exámenes'!$D$5:$D$154), "")</f>
        <v/>
      </c>
      <c r="H274" s="6">
        <f>IFERROR(XLOOKUP(A274, 'Base Exámenes'!$C$5:$C$154, 'Base Exámenes'!$E$5:$E$154), "")</f>
        <v/>
      </c>
      <c r="I274" s="7">
        <f>IFERROR(XLOOKUP(A274, 'Base Exámenes'!$C$5:$C$154, 'Base Exámenes'!$F$5:$F$154), "")</f>
        <v/>
      </c>
      <c r="J274" s="6">
        <f>IFERROR(XLOOKUP(A274, 'Base Exámenes'!$C$5:$C$154, 'Base Exámenes'!$G$5:$G$154), "")</f>
        <v/>
      </c>
      <c r="K274" s="6">
        <f>IFERROR(XLOOKUP(A274, 'Base Exámenes'!$C$5:$C$154, 'Base Exámenes'!$H$5:$H$154), "anonymous")</f>
        <v/>
      </c>
    </row>
    <row r="275">
      <c r="A275" s="4">
        <f>'Base Oficial'!A275</f>
        <v/>
      </c>
      <c r="B275" s="6">
        <f>'Base Oficial'!B275</f>
        <v/>
      </c>
      <c r="C275" s="6">
        <f>'Base Oficial'!F275</f>
        <v/>
      </c>
      <c r="D275" s="6">
        <f>'Base Oficial'!G275</f>
        <v/>
      </c>
      <c r="E275" s="6">
        <f>'Base Oficial'!D275</f>
        <v/>
      </c>
      <c r="F275" s="4">
        <f>IF(ISNUMBER(XLOOKUP(A275, 'Base Exámenes'!$C$5:$C$154, 'Base Exámenes'!$E$5:$E$154)), "Completado", "Pendiente")</f>
        <v/>
      </c>
      <c r="G275" s="6">
        <f>IFERROR(XLOOKUP(A275, 'Base Exámenes'!$C$5:$C$154, 'Base Exámenes'!$D$5:$D$154), "")</f>
        <v/>
      </c>
      <c r="H275" s="6">
        <f>IFERROR(XLOOKUP(A275, 'Base Exámenes'!$C$5:$C$154, 'Base Exámenes'!$E$5:$E$154), "")</f>
        <v/>
      </c>
      <c r="I275" s="7">
        <f>IFERROR(XLOOKUP(A275, 'Base Exámenes'!$C$5:$C$154, 'Base Exámenes'!$F$5:$F$154), "")</f>
        <v/>
      </c>
      <c r="J275" s="6">
        <f>IFERROR(XLOOKUP(A275, 'Base Exámenes'!$C$5:$C$154, 'Base Exámenes'!$G$5:$G$154), "")</f>
        <v/>
      </c>
      <c r="K275" s="6">
        <f>IFERROR(XLOOKUP(A275, 'Base Exámenes'!$C$5:$C$154, 'Base Exámenes'!$H$5:$H$154), "anonymous")</f>
        <v/>
      </c>
    </row>
    <row r="276">
      <c r="A276" s="4">
        <f>'Base Oficial'!A276</f>
        <v/>
      </c>
      <c r="B276" s="6">
        <f>'Base Oficial'!B276</f>
        <v/>
      </c>
      <c r="C276" s="6">
        <f>'Base Oficial'!F276</f>
        <v/>
      </c>
      <c r="D276" s="6">
        <f>'Base Oficial'!G276</f>
        <v/>
      </c>
      <c r="E276" s="6">
        <f>'Base Oficial'!D276</f>
        <v/>
      </c>
      <c r="F276" s="4">
        <f>IF(ISNUMBER(XLOOKUP(A276, 'Base Exámenes'!$C$5:$C$154, 'Base Exámenes'!$E$5:$E$154)), "Completado", "Pendiente")</f>
        <v/>
      </c>
      <c r="G276" s="6">
        <f>IFERROR(XLOOKUP(A276, 'Base Exámenes'!$C$5:$C$154, 'Base Exámenes'!$D$5:$D$154), "")</f>
        <v/>
      </c>
      <c r="H276" s="6">
        <f>IFERROR(XLOOKUP(A276, 'Base Exámenes'!$C$5:$C$154, 'Base Exámenes'!$E$5:$E$154), "")</f>
        <v/>
      </c>
      <c r="I276" s="7">
        <f>IFERROR(XLOOKUP(A276, 'Base Exámenes'!$C$5:$C$154, 'Base Exámenes'!$F$5:$F$154), "")</f>
        <v/>
      </c>
      <c r="J276" s="6">
        <f>IFERROR(XLOOKUP(A276, 'Base Exámenes'!$C$5:$C$154, 'Base Exámenes'!$G$5:$G$154), "")</f>
        <v/>
      </c>
      <c r="K276" s="6">
        <f>IFERROR(XLOOKUP(A276, 'Base Exámenes'!$C$5:$C$154, 'Base Exámenes'!$H$5:$H$154), "anonymous")</f>
        <v/>
      </c>
    </row>
    <row r="277">
      <c r="A277" s="4">
        <f>'Base Oficial'!A277</f>
        <v/>
      </c>
      <c r="B277" s="6">
        <f>'Base Oficial'!B277</f>
        <v/>
      </c>
      <c r="C277" s="6">
        <f>'Base Oficial'!F277</f>
        <v/>
      </c>
      <c r="D277" s="6">
        <f>'Base Oficial'!G277</f>
        <v/>
      </c>
      <c r="E277" s="6">
        <f>'Base Oficial'!D277</f>
        <v/>
      </c>
      <c r="F277" s="4">
        <f>IF(ISNUMBER(XLOOKUP(A277, 'Base Exámenes'!$C$5:$C$154, 'Base Exámenes'!$E$5:$E$154)), "Completado", "Pendiente")</f>
        <v/>
      </c>
      <c r="G277" s="6">
        <f>IFERROR(XLOOKUP(A277, 'Base Exámenes'!$C$5:$C$154, 'Base Exámenes'!$D$5:$D$154), "")</f>
        <v/>
      </c>
      <c r="H277" s="6">
        <f>IFERROR(XLOOKUP(A277, 'Base Exámenes'!$C$5:$C$154, 'Base Exámenes'!$E$5:$E$154), "")</f>
        <v/>
      </c>
      <c r="I277" s="7">
        <f>IFERROR(XLOOKUP(A277, 'Base Exámenes'!$C$5:$C$154, 'Base Exámenes'!$F$5:$F$154), "")</f>
        <v/>
      </c>
      <c r="J277" s="6">
        <f>IFERROR(XLOOKUP(A277, 'Base Exámenes'!$C$5:$C$154, 'Base Exámenes'!$G$5:$G$154), "")</f>
        <v/>
      </c>
      <c r="K277" s="6">
        <f>IFERROR(XLOOKUP(A277, 'Base Exámenes'!$C$5:$C$154, 'Base Exámenes'!$H$5:$H$154), "anonymous")</f>
        <v/>
      </c>
    </row>
    <row r="278">
      <c r="A278" s="4">
        <f>'Base Oficial'!A278</f>
        <v/>
      </c>
      <c r="B278" s="6">
        <f>'Base Oficial'!B278</f>
        <v/>
      </c>
      <c r="C278" s="6">
        <f>'Base Oficial'!F278</f>
        <v/>
      </c>
      <c r="D278" s="6">
        <f>'Base Oficial'!G278</f>
        <v/>
      </c>
      <c r="E278" s="6">
        <f>'Base Oficial'!D278</f>
        <v/>
      </c>
      <c r="F278" s="4">
        <f>IF(ISNUMBER(XLOOKUP(A278, 'Base Exámenes'!$C$5:$C$154, 'Base Exámenes'!$E$5:$E$154)), "Completado", "Pendiente")</f>
        <v/>
      </c>
      <c r="G278" s="6">
        <f>IFERROR(XLOOKUP(A278, 'Base Exámenes'!$C$5:$C$154, 'Base Exámenes'!$D$5:$D$154), "")</f>
        <v/>
      </c>
      <c r="H278" s="6">
        <f>IFERROR(XLOOKUP(A278, 'Base Exámenes'!$C$5:$C$154, 'Base Exámenes'!$E$5:$E$154), "")</f>
        <v/>
      </c>
      <c r="I278" s="7">
        <f>IFERROR(XLOOKUP(A278, 'Base Exámenes'!$C$5:$C$154, 'Base Exámenes'!$F$5:$F$154), "")</f>
        <v/>
      </c>
      <c r="J278" s="6">
        <f>IFERROR(XLOOKUP(A278, 'Base Exámenes'!$C$5:$C$154, 'Base Exámenes'!$G$5:$G$154), "")</f>
        <v/>
      </c>
      <c r="K278" s="6">
        <f>IFERROR(XLOOKUP(A278, 'Base Exámenes'!$C$5:$C$154, 'Base Exámenes'!$H$5:$H$154), "anonymous")</f>
        <v/>
      </c>
    </row>
    <row r="279">
      <c r="A279" s="4">
        <f>'Base Oficial'!A279</f>
        <v/>
      </c>
      <c r="B279" s="6">
        <f>'Base Oficial'!B279</f>
        <v/>
      </c>
      <c r="C279" s="6">
        <f>'Base Oficial'!F279</f>
        <v/>
      </c>
      <c r="D279" s="6">
        <f>'Base Oficial'!G279</f>
        <v/>
      </c>
      <c r="E279" s="6">
        <f>'Base Oficial'!D279</f>
        <v/>
      </c>
      <c r="F279" s="4">
        <f>IF(ISNUMBER(XLOOKUP(A279, 'Base Exámenes'!$C$5:$C$154, 'Base Exámenes'!$E$5:$E$154)), "Completado", "Pendiente")</f>
        <v/>
      </c>
      <c r="G279" s="6">
        <f>IFERROR(XLOOKUP(A279, 'Base Exámenes'!$C$5:$C$154, 'Base Exámenes'!$D$5:$D$154), "")</f>
        <v/>
      </c>
      <c r="H279" s="6">
        <f>IFERROR(XLOOKUP(A279, 'Base Exámenes'!$C$5:$C$154, 'Base Exámenes'!$E$5:$E$154), "")</f>
        <v/>
      </c>
      <c r="I279" s="7">
        <f>IFERROR(XLOOKUP(A279, 'Base Exámenes'!$C$5:$C$154, 'Base Exámenes'!$F$5:$F$154), "")</f>
        <v/>
      </c>
      <c r="J279" s="6">
        <f>IFERROR(XLOOKUP(A279, 'Base Exámenes'!$C$5:$C$154, 'Base Exámenes'!$G$5:$G$154), "")</f>
        <v/>
      </c>
      <c r="K279" s="6">
        <f>IFERROR(XLOOKUP(A279, 'Base Exámenes'!$C$5:$C$154, 'Base Exámenes'!$H$5:$H$154), "anonymous")</f>
        <v/>
      </c>
    </row>
    <row r="280">
      <c r="A280" s="4">
        <f>'Base Oficial'!A280</f>
        <v/>
      </c>
      <c r="B280" s="6">
        <f>'Base Oficial'!B280</f>
        <v/>
      </c>
      <c r="C280" s="6">
        <f>'Base Oficial'!F280</f>
        <v/>
      </c>
      <c r="D280" s="6">
        <f>'Base Oficial'!G280</f>
        <v/>
      </c>
      <c r="E280" s="6">
        <f>'Base Oficial'!D280</f>
        <v/>
      </c>
      <c r="F280" s="4">
        <f>IF(ISNUMBER(XLOOKUP(A280, 'Base Exámenes'!$C$5:$C$154, 'Base Exámenes'!$E$5:$E$154)), "Completado", "Pendiente")</f>
        <v/>
      </c>
      <c r="G280" s="6">
        <f>IFERROR(XLOOKUP(A280, 'Base Exámenes'!$C$5:$C$154, 'Base Exámenes'!$D$5:$D$154), "")</f>
        <v/>
      </c>
      <c r="H280" s="6">
        <f>IFERROR(XLOOKUP(A280, 'Base Exámenes'!$C$5:$C$154, 'Base Exámenes'!$E$5:$E$154), "")</f>
        <v/>
      </c>
      <c r="I280" s="7">
        <f>IFERROR(XLOOKUP(A280, 'Base Exámenes'!$C$5:$C$154, 'Base Exámenes'!$F$5:$F$154), "")</f>
        <v/>
      </c>
      <c r="J280" s="6">
        <f>IFERROR(XLOOKUP(A280, 'Base Exámenes'!$C$5:$C$154, 'Base Exámenes'!$G$5:$G$154), "")</f>
        <v/>
      </c>
      <c r="K280" s="6">
        <f>IFERROR(XLOOKUP(A280, 'Base Exámenes'!$C$5:$C$154, 'Base Exámenes'!$H$5:$H$154), "anonymous")</f>
        <v/>
      </c>
    </row>
    <row r="281">
      <c r="A281" s="4">
        <f>'Base Oficial'!A281</f>
        <v/>
      </c>
      <c r="B281" s="6">
        <f>'Base Oficial'!B281</f>
        <v/>
      </c>
      <c r="C281" s="6">
        <f>'Base Oficial'!F281</f>
        <v/>
      </c>
      <c r="D281" s="6">
        <f>'Base Oficial'!G281</f>
        <v/>
      </c>
      <c r="E281" s="6">
        <f>'Base Oficial'!D281</f>
        <v/>
      </c>
      <c r="F281" s="4">
        <f>IF(ISNUMBER(XLOOKUP(A281, 'Base Exámenes'!$C$5:$C$154, 'Base Exámenes'!$E$5:$E$154)), "Completado", "Pendiente")</f>
        <v/>
      </c>
      <c r="G281" s="6">
        <f>IFERROR(XLOOKUP(A281, 'Base Exámenes'!$C$5:$C$154, 'Base Exámenes'!$D$5:$D$154), "")</f>
        <v/>
      </c>
      <c r="H281" s="6">
        <f>IFERROR(XLOOKUP(A281, 'Base Exámenes'!$C$5:$C$154, 'Base Exámenes'!$E$5:$E$154), "")</f>
        <v/>
      </c>
      <c r="I281" s="7">
        <f>IFERROR(XLOOKUP(A281, 'Base Exámenes'!$C$5:$C$154, 'Base Exámenes'!$F$5:$F$154), "")</f>
        <v/>
      </c>
      <c r="J281" s="6">
        <f>IFERROR(XLOOKUP(A281, 'Base Exámenes'!$C$5:$C$154, 'Base Exámenes'!$G$5:$G$154), "")</f>
        <v/>
      </c>
      <c r="K281" s="6">
        <f>IFERROR(XLOOKUP(A281, 'Base Exámenes'!$C$5:$C$154, 'Base Exámenes'!$H$5:$H$154), "anonymous")</f>
        <v/>
      </c>
    </row>
    <row r="282">
      <c r="A282" s="4">
        <f>'Base Oficial'!A282</f>
        <v/>
      </c>
      <c r="B282" s="6">
        <f>'Base Oficial'!B282</f>
        <v/>
      </c>
      <c r="C282" s="6">
        <f>'Base Oficial'!F282</f>
        <v/>
      </c>
      <c r="D282" s="6">
        <f>'Base Oficial'!G282</f>
        <v/>
      </c>
      <c r="E282" s="6">
        <f>'Base Oficial'!D282</f>
        <v/>
      </c>
      <c r="F282" s="4">
        <f>IF(ISNUMBER(XLOOKUP(A282, 'Base Exámenes'!$C$5:$C$154, 'Base Exámenes'!$E$5:$E$154)), "Completado", "Pendiente")</f>
        <v/>
      </c>
      <c r="G282" s="6">
        <f>IFERROR(XLOOKUP(A282, 'Base Exámenes'!$C$5:$C$154, 'Base Exámenes'!$D$5:$D$154), "")</f>
        <v/>
      </c>
      <c r="H282" s="6">
        <f>IFERROR(XLOOKUP(A282, 'Base Exámenes'!$C$5:$C$154, 'Base Exámenes'!$E$5:$E$154), "")</f>
        <v/>
      </c>
      <c r="I282" s="7">
        <f>IFERROR(XLOOKUP(A282, 'Base Exámenes'!$C$5:$C$154, 'Base Exámenes'!$F$5:$F$154), "")</f>
        <v/>
      </c>
      <c r="J282" s="6">
        <f>IFERROR(XLOOKUP(A282, 'Base Exámenes'!$C$5:$C$154, 'Base Exámenes'!$G$5:$G$154), "")</f>
        <v/>
      </c>
      <c r="K282" s="6">
        <f>IFERROR(XLOOKUP(A282, 'Base Exámenes'!$C$5:$C$154, 'Base Exámenes'!$H$5:$H$154), "anonymous")</f>
        <v/>
      </c>
    </row>
    <row r="283">
      <c r="A283" s="4">
        <f>'Base Oficial'!A283</f>
        <v/>
      </c>
      <c r="B283" s="6">
        <f>'Base Oficial'!B283</f>
        <v/>
      </c>
      <c r="C283" s="6">
        <f>'Base Oficial'!F283</f>
        <v/>
      </c>
      <c r="D283" s="6">
        <f>'Base Oficial'!G283</f>
        <v/>
      </c>
      <c r="E283" s="6">
        <f>'Base Oficial'!D283</f>
        <v/>
      </c>
      <c r="F283" s="4">
        <f>IF(ISNUMBER(XLOOKUP(A283, 'Base Exámenes'!$C$5:$C$154, 'Base Exámenes'!$E$5:$E$154)), "Completado", "Pendiente")</f>
        <v/>
      </c>
      <c r="G283" s="6">
        <f>IFERROR(XLOOKUP(A283, 'Base Exámenes'!$C$5:$C$154, 'Base Exámenes'!$D$5:$D$154), "")</f>
        <v/>
      </c>
      <c r="H283" s="6">
        <f>IFERROR(XLOOKUP(A283, 'Base Exámenes'!$C$5:$C$154, 'Base Exámenes'!$E$5:$E$154), "")</f>
        <v/>
      </c>
      <c r="I283" s="7">
        <f>IFERROR(XLOOKUP(A283, 'Base Exámenes'!$C$5:$C$154, 'Base Exámenes'!$F$5:$F$154), "")</f>
        <v/>
      </c>
      <c r="J283" s="6">
        <f>IFERROR(XLOOKUP(A283, 'Base Exámenes'!$C$5:$C$154, 'Base Exámenes'!$G$5:$G$154), "")</f>
        <v/>
      </c>
      <c r="K283" s="6">
        <f>IFERROR(XLOOKUP(A283, 'Base Exámenes'!$C$5:$C$154, 'Base Exámenes'!$H$5:$H$154), "anonymous")</f>
        <v/>
      </c>
    </row>
    <row r="284">
      <c r="A284" s="4">
        <f>'Base Oficial'!A284</f>
        <v/>
      </c>
      <c r="B284" s="6">
        <f>'Base Oficial'!B284</f>
        <v/>
      </c>
      <c r="C284" s="6">
        <f>'Base Oficial'!F284</f>
        <v/>
      </c>
      <c r="D284" s="6">
        <f>'Base Oficial'!G284</f>
        <v/>
      </c>
      <c r="E284" s="6">
        <f>'Base Oficial'!D284</f>
        <v/>
      </c>
      <c r="F284" s="4">
        <f>IF(ISNUMBER(XLOOKUP(A284, 'Base Exámenes'!$C$5:$C$154, 'Base Exámenes'!$E$5:$E$154)), "Completado", "Pendiente")</f>
        <v/>
      </c>
      <c r="G284" s="6">
        <f>IFERROR(XLOOKUP(A284, 'Base Exámenes'!$C$5:$C$154, 'Base Exámenes'!$D$5:$D$154), "")</f>
        <v/>
      </c>
      <c r="H284" s="6">
        <f>IFERROR(XLOOKUP(A284, 'Base Exámenes'!$C$5:$C$154, 'Base Exámenes'!$E$5:$E$154), "")</f>
        <v/>
      </c>
      <c r="I284" s="7">
        <f>IFERROR(XLOOKUP(A284, 'Base Exámenes'!$C$5:$C$154, 'Base Exámenes'!$F$5:$F$154), "")</f>
        <v/>
      </c>
      <c r="J284" s="6">
        <f>IFERROR(XLOOKUP(A284, 'Base Exámenes'!$C$5:$C$154, 'Base Exámenes'!$G$5:$G$154), "")</f>
        <v/>
      </c>
      <c r="K284" s="6">
        <f>IFERROR(XLOOKUP(A284, 'Base Exámenes'!$C$5:$C$154, 'Base Exámenes'!$H$5:$H$154), "anonymous")</f>
        <v/>
      </c>
    </row>
    <row r="285">
      <c r="A285" s="4">
        <f>'Base Oficial'!A285</f>
        <v/>
      </c>
      <c r="B285" s="6">
        <f>'Base Oficial'!B285</f>
        <v/>
      </c>
      <c r="C285" s="6">
        <f>'Base Oficial'!F285</f>
        <v/>
      </c>
      <c r="D285" s="6">
        <f>'Base Oficial'!G285</f>
        <v/>
      </c>
      <c r="E285" s="6">
        <f>'Base Oficial'!D285</f>
        <v/>
      </c>
      <c r="F285" s="4">
        <f>IF(ISNUMBER(XLOOKUP(A285, 'Base Exámenes'!$C$5:$C$154, 'Base Exámenes'!$E$5:$E$154)), "Completado", "Pendiente")</f>
        <v/>
      </c>
      <c r="G285" s="6">
        <f>IFERROR(XLOOKUP(A285, 'Base Exámenes'!$C$5:$C$154, 'Base Exámenes'!$D$5:$D$154), "")</f>
        <v/>
      </c>
      <c r="H285" s="6">
        <f>IFERROR(XLOOKUP(A285, 'Base Exámenes'!$C$5:$C$154, 'Base Exámenes'!$E$5:$E$154), "")</f>
        <v/>
      </c>
      <c r="I285" s="7">
        <f>IFERROR(XLOOKUP(A285, 'Base Exámenes'!$C$5:$C$154, 'Base Exámenes'!$F$5:$F$154), "")</f>
        <v/>
      </c>
      <c r="J285" s="6">
        <f>IFERROR(XLOOKUP(A285, 'Base Exámenes'!$C$5:$C$154, 'Base Exámenes'!$G$5:$G$154), "")</f>
        <v/>
      </c>
      <c r="K285" s="6">
        <f>IFERROR(XLOOKUP(A285, 'Base Exámenes'!$C$5:$C$154, 'Base Exámenes'!$H$5:$H$154), "anonymous")</f>
        <v/>
      </c>
    </row>
    <row r="286">
      <c r="A286" s="4">
        <f>'Base Oficial'!A286</f>
        <v/>
      </c>
      <c r="B286" s="6">
        <f>'Base Oficial'!B286</f>
        <v/>
      </c>
      <c r="C286" s="6">
        <f>'Base Oficial'!F286</f>
        <v/>
      </c>
      <c r="D286" s="6">
        <f>'Base Oficial'!G286</f>
        <v/>
      </c>
      <c r="E286" s="6">
        <f>'Base Oficial'!D286</f>
        <v/>
      </c>
      <c r="F286" s="4">
        <f>IF(ISNUMBER(XLOOKUP(A286, 'Base Exámenes'!$C$5:$C$154, 'Base Exámenes'!$E$5:$E$154)), "Completado", "Pendiente")</f>
        <v/>
      </c>
      <c r="G286" s="6">
        <f>IFERROR(XLOOKUP(A286, 'Base Exámenes'!$C$5:$C$154, 'Base Exámenes'!$D$5:$D$154), "")</f>
        <v/>
      </c>
      <c r="H286" s="6">
        <f>IFERROR(XLOOKUP(A286, 'Base Exámenes'!$C$5:$C$154, 'Base Exámenes'!$E$5:$E$154), "")</f>
        <v/>
      </c>
      <c r="I286" s="7">
        <f>IFERROR(XLOOKUP(A286, 'Base Exámenes'!$C$5:$C$154, 'Base Exámenes'!$F$5:$F$154), "")</f>
        <v/>
      </c>
      <c r="J286" s="6">
        <f>IFERROR(XLOOKUP(A286, 'Base Exámenes'!$C$5:$C$154, 'Base Exámenes'!$G$5:$G$154), "")</f>
        <v/>
      </c>
      <c r="K286" s="6">
        <f>IFERROR(XLOOKUP(A286, 'Base Exámenes'!$C$5:$C$154, 'Base Exámenes'!$H$5:$H$154), "anonymous")</f>
        <v/>
      </c>
    </row>
    <row r="287">
      <c r="A287" s="4">
        <f>'Base Oficial'!A287</f>
        <v/>
      </c>
      <c r="B287" s="6">
        <f>'Base Oficial'!B287</f>
        <v/>
      </c>
      <c r="C287" s="6">
        <f>'Base Oficial'!F287</f>
        <v/>
      </c>
      <c r="D287" s="6">
        <f>'Base Oficial'!G287</f>
        <v/>
      </c>
      <c r="E287" s="6">
        <f>'Base Oficial'!D287</f>
        <v/>
      </c>
      <c r="F287" s="4">
        <f>IF(ISNUMBER(XLOOKUP(A287, 'Base Exámenes'!$C$5:$C$154, 'Base Exámenes'!$E$5:$E$154)), "Completado", "Pendiente")</f>
        <v/>
      </c>
      <c r="G287" s="6">
        <f>IFERROR(XLOOKUP(A287, 'Base Exámenes'!$C$5:$C$154, 'Base Exámenes'!$D$5:$D$154), "")</f>
        <v/>
      </c>
      <c r="H287" s="6">
        <f>IFERROR(XLOOKUP(A287, 'Base Exámenes'!$C$5:$C$154, 'Base Exámenes'!$E$5:$E$154), "")</f>
        <v/>
      </c>
      <c r="I287" s="7">
        <f>IFERROR(XLOOKUP(A287, 'Base Exámenes'!$C$5:$C$154, 'Base Exámenes'!$F$5:$F$154), "")</f>
        <v/>
      </c>
      <c r="J287" s="6">
        <f>IFERROR(XLOOKUP(A287, 'Base Exámenes'!$C$5:$C$154, 'Base Exámenes'!$G$5:$G$154), "")</f>
        <v/>
      </c>
      <c r="K287" s="6">
        <f>IFERROR(XLOOKUP(A287, 'Base Exámenes'!$C$5:$C$154, 'Base Exámenes'!$H$5:$H$154), "anonymous")</f>
        <v/>
      </c>
    </row>
    <row r="288">
      <c r="A288" s="4">
        <f>'Base Oficial'!A288</f>
        <v/>
      </c>
      <c r="B288" s="6">
        <f>'Base Oficial'!B288</f>
        <v/>
      </c>
      <c r="C288" s="6">
        <f>'Base Oficial'!F288</f>
        <v/>
      </c>
      <c r="D288" s="6">
        <f>'Base Oficial'!G288</f>
        <v/>
      </c>
      <c r="E288" s="6">
        <f>'Base Oficial'!D288</f>
        <v/>
      </c>
      <c r="F288" s="4">
        <f>IF(ISNUMBER(XLOOKUP(A288, 'Base Exámenes'!$C$5:$C$154, 'Base Exámenes'!$E$5:$E$154)), "Completado", "Pendiente")</f>
        <v/>
      </c>
      <c r="G288" s="6">
        <f>IFERROR(XLOOKUP(A288, 'Base Exámenes'!$C$5:$C$154, 'Base Exámenes'!$D$5:$D$154), "")</f>
        <v/>
      </c>
      <c r="H288" s="6">
        <f>IFERROR(XLOOKUP(A288, 'Base Exámenes'!$C$5:$C$154, 'Base Exámenes'!$E$5:$E$154), "")</f>
        <v/>
      </c>
      <c r="I288" s="7">
        <f>IFERROR(XLOOKUP(A288, 'Base Exámenes'!$C$5:$C$154, 'Base Exámenes'!$F$5:$F$154), "")</f>
        <v/>
      </c>
      <c r="J288" s="6">
        <f>IFERROR(XLOOKUP(A288, 'Base Exámenes'!$C$5:$C$154, 'Base Exámenes'!$G$5:$G$154), "")</f>
        <v/>
      </c>
      <c r="K288" s="6">
        <f>IFERROR(XLOOKUP(A288, 'Base Exámenes'!$C$5:$C$154, 'Base Exámenes'!$H$5:$H$154), "anonymous")</f>
        <v/>
      </c>
    </row>
    <row r="289">
      <c r="A289" s="4">
        <f>'Base Oficial'!A289</f>
        <v/>
      </c>
      <c r="B289" s="6">
        <f>'Base Oficial'!B289</f>
        <v/>
      </c>
      <c r="C289" s="6">
        <f>'Base Oficial'!F289</f>
        <v/>
      </c>
      <c r="D289" s="6">
        <f>'Base Oficial'!G289</f>
        <v/>
      </c>
      <c r="E289" s="6">
        <f>'Base Oficial'!D289</f>
        <v/>
      </c>
      <c r="F289" s="4">
        <f>IF(ISNUMBER(XLOOKUP(A289, 'Base Exámenes'!$C$5:$C$154, 'Base Exámenes'!$E$5:$E$154)), "Completado", "Pendiente")</f>
        <v/>
      </c>
      <c r="G289" s="6">
        <f>IFERROR(XLOOKUP(A289, 'Base Exámenes'!$C$5:$C$154, 'Base Exámenes'!$D$5:$D$154), "")</f>
        <v/>
      </c>
      <c r="H289" s="6">
        <f>IFERROR(XLOOKUP(A289, 'Base Exámenes'!$C$5:$C$154, 'Base Exámenes'!$E$5:$E$154), "")</f>
        <v/>
      </c>
      <c r="I289" s="7">
        <f>IFERROR(XLOOKUP(A289, 'Base Exámenes'!$C$5:$C$154, 'Base Exámenes'!$F$5:$F$154), "")</f>
        <v/>
      </c>
      <c r="J289" s="6">
        <f>IFERROR(XLOOKUP(A289, 'Base Exámenes'!$C$5:$C$154, 'Base Exámenes'!$G$5:$G$154), "")</f>
        <v/>
      </c>
      <c r="K289" s="6">
        <f>IFERROR(XLOOKUP(A289, 'Base Exámenes'!$C$5:$C$154, 'Base Exámenes'!$H$5:$H$154), "anonymous")</f>
        <v/>
      </c>
    </row>
    <row r="290">
      <c r="A290" s="4">
        <f>'Base Oficial'!A290</f>
        <v/>
      </c>
      <c r="B290" s="6">
        <f>'Base Oficial'!B290</f>
        <v/>
      </c>
      <c r="C290" s="6">
        <f>'Base Oficial'!F290</f>
        <v/>
      </c>
      <c r="D290" s="6">
        <f>'Base Oficial'!G290</f>
        <v/>
      </c>
      <c r="E290" s="6">
        <f>'Base Oficial'!D290</f>
        <v/>
      </c>
      <c r="F290" s="4">
        <f>IF(ISNUMBER(XLOOKUP(A290, 'Base Exámenes'!$C$5:$C$154, 'Base Exámenes'!$E$5:$E$154)), "Completado", "Pendiente")</f>
        <v/>
      </c>
      <c r="G290" s="6">
        <f>IFERROR(XLOOKUP(A290, 'Base Exámenes'!$C$5:$C$154, 'Base Exámenes'!$D$5:$D$154), "")</f>
        <v/>
      </c>
      <c r="H290" s="6">
        <f>IFERROR(XLOOKUP(A290, 'Base Exámenes'!$C$5:$C$154, 'Base Exámenes'!$E$5:$E$154), "")</f>
        <v/>
      </c>
      <c r="I290" s="7">
        <f>IFERROR(XLOOKUP(A290, 'Base Exámenes'!$C$5:$C$154, 'Base Exámenes'!$F$5:$F$154), "")</f>
        <v/>
      </c>
      <c r="J290" s="6">
        <f>IFERROR(XLOOKUP(A290, 'Base Exámenes'!$C$5:$C$154, 'Base Exámenes'!$G$5:$G$154), "")</f>
        <v/>
      </c>
      <c r="K290" s="6">
        <f>IFERROR(XLOOKUP(A290, 'Base Exámenes'!$C$5:$C$154, 'Base Exámenes'!$H$5:$H$154), "anonymous")</f>
        <v/>
      </c>
    </row>
    <row r="291">
      <c r="A291" s="4">
        <f>'Base Oficial'!A291</f>
        <v/>
      </c>
      <c r="B291" s="6">
        <f>'Base Oficial'!B291</f>
        <v/>
      </c>
      <c r="C291" s="6">
        <f>'Base Oficial'!F291</f>
        <v/>
      </c>
      <c r="D291" s="6">
        <f>'Base Oficial'!G291</f>
        <v/>
      </c>
      <c r="E291" s="6">
        <f>'Base Oficial'!D291</f>
        <v/>
      </c>
      <c r="F291" s="4">
        <f>IF(ISNUMBER(XLOOKUP(A291, 'Base Exámenes'!$C$5:$C$154, 'Base Exámenes'!$E$5:$E$154)), "Completado", "Pendiente")</f>
        <v/>
      </c>
      <c r="G291" s="6">
        <f>IFERROR(XLOOKUP(A291, 'Base Exámenes'!$C$5:$C$154, 'Base Exámenes'!$D$5:$D$154), "")</f>
        <v/>
      </c>
      <c r="H291" s="6">
        <f>IFERROR(XLOOKUP(A291, 'Base Exámenes'!$C$5:$C$154, 'Base Exámenes'!$E$5:$E$154), "")</f>
        <v/>
      </c>
      <c r="I291" s="7">
        <f>IFERROR(XLOOKUP(A291, 'Base Exámenes'!$C$5:$C$154, 'Base Exámenes'!$F$5:$F$154), "")</f>
        <v/>
      </c>
      <c r="J291" s="6">
        <f>IFERROR(XLOOKUP(A291, 'Base Exámenes'!$C$5:$C$154, 'Base Exámenes'!$G$5:$G$154), "")</f>
        <v/>
      </c>
      <c r="K291" s="6">
        <f>IFERROR(XLOOKUP(A291, 'Base Exámenes'!$C$5:$C$154, 'Base Exámenes'!$H$5:$H$154), "anonymous")</f>
        <v/>
      </c>
    </row>
    <row r="292">
      <c r="A292" s="4">
        <f>'Base Oficial'!A292</f>
        <v/>
      </c>
      <c r="B292" s="6">
        <f>'Base Oficial'!B292</f>
        <v/>
      </c>
      <c r="C292" s="6">
        <f>'Base Oficial'!F292</f>
        <v/>
      </c>
      <c r="D292" s="6">
        <f>'Base Oficial'!G292</f>
        <v/>
      </c>
      <c r="E292" s="6">
        <f>'Base Oficial'!D292</f>
        <v/>
      </c>
      <c r="F292" s="4">
        <f>IF(ISNUMBER(XLOOKUP(A292, 'Base Exámenes'!$C$5:$C$154, 'Base Exámenes'!$E$5:$E$154)), "Completado", "Pendiente")</f>
        <v/>
      </c>
      <c r="G292" s="6">
        <f>IFERROR(XLOOKUP(A292, 'Base Exámenes'!$C$5:$C$154, 'Base Exámenes'!$D$5:$D$154), "")</f>
        <v/>
      </c>
      <c r="H292" s="6">
        <f>IFERROR(XLOOKUP(A292, 'Base Exámenes'!$C$5:$C$154, 'Base Exámenes'!$E$5:$E$154), "")</f>
        <v/>
      </c>
      <c r="I292" s="7">
        <f>IFERROR(XLOOKUP(A292, 'Base Exámenes'!$C$5:$C$154, 'Base Exámenes'!$F$5:$F$154), "")</f>
        <v/>
      </c>
      <c r="J292" s="6">
        <f>IFERROR(XLOOKUP(A292, 'Base Exámenes'!$C$5:$C$154, 'Base Exámenes'!$G$5:$G$154), "")</f>
        <v/>
      </c>
      <c r="K292" s="6">
        <f>IFERROR(XLOOKUP(A292, 'Base Exámenes'!$C$5:$C$154, 'Base Exámenes'!$H$5:$H$154), "anonymous")</f>
        <v/>
      </c>
    </row>
    <row r="293">
      <c r="A293" s="4">
        <f>'Base Oficial'!A293</f>
        <v/>
      </c>
      <c r="B293" s="6">
        <f>'Base Oficial'!B293</f>
        <v/>
      </c>
      <c r="C293" s="6">
        <f>'Base Oficial'!F293</f>
        <v/>
      </c>
      <c r="D293" s="6">
        <f>'Base Oficial'!G293</f>
        <v/>
      </c>
      <c r="E293" s="6">
        <f>'Base Oficial'!D293</f>
        <v/>
      </c>
      <c r="F293" s="4">
        <f>IF(ISNUMBER(XLOOKUP(A293, 'Base Exámenes'!$C$5:$C$154, 'Base Exámenes'!$E$5:$E$154)), "Completado", "Pendiente")</f>
        <v/>
      </c>
      <c r="G293" s="6">
        <f>IFERROR(XLOOKUP(A293, 'Base Exámenes'!$C$5:$C$154, 'Base Exámenes'!$D$5:$D$154), "")</f>
        <v/>
      </c>
      <c r="H293" s="6">
        <f>IFERROR(XLOOKUP(A293, 'Base Exámenes'!$C$5:$C$154, 'Base Exámenes'!$E$5:$E$154), "")</f>
        <v/>
      </c>
      <c r="I293" s="7">
        <f>IFERROR(XLOOKUP(A293, 'Base Exámenes'!$C$5:$C$154, 'Base Exámenes'!$F$5:$F$154), "")</f>
        <v/>
      </c>
      <c r="J293" s="6">
        <f>IFERROR(XLOOKUP(A293, 'Base Exámenes'!$C$5:$C$154, 'Base Exámenes'!$G$5:$G$154), "")</f>
        <v/>
      </c>
      <c r="K293" s="6">
        <f>IFERROR(XLOOKUP(A293, 'Base Exámenes'!$C$5:$C$154, 'Base Exámenes'!$H$5:$H$154), "anonymous")</f>
        <v/>
      </c>
    </row>
    <row r="294">
      <c r="A294" s="4">
        <f>'Base Oficial'!A294</f>
        <v/>
      </c>
      <c r="B294" s="6">
        <f>'Base Oficial'!B294</f>
        <v/>
      </c>
      <c r="C294" s="6">
        <f>'Base Oficial'!F294</f>
        <v/>
      </c>
      <c r="D294" s="6">
        <f>'Base Oficial'!G294</f>
        <v/>
      </c>
      <c r="E294" s="6">
        <f>'Base Oficial'!D294</f>
        <v/>
      </c>
      <c r="F294" s="4">
        <f>IF(ISNUMBER(XLOOKUP(A294, 'Base Exámenes'!$C$5:$C$154, 'Base Exámenes'!$E$5:$E$154)), "Completado", "Pendiente")</f>
        <v/>
      </c>
      <c r="G294" s="6">
        <f>IFERROR(XLOOKUP(A294, 'Base Exámenes'!$C$5:$C$154, 'Base Exámenes'!$D$5:$D$154), "")</f>
        <v/>
      </c>
      <c r="H294" s="6">
        <f>IFERROR(XLOOKUP(A294, 'Base Exámenes'!$C$5:$C$154, 'Base Exámenes'!$E$5:$E$154), "")</f>
        <v/>
      </c>
      <c r="I294" s="7">
        <f>IFERROR(XLOOKUP(A294, 'Base Exámenes'!$C$5:$C$154, 'Base Exámenes'!$F$5:$F$154), "")</f>
        <v/>
      </c>
      <c r="J294" s="6">
        <f>IFERROR(XLOOKUP(A294, 'Base Exámenes'!$C$5:$C$154, 'Base Exámenes'!$G$5:$G$154), "")</f>
        <v/>
      </c>
      <c r="K294" s="6">
        <f>IFERROR(XLOOKUP(A294, 'Base Exámenes'!$C$5:$C$154, 'Base Exámenes'!$H$5:$H$154), "anonymous")</f>
        <v/>
      </c>
    </row>
    <row r="295">
      <c r="A295" s="4">
        <f>'Base Oficial'!A295</f>
        <v/>
      </c>
      <c r="B295" s="6">
        <f>'Base Oficial'!B295</f>
        <v/>
      </c>
      <c r="C295" s="6">
        <f>'Base Oficial'!F295</f>
        <v/>
      </c>
      <c r="D295" s="6">
        <f>'Base Oficial'!G295</f>
        <v/>
      </c>
      <c r="E295" s="6">
        <f>'Base Oficial'!D295</f>
        <v/>
      </c>
      <c r="F295" s="4">
        <f>IF(ISNUMBER(XLOOKUP(A295, 'Base Exámenes'!$C$5:$C$154, 'Base Exámenes'!$E$5:$E$154)), "Completado", "Pendiente")</f>
        <v/>
      </c>
      <c r="G295" s="6">
        <f>IFERROR(XLOOKUP(A295, 'Base Exámenes'!$C$5:$C$154, 'Base Exámenes'!$D$5:$D$154), "")</f>
        <v/>
      </c>
      <c r="H295" s="6">
        <f>IFERROR(XLOOKUP(A295, 'Base Exámenes'!$C$5:$C$154, 'Base Exámenes'!$E$5:$E$154), "")</f>
        <v/>
      </c>
      <c r="I295" s="7">
        <f>IFERROR(XLOOKUP(A295, 'Base Exámenes'!$C$5:$C$154, 'Base Exámenes'!$F$5:$F$154), "")</f>
        <v/>
      </c>
      <c r="J295" s="6">
        <f>IFERROR(XLOOKUP(A295, 'Base Exámenes'!$C$5:$C$154, 'Base Exámenes'!$G$5:$G$154), "")</f>
        <v/>
      </c>
      <c r="K295" s="6">
        <f>IFERROR(XLOOKUP(A295, 'Base Exámenes'!$C$5:$C$154, 'Base Exámenes'!$H$5:$H$154), "anonymous")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7"/>
  <sheetViews>
    <sheetView showGridLines="1" workbookViewId="0">
      <selection activeCell="A1" sqref="A1"/>
    </sheetView>
  </sheetViews>
  <sheetFormatPr baseColWidth="8" defaultRowHeight="15"/>
  <cols>
    <col width="57" customWidth="1" min="1" max="1"/>
    <col width="43" customWidth="1" min="2" max="2"/>
    <col width="51" customWidth="1" min="3" max="3"/>
    <col width="100" customWidth="1" min="4" max="4"/>
    <col width="14" customWidth="1" min="5" max="5"/>
    <col width="26" customWidth="1" min="6" max="6"/>
    <col width="53" customWidth="1" min="7" max="7"/>
    <col width="101" customWidth="1" min="8" max="8"/>
    <col width="97" customWidth="1" min="9" max="9"/>
    <col width="97" customWidth="1" min="10" max="10"/>
    <col width="97" customWidth="1" min="11" max="11"/>
    <col width="97" customWidth="1" min="12" max="12"/>
    <col width="97" customWidth="1" min="13" max="13"/>
    <col width="101" customWidth="1" min="14" max="14"/>
  </cols>
  <sheetData>
    <row r="1">
      <c r="A1" s="1" t="inlineStr">
        <is>
          <t>CONSOLIDADO DE EVALUACIÓN POR ÁREA / DEPARTAMENTO</t>
        </is>
      </c>
    </row>
    <row r="2">
      <c r="A2" s="2" t="inlineStr">
        <is>
          <t>Cálculos automáticos basados en la hoja 'Detalle individual'</t>
        </is>
      </c>
    </row>
    <row r="4">
      <c r="A4" s="3" t="inlineStr">
        <is>
          <t>Área / Departamento</t>
        </is>
      </c>
      <c r="B4" s="3" t="inlineStr">
        <is>
          <t>Gerencia Asignada</t>
        </is>
      </c>
      <c r="C4" s="3" t="inlineStr">
        <is>
          <t>Personal Esperado</t>
        </is>
      </c>
      <c r="D4" s="3" t="inlineStr">
        <is>
          <t>Personas Completadas</t>
        </is>
      </c>
      <c r="E4" s="3" t="inlineStr">
        <is>
          <t>Pendientes</t>
        </is>
      </c>
      <c r="F4" s="3" t="inlineStr">
        <is>
          <t>% Cumplimiento</t>
        </is>
      </c>
      <c r="G4" s="3" t="inlineStr">
        <is>
          <t>Estado</t>
        </is>
      </c>
      <c r="H4" s="3" t="inlineStr">
        <is>
          <t>Promedio Nota</t>
        </is>
      </c>
      <c r="I4" s="3" t="inlineStr">
        <is>
          <t>Nota Máxima</t>
        </is>
      </c>
      <c r="J4" s="3" t="inlineStr">
        <is>
          <t>Nota Mínima</t>
        </is>
      </c>
      <c r="K4" s="3" t="inlineStr">
        <is>
          <t>Primer Inicio</t>
        </is>
      </c>
      <c r="L4" s="3" t="inlineStr">
        <is>
          <t>Primer Examen Finalizado</t>
        </is>
      </c>
      <c r="M4" s="3" t="inlineStr">
        <is>
          <t>Menor Duración (min)</t>
        </is>
      </c>
      <c r="N4" s="3" t="inlineStr">
        <is>
          <t>Promedio Duración (min)</t>
        </is>
      </c>
    </row>
    <row r="5">
      <c r="A5" s="5" t="inlineStr">
        <is>
          <t>ADMINISTRACION DE BASE DE DATOS</t>
        </is>
      </c>
      <c r="B5" s="5" t="inlineStr">
        <is>
          <t>Gerencia de Sistemas</t>
        </is>
      </c>
      <c r="C5" s="8">
        <f>COUNTIF('Detalle individual'!$C$5:$C$295, A5)</f>
        <v/>
      </c>
      <c r="D5" s="8">
        <f>COUNTIFS('Detalle individual'!$C$5:$C$295, A5, 'Detalle individual'!$F$5:$F$295, "Completado")</f>
        <v/>
      </c>
      <c r="E5" s="8">
        <f>C5-D5</f>
        <v/>
      </c>
      <c r="F5" s="9">
        <f>IF(C5&gt;0, D5/C5, 0)</f>
        <v/>
      </c>
      <c r="G5" s="4">
        <f>IF(AND(C5&gt;0, D5=C5), "Completo", "Pendiente")</f>
        <v/>
      </c>
      <c r="H5" s="7">
        <f>IFERROR(AVERAGEIFS('Detalle individual'!$J$5:$J$295, 'Detalle individual'!$C$5:$C$295, A5), "")</f>
        <v/>
      </c>
      <c r="I5" s="6">
        <f>IFERROR(MAXIFS('Detalle individual'!$J$5:$J$295, 'Detalle individual'!$C$5:$C$295, A5), "")</f>
        <v/>
      </c>
      <c r="J5" s="6">
        <f>IFERROR(MINIFS('Detalle individual'!$J$5:$J$295, 'Detalle individual'!$C$5:$C$295, A5), "")</f>
        <v/>
      </c>
      <c r="K5" s="6">
        <f>IFERROR(MINIFS('Detalle individual'!$G$5:$G$295, 'Detalle individual'!$C$5:$C$295, A5), "")</f>
        <v/>
      </c>
      <c r="L5" s="6">
        <f>IFERROR(MAXIFS('Detalle individual'!$H$5:$H$295, 'Detalle individual'!$C$5:$C$295, A5), "")</f>
        <v/>
      </c>
      <c r="M5" s="7">
        <f>IFERROR(MINIFS('Detalle individual'!$I$5:$I$295, 'Detalle individual'!$C$5:$C$295, A5), "")</f>
        <v/>
      </c>
      <c r="N5" s="7">
        <f>IFERROR(AVERAGEIFS('Detalle individual'!$I$5:$I$295, 'Detalle individual'!$C$5:$C$295, A5), "")</f>
        <v/>
      </c>
    </row>
    <row r="6">
      <c r="A6" s="5" t="inlineStr">
        <is>
          <t>ADMINISTRACION DE RIESGOS</t>
        </is>
      </c>
      <c r="B6" s="5" t="inlineStr">
        <is>
          <t>Gerencia General</t>
        </is>
      </c>
      <c r="C6" s="8">
        <f>COUNTIF('Detalle individual'!$C$5:$C$295, A6)</f>
        <v/>
      </c>
      <c r="D6" s="8">
        <f>COUNTIFS('Detalle individual'!$C$5:$C$295, A6, 'Detalle individual'!$F$5:$F$295, "Completado")</f>
        <v/>
      </c>
      <c r="E6" s="8">
        <f>C6-D6</f>
        <v/>
      </c>
      <c r="F6" s="9">
        <f>IF(C6&gt;0, D6/C6, 0)</f>
        <v/>
      </c>
      <c r="G6" s="4">
        <f>IF(AND(C6&gt;0, D6=C6), "Completo", "Pendiente")</f>
        <v/>
      </c>
      <c r="H6" s="7">
        <f>IFERROR(AVERAGEIFS('Detalle individual'!$J$5:$J$295, 'Detalle individual'!$C$5:$C$295, A6), "")</f>
        <v/>
      </c>
      <c r="I6" s="6">
        <f>IFERROR(MAXIFS('Detalle individual'!$J$5:$J$295, 'Detalle individual'!$C$5:$C$295, A6), "")</f>
        <v/>
      </c>
      <c r="J6" s="6">
        <f>IFERROR(MINIFS('Detalle individual'!$J$5:$J$295, 'Detalle individual'!$C$5:$C$295, A6), "")</f>
        <v/>
      </c>
      <c r="K6" s="6">
        <f>IFERROR(MINIFS('Detalle individual'!$G$5:$G$295, 'Detalle individual'!$C$5:$C$295, A6), "")</f>
        <v/>
      </c>
      <c r="L6" s="6">
        <f>IFERROR(MAXIFS('Detalle individual'!$H$5:$H$295, 'Detalle individual'!$C$5:$C$295, A6), "")</f>
        <v/>
      </c>
      <c r="M6" s="7">
        <f>IFERROR(MINIFS('Detalle individual'!$I$5:$I$295, 'Detalle individual'!$C$5:$C$295, A6), "")</f>
        <v/>
      </c>
      <c r="N6" s="7">
        <f>IFERROR(AVERAGEIFS('Detalle individual'!$I$5:$I$295, 'Detalle individual'!$C$5:$C$295, A6), "")</f>
        <v/>
      </c>
    </row>
    <row r="7">
      <c r="A7" s="5" t="inlineStr">
        <is>
          <t>ADMINISTRACIÓN DE CARTERAS</t>
        </is>
      </c>
      <c r="B7" s="5" t="inlineStr">
        <is>
          <t>Gerencia de Operaciones</t>
        </is>
      </c>
      <c r="C7" s="8">
        <f>COUNTIF('Detalle individual'!$C$5:$C$295, A7)</f>
        <v/>
      </c>
      <c r="D7" s="8">
        <f>COUNTIFS('Detalle individual'!$C$5:$C$295, A7, 'Detalle individual'!$F$5:$F$295, "Completado")</f>
        <v/>
      </c>
      <c r="E7" s="8">
        <f>C7-D7</f>
        <v/>
      </c>
      <c r="F7" s="9">
        <f>IF(C7&gt;0, D7/C7, 0)</f>
        <v/>
      </c>
      <c r="G7" s="4">
        <f>IF(AND(C7&gt;0, D7=C7), "Completo", "Pendiente")</f>
        <v/>
      </c>
      <c r="H7" s="7">
        <f>IFERROR(AVERAGEIFS('Detalle individual'!$J$5:$J$295, 'Detalle individual'!$C$5:$C$295, A7), "")</f>
        <v/>
      </c>
      <c r="I7" s="6">
        <f>IFERROR(MAXIFS('Detalle individual'!$J$5:$J$295, 'Detalle individual'!$C$5:$C$295, A7), "")</f>
        <v/>
      </c>
      <c r="J7" s="6">
        <f>IFERROR(MINIFS('Detalle individual'!$J$5:$J$295, 'Detalle individual'!$C$5:$C$295, A7), "")</f>
        <v/>
      </c>
      <c r="K7" s="6">
        <f>IFERROR(MINIFS('Detalle individual'!$G$5:$G$295, 'Detalle individual'!$C$5:$C$295, A7), "")</f>
        <v/>
      </c>
      <c r="L7" s="6">
        <f>IFERROR(MAXIFS('Detalle individual'!$H$5:$H$295, 'Detalle individual'!$C$5:$C$295, A7), "")</f>
        <v/>
      </c>
      <c r="M7" s="7">
        <f>IFERROR(MINIFS('Detalle individual'!$I$5:$I$295, 'Detalle individual'!$C$5:$C$295, A7), "")</f>
        <v/>
      </c>
      <c r="N7" s="7">
        <f>IFERROR(AVERAGEIFS('Detalle individual'!$I$5:$I$295, 'Detalle individual'!$C$5:$C$295, A7), "")</f>
        <v/>
      </c>
    </row>
    <row r="8">
      <c r="A8" s="5" t="inlineStr">
        <is>
          <t xml:space="preserve">AGENCIA CENTRAL  </t>
        </is>
      </c>
      <c r="B8" s="5" t="inlineStr">
        <is>
          <t>Gerencia de Negocios (Agencias)</t>
        </is>
      </c>
      <c r="C8" s="8">
        <f>COUNTIF('Detalle individual'!$C$5:$C$295, A8)</f>
        <v/>
      </c>
      <c r="D8" s="8">
        <f>COUNTIFS('Detalle individual'!$C$5:$C$295, A8, 'Detalle individual'!$F$5:$F$295, "Completado")</f>
        <v/>
      </c>
      <c r="E8" s="8">
        <f>C8-D8</f>
        <v/>
      </c>
      <c r="F8" s="9">
        <f>IF(C8&gt;0, D8/C8, 0)</f>
        <v/>
      </c>
      <c r="G8" s="4">
        <f>IF(AND(C8&gt;0, D8=C8), "Completo", "Pendiente")</f>
        <v/>
      </c>
      <c r="H8" s="7">
        <f>IFERROR(AVERAGEIFS('Detalle individual'!$J$5:$J$295, 'Detalle individual'!$C$5:$C$295, A8), "")</f>
        <v/>
      </c>
      <c r="I8" s="6">
        <f>IFERROR(MAXIFS('Detalle individual'!$J$5:$J$295, 'Detalle individual'!$C$5:$C$295, A8), "")</f>
        <v/>
      </c>
      <c r="J8" s="6">
        <f>IFERROR(MINIFS('Detalle individual'!$J$5:$J$295, 'Detalle individual'!$C$5:$C$295, A8), "")</f>
        <v/>
      </c>
      <c r="K8" s="6">
        <f>IFERROR(MINIFS('Detalle individual'!$G$5:$G$295, 'Detalle individual'!$C$5:$C$295, A8), "")</f>
        <v/>
      </c>
      <c r="L8" s="6">
        <f>IFERROR(MAXIFS('Detalle individual'!$H$5:$H$295, 'Detalle individual'!$C$5:$C$295, A8), "")</f>
        <v/>
      </c>
      <c r="M8" s="7">
        <f>IFERROR(MINIFS('Detalle individual'!$I$5:$I$295, 'Detalle individual'!$C$5:$C$295, A8), "")</f>
        <v/>
      </c>
      <c r="N8" s="7">
        <f>IFERROR(AVERAGEIFS('Detalle individual'!$I$5:$I$295, 'Detalle individual'!$C$5:$C$295, A8), "")</f>
        <v/>
      </c>
    </row>
    <row r="9">
      <c r="A9" s="5" t="inlineStr">
        <is>
          <t xml:space="preserve">AGENCIA COLEGIO MEDICO </t>
        </is>
      </c>
      <c r="B9" s="5" t="inlineStr">
        <is>
          <t>Gerencia de Negocios (Agencias)</t>
        </is>
      </c>
      <c r="C9" s="8">
        <f>COUNTIF('Detalle individual'!$C$5:$C$295, A9)</f>
        <v/>
      </c>
      <c r="D9" s="8">
        <f>COUNTIFS('Detalle individual'!$C$5:$C$295, A9, 'Detalle individual'!$F$5:$F$295, "Completado")</f>
        <v/>
      </c>
      <c r="E9" s="8">
        <f>C9-D9</f>
        <v/>
      </c>
      <c r="F9" s="9">
        <f>IF(C9&gt;0, D9/C9, 0)</f>
        <v/>
      </c>
      <c r="G9" s="4">
        <f>IF(AND(C9&gt;0, D9=C9), "Completo", "Pendiente")</f>
        <v/>
      </c>
      <c r="H9" s="7">
        <f>IFERROR(AVERAGEIFS('Detalle individual'!$J$5:$J$295, 'Detalle individual'!$C$5:$C$295, A9), "")</f>
        <v/>
      </c>
      <c r="I9" s="6">
        <f>IFERROR(MAXIFS('Detalle individual'!$J$5:$J$295, 'Detalle individual'!$C$5:$C$295, A9), "")</f>
        <v/>
      </c>
      <c r="J9" s="6">
        <f>IFERROR(MINIFS('Detalle individual'!$J$5:$J$295, 'Detalle individual'!$C$5:$C$295, A9), "")</f>
        <v/>
      </c>
      <c r="K9" s="6">
        <f>IFERROR(MINIFS('Detalle individual'!$G$5:$G$295, 'Detalle individual'!$C$5:$C$295, A9), "")</f>
        <v/>
      </c>
      <c r="L9" s="6">
        <f>IFERROR(MAXIFS('Detalle individual'!$H$5:$H$295, 'Detalle individual'!$C$5:$C$295, A9), "")</f>
        <v/>
      </c>
      <c r="M9" s="7">
        <f>IFERROR(MINIFS('Detalle individual'!$I$5:$I$295, 'Detalle individual'!$C$5:$C$295, A9), "")</f>
        <v/>
      </c>
      <c r="N9" s="7">
        <f>IFERROR(AVERAGEIFS('Detalle individual'!$I$5:$I$295, 'Detalle individual'!$C$5:$C$295, A9), "")</f>
        <v/>
      </c>
    </row>
    <row r="10">
      <c r="A10" s="5" t="inlineStr">
        <is>
          <t xml:space="preserve">AGENCIA COLONIA MEDICA  </t>
        </is>
      </c>
      <c r="B10" s="5" t="inlineStr">
        <is>
          <t>Gerencia de Negocios (Agencias)</t>
        </is>
      </c>
      <c r="C10" s="8">
        <f>COUNTIF('Detalle individual'!$C$5:$C$295, A10)</f>
        <v/>
      </c>
      <c r="D10" s="8">
        <f>COUNTIFS('Detalle individual'!$C$5:$C$295, A10, 'Detalle individual'!$F$5:$F$295, "Completado")</f>
        <v/>
      </c>
      <c r="E10" s="8">
        <f>C10-D10</f>
        <v/>
      </c>
      <c r="F10" s="9">
        <f>IF(C10&gt;0, D10/C10, 0)</f>
        <v/>
      </c>
      <c r="G10" s="4">
        <f>IF(AND(C10&gt;0, D10=C10), "Completo", "Pendiente")</f>
        <v/>
      </c>
      <c r="H10" s="7">
        <f>IFERROR(AVERAGEIFS('Detalle individual'!$J$5:$J$295, 'Detalle individual'!$C$5:$C$295, A10), "")</f>
        <v/>
      </c>
      <c r="I10" s="6">
        <f>IFERROR(MAXIFS('Detalle individual'!$J$5:$J$295, 'Detalle individual'!$C$5:$C$295, A10), "")</f>
        <v/>
      </c>
      <c r="J10" s="6">
        <f>IFERROR(MINIFS('Detalle individual'!$J$5:$J$295, 'Detalle individual'!$C$5:$C$295, A10), "")</f>
        <v/>
      </c>
      <c r="K10" s="6">
        <f>IFERROR(MINIFS('Detalle individual'!$G$5:$G$295, 'Detalle individual'!$C$5:$C$295, A10), "")</f>
        <v/>
      </c>
      <c r="L10" s="6">
        <f>IFERROR(MAXIFS('Detalle individual'!$H$5:$H$295, 'Detalle individual'!$C$5:$C$295, A10), "")</f>
        <v/>
      </c>
      <c r="M10" s="7">
        <f>IFERROR(MINIFS('Detalle individual'!$I$5:$I$295, 'Detalle individual'!$C$5:$C$295, A10), "")</f>
        <v/>
      </c>
      <c r="N10" s="7">
        <f>IFERROR(AVERAGEIFS('Detalle individual'!$I$5:$I$295, 'Detalle individual'!$C$5:$C$295, A10), "")</f>
        <v/>
      </c>
    </row>
    <row r="11">
      <c r="A11" s="5" t="inlineStr">
        <is>
          <t xml:space="preserve">AGENCIA MERLIOT  </t>
        </is>
      </c>
      <c r="B11" s="5" t="inlineStr">
        <is>
          <t>Gerencia de Negocios (Agencias)</t>
        </is>
      </c>
      <c r="C11" s="8">
        <f>COUNTIF('Detalle individual'!$C$5:$C$295, A11)</f>
        <v/>
      </c>
      <c r="D11" s="8">
        <f>COUNTIFS('Detalle individual'!$C$5:$C$295, A11, 'Detalle individual'!$F$5:$F$295, "Completado")</f>
        <v/>
      </c>
      <c r="E11" s="8">
        <f>C11-D11</f>
        <v/>
      </c>
      <c r="F11" s="9">
        <f>IF(C11&gt;0, D11/C11, 0)</f>
        <v/>
      </c>
      <c r="G11" s="4">
        <f>IF(AND(C11&gt;0, D11=C11), "Completo", "Pendiente")</f>
        <v/>
      </c>
      <c r="H11" s="7">
        <f>IFERROR(AVERAGEIFS('Detalle individual'!$J$5:$J$295, 'Detalle individual'!$C$5:$C$295, A11), "")</f>
        <v/>
      </c>
      <c r="I11" s="6">
        <f>IFERROR(MAXIFS('Detalle individual'!$J$5:$J$295, 'Detalle individual'!$C$5:$C$295, A11), "")</f>
        <v/>
      </c>
      <c r="J11" s="6">
        <f>IFERROR(MINIFS('Detalle individual'!$J$5:$J$295, 'Detalle individual'!$C$5:$C$295, A11), "")</f>
        <v/>
      </c>
      <c r="K11" s="6">
        <f>IFERROR(MINIFS('Detalle individual'!$G$5:$G$295, 'Detalle individual'!$C$5:$C$295, A11), "")</f>
        <v/>
      </c>
      <c r="L11" s="6">
        <f>IFERROR(MAXIFS('Detalle individual'!$H$5:$H$295, 'Detalle individual'!$C$5:$C$295, A11), "")</f>
        <v/>
      </c>
      <c r="M11" s="7">
        <f>IFERROR(MINIFS('Detalle individual'!$I$5:$I$295, 'Detalle individual'!$C$5:$C$295, A11), "")</f>
        <v/>
      </c>
      <c r="N11" s="7">
        <f>IFERROR(AVERAGEIFS('Detalle individual'!$I$5:$I$295, 'Detalle individual'!$C$5:$C$295, A11), "")</f>
        <v/>
      </c>
    </row>
    <row r="12">
      <c r="A12" s="5" t="inlineStr">
        <is>
          <t xml:space="preserve">AGENCIA PLAZA MUNDO  </t>
        </is>
      </c>
      <c r="B12" s="5" t="inlineStr">
        <is>
          <t>Gerencia de Negocios (Agencias)</t>
        </is>
      </c>
      <c r="C12" s="8">
        <f>COUNTIF('Detalle individual'!$C$5:$C$295, A12)</f>
        <v/>
      </c>
      <c r="D12" s="8">
        <f>COUNTIFS('Detalle individual'!$C$5:$C$295, A12, 'Detalle individual'!$F$5:$F$295, "Completado")</f>
        <v/>
      </c>
      <c r="E12" s="8">
        <f>C12-D12</f>
        <v/>
      </c>
      <c r="F12" s="9">
        <f>IF(C12&gt;0, D12/C12, 0)</f>
        <v/>
      </c>
      <c r="G12" s="4">
        <f>IF(AND(C12&gt;0, D12=C12), "Completo", "Pendiente")</f>
        <v/>
      </c>
      <c r="H12" s="7">
        <f>IFERROR(AVERAGEIFS('Detalle individual'!$J$5:$J$295, 'Detalle individual'!$C$5:$C$295, A12), "")</f>
        <v/>
      </c>
      <c r="I12" s="6">
        <f>IFERROR(MAXIFS('Detalle individual'!$J$5:$J$295, 'Detalle individual'!$C$5:$C$295, A12), "")</f>
        <v/>
      </c>
      <c r="J12" s="6">
        <f>IFERROR(MINIFS('Detalle individual'!$J$5:$J$295, 'Detalle individual'!$C$5:$C$295, A12), "")</f>
        <v/>
      </c>
      <c r="K12" s="6">
        <f>IFERROR(MINIFS('Detalle individual'!$G$5:$G$295, 'Detalle individual'!$C$5:$C$295, A12), "")</f>
        <v/>
      </c>
      <c r="L12" s="6">
        <f>IFERROR(MAXIFS('Detalle individual'!$H$5:$H$295, 'Detalle individual'!$C$5:$C$295, A12), "")</f>
        <v/>
      </c>
      <c r="M12" s="7">
        <f>IFERROR(MINIFS('Detalle individual'!$I$5:$I$295, 'Detalle individual'!$C$5:$C$295, A12), "")</f>
        <v/>
      </c>
      <c r="N12" s="7">
        <f>IFERROR(AVERAGEIFS('Detalle individual'!$I$5:$I$295, 'Detalle individual'!$C$5:$C$295, A12), "")</f>
        <v/>
      </c>
    </row>
    <row r="13">
      <c r="A13" s="5" t="inlineStr">
        <is>
          <t xml:space="preserve">AGENCIA SAN  MIGUEL  </t>
        </is>
      </c>
      <c r="B13" s="5" t="inlineStr">
        <is>
          <t>Gerencia de Negocios (Agencias)</t>
        </is>
      </c>
      <c r="C13" s="8">
        <f>COUNTIF('Detalle individual'!$C$5:$C$295, A13)</f>
        <v/>
      </c>
      <c r="D13" s="8">
        <f>COUNTIFS('Detalle individual'!$C$5:$C$295, A13, 'Detalle individual'!$F$5:$F$295, "Completado")</f>
        <v/>
      </c>
      <c r="E13" s="8">
        <f>C13-D13</f>
        <v/>
      </c>
      <c r="F13" s="9">
        <f>IF(C13&gt;0, D13/C13, 0)</f>
        <v/>
      </c>
      <c r="G13" s="4">
        <f>IF(AND(C13&gt;0, D13=C13), "Completo", "Pendiente")</f>
        <v/>
      </c>
      <c r="H13" s="7">
        <f>IFERROR(AVERAGEIFS('Detalle individual'!$J$5:$J$295, 'Detalle individual'!$C$5:$C$295, A13), "")</f>
        <v/>
      </c>
      <c r="I13" s="6">
        <f>IFERROR(MAXIFS('Detalle individual'!$J$5:$J$295, 'Detalle individual'!$C$5:$C$295, A13), "")</f>
        <v/>
      </c>
      <c r="J13" s="6">
        <f>IFERROR(MINIFS('Detalle individual'!$J$5:$J$295, 'Detalle individual'!$C$5:$C$295, A13), "")</f>
        <v/>
      </c>
      <c r="K13" s="6">
        <f>IFERROR(MINIFS('Detalle individual'!$G$5:$G$295, 'Detalle individual'!$C$5:$C$295, A13), "")</f>
        <v/>
      </c>
      <c r="L13" s="6">
        <f>IFERROR(MAXIFS('Detalle individual'!$H$5:$H$295, 'Detalle individual'!$C$5:$C$295, A13), "")</f>
        <v/>
      </c>
      <c r="M13" s="7">
        <f>IFERROR(MINIFS('Detalle individual'!$I$5:$I$295, 'Detalle individual'!$C$5:$C$295, A13), "")</f>
        <v/>
      </c>
      <c r="N13" s="7">
        <f>IFERROR(AVERAGEIFS('Detalle individual'!$I$5:$I$295, 'Detalle individual'!$C$5:$C$295, A13), "")</f>
        <v/>
      </c>
    </row>
    <row r="14">
      <c r="A14" s="5" t="inlineStr">
        <is>
          <t xml:space="preserve">AGENCIA SANTA  ANA  </t>
        </is>
      </c>
      <c r="B14" s="5" t="inlineStr">
        <is>
          <t>Gerencia de Negocios (Agencias)</t>
        </is>
      </c>
      <c r="C14" s="8">
        <f>COUNTIF('Detalle individual'!$C$5:$C$295, A14)</f>
        <v/>
      </c>
      <c r="D14" s="8">
        <f>COUNTIFS('Detalle individual'!$C$5:$C$295, A14, 'Detalle individual'!$F$5:$F$295, "Completado")</f>
        <v/>
      </c>
      <c r="E14" s="8">
        <f>C14-D14</f>
        <v/>
      </c>
      <c r="F14" s="9">
        <f>IF(C14&gt;0, D14/C14, 0)</f>
        <v/>
      </c>
      <c r="G14" s="4">
        <f>IF(AND(C14&gt;0, D14=C14), "Completo", "Pendiente")</f>
        <v/>
      </c>
      <c r="H14" s="7">
        <f>IFERROR(AVERAGEIFS('Detalle individual'!$J$5:$J$295, 'Detalle individual'!$C$5:$C$295, A14), "")</f>
        <v/>
      </c>
      <c r="I14" s="6">
        <f>IFERROR(MAXIFS('Detalle individual'!$J$5:$J$295, 'Detalle individual'!$C$5:$C$295, A14), "")</f>
        <v/>
      </c>
      <c r="J14" s="6">
        <f>IFERROR(MINIFS('Detalle individual'!$J$5:$J$295, 'Detalle individual'!$C$5:$C$295, A14), "")</f>
        <v/>
      </c>
      <c r="K14" s="6">
        <f>IFERROR(MINIFS('Detalle individual'!$G$5:$G$295, 'Detalle individual'!$C$5:$C$295, A14), "")</f>
        <v/>
      </c>
      <c r="L14" s="6">
        <f>IFERROR(MAXIFS('Detalle individual'!$H$5:$H$295, 'Detalle individual'!$C$5:$C$295, A14), "")</f>
        <v/>
      </c>
      <c r="M14" s="7">
        <f>IFERROR(MINIFS('Detalle individual'!$I$5:$I$295, 'Detalle individual'!$C$5:$C$295, A14), "")</f>
        <v/>
      </c>
      <c r="N14" s="7">
        <f>IFERROR(AVERAGEIFS('Detalle individual'!$I$5:$I$295, 'Detalle individual'!$C$5:$C$295, A14), "")</f>
        <v/>
      </c>
    </row>
    <row r="15">
      <c r="A15" s="5" t="inlineStr">
        <is>
          <t xml:space="preserve">AGENCIA SONSONATE  </t>
        </is>
      </c>
      <c r="B15" s="5" t="inlineStr">
        <is>
          <t>Gerencia de Negocios (Agencias)</t>
        </is>
      </c>
      <c r="C15" s="8">
        <f>COUNTIF('Detalle individual'!$C$5:$C$295, A15)</f>
        <v/>
      </c>
      <c r="D15" s="8">
        <f>COUNTIFS('Detalle individual'!$C$5:$C$295, A15, 'Detalle individual'!$F$5:$F$295, "Completado")</f>
        <v/>
      </c>
      <c r="E15" s="8">
        <f>C15-D15</f>
        <v/>
      </c>
      <c r="F15" s="9">
        <f>IF(C15&gt;0, D15/C15, 0)</f>
        <v/>
      </c>
      <c r="G15" s="4">
        <f>IF(AND(C15&gt;0, D15=C15), "Completo", "Pendiente")</f>
        <v/>
      </c>
      <c r="H15" s="7">
        <f>IFERROR(AVERAGEIFS('Detalle individual'!$J$5:$J$295, 'Detalle individual'!$C$5:$C$295, A15), "")</f>
        <v/>
      </c>
      <c r="I15" s="6">
        <f>IFERROR(MAXIFS('Detalle individual'!$J$5:$J$295, 'Detalle individual'!$C$5:$C$295, A15), "")</f>
        <v/>
      </c>
      <c r="J15" s="6">
        <f>IFERROR(MINIFS('Detalle individual'!$J$5:$J$295, 'Detalle individual'!$C$5:$C$295, A15), "")</f>
        <v/>
      </c>
      <c r="K15" s="6">
        <f>IFERROR(MINIFS('Detalle individual'!$G$5:$G$295, 'Detalle individual'!$C$5:$C$295, A15), "")</f>
        <v/>
      </c>
      <c r="L15" s="6">
        <f>IFERROR(MAXIFS('Detalle individual'!$H$5:$H$295, 'Detalle individual'!$C$5:$C$295, A15), "")</f>
        <v/>
      </c>
      <c r="M15" s="7">
        <f>IFERROR(MINIFS('Detalle individual'!$I$5:$I$295, 'Detalle individual'!$C$5:$C$295, A15), "")</f>
        <v/>
      </c>
      <c r="N15" s="7">
        <f>IFERROR(AVERAGEIFS('Detalle individual'!$I$5:$I$295, 'Detalle individual'!$C$5:$C$295, A15), "")</f>
        <v/>
      </c>
    </row>
    <row r="16">
      <c r="A16" s="5" t="inlineStr">
        <is>
          <t xml:space="preserve">AGENCIA USULUTAN  </t>
        </is>
      </c>
      <c r="B16" s="5" t="inlineStr">
        <is>
          <t>Gerencia de Negocios (Agencias)</t>
        </is>
      </c>
      <c r="C16" s="8">
        <f>COUNTIF('Detalle individual'!$C$5:$C$295, A16)</f>
        <v/>
      </c>
      <c r="D16" s="8">
        <f>COUNTIFS('Detalle individual'!$C$5:$C$295, A16, 'Detalle individual'!$F$5:$F$295, "Completado")</f>
        <v/>
      </c>
      <c r="E16" s="8">
        <f>C16-D16</f>
        <v/>
      </c>
      <c r="F16" s="9">
        <f>IF(C16&gt;0, D16/C16, 0)</f>
        <v/>
      </c>
      <c r="G16" s="4">
        <f>IF(AND(C16&gt;0, D16=C16), "Completo", "Pendiente")</f>
        <v/>
      </c>
      <c r="H16" s="7">
        <f>IFERROR(AVERAGEIFS('Detalle individual'!$J$5:$J$295, 'Detalle individual'!$C$5:$C$295, A16), "")</f>
        <v/>
      </c>
      <c r="I16" s="6">
        <f>IFERROR(MAXIFS('Detalle individual'!$J$5:$J$295, 'Detalle individual'!$C$5:$C$295, A16), "")</f>
        <v/>
      </c>
      <c r="J16" s="6">
        <f>IFERROR(MINIFS('Detalle individual'!$J$5:$J$295, 'Detalle individual'!$C$5:$C$295, A16), "")</f>
        <v/>
      </c>
      <c r="K16" s="6">
        <f>IFERROR(MINIFS('Detalle individual'!$G$5:$G$295, 'Detalle individual'!$C$5:$C$295, A16), "")</f>
        <v/>
      </c>
      <c r="L16" s="6">
        <f>IFERROR(MAXIFS('Detalle individual'!$H$5:$H$295, 'Detalle individual'!$C$5:$C$295, A16), "")</f>
        <v/>
      </c>
      <c r="M16" s="7">
        <f>IFERROR(MINIFS('Detalle individual'!$I$5:$I$295, 'Detalle individual'!$C$5:$C$295, A16), "")</f>
        <v/>
      </c>
      <c r="N16" s="7">
        <f>IFERROR(AVERAGEIFS('Detalle individual'!$I$5:$I$295, 'Detalle individual'!$C$5:$C$295, A16), "")</f>
        <v/>
      </c>
    </row>
    <row r="17">
      <c r="A17" s="5" t="inlineStr">
        <is>
          <t>CLINICA EMPRESARIAL</t>
        </is>
      </c>
      <c r="B17" s="5" t="inlineStr">
        <is>
          <t>Gerencia Administrativa</t>
        </is>
      </c>
      <c r="C17" s="8">
        <f>COUNTIF('Detalle individual'!$C$5:$C$295, A17)</f>
        <v/>
      </c>
      <c r="D17" s="8">
        <f>COUNTIFS('Detalle individual'!$C$5:$C$295, A17, 'Detalle individual'!$F$5:$F$295, "Completado")</f>
        <v/>
      </c>
      <c r="E17" s="8">
        <f>C17-D17</f>
        <v/>
      </c>
      <c r="F17" s="9">
        <f>IF(C17&gt;0, D17/C17, 0)</f>
        <v/>
      </c>
      <c r="G17" s="4">
        <f>IF(AND(C17&gt;0, D17=C17), "Completo", "Pendiente")</f>
        <v/>
      </c>
      <c r="H17" s="7">
        <f>IFERROR(AVERAGEIFS('Detalle individual'!$J$5:$J$295, 'Detalle individual'!$C$5:$C$295, A17), "")</f>
        <v/>
      </c>
      <c r="I17" s="6">
        <f>IFERROR(MAXIFS('Detalle individual'!$J$5:$J$295, 'Detalle individual'!$C$5:$C$295, A17), "")</f>
        <v/>
      </c>
      <c r="J17" s="6">
        <f>IFERROR(MINIFS('Detalle individual'!$J$5:$J$295, 'Detalle individual'!$C$5:$C$295, A17), "")</f>
        <v/>
      </c>
      <c r="K17" s="6">
        <f>IFERROR(MINIFS('Detalle individual'!$G$5:$G$295, 'Detalle individual'!$C$5:$C$295, A17), "")</f>
        <v/>
      </c>
      <c r="L17" s="6">
        <f>IFERROR(MAXIFS('Detalle individual'!$H$5:$H$295, 'Detalle individual'!$C$5:$C$295, A17), "")</f>
        <v/>
      </c>
      <c r="M17" s="7">
        <f>IFERROR(MINIFS('Detalle individual'!$I$5:$I$295, 'Detalle individual'!$C$5:$C$295, A17), "")</f>
        <v/>
      </c>
      <c r="N17" s="7">
        <f>IFERROR(AVERAGEIFS('Detalle individual'!$I$5:$I$295, 'Detalle individual'!$C$5:$C$295, A17), "")</f>
        <v/>
      </c>
    </row>
    <row r="18">
      <c r="A18" s="5" t="inlineStr">
        <is>
          <t>DEPARTAMENTO COMERCIAL DE TARJETA DE CREDITO Y DEBITO</t>
        </is>
      </c>
      <c r="B18" s="5" t="inlineStr">
        <is>
          <t>Gerencia General</t>
        </is>
      </c>
      <c r="C18" s="8">
        <f>COUNTIF('Detalle individual'!$C$5:$C$295, A18)</f>
        <v/>
      </c>
      <c r="D18" s="8">
        <f>COUNTIFS('Detalle individual'!$C$5:$C$295, A18, 'Detalle individual'!$F$5:$F$295, "Completado")</f>
        <v/>
      </c>
      <c r="E18" s="8">
        <f>C18-D18</f>
        <v/>
      </c>
      <c r="F18" s="9">
        <f>IF(C18&gt;0, D18/C18, 0)</f>
        <v/>
      </c>
      <c r="G18" s="4">
        <f>IF(AND(C18&gt;0, D18=C18), "Completo", "Pendiente")</f>
        <v/>
      </c>
      <c r="H18" s="7">
        <f>IFERROR(AVERAGEIFS('Detalle individual'!$J$5:$J$295, 'Detalle individual'!$C$5:$C$295, A18), "")</f>
        <v/>
      </c>
      <c r="I18" s="6">
        <f>IFERROR(MAXIFS('Detalle individual'!$J$5:$J$295, 'Detalle individual'!$C$5:$C$295, A18), "")</f>
        <v/>
      </c>
      <c r="J18" s="6">
        <f>IFERROR(MINIFS('Detalle individual'!$J$5:$J$295, 'Detalle individual'!$C$5:$C$295, A18), "")</f>
        <v/>
      </c>
      <c r="K18" s="6">
        <f>IFERROR(MINIFS('Detalle individual'!$G$5:$G$295, 'Detalle individual'!$C$5:$C$295, A18), "")</f>
        <v/>
      </c>
      <c r="L18" s="6">
        <f>IFERROR(MAXIFS('Detalle individual'!$H$5:$H$295, 'Detalle individual'!$C$5:$C$295, A18), "")</f>
        <v/>
      </c>
      <c r="M18" s="7">
        <f>IFERROR(MINIFS('Detalle individual'!$I$5:$I$295, 'Detalle individual'!$C$5:$C$295, A18), "")</f>
        <v/>
      </c>
      <c r="N18" s="7">
        <f>IFERROR(AVERAGEIFS('Detalle individual'!$I$5:$I$295, 'Detalle individual'!$C$5:$C$295, A18), "")</f>
        <v/>
      </c>
    </row>
    <row r="19">
      <c r="A19" s="5" t="inlineStr">
        <is>
          <t>DEPARTAMENTO DE ANALISIS Y PROGRAMACIÓN</t>
        </is>
      </c>
      <c r="B19" s="5" t="inlineStr">
        <is>
          <t>Gerencia de Sistemas</t>
        </is>
      </c>
      <c r="C19" s="8">
        <f>COUNTIF('Detalle individual'!$C$5:$C$295, A19)</f>
        <v/>
      </c>
      <c r="D19" s="8">
        <f>COUNTIFS('Detalle individual'!$C$5:$C$295, A19, 'Detalle individual'!$F$5:$F$295, "Completado")</f>
        <v/>
      </c>
      <c r="E19" s="8">
        <f>C19-D19</f>
        <v/>
      </c>
      <c r="F19" s="9">
        <f>IF(C19&gt;0, D19/C19, 0)</f>
        <v/>
      </c>
      <c r="G19" s="4">
        <f>IF(AND(C19&gt;0, D19=C19), "Completo", "Pendiente")</f>
        <v/>
      </c>
      <c r="H19" s="7">
        <f>IFERROR(AVERAGEIFS('Detalle individual'!$J$5:$J$295, 'Detalle individual'!$C$5:$C$295, A19), "")</f>
        <v/>
      </c>
      <c r="I19" s="6">
        <f>IFERROR(MAXIFS('Detalle individual'!$J$5:$J$295, 'Detalle individual'!$C$5:$C$295, A19), "")</f>
        <v/>
      </c>
      <c r="J19" s="6">
        <f>IFERROR(MINIFS('Detalle individual'!$J$5:$J$295, 'Detalle individual'!$C$5:$C$295, A19), "")</f>
        <v/>
      </c>
      <c r="K19" s="6">
        <f>IFERROR(MINIFS('Detalle individual'!$G$5:$G$295, 'Detalle individual'!$C$5:$C$295, A19), "")</f>
        <v/>
      </c>
      <c r="L19" s="6">
        <f>IFERROR(MAXIFS('Detalle individual'!$H$5:$H$295, 'Detalle individual'!$C$5:$C$295, A19), "")</f>
        <v/>
      </c>
      <c r="M19" s="7">
        <f>IFERROR(MINIFS('Detalle individual'!$I$5:$I$295, 'Detalle individual'!$C$5:$C$295, A19), "")</f>
        <v/>
      </c>
      <c r="N19" s="7">
        <f>IFERROR(AVERAGEIFS('Detalle individual'!$I$5:$I$295, 'Detalle individual'!$C$5:$C$295, A19), "")</f>
        <v/>
      </c>
    </row>
    <row r="20">
      <c r="A20" s="5" t="inlineStr">
        <is>
          <t>DEPARTAMENTO DE ATENCION A ASOCIADO Y CLIENTE</t>
        </is>
      </c>
      <c r="B20" s="5" t="inlineStr">
        <is>
          <t>Gerencia de Negocios</t>
        </is>
      </c>
      <c r="C20" s="8">
        <f>COUNTIF('Detalle individual'!$C$5:$C$295, A20)</f>
        <v/>
      </c>
      <c r="D20" s="8">
        <f>COUNTIFS('Detalle individual'!$C$5:$C$295, A20, 'Detalle individual'!$F$5:$F$295, "Completado")</f>
        <v/>
      </c>
      <c r="E20" s="8">
        <f>C20-D20</f>
        <v/>
      </c>
      <c r="F20" s="9">
        <f>IF(C20&gt;0, D20/C20, 0)</f>
        <v/>
      </c>
      <c r="G20" s="4">
        <f>IF(AND(C20&gt;0, D20=C20), "Completo", "Pendiente")</f>
        <v/>
      </c>
      <c r="H20" s="7">
        <f>IFERROR(AVERAGEIFS('Detalle individual'!$J$5:$J$295, 'Detalle individual'!$C$5:$C$295, A20), "")</f>
        <v/>
      </c>
      <c r="I20" s="6">
        <f>IFERROR(MAXIFS('Detalle individual'!$J$5:$J$295, 'Detalle individual'!$C$5:$C$295, A20), "")</f>
        <v/>
      </c>
      <c r="J20" s="6">
        <f>IFERROR(MINIFS('Detalle individual'!$J$5:$J$295, 'Detalle individual'!$C$5:$C$295, A20), "")</f>
        <v/>
      </c>
      <c r="K20" s="6">
        <f>IFERROR(MINIFS('Detalle individual'!$G$5:$G$295, 'Detalle individual'!$C$5:$C$295, A20), "")</f>
        <v/>
      </c>
      <c r="L20" s="6">
        <f>IFERROR(MAXIFS('Detalle individual'!$H$5:$H$295, 'Detalle individual'!$C$5:$C$295, A20), "")</f>
        <v/>
      </c>
      <c r="M20" s="7">
        <f>IFERROR(MINIFS('Detalle individual'!$I$5:$I$295, 'Detalle individual'!$C$5:$C$295, A20), "")</f>
        <v/>
      </c>
      <c r="N20" s="7">
        <f>IFERROR(AVERAGEIFS('Detalle individual'!$I$5:$I$295, 'Detalle individual'!$C$5:$C$295, A20), "")</f>
        <v/>
      </c>
    </row>
    <row r="21">
      <c r="A21" s="5" t="inlineStr">
        <is>
          <t>DEPARTAMENTO DE AUDITORIA INTERNA</t>
        </is>
      </c>
      <c r="B21" s="5" t="inlineStr">
        <is>
          <t>Auditoría Interna</t>
        </is>
      </c>
      <c r="C21" s="8">
        <f>COUNTIF('Detalle individual'!$C$5:$C$295, A21)</f>
        <v/>
      </c>
      <c r="D21" s="8">
        <f>COUNTIFS('Detalle individual'!$C$5:$C$295, A21, 'Detalle individual'!$F$5:$F$295, "Completado")</f>
        <v/>
      </c>
      <c r="E21" s="8">
        <f>C21-D21</f>
        <v/>
      </c>
      <c r="F21" s="9">
        <f>IF(C21&gt;0, D21/C21, 0)</f>
        <v/>
      </c>
      <c r="G21" s="4">
        <f>IF(AND(C21&gt;0, D21=C21), "Completo", "Pendiente")</f>
        <v/>
      </c>
      <c r="H21" s="7">
        <f>IFERROR(AVERAGEIFS('Detalle individual'!$J$5:$J$295, 'Detalle individual'!$C$5:$C$295, A21), "")</f>
        <v/>
      </c>
      <c r="I21" s="6">
        <f>IFERROR(MAXIFS('Detalle individual'!$J$5:$J$295, 'Detalle individual'!$C$5:$C$295, A21), "")</f>
        <v/>
      </c>
      <c r="J21" s="6">
        <f>IFERROR(MINIFS('Detalle individual'!$J$5:$J$295, 'Detalle individual'!$C$5:$C$295, A21), "")</f>
        <v/>
      </c>
      <c r="K21" s="6">
        <f>IFERROR(MINIFS('Detalle individual'!$G$5:$G$295, 'Detalle individual'!$C$5:$C$295, A21), "")</f>
        <v/>
      </c>
      <c r="L21" s="6">
        <f>IFERROR(MAXIFS('Detalle individual'!$H$5:$H$295, 'Detalle individual'!$C$5:$C$295, A21), "")</f>
        <v/>
      </c>
      <c r="M21" s="7">
        <f>IFERROR(MINIFS('Detalle individual'!$I$5:$I$295, 'Detalle individual'!$C$5:$C$295, A21), "")</f>
        <v/>
      </c>
      <c r="N21" s="7">
        <f>IFERROR(AVERAGEIFS('Detalle individual'!$I$5:$I$295, 'Detalle individual'!$C$5:$C$295, A21), "")</f>
        <v/>
      </c>
    </row>
    <row r="22">
      <c r="A22" s="5" t="inlineStr">
        <is>
          <t>DEPARTAMENTO DE CONTABILIDAD</t>
        </is>
      </c>
      <c r="B22" s="5" t="inlineStr">
        <is>
          <t>Gerencia de Finanzas y Planificación</t>
        </is>
      </c>
      <c r="C22" s="8">
        <f>COUNTIF('Detalle individual'!$C$5:$C$295, A22)</f>
        <v/>
      </c>
      <c r="D22" s="8">
        <f>COUNTIFS('Detalle individual'!$C$5:$C$295, A22, 'Detalle individual'!$F$5:$F$295, "Completado")</f>
        <v/>
      </c>
      <c r="E22" s="8">
        <f>C22-D22</f>
        <v/>
      </c>
      <c r="F22" s="9">
        <f>IF(C22&gt;0, D22/C22, 0)</f>
        <v/>
      </c>
      <c r="G22" s="4">
        <f>IF(AND(C22&gt;0, D22=C22), "Completo", "Pendiente")</f>
        <v/>
      </c>
      <c r="H22" s="7">
        <f>IFERROR(AVERAGEIFS('Detalle individual'!$J$5:$J$295, 'Detalle individual'!$C$5:$C$295, A22), "")</f>
        <v/>
      </c>
      <c r="I22" s="6">
        <f>IFERROR(MAXIFS('Detalle individual'!$J$5:$J$295, 'Detalle individual'!$C$5:$C$295, A22), "")</f>
        <v/>
      </c>
      <c r="J22" s="6">
        <f>IFERROR(MINIFS('Detalle individual'!$J$5:$J$295, 'Detalle individual'!$C$5:$C$295, A22), "")</f>
        <v/>
      </c>
      <c r="K22" s="6">
        <f>IFERROR(MINIFS('Detalle individual'!$G$5:$G$295, 'Detalle individual'!$C$5:$C$295, A22), "")</f>
        <v/>
      </c>
      <c r="L22" s="6">
        <f>IFERROR(MAXIFS('Detalle individual'!$H$5:$H$295, 'Detalle individual'!$C$5:$C$295, A22), "")</f>
        <v/>
      </c>
      <c r="M22" s="7">
        <f>IFERROR(MINIFS('Detalle individual'!$I$5:$I$295, 'Detalle individual'!$C$5:$C$295, A22), "")</f>
        <v/>
      </c>
      <c r="N22" s="7">
        <f>IFERROR(AVERAGEIFS('Detalle individual'!$I$5:$I$295, 'Detalle individual'!$C$5:$C$295, A22), "")</f>
        <v/>
      </c>
    </row>
    <row r="23">
      <c r="A23" s="5" t="inlineStr">
        <is>
          <t xml:space="preserve">DEPARTAMENTO DE CREDITOS </t>
        </is>
      </c>
      <c r="B23" s="5" t="inlineStr">
        <is>
          <t>Gerencia de Negocios</t>
        </is>
      </c>
      <c r="C23" s="8">
        <f>COUNTIF('Detalle individual'!$C$5:$C$295, A23)</f>
        <v/>
      </c>
      <c r="D23" s="8">
        <f>COUNTIFS('Detalle individual'!$C$5:$C$295, A23, 'Detalle individual'!$F$5:$F$295, "Completado")</f>
        <v/>
      </c>
      <c r="E23" s="8">
        <f>C23-D23</f>
        <v/>
      </c>
      <c r="F23" s="9">
        <f>IF(C23&gt;0, D23/C23, 0)</f>
        <v/>
      </c>
      <c r="G23" s="4">
        <f>IF(AND(C23&gt;0, D23=C23), "Completo", "Pendiente")</f>
        <v/>
      </c>
      <c r="H23" s="7">
        <f>IFERROR(AVERAGEIFS('Detalle individual'!$J$5:$J$295, 'Detalle individual'!$C$5:$C$295, A23), "")</f>
        <v/>
      </c>
      <c r="I23" s="6">
        <f>IFERROR(MAXIFS('Detalle individual'!$J$5:$J$295, 'Detalle individual'!$C$5:$C$295, A23), "")</f>
        <v/>
      </c>
      <c r="J23" s="6">
        <f>IFERROR(MINIFS('Detalle individual'!$J$5:$J$295, 'Detalle individual'!$C$5:$C$295, A23), "")</f>
        <v/>
      </c>
      <c r="K23" s="6">
        <f>IFERROR(MINIFS('Detalle individual'!$G$5:$G$295, 'Detalle individual'!$C$5:$C$295, A23), "")</f>
        <v/>
      </c>
      <c r="L23" s="6">
        <f>IFERROR(MAXIFS('Detalle individual'!$H$5:$H$295, 'Detalle individual'!$C$5:$C$295, A23), "")</f>
        <v/>
      </c>
      <c r="M23" s="7">
        <f>IFERROR(MINIFS('Detalle individual'!$I$5:$I$295, 'Detalle individual'!$C$5:$C$295, A23), "")</f>
        <v/>
      </c>
      <c r="N23" s="7">
        <f>IFERROR(AVERAGEIFS('Detalle individual'!$I$5:$I$295, 'Detalle individual'!$C$5:$C$295, A23), "")</f>
        <v/>
      </c>
    </row>
    <row r="24">
      <c r="A24" s="5" t="inlineStr">
        <is>
          <t>DEPARTAMENTO DE CUSTODIA DE GARANTÍA Y VALORES</t>
        </is>
      </c>
      <c r="B24" s="5" t="inlineStr">
        <is>
          <t>Gerencia Administrativa</t>
        </is>
      </c>
      <c r="C24" s="8">
        <f>COUNTIF('Detalle individual'!$C$5:$C$295, A24)</f>
        <v/>
      </c>
      <c r="D24" s="8">
        <f>COUNTIFS('Detalle individual'!$C$5:$C$295, A24, 'Detalle individual'!$F$5:$F$295, "Completado")</f>
        <v/>
      </c>
      <c r="E24" s="8">
        <f>C24-D24</f>
        <v/>
      </c>
      <c r="F24" s="9">
        <f>IF(C24&gt;0, D24/C24, 0)</f>
        <v/>
      </c>
      <c r="G24" s="4">
        <f>IF(AND(C24&gt;0, D24=C24), "Completo", "Pendiente")</f>
        <v/>
      </c>
      <c r="H24" s="7">
        <f>IFERROR(AVERAGEIFS('Detalle individual'!$J$5:$J$295, 'Detalle individual'!$C$5:$C$295, A24), "")</f>
        <v/>
      </c>
      <c r="I24" s="6">
        <f>IFERROR(MAXIFS('Detalle individual'!$J$5:$J$295, 'Detalle individual'!$C$5:$C$295, A24), "")</f>
        <v/>
      </c>
      <c r="J24" s="6">
        <f>IFERROR(MINIFS('Detalle individual'!$J$5:$J$295, 'Detalle individual'!$C$5:$C$295, A24), "")</f>
        <v/>
      </c>
      <c r="K24" s="6">
        <f>IFERROR(MINIFS('Detalle individual'!$G$5:$G$295, 'Detalle individual'!$C$5:$C$295, A24), "")</f>
        <v/>
      </c>
      <c r="L24" s="6">
        <f>IFERROR(MAXIFS('Detalle individual'!$H$5:$H$295, 'Detalle individual'!$C$5:$C$295, A24), "")</f>
        <v/>
      </c>
      <c r="M24" s="7">
        <f>IFERROR(MINIFS('Detalle individual'!$I$5:$I$295, 'Detalle individual'!$C$5:$C$295, A24), "")</f>
        <v/>
      </c>
      <c r="N24" s="7">
        <f>IFERROR(AVERAGEIFS('Detalle individual'!$I$5:$I$295, 'Detalle individual'!$C$5:$C$295, A24), "")</f>
        <v/>
      </c>
    </row>
    <row r="25">
      <c r="A25" s="5" t="inlineStr">
        <is>
          <t>DEPARTAMENTO DE DEPOSITOS</t>
        </is>
      </c>
      <c r="B25" s="5" t="inlineStr">
        <is>
          <t>Gerencia de Operaciones</t>
        </is>
      </c>
      <c r="C25" s="8">
        <f>COUNTIF('Detalle individual'!$C$5:$C$295, A25)</f>
        <v/>
      </c>
      <c r="D25" s="8">
        <f>COUNTIFS('Detalle individual'!$C$5:$C$295, A25, 'Detalle individual'!$F$5:$F$295, "Completado")</f>
        <v/>
      </c>
      <c r="E25" s="8">
        <f>C25-D25</f>
        <v/>
      </c>
      <c r="F25" s="9">
        <f>IF(C25&gt;0, D25/C25, 0)</f>
        <v/>
      </c>
      <c r="G25" s="4">
        <f>IF(AND(C25&gt;0, D25=C25), "Completo", "Pendiente")</f>
        <v/>
      </c>
      <c r="H25" s="7">
        <f>IFERROR(AVERAGEIFS('Detalle individual'!$J$5:$J$295, 'Detalle individual'!$C$5:$C$295, A25), "")</f>
        <v/>
      </c>
      <c r="I25" s="6">
        <f>IFERROR(MAXIFS('Detalle individual'!$J$5:$J$295, 'Detalle individual'!$C$5:$C$295, A25), "")</f>
        <v/>
      </c>
      <c r="J25" s="6">
        <f>IFERROR(MINIFS('Detalle individual'!$J$5:$J$295, 'Detalle individual'!$C$5:$C$295, A25), "")</f>
        <v/>
      </c>
      <c r="K25" s="6">
        <f>IFERROR(MINIFS('Detalle individual'!$G$5:$G$295, 'Detalle individual'!$C$5:$C$295, A25), "")</f>
        <v/>
      </c>
      <c r="L25" s="6">
        <f>IFERROR(MAXIFS('Detalle individual'!$H$5:$H$295, 'Detalle individual'!$C$5:$C$295, A25), "")</f>
        <v/>
      </c>
      <c r="M25" s="7">
        <f>IFERROR(MINIFS('Detalle individual'!$I$5:$I$295, 'Detalle individual'!$C$5:$C$295, A25), "")</f>
        <v/>
      </c>
      <c r="N25" s="7">
        <f>IFERROR(AVERAGEIFS('Detalle individual'!$I$5:$I$295, 'Detalle individual'!$C$5:$C$295, A25), "")</f>
        <v/>
      </c>
    </row>
    <row r="26">
      <c r="A26" s="5" t="inlineStr">
        <is>
          <t>DEPARTAMENTO DE EDUCACION Y RESPONSABILIDAD SOCIAL</t>
        </is>
      </c>
      <c r="B26" s="5" t="inlineStr">
        <is>
          <t>Gerencia de Negocios</t>
        </is>
      </c>
      <c r="C26" s="8">
        <f>COUNTIF('Detalle individual'!$C$5:$C$295, A26)</f>
        <v/>
      </c>
      <c r="D26" s="8">
        <f>COUNTIFS('Detalle individual'!$C$5:$C$295, A26, 'Detalle individual'!$F$5:$F$295, "Completado")</f>
        <v/>
      </c>
      <c r="E26" s="8">
        <f>C26-D26</f>
        <v/>
      </c>
      <c r="F26" s="9">
        <f>IF(C26&gt;0, D26/C26, 0)</f>
        <v/>
      </c>
      <c r="G26" s="4">
        <f>IF(AND(C26&gt;0, D26=C26), "Completo", "Pendiente")</f>
        <v/>
      </c>
      <c r="H26" s="7">
        <f>IFERROR(AVERAGEIFS('Detalle individual'!$J$5:$J$295, 'Detalle individual'!$C$5:$C$295, A26), "")</f>
        <v/>
      </c>
      <c r="I26" s="6">
        <f>IFERROR(MAXIFS('Detalle individual'!$J$5:$J$295, 'Detalle individual'!$C$5:$C$295, A26), "")</f>
        <v/>
      </c>
      <c r="J26" s="6">
        <f>IFERROR(MINIFS('Detalle individual'!$J$5:$J$295, 'Detalle individual'!$C$5:$C$295, A26), "")</f>
        <v/>
      </c>
      <c r="K26" s="6">
        <f>IFERROR(MINIFS('Detalle individual'!$G$5:$G$295, 'Detalle individual'!$C$5:$C$295, A26), "")</f>
        <v/>
      </c>
      <c r="L26" s="6">
        <f>IFERROR(MAXIFS('Detalle individual'!$H$5:$H$295, 'Detalle individual'!$C$5:$C$295, A26), "")</f>
        <v/>
      </c>
      <c r="M26" s="7">
        <f>IFERROR(MINIFS('Detalle individual'!$I$5:$I$295, 'Detalle individual'!$C$5:$C$295, A26), "")</f>
        <v/>
      </c>
      <c r="N26" s="7">
        <f>IFERROR(AVERAGEIFS('Detalle individual'!$I$5:$I$295, 'Detalle individual'!$C$5:$C$295, A26), "")</f>
        <v/>
      </c>
    </row>
    <row r="27">
      <c r="A27" s="5" t="inlineStr">
        <is>
          <t xml:space="preserve">DEPARTAMENTO DE MERCADEO </t>
        </is>
      </c>
      <c r="B27" s="5" t="inlineStr">
        <is>
          <t>Gerencia de Negocios</t>
        </is>
      </c>
      <c r="C27" s="8">
        <f>COUNTIF('Detalle individual'!$C$5:$C$295, A27)</f>
        <v/>
      </c>
      <c r="D27" s="8">
        <f>COUNTIFS('Detalle individual'!$C$5:$C$295, A27, 'Detalle individual'!$F$5:$F$295, "Completado")</f>
        <v/>
      </c>
      <c r="E27" s="8">
        <f>C27-D27</f>
        <v/>
      </c>
      <c r="F27" s="9">
        <f>IF(C27&gt;0, D27/C27, 0)</f>
        <v/>
      </c>
      <c r="G27" s="4">
        <f>IF(AND(C27&gt;0, D27=C27), "Completo", "Pendiente")</f>
        <v/>
      </c>
      <c r="H27" s="7">
        <f>IFERROR(AVERAGEIFS('Detalle individual'!$J$5:$J$295, 'Detalle individual'!$C$5:$C$295, A27), "")</f>
        <v/>
      </c>
      <c r="I27" s="6">
        <f>IFERROR(MAXIFS('Detalle individual'!$J$5:$J$295, 'Detalle individual'!$C$5:$C$295, A27), "")</f>
        <v/>
      </c>
      <c r="J27" s="6">
        <f>IFERROR(MINIFS('Detalle individual'!$J$5:$J$295, 'Detalle individual'!$C$5:$C$295, A27), "")</f>
        <v/>
      </c>
      <c r="K27" s="6">
        <f>IFERROR(MINIFS('Detalle individual'!$G$5:$G$295, 'Detalle individual'!$C$5:$C$295, A27), "")</f>
        <v/>
      </c>
      <c r="L27" s="6">
        <f>IFERROR(MAXIFS('Detalle individual'!$H$5:$H$295, 'Detalle individual'!$C$5:$C$295, A27), "")</f>
        <v/>
      </c>
      <c r="M27" s="7">
        <f>IFERROR(MINIFS('Detalle individual'!$I$5:$I$295, 'Detalle individual'!$C$5:$C$295, A27), "")</f>
        <v/>
      </c>
      <c r="N27" s="7">
        <f>IFERROR(AVERAGEIFS('Detalle individual'!$I$5:$I$295, 'Detalle individual'!$C$5:$C$295, A27), "")</f>
        <v/>
      </c>
    </row>
    <row r="28">
      <c r="A28" s="5" t="inlineStr">
        <is>
          <t>DEPARTAMENTO DE OPERACIONES Y SOPORTE TECNICO</t>
        </is>
      </c>
      <c r="B28" s="5" t="inlineStr">
        <is>
          <t>Gerencia de Sistemas</t>
        </is>
      </c>
      <c r="C28" s="8">
        <f>COUNTIF('Detalle individual'!$C$5:$C$295, A28)</f>
        <v/>
      </c>
      <c r="D28" s="8">
        <f>COUNTIFS('Detalle individual'!$C$5:$C$295, A28, 'Detalle individual'!$F$5:$F$295, "Completado")</f>
        <v/>
      </c>
      <c r="E28" s="8">
        <f>C28-D28</f>
        <v/>
      </c>
      <c r="F28" s="9">
        <f>IF(C28&gt;0, D28/C28, 0)</f>
        <v/>
      </c>
      <c r="G28" s="4">
        <f>IF(AND(C28&gt;0, D28=C28), "Completo", "Pendiente")</f>
        <v/>
      </c>
      <c r="H28" s="7">
        <f>IFERROR(AVERAGEIFS('Detalle individual'!$J$5:$J$295, 'Detalle individual'!$C$5:$C$295, A28), "")</f>
        <v/>
      </c>
      <c r="I28" s="6">
        <f>IFERROR(MAXIFS('Detalle individual'!$J$5:$J$295, 'Detalle individual'!$C$5:$C$295, A28), "")</f>
        <v/>
      </c>
      <c r="J28" s="6">
        <f>IFERROR(MINIFS('Detalle individual'!$J$5:$J$295, 'Detalle individual'!$C$5:$C$295, A28), "")</f>
        <v/>
      </c>
      <c r="K28" s="6">
        <f>IFERROR(MINIFS('Detalle individual'!$G$5:$G$295, 'Detalle individual'!$C$5:$C$295, A28), "")</f>
        <v/>
      </c>
      <c r="L28" s="6">
        <f>IFERROR(MAXIFS('Detalle individual'!$H$5:$H$295, 'Detalle individual'!$C$5:$C$295, A28), "")</f>
        <v/>
      </c>
      <c r="M28" s="7">
        <f>IFERROR(MINIFS('Detalle individual'!$I$5:$I$295, 'Detalle individual'!$C$5:$C$295, A28), "")</f>
        <v/>
      </c>
      <c r="N28" s="7">
        <f>IFERROR(AVERAGEIFS('Detalle individual'!$I$5:$I$295, 'Detalle individual'!$C$5:$C$295, A28), "")</f>
        <v/>
      </c>
    </row>
    <row r="29">
      <c r="A29" s="5" t="inlineStr">
        <is>
          <t>DEPARTAMENTO DE PLANIFICACIÓN Y ANALISIS</t>
        </is>
      </c>
      <c r="B29" s="5" t="inlineStr">
        <is>
          <t>Gerencia de Finanzas y Planificación</t>
        </is>
      </c>
      <c r="C29" s="8">
        <f>COUNTIF('Detalle individual'!$C$5:$C$295, A29)</f>
        <v/>
      </c>
      <c r="D29" s="8">
        <f>COUNTIFS('Detalle individual'!$C$5:$C$295, A29, 'Detalle individual'!$F$5:$F$295, "Completado")</f>
        <v/>
      </c>
      <c r="E29" s="8">
        <f>C29-D29</f>
        <v/>
      </c>
      <c r="F29" s="9">
        <f>IF(C29&gt;0, D29/C29, 0)</f>
        <v/>
      </c>
      <c r="G29" s="4">
        <f>IF(AND(C29&gt;0, D29=C29), "Completo", "Pendiente")</f>
        <v/>
      </c>
      <c r="H29" s="7">
        <f>IFERROR(AVERAGEIFS('Detalle individual'!$J$5:$J$295, 'Detalle individual'!$C$5:$C$295, A29), "")</f>
        <v/>
      </c>
      <c r="I29" s="6">
        <f>IFERROR(MAXIFS('Detalle individual'!$J$5:$J$295, 'Detalle individual'!$C$5:$C$295, A29), "")</f>
        <v/>
      </c>
      <c r="J29" s="6">
        <f>IFERROR(MINIFS('Detalle individual'!$J$5:$J$295, 'Detalle individual'!$C$5:$C$295, A29), "")</f>
        <v/>
      </c>
      <c r="K29" s="6">
        <f>IFERROR(MINIFS('Detalle individual'!$G$5:$G$295, 'Detalle individual'!$C$5:$C$295, A29), "")</f>
        <v/>
      </c>
      <c r="L29" s="6">
        <f>IFERROR(MAXIFS('Detalle individual'!$H$5:$H$295, 'Detalle individual'!$C$5:$C$295, A29), "")</f>
        <v/>
      </c>
      <c r="M29" s="7">
        <f>IFERROR(MINIFS('Detalle individual'!$I$5:$I$295, 'Detalle individual'!$C$5:$C$295, A29), "")</f>
        <v/>
      </c>
      <c r="N29" s="7">
        <f>IFERROR(AVERAGEIFS('Detalle individual'!$I$5:$I$295, 'Detalle individual'!$C$5:$C$295, A29), "")</f>
        <v/>
      </c>
    </row>
    <row r="30">
      <c r="A30" s="5" t="inlineStr">
        <is>
          <t>DEPARTAMENTO DE PROCESOS</t>
        </is>
      </c>
      <c r="B30" s="5" t="inlineStr">
        <is>
          <t>Gerencia General</t>
        </is>
      </c>
      <c r="C30" s="8">
        <f>COUNTIF('Detalle individual'!$C$5:$C$295, A30)</f>
        <v/>
      </c>
      <c r="D30" s="8">
        <f>COUNTIFS('Detalle individual'!$C$5:$C$295, A30, 'Detalle individual'!$F$5:$F$295, "Completado")</f>
        <v/>
      </c>
      <c r="E30" s="8">
        <f>C30-D30</f>
        <v/>
      </c>
      <c r="F30" s="9">
        <f>IF(C30&gt;0, D30/C30, 0)</f>
        <v/>
      </c>
      <c r="G30" s="4">
        <f>IF(AND(C30&gt;0, D30=C30), "Completo", "Pendiente")</f>
        <v/>
      </c>
      <c r="H30" s="7">
        <f>IFERROR(AVERAGEIFS('Detalle individual'!$J$5:$J$295, 'Detalle individual'!$C$5:$C$295, A30), "")</f>
        <v/>
      </c>
      <c r="I30" s="6">
        <f>IFERROR(MAXIFS('Detalle individual'!$J$5:$J$295, 'Detalle individual'!$C$5:$C$295, A30), "")</f>
        <v/>
      </c>
      <c r="J30" s="6">
        <f>IFERROR(MINIFS('Detalle individual'!$J$5:$J$295, 'Detalle individual'!$C$5:$C$295, A30), "")</f>
        <v/>
      </c>
      <c r="K30" s="6">
        <f>IFERROR(MINIFS('Detalle individual'!$G$5:$G$295, 'Detalle individual'!$C$5:$C$295, A30), "")</f>
        <v/>
      </c>
      <c r="L30" s="6">
        <f>IFERROR(MAXIFS('Detalle individual'!$H$5:$H$295, 'Detalle individual'!$C$5:$C$295, A30), "")</f>
        <v/>
      </c>
      <c r="M30" s="7">
        <f>IFERROR(MINIFS('Detalle individual'!$I$5:$I$295, 'Detalle individual'!$C$5:$C$295, A30), "")</f>
        <v/>
      </c>
      <c r="N30" s="7">
        <f>IFERROR(AVERAGEIFS('Detalle individual'!$I$5:$I$295, 'Detalle individual'!$C$5:$C$295, A30), "")</f>
        <v/>
      </c>
    </row>
    <row r="31">
      <c r="A31" s="5" t="inlineStr">
        <is>
          <t>DEPARTAMENTO DE SEGURIDAD</t>
        </is>
      </c>
      <c r="B31" s="5" t="inlineStr">
        <is>
          <t>Gerencia Administrativa</t>
        </is>
      </c>
      <c r="C31" s="8">
        <f>COUNTIF('Detalle individual'!$C$5:$C$295, A31)</f>
        <v/>
      </c>
      <c r="D31" s="8">
        <f>COUNTIFS('Detalle individual'!$C$5:$C$295, A31, 'Detalle individual'!$F$5:$F$295, "Completado")</f>
        <v/>
      </c>
      <c r="E31" s="8">
        <f>C31-D31</f>
        <v/>
      </c>
      <c r="F31" s="9">
        <f>IF(C31&gt;0, D31/C31, 0)</f>
        <v/>
      </c>
      <c r="G31" s="4">
        <f>IF(AND(C31&gt;0, D31=C31), "Completo", "Pendiente")</f>
        <v/>
      </c>
      <c r="H31" s="7">
        <f>IFERROR(AVERAGEIFS('Detalle individual'!$J$5:$J$295, 'Detalle individual'!$C$5:$C$295, A31), "")</f>
        <v/>
      </c>
      <c r="I31" s="6">
        <f>IFERROR(MAXIFS('Detalle individual'!$J$5:$J$295, 'Detalle individual'!$C$5:$C$295, A31), "")</f>
        <v/>
      </c>
      <c r="J31" s="6">
        <f>IFERROR(MINIFS('Detalle individual'!$J$5:$J$295, 'Detalle individual'!$C$5:$C$295, A31), "")</f>
        <v/>
      </c>
      <c r="K31" s="6">
        <f>IFERROR(MINIFS('Detalle individual'!$G$5:$G$295, 'Detalle individual'!$C$5:$C$295, A31), "")</f>
        <v/>
      </c>
      <c r="L31" s="6">
        <f>IFERROR(MAXIFS('Detalle individual'!$H$5:$H$295, 'Detalle individual'!$C$5:$C$295, A31), "")</f>
        <v/>
      </c>
      <c r="M31" s="7">
        <f>IFERROR(MINIFS('Detalle individual'!$I$5:$I$295, 'Detalle individual'!$C$5:$C$295, A31), "")</f>
        <v/>
      </c>
      <c r="N31" s="7">
        <f>IFERROR(AVERAGEIFS('Detalle individual'!$I$5:$I$295, 'Detalle individual'!$C$5:$C$295, A31), "")</f>
        <v/>
      </c>
    </row>
    <row r="32">
      <c r="A32" s="5" t="inlineStr">
        <is>
          <t xml:space="preserve">DEPARTAMENTO DE SEGUROS </t>
        </is>
      </c>
      <c r="B32" s="5" t="inlineStr">
        <is>
          <t>Gerencia de Negocios</t>
        </is>
      </c>
      <c r="C32" s="8">
        <f>COUNTIF('Detalle individual'!$C$5:$C$295, A32)</f>
        <v/>
      </c>
      <c r="D32" s="8">
        <f>COUNTIFS('Detalle individual'!$C$5:$C$295, A32, 'Detalle individual'!$F$5:$F$295, "Completado")</f>
        <v/>
      </c>
      <c r="E32" s="8">
        <f>C32-D32</f>
        <v/>
      </c>
      <c r="F32" s="9">
        <f>IF(C32&gt;0, D32/C32, 0)</f>
        <v/>
      </c>
      <c r="G32" s="4">
        <f>IF(AND(C32&gt;0, D32=C32), "Completo", "Pendiente")</f>
        <v/>
      </c>
      <c r="H32" s="7">
        <f>IFERROR(AVERAGEIFS('Detalle individual'!$J$5:$J$295, 'Detalle individual'!$C$5:$C$295, A32), "")</f>
        <v/>
      </c>
      <c r="I32" s="6">
        <f>IFERROR(MAXIFS('Detalle individual'!$J$5:$J$295, 'Detalle individual'!$C$5:$C$295, A32), "")</f>
        <v/>
      </c>
      <c r="J32" s="6">
        <f>IFERROR(MINIFS('Detalle individual'!$J$5:$J$295, 'Detalle individual'!$C$5:$C$295, A32), "")</f>
        <v/>
      </c>
      <c r="K32" s="6">
        <f>IFERROR(MINIFS('Detalle individual'!$G$5:$G$295, 'Detalle individual'!$C$5:$C$295, A32), "")</f>
        <v/>
      </c>
      <c r="L32" s="6">
        <f>IFERROR(MAXIFS('Detalle individual'!$H$5:$H$295, 'Detalle individual'!$C$5:$C$295, A32), "")</f>
        <v/>
      </c>
      <c r="M32" s="7">
        <f>IFERROR(MINIFS('Detalle individual'!$I$5:$I$295, 'Detalle individual'!$C$5:$C$295, A32), "")</f>
        <v/>
      </c>
      <c r="N32" s="7">
        <f>IFERROR(AVERAGEIFS('Detalle individual'!$I$5:$I$295, 'Detalle individual'!$C$5:$C$295, A32), "")</f>
        <v/>
      </c>
    </row>
    <row r="33">
      <c r="A33" s="5" t="inlineStr">
        <is>
          <t>DEPARTAMENTO DE SERVICIOS GENERALES</t>
        </is>
      </c>
      <c r="B33" s="5" t="inlineStr">
        <is>
          <t>Gerencia Administrativa</t>
        </is>
      </c>
      <c r="C33" s="8">
        <f>COUNTIF('Detalle individual'!$C$5:$C$295, A33)</f>
        <v/>
      </c>
      <c r="D33" s="8">
        <f>COUNTIFS('Detalle individual'!$C$5:$C$295, A33, 'Detalle individual'!$F$5:$F$295, "Completado")</f>
        <v/>
      </c>
      <c r="E33" s="8">
        <f>C33-D33</f>
        <v/>
      </c>
      <c r="F33" s="9">
        <f>IF(C33&gt;0, D33/C33, 0)</f>
        <v/>
      </c>
      <c r="G33" s="4">
        <f>IF(AND(C33&gt;0, D33=C33), "Completo", "Pendiente")</f>
        <v/>
      </c>
      <c r="H33" s="7">
        <f>IFERROR(AVERAGEIFS('Detalle individual'!$J$5:$J$295, 'Detalle individual'!$C$5:$C$295, A33), "")</f>
        <v/>
      </c>
      <c r="I33" s="6">
        <f>IFERROR(MAXIFS('Detalle individual'!$J$5:$J$295, 'Detalle individual'!$C$5:$C$295, A33), "")</f>
        <v/>
      </c>
      <c r="J33" s="6">
        <f>IFERROR(MINIFS('Detalle individual'!$J$5:$J$295, 'Detalle individual'!$C$5:$C$295, A33), "")</f>
        <v/>
      </c>
      <c r="K33" s="6">
        <f>IFERROR(MINIFS('Detalle individual'!$G$5:$G$295, 'Detalle individual'!$C$5:$C$295, A33), "")</f>
        <v/>
      </c>
      <c r="L33" s="6">
        <f>IFERROR(MAXIFS('Detalle individual'!$H$5:$H$295, 'Detalle individual'!$C$5:$C$295, A33), "")</f>
        <v/>
      </c>
      <c r="M33" s="7">
        <f>IFERROR(MINIFS('Detalle individual'!$I$5:$I$295, 'Detalle individual'!$C$5:$C$295, A33), "")</f>
        <v/>
      </c>
      <c r="N33" s="7">
        <f>IFERROR(AVERAGEIFS('Detalle individual'!$I$5:$I$295, 'Detalle individual'!$C$5:$C$295, A33), "")</f>
        <v/>
      </c>
    </row>
    <row r="34">
      <c r="A34" s="5" t="inlineStr">
        <is>
          <t>DEPARTAMENTO DE SOLUCIONES FINANCIERAS</t>
        </is>
      </c>
      <c r="B34" s="5" t="inlineStr">
        <is>
          <t>Gerencia de Negocios</t>
        </is>
      </c>
      <c r="C34" s="8">
        <f>COUNTIF('Detalle individual'!$C$5:$C$295, A34)</f>
        <v/>
      </c>
      <c r="D34" s="8">
        <f>COUNTIFS('Detalle individual'!$C$5:$C$295, A34, 'Detalle individual'!$F$5:$F$295, "Completado")</f>
        <v/>
      </c>
      <c r="E34" s="8">
        <f>C34-D34</f>
        <v/>
      </c>
      <c r="F34" s="9">
        <f>IF(C34&gt;0, D34/C34, 0)</f>
        <v/>
      </c>
      <c r="G34" s="4">
        <f>IF(AND(C34&gt;0, D34=C34), "Completo", "Pendiente")</f>
        <v/>
      </c>
      <c r="H34" s="7">
        <f>IFERROR(AVERAGEIFS('Detalle individual'!$J$5:$J$295, 'Detalle individual'!$C$5:$C$295, A34), "")</f>
        <v/>
      </c>
      <c r="I34" s="6">
        <f>IFERROR(MAXIFS('Detalle individual'!$J$5:$J$295, 'Detalle individual'!$C$5:$C$295, A34), "")</f>
        <v/>
      </c>
      <c r="J34" s="6">
        <f>IFERROR(MINIFS('Detalle individual'!$J$5:$J$295, 'Detalle individual'!$C$5:$C$295, A34), "")</f>
        <v/>
      </c>
      <c r="K34" s="6">
        <f>IFERROR(MINIFS('Detalle individual'!$G$5:$G$295, 'Detalle individual'!$C$5:$C$295, A34), "")</f>
        <v/>
      </c>
      <c r="L34" s="6">
        <f>IFERROR(MAXIFS('Detalle individual'!$H$5:$H$295, 'Detalle individual'!$C$5:$C$295, A34), "")</f>
        <v/>
      </c>
      <c r="M34" s="7">
        <f>IFERROR(MINIFS('Detalle individual'!$I$5:$I$295, 'Detalle individual'!$C$5:$C$295, A34), "")</f>
        <v/>
      </c>
      <c r="N34" s="7">
        <f>IFERROR(AVERAGEIFS('Detalle individual'!$I$5:$I$295, 'Detalle individual'!$C$5:$C$295, A34), "")</f>
        <v/>
      </c>
    </row>
    <row r="35">
      <c r="A35" s="5" t="inlineStr">
        <is>
          <t>DEPARTAMENTO DE TALENTO HUMANO</t>
        </is>
      </c>
      <c r="B35" s="5" t="inlineStr">
        <is>
          <t>Gerencia Administrativa</t>
        </is>
      </c>
      <c r="C35" s="8">
        <f>COUNTIF('Detalle individual'!$C$5:$C$295, A35)</f>
        <v/>
      </c>
      <c r="D35" s="8">
        <f>COUNTIFS('Detalle individual'!$C$5:$C$295, A35, 'Detalle individual'!$F$5:$F$295, "Completado")</f>
        <v/>
      </c>
      <c r="E35" s="8">
        <f>C35-D35</f>
        <v/>
      </c>
      <c r="F35" s="9">
        <f>IF(C35&gt;0, D35/C35, 0)</f>
        <v/>
      </c>
      <c r="G35" s="4">
        <f>IF(AND(C35&gt;0, D35=C35), "Completo", "Pendiente")</f>
        <v/>
      </c>
      <c r="H35" s="7">
        <f>IFERROR(AVERAGEIFS('Detalle individual'!$J$5:$J$295, 'Detalle individual'!$C$5:$C$295, A35), "")</f>
        <v/>
      </c>
      <c r="I35" s="6">
        <f>IFERROR(MAXIFS('Detalle individual'!$J$5:$J$295, 'Detalle individual'!$C$5:$C$295, A35), "")</f>
        <v/>
      </c>
      <c r="J35" s="6">
        <f>IFERROR(MINIFS('Detalle individual'!$J$5:$J$295, 'Detalle individual'!$C$5:$C$295, A35), "")</f>
        <v/>
      </c>
      <c r="K35" s="6">
        <f>IFERROR(MINIFS('Detalle individual'!$G$5:$G$295, 'Detalle individual'!$C$5:$C$295, A35), "")</f>
        <v/>
      </c>
      <c r="L35" s="6">
        <f>IFERROR(MAXIFS('Detalle individual'!$H$5:$H$295, 'Detalle individual'!$C$5:$C$295, A35), "")</f>
        <v/>
      </c>
      <c r="M35" s="7">
        <f>IFERROR(MINIFS('Detalle individual'!$I$5:$I$295, 'Detalle individual'!$C$5:$C$295, A35), "")</f>
        <v/>
      </c>
      <c r="N35" s="7">
        <f>IFERROR(AVERAGEIFS('Detalle individual'!$I$5:$I$295, 'Detalle individual'!$C$5:$C$295, A35), "")</f>
        <v/>
      </c>
    </row>
    <row r="36">
      <c r="A36" s="5" t="inlineStr">
        <is>
          <t>DEPARTAMENTO DE TARJETA DE CREDITO Y DEBITO</t>
        </is>
      </c>
      <c r="B36" s="5" t="inlineStr">
        <is>
          <t>Gerencia de Operaciones</t>
        </is>
      </c>
      <c r="C36" s="8">
        <f>COUNTIF('Detalle individual'!$C$5:$C$295, A36)</f>
        <v/>
      </c>
      <c r="D36" s="8">
        <f>COUNTIFS('Detalle individual'!$C$5:$C$295, A36, 'Detalle individual'!$F$5:$F$295, "Completado")</f>
        <v/>
      </c>
      <c r="E36" s="8">
        <f>C36-D36</f>
        <v/>
      </c>
      <c r="F36" s="9">
        <f>IF(C36&gt;0, D36/C36, 0)</f>
        <v/>
      </c>
      <c r="G36" s="4">
        <f>IF(AND(C36&gt;0, D36=C36), "Completo", "Pendiente")</f>
        <v/>
      </c>
      <c r="H36" s="7">
        <f>IFERROR(AVERAGEIFS('Detalle individual'!$J$5:$J$295, 'Detalle individual'!$C$5:$C$295, A36), "")</f>
        <v/>
      </c>
      <c r="I36" s="6">
        <f>IFERROR(MAXIFS('Detalle individual'!$J$5:$J$295, 'Detalle individual'!$C$5:$C$295, A36), "")</f>
        <v/>
      </c>
      <c r="J36" s="6">
        <f>IFERROR(MINIFS('Detalle individual'!$J$5:$J$295, 'Detalle individual'!$C$5:$C$295, A36), "")</f>
        <v/>
      </c>
      <c r="K36" s="6">
        <f>IFERROR(MINIFS('Detalle individual'!$G$5:$G$295, 'Detalle individual'!$C$5:$C$295, A36), "")</f>
        <v/>
      </c>
      <c r="L36" s="6">
        <f>IFERROR(MAXIFS('Detalle individual'!$H$5:$H$295, 'Detalle individual'!$C$5:$C$295, A36), "")</f>
        <v/>
      </c>
      <c r="M36" s="7">
        <f>IFERROR(MINIFS('Detalle individual'!$I$5:$I$295, 'Detalle individual'!$C$5:$C$295, A36), "")</f>
        <v/>
      </c>
      <c r="N36" s="7">
        <f>IFERROR(AVERAGEIFS('Detalle individual'!$I$5:$I$295, 'Detalle individual'!$C$5:$C$295, A36), "")</f>
        <v/>
      </c>
    </row>
    <row r="37">
      <c r="A37" s="5" t="inlineStr">
        <is>
          <t>DEPARTAMENTO LEGAL</t>
        </is>
      </c>
      <c r="B37" s="5" t="inlineStr">
        <is>
          <t>Gerencia Legal y Cumplimiento Normativo</t>
        </is>
      </c>
      <c r="C37" s="8">
        <f>COUNTIF('Detalle individual'!$C$5:$C$295, A37)</f>
        <v/>
      </c>
      <c r="D37" s="8">
        <f>COUNTIFS('Detalle individual'!$C$5:$C$295, A37, 'Detalle individual'!$F$5:$F$295, "Completado")</f>
        <v/>
      </c>
      <c r="E37" s="8">
        <f>C37-D37</f>
        <v/>
      </c>
      <c r="F37" s="9">
        <f>IF(C37&gt;0, D37/C37, 0)</f>
        <v/>
      </c>
      <c r="G37" s="4">
        <f>IF(AND(C37&gt;0, D37=C37), "Completo", "Pendiente")</f>
        <v/>
      </c>
      <c r="H37" s="7">
        <f>IFERROR(AVERAGEIFS('Detalle individual'!$J$5:$J$295, 'Detalle individual'!$C$5:$C$295, A37), "")</f>
        <v/>
      </c>
      <c r="I37" s="6">
        <f>IFERROR(MAXIFS('Detalle individual'!$J$5:$J$295, 'Detalle individual'!$C$5:$C$295, A37), "")</f>
        <v/>
      </c>
      <c r="J37" s="6">
        <f>IFERROR(MINIFS('Detalle individual'!$J$5:$J$295, 'Detalle individual'!$C$5:$C$295, A37), "")</f>
        <v/>
      </c>
      <c r="K37" s="6">
        <f>IFERROR(MINIFS('Detalle individual'!$G$5:$G$295, 'Detalle individual'!$C$5:$C$295, A37), "")</f>
        <v/>
      </c>
      <c r="L37" s="6">
        <f>IFERROR(MAXIFS('Detalle individual'!$H$5:$H$295, 'Detalle individual'!$C$5:$C$295, A37), "")</f>
        <v/>
      </c>
      <c r="M37" s="7">
        <f>IFERROR(MINIFS('Detalle individual'!$I$5:$I$295, 'Detalle individual'!$C$5:$C$295, A37), "")</f>
        <v/>
      </c>
      <c r="N37" s="7">
        <f>IFERROR(AVERAGEIFS('Detalle individual'!$I$5:$I$295, 'Detalle individual'!$C$5:$C$295, A37), "")</f>
        <v/>
      </c>
    </row>
    <row r="38">
      <c r="A38" s="5" t="inlineStr">
        <is>
          <t>GERENCIA  ADMINISTRATIVA</t>
        </is>
      </c>
      <c r="B38" s="5" t="inlineStr">
        <is>
          <t>Gerencia Administrativa</t>
        </is>
      </c>
      <c r="C38" s="8">
        <f>COUNTIF('Detalle individual'!$C$5:$C$295, A38)</f>
        <v/>
      </c>
      <c r="D38" s="8">
        <f>COUNTIFS('Detalle individual'!$C$5:$C$295, A38, 'Detalle individual'!$F$5:$F$295, "Completado")</f>
        <v/>
      </c>
      <c r="E38" s="8">
        <f>C38-D38</f>
        <v/>
      </c>
      <c r="F38" s="9">
        <f>IF(C38&gt;0, D38/C38, 0)</f>
        <v/>
      </c>
      <c r="G38" s="4">
        <f>IF(AND(C38&gt;0, D38=C38), "Completo", "Pendiente")</f>
        <v/>
      </c>
      <c r="H38" s="7">
        <f>IFERROR(AVERAGEIFS('Detalle individual'!$J$5:$J$295, 'Detalle individual'!$C$5:$C$295, A38), "")</f>
        <v/>
      </c>
      <c r="I38" s="6">
        <f>IFERROR(MAXIFS('Detalle individual'!$J$5:$J$295, 'Detalle individual'!$C$5:$C$295, A38), "")</f>
        <v/>
      </c>
      <c r="J38" s="6">
        <f>IFERROR(MINIFS('Detalle individual'!$J$5:$J$295, 'Detalle individual'!$C$5:$C$295, A38), "")</f>
        <v/>
      </c>
      <c r="K38" s="6">
        <f>IFERROR(MINIFS('Detalle individual'!$G$5:$G$295, 'Detalle individual'!$C$5:$C$295, A38), "")</f>
        <v/>
      </c>
      <c r="L38" s="6">
        <f>IFERROR(MAXIFS('Detalle individual'!$H$5:$H$295, 'Detalle individual'!$C$5:$C$295, A38), "")</f>
        <v/>
      </c>
      <c r="M38" s="7">
        <f>IFERROR(MINIFS('Detalle individual'!$I$5:$I$295, 'Detalle individual'!$C$5:$C$295, A38), "")</f>
        <v/>
      </c>
      <c r="N38" s="7">
        <f>IFERROR(AVERAGEIFS('Detalle individual'!$I$5:$I$295, 'Detalle individual'!$C$5:$C$295, A38), "")</f>
        <v/>
      </c>
    </row>
    <row r="39">
      <c r="A39" s="5" t="inlineStr">
        <is>
          <t>GERENCIA DE FINANZAS Y PLANIFICACIÓN</t>
        </is>
      </c>
      <c r="B39" s="5" t="inlineStr">
        <is>
          <t>Gerencia de Finanzas y Planificación</t>
        </is>
      </c>
      <c r="C39" s="8">
        <f>COUNTIF('Detalle individual'!$C$5:$C$295, A39)</f>
        <v/>
      </c>
      <c r="D39" s="8">
        <f>COUNTIFS('Detalle individual'!$C$5:$C$295, A39, 'Detalle individual'!$F$5:$F$295, "Completado")</f>
        <v/>
      </c>
      <c r="E39" s="8">
        <f>C39-D39</f>
        <v/>
      </c>
      <c r="F39" s="9">
        <f>IF(C39&gt;0, D39/C39, 0)</f>
        <v/>
      </c>
      <c r="G39" s="4">
        <f>IF(AND(C39&gt;0, D39=C39), "Completo", "Pendiente")</f>
        <v/>
      </c>
      <c r="H39" s="7">
        <f>IFERROR(AVERAGEIFS('Detalle individual'!$J$5:$J$295, 'Detalle individual'!$C$5:$C$295, A39), "")</f>
        <v/>
      </c>
      <c r="I39" s="6">
        <f>IFERROR(MAXIFS('Detalle individual'!$J$5:$J$295, 'Detalle individual'!$C$5:$C$295, A39), "")</f>
        <v/>
      </c>
      <c r="J39" s="6">
        <f>IFERROR(MINIFS('Detalle individual'!$J$5:$J$295, 'Detalle individual'!$C$5:$C$295, A39), "")</f>
        <v/>
      </c>
      <c r="K39" s="6">
        <f>IFERROR(MINIFS('Detalle individual'!$G$5:$G$295, 'Detalle individual'!$C$5:$C$295, A39), "")</f>
        <v/>
      </c>
      <c r="L39" s="6">
        <f>IFERROR(MAXIFS('Detalle individual'!$H$5:$H$295, 'Detalle individual'!$C$5:$C$295, A39), "")</f>
        <v/>
      </c>
      <c r="M39" s="7">
        <f>IFERROR(MINIFS('Detalle individual'!$I$5:$I$295, 'Detalle individual'!$C$5:$C$295, A39), "")</f>
        <v/>
      </c>
      <c r="N39" s="7">
        <f>IFERROR(AVERAGEIFS('Detalle individual'!$I$5:$I$295, 'Detalle individual'!$C$5:$C$295, A39), "")</f>
        <v/>
      </c>
    </row>
    <row r="40">
      <c r="A40" s="5" t="inlineStr">
        <is>
          <t>GERENCIA DE NEGOCIOS</t>
        </is>
      </c>
      <c r="B40" s="5" t="inlineStr">
        <is>
          <t>Gerencia de Negocios</t>
        </is>
      </c>
      <c r="C40" s="8">
        <f>COUNTIF('Detalle individual'!$C$5:$C$295, A40)</f>
        <v/>
      </c>
      <c r="D40" s="8">
        <f>COUNTIFS('Detalle individual'!$C$5:$C$295, A40, 'Detalle individual'!$F$5:$F$295, "Completado")</f>
        <v/>
      </c>
      <c r="E40" s="8">
        <f>C40-D40</f>
        <v/>
      </c>
      <c r="F40" s="9">
        <f>IF(C40&gt;0, D40/C40, 0)</f>
        <v/>
      </c>
      <c r="G40" s="4">
        <f>IF(AND(C40&gt;0, D40=C40), "Completo", "Pendiente")</f>
        <v/>
      </c>
      <c r="H40" s="7">
        <f>IFERROR(AVERAGEIFS('Detalle individual'!$J$5:$J$295, 'Detalle individual'!$C$5:$C$295, A40), "")</f>
        <v/>
      </c>
      <c r="I40" s="6">
        <f>IFERROR(MAXIFS('Detalle individual'!$J$5:$J$295, 'Detalle individual'!$C$5:$C$295, A40), "")</f>
        <v/>
      </c>
      <c r="J40" s="6">
        <f>IFERROR(MINIFS('Detalle individual'!$J$5:$J$295, 'Detalle individual'!$C$5:$C$295, A40), "")</f>
        <v/>
      </c>
      <c r="K40" s="6">
        <f>IFERROR(MINIFS('Detalle individual'!$G$5:$G$295, 'Detalle individual'!$C$5:$C$295, A40), "")</f>
        <v/>
      </c>
      <c r="L40" s="6">
        <f>IFERROR(MAXIFS('Detalle individual'!$H$5:$H$295, 'Detalle individual'!$C$5:$C$295, A40), "")</f>
        <v/>
      </c>
      <c r="M40" s="7">
        <f>IFERROR(MINIFS('Detalle individual'!$I$5:$I$295, 'Detalle individual'!$C$5:$C$295, A40), "")</f>
        <v/>
      </c>
      <c r="N40" s="7">
        <f>IFERROR(AVERAGEIFS('Detalle individual'!$I$5:$I$295, 'Detalle individual'!$C$5:$C$295, A40), "")</f>
        <v/>
      </c>
    </row>
    <row r="41">
      <c r="A41" s="5" t="inlineStr">
        <is>
          <t>GERENCIA DE OPERACIONES</t>
        </is>
      </c>
      <c r="B41" s="5" t="inlineStr">
        <is>
          <t>Gerencia de Operaciones</t>
        </is>
      </c>
      <c r="C41" s="8">
        <f>COUNTIF('Detalle individual'!$C$5:$C$295, A41)</f>
        <v/>
      </c>
      <c r="D41" s="8">
        <f>COUNTIFS('Detalle individual'!$C$5:$C$295, A41, 'Detalle individual'!$F$5:$F$295, "Completado")</f>
        <v/>
      </c>
      <c r="E41" s="8">
        <f>C41-D41</f>
        <v/>
      </c>
      <c r="F41" s="9">
        <f>IF(C41&gt;0, D41/C41, 0)</f>
        <v/>
      </c>
      <c r="G41" s="4">
        <f>IF(AND(C41&gt;0, D41=C41), "Completo", "Pendiente")</f>
        <v/>
      </c>
      <c r="H41" s="7">
        <f>IFERROR(AVERAGEIFS('Detalle individual'!$J$5:$J$295, 'Detalle individual'!$C$5:$C$295, A41), "")</f>
        <v/>
      </c>
      <c r="I41" s="6">
        <f>IFERROR(MAXIFS('Detalle individual'!$J$5:$J$295, 'Detalle individual'!$C$5:$C$295, A41), "")</f>
        <v/>
      </c>
      <c r="J41" s="6">
        <f>IFERROR(MINIFS('Detalle individual'!$J$5:$J$295, 'Detalle individual'!$C$5:$C$295, A41), "")</f>
        <v/>
      </c>
      <c r="K41" s="6">
        <f>IFERROR(MINIFS('Detalle individual'!$G$5:$G$295, 'Detalle individual'!$C$5:$C$295, A41), "")</f>
        <v/>
      </c>
      <c r="L41" s="6">
        <f>IFERROR(MAXIFS('Detalle individual'!$H$5:$H$295, 'Detalle individual'!$C$5:$C$295, A41), "")</f>
        <v/>
      </c>
      <c r="M41" s="7">
        <f>IFERROR(MINIFS('Detalle individual'!$I$5:$I$295, 'Detalle individual'!$C$5:$C$295, A41), "")</f>
        <v/>
      </c>
      <c r="N41" s="7">
        <f>IFERROR(AVERAGEIFS('Detalle individual'!$I$5:$I$295, 'Detalle individual'!$C$5:$C$295, A41), "")</f>
        <v/>
      </c>
    </row>
    <row r="42">
      <c r="A42" s="5" t="inlineStr">
        <is>
          <t>GERENCIA DE SISTEMAS</t>
        </is>
      </c>
      <c r="B42" s="5" t="inlineStr">
        <is>
          <t>Gerencia de Sistemas</t>
        </is>
      </c>
      <c r="C42" s="8">
        <f>COUNTIF('Detalle individual'!$C$5:$C$295, A42)</f>
        <v/>
      </c>
      <c r="D42" s="8">
        <f>COUNTIFS('Detalle individual'!$C$5:$C$295, A42, 'Detalle individual'!$F$5:$F$295, "Completado")</f>
        <v/>
      </c>
      <c r="E42" s="8">
        <f>C42-D42</f>
        <v/>
      </c>
      <c r="F42" s="9">
        <f>IF(C42&gt;0, D42/C42, 0)</f>
        <v/>
      </c>
      <c r="G42" s="4">
        <f>IF(AND(C42&gt;0, D42=C42), "Completo", "Pendiente")</f>
        <v/>
      </c>
      <c r="H42" s="7">
        <f>IFERROR(AVERAGEIFS('Detalle individual'!$J$5:$J$295, 'Detalle individual'!$C$5:$C$295, A42), "")</f>
        <v/>
      </c>
      <c r="I42" s="6">
        <f>IFERROR(MAXIFS('Detalle individual'!$J$5:$J$295, 'Detalle individual'!$C$5:$C$295, A42), "")</f>
        <v/>
      </c>
      <c r="J42" s="6">
        <f>IFERROR(MINIFS('Detalle individual'!$J$5:$J$295, 'Detalle individual'!$C$5:$C$295, A42), "")</f>
        <v/>
      </c>
      <c r="K42" s="6">
        <f>IFERROR(MINIFS('Detalle individual'!$G$5:$G$295, 'Detalle individual'!$C$5:$C$295, A42), "")</f>
        <v/>
      </c>
      <c r="L42" s="6">
        <f>IFERROR(MAXIFS('Detalle individual'!$H$5:$H$295, 'Detalle individual'!$C$5:$C$295, A42), "")</f>
        <v/>
      </c>
      <c r="M42" s="7">
        <f>IFERROR(MINIFS('Detalle individual'!$I$5:$I$295, 'Detalle individual'!$C$5:$C$295, A42), "")</f>
        <v/>
      </c>
      <c r="N42" s="7">
        <f>IFERROR(AVERAGEIFS('Detalle individual'!$I$5:$I$295, 'Detalle individual'!$C$5:$C$295, A42), "")</f>
        <v/>
      </c>
    </row>
    <row r="43">
      <c r="A43" s="5" t="inlineStr">
        <is>
          <t>GERENCIA GENERAL</t>
        </is>
      </c>
      <c r="B43" s="5" t="inlineStr">
        <is>
          <t>Gerencia General</t>
        </is>
      </c>
      <c r="C43" s="8">
        <f>COUNTIF('Detalle individual'!$C$5:$C$295, A43)</f>
        <v/>
      </c>
      <c r="D43" s="8">
        <f>COUNTIFS('Detalle individual'!$C$5:$C$295, A43, 'Detalle individual'!$F$5:$F$295, "Completado")</f>
        <v/>
      </c>
      <c r="E43" s="8">
        <f>C43-D43</f>
        <v/>
      </c>
      <c r="F43" s="9">
        <f>IF(C43&gt;0, D43/C43, 0)</f>
        <v/>
      </c>
      <c r="G43" s="4">
        <f>IF(AND(C43&gt;0, D43=C43), "Completo", "Pendiente")</f>
        <v/>
      </c>
      <c r="H43" s="7">
        <f>IFERROR(AVERAGEIFS('Detalle individual'!$J$5:$J$295, 'Detalle individual'!$C$5:$C$295, A43), "")</f>
        <v/>
      </c>
      <c r="I43" s="6">
        <f>IFERROR(MAXIFS('Detalle individual'!$J$5:$J$295, 'Detalle individual'!$C$5:$C$295, A43), "")</f>
        <v/>
      </c>
      <c r="J43" s="6">
        <f>IFERROR(MINIFS('Detalle individual'!$J$5:$J$295, 'Detalle individual'!$C$5:$C$295, A43), "")</f>
        <v/>
      </c>
      <c r="K43" s="6">
        <f>IFERROR(MINIFS('Detalle individual'!$G$5:$G$295, 'Detalle individual'!$C$5:$C$295, A43), "")</f>
        <v/>
      </c>
      <c r="L43" s="6">
        <f>IFERROR(MAXIFS('Detalle individual'!$H$5:$H$295, 'Detalle individual'!$C$5:$C$295, A43), "")</f>
        <v/>
      </c>
      <c r="M43" s="7">
        <f>IFERROR(MINIFS('Detalle individual'!$I$5:$I$295, 'Detalle individual'!$C$5:$C$295, A43), "")</f>
        <v/>
      </c>
      <c r="N43" s="7">
        <f>IFERROR(AVERAGEIFS('Detalle individual'!$I$5:$I$295, 'Detalle individual'!$C$5:$C$295, A43), "")</f>
        <v/>
      </c>
    </row>
    <row r="44">
      <c r="A44" s="5" t="inlineStr">
        <is>
          <t>GERENCIA LEGAL Y DE CUMPLIMIENTO NORMATIVO</t>
        </is>
      </c>
      <c r="B44" s="5" t="inlineStr">
        <is>
          <t>Gerencia Legal y Cumplimiento Normativo</t>
        </is>
      </c>
      <c r="C44" s="8">
        <f>COUNTIF('Detalle individual'!$C$5:$C$295, A44)</f>
        <v/>
      </c>
      <c r="D44" s="8">
        <f>COUNTIFS('Detalle individual'!$C$5:$C$295, A44, 'Detalle individual'!$F$5:$F$295, "Completado")</f>
        <v/>
      </c>
      <c r="E44" s="8">
        <f>C44-D44</f>
        <v/>
      </c>
      <c r="F44" s="9">
        <f>IF(C44&gt;0, D44/C44, 0)</f>
        <v/>
      </c>
      <c r="G44" s="4">
        <f>IF(AND(C44&gt;0, D44=C44), "Completo", "Pendiente")</f>
        <v/>
      </c>
      <c r="H44" s="7">
        <f>IFERROR(AVERAGEIFS('Detalle individual'!$J$5:$J$295, 'Detalle individual'!$C$5:$C$295, A44), "")</f>
        <v/>
      </c>
      <c r="I44" s="6">
        <f>IFERROR(MAXIFS('Detalle individual'!$J$5:$J$295, 'Detalle individual'!$C$5:$C$295, A44), "")</f>
        <v/>
      </c>
      <c r="J44" s="6">
        <f>IFERROR(MINIFS('Detalle individual'!$J$5:$J$295, 'Detalle individual'!$C$5:$C$295, A44), "")</f>
        <v/>
      </c>
      <c r="K44" s="6">
        <f>IFERROR(MINIFS('Detalle individual'!$G$5:$G$295, 'Detalle individual'!$C$5:$C$295, A44), "")</f>
        <v/>
      </c>
      <c r="L44" s="6">
        <f>IFERROR(MAXIFS('Detalle individual'!$H$5:$H$295, 'Detalle individual'!$C$5:$C$295, A44), "")</f>
        <v/>
      </c>
      <c r="M44" s="7">
        <f>IFERROR(MINIFS('Detalle individual'!$I$5:$I$295, 'Detalle individual'!$C$5:$C$295, A44), "")</f>
        <v/>
      </c>
      <c r="N44" s="7">
        <f>IFERROR(AVERAGEIFS('Detalle individual'!$I$5:$I$295, 'Detalle individual'!$C$5:$C$295, A44), "")</f>
        <v/>
      </c>
    </row>
    <row r="45">
      <c r="A45" s="5" t="inlineStr">
        <is>
          <t>OFICIALIA DE CUMPLIMIENTO</t>
        </is>
      </c>
      <c r="B45" s="5" t="inlineStr">
        <is>
          <t>Gerencia de Oficialía de Cumplimiento</t>
        </is>
      </c>
      <c r="C45" s="8">
        <f>COUNTIF('Detalle individual'!$C$5:$C$295, A45)</f>
        <v/>
      </c>
      <c r="D45" s="8">
        <f>COUNTIFS('Detalle individual'!$C$5:$C$295, A45, 'Detalle individual'!$F$5:$F$295, "Completado")</f>
        <v/>
      </c>
      <c r="E45" s="8">
        <f>C45-D45</f>
        <v/>
      </c>
      <c r="F45" s="9">
        <f>IF(C45&gt;0, D45/C45, 0)</f>
        <v/>
      </c>
      <c r="G45" s="4">
        <f>IF(AND(C45&gt;0, D45=C45), "Completo", "Pendiente")</f>
        <v/>
      </c>
      <c r="H45" s="7">
        <f>IFERROR(AVERAGEIFS('Detalle individual'!$J$5:$J$295, 'Detalle individual'!$C$5:$C$295, A45), "")</f>
        <v/>
      </c>
      <c r="I45" s="6">
        <f>IFERROR(MAXIFS('Detalle individual'!$J$5:$J$295, 'Detalle individual'!$C$5:$C$295, A45), "")</f>
        <v/>
      </c>
      <c r="J45" s="6">
        <f>IFERROR(MINIFS('Detalle individual'!$J$5:$J$295, 'Detalle individual'!$C$5:$C$295, A45), "")</f>
        <v/>
      </c>
      <c r="K45" s="6">
        <f>IFERROR(MINIFS('Detalle individual'!$G$5:$G$295, 'Detalle individual'!$C$5:$C$295, A45), "")</f>
        <v/>
      </c>
      <c r="L45" s="6">
        <f>IFERROR(MAXIFS('Detalle individual'!$H$5:$H$295, 'Detalle individual'!$C$5:$C$295, A45), "")</f>
        <v/>
      </c>
      <c r="M45" s="7">
        <f>IFERROR(MINIFS('Detalle individual'!$I$5:$I$295, 'Detalle individual'!$C$5:$C$295, A45), "")</f>
        <v/>
      </c>
      <c r="N45" s="7">
        <f>IFERROR(AVERAGEIFS('Detalle individual'!$I$5:$I$295, 'Detalle individual'!$C$5:$C$295, A45), "")</f>
        <v/>
      </c>
    </row>
    <row r="46">
      <c r="A46" s="5" t="inlineStr">
        <is>
          <t>OFICIALIA DE SEGURIDAD DE LA INFORMACION</t>
        </is>
      </c>
      <c r="B46" s="5" t="inlineStr">
        <is>
          <t>Gerencia General</t>
        </is>
      </c>
      <c r="C46" s="8">
        <f>COUNTIF('Detalle individual'!$C$5:$C$295, A46)</f>
        <v/>
      </c>
      <c r="D46" s="8">
        <f>COUNTIFS('Detalle individual'!$C$5:$C$295, A46, 'Detalle individual'!$F$5:$F$295, "Completado")</f>
        <v/>
      </c>
      <c r="E46" s="8">
        <f>C46-D46</f>
        <v/>
      </c>
      <c r="F46" s="9">
        <f>IF(C46&gt;0, D46/C46, 0)</f>
        <v/>
      </c>
      <c r="G46" s="4">
        <f>IF(AND(C46&gt;0, D46=C46), "Completo", "Pendiente")</f>
        <v/>
      </c>
      <c r="H46" s="7">
        <f>IFERROR(AVERAGEIFS('Detalle individual'!$J$5:$J$295, 'Detalle individual'!$C$5:$C$295, A46), "")</f>
        <v/>
      </c>
      <c r="I46" s="6">
        <f>IFERROR(MAXIFS('Detalle individual'!$J$5:$J$295, 'Detalle individual'!$C$5:$C$295, A46), "")</f>
        <v/>
      </c>
      <c r="J46" s="6">
        <f>IFERROR(MINIFS('Detalle individual'!$J$5:$J$295, 'Detalle individual'!$C$5:$C$295, A46), "")</f>
        <v/>
      </c>
      <c r="K46" s="6">
        <f>IFERROR(MINIFS('Detalle individual'!$G$5:$G$295, 'Detalle individual'!$C$5:$C$295, A46), "")</f>
        <v/>
      </c>
      <c r="L46" s="6">
        <f>IFERROR(MAXIFS('Detalle individual'!$H$5:$H$295, 'Detalle individual'!$C$5:$C$295, A46), "")</f>
        <v/>
      </c>
      <c r="M46" s="7">
        <f>IFERROR(MINIFS('Detalle individual'!$I$5:$I$295, 'Detalle individual'!$C$5:$C$295, A46), "")</f>
        <v/>
      </c>
      <c r="N46" s="7">
        <f>IFERROR(AVERAGEIFS('Detalle individual'!$I$5:$I$295, 'Detalle individual'!$C$5:$C$295, A46), "")</f>
        <v/>
      </c>
    </row>
    <row r="47">
      <c r="A47" s="5" t="inlineStr">
        <is>
          <t xml:space="preserve">SUB GERENCIA DE CANALES </t>
        </is>
      </c>
      <c r="B47" s="5" t="inlineStr">
        <is>
          <t>Gerencia de Negocios</t>
        </is>
      </c>
      <c r="C47" s="8">
        <f>COUNTIF('Detalle individual'!$C$5:$C$295, A47)</f>
        <v/>
      </c>
      <c r="D47" s="8">
        <f>COUNTIFS('Detalle individual'!$C$5:$C$295, A47, 'Detalle individual'!$F$5:$F$295, "Completado")</f>
        <v/>
      </c>
      <c r="E47" s="8">
        <f>C47-D47</f>
        <v/>
      </c>
      <c r="F47" s="9">
        <f>IF(C47&gt;0, D47/C47, 0)</f>
        <v/>
      </c>
      <c r="G47" s="4">
        <f>IF(AND(C47&gt;0, D47=C47), "Completo", "Pendiente")</f>
        <v/>
      </c>
      <c r="H47" s="7">
        <f>IFERROR(AVERAGEIFS('Detalle individual'!$J$5:$J$295, 'Detalle individual'!$C$5:$C$295, A47), "")</f>
        <v/>
      </c>
      <c r="I47" s="6">
        <f>IFERROR(MAXIFS('Detalle individual'!$J$5:$J$295, 'Detalle individual'!$C$5:$C$295, A47), "")</f>
        <v/>
      </c>
      <c r="J47" s="6">
        <f>IFERROR(MINIFS('Detalle individual'!$J$5:$J$295, 'Detalle individual'!$C$5:$C$295, A47), "")</f>
        <v/>
      </c>
      <c r="K47" s="6">
        <f>IFERROR(MINIFS('Detalle individual'!$G$5:$G$295, 'Detalle individual'!$C$5:$C$295, A47), "")</f>
        <v/>
      </c>
      <c r="L47" s="6">
        <f>IFERROR(MAXIFS('Detalle individual'!$H$5:$H$295, 'Detalle individual'!$C$5:$C$295, A47), "")</f>
        <v/>
      </c>
      <c r="M47" s="7">
        <f>IFERROR(MINIFS('Detalle individual'!$I$5:$I$295, 'Detalle individual'!$C$5:$C$295, A47), "")</f>
        <v/>
      </c>
      <c r="N47" s="7">
        <f>IFERROR(AVERAGEIFS('Detalle individual'!$I$5:$I$295, 'Detalle individual'!$C$5:$C$295, A47), 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1" workbookViewId="0">
      <selection activeCell="A1" sqref="A1"/>
    </sheetView>
  </sheetViews>
  <sheetFormatPr baseColWidth="8" defaultRowHeight="15"/>
  <cols>
    <col width="43" customWidth="1" min="1" max="1"/>
    <col width="51" customWidth="1" min="2" max="2"/>
    <col width="100" customWidth="1" min="3" max="3"/>
    <col width="14" customWidth="1" min="4" max="4"/>
    <col width="26" customWidth="1" min="5" max="5"/>
    <col width="53" customWidth="1" min="6" max="6"/>
    <col width="101" customWidth="1" min="7" max="7"/>
    <col width="97" customWidth="1" min="8" max="8"/>
    <col width="97" customWidth="1" min="9" max="9"/>
    <col width="97" customWidth="1" min="10" max="10"/>
    <col width="97" customWidth="1" min="11" max="11"/>
    <col width="97" customWidth="1" min="12" max="12"/>
    <col width="101" customWidth="1" min="13" max="13"/>
  </cols>
  <sheetData>
    <row r="1">
      <c r="A1" s="1" t="inlineStr">
        <is>
          <t>CONSOLIDADO DE EVALUACIÓN POR GERENCIA</t>
        </is>
      </c>
    </row>
    <row r="2">
      <c r="A2" s="2" t="inlineStr">
        <is>
          <t>Cálculos automáticos basados en la hoja 'Detalle individual' agrupados por Gerencia Asignada</t>
        </is>
      </c>
    </row>
    <row r="4">
      <c r="A4" s="3" t="inlineStr">
        <is>
          <t>Gerencia / Área Superior</t>
        </is>
      </c>
      <c r="B4" s="3" t="inlineStr">
        <is>
          <t>Personal Esperado</t>
        </is>
      </c>
      <c r="C4" s="3" t="inlineStr">
        <is>
          <t>Personas Completadas</t>
        </is>
      </c>
      <c r="D4" s="3" t="inlineStr">
        <is>
          <t>Pendientes</t>
        </is>
      </c>
      <c r="E4" s="3" t="inlineStr">
        <is>
          <t>% Cumplimiento</t>
        </is>
      </c>
      <c r="F4" s="3" t="inlineStr">
        <is>
          <t>Estado</t>
        </is>
      </c>
      <c r="G4" s="3" t="inlineStr">
        <is>
          <t>Promedio Nota</t>
        </is>
      </c>
      <c r="H4" s="3" t="inlineStr">
        <is>
          <t>Nota Máxima</t>
        </is>
      </c>
      <c r="I4" s="3" t="inlineStr">
        <is>
          <t>Nota Mínima</t>
        </is>
      </c>
      <c r="J4" s="3" t="inlineStr">
        <is>
          <t>Primer Inicio</t>
        </is>
      </c>
      <c r="K4" s="3" t="inlineStr">
        <is>
          <t>Última Finalización</t>
        </is>
      </c>
      <c r="L4" s="3" t="inlineStr">
        <is>
          <t>Menor Duración (min)</t>
        </is>
      </c>
      <c r="M4" s="3" t="inlineStr">
        <is>
          <t>Promedio Duración (min)</t>
        </is>
      </c>
    </row>
    <row r="5">
      <c r="A5" s="5" t="inlineStr">
        <is>
          <t>Auditoría Interna</t>
        </is>
      </c>
      <c r="B5" s="8">
        <f>COUNTIF('Detalle individual'!$D$5:$D$295, A5)</f>
        <v/>
      </c>
      <c r="C5" s="8">
        <f>COUNTIFS('Detalle individual'!$D$5:$D$295, A5, 'Detalle individual'!$F$5:$F$295, "Completado")</f>
        <v/>
      </c>
      <c r="D5" s="8">
        <f>B5-C5</f>
        <v/>
      </c>
      <c r="E5" s="9">
        <f>IF(B5&gt;0, C5/B5, 0)</f>
        <v/>
      </c>
      <c r="F5" s="4">
        <f>IF(AND(B5&gt;0, C5=B5), "Completo", "Pendiente")</f>
        <v/>
      </c>
      <c r="G5" s="7">
        <f>IFERROR(AVERAGEIFS('Detalle individual'!$J$5:$J$295, 'Detalle individual'!$D$5:$D$295, A5), "")</f>
        <v/>
      </c>
      <c r="H5" s="6">
        <f>IFERROR(MAXIFS('Detalle individual'!$J$5:$J$295, 'Detalle individual'!$D$5:$D$295, A5), "")</f>
        <v/>
      </c>
      <c r="I5" s="6">
        <f>IFERROR(MINIFS('Detalle individual'!$J$5:$J$295, 'Detalle individual'!$D$5:$D$295, A5), "")</f>
        <v/>
      </c>
      <c r="J5" s="6">
        <f>IFERROR(MINIFS('Detalle individual'!$G$5:$G$295, 'Detalle individual'!$D$5:$D$295, A5), "")</f>
        <v/>
      </c>
      <c r="K5" s="6">
        <f>IFERROR(MAXIFS('Detalle individual'!$H$5:$H$295, 'Detalle individual'!$D$5:$D$295, A5), "")</f>
        <v/>
      </c>
      <c r="L5" s="7">
        <f>IFERROR(MINIFS('Detalle individual'!$I$5:$I$295, 'Detalle individual'!$D$5:$D$295, A5), "")</f>
        <v/>
      </c>
      <c r="M5" s="7">
        <f>IFERROR(AVERAGEIFS('Detalle individual'!$I$5:$I$295, 'Detalle individual'!$D$5:$D$295, A5), "")</f>
        <v/>
      </c>
    </row>
    <row r="6">
      <c r="A6" s="5" t="inlineStr">
        <is>
          <t>Gerencia Administrativa</t>
        </is>
      </c>
      <c r="B6" s="8">
        <f>COUNTIF('Detalle individual'!$D$5:$D$295, A6)</f>
        <v/>
      </c>
      <c r="C6" s="8">
        <f>COUNTIFS('Detalle individual'!$D$5:$D$295, A6, 'Detalle individual'!$F$5:$F$295, "Completado")</f>
        <v/>
      </c>
      <c r="D6" s="8">
        <f>B6-C6</f>
        <v/>
      </c>
      <c r="E6" s="9">
        <f>IF(B6&gt;0, C6/B6, 0)</f>
        <v/>
      </c>
      <c r="F6" s="4">
        <f>IF(AND(B6&gt;0, C6=B6), "Completo", "Pendiente")</f>
        <v/>
      </c>
      <c r="G6" s="7">
        <f>IFERROR(AVERAGEIFS('Detalle individual'!$J$5:$J$295, 'Detalle individual'!$D$5:$D$295, A6), "")</f>
        <v/>
      </c>
      <c r="H6" s="6">
        <f>IFERROR(MAXIFS('Detalle individual'!$J$5:$J$295, 'Detalle individual'!$D$5:$D$295, A6), "")</f>
        <v/>
      </c>
      <c r="I6" s="6">
        <f>IFERROR(MINIFS('Detalle individual'!$J$5:$J$295, 'Detalle individual'!$D$5:$D$295, A6), "")</f>
        <v/>
      </c>
      <c r="J6" s="6">
        <f>IFERROR(MINIFS('Detalle individual'!$G$5:$G$295, 'Detalle individual'!$D$5:$D$295, A6), "")</f>
        <v/>
      </c>
      <c r="K6" s="6">
        <f>IFERROR(MAXIFS('Detalle individual'!$H$5:$H$295, 'Detalle individual'!$D$5:$D$295, A6), "")</f>
        <v/>
      </c>
      <c r="L6" s="7">
        <f>IFERROR(MINIFS('Detalle individual'!$I$5:$I$295, 'Detalle individual'!$D$5:$D$295, A6), "")</f>
        <v/>
      </c>
      <c r="M6" s="7">
        <f>IFERROR(AVERAGEIFS('Detalle individual'!$I$5:$I$295, 'Detalle individual'!$D$5:$D$295, A6), "")</f>
        <v/>
      </c>
    </row>
    <row r="7">
      <c r="A7" s="5" t="inlineStr">
        <is>
          <t>Gerencia General</t>
        </is>
      </c>
      <c r="B7" s="8">
        <f>COUNTIF('Detalle individual'!$D$5:$D$295, A7)</f>
        <v/>
      </c>
      <c r="C7" s="8">
        <f>COUNTIFS('Detalle individual'!$D$5:$D$295, A7, 'Detalle individual'!$F$5:$F$295, "Completado")</f>
        <v/>
      </c>
      <c r="D7" s="8">
        <f>B7-C7</f>
        <v/>
      </c>
      <c r="E7" s="9">
        <f>IF(B7&gt;0, C7/B7, 0)</f>
        <v/>
      </c>
      <c r="F7" s="4">
        <f>IF(AND(B7&gt;0, C7=B7), "Completo", "Pendiente")</f>
        <v/>
      </c>
      <c r="G7" s="7">
        <f>IFERROR(AVERAGEIFS('Detalle individual'!$J$5:$J$295, 'Detalle individual'!$D$5:$D$295, A7), "")</f>
        <v/>
      </c>
      <c r="H7" s="6">
        <f>IFERROR(MAXIFS('Detalle individual'!$J$5:$J$295, 'Detalle individual'!$D$5:$D$295, A7), "")</f>
        <v/>
      </c>
      <c r="I7" s="6">
        <f>IFERROR(MINIFS('Detalle individual'!$J$5:$J$295, 'Detalle individual'!$D$5:$D$295, A7), "")</f>
        <v/>
      </c>
      <c r="J7" s="6">
        <f>IFERROR(MINIFS('Detalle individual'!$G$5:$G$295, 'Detalle individual'!$D$5:$D$295, A7), "")</f>
        <v/>
      </c>
      <c r="K7" s="6">
        <f>IFERROR(MAXIFS('Detalle individual'!$H$5:$H$295, 'Detalle individual'!$D$5:$D$295, A7), "")</f>
        <v/>
      </c>
      <c r="L7" s="7">
        <f>IFERROR(MINIFS('Detalle individual'!$I$5:$I$295, 'Detalle individual'!$D$5:$D$295, A7), "")</f>
        <v/>
      </c>
      <c r="M7" s="7">
        <f>IFERROR(AVERAGEIFS('Detalle individual'!$I$5:$I$295, 'Detalle individual'!$D$5:$D$295, A7), "")</f>
        <v/>
      </c>
    </row>
    <row r="8">
      <c r="A8" s="5" t="inlineStr">
        <is>
          <t>Gerencia Legal y Cumplimiento Normativo</t>
        </is>
      </c>
      <c r="B8" s="8">
        <f>COUNTIF('Detalle individual'!$D$5:$D$295, A8)</f>
        <v/>
      </c>
      <c r="C8" s="8">
        <f>COUNTIFS('Detalle individual'!$D$5:$D$295, A8, 'Detalle individual'!$F$5:$F$295, "Completado")</f>
        <v/>
      </c>
      <c r="D8" s="8">
        <f>B8-C8</f>
        <v/>
      </c>
      <c r="E8" s="9">
        <f>IF(B8&gt;0, C8/B8, 0)</f>
        <v/>
      </c>
      <c r="F8" s="4">
        <f>IF(AND(B8&gt;0, C8=B8), "Completo", "Pendiente")</f>
        <v/>
      </c>
      <c r="G8" s="7">
        <f>IFERROR(AVERAGEIFS('Detalle individual'!$J$5:$J$295, 'Detalle individual'!$D$5:$D$295, A8), "")</f>
        <v/>
      </c>
      <c r="H8" s="6">
        <f>IFERROR(MAXIFS('Detalle individual'!$J$5:$J$295, 'Detalle individual'!$D$5:$D$295, A8), "")</f>
        <v/>
      </c>
      <c r="I8" s="6">
        <f>IFERROR(MINIFS('Detalle individual'!$J$5:$J$295, 'Detalle individual'!$D$5:$D$295, A8), "")</f>
        <v/>
      </c>
      <c r="J8" s="6">
        <f>IFERROR(MINIFS('Detalle individual'!$G$5:$G$295, 'Detalle individual'!$D$5:$D$295, A8), "")</f>
        <v/>
      </c>
      <c r="K8" s="6">
        <f>IFERROR(MAXIFS('Detalle individual'!$H$5:$H$295, 'Detalle individual'!$D$5:$D$295, A8), "")</f>
        <v/>
      </c>
      <c r="L8" s="7">
        <f>IFERROR(MINIFS('Detalle individual'!$I$5:$I$295, 'Detalle individual'!$D$5:$D$295, A8), "")</f>
        <v/>
      </c>
      <c r="M8" s="7">
        <f>IFERROR(AVERAGEIFS('Detalle individual'!$I$5:$I$295, 'Detalle individual'!$D$5:$D$295, A8), "")</f>
        <v/>
      </c>
    </row>
    <row r="9">
      <c r="A9" s="5" t="inlineStr">
        <is>
          <t>Gerencia de Finanzas y Planificación</t>
        </is>
      </c>
      <c r="B9" s="8">
        <f>COUNTIF('Detalle individual'!$D$5:$D$295, A9)</f>
        <v/>
      </c>
      <c r="C9" s="8">
        <f>COUNTIFS('Detalle individual'!$D$5:$D$295, A9, 'Detalle individual'!$F$5:$F$295, "Completado")</f>
        <v/>
      </c>
      <c r="D9" s="8">
        <f>B9-C9</f>
        <v/>
      </c>
      <c r="E9" s="9">
        <f>IF(B9&gt;0, C9/B9, 0)</f>
        <v/>
      </c>
      <c r="F9" s="4">
        <f>IF(AND(B9&gt;0, C9=B9), "Completo", "Pendiente")</f>
        <v/>
      </c>
      <c r="G9" s="7">
        <f>IFERROR(AVERAGEIFS('Detalle individual'!$J$5:$J$295, 'Detalle individual'!$D$5:$D$295, A9), "")</f>
        <v/>
      </c>
      <c r="H9" s="6">
        <f>IFERROR(MAXIFS('Detalle individual'!$J$5:$J$295, 'Detalle individual'!$D$5:$D$295, A9), "")</f>
        <v/>
      </c>
      <c r="I9" s="6">
        <f>IFERROR(MINIFS('Detalle individual'!$J$5:$J$295, 'Detalle individual'!$D$5:$D$295, A9), "")</f>
        <v/>
      </c>
      <c r="J9" s="6">
        <f>IFERROR(MINIFS('Detalle individual'!$G$5:$G$295, 'Detalle individual'!$D$5:$D$295, A9), "")</f>
        <v/>
      </c>
      <c r="K9" s="6">
        <f>IFERROR(MAXIFS('Detalle individual'!$H$5:$H$295, 'Detalle individual'!$D$5:$D$295, A9), "")</f>
        <v/>
      </c>
      <c r="L9" s="7">
        <f>IFERROR(MINIFS('Detalle individual'!$I$5:$I$295, 'Detalle individual'!$D$5:$D$295, A9), "")</f>
        <v/>
      </c>
      <c r="M9" s="7">
        <f>IFERROR(AVERAGEIFS('Detalle individual'!$I$5:$I$295, 'Detalle individual'!$D$5:$D$295, A9), "")</f>
        <v/>
      </c>
    </row>
    <row r="10">
      <c r="A10" s="5" t="inlineStr">
        <is>
          <t>Gerencia de Negocios</t>
        </is>
      </c>
      <c r="B10" s="8">
        <f>COUNTIF('Detalle individual'!$D$5:$D$295, A10)</f>
        <v/>
      </c>
      <c r="C10" s="8">
        <f>COUNTIFS('Detalle individual'!$D$5:$D$295, A10, 'Detalle individual'!$F$5:$F$295, "Completado")</f>
        <v/>
      </c>
      <c r="D10" s="8">
        <f>B10-C10</f>
        <v/>
      </c>
      <c r="E10" s="9">
        <f>IF(B10&gt;0, C10/B10, 0)</f>
        <v/>
      </c>
      <c r="F10" s="4">
        <f>IF(AND(B10&gt;0, C10=B10), "Completo", "Pendiente")</f>
        <v/>
      </c>
      <c r="G10" s="7">
        <f>IFERROR(AVERAGEIFS('Detalle individual'!$J$5:$J$295, 'Detalle individual'!$D$5:$D$295, A10), "")</f>
        <v/>
      </c>
      <c r="H10" s="6">
        <f>IFERROR(MAXIFS('Detalle individual'!$J$5:$J$295, 'Detalle individual'!$D$5:$D$295, A10), "")</f>
        <v/>
      </c>
      <c r="I10" s="6">
        <f>IFERROR(MINIFS('Detalle individual'!$J$5:$J$295, 'Detalle individual'!$D$5:$D$295, A10), "")</f>
        <v/>
      </c>
      <c r="J10" s="6">
        <f>IFERROR(MINIFS('Detalle individual'!$G$5:$G$295, 'Detalle individual'!$D$5:$D$295, A10), "")</f>
        <v/>
      </c>
      <c r="K10" s="6">
        <f>IFERROR(MAXIFS('Detalle individual'!$H$5:$H$295, 'Detalle individual'!$D$5:$D$295, A10), "")</f>
        <v/>
      </c>
      <c r="L10" s="7">
        <f>IFERROR(MINIFS('Detalle individual'!$I$5:$I$295, 'Detalle individual'!$D$5:$D$295, A10), "")</f>
        <v/>
      </c>
      <c r="M10" s="7">
        <f>IFERROR(AVERAGEIFS('Detalle individual'!$I$5:$I$295, 'Detalle individual'!$D$5:$D$295, A10), "")</f>
        <v/>
      </c>
    </row>
    <row r="11">
      <c r="A11" s="5" t="inlineStr">
        <is>
          <t>Gerencia de Negocios (Agencias)</t>
        </is>
      </c>
      <c r="B11" s="8">
        <f>COUNTIF('Detalle individual'!$D$5:$D$295, A11)</f>
        <v/>
      </c>
      <c r="C11" s="8">
        <f>COUNTIFS('Detalle individual'!$D$5:$D$295, A11, 'Detalle individual'!$F$5:$F$295, "Completado")</f>
        <v/>
      </c>
      <c r="D11" s="8">
        <f>B11-C11</f>
        <v/>
      </c>
      <c r="E11" s="9">
        <f>IF(B11&gt;0, C11/B11, 0)</f>
        <v/>
      </c>
      <c r="F11" s="4">
        <f>IF(AND(B11&gt;0, C11=B11), "Completo", "Pendiente")</f>
        <v/>
      </c>
      <c r="G11" s="7">
        <f>IFERROR(AVERAGEIFS('Detalle individual'!$J$5:$J$295, 'Detalle individual'!$D$5:$D$295, A11), "")</f>
        <v/>
      </c>
      <c r="H11" s="6">
        <f>IFERROR(MAXIFS('Detalle individual'!$J$5:$J$295, 'Detalle individual'!$D$5:$D$295, A11), "")</f>
        <v/>
      </c>
      <c r="I11" s="6">
        <f>IFERROR(MINIFS('Detalle individual'!$J$5:$J$295, 'Detalle individual'!$D$5:$D$295, A11), "")</f>
        <v/>
      </c>
      <c r="J11" s="6">
        <f>IFERROR(MINIFS('Detalle individual'!$G$5:$G$295, 'Detalle individual'!$D$5:$D$295, A11), "")</f>
        <v/>
      </c>
      <c r="K11" s="6">
        <f>IFERROR(MAXIFS('Detalle individual'!$H$5:$H$295, 'Detalle individual'!$D$5:$D$295, A11), "")</f>
        <v/>
      </c>
      <c r="L11" s="7">
        <f>IFERROR(MINIFS('Detalle individual'!$I$5:$I$295, 'Detalle individual'!$D$5:$D$295, A11), "")</f>
        <v/>
      </c>
      <c r="M11" s="7">
        <f>IFERROR(AVERAGEIFS('Detalle individual'!$I$5:$I$295, 'Detalle individual'!$D$5:$D$295, A11), "")</f>
        <v/>
      </c>
    </row>
    <row r="12">
      <c r="A12" s="5" t="inlineStr">
        <is>
          <t>Gerencia de Oficialía de Cumplimiento</t>
        </is>
      </c>
      <c r="B12" s="8">
        <f>COUNTIF('Detalle individual'!$D$5:$D$295, A12)</f>
        <v/>
      </c>
      <c r="C12" s="8">
        <f>COUNTIFS('Detalle individual'!$D$5:$D$295, A12, 'Detalle individual'!$F$5:$F$295, "Completado")</f>
        <v/>
      </c>
      <c r="D12" s="8">
        <f>B12-C12</f>
        <v/>
      </c>
      <c r="E12" s="9">
        <f>IF(B12&gt;0, C12/B12, 0)</f>
        <v/>
      </c>
      <c r="F12" s="4">
        <f>IF(AND(B12&gt;0, C12=B12), "Completo", "Pendiente")</f>
        <v/>
      </c>
      <c r="G12" s="7">
        <f>IFERROR(AVERAGEIFS('Detalle individual'!$J$5:$J$295, 'Detalle individual'!$D$5:$D$295, A12), "")</f>
        <v/>
      </c>
      <c r="H12" s="6">
        <f>IFERROR(MAXIFS('Detalle individual'!$J$5:$J$295, 'Detalle individual'!$D$5:$D$295, A12), "")</f>
        <v/>
      </c>
      <c r="I12" s="6">
        <f>IFERROR(MINIFS('Detalle individual'!$J$5:$J$295, 'Detalle individual'!$D$5:$D$295, A12), "")</f>
        <v/>
      </c>
      <c r="J12" s="6">
        <f>IFERROR(MINIFS('Detalle individual'!$G$5:$G$295, 'Detalle individual'!$D$5:$D$295, A12), "")</f>
        <v/>
      </c>
      <c r="K12" s="6">
        <f>IFERROR(MAXIFS('Detalle individual'!$H$5:$H$295, 'Detalle individual'!$D$5:$D$295, A12), "")</f>
        <v/>
      </c>
      <c r="L12" s="7">
        <f>IFERROR(MINIFS('Detalle individual'!$I$5:$I$295, 'Detalle individual'!$D$5:$D$295, A12), "")</f>
        <v/>
      </c>
      <c r="M12" s="7">
        <f>IFERROR(AVERAGEIFS('Detalle individual'!$I$5:$I$295, 'Detalle individual'!$D$5:$D$295, A12), "")</f>
        <v/>
      </c>
    </row>
    <row r="13">
      <c r="A13" s="5" t="inlineStr">
        <is>
          <t>Gerencia de Operaciones</t>
        </is>
      </c>
      <c r="B13" s="8">
        <f>COUNTIF('Detalle individual'!$D$5:$D$295, A13)</f>
        <v/>
      </c>
      <c r="C13" s="8">
        <f>COUNTIFS('Detalle individual'!$D$5:$D$295, A13, 'Detalle individual'!$F$5:$F$295, "Completado")</f>
        <v/>
      </c>
      <c r="D13" s="8">
        <f>B13-C13</f>
        <v/>
      </c>
      <c r="E13" s="9">
        <f>IF(B13&gt;0, C13/B13, 0)</f>
        <v/>
      </c>
      <c r="F13" s="4">
        <f>IF(AND(B13&gt;0, C13=B13), "Completo", "Pendiente")</f>
        <v/>
      </c>
      <c r="G13" s="7">
        <f>IFERROR(AVERAGEIFS('Detalle individual'!$J$5:$J$295, 'Detalle individual'!$D$5:$D$295, A13), "")</f>
        <v/>
      </c>
      <c r="H13" s="6">
        <f>IFERROR(MAXIFS('Detalle individual'!$J$5:$J$295, 'Detalle individual'!$D$5:$D$295, A13), "")</f>
        <v/>
      </c>
      <c r="I13" s="6">
        <f>IFERROR(MINIFS('Detalle individual'!$J$5:$J$295, 'Detalle individual'!$D$5:$D$295, A13), "")</f>
        <v/>
      </c>
      <c r="J13" s="6">
        <f>IFERROR(MINIFS('Detalle individual'!$G$5:$G$295, 'Detalle individual'!$D$5:$D$295, A13), "")</f>
        <v/>
      </c>
      <c r="K13" s="6">
        <f>IFERROR(MAXIFS('Detalle individual'!$H$5:$H$295, 'Detalle individual'!$D$5:$D$295, A13), "")</f>
        <v/>
      </c>
      <c r="L13" s="7">
        <f>IFERROR(MINIFS('Detalle individual'!$I$5:$I$295, 'Detalle individual'!$D$5:$D$295, A13), "")</f>
        <v/>
      </c>
      <c r="M13" s="7">
        <f>IFERROR(AVERAGEIFS('Detalle individual'!$I$5:$I$295, 'Detalle individual'!$D$5:$D$295, A13), "")</f>
        <v/>
      </c>
    </row>
    <row r="14">
      <c r="A14" s="5" t="inlineStr">
        <is>
          <t>Gerencia de Sistemas</t>
        </is>
      </c>
      <c r="B14" s="8">
        <f>COUNTIF('Detalle individual'!$D$5:$D$295, A14)</f>
        <v/>
      </c>
      <c r="C14" s="8">
        <f>COUNTIFS('Detalle individual'!$D$5:$D$295, A14, 'Detalle individual'!$F$5:$F$295, "Completado")</f>
        <v/>
      </c>
      <c r="D14" s="8">
        <f>B14-C14</f>
        <v/>
      </c>
      <c r="E14" s="9">
        <f>IF(B14&gt;0, C14/B14, 0)</f>
        <v/>
      </c>
      <c r="F14" s="4">
        <f>IF(AND(B14&gt;0, C14=B14), "Completo", "Pendiente")</f>
        <v/>
      </c>
      <c r="G14" s="7">
        <f>IFERROR(AVERAGEIFS('Detalle individual'!$J$5:$J$295, 'Detalle individual'!$D$5:$D$295, A14), "")</f>
        <v/>
      </c>
      <c r="H14" s="6">
        <f>IFERROR(MAXIFS('Detalle individual'!$J$5:$J$295, 'Detalle individual'!$D$5:$D$295, A14), "")</f>
        <v/>
      </c>
      <c r="I14" s="6">
        <f>IFERROR(MINIFS('Detalle individual'!$J$5:$J$295, 'Detalle individual'!$D$5:$D$295, A14), "")</f>
        <v/>
      </c>
      <c r="J14" s="6">
        <f>IFERROR(MINIFS('Detalle individual'!$G$5:$G$295, 'Detalle individual'!$D$5:$D$295, A14), "")</f>
        <v/>
      </c>
      <c r="K14" s="6">
        <f>IFERROR(MAXIFS('Detalle individual'!$H$5:$H$295, 'Detalle individual'!$D$5:$D$295, A14), "")</f>
        <v/>
      </c>
      <c r="L14" s="7">
        <f>IFERROR(MINIFS('Detalle individual'!$I$5:$I$295, 'Detalle individual'!$D$5:$D$295, A14), "")</f>
        <v/>
      </c>
      <c r="M14" s="7">
        <f>IFERROR(AVERAGEIFS('Detalle individual'!$I$5:$I$295, 'Detalle individual'!$D$5:$D$295, A14), 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12" customWidth="1" min="3" max="3"/>
    <col width="46" customWidth="1" min="4" max="4"/>
    <col width="46" customWidth="1" min="5" max="5"/>
    <col width="46" customWidth="1" min="6" max="6"/>
    <col width="46" customWidth="1" min="7" max="7"/>
    <col width="46" customWidth="1" min="8" max="8"/>
    <col width="46" customWidth="1" min="9" max="9"/>
    <col width="46" customWidth="1" min="10" max="10"/>
    <col width="46" customWidth="1" min="11" max="11"/>
    <col width="46" customWidth="1" min="12" max="12"/>
  </cols>
  <sheetData>
    <row r="1">
      <c r="A1" s="1" t="inlineStr">
        <is>
          <t>DASHBOARD INTERACTIVO MULTI-GERENCIA</t>
        </is>
      </c>
    </row>
    <row r="2">
      <c r="A2" s="2" t="inlineStr">
        <is>
          <t>Marque con '1' las gerencias que desea visualizar en la tabla inferior.</t>
        </is>
      </c>
    </row>
    <row r="4">
      <c r="A4" s="10" t="n"/>
      <c r="B4" s="10" t="n"/>
      <c r="D4" s="3" t="inlineStr">
        <is>
          <t>Área / Departamento</t>
        </is>
      </c>
      <c r="E4" s="3" t="inlineStr">
        <is>
          <t>Gerencia Asignada</t>
        </is>
      </c>
      <c r="F4" s="3" t="inlineStr">
        <is>
          <t>Personal Esperado</t>
        </is>
      </c>
      <c r="G4" s="3" t="inlineStr">
        <is>
          <t>Personas Completadas</t>
        </is>
      </c>
      <c r="H4" s="3" t="inlineStr">
        <is>
          <t>Pendientes</t>
        </is>
      </c>
      <c r="I4" s="3" t="inlineStr">
        <is>
          <t>% Cumplimiento</t>
        </is>
      </c>
      <c r="J4" s="3" t="inlineStr">
        <is>
          <t>Estado</t>
        </is>
      </c>
      <c r="K4" s="3" t="inlineStr">
        <is>
          <t>Promedio Nota</t>
        </is>
      </c>
      <c r="L4" s="3" t="inlineStr">
        <is>
          <t>Última Finalización</t>
        </is>
      </c>
    </row>
    <row r="5">
      <c r="A5" s="5" t="inlineStr">
        <is>
          <t>Auditoría Interna</t>
        </is>
      </c>
      <c r="B5" s="11" t="n">
        <v>1</v>
      </c>
      <c r="D5" s="5">
        <f>IF(B14=1, 'Consolidado por área'!A5, "")</f>
        <v/>
      </c>
      <c r="E5" s="5">
        <f>IF(B14=1, 'Consolidado por área'!B5, "")</f>
        <v/>
      </c>
      <c r="F5" s="8">
        <f>IF(B14=1, 'Consolidado por área'!C5, "")</f>
        <v/>
      </c>
      <c r="G5" s="8">
        <f>IF(B14=1, 'Consolidado por área'!D5, "")</f>
        <v/>
      </c>
      <c r="H5" s="8">
        <f>IF(B14=1, 'Consolidado por área'!E5, "")</f>
        <v/>
      </c>
      <c r="I5" s="9">
        <f>IF(B14=1, 'Consolidado por área'!F5, "")</f>
        <v/>
      </c>
      <c r="J5" s="4">
        <f>IF(B14=1, 'Consolidado por área'!G5, "")</f>
        <v/>
      </c>
      <c r="K5" s="7">
        <f>IF(B14=1, 'Consolidado por área'!H5, "")</f>
        <v/>
      </c>
      <c r="L5" s="6">
        <f>IF(B14=1, 'Consolidado por área'!L5, "")</f>
        <v/>
      </c>
    </row>
    <row r="6">
      <c r="A6" s="5" t="inlineStr">
        <is>
          <t>Gerencia Administrativa</t>
        </is>
      </c>
      <c r="B6" s="11" t="n">
        <v>1</v>
      </c>
      <c r="D6" s="5">
        <f>IF(B7=1, 'Consolidado por área'!A6, "")</f>
        <v/>
      </c>
      <c r="E6" s="5">
        <f>IF(B7=1, 'Consolidado por área'!B6, "")</f>
        <v/>
      </c>
      <c r="F6" s="8">
        <f>IF(B7=1, 'Consolidado por área'!C6, "")</f>
        <v/>
      </c>
      <c r="G6" s="8">
        <f>IF(B7=1, 'Consolidado por área'!D6, "")</f>
        <v/>
      </c>
      <c r="H6" s="8">
        <f>IF(B7=1, 'Consolidado por área'!E6, "")</f>
        <v/>
      </c>
      <c r="I6" s="9">
        <f>IF(B7=1, 'Consolidado por área'!F6, "")</f>
        <v/>
      </c>
      <c r="J6" s="4">
        <f>IF(B7=1, 'Consolidado por área'!G6, "")</f>
        <v/>
      </c>
      <c r="K6" s="7">
        <f>IF(B7=1, 'Consolidado por área'!H6, "")</f>
        <v/>
      </c>
      <c r="L6" s="6">
        <f>IF(B7=1, 'Consolidado por área'!L6, "")</f>
        <v/>
      </c>
    </row>
    <row r="7">
      <c r="A7" s="5" t="inlineStr">
        <is>
          <t>Gerencia General</t>
        </is>
      </c>
      <c r="B7" s="11" t="inlineStr"/>
      <c r="D7" s="5">
        <f>IF(B13=1, 'Consolidado por área'!A7, "")</f>
        <v/>
      </c>
      <c r="E7" s="5">
        <f>IF(B13=1, 'Consolidado por área'!B7, "")</f>
        <v/>
      </c>
      <c r="F7" s="8">
        <f>IF(B13=1, 'Consolidado por área'!C7, "")</f>
        <v/>
      </c>
      <c r="G7" s="8">
        <f>IF(B13=1, 'Consolidado por área'!D7, "")</f>
        <v/>
      </c>
      <c r="H7" s="8">
        <f>IF(B13=1, 'Consolidado por área'!E7, "")</f>
        <v/>
      </c>
      <c r="I7" s="9">
        <f>IF(B13=1, 'Consolidado por área'!F7, "")</f>
        <v/>
      </c>
      <c r="J7" s="4">
        <f>IF(B13=1, 'Consolidado por área'!G7, "")</f>
        <v/>
      </c>
      <c r="K7" s="7">
        <f>IF(B13=1, 'Consolidado por área'!H7, "")</f>
        <v/>
      </c>
      <c r="L7" s="6">
        <f>IF(B13=1, 'Consolidado por área'!L7, "")</f>
        <v/>
      </c>
    </row>
    <row r="8">
      <c r="A8" s="5" t="inlineStr">
        <is>
          <t>Gerencia Legal y Cumplimiento Normativo</t>
        </is>
      </c>
      <c r="B8" s="11" t="inlineStr"/>
      <c r="D8" s="5">
        <f>IF(B11=1, 'Consolidado por área'!A8, "")</f>
        <v/>
      </c>
      <c r="E8" s="5">
        <f>IF(B11=1, 'Consolidado por área'!B8, "")</f>
        <v/>
      </c>
      <c r="F8" s="8">
        <f>IF(B11=1, 'Consolidado por área'!C8, "")</f>
        <v/>
      </c>
      <c r="G8" s="8">
        <f>IF(B11=1, 'Consolidado por área'!D8, "")</f>
        <v/>
      </c>
      <c r="H8" s="8">
        <f>IF(B11=1, 'Consolidado por área'!E8, "")</f>
        <v/>
      </c>
      <c r="I8" s="9">
        <f>IF(B11=1, 'Consolidado por área'!F8, "")</f>
        <v/>
      </c>
      <c r="J8" s="4">
        <f>IF(B11=1, 'Consolidado por área'!G8, "")</f>
        <v/>
      </c>
      <c r="K8" s="7">
        <f>IF(B11=1, 'Consolidado por área'!H8, "")</f>
        <v/>
      </c>
      <c r="L8" s="6">
        <f>IF(B11=1, 'Consolidado por área'!L8, "")</f>
        <v/>
      </c>
    </row>
    <row r="9">
      <c r="A9" s="5" t="inlineStr">
        <is>
          <t>Gerencia de Finanzas y Planificación</t>
        </is>
      </c>
      <c r="B9" s="11" t="inlineStr"/>
      <c r="D9" s="5">
        <f>IF(B11=1, 'Consolidado por área'!A9, "")</f>
        <v/>
      </c>
      <c r="E9" s="5">
        <f>IF(B11=1, 'Consolidado por área'!B9, "")</f>
        <v/>
      </c>
      <c r="F9" s="8">
        <f>IF(B11=1, 'Consolidado por área'!C9, "")</f>
        <v/>
      </c>
      <c r="G9" s="8">
        <f>IF(B11=1, 'Consolidado por área'!D9, "")</f>
        <v/>
      </c>
      <c r="H9" s="8">
        <f>IF(B11=1, 'Consolidado por área'!E9, "")</f>
        <v/>
      </c>
      <c r="I9" s="9">
        <f>IF(B11=1, 'Consolidado por área'!F9, "")</f>
        <v/>
      </c>
      <c r="J9" s="4">
        <f>IF(B11=1, 'Consolidado por área'!G9, "")</f>
        <v/>
      </c>
      <c r="K9" s="7">
        <f>IF(B11=1, 'Consolidado por área'!H9, "")</f>
        <v/>
      </c>
      <c r="L9" s="6">
        <f>IF(B11=1, 'Consolidado por área'!L9, "")</f>
        <v/>
      </c>
    </row>
    <row r="10">
      <c r="A10" s="5" t="inlineStr">
        <is>
          <t>Gerencia de Negocios</t>
        </is>
      </c>
      <c r="B10" s="11" t="inlineStr"/>
      <c r="D10" s="5">
        <f>IF(B11=1, 'Consolidado por área'!A10, "")</f>
        <v/>
      </c>
      <c r="E10" s="5">
        <f>IF(B11=1, 'Consolidado por área'!B10, "")</f>
        <v/>
      </c>
      <c r="F10" s="8">
        <f>IF(B11=1, 'Consolidado por área'!C10, "")</f>
        <v/>
      </c>
      <c r="G10" s="8">
        <f>IF(B11=1, 'Consolidado por área'!D10, "")</f>
        <v/>
      </c>
      <c r="H10" s="8">
        <f>IF(B11=1, 'Consolidado por área'!E10, "")</f>
        <v/>
      </c>
      <c r="I10" s="9">
        <f>IF(B11=1, 'Consolidado por área'!F10, "")</f>
        <v/>
      </c>
      <c r="J10" s="4">
        <f>IF(B11=1, 'Consolidado por área'!G10, "")</f>
        <v/>
      </c>
      <c r="K10" s="7">
        <f>IF(B11=1, 'Consolidado por área'!H10, "")</f>
        <v/>
      </c>
      <c r="L10" s="6">
        <f>IF(B11=1, 'Consolidado por área'!L10, "")</f>
        <v/>
      </c>
    </row>
    <row r="11">
      <c r="A11" s="5" t="inlineStr">
        <is>
          <t>Gerencia de Negocios (Agencias)</t>
        </is>
      </c>
      <c r="B11" s="11" t="inlineStr"/>
      <c r="D11" s="5">
        <f>IF(B11=1, 'Consolidado por área'!A11, "")</f>
        <v/>
      </c>
      <c r="E11" s="5">
        <f>IF(B11=1, 'Consolidado por área'!B11, "")</f>
        <v/>
      </c>
      <c r="F11" s="8">
        <f>IF(B11=1, 'Consolidado por área'!C11, "")</f>
        <v/>
      </c>
      <c r="G11" s="8">
        <f>IF(B11=1, 'Consolidado por área'!D11, "")</f>
        <v/>
      </c>
      <c r="H11" s="8">
        <f>IF(B11=1, 'Consolidado por área'!E11, "")</f>
        <v/>
      </c>
      <c r="I11" s="9">
        <f>IF(B11=1, 'Consolidado por área'!F11, "")</f>
        <v/>
      </c>
      <c r="J11" s="4">
        <f>IF(B11=1, 'Consolidado por área'!G11, "")</f>
        <v/>
      </c>
      <c r="K11" s="7">
        <f>IF(B11=1, 'Consolidado por área'!H11, "")</f>
        <v/>
      </c>
      <c r="L11" s="6">
        <f>IF(B11=1, 'Consolidado por área'!L11, "")</f>
        <v/>
      </c>
    </row>
    <row r="12">
      <c r="A12" s="5" t="inlineStr">
        <is>
          <t>Gerencia de Oficialía de Cumplimiento</t>
        </is>
      </c>
      <c r="B12" s="11" t="inlineStr"/>
      <c r="D12" s="5">
        <f>IF(B11=1, 'Consolidado por área'!A12, "")</f>
        <v/>
      </c>
      <c r="E12" s="5">
        <f>IF(B11=1, 'Consolidado por área'!B12, "")</f>
        <v/>
      </c>
      <c r="F12" s="8">
        <f>IF(B11=1, 'Consolidado por área'!C12, "")</f>
        <v/>
      </c>
      <c r="G12" s="8">
        <f>IF(B11=1, 'Consolidado por área'!D12, "")</f>
        <v/>
      </c>
      <c r="H12" s="8">
        <f>IF(B11=1, 'Consolidado por área'!E12, "")</f>
        <v/>
      </c>
      <c r="I12" s="9">
        <f>IF(B11=1, 'Consolidado por área'!F12, "")</f>
        <v/>
      </c>
      <c r="J12" s="4">
        <f>IF(B11=1, 'Consolidado por área'!G12, "")</f>
        <v/>
      </c>
      <c r="K12" s="7">
        <f>IF(B11=1, 'Consolidado por área'!H12, "")</f>
        <v/>
      </c>
      <c r="L12" s="6">
        <f>IF(B11=1, 'Consolidado por área'!L12, "")</f>
        <v/>
      </c>
    </row>
    <row r="13">
      <c r="A13" s="5" t="inlineStr">
        <is>
          <t>Gerencia de Operaciones</t>
        </is>
      </c>
      <c r="B13" s="11" t="inlineStr"/>
      <c r="D13" s="5">
        <f>IF(B11=1, 'Consolidado por área'!A13, "")</f>
        <v/>
      </c>
      <c r="E13" s="5">
        <f>IF(B11=1, 'Consolidado por área'!B13, "")</f>
        <v/>
      </c>
      <c r="F13" s="8">
        <f>IF(B11=1, 'Consolidado por área'!C13, "")</f>
        <v/>
      </c>
      <c r="G13" s="8">
        <f>IF(B11=1, 'Consolidado por área'!D13, "")</f>
        <v/>
      </c>
      <c r="H13" s="8">
        <f>IF(B11=1, 'Consolidado por área'!E13, "")</f>
        <v/>
      </c>
      <c r="I13" s="9">
        <f>IF(B11=1, 'Consolidado por área'!F13, "")</f>
        <v/>
      </c>
      <c r="J13" s="4">
        <f>IF(B11=1, 'Consolidado por área'!G13, "")</f>
        <v/>
      </c>
      <c r="K13" s="7">
        <f>IF(B11=1, 'Consolidado por área'!H13, "")</f>
        <v/>
      </c>
      <c r="L13" s="6">
        <f>IF(B11=1, 'Consolidado por área'!L13, "")</f>
        <v/>
      </c>
    </row>
    <row r="14">
      <c r="A14" s="5" t="inlineStr">
        <is>
          <t>Gerencia de Sistemas</t>
        </is>
      </c>
      <c r="B14" s="11" t="inlineStr"/>
      <c r="D14" s="5">
        <f>IF(B11=1, 'Consolidado por área'!A14, "")</f>
        <v/>
      </c>
      <c r="E14" s="5">
        <f>IF(B11=1, 'Consolidado por área'!B14, "")</f>
        <v/>
      </c>
      <c r="F14" s="8">
        <f>IF(B11=1, 'Consolidado por área'!C14, "")</f>
        <v/>
      </c>
      <c r="G14" s="8">
        <f>IF(B11=1, 'Consolidado por área'!D14, "")</f>
        <v/>
      </c>
      <c r="H14" s="8">
        <f>IF(B11=1, 'Consolidado por área'!E14, "")</f>
        <v/>
      </c>
      <c r="I14" s="9">
        <f>IF(B11=1, 'Consolidado por área'!F14, "")</f>
        <v/>
      </c>
      <c r="J14" s="4">
        <f>IF(B11=1, 'Consolidado por área'!G14, "")</f>
        <v/>
      </c>
      <c r="K14" s="7">
        <f>IF(B11=1, 'Consolidado por área'!H14, "")</f>
        <v/>
      </c>
      <c r="L14" s="6">
        <f>IF(B11=1, 'Consolidado por área'!L14, "")</f>
        <v/>
      </c>
    </row>
    <row r="15">
      <c r="D15" s="5">
        <f>IF(B11=1, 'Consolidado por área'!A15, "")</f>
        <v/>
      </c>
      <c r="E15" s="5">
        <f>IF(B11=1, 'Consolidado por área'!B15, "")</f>
        <v/>
      </c>
      <c r="F15" s="8">
        <f>IF(B11=1, 'Consolidado por área'!C15, "")</f>
        <v/>
      </c>
      <c r="G15" s="8">
        <f>IF(B11=1, 'Consolidado por área'!D15, "")</f>
        <v/>
      </c>
      <c r="H15" s="8">
        <f>IF(B11=1, 'Consolidado por área'!E15, "")</f>
        <v/>
      </c>
      <c r="I15" s="9">
        <f>IF(B11=1, 'Consolidado por área'!F15, "")</f>
        <v/>
      </c>
      <c r="J15" s="4">
        <f>IF(B11=1, 'Consolidado por área'!G15, "")</f>
        <v/>
      </c>
      <c r="K15" s="7">
        <f>IF(B11=1, 'Consolidado por área'!H15, "")</f>
        <v/>
      </c>
      <c r="L15" s="6">
        <f>IF(B11=1, 'Consolidado por área'!L15, "")</f>
        <v/>
      </c>
    </row>
    <row r="16">
      <c r="D16" s="5">
        <f>IF(B11=1, 'Consolidado por área'!A16, "")</f>
        <v/>
      </c>
      <c r="E16" s="5">
        <f>IF(B11=1, 'Consolidado por área'!B16, "")</f>
        <v/>
      </c>
      <c r="F16" s="8">
        <f>IF(B11=1, 'Consolidado por área'!C16, "")</f>
        <v/>
      </c>
      <c r="G16" s="8">
        <f>IF(B11=1, 'Consolidado por área'!D16, "")</f>
        <v/>
      </c>
      <c r="H16" s="8">
        <f>IF(B11=1, 'Consolidado por área'!E16, "")</f>
        <v/>
      </c>
      <c r="I16" s="9">
        <f>IF(B11=1, 'Consolidado por área'!F16, "")</f>
        <v/>
      </c>
      <c r="J16" s="4">
        <f>IF(B11=1, 'Consolidado por área'!G16, "")</f>
        <v/>
      </c>
      <c r="K16" s="7">
        <f>IF(B11=1, 'Consolidado por área'!H16, "")</f>
        <v/>
      </c>
      <c r="L16" s="6">
        <f>IF(B11=1, 'Consolidado por área'!L16, "")</f>
        <v/>
      </c>
    </row>
    <row r="17">
      <c r="D17" s="5">
        <f>IF(B6=1, 'Consolidado por área'!A17, "")</f>
        <v/>
      </c>
      <c r="E17" s="5">
        <f>IF(B6=1, 'Consolidado por área'!B17, "")</f>
        <v/>
      </c>
      <c r="F17" s="8">
        <f>IF(B6=1, 'Consolidado por área'!C17, "")</f>
        <v/>
      </c>
      <c r="G17" s="8">
        <f>IF(B6=1, 'Consolidado por área'!D17, "")</f>
        <v/>
      </c>
      <c r="H17" s="8">
        <f>IF(B6=1, 'Consolidado por área'!E17, "")</f>
        <v/>
      </c>
      <c r="I17" s="9">
        <f>IF(B6=1, 'Consolidado por área'!F17, "")</f>
        <v/>
      </c>
      <c r="J17" s="4">
        <f>IF(B6=1, 'Consolidado por área'!G17, "")</f>
        <v/>
      </c>
      <c r="K17" s="7">
        <f>IF(B6=1, 'Consolidado por área'!H17, "")</f>
        <v/>
      </c>
      <c r="L17" s="6">
        <f>IF(B6=1, 'Consolidado por área'!L17, "")</f>
        <v/>
      </c>
    </row>
    <row r="18">
      <c r="D18" s="5">
        <f>IF(B7=1, 'Consolidado por área'!A18, "")</f>
        <v/>
      </c>
      <c r="E18" s="5">
        <f>IF(B7=1, 'Consolidado por área'!B18, "")</f>
        <v/>
      </c>
      <c r="F18" s="8">
        <f>IF(B7=1, 'Consolidado por área'!C18, "")</f>
        <v/>
      </c>
      <c r="G18" s="8">
        <f>IF(B7=1, 'Consolidado por área'!D18, "")</f>
        <v/>
      </c>
      <c r="H18" s="8">
        <f>IF(B7=1, 'Consolidado por área'!E18, "")</f>
        <v/>
      </c>
      <c r="I18" s="9">
        <f>IF(B7=1, 'Consolidado por área'!F18, "")</f>
        <v/>
      </c>
      <c r="J18" s="4">
        <f>IF(B7=1, 'Consolidado por área'!G18, "")</f>
        <v/>
      </c>
      <c r="K18" s="7">
        <f>IF(B7=1, 'Consolidado por área'!H18, "")</f>
        <v/>
      </c>
      <c r="L18" s="6">
        <f>IF(B7=1, 'Consolidado por área'!L18, "")</f>
        <v/>
      </c>
    </row>
    <row r="19">
      <c r="D19" s="5">
        <f>IF(B14=1, 'Consolidado por área'!A19, "")</f>
        <v/>
      </c>
      <c r="E19" s="5">
        <f>IF(B14=1, 'Consolidado por área'!B19, "")</f>
        <v/>
      </c>
      <c r="F19" s="8">
        <f>IF(B14=1, 'Consolidado por área'!C19, "")</f>
        <v/>
      </c>
      <c r="G19" s="8">
        <f>IF(B14=1, 'Consolidado por área'!D19, "")</f>
        <v/>
      </c>
      <c r="H19" s="8">
        <f>IF(B14=1, 'Consolidado por área'!E19, "")</f>
        <v/>
      </c>
      <c r="I19" s="9">
        <f>IF(B14=1, 'Consolidado por área'!F19, "")</f>
        <v/>
      </c>
      <c r="J19" s="4">
        <f>IF(B14=1, 'Consolidado por área'!G19, "")</f>
        <v/>
      </c>
      <c r="K19" s="7">
        <f>IF(B14=1, 'Consolidado por área'!H19, "")</f>
        <v/>
      </c>
      <c r="L19" s="6">
        <f>IF(B14=1, 'Consolidado por área'!L19, "")</f>
        <v/>
      </c>
    </row>
    <row r="20">
      <c r="D20" s="5">
        <f>IF(B10=1, 'Consolidado por área'!A20, "")</f>
        <v/>
      </c>
      <c r="E20" s="5">
        <f>IF(B10=1, 'Consolidado por área'!B20, "")</f>
        <v/>
      </c>
      <c r="F20" s="8">
        <f>IF(B10=1, 'Consolidado por área'!C20, "")</f>
        <v/>
      </c>
      <c r="G20" s="8">
        <f>IF(B10=1, 'Consolidado por área'!D20, "")</f>
        <v/>
      </c>
      <c r="H20" s="8">
        <f>IF(B10=1, 'Consolidado por área'!E20, "")</f>
        <v/>
      </c>
      <c r="I20" s="9">
        <f>IF(B10=1, 'Consolidado por área'!F20, "")</f>
        <v/>
      </c>
      <c r="J20" s="4">
        <f>IF(B10=1, 'Consolidado por área'!G20, "")</f>
        <v/>
      </c>
      <c r="K20" s="7">
        <f>IF(B10=1, 'Consolidado por área'!H20, "")</f>
        <v/>
      </c>
      <c r="L20" s="6">
        <f>IF(B10=1, 'Consolidado por área'!L20, "")</f>
        <v/>
      </c>
    </row>
    <row r="21">
      <c r="D21" s="5">
        <f>IF(B5=1, 'Consolidado por área'!A21, "")</f>
        <v/>
      </c>
      <c r="E21" s="5">
        <f>IF(B5=1, 'Consolidado por área'!B21, "")</f>
        <v/>
      </c>
      <c r="F21" s="8">
        <f>IF(B5=1, 'Consolidado por área'!C21, "")</f>
        <v/>
      </c>
      <c r="G21" s="8">
        <f>IF(B5=1, 'Consolidado por área'!D21, "")</f>
        <v/>
      </c>
      <c r="H21" s="8">
        <f>IF(B5=1, 'Consolidado por área'!E21, "")</f>
        <v/>
      </c>
      <c r="I21" s="9">
        <f>IF(B5=1, 'Consolidado por área'!F21, "")</f>
        <v/>
      </c>
      <c r="J21" s="4">
        <f>IF(B5=1, 'Consolidado por área'!G21, "")</f>
        <v/>
      </c>
      <c r="K21" s="7">
        <f>IF(B5=1, 'Consolidado por área'!H21, "")</f>
        <v/>
      </c>
      <c r="L21" s="6">
        <f>IF(B5=1, 'Consolidado por área'!L21, "")</f>
        <v/>
      </c>
    </row>
    <row r="22">
      <c r="D22" s="5">
        <f>IF(B9=1, 'Consolidado por área'!A22, "")</f>
        <v/>
      </c>
      <c r="E22" s="5">
        <f>IF(B9=1, 'Consolidado por área'!B22, "")</f>
        <v/>
      </c>
      <c r="F22" s="8">
        <f>IF(B9=1, 'Consolidado por área'!C22, "")</f>
        <v/>
      </c>
      <c r="G22" s="8">
        <f>IF(B9=1, 'Consolidado por área'!D22, "")</f>
        <v/>
      </c>
      <c r="H22" s="8">
        <f>IF(B9=1, 'Consolidado por área'!E22, "")</f>
        <v/>
      </c>
      <c r="I22" s="9">
        <f>IF(B9=1, 'Consolidado por área'!F22, "")</f>
        <v/>
      </c>
      <c r="J22" s="4">
        <f>IF(B9=1, 'Consolidado por área'!G22, "")</f>
        <v/>
      </c>
      <c r="K22" s="7">
        <f>IF(B9=1, 'Consolidado por área'!H22, "")</f>
        <v/>
      </c>
      <c r="L22" s="6">
        <f>IF(B9=1, 'Consolidado por área'!L22, "")</f>
        <v/>
      </c>
    </row>
    <row r="23">
      <c r="D23" s="5">
        <f>IF(B10=1, 'Consolidado por área'!A23, "")</f>
        <v/>
      </c>
      <c r="E23" s="5">
        <f>IF(B10=1, 'Consolidado por área'!B23, "")</f>
        <v/>
      </c>
      <c r="F23" s="8">
        <f>IF(B10=1, 'Consolidado por área'!C23, "")</f>
        <v/>
      </c>
      <c r="G23" s="8">
        <f>IF(B10=1, 'Consolidado por área'!D23, "")</f>
        <v/>
      </c>
      <c r="H23" s="8">
        <f>IF(B10=1, 'Consolidado por área'!E23, "")</f>
        <v/>
      </c>
      <c r="I23" s="9">
        <f>IF(B10=1, 'Consolidado por área'!F23, "")</f>
        <v/>
      </c>
      <c r="J23" s="4">
        <f>IF(B10=1, 'Consolidado por área'!G23, "")</f>
        <v/>
      </c>
      <c r="K23" s="7">
        <f>IF(B10=1, 'Consolidado por área'!H23, "")</f>
        <v/>
      </c>
      <c r="L23" s="6">
        <f>IF(B10=1, 'Consolidado por área'!L23, "")</f>
        <v/>
      </c>
    </row>
    <row r="24">
      <c r="D24" s="5">
        <f>IF(B6=1, 'Consolidado por área'!A24, "")</f>
        <v/>
      </c>
      <c r="E24" s="5">
        <f>IF(B6=1, 'Consolidado por área'!B24, "")</f>
        <v/>
      </c>
      <c r="F24" s="8">
        <f>IF(B6=1, 'Consolidado por área'!C24, "")</f>
        <v/>
      </c>
      <c r="G24" s="8">
        <f>IF(B6=1, 'Consolidado por área'!D24, "")</f>
        <v/>
      </c>
      <c r="H24" s="8">
        <f>IF(B6=1, 'Consolidado por área'!E24, "")</f>
        <v/>
      </c>
      <c r="I24" s="9">
        <f>IF(B6=1, 'Consolidado por área'!F24, "")</f>
        <v/>
      </c>
      <c r="J24" s="4">
        <f>IF(B6=1, 'Consolidado por área'!G24, "")</f>
        <v/>
      </c>
      <c r="K24" s="7">
        <f>IF(B6=1, 'Consolidado por área'!H24, "")</f>
        <v/>
      </c>
      <c r="L24" s="6">
        <f>IF(B6=1, 'Consolidado por área'!L24, "")</f>
        <v/>
      </c>
    </row>
    <row r="25">
      <c r="D25" s="5">
        <f>IF(B13=1, 'Consolidado por área'!A25, "")</f>
        <v/>
      </c>
      <c r="E25" s="5">
        <f>IF(B13=1, 'Consolidado por área'!B25, "")</f>
        <v/>
      </c>
      <c r="F25" s="8">
        <f>IF(B13=1, 'Consolidado por área'!C25, "")</f>
        <v/>
      </c>
      <c r="G25" s="8">
        <f>IF(B13=1, 'Consolidado por área'!D25, "")</f>
        <v/>
      </c>
      <c r="H25" s="8">
        <f>IF(B13=1, 'Consolidado por área'!E25, "")</f>
        <v/>
      </c>
      <c r="I25" s="9">
        <f>IF(B13=1, 'Consolidado por área'!F25, "")</f>
        <v/>
      </c>
      <c r="J25" s="4">
        <f>IF(B13=1, 'Consolidado por área'!G25, "")</f>
        <v/>
      </c>
      <c r="K25" s="7">
        <f>IF(B13=1, 'Consolidado por área'!H25, "")</f>
        <v/>
      </c>
      <c r="L25" s="6">
        <f>IF(B13=1, 'Consolidado por área'!L25, "")</f>
        <v/>
      </c>
    </row>
    <row r="26">
      <c r="D26" s="5">
        <f>IF(B10=1, 'Consolidado por área'!A26, "")</f>
        <v/>
      </c>
      <c r="E26" s="5">
        <f>IF(B10=1, 'Consolidado por área'!B26, "")</f>
        <v/>
      </c>
      <c r="F26" s="8">
        <f>IF(B10=1, 'Consolidado por área'!C26, "")</f>
        <v/>
      </c>
      <c r="G26" s="8">
        <f>IF(B10=1, 'Consolidado por área'!D26, "")</f>
        <v/>
      </c>
      <c r="H26" s="8">
        <f>IF(B10=1, 'Consolidado por área'!E26, "")</f>
        <v/>
      </c>
      <c r="I26" s="9">
        <f>IF(B10=1, 'Consolidado por área'!F26, "")</f>
        <v/>
      </c>
      <c r="J26" s="4">
        <f>IF(B10=1, 'Consolidado por área'!G26, "")</f>
        <v/>
      </c>
      <c r="K26" s="7">
        <f>IF(B10=1, 'Consolidado por área'!H26, "")</f>
        <v/>
      </c>
      <c r="L26" s="6">
        <f>IF(B10=1, 'Consolidado por área'!L26, "")</f>
        <v/>
      </c>
    </row>
    <row r="27">
      <c r="D27" s="5">
        <f>IF(B10=1, 'Consolidado por área'!A27, "")</f>
        <v/>
      </c>
      <c r="E27" s="5">
        <f>IF(B10=1, 'Consolidado por área'!B27, "")</f>
        <v/>
      </c>
      <c r="F27" s="8">
        <f>IF(B10=1, 'Consolidado por área'!C27, "")</f>
        <v/>
      </c>
      <c r="G27" s="8">
        <f>IF(B10=1, 'Consolidado por área'!D27, "")</f>
        <v/>
      </c>
      <c r="H27" s="8">
        <f>IF(B10=1, 'Consolidado por área'!E27, "")</f>
        <v/>
      </c>
      <c r="I27" s="9">
        <f>IF(B10=1, 'Consolidado por área'!F27, "")</f>
        <v/>
      </c>
      <c r="J27" s="4">
        <f>IF(B10=1, 'Consolidado por área'!G27, "")</f>
        <v/>
      </c>
      <c r="K27" s="7">
        <f>IF(B10=1, 'Consolidado por área'!H27, "")</f>
        <v/>
      </c>
      <c r="L27" s="6">
        <f>IF(B10=1, 'Consolidado por área'!L27, "")</f>
        <v/>
      </c>
    </row>
    <row r="28">
      <c r="D28" s="5">
        <f>IF(B14=1, 'Consolidado por área'!A28, "")</f>
        <v/>
      </c>
      <c r="E28" s="5">
        <f>IF(B14=1, 'Consolidado por área'!B28, "")</f>
        <v/>
      </c>
      <c r="F28" s="8">
        <f>IF(B14=1, 'Consolidado por área'!C28, "")</f>
        <v/>
      </c>
      <c r="G28" s="8">
        <f>IF(B14=1, 'Consolidado por área'!D28, "")</f>
        <v/>
      </c>
      <c r="H28" s="8">
        <f>IF(B14=1, 'Consolidado por área'!E28, "")</f>
        <v/>
      </c>
      <c r="I28" s="9">
        <f>IF(B14=1, 'Consolidado por área'!F28, "")</f>
        <v/>
      </c>
      <c r="J28" s="4">
        <f>IF(B14=1, 'Consolidado por área'!G28, "")</f>
        <v/>
      </c>
      <c r="K28" s="7">
        <f>IF(B14=1, 'Consolidado por área'!H28, "")</f>
        <v/>
      </c>
      <c r="L28" s="6">
        <f>IF(B14=1, 'Consolidado por área'!L28, "")</f>
        <v/>
      </c>
    </row>
    <row r="29">
      <c r="D29" s="5">
        <f>IF(B9=1, 'Consolidado por área'!A29, "")</f>
        <v/>
      </c>
      <c r="E29" s="5">
        <f>IF(B9=1, 'Consolidado por área'!B29, "")</f>
        <v/>
      </c>
      <c r="F29" s="8">
        <f>IF(B9=1, 'Consolidado por área'!C29, "")</f>
        <v/>
      </c>
      <c r="G29" s="8">
        <f>IF(B9=1, 'Consolidado por área'!D29, "")</f>
        <v/>
      </c>
      <c r="H29" s="8">
        <f>IF(B9=1, 'Consolidado por área'!E29, "")</f>
        <v/>
      </c>
      <c r="I29" s="9">
        <f>IF(B9=1, 'Consolidado por área'!F29, "")</f>
        <v/>
      </c>
      <c r="J29" s="4">
        <f>IF(B9=1, 'Consolidado por área'!G29, "")</f>
        <v/>
      </c>
      <c r="K29" s="7">
        <f>IF(B9=1, 'Consolidado por área'!H29, "")</f>
        <v/>
      </c>
      <c r="L29" s="6">
        <f>IF(B9=1, 'Consolidado por área'!L29, "")</f>
        <v/>
      </c>
    </row>
    <row r="30">
      <c r="D30" s="5">
        <f>IF(B7=1, 'Consolidado por área'!A30, "")</f>
        <v/>
      </c>
      <c r="E30" s="5">
        <f>IF(B7=1, 'Consolidado por área'!B30, "")</f>
        <v/>
      </c>
      <c r="F30" s="8">
        <f>IF(B7=1, 'Consolidado por área'!C30, "")</f>
        <v/>
      </c>
      <c r="G30" s="8">
        <f>IF(B7=1, 'Consolidado por área'!D30, "")</f>
        <v/>
      </c>
      <c r="H30" s="8">
        <f>IF(B7=1, 'Consolidado por área'!E30, "")</f>
        <v/>
      </c>
      <c r="I30" s="9">
        <f>IF(B7=1, 'Consolidado por área'!F30, "")</f>
        <v/>
      </c>
      <c r="J30" s="4">
        <f>IF(B7=1, 'Consolidado por área'!G30, "")</f>
        <v/>
      </c>
      <c r="K30" s="7">
        <f>IF(B7=1, 'Consolidado por área'!H30, "")</f>
        <v/>
      </c>
      <c r="L30" s="6">
        <f>IF(B7=1, 'Consolidado por área'!L30, "")</f>
        <v/>
      </c>
    </row>
    <row r="31">
      <c r="D31" s="5">
        <f>IF(B6=1, 'Consolidado por área'!A31, "")</f>
        <v/>
      </c>
      <c r="E31" s="5">
        <f>IF(B6=1, 'Consolidado por área'!B31, "")</f>
        <v/>
      </c>
      <c r="F31" s="8">
        <f>IF(B6=1, 'Consolidado por área'!C31, "")</f>
        <v/>
      </c>
      <c r="G31" s="8">
        <f>IF(B6=1, 'Consolidado por área'!D31, "")</f>
        <v/>
      </c>
      <c r="H31" s="8">
        <f>IF(B6=1, 'Consolidado por área'!E31, "")</f>
        <v/>
      </c>
      <c r="I31" s="9">
        <f>IF(B6=1, 'Consolidado por área'!F31, "")</f>
        <v/>
      </c>
      <c r="J31" s="4">
        <f>IF(B6=1, 'Consolidado por área'!G31, "")</f>
        <v/>
      </c>
      <c r="K31" s="7">
        <f>IF(B6=1, 'Consolidado por área'!H31, "")</f>
        <v/>
      </c>
      <c r="L31" s="6">
        <f>IF(B6=1, 'Consolidado por área'!L31, "")</f>
        <v/>
      </c>
    </row>
    <row r="32">
      <c r="D32" s="5">
        <f>IF(B10=1, 'Consolidado por área'!A32, "")</f>
        <v/>
      </c>
      <c r="E32" s="5">
        <f>IF(B10=1, 'Consolidado por área'!B32, "")</f>
        <v/>
      </c>
      <c r="F32" s="8">
        <f>IF(B10=1, 'Consolidado por área'!C32, "")</f>
        <v/>
      </c>
      <c r="G32" s="8">
        <f>IF(B10=1, 'Consolidado por área'!D32, "")</f>
        <v/>
      </c>
      <c r="H32" s="8">
        <f>IF(B10=1, 'Consolidado por área'!E32, "")</f>
        <v/>
      </c>
      <c r="I32" s="9">
        <f>IF(B10=1, 'Consolidado por área'!F32, "")</f>
        <v/>
      </c>
      <c r="J32" s="4">
        <f>IF(B10=1, 'Consolidado por área'!G32, "")</f>
        <v/>
      </c>
      <c r="K32" s="7">
        <f>IF(B10=1, 'Consolidado por área'!H32, "")</f>
        <v/>
      </c>
      <c r="L32" s="6">
        <f>IF(B10=1, 'Consolidado por área'!L32, "")</f>
        <v/>
      </c>
    </row>
    <row r="33">
      <c r="D33" s="5">
        <f>IF(B6=1, 'Consolidado por área'!A33, "")</f>
        <v/>
      </c>
      <c r="E33" s="5">
        <f>IF(B6=1, 'Consolidado por área'!B33, "")</f>
        <v/>
      </c>
      <c r="F33" s="8">
        <f>IF(B6=1, 'Consolidado por área'!C33, "")</f>
        <v/>
      </c>
      <c r="G33" s="8">
        <f>IF(B6=1, 'Consolidado por área'!D33, "")</f>
        <v/>
      </c>
      <c r="H33" s="8">
        <f>IF(B6=1, 'Consolidado por área'!E33, "")</f>
        <v/>
      </c>
      <c r="I33" s="9">
        <f>IF(B6=1, 'Consolidado por área'!F33, "")</f>
        <v/>
      </c>
      <c r="J33" s="4">
        <f>IF(B6=1, 'Consolidado por área'!G33, "")</f>
        <v/>
      </c>
      <c r="K33" s="7">
        <f>IF(B6=1, 'Consolidado por área'!H33, "")</f>
        <v/>
      </c>
      <c r="L33" s="6">
        <f>IF(B6=1, 'Consolidado por área'!L33, "")</f>
        <v/>
      </c>
    </row>
    <row r="34">
      <c r="D34" s="5">
        <f>IF(B10=1, 'Consolidado por área'!A34, "")</f>
        <v/>
      </c>
      <c r="E34" s="5">
        <f>IF(B10=1, 'Consolidado por área'!B34, "")</f>
        <v/>
      </c>
      <c r="F34" s="8">
        <f>IF(B10=1, 'Consolidado por área'!C34, "")</f>
        <v/>
      </c>
      <c r="G34" s="8">
        <f>IF(B10=1, 'Consolidado por área'!D34, "")</f>
        <v/>
      </c>
      <c r="H34" s="8">
        <f>IF(B10=1, 'Consolidado por área'!E34, "")</f>
        <v/>
      </c>
      <c r="I34" s="9">
        <f>IF(B10=1, 'Consolidado por área'!F34, "")</f>
        <v/>
      </c>
      <c r="J34" s="4">
        <f>IF(B10=1, 'Consolidado por área'!G34, "")</f>
        <v/>
      </c>
      <c r="K34" s="7">
        <f>IF(B10=1, 'Consolidado por área'!H34, "")</f>
        <v/>
      </c>
      <c r="L34" s="6">
        <f>IF(B10=1, 'Consolidado por área'!L34, "")</f>
        <v/>
      </c>
    </row>
    <row r="35">
      <c r="D35" s="5">
        <f>IF(B6=1, 'Consolidado por área'!A35, "")</f>
        <v/>
      </c>
      <c r="E35" s="5">
        <f>IF(B6=1, 'Consolidado por área'!B35, "")</f>
        <v/>
      </c>
      <c r="F35" s="8">
        <f>IF(B6=1, 'Consolidado por área'!C35, "")</f>
        <v/>
      </c>
      <c r="G35" s="8">
        <f>IF(B6=1, 'Consolidado por área'!D35, "")</f>
        <v/>
      </c>
      <c r="H35" s="8">
        <f>IF(B6=1, 'Consolidado por área'!E35, "")</f>
        <v/>
      </c>
      <c r="I35" s="9">
        <f>IF(B6=1, 'Consolidado por área'!F35, "")</f>
        <v/>
      </c>
      <c r="J35" s="4">
        <f>IF(B6=1, 'Consolidado por área'!G35, "")</f>
        <v/>
      </c>
      <c r="K35" s="7">
        <f>IF(B6=1, 'Consolidado por área'!H35, "")</f>
        <v/>
      </c>
      <c r="L35" s="6">
        <f>IF(B6=1, 'Consolidado por área'!L35, "")</f>
        <v/>
      </c>
    </row>
    <row r="36">
      <c r="D36" s="5">
        <f>IF(B13=1, 'Consolidado por área'!A36, "")</f>
        <v/>
      </c>
      <c r="E36" s="5">
        <f>IF(B13=1, 'Consolidado por área'!B36, "")</f>
        <v/>
      </c>
      <c r="F36" s="8">
        <f>IF(B13=1, 'Consolidado por área'!C36, "")</f>
        <v/>
      </c>
      <c r="G36" s="8">
        <f>IF(B13=1, 'Consolidado por área'!D36, "")</f>
        <v/>
      </c>
      <c r="H36" s="8">
        <f>IF(B13=1, 'Consolidado por área'!E36, "")</f>
        <v/>
      </c>
      <c r="I36" s="9">
        <f>IF(B13=1, 'Consolidado por área'!F36, "")</f>
        <v/>
      </c>
      <c r="J36" s="4">
        <f>IF(B13=1, 'Consolidado por área'!G36, "")</f>
        <v/>
      </c>
      <c r="K36" s="7">
        <f>IF(B13=1, 'Consolidado por área'!H36, "")</f>
        <v/>
      </c>
      <c r="L36" s="6">
        <f>IF(B13=1, 'Consolidado por área'!L36, "")</f>
        <v/>
      </c>
    </row>
    <row r="37">
      <c r="D37" s="5">
        <f>IF(B8=1, 'Consolidado por área'!A37, "")</f>
        <v/>
      </c>
      <c r="E37" s="5">
        <f>IF(B8=1, 'Consolidado por área'!B37, "")</f>
        <v/>
      </c>
      <c r="F37" s="8">
        <f>IF(B8=1, 'Consolidado por área'!C37, "")</f>
        <v/>
      </c>
      <c r="G37" s="8">
        <f>IF(B8=1, 'Consolidado por área'!D37, "")</f>
        <v/>
      </c>
      <c r="H37" s="8">
        <f>IF(B8=1, 'Consolidado por área'!E37, "")</f>
        <v/>
      </c>
      <c r="I37" s="9">
        <f>IF(B8=1, 'Consolidado por área'!F37, "")</f>
        <v/>
      </c>
      <c r="J37" s="4">
        <f>IF(B8=1, 'Consolidado por área'!G37, "")</f>
        <v/>
      </c>
      <c r="K37" s="7">
        <f>IF(B8=1, 'Consolidado por área'!H37, "")</f>
        <v/>
      </c>
      <c r="L37" s="6">
        <f>IF(B8=1, 'Consolidado por área'!L37, "")</f>
        <v/>
      </c>
    </row>
    <row r="38">
      <c r="D38" s="5">
        <f>IF(B6=1, 'Consolidado por área'!A38, "")</f>
        <v/>
      </c>
      <c r="E38" s="5">
        <f>IF(B6=1, 'Consolidado por área'!B38, "")</f>
        <v/>
      </c>
      <c r="F38" s="8">
        <f>IF(B6=1, 'Consolidado por área'!C38, "")</f>
        <v/>
      </c>
      <c r="G38" s="8">
        <f>IF(B6=1, 'Consolidado por área'!D38, "")</f>
        <v/>
      </c>
      <c r="H38" s="8">
        <f>IF(B6=1, 'Consolidado por área'!E38, "")</f>
        <v/>
      </c>
      <c r="I38" s="9">
        <f>IF(B6=1, 'Consolidado por área'!F38, "")</f>
        <v/>
      </c>
      <c r="J38" s="4">
        <f>IF(B6=1, 'Consolidado por área'!G38, "")</f>
        <v/>
      </c>
      <c r="K38" s="7">
        <f>IF(B6=1, 'Consolidado por área'!H38, "")</f>
        <v/>
      </c>
      <c r="L38" s="6">
        <f>IF(B6=1, 'Consolidado por área'!L38, "")</f>
        <v/>
      </c>
    </row>
    <row r="39">
      <c r="D39" s="5">
        <f>IF(B9=1, 'Consolidado por área'!A39, "")</f>
        <v/>
      </c>
      <c r="E39" s="5">
        <f>IF(B9=1, 'Consolidado por área'!B39, "")</f>
        <v/>
      </c>
      <c r="F39" s="8">
        <f>IF(B9=1, 'Consolidado por área'!C39, "")</f>
        <v/>
      </c>
      <c r="G39" s="8">
        <f>IF(B9=1, 'Consolidado por área'!D39, "")</f>
        <v/>
      </c>
      <c r="H39" s="8">
        <f>IF(B9=1, 'Consolidado por área'!E39, "")</f>
        <v/>
      </c>
      <c r="I39" s="9">
        <f>IF(B9=1, 'Consolidado por área'!F39, "")</f>
        <v/>
      </c>
      <c r="J39" s="4">
        <f>IF(B9=1, 'Consolidado por área'!G39, "")</f>
        <v/>
      </c>
      <c r="K39" s="7">
        <f>IF(B9=1, 'Consolidado por área'!H39, "")</f>
        <v/>
      </c>
      <c r="L39" s="6">
        <f>IF(B9=1, 'Consolidado por área'!L39, "")</f>
        <v/>
      </c>
    </row>
    <row r="40">
      <c r="D40" s="5">
        <f>IF(B10=1, 'Consolidado por área'!A40, "")</f>
        <v/>
      </c>
      <c r="E40" s="5">
        <f>IF(B10=1, 'Consolidado por área'!B40, "")</f>
        <v/>
      </c>
      <c r="F40" s="8">
        <f>IF(B10=1, 'Consolidado por área'!C40, "")</f>
        <v/>
      </c>
      <c r="G40" s="8">
        <f>IF(B10=1, 'Consolidado por área'!D40, "")</f>
        <v/>
      </c>
      <c r="H40" s="8">
        <f>IF(B10=1, 'Consolidado por área'!E40, "")</f>
        <v/>
      </c>
      <c r="I40" s="9">
        <f>IF(B10=1, 'Consolidado por área'!F40, "")</f>
        <v/>
      </c>
      <c r="J40" s="4">
        <f>IF(B10=1, 'Consolidado por área'!G40, "")</f>
        <v/>
      </c>
      <c r="K40" s="7">
        <f>IF(B10=1, 'Consolidado por área'!H40, "")</f>
        <v/>
      </c>
      <c r="L40" s="6">
        <f>IF(B10=1, 'Consolidado por área'!L40, "")</f>
        <v/>
      </c>
    </row>
    <row r="41">
      <c r="D41" s="5">
        <f>IF(B13=1, 'Consolidado por área'!A41, "")</f>
        <v/>
      </c>
      <c r="E41" s="5">
        <f>IF(B13=1, 'Consolidado por área'!B41, "")</f>
        <v/>
      </c>
      <c r="F41" s="8">
        <f>IF(B13=1, 'Consolidado por área'!C41, "")</f>
        <v/>
      </c>
      <c r="G41" s="8">
        <f>IF(B13=1, 'Consolidado por área'!D41, "")</f>
        <v/>
      </c>
      <c r="H41" s="8">
        <f>IF(B13=1, 'Consolidado por área'!E41, "")</f>
        <v/>
      </c>
      <c r="I41" s="9">
        <f>IF(B13=1, 'Consolidado por área'!F41, "")</f>
        <v/>
      </c>
      <c r="J41" s="4">
        <f>IF(B13=1, 'Consolidado por área'!G41, "")</f>
        <v/>
      </c>
      <c r="K41" s="7">
        <f>IF(B13=1, 'Consolidado por área'!H41, "")</f>
        <v/>
      </c>
      <c r="L41" s="6">
        <f>IF(B13=1, 'Consolidado por área'!L41, "")</f>
        <v/>
      </c>
    </row>
    <row r="42">
      <c r="D42" s="5">
        <f>IF(B14=1, 'Consolidado por área'!A42, "")</f>
        <v/>
      </c>
      <c r="E42" s="5">
        <f>IF(B14=1, 'Consolidado por área'!B42, "")</f>
        <v/>
      </c>
      <c r="F42" s="8">
        <f>IF(B14=1, 'Consolidado por área'!C42, "")</f>
        <v/>
      </c>
      <c r="G42" s="8">
        <f>IF(B14=1, 'Consolidado por área'!D42, "")</f>
        <v/>
      </c>
      <c r="H42" s="8">
        <f>IF(B14=1, 'Consolidado por área'!E42, "")</f>
        <v/>
      </c>
      <c r="I42" s="9">
        <f>IF(B14=1, 'Consolidado por área'!F42, "")</f>
        <v/>
      </c>
      <c r="J42" s="4">
        <f>IF(B14=1, 'Consolidado por área'!G42, "")</f>
        <v/>
      </c>
      <c r="K42" s="7">
        <f>IF(B14=1, 'Consolidado por área'!H42, "")</f>
        <v/>
      </c>
      <c r="L42" s="6">
        <f>IF(B14=1, 'Consolidado por área'!L42, "")</f>
        <v/>
      </c>
    </row>
    <row r="43">
      <c r="D43" s="5">
        <f>IF(B7=1, 'Consolidado por área'!A43, "")</f>
        <v/>
      </c>
      <c r="E43" s="5">
        <f>IF(B7=1, 'Consolidado por área'!B43, "")</f>
        <v/>
      </c>
      <c r="F43" s="8">
        <f>IF(B7=1, 'Consolidado por área'!C43, "")</f>
        <v/>
      </c>
      <c r="G43" s="8">
        <f>IF(B7=1, 'Consolidado por área'!D43, "")</f>
        <v/>
      </c>
      <c r="H43" s="8">
        <f>IF(B7=1, 'Consolidado por área'!E43, "")</f>
        <v/>
      </c>
      <c r="I43" s="9">
        <f>IF(B7=1, 'Consolidado por área'!F43, "")</f>
        <v/>
      </c>
      <c r="J43" s="4">
        <f>IF(B7=1, 'Consolidado por área'!G43, "")</f>
        <v/>
      </c>
      <c r="K43" s="7">
        <f>IF(B7=1, 'Consolidado por área'!H43, "")</f>
        <v/>
      </c>
      <c r="L43" s="6">
        <f>IF(B7=1, 'Consolidado por área'!L43, "")</f>
        <v/>
      </c>
    </row>
    <row r="44">
      <c r="D44" s="5">
        <f>IF(B8=1, 'Consolidado por área'!A44, "")</f>
        <v/>
      </c>
      <c r="E44" s="5">
        <f>IF(B8=1, 'Consolidado por área'!B44, "")</f>
        <v/>
      </c>
      <c r="F44" s="8">
        <f>IF(B8=1, 'Consolidado por área'!C44, "")</f>
        <v/>
      </c>
      <c r="G44" s="8">
        <f>IF(B8=1, 'Consolidado por área'!D44, "")</f>
        <v/>
      </c>
      <c r="H44" s="8">
        <f>IF(B8=1, 'Consolidado por área'!E44, "")</f>
        <v/>
      </c>
      <c r="I44" s="9">
        <f>IF(B8=1, 'Consolidado por área'!F44, "")</f>
        <v/>
      </c>
      <c r="J44" s="4">
        <f>IF(B8=1, 'Consolidado por área'!G44, "")</f>
        <v/>
      </c>
      <c r="K44" s="7">
        <f>IF(B8=1, 'Consolidado por área'!H44, "")</f>
        <v/>
      </c>
      <c r="L44" s="6">
        <f>IF(B8=1, 'Consolidado por área'!L44, "")</f>
        <v/>
      </c>
    </row>
    <row r="45">
      <c r="D45" s="5">
        <f>IF(B12=1, 'Consolidado por área'!A45, "")</f>
        <v/>
      </c>
      <c r="E45" s="5">
        <f>IF(B12=1, 'Consolidado por área'!B45, "")</f>
        <v/>
      </c>
      <c r="F45" s="8">
        <f>IF(B12=1, 'Consolidado por área'!C45, "")</f>
        <v/>
      </c>
      <c r="G45" s="8">
        <f>IF(B12=1, 'Consolidado por área'!D45, "")</f>
        <v/>
      </c>
      <c r="H45" s="8">
        <f>IF(B12=1, 'Consolidado por área'!E45, "")</f>
        <v/>
      </c>
      <c r="I45" s="9">
        <f>IF(B12=1, 'Consolidado por área'!F45, "")</f>
        <v/>
      </c>
      <c r="J45" s="4">
        <f>IF(B12=1, 'Consolidado por área'!G45, "")</f>
        <v/>
      </c>
      <c r="K45" s="7">
        <f>IF(B12=1, 'Consolidado por área'!H45, "")</f>
        <v/>
      </c>
      <c r="L45" s="6">
        <f>IF(B12=1, 'Consolidado por área'!L45, "")</f>
        <v/>
      </c>
    </row>
    <row r="46">
      <c r="D46" s="5">
        <f>IF(B7=1, 'Consolidado por área'!A46, "")</f>
        <v/>
      </c>
      <c r="E46" s="5">
        <f>IF(B7=1, 'Consolidado por área'!B46, "")</f>
        <v/>
      </c>
      <c r="F46" s="8">
        <f>IF(B7=1, 'Consolidado por área'!C46, "")</f>
        <v/>
      </c>
      <c r="G46" s="8">
        <f>IF(B7=1, 'Consolidado por área'!D46, "")</f>
        <v/>
      </c>
      <c r="H46" s="8">
        <f>IF(B7=1, 'Consolidado por área'!E46, "")</f>
        <v/>
      </c>
      <c r="I46" s="9">
        <f>IF(B7=1, 'Consolidado por área'!F46, "")</f>
        <v/>
      </c>
      <c r="J46" s="4">
        <f>IF(B7=1, 'Consolidado por área'!G46, "")</f>
        <v/>
      </c>
      <c r="K46" s="7">
        <f>IF(B7=1, 'Consolidado por área'!H46, "")</f>
        <v/>
      </c>
      <c r="L46" s="6">
        <f>IF(B7=1, 'Consolidado por área'!L46, "")</f>
        <v/>
      </c>
    </row>
    <row r="47">
      <c r="D47" s="5">
        <f>IF(B10=1, 'Consolidado por área'!A47, "")</f>
        <v/>
      </c>
      <c r="E47" s="5">
        <f>IF(B10=1, 'Consolidado por área'!B47, "")</f>
        <v/>
      </c>
      <c r="F47" s="8">
        <f>IF(B10=1, 'Consolidado por área'!C47, "")</f>
        <v/>
      </c>
      <c r="G47" s="8">
        <f>IF(B10=1, 'Consolidado por área'!D47, "")</f>
        <v/>
      </c>
      <c r="H47" s="8">
        <f>IF(B10=1, 'Consolidado por área'!E47, "")</f>
        <v/>
      </c>
      <c r="I47" s="9">
        <f>IF(B10=1, 'Consolidado por área'!F47, "")</f>
        <v/>
      </c>
      <c r="J47" s="4">
        <f>IF(B10=1, 'Consolidado por área'!G47, "")</f>
        <v/>
      </c>
      <c r="K47" s="7">
        <f>IF(B10=1, 'Consolidado por área'!H47, "")</f>
        <v/>
      </c>
      <c r="L47" s="6">
        <f>IF(B10=1, 'Consolidado por área'!L47, 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1" workbookViewId="0">
      <selection activeCell="A1" sqref="A1"/>
    </sheetView>
  </sheetViews>
  <sheetFormatPr baseColWidth="8" defaultRowHeight="15"/>
  <cols>
    <col width="47" customWidth="1" min="1" max="1"/>
    <col width="12" customWidth="1" min="2" max="2"/>
    <col width="12" customWidth="1" min="3" max="3"/>
    <col width="47" customWidth="1" min="4" max="4"/>
    <col width="12" customWidth="1" min="5" max="5"/>
    <col width="12" customWidth="1" min="6" max="6"/>
    <col width="25" customWidth="1" min="7" max="7"/>
    <col width="12" customWidth="1" min="8" max="8"/>
    <col width="12" customWidth="1" min="9" max="9"/>
    <col width="20" customWidth="1" min="10" max="10"/>
    <col width="12" customWidth="1" min="11" max="11"/>
    <col width="12" customWidth="1" min="12" max="12"/>
    <col width="12" customWidth="1" min="13" max="13"/>
    <col width="15" customWidth="1" min="14" max="14"/>
    <col width="12" customWidth="1" min="15" max="15"/>
  </cols>
  <sheetData>
    <row r="1">
      <c r="A1" s="1" t="inlineStr">
        <is>
          <t>DASHBOARD EJECUTIVO DE CUMPLIMIENTO (POR GERENCIA)</t>
        </is>
      </c>
      <c r="D1" s="12" t="n"/>
      <c r="E1" s="12" t="n"/>
      <c r="F1" s="12" t="n"/>
    </row>
    <row r="2">
      <c r="A2" s="2" t="inlineStr">
        <is>
          <t>Resumen gerencial de avance institucional y por gerencia</t>
        </is>
      </c>
      <c r="D2" s="12" t="n"/>
      <c r="E2" s="12" t="n"/>
      <c r="F2" s="12" t="n"/>
    </row>
    <row r="4">
      <c r="A4" s="13" t="inlineStr">
        <is>
          <t>TOTAL PERSONAL ESPERADO</t>
        </is>
      </c>
      <c r="D4" s="14" t="inlineStr">
        <is>
          <t>TOTAL COMPLETADOS</t>
        </is>
      </c>
      <c r="E4" s="19" t="n"/>
      <c r="F4" s="12" t="n"/>
      <c r="G4" s="13" t="inlineStr">
        <is>
          <t>% CUMPLIMIENTO GLOBAL</t>
        </is>
      </c>
      <c r="J4" s="13" t="inlineStr">
        <is>
          <t>TOTAL PENDIENTES</t>
        </is>
      </c>
      <c r="N4" t="inlineStr">
        <is>
          <t>Estado</t>
        </is>
      </c>
      <c r="O4" t="inlineStr">
        <is>
          <t>Cantidad</t>
        </is>
      </c>
    </row>
    <row r="5">
      <c r="A5" s="15">
        <f>SUM('Consolidado por Gerencia'!$B$5:$B$14)</f>
        <v/>
      </c>
      <c r="D5" s="16">
        <f>SUM('Consolidado por Gerencia'!$C$5:$C$14)</f>
        <v/>
      </c>
      <c r="E5" s="20" t="n"/>
      <c r="F5" s="12" t="n"/>
      <c r="G5" s="17">
        <f>D5/A5</f>
        <v/>
      </c>
      <c r="J5" s="15">
        <f>A5-D5</f>
        <v/>
      </c>
      <c r="N5" t="inlineStr">
        <is>
          <t>Completados</t>
        </is>
      </c>
      <c r="O5">
        <f>D5</f>
        <v/>
      </c>
    </row>
    <row r="6">
      <c r="D6" s="21" t="n"/>
      <c r="E6" s="22" t="n"/>
      <c r="N6" t="inlineStr">
        <is>
          <t>Pendientes</t>
        </is>
      </c>
      <c r="O6">
        <f>J5</f>
        <v/>
      </c>
    </row>
    <row r="7">
      <c r="D7" s="12" t="n"/>
      <c r="E7" s="12" t="n"/>
      <c r="F7" s="12" t="n"/>
    </row>
    <row r="8">
      <c r="D8" s="12" t="n"/>
      <c r="E8" s="12" t="n"/>
      <c r="F8" s="12" t="n"/>
    </row>
    <row r="10">
      <c r="D10" s="12" t="n"/>
      <c r="E10" s="12" t="n"/>
      <c r="F10" s="12" t="n"/>
    </row>
    <row r="11">
      <c r="D11" s="12" t="n"/>
      <c r="E11" s="12" t="n"/>
      <c r="F11" s="12" t="n"/>
    </row>
  </sheetData>
  <mergeCells count="8">
    <mergeCell ref="A4:B4"/>
    <mergeCell ref="G4:H4"/>
    <mergeCell ref="J4:K4"/>
    <mergeCell ref="D5:E6"/>
    <mergeCell ref="A5:B6"/>
    <mergeCell ref="G5:H6"/>
    <mergeCell ref="D4:E4"/>
    <mergeCell ref="J5:K6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"/>
  <sheetViews>
    <sheetView showGridLines="1" workbookViewId="0">
      <selection activeCell="A1" sqref="A1"/>
    </sheetView>
  </sheetViews>
  <sheetFormatPr baseColWidth="8" defaultRowHeight="15"/>
  <cols>
    <col width="12" customWidth="1" min="1" max="1"/>
  </cols>
  <sheetData>
    <row r="1">
      <c r="A1" s="1" t="inlineStr">
        <is>
          <t>DASHBOARD — CUMPLIMIENTO POR DEPARTAMENTO / AGENCIA</t>
        </is>
      </c>
    </row>
    <row r="2">
      <c r="A2" s="2" t="inlineStr">
        <is>
          <t>Gráfica detallada de completados y pendientes por cada área institucional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8" customWidth="1" min="3" max="3"/>
    <col width="23" customWidth="1" min="4" max="4"/>
    <col width="20" customWidth="1" min="5" max="5"/>
  </cols>
  <sheetData>
    <row r="1">
      <c r="A1" s="1" t="inlineStr">
        <is>
          <t>TOP 3 DEPARTAMENTOS — COMPLETADOS AL 100%</t>
        </is>
      </c>
    </row>
    <row r="2">
      <c r="A2" s="2" t="inlineStr">
        <is>
          <t>Departamentos con 100% de cumplimiento ordenados por fecha de finalización.</t>
        </is>
      </c>
    </row>
    <row r="4">
      <c r="A4" s="3" t="inlineStr">
        <is>
          <t>Lugar</t>
        </is>
      </c>
      <c r="B4" s="3" t="inlineStr">
        <is>
          <t>Área / Departamento</t>
        </is>
      </c>
      <c r="C4" s="3" t="inlineStr">
        <is>
          <t>Personal Total</t>
        </is>
      </c>
      <c r="D4" s="3" t="inlineStr">
        <is>
          <t>Última Finalización</t>
        </is>
      </c>
      <c r="E4" s="3" t="inlineStr">
        <is>
          <t>Promedio de Nota</t>
        </is>
      </c>
    </row>
    <row r="5">
      <c r="A5" s="18" t="inlineStr">
        <is>
          <t>1° Lugar</t>
        </is>
      </c>
      <c r="B5" s="5" t="inlineStr">
        <is>
          <t>DEPARTAMENTO DE PROCESOS</t>
        </is>
      </c>
      <c r="C5" s="4" t="n">
        <v>3</v>
      </c>
      <c r="D5" s="4" t="inlineStr">
        <is>
          <t>2026-10-01 10:35:45</t>
        </is>
      </c>
      <c r="E5" s="7" t="n">
        <v>100</v>
      </c>
    </row>
    <row r="6">
      <c r="A6" s="18" t="inlineStr">
        <is>
          <t>2° Lugar</t>
        </is>
      </c>
      <c r="B6" s="5" t="inlineStr">
        <is>
          <t>OFICIALIA DE SEGURIDAD DE LA INFORMACION</t>
        </is>
      </c>
      <c r="C6" s="4" t="n">
        <v>4</v>
      </c>
      <c r="D6" s="4" t="inlineStr">
        <is>
          <t>2026-10-01 10:46:42</t>
        </is>
      </c>
      <c r="E6" s="7" t="n">
        <v>96.25</v>
      </c>
    </row>
    <row r="7">
      <c r="A7" s="18" t="inlineStr">
        <is>
          <t>3° Lugar</t>
        </is>
      </c>
      <c r="B7" s="5" t="inlineStr">
        <is>
          <t>DEPARTAMENTO DE SEGURIDAD</t>
        </is>
      </c>
      <c r="C7" s="4" t="n">
        <v>2</v>
      </c>
      <c r="D7" s="4" t="inlineStr">
        <is>
          <t>2026-10-01 11:03:27</t>
        </is>
      </c>
      <c r="E7" s="7" t="n">
        <v>95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</cols>
  <sheetData>
    <row r="1">
      <c r="A1" s="1" t="inlineStr">
        <is>
          <t>TOP 3 INICIO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inlineStr">
        <is>
          <t>Henry Oswaldo Pineda García</t>
        </is>
      </c>
      <c r="C5" s="5" t="inlineStr">
        <is>
          <t>Seguros</t>
        </is>
      </c>
      <c r="D5" s="4" t="inlineStr">
        <is>
          <t>2026-10-01 10:14:02</t>
        </is>
      </c>
      <c r="E5" s="4" t="inlineStr">
        <is>
          <t>2026-10-01 10:21:54</t>
        </is>
      </c>
      <c r="F5" s="7" t="n">
        <v>7.866666666666666</v>
      </c>
      <c r="G5" s="4" t="n">
        <v>100</v>
      </c>
    </row>
    <row r="6">
      <c r="A6" s="4" t="n">
        <v>2</v>
      </c>
      <c r="B6" s="5" t="inlineStr">
        <is>
          <t>José Augusto De la O Gallegos</t>
        </is>
      </c>
      <c r="C6" s="5" t="inlineStr">
        <is>
          <t>Gerencia de Finanzas y Planificación</t>
        </is>
      </c>
      <c r="D6" s="4" t="inlineStr">
        <is>
          <t>2026-10-01 10:14:58</t>
        </is>
      </c>
      <c r="E6" s="4" t="inlineStr">
        <is>
          <t>2026-10-01 10:18:34</t>
        </is>
      </c>
      <c r="F6" s="7" t="n">
        <v>3.6</v>
      </c>
      <c r="G6" s="4" t="n">
        <v>100</v>
      </c>
    </row>
    <row r="7">
      <c r="A7" s="4" t="n">
        <v>3</v>
      </c>
      <c r="B7" s="5" t="inlineStr">
        <is>
          <t>THELMA ESPERANZA DIGUEROA DE SORTO</t>
        </is>
      </c>
      <c r="C7" s="5" t="inlineStr">
        <is>
          <t>AGENCIA SAN MIGUEL</t>
        </is>
      </c>
      <c r="D7" s="4" t="inlineStr">
        <is>
          <t>2026-10-01 10:26:17</t>
        </is>
      </c>
      <c r="E7" s="4" t="inlineStr">
        <is>
          <t>2026-10-01 10:34:32</t>
        </is>
      </c>
      <c r="F7" s="7" t="n">
        <v>8.25</v>
      </c>
      <c r="G7" s="4" t="n">
        <v>100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</cols>
  <sheetData>
    <row r="1">
      <c r="A1" s="1" t="inlineStr">
        <is>
          <t>TOP 3 FINALIZACIÓN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inlineStr">
        <is>
          <t>José Augusto De la O Gallegos</t>
        </is>
      </c>
      <c r="C5" s="5" t="inlineStr">
        <is>
          <t>Gerencia de Finanzas y Planificación</t>
        </is>
      </c>
      <c r="D5" s="4" t="inlineStr">
        <is>
          <t>2026-10-01 10:14:58</t>
        </is>
      </c>
      <c r="E5" s="4" t="inlineStr">
        <is>
          <t>2026-10-01 10:18:34</t>
        </is>
      </c>
      <c r="F5" s="7" t="n">
        <v>3.6</v>
      </c>
      <c r="G5" s="4" t="n">
        <v>100</v>
      </c>
    </row>
    <row r="6">
      <c r="A6" s="4" t="n">
        <v>2</v>
      </c>
      <c r="B6" s="5" t="inlineStr">
        <is>
          <t>Henry Oswaldo Pineda García</t>
        </is>
      </c>
      <c r="C6" s="5" t="inlineStr">
        <is>
          <t>Seguros</t>
        </is>
      </c>
      <c r="D6" s="4" t="inlineStr">
        <is>
          <t>2026-10-01 10:14:02</t>
        </is>
      </c>
      <c r="E6" s="4" t="inlineStr">
        <is>
          <t>2026-10-01 10:21:54</t>
        </is>
      </c>
      <c r="F6" s="7" t="n">
        <v>7.866666666666666</v>
      </c>
      <c r="G6" s="4" t="n">
        <v>100</v>
      </c>
    </row>
    <row r="7">
      <c r="A7" s="4" t="n">
        <v>3</v>
      </c>
      <c r="B7" s="5" t="inlineStr">
        <is>
          <t>Sara Patricia González de Jiménez</t>
        </is>
      </c>
      <c r="C7" s="5" t="inlineStr">
        <is>
          <t>Departamento de Riesgos</t>
        </is>
      </c>
      <c r="D7" s="4" t="inlineStr">
        <is>
          <t>2026-10-01 10:28:49</t>
        </is>
      </c>
      <c r="E7" s="4" t="inlineStr">
        <is>
          <t>2026-10-01 10:31:52</t>
        </is>
      </c>
      <c r="F7" s="7" t="n">
        <v>3.05</v>
      </c>
      <c r="G7" s="4" t="n">
        <v>100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</cols>
  <sheetData>
    <row r="1">
      <c r="A1" s="1" t="inlineStr">
        <is>
          <t>TOP 3 CALIFICACIÓN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inlineStr">
        <is>
          <t>Henry Oswaldo Pineda García</t>
        </is>
      </c>
      <c r="C5" s="5" t="inlineStr">
        <is>
          <t>Seguros</t>
        </is>
      </c>
      <c r="D5" s="4" t="inlineStr">
        <is>
          <t>2026-10-01 10:14:02</t>
        </is>
      </c>
      <c r="E5" s="4" t="inlineStr">
        <is>
          <t>2026-10-01 10:21:54</t>
        </is>
      </c>
      <c r="F5" s="7" t="n">
        <v>7.866666666666666</v>
      </c>
      <c r="G5" s="4" t="n">
        <v>100</v>
      </c>
    </row>
    <row r="6">
      <c r="A6" s="4" t="n">
        <v>2</v>
      </c>
      <c r="B6" s="5" t="inlineStr">
        <is>
          <t>José Augusto De la O Gallegos</t>
        </is>
      </c>
      <c r="C6" s="5" t="inlineStr">
        <is>
          <t>Gerencia de Finanzas y Planificación</t>
        </is>
      </c>
      <c r="D6" s="4" t="inlineStr">
        <is>
          <t>2026-10-01 10:14:58</t>
        </is>
      </c>
      <c r="E6" s="4" t="inlineStr">
        <is>
          <t>2026-10-01 10:18:34</t>
        </is>
      </c>
      <c r="F6" s="7" t="n">
        <v>3.6</v>
      </c>
      <c r="G6" s="4" t="n">
        <v>100</v>
      </c>
    </row>
    <row r="7">
      <c r="A7" s="4" t="n">
        <v>3</v>
      </c>
      <c r="B7" s="5" t="inlineStr">
        <is>
          <t>THELMA ESPERANZA DIGUEROA DE SORTO</t>
        </is>
      </c>
      <c r="C7" s="5" t="inlineStr">
        <is>
          <t>AGENCIA SAN MIGUEL</t>
        </is>
      </c>
      <c r="D7" s="4" t="inlineStr">
        <is>
          <t>2026-10-01 10:26:17</t>
        </is>
      </c>
      <c r="E7" s="4" t="inlineStr">
        <is>
          <t>2026-10-01 10:34:32</t>
        </is>
      </c>
      <c r="F7" s="7" t="n">
        <v>8.25</v>
      </c>
      <c r="G7" s="4" t="n">
        <v>100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49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58" customWidth="1" min="3" max="3"/>
    <col width="57" customWidth="1" min="4" max="4"/>
    <col width="43" customWidth="1" min="5" max="5"/>
  </cols>
  <sheetData>
    <row r="1">
      <c r="A1" s="1" t="inlineStr">
        <is>
          <t>LISTADO GENERAL DE COLABORADORES PENDIENTES</t>
        </is>
      </c>
    </row>
    <row r="2">
      <c r="A2" s="2" t="inlineStr">
        <is>
          <t>Colaboradores del listado oficial que aún no han completado la evaluación.</t>
        </is>
      </c>
    </row>
    <row r="4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</row>
    <row r="5">
      <c r="A5" s="5" t="inlineStr">
        <is>
          <t xml:space="preserve">MERALYS CHAVEZ RODRIGUEZ </t>
        </is>
      </c>
      <c r="B5" s="4" t="inlineStr">
        <is>
          <t>330</t>
        </is>
      </c>
      <c r="C5" s="5" t="inlineStr">
        <is>
          <t>AUDITOR INTERNO</t>
        </is>
      </c>
      <c r="D5" s="5" t="inlineStr">
        <is>
          <t>DEPARTAMENTO DE AUDITORIA INTERNA</t>
        </is>
      </c>
      <c r="E5" s="5" t="inlineStr">
        <is>
          <t>Auditoría Interna</t>
        </is>
      </c>
    </row>
    <row r="6">
      <c r="A6" s="5" t="inlineStr">
        <is>
          <t xml:space="preserve">NELSON DANILO BENITEZ MENDEZ </t>
        </is>
      </c>
      <c r="B6" s="4" t="inlineStr">
        <is>
          <t>534</t>
        </is>
      </c>
      <c r="C6" s="5" t="inlineStr">
        <is>
          <t>AUDITOR DE SISTEMAS</t>
        </is>
      </c>
      <c r="D6" s="5" t="inlineStr">
        <is>
          <t>DEPARTAMENTO DE AUDITORIA INTERNA</t>
        </is>
      </c>
      <c r="E6" s="5" t="inlineStr">
        <is>
          <t>Auditoría Interna</t>
        </is>
      </c>
    </row>
    <row r="7">
      <c r="A7" s="5" t="inlineStr">
        <is>
          <t xml:space="preserve">GLADIS OSIRIS VALLE HERNANDEZ </t>
        </is>
      </c>
      <c r="B7" s="4" t="inlineStr">
        <is>
          <t>609</t>
        </is>
      </c>
      <c r="C7" s="5" t="inlineStr">
        <is>
          <t>ENFERMERA</t>
        </is>
      </c>
      <c r="D7" s="5" t="inlineStr">
        <is>
          <t>CLINICA EMPRESARIAL</t>
        </is>
      </c>
      <c r="E7" s="5" t="inlineStr">
        <is>
          <t>Gerencia Administrativa</t>
        </is>
      </c>
    </row>
    <row r="8">
      <c r="A8" s="5" t="inlineStr">
        <is>
          <t xml:space="preserve">LORENA ELIZABETH GALDAMEZ NUÑEZ </t>
        </is>
      </c>
      <c r="B8" s="4" t="inlineStr">
        <is>
          <t>590</t>
        </is>
      </c>
      <c r="C8" s="5" t="inlineStr">
        <is>
          <t>MEDICO</t>
        </is>
      </c>
      <c r="D8" s="5" t="inlineStr">
        <is>
          <t>CLINICA EMPRESARIAL</t>
        </is>
      </c>
      <c r="E8" s="5" t="inlineStr">
        <is>
          <t>Gerencia Administrativa</t>
        </is>
      </c>
    </row>
    <row r="9">
      <c r="A9" s="5" t="inlineStr">
        <is>
          <t xml:space="preserve">MAURICIO ANTONIO RAMIREZ PEREZ </t>
        </is>
      </c>
      <c r="B9" s="4" t="inlineStr">
        <is>
          <t>436</t>
        </is>
      </c>
      <c r="C9" s="5" t="inlineStr">
        <is>
          <t>AUXILIAR DE MANTENIMIENTO</t>
        </is>
      </c>
      <c r="D9" s="5" t="inlineStr">
        <is>
          <t>DEPARTAMENTO DE SERVICIOS GENERALES</t>
        </is>
      </c>
      <c r="E9" s="5" t="inlineStr">
        <is>
          <t>Gerencia Administrativa</t>
        </is>
      </c>
    </row>
    <row r="10">
      <c r="A10" s="5" t="inlineStr">
        <is>
          <t xml:space="preserve">DORA ALICIA CASTILLO </t>
        </is>
      </c>
      <c r="B10" s="4" t="inlineStr">
        <is>
          <t>65</t>
        </is>
      </c>
      <c r="C10" s="5" t="inlineStr">
        <is>
          <t>JEFE DE TALENTO HUMANO</t>
        </is>
      </c>
      <c r="D10" s="5" t="inlineStr">
        <is>
          <t>DEPARTAMENTO DE TALENTO HUMANO</t>
        </is>
      </c>
      <c r="E10" s="5" t="inlineStr">
        <is>
          <t>Gerencia Administrativa</t>
        </is>
      </c>
    </row>
    <row r="11">
      <c r="A11" s="5" t="inlineStr">
        <is>
          <t>MARTA LILLIAN VIGIL QUIJANO</t>
        </is>
      </c>
      <c r="B11" s="4" t="inlineStr">
        <is>
          <t>45</t>
        </is>
      </c>
      <c r="C11" s="5" t="inlineStr">
        <is>
          <t>ASISTENTE ADMINISTRATIVO DE GERENCIA  ADMINISTRATIVA</t>
        </is>
      </c>
      <c r="D11" s="5" t="inlineStr">
        <is>
          <t>GERENCIA  ADMINISTRATIVA</t>
        </is>
      </c>
      <c r="E11" s="5" t="inlineStr">
        <is>
          <t>Gerencia Administrativa</t>
        </is>
      </c>
    </row>
    <row r="12">
      <c r="A12" s="5" t="inlineStr">
        <is>
          <t xml:space="preserve">HENRRY DANIEL ESCAMILLA ZALDAÑA </t>
        </is>
      </c>
      <c r="B12" s="4" t="inlineStr">
        <is>
          <t>928</t>
        </is>
      </c>
      <c r="C12" s="5" t="inlineStr">
        <is>
          <t>JEFE DE ADMINISTRACION DE RIESGOS</t>
        </is>
      </c>
      <c r="D12" s="5" t="inlineStr">
        <is>
          <t>ADMINISTRACION DE RIESGOS</t>
        </is>
      </c>
      <c r="E12" s="5" t="inlineStr">
        <is>
          <t>Gerencia General</t>
        </is>
      </c>
    </row>
    <row r="13">
      <c r="A13" s="5" t="inlineStr">
        <is>
          <t xml:space="preserve">ANTONIO ALEXANDER  ALFARO ARGUETA </t>
        </is>
      </c>
      <c r="B13" s="4" t="inlineStr">
        <is>
          <t>669</t>
        </is>
      </c>
      <c r="C13" s="5" t="inlineStr">
        <is>
          <t>EJECUTIVO DE NEGOCIOS</t>
        </is>
      </c>
      <c r="D13" s="5" t="inlineStr">
        <is>
          <t>DEPARTAMENTO COMERCIAL DE TARJETA DE CREDITO Y DEBITO</t>
        </is>
      </c>
      <c r="E13" s="5" t="inlineStr">
        <is>
          <t>Gerencia General</t>
        </is>
      </c>
    </row>
    <row r="14">
      <c r="A14" s="5" t="inlineStr">
        <is>
          <t xml:space="preserve">GABRIEL FRANCISCO MOLINA DIAZ </t>
        </is>
      </c>
      <c r="B14" s="4" t="inlineStr">
        <is>
          <t>858</t>
        </is>
      </c>
      <c r="C14" s="5" t="inlineStr">
        <is>
          <t>EJECUTIVO DE NEGOCIOS</t>
        </is>
      </c>
      <c r="D14" s="5" t="inlineStr">
        <is>
          <t>DEPARTAMENTO COMERCIAL DE TARJETA DE CREDITO Y DEBITO</t>
        </is>
      </c>
      <c r="E14" s="5" t="inlineStr">
        <is>
          <t>Gerencia General</t>
        </is>
      </c>
    </row>
    <row r="15">
      <c r="A15" s="5" t="inlineStr">
        <is>
          <t xml:space="preserve">JOSE ALEXANDER ABREGO </t>
        </is>
      </c>
      <c r="B15" s="4" t="inlineStr">
        <is>
          <t>655</t>
        </is>
      </c>
      <c r="C15" s="5" t="inlineStr">
        <is>
          <t>EJECUTIVO DE NEGOCIOS</t>
        </is>
      </c>
      <c r="D15" s="5" t="inlineStr">
        <is>
          <t>DEPARTAMENTO COMERCIAL DE TARJETA DE CREDITO Y DEBITO</t>
        </is>
      </c>
      <c r="E15" s="5" t="inlineStr">
        <is>
          <t>Gerencia General</t>
        </is>
      </c>
    </row>
    <row r="16">
      <c r="A16" s="5" t="inlineStr">
        <is>
          <t xml:space="preserve">LUIS ALBERTO MEJIA DELGADO </t>
        </is>
      </c>
      <c r="B16" s="4" t="inlineStr">
        <is>
          <t>835</t>
        </is>
      </c>
      <c r="C16" s="5" t="inlineStr">
        <is>
          <t>EJECUTIVO DE NEGOCIOS</t>
        </is>
      </c>
      <c r="D16" s="5" t="inlineStr">
        <is>
          <t>DEPARTAMENTO COMERCIAL DE TARJETA DE CREDITO Y DEBITO</t>
        </is>
      </c>
      <c r="E16" s="5" t="inlineStr">
        <is>
          <t>Gerencia General</t>
        </is>
      </c>
    </row>
    <row r="17">
      <c r="A17" s="5" t="inlineStr">
        <is>
          <t>ANTONIA SARAI BELTRAN CARBALLO</t>
        </is>
      </c>
      <c r="B17" s="4" t="inlineStr">
        <is>
          <t>17</t>
        </is>
      </c>
      <c r="C17" s="5" t="inlineStr">
        <is>
          <t>ASISTENTE ADMINISTRATIVO DE GERENCIA GENERAL</t>
        </is>
      </c>
      <c r="D17" s="5" t="inlineStr">
        <is>
          <t>GERENCIA GENERAL</t>
        </is>
      </c>
      <c r="E17" s="5" t="inlineStr">
        <is>
          <t>Gerencia General</t>
        </is>
      </c>
    </row>
    <row r="18">
      <c r="A18" s="5" t="inlineStr">
        <is>
          <t xml:space="preserve">NELSON ULISES CAMPOS FLORES </t>
        </is>
      </c>
      <c r="B18" s="4" t="inlineStr">
        <is>
          <t>977</t>
        </is>
      </c>
      <c r="C18" s="5" t="inlineStr">
        <is>
          <t>GERENTE GENERAL</t>
        </is>
      </c>
      <c r="D18" s="5" t="inlineStr">
        <is>
          <t>GERENCIA GENERAL</t>
        </is>
      </c>
      <c r="E18" s="5" t="inlineStr">
        <is>
          <t>Gerencia General</t>
        </is>
      </c>
    </row>
    <row r="19">
      <c r="A19" s="5" t="inlineStr">
        <is>
          <t xml:space="preserve">ANDREA RAQUEL MONTOYA ALARCON </t>
        </is>
      </c>
      <c r="B19" s="4" t="inlineStr">
        <is>
          <t>814</t>
        </is>
      </c>
      <c r="C19" s="5" t="inlineStr">
        <is>
          <t>AUXILIAR JURIDICO DE ESCRITURACION</t>
        </is>
      </c>
      <c r="D19" s="5" t="inlineStr">
        <is>
          <t>DEPARTAMENTO LEGAL</t>
        </is>
      </c>
      <c r="E19" s="5" t="inlineStr">
        <is>
          <t>Gerencia Legal y Cumplimiento Normativo</t>
        </is>
      </c>
    </row>
    <row r="20">
      <c r="A20" s="5" t="inlineStr">
        <is>
          <t xml:space="preserve">CARLOS RENE CASTILLO GAMEZ </t>
        </is>
      </c>
      <c r="B20" s="4" t="inlineStr">
        <is>
          <t>592</t>
        </is>
      </c>
      <c r="C20" s="5" t="inlineStr">
        <is>
          <t>ASISTENTE TECNICO LEGAL</t>
        </is>
      </c>
      <c r="D20" s="5" t="inlineStr">
        <is>
          <t>DEPARTAMENTO LEGAL</t>
        </is>
      </c>
      <c r="E20" s="5" t="inlineStr">
        <is>
          <t>Gerencia Legal y Cumplimiento Normativo</t>
        </is>
      </c>
    </row>
    <row r="21">
      <c r="A21" s="5" t="inlineStr">
        <is>
          <t xml:space="preserve">CHRISTIAN ENRIQUE CAMPOS PRIVADO </t>
        </is>
      </c>
      <c r="B21" s="4" t="inlineStr">
        <is>
          <t>905</t>
        </is>
      </c>
      <c r="C21" s="5" t="inlineStr">
        <is>
          <t>ASISTENTE TECNICO LEGAL</t>
        </is>
      </c>
      <c r="D21" s="5" t="inlineStr">
        <is>
          <t>DEPARTAMENTO LEGAL</t>
        </is>
      </c>
      <c r="E21" s="5" t="inlineStr">
        <is>
          <t>Gerencia Legal y Cumplimiento Normativo</t>
        </is>
      </c>
    </row>
    <row r="22">
      <c r="A22" s="5" t="inlineStr">
        <is>
          <t xml:space="preserve">DANIELA MARIA FUENTES MEDINA </t>
        </is>
      </c>
      <c r="B22" s="4" t="inlineStr">
        <is>
          <t>843</t>
        </is>
      </c>
      <c r="C22" s="5" t="inlineStr">
        <is>
          <t>AUXILIAR JURIDICO DE CONTRATACION</t>
        </is>
      </c>
      <c r="D22" s="5" t="inlineStr">
        <is>
          <t>DEPARTAMENTO LEGAL</t>
        </is>
      </c>
      <c r="E22" s="5" t="inlineStr">
        <is>
          <t>Gerencia Legal y Cumplimiento Normativo</t>
        </is>
      </c>
    </row>
    <row r="23">
      <c r="A23" s="5" t="inlineStr">
        <is>
          <t xml:space="preserve">JUAN JOSE CAÑAS COMAYAGUA </t>
        </is>
      </c>
      <c r="B23" s="4" t="inlineStr">
        <is>
          <t>442</t>
        </is>
      </c>
      <c r="C23" s="5" t="inlineStr">
        <is>
          <t>JEFE DE DEPARTAMENTO LEGAL</t>
        </is>
      </c>
      <c r="D23" s="5" t="inlineStr">
        <is>
          <t>DEPARTAMENTO LEGAL</t>
        </is>
      </c>
      <c r="E23" s="5" t="inlineStr">
        <is>
          <t>Gerencia Legal y Cumplimiento Normativo</t>
        </is>
      </c>
    </row>
    <row r="24">
      <c r="A24" s="5" t="inlineStr">
        <is>
          <t xml:space="preserve">NICOLLE ALEXANDRA MARINERO GALLARDO </t>
        </is>
      </c>
      <c r="B24" s="4" t="inlineStr">
        <is>
          <t>831</t>
        </is>
      </c>
      <c r="C24" s="5" t="inlineStr">
        <is>
          <t>AUXILIAR JURIDICO NOTARIAL</t>
        </is>
      </c>
      <c r="D24" s="5" t="inlineStr">
        <is>
          <t>DEPARTAMENTO LEGAL</t>
        </is>
      </c>
      <c r="E24" s="5" t="inlineStr">
        <is>
          <t>Gerencia Legal y Cumplimiento Normativo</t>
        </is>
      </c>
    </row>
    <row r="25">
      <c r="A25" s="5" t="inlineStr">
        <is>
          <t xml:space="preserve">CLAUDIA MARLENE CABRERA SANCHEZ </t>
        </is>
      </c>
      <c r="B25" s="4" t="inlineStr">
        <is>
          <t>235</t>
        </is>
      </c>
      <c r="C25" s="5" t="inlineStr">
        <is>
          <t>SUPERVISOR DE CONTABILIDAD</t>
        </is>
      </c>
      <c r="D25" s="5" t="inlineStr">
        <is>
          <t>DEPARTAMENTO DE CONTABILIDAD</t>
        </is>
      </c>
      <c r="E25" s="5" t="inlineStr">
        <is>
          <t>Gerencia de Finanzas y Planificación</t>
        </is>
      </c>
    </row>
    <row r="26">
      <c r="A26" s="5" t="inlineStr">
        <is>
          <t>JENNIFER MARCELA MORALES  TORRES</t>
        </is>
      </c>
      <c r="B26" s="4" t="inlineStr">
        <is>
          <t>749</t>
        </is>
      </c>
      <c r="C26" s="5" t="inlineStr">
        <is>
          <t>CONTADOR BANCARIO</t>
        </is>
      </c>
      <c r="D26" s="5" t="inlineStr">
        <is>
          <t>DEPARTAMENTO DE CONTABILIDAD</t>
        </is>
      </c>
      <c r="E26" s="5" t="inlineStr">
        <is>
          <t>Gerencia de Finanzas y Planificación</t>
        </is>
      </c>
    </row>
    <row r="27">
      <c r="A27" s="5" t="inlineStr">
        <is>
          <t xml:space="preserve">JORDAN ALEXANDER FLORES HERRERA </t>
        </is>
      </c>
      <c r="B27" s="4" t="inlineStr">
        <is>
          <t>916</t>
        </is>
      </c>
      <c r="C27" s="5" t="inlineStr">
        <is>
          <t>AUXILIAR CONTABLE DE DIGITALIZACION</t>
        </is>
      </c>
      <c r="D27" s="5" t="inlineStr">
        <is>
          <t>DEPARTAMENTO DE CONTABILIDAD</t>
        </is>
      </c>
      <c r="E27" s="5" t="inlineStr">
        <is>
          <t>Gerencia de Finanzas y Planificación</t>
        </is>
      </c>
    </row>
    <row r="28">
      <c r="A28" s="5" t="inlineStr">
        <is>
          <t xml:space="preserve">MILAGRO TRINIDAD ROMERO MONTERROSA </t>
        </is>
      </c>
      <c r="B28" s="4" t="inlineStr">
        <is>
          <t>571</t>
        </is>
      </c>
      <c r="C28" s="5" t="inlineStr">
        <is>
          <t>ASISTENTE TECNICO DE IMPUESTOS</t>
        </is>
      </c>
      <c r="D28" s="5" t="inlineStr">
        <is>
          <t>DEPARTAMENTO DE CONTABILIDAD</t>
        </is>
      </c>
      <c r="E28" s="5" t="inlineStr">
        <is>
          <t>Gerencia de Finanzas y Planificación</t>
        </is>
      </c>
    </row>
    <row r="29">
      <c r="A29" s="5" t="inlineStr">
        <is>
          <t xml:space="preserve">RUBIA ESTELA LEIVA SIBRIAN </t>
        </is>
      </c>
      <c r="B29" s="4" t="inlineStr">
        <is>
          <t>70</t>
        </is>
      </c>
      <c r="C29" s="5" t="inlineStr">
        <is>
          <t>ASISTENTE TECNICO DE PAGOS</t>
        </is>
      </c>
      <c r="D29" s="5" t="inlineStr">
        <is>
          <t>DEPARTAMENTO DE CONTABILIDAD</t>
        </is>
      </c>
      <c r="E29" s="5" t="inlineStr">
        <is>
          <t>Gerencia de Finanzas y Planificación</t>
        </is>
      </c>
    </row>
    <row r="30">
      <c r="A30" s="5" t="inlineStr">
        <is>
          <t xml:space="preserve">THELMA JUDITH QUINTANILLA VALLE </t>
        </is>
      </c>
      <c r="B30" s="4" t="inlineStr">
        <is>
          <t>374</t>
        </is>
      </c>
      <c r="C30" s="5" t="inlineStr">
        <is>
          <t>AUXILIAR CONTABLE DE DIGITALIZACION</t>
        </is>
      </c>
      <c r="D30" s="5" t="inlineStr">
        <is>
          <t>DEPARTAMENTO DE CONTABILIDAD</t>
        </is>
      </c>
      <c r="E30" s="5" t="inlineStr">
        <is>
          <t>Gerencia de Finanzas y Planificación</t>
        </is>
      </c>
    </row>
    <row r="31">
      <c r="A31" s="5" t="inlineStr">
        <is>
          <t xml:space="preserve">EFRAIN ANTONIO  AYALA LOPEZ  </t>
        </is>
      </c>
      <c r="B31" s="4" t="inlineStr">
        <is>
          <t>946</t>
        </is>
      </c>
      <c r="C31" s="5" t="inlineStr">
        <is>
          <t>JEFE DE PLANIFICACION Y ANALISIS</t>
        </is>
      </c>
      <c r="D31" s="5" t="inlineStr">
        <is>
          <t>DEPARTAMENTO DE PLANIFICACIÓN Y ANALISIS</t>
        </is>
      </c>
      <c r="E31" s="5" t="inlineStr">
        <is>
          <t>Gerencia de Finanzas y Planificación</t>
        </is>
      </c>
    </row>
    <row r="32">
      <c r="A32" s="5" t="inlineStr">
        <is>
          <t xml:space="preserve">ESTER ALEYDA GODOY CAMPOS </t>
        </is>
      </c>
      <c r="B32" s="4" t="inlineStr">
        <is>
          <t>191</t>
        </is>
      </c>
      <c r="C32" s="5" t="inlineStr">
        <is>
          <t>ASISTENTE TECNICO DE PLANIFICACION</t>
        </is>
      </c>
      <c r="D32" s="5" t="inlineStr">
        <is>
          <t>DEPARTAMENTO DE PLANIFICACIÓN Y ANALISIS</t>
        </is>
      </c>
      <c r="E32" s="5" t="inlineStr">
        <is>
          <t>Gerencia de Finanzas y Planificación</t>
        </is>
      </c>
    </row>
    <row r="33">
      <c r="A33" s="5" t="inlineStr">
        <is>
          <t xml:space="preserve">RAFAEL ANDRES MARAVILLA GUERRA </t>
        </is>
      </c>
      <c r="B33" s="4" t="inlineStr">
        <is>
          <t>839</t>
        </is>
      </c>
      <c r="C33" s="5" t="inlineStr">
        <is>
          <t>ASISTENTE DE ANALISIS Y NORMATIVAS</t>
        </is>
      </c>
      <c r="D33" s="5" t="inlineStr">
        <is>
          <t>DEPARTAMENTO DE PLANIFICACIÓN Y ANALISIS</t>
        </is>
      </c>
      <c r="E33" s="5" t="inlineStr">
        <is>
          <t>Gerencia de Finanzas y Planificación</t>
        </is>
      </c>
    </row>
    <row r="34">
      <c r="A34" s="5" t="inlineStr">
        <is>
          <t xml:space="preserve">PAULA MARIA CALDERON PEREZ </t>
        </is>
      </c>
      <c r="B34" s="4" t="inlineStr">
        <is>
          <t>942</t>
        </is>
      </c>
      <c r="C34" s="5" t="inlineStr">
        <is>
          <t>ASISTENTE DE GERENCIA DE FINANZAS</t>
        </is>
      </c>
      <c r="D34" s="5" t="inlineStr">
        <is>
          <t>GERENCIA DE FINANZAS Y PLANIFICACIÓN</t>
        </is>
      </c>
      <c r="E34" s="5" t="inlineStr">
        <is>
          <t>Gerencia de Finanzas y Planificación</t>
        </is>
      </c>
    </row>
    <row r="35">
      <c r="A35" s="5" t="inlineStr">
        <is>
          <t xml:space="preserve">ALAN RODRIGO BENITEZ RODRIGUEZ </t>
        </is>
      </c>
      <c r="B35" s="4" t="inlineStr">
        <is>
          <t>981</t>
        </is>
      </c>
      <c r="C35" s="5" t="inlineStr">
        <is>
          <t>PASANTE</t>
        </is>
      </c>
      <c r="D35" s="5" t="inlineStr">
        <is>
          <t>DEPARTAMENTO DE ATENCION A ASOCIADO Y CLIENTE</t>
        </is>
      </c>
      <c r="E35" s="5" t="inlineStr">
        <is>
          <t>Gerencia de Negocios</t>
        </is>
      </c>
    </row>
    <row r="36">
      <c r="A36" s="5" t="inlineStr">
        <is>
          <t xml:space="preserve">EMERSON ULISES BELTRAN CORTEZ </t>
        </is>
      </c>
      <c r="B36" s="4" t="inlineStr">
        <is>
          <t>887</t>
        </is>
      </c>
      <c r="C36" s="5" t="inlineStr">
        <is>
          <t>AUXILIAR DE ATENCION A  ASOCIADOS</t>
        </is>
      </c>
      <c r="D36" s="5" t="inlineStr">
        <is>
          <t>DEPARTAMENTO DE ATENCION A ASOCIADO Y CLIENTE</t>
        </is>
      </c>
      <c r="E36" s="5" t="inlineStr">
        <is>
          <t>Gerencia de Negocios</t>
        </is>
      </c>
    </row>
    <row r="37">
      <c r="A37" s="5" t="inlineStr">
        <is>
          <t xml:space="preserve">FABIOLA ELIZABETH TICAS GOMEZ  </t>
        </is>
      </c>
      <c r="B37" s="4" t="inlineStr">
        <is>
          <t>945</t>
        </is>
      </c>
      <c r="C37" s="5" t="inlineStr">
        <is>
          <t>RECEPCIONISTA</t>
        </is>
      </c>
      <c r="D37" s="5" t="inlineStr">
        <is>
          <t>DEPARTAMENTO DE ATENCION A ASOCIADO Y CLIENTE</t>
        </is>
      </c>
      <c r="E37" s="5" t="inlineStr">
        <is>
          <t>Gerencia de Negocios</t>
        </is>
      </c>
    </row>
    <row r="38">
      <c r="A38" s="5" t="inlineStr">
        <is>
          <t>KARLA PATRICIA  ROBLES  CORTEZ</t>
        </is>
      </c>
      <c r="B38" s="4" t="inlineStr">
        <is>
          <t>744</t>
        </is>
      </c>
      <c r="C38" s="5" t="inlineStr">
        <is>
          <t>ASISTENTE TECNICO DE AFILIACION</t>
        </is>
      </c>
      <c r="D38" s="5" t="inlineStr">
        <is>
          <t>DEPARTAMENTO DE ATENCION A ASOCIADO Y CLIENTE</t>
        </is>
      </c>
      <c r="E38" s="5" t="inlineStr">
        <is>
          <t>Gerencia de Negocios</t>
        </is>
      </c>
    </row>
    <row r="39">
      <c r="A39" s="5" t="inlineStr">
        <is>
          <t>ANA ESTER ERAZO ORTIZ</t>
        </is>
      </c>
      <c r="B39" s="4" t="inlineStr">
        <is>
          <t>207</t>
        </is>
      </c>
      <c r="C39" s="5" t="inlineStr">
        <is>
          <t>ANALISTA DE CREDITOS</t>
        </is>
      </c>
      <c r="D39" s="5" t="inlineStr">
        <is>
          <t xml:space="preserve">DEPARTAMENTO DE CREDITOS </t>
        </is>
      </c>
      <c r="E39" s="5" t="inlineStr">
        <is>
          <t>Gerencia de Negocios</t>
        </is>
      </c>
    </row>
    <row r="40">
      <c r="A40" s="5" t="inlineStr">
        <is>
          <t xml:space="preserve">KARLA VANESSA GARCIA OLIVA </t>
        </is>
      </c>
      <c r="B40" s="4" t="inlineStr">
        <is>
          <t>809</t>
        </is>
      </c>
      <c r="C40" s="5" t="inlineStr">
        <is>
          <t>ANALISTA DE CREDITOS</t>
        </is>
      </c>
      <c r="D40" s="5" t="inlineStr">
        <is>
          <t xml:space="preserve">DEPARTAMENTO DE CREDITOS </t>
        </is>
      </c>
      <c r="E40" s="5" t="inlineStr">
        <is>
          <t>Gerencia de Negocios</t>
        </is>
      </c>
    </row>
    <row r="41">
      <c r="A41" s="5" t="inlineStr">
        <is>
          <t>MABEL GERALDINE RAMIREZ PORTILLO</t>
        </is>
      </c>
      <c r="B41" s="4" t="inlineStr">
        <is>
          <t>377</t>
        </is>
      </c>
      <c r="C41" s="5" t="inlineStr">
        <is>
          <t>SUPERVISOR DE ANALISTAS DE CREDITOS</t>
        </is>
      </c>
      <c r="D41" s="5" t="inlineStr">
        <is>
          <t xml:space="preserve">DEPARTAMENTO DE CREDITOS </t>
        </is>
      </c>
      <c r="E41" s="5" t="inlineStr">
        <is>
          <t>Gerencia de Negocios</t>
        </is>
      </c>
    </row>
    <row r="42">
      <c r="A42" s="5" t="inlineStr">
        <is>
          <t xml:space="preserve">MARIA LILIAN MENJIVAR GUARDADO </t>
        </is>
      </c>
      <c r="B42" s="4" t="inlineStr">
        <is>
          <t>979</t>
        </is>
      </c>
      <c r="C42" s="5" t="inlineStr">
        <is>
          <t>ANALISTA DE CREDITOS</t>
        </is>
      </c>
      <c r="D42" s="5" t="inlineStr">
        <is>
          <t xml:space="preserve">DEPARTAMENTO DE CREDITOS </t>
        </is>
      </c>
      <c r="E42" s="5" t="inlineStr">
        <is>
          <t>Gerencia de Negocios</t>
        </is>
      </c>
    </row>
    <row r="43">
      <c r="A43" s="5" t="inlineStr">
        <is>
          <t xml:space="preserve">MARIO LEONEL CANDRAY FLORES </t>
        </is>
      </c>
      <c r="B43" s="4" t="inlineStr">
        <is>
          <t>939</t>
        </is>
      </c>
      <c r="C43" s="5" t="inlineStr">
        <is>
          <t>ANALISTA DE CREDITOS</t>
        </is>
      </c>
      <c r="D43" s="5" t="inlineStr">
        <is>
          <t xml:space="preserve">DEPARTAMENTO DE CREDITOS </t>
        </is>
      </c>
      <c r="E43" s="5" t="inlineStr">
        <is>
          <t>Gerencia de Negocios</t>
        </is>
      </c>
    </row>
    <row r="44">
      <c r="A44" s="5" t="inlineStr">
        <is>
          <t xml:space="preserve">YANETH  HERNANDEZ YANES </t>
        </is>
      </c>
      <c r="B44" s="4" t="inlineStr">
        <is>
          <t>730</t>
        </is>
      </c>
      <c r="C44" s="5" t="inlineStr">
        <is>
          <t>JEFE DE CREDITOS</t>
        </is>
      </c>
      <c r="D44" s="5" t="inlineStr">
        <is>
          <t xml:space="preserve">DEPARTAMENTO DE CREDITOS </t>
        </is>
      </c>
      <c r="E44" s="5" t="inlineStr">
        <is>
          <t>Gerencia de Negocios</t>
        </is>
      </c>
    </row>
    <row r="45">
      <c r="A45" s="5" t="inlineStr">
        <is>
          <t xml:space="preserve">CARLOS EDUARDO SERVELLON PEREZ </t>
        </is>
      </c>
      <c r="B45" s="4" t="inlineStr">
        <is>
          <t>919</t>
        </is>
      </c>
      <c r="C45" s="5" t="inlineStr">
        <is>
          <t>AUXILIAR DE EDUCACION Y RESPONSABILIDAD SOCIAL</t>
        </is>
      </c>
      <c r="D45" s="5" t="inlineStr">
        <is>
          <t>DEPARTAMENTO DE EDUCACION Y RESPONSABILIDAD SOCIAL</t>
        </is>
      </c>
      <c r="E45" s="5" t="inlineStr">
        <is>
          <t>Gerencia de Negocios</t>
        </is>
      </c>
    </row>
    <row r="46">
      <c r="A46" s="5" t="inlineStr">
        <is>
          <t>ZULEYMA ALEJANDRA VASQUEZ  MARIN</t>
        </is>
      </c>
      <c r="B46" s="4" t="inlineStr">
        <is>
          <t>847</t>
        </is>
      </c>
      <c r="C46" s="5" t="inlineStr">
        <is>
          <t>JEFE DE EDUCACION Y RESPONSABILIDAD SOCIAL</t>
        </is>
      </c>
      <c r="D46" s="5" t="inlineStr">
        <is>
          <t>DEPARTAMENTO DE EDUCACION Y RESPONSABILIDAD SOCIAL</t>
        </is>
      </c>
      <c r="E46" s="5" t="inlineStr">
        <is>
          <t>Gerencia de Negocios</t>
        </is>
      </c>
    </row>
    <row r="47">
      <c r="A47" s="5" t="inlineStr">
        <is>
          <t>CARMEN MARIA GUTIERREZ ESTRADA</t>
        </is>
      </c>
      <c r="B47" s="4" t="inlineStr">
        <is>
          <t>591</t>
        </is>
      </c>
      <c r="C47" s="5" t="inlineStr">
        <is>
          <t>JEFE DE MERCADEO</t>
        </is>
      </c>
      <c r="D47" s="5" t="inlineStr">
        <is>
          <t xml:space="preserve">DEPARTAMENTO DE MERCADEO </t>
        </is>
      </c>
      <c r="E47" s="5" t="inlineStr">
        <is>
          <t>Gerencia de Negocios</t>
        </is>
      </c>
    </row>
    <row r="48">
      <c r="A48" s="5" t="inlineStr">
        <is>
          <t xml:space="preserve">GERARDO ALEXANDER  MARTINEZ RIVERA </t>
        </is>
      </c>
      <c r="B48" s="4" t="inlineStr">
        <is>
          <t>897</t>
        </is>
      </c>
      <c r="C48" s="5" t="inlineStr">
        <is>
          <t>ANALISTA DE COMUNICACIONES</t>
        </is>
      </c>
      <c r="D48" s="5" t="inlineStr">
        <is>
          <t xml:space="preserve">DEPARTAMENTO DE MERCADEO </t>
        </is>
      </c>
      <c r="E48" s="5" t="inlineStr">
        <is>
          <t>Gerencia de Negocios</t>
        </is>
      </c>
    </row>
    <row r="49">
      <c r="A49" s="5" t="inlineStr">
        <is>
          <t>IVONNE LISSETH DE JESUS RODRIGUEZ   FLORES</t>
        </is>
      </c>
      <c r="B49" s="4" t="inlineStr">
        <is>
          <t>219</t>
        </is>
      </c>
      <c r="C49" s="5" t="inlineStr">
        <is>
          <t>ASISTENTE TELEMARKETING</t>
        </is>
      </c>
      <c r="D49" s="5" t="inlineStr">
        <is>
          <t xml:space="preserve">DEPARTAMENTO DE MERCADEO </t>
        </is>
      </c>
      <c r="E49" s="5" t="inlineStr">
        <is>
          <t>Gerencia de Negocios</t>
        </is>
      </c>
    </row>
    <row r="50">
      <c r="A50" s="5" t="inlineStr">
        <is>
          <t xml:space="preserve">JOSE CARLOS IRENEO HERNANDEZ RODRIGUEZ </t>
        </is>
      </c>
      <c r="B50" s="4" t="inlineStr">
        <is>
          <t>361</t>
        </is>
      </c>
      <c r="C50" s="5" t="inlineStr">
        <is>
          <t>ASISTENTE TECNICO DE MERCADEO</t>
        </is>
      </c>
      <c r="D50" s="5" t="inlineStr">
        <is>
          <t xml:space="preserve">DEPARTAMENTO DE MERCADEO </t>
        </is>
      </c>
      <c r="E50" s="5" t="inlineStr">
        <is>
          <t>Gerencia de Negocios</t>
        </is>
      </c>
    </row>
    <row r="51">
      <c r="A51" s="5" t="inlineStr">
        <is>
          <t xml:space="preserve">LUIS FAUSTONY VASQUEZ CIENFUEGOS </t>
        </is>
      </c>
      <c r="B51" s="4" t="inlineStr">
        <is>
          <t>723</t>
        </is>
      </c>
      <c r="C51" s="5" t="inlineStr">
        <is>
          <t>GESTOR DE DOCUMENTOS</t>
        </is>
      </c>
      <c r="D51" s="5" t="inlineStr">
        <is>
          <t xml:space="preserve">DEPARTAMENTO DE MERCADEO </t>
        </is>
      </c>
      <c r="E51" s="5" t="inlineStr">
        <is>
          <t>Gerencia de Negocios</t>
        </is>
      </c>
    </row>
    <row r="52">
      <c r="A52" s="5" t="inlineStr">
        <is>
          <t xml:space="preserve">MARIA ALEJANDRA BATRES ALVARADO </t>
        </is>
      </c>
      <c r="B52" s="4" t="inlineStr">
        <is>
          <t>895</t>
        </is>
      </c>
      <c r="C52" s="5" t="inlineStr">
        <is>
          <t>DISEÑADOR  GRAFICO</t>
        </is>
      </c>
      <c r="D52" s="5" t="inlineStr">
        <is>
          <t xml:space="preserve">DEPARTAMENTO DE MERCADEO </t>
        </is>
      </c>
      <c r="E52" s="5" t="inlineStr">
        <is>
          <t>Gerencia de Negocios</t>
        </is>
      </c>
    </row>
    <row r="53">
      <c r="A53" s="5" t="inlineStr">
        <is>
          <t xml:space="preserve">CARLOS ALEXANDER ROMERO ROMERO </t>
        </is>
      </c>
      <c r="B53" s="4" t="inlineStr">
        <is>
          <t>639</t>
        </is>
      </c>
      <c r="C53" s="5" t="inlineStr">
        <is>
          <t>GESTOR DE CARTERA DE SEGUROS</t>
        </is>
      </c>
      <c r="D53" s="5" t="inlineStr">
        <is>
          <t xml:space="preserve">DEPARTAMENTO DE SEGUROS </t>
        </is>
      </c>
      <c r="E53" s="5" t="inlineStr">
        <is>
          <t>Gerencia de Negocios</t>
        </is>
      </c>
    </row>
    <row r="54">
      <c r="A54" s="5" t="inlineStr">
        <is>
          <t>CLAUDIA MARISOL MADRID BARRIENTOS</t>
        </is>
      </c>
      <c r="B54" s="4" t="inlineStr">
        <is>
          <t>544</t>
        </is>
      </c>
      <c r="C54" s="5" t="inlineStr">
        <is>
          <t>GESTOR DE  RECLAMOS Y SUSCRIPCIONES</t>
        </is>
      </c>
      <c r="D54" s="5" t="inlineStr">
        <is>
          <t xml:space="preserve">DEPARTAMENTO DE SEGUROS </t>
        </is>
      </c>
      <c r="E54" s="5" t="inlineStr">
        <is>
          <t>Gerencia de Negocios</t>
        </is>
      </c>
    </row>
    <row r="55">
      <c r="A55" s="5" t="inlineStr">
        <is>
          <t xml:space="preserve">ERIKA VANESSA ALEMAN MIJANGO </t>
        </is>
      </c>
      <c r="B55" s="4" t="inlineStr">
        <is>
          <t>802</t>
        </is>
      </c>
      <c r="C55" s="5" t="inlineStr">
        <is>
          <t>EJECUTIVO DE VENTA DE SEGUROS</t>
        </is>
      </c>
      <c r="D55" s="5" t="inlineStr">
        <is>
          <t xml:space="preserve">DEPARTAMENTO DE SEGUROS </t>
        </is>
      </c>
      <c r="E55" s="5" t="inlineStr">
        <is>
          <t>Gerencia de Negocios</t>
        </is>
      </c>
    </row>
    <row r="56">
      <c r="A56" s="5" t="inlineStr">
        <is>
          <t xml:space="preserve">JENNYFER AYLIN ESCOBAR ZAMORA </t>
        </is>
      </c>
      <c r="B56" s="4" t="inlineStr">
        <is>
          <t>792</t>
        </is>
      </c>
      <c r="C56" s="5" t="inlineStr">
        <is>
          <t>COORDINADOR COMERCIAL DE SEGUROS</t>
        </is>
      </c>
      <c r="D56" s="5" t="inlineStr">
        <is>
          <t xml:space="preserve">DEPARTAMENTO DE SEGUROS </t>
        </is>
      </c>
      <c r="E56" s="5" t="inlineStr">
        <is>
          <t>Gerencia de Negocios</t>
        </is>
      </c>
    </row>
    <row r="57">
      <c r="A57" s="5" t="inlineStr">
        <is>
          <t xml:space="preserve">JUANA HAZEL GARCIA COREAS </t>
        </is>
      </c>
      <c r="B57" s="4" t="inlineStr">
        <is>
          <t>805</t>
        </is>
      </c>
      <c r="C57" s="5" t="inlineStr">
        <is>
          <t>EJECUTIVO DE VENTA DE SEGUROS</t>
        </is>
      </c>
      <c r="D57" s="5" t="inlineStr">
        <is>
          <t xml:space="preserve">DEPARTAMENTO DE SEGUROS </t>
        </is>
      </c>
      <c r="E57" s="5" t="inlineStr">
        <is>
          <t>Gerencia de Negocios</t>
        </is>
      </c>
    </row>
    <row r="58">
      <c r="A58" s="5" t="inlineStr">
        <is>
          <t xml:space="preserve">LISSETTE MARICELA SANCHEZ MOLINA </t>
        </is>
      </c>
      <c r="B58" s="4" t="inlineStr">
        <is>
          <t>643</t>
        </is>
      </c>
      <c r="C58" s="5" t="inlineStr">
        <is>
          <t>ASISTENTE DE SEGUROS</t>
        </is>
      </c>
      <c r="D58" s="5" t="inlineStr">
        <is>
          <t xml:space="preserve">DEPARTAMENTO DE SEGUROS </t>
        </is>
      </c>
      <c r="E58" s="5" t="inlineStr">
        <is>
          <t>Gerencia de Negocios</t>
        </is>
      </c>
    </row>
    <row r="59">
      <c r="A59" s="5" t="inlineStr">
        <is>
          <t xml:space="preserve">ALBA BEATRIZ MELENDEZ PRUDENCIO </t>
        </is>
      </c>
      <c r="B59" s="4" t="inlineStr">
        <is>
          <t>885</t>
        </is>
      </c>
      <c r="C59" s="5" t="inlineStr">
        <is>
          <t>ASISTENTE DE RECUPERACION JUDICIAL Y CARTERA CASTIGADA</t>
        </is>
      </c>
      <c r="D59" s="5" t="inlineStr">
        <is>
          <t>DEPARTAMENTO DE SOLUCIONES FINANCIERAS</t>
        </is>
      </c>
      <c r="E59" s="5" t="inlineStr">
        <is>
          <t>Gerencia de Negocios</t>
        </is>
      </c>
    </row>
    <row r="60">
      <c r="A60" s="5" t="inlineStr">
        <is>
          <t xml:space="preserve">ANA GRISELDA SIGÜENZA MARTINEZ </t>
        </is>
      </c>
      <c r="B60" s="4" t="inlineStr">
        <is>
          <t>528</t>
        </is>
      </c>
      <c r="C60" s="5" t="inlineStr">
        <is>
          <t>AUXILIAR DE DEPARTAMENTO DE SOLUCIONES FINANCIERAS</t>
        </is>
      </c>
      <c r="D60" s="5" t="inlineStr">
        <is>
          <t>DEPARTAMENTO DE SOLUCIONES FINANCIERAS</t>
        </is>
      </c>
      <c r="E60" s="5" t="inlineStr">
        <is>
          <t>Gerencia de Negocios</t>
        </is>
      </c>
    </row>
    <row r="61">
      <c r="A61" s="5" t="inlineStr">
        <is>
          <t>ANA SILVIA MARTINEZ  RODRIGUEZ</t>
        </is>
      </c>
      <c r="B61" s="4" t="inlineStr">
        <is>
          <t>289</t>
        </is>
      </c>
      <c r="C61" s="5" t="inlineStr">
        <is>
          <t>EJECUTIVO DE SOLUCIONES FINANCIERAS</t>
        </is>
      </c>
      <c r="D61" s="5" t="inlineStr">
        <is>
          <t>DEPARTAMENTO DE SOLUCIONES FINANCIERAS</t>
        </is>
      </c>
      <c r="E61" s="5" t="inlineStr">
        <is>
          <t>Gerencia de Negocios</t>
        </is>
      </c>
    </row>
    <row r="62">
      <c r="A62" s="5" t="inlineStr">
        <is>
          <t xml:space="preserve">JUAN PABLO HENRIQUEZ RAMIREZ </t>
        </is>
      </c>
      <c r="B62" s="4" t="inlineStr">
        <is>
          <t>573</t>
        </is>
      </c>
      <c r="C62" s="5" t="inlineStr">
        <is>
          <t>EJECUTIVO DE SOLUCIONES FINANCIERAS</t>
        </is>
      </c>
      <c r="D62" s="5" t="inlineStr">
        <is>
          <t>DEPARTAMENTO DE SOLUCIONES FINANCIERAS</t>
        </is>
      </c>
      <c r="E62" s="5" t="inlineStr">
        <is>
          <t>Gerencia de Negocios</t>
        </is>
      </c>
    </row>
    <row r="63">
      <c r="A63" s="5" t="inlineStr">
        <is>
          <t>ROSA ELIZABETH RIVAS AGUILUZ</t>
        </is>
      </c>
      <c r="B63" s="4" t="inlineStr">
        <is>
          <t>182</t>
        </is>
      </c>
      <c r="C63" s="5" t="inlineStr">
        <is>
          <t>EJECUTIVO DE SOLUCIONES FINANCIERAS</t>
        </is>
      </c>
      <c r="D63" s="5" t="inlineStr">
        <is>
          <t>DEPARTAMENTO DE SOLUCIONES FINANCIERAS</t>
        </is>
      </c>
      <c r="E63" s="5" t="inlineStr">
        <is>
          <t>Gerencia de Negocios</t>
        </is>
      </c>
    </row>
    <row r="64">
      <c r="A64" s="5" t="inlineStr">
        <is>
          <t xml:space="preserve">SANDRA GUADALUPE ROQUE SANCHEZ </t>
        </is>
      </c>
      <c r="B64" s="4" t="inlineStr">
        <is>
          <t>298</t>
        </is>
      </c>
      <c r="C64" s="5" t="inlineStr">
        <is>
          <t>EJECUTIVO DE SOLUCIONES FINANCIERAS</t>
        </is>
      </c>
      <c r="D64" s="5" t="inlineStr">
        <is>
          <t>DEPARTAMENTO DE SOLUCIONES FINANCIERAS</t>
        </is>
      </c>
      <c r="E64" s="5" t="inlineStr">
        <is>
          <t>Gerencia de Negocios</t>
        </is>
      </c>
    </row>
    <row r="65">
      <c r="A65" s="5" t="inlineStr">
        <is>
          <t xml:space="preserve">XOCHILT VERONICA NOUBLEAU </t>
        </is>
      </c>
      <c r="B65" s="4" t="inlineStr">
        <is>
          <t>263</t>
        </is>
      </c>
      <c r="C65" s="5" t="inlineStr">
        <is>
          <t>EJECUTIVO DE SOLUCIONES FINANCIERAS</t>
        </is>
      </c>
      <c r="D65" s="5" t="inlineStr">
        <is>
          <t>DEPARTAMENTO DE SOLUCIONES FINANCIERAS</t>
        </is>
      </c>
      <c r="E65" s="5" t="inlineStr">
        <is>
          <t>Gerencia de Negocios</t>
        </is>
      </c>
    </row>
    <row r="66">
      <c r="A66" s="5" t="inlineStr">
        <is>
          <t xml:space="preserve">YENIS MARILU ESCOBAR SORTO </t>
        </is>
      </c>
      <c r="B66" s="4" t="inlineStr">
        <is>
          <t>34</t>
        </is>
      </c>
      <c r="C66" s="5" t="inlineStr">
        <is>
          <t>EJECUTIVO DE SOLUCIONES FINANCIERAS</t>
        </is>
      </c>
      <c r="D66" s="5" t="inlineStr">
        <is>
          <t>DEPARTAMENTO DE SOLUCIONES FINANCIERAS</t>
        </is>
      </c>
      <c r="E66" s="5" t="inlineStr">
        <is>
          <t>Gerencia de Negocios</t>
        </is>
      </c>
    </row>
    <row r="67">
      <c r="A67" s="5" t="inlineStr">
        <is>
          <t xml:space="preserve">JOSE HUMBERTO BARILLAS BURGOS </t>
        </is>
      </c>
      <c r="B67" s="4" t="inlineStr">
        <is>
          <t>741</t>
        </is>
      </c>
      <c r="C67" s="5" t="inlineStr">
        <is>
          <t>GERENTE DE NEGOCIOS</t>
        </is>
      </c>
      <c r="D67" s="5" t="inlineStr">
        <is>
          <t>GERENCIA DE NEGOCIOS</t>
        </is>
      </c>
      <c r="E67" s="5" t="inlineStr">
        <is>
          <t>Gerencia de Negocios</t>
        </is>
      </c>
    </row>
    <row r="68">
      <c r="A68" s="5" t="inlineStr">
        <is>
          <t xml:space="preserve">JUAN CARLOS AGUILAR ASCENCIO </t>
        </is>
      </c>
      <c r="B68" s="4" t="inlineStr">
        <is>
          <t>581</t>
        </is>
      </c>
      <c r="C68" s="5" t="inlineStr">
        <is>
          <t>CAJERO MOVIL</t>
        </is>
      </c>
      <c r="D68" s="5" t="inlineStr">
        <is>
          <t xml:space="preserve">SUB GERENCIA DE CANALES </t>
        </is>
      </c>
      <c r="E68" s="5" t="inlineStr">
        <is>
          <t>Gerencia de Negocios</t>
        </is>
      </c>
    </row>
    <row r="69">
      <c r="A69" s="5" t="inlineStr">
        <is>
          <t xml:space="preserve">LUIS FERNANDO MORAN GARCIA </t>
        </is>
      </c>
      <c r="B69" s="4" t="inlineStr">
        <is>
          <t>651</t>
        </is>
      </c>
      <c r="C69" s="5" t="inlineStr">
        <is>
          <t>JEFE MOVIL DE AGENCIAS</t>
        </is>
      </c>
      <c r="D69" s="5" t="inlineStr">
        <is>
          <t xml:space="preserve">SUB GERENCIA DE CANALES </t>
        </is>
      </c>
      <c r="E69" s="5" t="inlineStr">
        <is>
          <t>Gerencia de Negocios</t>
        </is>
      </c>
    </row>
    <row r="70">
      <c r="A70" s="5" t="inlineStr">
        <is>
          <t xml:space="preserve">REBECA ABIGAIL VEGA FLORES </t>
        </is>
      </c>
      <c r="B70" s="4" t="inlineStr">
        <is>
          <t>854</t>
        </is>
      </c>
      <c r="C70" s="5" t="inlineStr">
        <is>
          <t>CAJERO MOVIL</t>
        </is>
      </c>
      <c r="D70" s="5" t="inlineStr">
        <is>
          <t xml:space="preserve">SUB GERENCIA DE CANALES </t>
        </is>
      </c>
      <c r="E70" s="5" t="inlineStr">
        <is>
          <t>Gerencia de Negocios</t>
        </is>
      </c>
    </row>
    <row r="71">
      <c r="A71" s="5" t="inlineStr">
        <is>
          <t xml:space="preserve">SAMUEL ALBERTO SALGUERO RODRIGUEZ </t>
        </is>
      </c>
      <c r="B71" s="4" t="inlineStr">
        <is>
          <t>968</t>
        </is>
      </c>
      <c r="C71" s="5" t="inlineStr">
        <is>
          <t>CAJERO MOVIL</t>
        </is>
      </c>
      <c r="D71" s="5" t="inlineStr">
        <is>
          <t xml:space="preserve">SUB GERENCIA DE CANALES </t>
        </is>
      </c>
      <c r="E71" s="5" t="inlineStr">
        <is>
          <t>Gerencia de Negocios</t>
        </is>
      </c>
    </row>
    <row r="72">
      <c r="A72" s="5" t="inlineStr">
        <is>
          <t xml:space="preserve">SANDRA VERONICA ACEVEDO BELTRAN </t>
        </is>
      </c>
      <c r="B72" s="4" t="inlineStr">
        <is>
          <t>713</t>
        </is>
      </c>
      <c r="C72" s="5" t="inlineStr">
        <is>
          <t xml:space="preserve">ASISTENTE PARA CORRESPONSALES FINANCIEROS </t>
        </is>
      </c>
      <c r="D72" s="5" t="inlineStr">
        <is>
          <t xml:space="preserve">SUB GERENCIA DE CANALES </t>
        </is>
      </c>
      <c r="E72" s="5" t="inlineStr">
        <is>
          <t>Gerencia de Negocios</t>
        </is>
      </c>
    </row>
    <row r="73">
      <c r="A73" s="5" t="inlineStr">
        <is>
          <t xml:space="preserve">ALEXANDRA DANIELA PINEDA JIMENEZ </t>
        </is>
      </c>
      <c r="B73" s="4" t="inlineStr">
        <is>
          <t>958</t>
        </is>
      </c>
      <c r="C73" s="5" t="inlineStr">
        <is>
          <t>AUXILIAR DE ATENCION A  ASOCIADOS</t>
        </is>
      </c>
      <c r="D73" s="5" t="inlineStr">
        <is>
          <t xml:space="preserve">AGENCIA CENTRAL  </t>
        </is>
      </c>
      <c r="E73" s="5" t="inlineStr">
        <is>
          <t>Gerencia de Negocios (Agencias)</t>
        </is>
      </c>
    </row>
    <row r="74">
      <c r="A74" s="5" t="inlineStr">
        <is>
          <t xml:space="preserve">ANGELA GABRIELA  REYES MOLINA </t>
        </is>
      </c>
      <c r="B74" s="4" t="inlineStr">
        <is>
          <t>956</t>
        </is>
      </c>
      <c r="C74" s="5" t="inlineStr">
        <is>
          <t>CAJERO</t>
        </is>
      </c>
      <c r="D74" s="5" t="inlineStr">
        <is>
          <t xml:space="preserve">AGENCIA CENTRAL  </t>
        </is>
      </c>
      <c r="E74" s="5" t="inlineStr">
        <is>
          <t>Gerencia de Negocios (Agencias)</t>
        </is>
      </c>
    </row>
    <row r="75">
      <c r="A75" s="5" t="inlineStr">
        <is>
          <t xml:space="preserve">BLANCA ARACELY MORENO HERNANDEZ </t>
        </is>
      </c>
      <c r="B75" s="4" t="inlineStr">
        <is>
          <t>385</t>
        </is>
      </c>
      <c r="C75" s="5" t="inlineStr">
        <is>
          <t>AUXILIAR DE OPERACIONES Y ATENCION EN  AGENCIA</t>
        </is>
      </c>
      <c r="D75" s="5" t="inlineStr">
        <is>
          <t xml:space="preserve">AGENCIA CENTRAL  </t>
        </is>
      </c>
      <c r="E75" s="5" t="inlineStr">
        <is>
          <t>Gerencia de Negocios (Agencias)</t>
        </is>
      </c>
    </row>
    <row r="76">
      <c r="A76" s="5" t="inlineStr">
        <is>
          <t xml:space="preserve">CAROLINA ELIZABETH RAMIREZ PONCE </t>
        </is>
      </c>
      <c r="B76" s="4" t="inlineStr">
        <is>
          <t>33</t>
        </is>
      </c>
      <c r="C76" s="5" t="inlineStr">
        <is>
          <t>SUBJEFE DE  AGENCIA</t>
        </is>
      </c>
      <c r="D76" s="5" t="inlineStr">
        <is>
          <t xml:space="preserve">AGENCIA CENTRAL  </t>
        </is>
      </c>
      <c r="E76" s="5" t="inlineStr">
        <is>
          <t>Gerencia de Negocios (Agencias)</t>
        </is>
      </c>
    </row>
    <row r="77">
      <c r="A77" s="5" t="inlineStr">
        <is>
          <t xml:space="preserve">ELSY GUADALUPE COREA AGUILUZ </t>
        </is>
      </c>
      <c r="B77" s="4" t="inlineStr">
        <is>
          <t>253</t>
        </is>
      </c>
      <c r="C77" s="5" t="inlineStr">
        <is>
          <t>EJECUTIVO DE NEGOCIOS</t>
        </is>
      </c>
      <c r="D77" s="5" t="inlineStr">
        <is>
          <t xml:space="preserve">AGENCIA CENTRAL  </t>
        </is>
      </c>
      <c r="E77" s="5" t="inlineStr">
        <is>
          <t>Gerencia de Negocios (Agencias)</t>
        </is>
      </c>
    </row>
    <row r="78">
      <c r="A78" s="5" t="inlineStr">
        <is>
          <t xml:space="preserve">ESTHER ABIGAIL FLORES GRANDE </t>
        </is>
      </c>
      <c r="B78" s="4" t="inlineStr">
        <is>
          <t>857</t>
        </is>
      </c>
      <c r="C78" s="5" t="inlineStr">
        <is>
          <t>AUXILIAR DE OPERACIONES Y ATENCION EN  AGENCIA</t>
        </is>
      </c>
      <c r="D78" s="5" t="inlineStr">
        <is>
          <t xml:space="preserve">AGENCIA CENTRAL  </t>
        </is>
      </c>
      <c r="E78" s="5" t="inlineStr">
        <is>
          <t>Gerencia de Negocios (Agencias)</t>
        </is>
      </c>
    </row>
    <row r="79">
      <c r="A79" s="5" t="inlineStr">
        <is>
          <t>GRISELDA DEL CARMEN DOMINGUEZ MERINO</t>
        </is>
      </c>
      <c r="B79" s="4" t="inlineStr">
        <is>
          <t>49</t>
        </is>
      </c>
      <c r="C79" s="5" t="inlineStr">
        <is>
          <t>EJECUTIVO DE NEGOCIOS</t>
        </is>
      </c>
      <c r="D79" s="5" t="inlineStr">
        <is>
          <t xml:space="preserve">AGENCIA CENTRAL  </t>
        </is>
      </c>
      <c r="E79" s="5" t="inlineStr">
        <is>
          <t>Gerencia de Negocios (Agencias)</t>
        </is>
      </c>
    </row>
    <row r="80">
      <c r="A80" s="5" t="inlineStr">
        <is>
          <t xml:space="preserve">JAZMIN ABIGAIL VASQUEZ AVELAR </t>
        </is>
      </c>
      <c r="B80" s="4" t="inlineStr">
        <is>
          <t>848</t>
        </is>
      </c>
      <c r="C80" s="5" t="inlineStr">
        <is>
          <t>CAJERO</t>
        </is>
      </c>
      <c r="D80" s="5" t="inlineStr">
        <is>
          <t xml:space="preserve">AGENCIA CENTRAL  </t>
        </is>
      </c>
      <c r="E80" s="5" t="inlineStr">
        <is>
          <t>Gerencia de Negocios (Agencias)</t>
        </is>
      </c>
    </row>
    <row r="81">
      <c r="A81" s="5" t="inlineStr">
        <is>
          <t xml:space="preserve">JOHANA PATRICIA LUNA RAMOS </t>
        </is>
      </c>
      <c r="B81" s="4" t="inlineStr">
        <is>
          <t>739</t>
        </is>
      </c>
      <c r="C81" s="5" t="inlineStr">
        <is>
          <t>CAJERO</t>
        </is>
      </c>
      <c r="D81" s="5" t="inlineStr">
        <is>
          <t xml:space="preserve">AGENCIA CENTRAL  </t>
        </is>
      </c>
      <c r="E81" s="5" t="inlineStr">
        <is>
          <t>Gerencia de Negocios (Agencias)</t>
        </is>
      </c>
    </row>
    <row r="82">
      <c r="A82" s="5" t="inlineStr">
        <is>
          <t xml:space="preserve">KARLA MERCEDES DELEON DELGADO </t>
        </is>
      </c>
      <c r="B82" s="4" t="inlineStr">
        <is>
          <t>440</t>
        </is>
      </c>
      <c r="C82" s="5" t="inlineStr">
        <is>
          <t xml:space="preserve">JEFE DE AGENCIA  </t>
        </is>
      </c>
      <c r="D82" s="5" t="inlineStr">
        <is>
          <t xml:space="preserve">AGENCIA CENTRAL  </t>
        </is>
      </c>
      <c r="E82" s="5" t="inlineStr">
        <is>
          <t>Gerencia de Negocios (Agencias)</t>
        </is>
      </c>
    </row>
    <row r="83">
      <c r="A83" s="5" t="inlineStr">
        <is>
          <t xml:space="preserve">KATHERINE MICHELLE LOPEZ LOPEZ </t>
        </is>
      </c>
      <c r="B83" s="4" t="inlineStr">
        <is>
          <t>768</t>
        </is>
      </c>
      <c r="C83" s="5" t="inlineStr">
        <is>
          <t>AUXILIAR DE OPERACIONES Y ATENCION EN  AGENCIA</t>
        </is>
      </c>
      <c r="D83" s="5" t="inlineStr">
        <is>
          <t xml:space="preserve">AGENCIA CENTRAL  </t>
        </is>
      </c>
      <c r="E83" s="5" t="inlineStr">
        <is>
          <t>Gerencia de Negocios (Agencias)</t>
        </is>
      </c>
    </row>
    <row r="84">
      <c r="A84" s="5" t="inlineStr">
        <is>
          <t xml:space="preserve">LEIDY VANESSA GUZMAN SERVELLON  </t>
        </is>
      </c>
      <c r="B84" s="4" t="inlineStr">
        <is>
          <t>974</t>
        </is>
      </c>
      <c r="C84" s="5" t="inlineStr">
        <is>
          <t>CAJERO</t>
        </is>
      </c>
      <c r="D84" s="5" t="inlineStr">
        <is>
          <t xml:space="preserve">AGENCIA CENTRAL  </t>
        </is>
      </c>
      <c r="E84" s="5" t="inlineStr">
        <is>
          <t>Gerencia de Negocios (Agencias)</t>
        </is>
      </c>
    </row>
    <row r="85">
      <c r="A85" s="5" t="inlineStr">
        <is>
          <t xml:space="preserve">LETICIA ESMERALDA ROSA </t>
        </is>
      </c>
      <c r="B85" s="4" t="inlineStr">
        <is>
          <t>234</t>
        </is>
      </c>
      <c r="C85" s="5" t="inlineStr">
        <is>
          <t>EJECUTIVO DE NEGOCIOS</t>
        </is>
      </c>
      <c r="D85" s="5" t="inlineStr">
        <is>
          <t xml:space="preserve">AGENCIA CENTRAL  </t>
        </is>
      </c>
      <c r="E85" s="5" t="inlineStr">
        <is>
          <t>Gerencia de Negocios (Agencias)</t>
        </is>
      </c>
    </row>
    <row r="86">
      <c r="A86" s="5" t="inlineStr">
        <is>
          <t>CLAUDIA ELENA GUARDADO VARELA</t>
        </is>
      </c>
      <c r="B86" s="4" t="inlineStr">
        <is>
          <t>543</t>
        </is>
      </c>
      <c r="C86" s="5" t="inlineStr">
        <is>
          <t>EJECUTIVA DE SEGUROS</t>
        </is>
      </c>
      <c r="D86" s="5" t="inlineStr">
        <is>
          <t xml:space="preserve">AGENCIA COLEGIO MEDICO </t>
        </is>
      </c>
      <c r="E86" s="5" t="inlineStr">
        <is>
          <t>Gerencia de Negocios (Agencias)</t>
        </is>
      </c>
    </row>
    <row r="87">
      <c r="A87" s="5" t="inlineStr">
        <is>
          <t xml:space="preserve">DORIS ELISA HERNANDEZ </t>
        </is>
      </c>
      <c r="B87" s="4" t="inlineStr">
        <is>
          <t>466</t>
        </is>
      </c>
      <c r="C87" s="5" t="inlineStr">
        <is>
          <t>SERVICIOS VARIOS</t>
        </is>
      </c>
      <c r="D87" s="5" t="inlineStr">
        <is>
          <t xml:space="preserve">AGENCIA COLEGIO MEDICO </t>
        </is>
      </c>
      <c r="E87" s="5" t="inlineStr">
        <is>
          <t>Gerencia de Negocios (Agencias)</t>
        </is>
      </c>
    </row>
    <row r="88">
      <c r="A88" s="5" t="inlineStr">
        <is>
          <t>FLOR IMELDA VILLALOBOS ARDON</t>
        </is>
      </c>
      <c r="B88" s="4" t="inlineStr">
        <is>
          <t>26</t>
        </is>
      </c>
      <c r="C88" s="5" t="inlineStr">
        <is>
          <t>EJECUTIVO DE NEGOCIOS</t>
        </is>
      </c>
      <c r="D88" s="5" t="inlineStr">
        <is>
          <t xml:space="preserve">AGENCIA COLEGIO MEDICO </t>
        </is>
      </c>
      <c r="E88" s="5" t="inlineStr">
        <is>
          <t>Gerencia de Negocios (Agencias)</t>
        </is>
      </c>
    </row>
    <row r="89">
      <c r="A89" s="5" t="inlineStr">
        <is>
          <t xml:space="preserve">GABRIELA CONCEPCION GARCIA GUTIERREZ </t>
        </is>
      </c>
      <c r="B89" s="4" t="inlineStr">
        <is>
          <t>975</t>
        </is>
      </c>
      <c r="C89" s="5" t="inlineStr">
        <is>
          <t>AUXILIAR DE ATENCION AL ASOCIADO EN AGENCIA</t>
        </is>
      </c>
      <c r="D89" s="5" t="inlineStr">
        <is>
          <t xml:space="preserve">AGENCIA COLEGIO MEDICO </t>
        </is>
      </c>
      <c r="E89" s="5" t="inlineStr">
        <is>
          <t>Gerencia de Negocios (Agencias)</t>
        </is>
      </c>
    </row>
    <row r="90">
      <c r="A90" s="5" t="inlineStr">
        <is>
          <t xml:space="preserve">JACQUELINE ADRIANA CHAVEZ SARAVIA </t>
        </is>
      </c>
      <c r="B90" s="4" t="inlineStr">
        <is>
          <t>811</t>
        </is>
      </c>
      <c r="C90" s="5" t="inlineStr">
        <is>
          <t>CAJERO</t>
        </is>
      </c>
      <c r="D90" s="5" t="inlineStr">
        <is>
          <t xml:space="preserve">AGENCIA COLEGIO MEDICO </t>
        </is>
      </c>
      <c r="E90" s="5" t="inlineStr">
        <is>
          <t>Gerencia de Negocios (Agencias)</t>
        </is>
      </c>
    </row>
    <row r="91">
      <c r="A91" s="5" t="inlineStr">
        <is>
          <t xml:space="preserve">JAQUELIN JAZMIN ROMERO FLORES </t>
        </is>
      </c>
      <c r="B91" s="4" t="inlineStr">
        <is>
          <t>971</t>
        </is>
      </c>
      <c r="C91" s="5" t="inlineStr">
        <is>
          <t>CAJERO</t>
        </is>
      </c>
      <c r="D91" s="5" t="inlineStr">
        <is>
          <t xml:space="preserve">AGENCIA COLEGIO MEDICO </t>
        </is>
      </c>
      <c r="E91" s="5" t="inlineStr">
        <is>
          <t>Gerencia de Negocios (Agencias)</t>
        </is>
      </c>
    </row>
    <row r="92">
      <c r="A92" s="5" t="inlineStr">
        <is>
          <t xml:space="preserve">KRISSIA ANDREA  DOMINGUEZ OSORIO </t>
        </is>
      </c>
      <c r="B92" s="4" t="inlineStr">
        <is>
          <t>841</t>
        </is>
      </c>
      <c r="C92" s="5" t="inlineStr">
        <is>
          <t>CAJERO</t>
        </is>
      </c>
      <c r="D92" s="5" t="inlineStr">
        <is>
          <t xml:space="preserve">AGENCIA COLEGIO MEDICO </t>
        </is>
      </c>
      <c r="E92" s="5" t="inlineStr">
        <is>
          <t>Gerencia de Negocios (Agencias)</t>
        </is>
      </c>
    </row>
    <row r="93">
      <c r="A93" s="5" t="inlineStr">
        <is>
          <t xml:space="preserve">MARTHA ESPERANZA VALTEZ GARCIA </t>
        </is>
      </c>
      <c r="B93" s="4" t="inlineStr">
        <is>
          <t>536</t>
        </is>
      </c>
      <c r="C93" s="5" t="inlineStr">
        <is>
          <t>CAJERO</t>
        </is>
      </c>
      <c r="D93" s="5" t="inlineStr">
        <is>
          <t xml:space="preserve">AGENCIA COLEGIO MEDICO </t>
        </is>
      </c>
      <c r="E93" s="5" t="inlineStr">
        <is>
          <t>Gerencia de Negocios (Agencias)</t>
        </is>
      </c>
    </row>
    <row r="94">
      <c r="A94" s="5" t="inlineStr">
        <is>
          <t xml:space="preserve">MERCI ANTONIA CERON MEJIA </t>
        </is>
      </c>
      <c r="B94" s="4" t="inlineStr">
        <is>
          <t>190</t>
        </is>
      </c>
      <c r="C94" s="5" t="inlineStr">
        <is>
          <t>EJECUTIVO DE NEGOCIOS</t>
        </is>
      </c>
      <c r="D94" s="5" t="inlineStr">
        <is>
          <t xml:space="preserve">AGENCIA COLEGIO MEDICO </t>
        </is>
      </c>
      <c r="E94" s="5" t="inlineStr">
        <is>
          <t>Gerencia de Negocios (Agencias)</t>
        </is>
      </c>
    </row>
    <row r="95">
      <c r="A95" s="5" t="inlineStr">
        <is>
          <t xml:space="preserve">WILBER ERNESTO DIAZ GONZALEZ </t>
        </is>
      </c>
      <c r="B95" s="4" t="inlineStr">
        <is>
          <t>890</t>
        </is>
      </c>
      <c r="C95" s="5" t="inlineStr">
        <is>
          <t>CAJERO</t>
        </is>
      </c>
      <c r="D95" s="5" t="inlineStr">
        <is>
          <t xml:space="preserve">AGENCIA COLEGIO MEDICO </t>
        </is>
      </c>
      <c r="E95" s="5" t="inlineStr">
        <is>
          <t>Gerencia de Negocios (Agencias)</t>
        </is>
      </c>
    </row>
    <row r="96">
      <c r="A96" s="5" t="inlineStr">
        <is>
          <t>YANIRA ELIZABETH ORTEGA MIRANDA</t>
        </is>
      </c>
      <c r="B96" s="4" t="inlineStr">
        <is>
          <t>29</t>
        </is>
      </c>
      <c r="C96" s="5" t="inlineStr">
        <is>
          <t>SUBJEFE DE  AGENCIA</t>
        </is>
      </c>
      <c r="D96" s="5" t="inlineStr">
        <is>
          <t xml:space="preserve">AGENCIA COLEGIO MEDICO </t>
        </is>
      </c>
      <c r="E96" s="5" t="inlineStr">
        <is>
          <t>Gerencia de Negocios (Agencias)</t>
        </is>
      </c>
    </row>
    <row r="97">
      <c r="A97" s="5" t="inlineStr">
        <is>
          <t xml:space="preserve">ALFREDO ARMANDO RAMOS ESCOBAR </t>
        </is>
      </c>
      <c r="B97" s="4" t="inlineStr">
        <is>
          <t>674</t>
        </is>
      </c>
      <c r="C97" s="5" t="inlineStr">
        <is>
          <t>CAJERO</t>
        </is>
      </c>
      <c r="D97" s="5" t="inlineStr">
        <is>
          <t xml:space="preserve">AGENCIA COLONIA MEDICA  </t>
        </is>
      </c>
      <c r="E97" s="5" t="inlineStr">
        <is>
          <t>Gerencia de Negocios (Agencias)</t>
        </is>
      </c>
    </row>
    <row r="98">
      <c r="A98" s="5" t="inlineStr">
        <is>
          <t>ANA MARGARITA SERRANO RUBIO</t>
        </is>
      </c>
      <c r="B98" s="4" t="inlineStr">
        <is>
          <t>19</t>
        </is>
      </c>
      <c r="C98" s="5" t="inlineStr">
        <is>
          <t>CAJERO</t>
        </is>
      </c>
      <c r="D98" s="5" t="inlineStr">
        <is>
          <t xml:space="preserve">AGENCIA COLONIA MEDICA  </t>
        </is>
      </c>
      <c r="E98" s="5" t="inlineStr">
        <is>
          <t>Gerencia de Negocios (Agencias)</t>
        </is>
      </c>
    </row>
    <row r="99">
      <c r="A99" s="5" t="inlineStr">
        <is>
          <t xml:space="preserve">FLOR DE MARIA ROSALES SORTO </t>
        </is>
      </c>
      <c r="B99" s="4" t="inlineStr">
        <is>
          <t>873</t>
        </is>
      </c>
      <c r="C99" s="5" t="inlineStr">
        <is>
          <t>CAJERO</t>
        </is>
      </c>
      <c r="D99" s="5" t="inlineStr">
        <is>
          <t xml:space="preserve">AGENCIA COLONIA MEDICA  </t>
        </is>
      </c>
      <c r="E99" s="5" t="inlineStr">
        <is>
          <t>Gerencia de Negocios (Agencias)</t>
        </is>
      </c>
    </row>
    <row r="100">
      <c r="A100" s="5" t="inlineStr">
        <is>
          <t xml:space="preserve">FLOR DEL CARMEN GONZALEZ HERNANDEZ </t>
        </is>
      </c>
      <c r="B100" s="4" t="inlineStr">
        <is>
          <t>913</t>
        </is>
      </c>
      <c r="C100" s="5" t="inlineStr">
        <is>
          <t>SERVICIOS VARIOS</t>
        </is>
      </c>
      <c r="D100" s="5" t="inlineStr">
        <is>
          <t xml:space="preserve">AGENCIA COLONIA MEDICA  </t>
        </is>
      </c>
      <c r="E100" s="5" t="inlineStr">
        <is>
          <t>Gerencia de Negocios (Agencias)</t>
        </is>
      </c>
    </row>
    <row r="101">
      <c r="A101" s="5" t="inlineStr">
        <is>
          <t xml:space="preserve">INGRID PAOLA  CORADO HERNANDEZ </t>
        </is>
      </c>
      <c r="B101" s="4" t="inlineStr">
        <is>
          <t>722</t>
        </is>
      </c>
      <c r="C101" s="5" t="inlineStr">
        <is>
          <t>CAJERO</t>
        </is>
      </c>
      <c r="D101" s="5" t="inlineStr">
        <is>
          <t xml:space="preserve">AGENCIA COLONIA MEDICA  </t>
        </is>
      </c>
      <c r="E101" s="5" t="inlineStr">
        <is>
          <t>Gerencia de Negocios (Agencias)</t>
        </is>
      </c>
    </row>
    <row r="102">
      <c r="A102" s="5" t="inlineStr">
        <is>
          <t xml:space="preserve">JACQUELINE GUADALUPE CEA ALVARADO </t>
        </is>
      </c>
      <c r="B102" s="4" t="inlineStr">
        <is>
          <t>933</t>
        </is>
      </c>
      <c r="C102" s="5" t="inlineStr">
        <is>
          <t>EJECUTIVO DE NEGOCIOS</t>
        </is>
      </c>
      <c r="D102" s="5" t="inlineStr">
        <is>
          <t xml:space="preserve">AGENCIA COLONIA MEDICA  </t>
        </is>
      </c>
      <c r="E102" s="5" t="inlineStr">
        <is>
          <t>Gerencia de Negocios (Agencias)</t>
        </is>
      </c>
    </row>
    <row r="103">
      <c r="A103" s="5" t="inlineStr">
        <is>
          <t xml:space="preserve">JULIO ENRIQUE  CAMPOS ANDRADE </t>
        </is>
      </c>
      <c r="B103" s="4" t="inlineStr">
        <is>
          <t>624</t>
        </is>
      </c>
      <c r="C103" s="5" t="inlineStr">
        <is>
          <t>EJECUTIVO DE NEGOCIOS</t>
        </is>
      </c>
      <c r="D103" s="5" t="inlineStr">
        <is>
          <t xml:space="preserve">AGENCIA COLONIA MEDICA  </t>
        </is>
      </c>
      <c r="E103" s="5" t="inlineStr">
        <is>
          <t>Gerencia de Negocios (Agencias)</t>
        </is>
      </c>
    </row>
    <row r="104">
      <c r="A104" s="5" t="inlineStr">
        <is>
          <t xml:space="preserve">JULIO RAFAEL FLORES HENRIQUEZ </t>
        </is>
      </c>
      <c r="B104" s="4" t="inlineStr">
        <is>
          <t>179</t>
        </is>
      </c>
      <c r="C104" s="5" t="inlineStr">
        <is>
          <t xml:space="preserve">JEFE DE AGENCIA  </t>
        </is>
      </c>
      <c r="D104" s="5" t="inlineStr">
        <is>
          <t xml:space="preserve">AGENCIA COLONIA MEDICA  </t>
        </is>
      </c>
      <c r="E104" s="5" t="inlineStr">
        <is>
          <t>Gerencia de Negocios (Agencias)</t>
        </is>
      </c>
    </row>
    <row r="105">
      <c r="A105" s="5" t="inlineStr">
        <is>
          <t xml:space="preserve">STEFFANY MARIELOS MIRO HERNANDEZ </t>
        </is>
      </c>
      <c r="B105" s="4" t="inlineStr">
        <is>
          <t>855</t>
        </is>
      </c>
      <c r="C105" s="5" t="inlineStr">
        <is>
          <t>CAJERO</t>
        </is>
      </c>
      <c r="D105" s="5" t="inlineStr">
        <is>
          <t xml:space="preserve">AGENCIA COLONIA MEDICA  </t>
        </is>
      </c>
      <c r="E105" s="5" t="inlineStr">
        <is>
          <t>Gerencia de Negocios (Agencias)</t>
        </is>
      </c>
    </row>
    <row r="106">
      <c r="A106" s="5" t="inlineStr">
        <is>
          <t xml:space="preserve">YESENIA LISSETH BARAHONA VALLE </t>
        </is>
      </c>
      <c r="B106" s="4" t="inlineStr">
        <is>
          <t>891</t>
        </is>
      </c>
      <c r="C106" s="5" t="inlineStr">
        <is>
          <t>AUXILIAR DE ATENCION AL ASOCIADO EN AGENCIA</t>
        </is>
      </c>
      <c r="D106" s="5" t="inlineStr">
        <is>
          <t xml:space="preserve">AGENCIA COLONIA MEDICA  </t>
        </is>
      </c>
      <c r="E106" s="5" t="inlineStr">
        <is>
          <t>Gerencia de Negocios (Agencias)</t>
        </is>
      </c>
    </row>
    <row r="107">
      <c r="A107" s="5" t="inlineStr">
        <is>
          <t>YHANA MILET  VALLE  HERNANDEZ</t>
        </is>
      </c>
      <c r="B107" s="4" t="inlineStr">
        <is>
          <t>735</t>
        </is>
      </c>
      <c r="C107" s="5" t="inlineStr">
        <is>
          <t>CAJERO</t>
        </is>
      </c>
      <c r="D107" s="5" t="inlineStr">
        <is>
          <t xml:space="preserve">AGENCIA COLONIA MEDICA  </t>
        </is>
      </c>
      <c r="E107" s="5" t="inlineStr">
        <is>
          <t>Gerencia de Negocios (Agencias)</t>
        </is>
      </c>
    </row>
    <row r="108">
      <c r="A108" s="5" t="inlineStr">
        <is>
          <t>CLELIA DESIREE CAMPOS COSS</t>
        </is>
      </c>
      <c r="B108" s="4" t="inlineStr">
        <is>
          <t>657</t>
        </is>
      </c>
      <c r="C108" s="5" t="inlineStr">
        <is>
          <t>SERVICIOS VARIOS</t>
        </is>
      </c>
      <c r="D108" s="5" t="inlineStr">
        <is>
          <t xml:space="preserve">AGENCIA MERLIOT  </t>
        </is>
      </c>
      <c r="E108" s="5" t="inlineStr">
        <is>
          <t>Gerencia de Negocios (Agencias)</t>
        </is>
      </c>
    </row>
    <row r="109">
      <c r="A109" s="5" t="inlineStr">
        <is>
          <t xml:space="preserve">ERIKA IVETH MANCIA HERNANDEZ </t>
        </is>
      </c>
      <c r="B109" s="4" t="inlineStr">
        <is>
          <t>955</t>
        </is>
      </c>
      <c r="C109" s="5" t="inlineStr">
        <is>
          <t>CAJERO</t>
        </is>
      </c>
      <c r="D109" s="5" t="inlineStr">
        <is>
          <t xml:space="preserve">AGENCIA PLAZA MUNDO  </t>
        </is>
      </c>
      <c r="E109" s="5" t="inlineStr">
        <is>
          <t>Gerencia de Negocios (Agencias)</t>
        </is>
      </c>
    </row>
    <row r="110">
      <c r="A110" s="5" t="inlineStr">
        <is>
          <t xml:space="preserve">GABRIELA JEANNETTE BOLAÑOS HERRERA </t>
        </is>
      </c>
      <c r="B110" s="4" t="inlineStr">
        <is>
          <t>616</t>
        </is>
      </c>
      <c r="C110" s="5" t="inlineStr">
        <is>
          <t>EJECUTIVA DE SEGUROS</t>
        </is>
      </c>
      <c r="D110" s="5" t="inlineStr">
        <is>
          <t xml:space="preserve">AGENCIA PLAZA MUNDO  </t>
        </is>
      </c>
      <c r="E110" s="5" t="inlineStr">
        <is>
          <t>Gerencia de Negocios (Agencias)</t>
        </is>
      </c>
    </row>
    <row r="111">
      <c r="A111" s="5" t="inlineStr">
        <is>
          <t xml:space="preserve">NANCY CAROLINA FUENTES SORTO </t>
        </is>
      </c>
      <c r="B111" s="4" t="inlineStr">
        <is>
          <t>675</t>
        </is>
      </c>
      <c r="C111" s="5" t="inlineStr">
        <is>
          <t>CAJERO</t>
        </is>
      </c>
      <c r="D111" s="5" t="inlineStr">
        <is>
          <t xml:space="preserve">AGENCIA PLAZA MUNDO  </t>
        </is>
      </c>
      <c r="E111" s="5" t="inlineStr">
        <is>
          <t>Gerencia de Negocios (Agencias)</t>
        </is>
      </c>
    </row>
    <row r="112">
      <c r="A112" s="5" t="inlineStr">
        <is>
          <t xml:space="preserve">NORMA ARACELY GUILLEN </t>
        </is>
      </c>
      <c r="B112" s="4" t="inlineStr">
        <is>
          <t>331</t>
        </is>
      </c>
      <c r="C112" s="5" t="inlineStr">
        <is>
          <t>SUBJEFE DE  AGENCIA</t>
        </is>
      </c>
      <c r="D112" s="5" t="inlineStr">
        <is>
          <t xml:space="preserve">AGENCIA PLAZA MUNDO  </t>
        </is>
      </c>
      <c r="E112" s="5" t="inlineStr">
        <is>
          <t>Gerencia de Negocios (Agencias)</t>
        </is>
      </c>
    </row>
    <row r="113">
      <c r="A113" s="5" t="inlineStr">
        <is>
          <t xml:space="preserve">PAOLA JEANNETTE ROMERO HERNANDEZ  </t>
        </is>
      </c>
      <c r="B113" s="4" t="inlineStr">
        <is>
          <t>876</t>
        </is>
      </c>
      <c r="C113" s="5" t="inlineStr">
        <is>
          <t>CAJERO</t>
        </is>
      </c>
      <c r="D113" s="5" t="inlineStr">
        <is>
          <t xml:space="preserve">AGENCIA PLAZA MUNDO  </t>
        </is>
      </c>
      <c r="E113" s="5" t="inlineStr">
        <is>
          <t>Gerencia de Negocios (Agencias)</t>
        </is>
      </c>
    </row>
    <row r="114">
      <c r="A114" s="5" t="inlineStr">
        <is>
          <t xml:space="preserve">ROSARIO DEL CARMEN PEREZ LOPEZ </t>
        </is>
      </c>
      <c r="B114" s="4" t="inlineStr">
        <is>
          <t>535</t>
        </is>
      </c>
      <c r="C114" s="5" t="inlineStr">
        <is>
          <t xml:space="preserve">JEFE DE AGENCIA  </t>
        </is>
      </c>
      <c r="D114" s="5" t="inlineStr">
        <is>
          <t xml:space="preserve">AGENCIA PLAZA MUNDO  </t>
        </is>
      </c>
      <c r="E114" s="5" t="inlineStr">
        <is>
          <t>Gerencia de Negocios (Agencias)</t>
        </is>
      </c>
    </row>
    <row r="115">
      <c r="A115" s="5" t="inlineStr">
        <is>
          <t xml:space="preserve">WALTER ALBERTO BARAHONA DIAZ </t>
        </is>
      </c>
      <c r="B115" s="4" t="inlineStr">
        <is>
          <t>748</t>
        </is>
      </c>
      <c r="C115" s="5" t="inlineStr">
        <is>
          <t>CAJERO</t>
        </is>
      </c>
      <c r="D115" s="5" t="inlineStr">
        <is>
          <t xml:space="preserve">AGENCIA PLAZA MUNDO  </t>
        </is>
      </c>
      <c r="E115" s="5" t="inlineStr">
        <is>
          <t>Gerencia de Negocios (Agencias)</t>
        </is>
      </c>
    </row>
    <row r="116">
      <c r="A116" s="5" t="inlineStr">
        <is>
          <t xml:space="preserve">ZOILA AYDEE LARIOS  </t>
        </is>
      </c>
      <c r="B116" s="4" t="inlineStr">
        <is>
          <t>59</t>
        </is>
      </c>
      <c r="C116" s="5" t="inlineStr">
        <is>
          <t>SERVICIOS VARIOS</t>
        </is>
      </c>
      <c r="D116" s="5" t="inlineStr">
        <is>
          <t xml:space="preserve">AGENCIA PLAZA MUNDO  </t>
        </is>
      </c>
      <c r="E116" s="5" t="inlineStr">
        <is>
          <t>Gerencia de Negocios (Agencias)</t>
        </is>
      </c>
    </row>
    <row r="117">
      <c r="A117" s="5" t="inlineStr">
        <is>
          <t xml:space="preserve">SANDRA MARINA  BERRIOS SANTOS </t>
        </is>
      </c>
      <c r="B117" s="4" t="inlineStr">
        <is>
          <t>861</t>
        </is>
      </c>
      <c r="C117" s="5" t="inlineStr">
        <is>
          <t>CAJERO</t>
        </is>
      </c>
      <c r="D117" s="5" t="inlineStr">
        <is>
          <t xml:space="preserve">AGENCIA SAN  MIGUEL  </t>
        </is>
      </c>
      <c r="E117" s="5" t="inlineStr">
        <is>
          <t>Gerencia de Negocios (Agencias)</t>
        </is>
      </c>
    </row>
    <row r="118">
      <c r="A118" s="5" t="inlineStr">
        <is>
          <t xml:space="preserve">ANA MARIA GIRON </t>
        </is>
      </c>
      <c r="B118" s="4" t="inlineStr">
        <is>
          <t>168</t>
        </is>
      </c>
      <c r="C118" s="5" t="inlineStr">
        <is>
          <t>EJECUTIVO DE NEGOCIOS</t>
        </is>
      </c>
      <c r="D118" s="5" t="inlineStr">
        <is>
          <t xml:space="preserve">AGENCIA SANTA  ANA  </t>
        </is>
      </c>
      <c r="E118" s="5" t="inlineStr">
        <is>
          <t>Gerencia de Negocios (Agencias)</t>
        </is>
      </c>
    </row>
    <row r="119">
      <c r="A119" s="5" t="inlineStr">
        <is>
          <t xml:space="preserve">ANDREA YAMILETH ESCOBAR CHICA </t>
        </is>
      </c>
      <c r="B119" s="4" t="inlineStr">
        <is>
          <t>818</t>
        </is>
      </c>
      <c r="C119" s="5" t="inlineStr">
        <is>
          <t>CAJERO</t>
        </is>
      </c>
      <c r="D119" s="5" t="inlineStr">
        <is>
          <t xml:space="preserve">AGENCIA SANTA  ANA  </t>
        </is>
      </c>
      <c r="E119" s="5" t="inlineStr">
        <is>
          <t>Gerencia de Negocios (Agencias)</t>
        </is>
      </c>
    </row>
    <row r="120">
      <c r="A120" s="5" t="inlineStr">
        <is>
          <t xml:space="preserve">GLENDA MARAYA SALAZAR GONZALEZ </t>
        </is>
      </c>
      <c r="B120" s="4" t="inlineStr">
        <is>
          <t>295</t>
        </is>
      </c>
      <c r="C120" s="5" t="inlineStr">
        <is>
          <t xml:space="preserve">JEFE DE AGENCIA  </t>
        </is>
      </c>
      <c r="D120" s="5" t="inlineStr">
        <is>
          <t xml:space="preserve">AGENCIA SANTA  ANA  </t>
        </is>
      </c>
      <c r="E120" s="5" t="inlineStr">
        <is>
          <t>Gerencia de Negocios (Agencias)</t>
        </is>
      </c>
    </row>
    <row r="121">
      <c r="A121" s="5" t="inlineStr">
        <is>
          <t xml:space="preserve">IRVIN ADEMIR PERAZA MOLINA </t>
        </is>
      </c>
      <c r="B121" s="4" t="inlineStr">
        <is>
          <t>747</t>
        </is>
      </c>
      <c r="C121" s="5" t="inlineStr">
        <is>
          <t>EJECUTIVO DE SEGUROS</t>
        </is>
      </c>
      <c r="D121" s="5" t="inlineStr">
        <is>
          <t xml:space="preserve">AGENCIA SANTA  ANA  </t>
        </is>
      </c>
      <c r="E121" s="5" t="inlineStr">
        <is>
          <t>Gerencia de Negocios (Agencias)</t>
        </is>
      </c>
    </row>
    <row r="122">
      <c r="A122" s="5" t="inlineStr">
        <is>
          <t xml:space="preserve">JEANNETTE ANGELINNE HERNANDEZ MEJIA </t>
        </is>
      </c>
      <c r="B122" s="4" t="inlineStr">
        <is>
          <t>312</t>
        </is>
      </c>
      <c r="C122" s="5" t="inlineStr">
        <is>
          <t>SUBJEFE DE  AGENCIA</t>
        </is>
      </c>
      <c r="D122" s="5" t="inlineStr">
        <is>
          <t xml:space="preserve">AGENCIA SANTA  ANA  </t>
        </is>
      </c>
      <c r="E122" s="5" t="inlineStr">
        <is>
          <t>Gerencia de Negocios (Agencias)</t>
        </is>
      </c>
    </row>
    <row r="123">
      <c r="A123" s="5" t="inlineStr">
        <is>
          <t xml:space="preserve">JOSE CRISTOBAL LOPEZ ESQUIVEL </t>
        </is>
      </c>
      <c r="B123" s="4" t="inlineStr">
        <is>
          <t>910</t>
        </is>
      </c>
      <c r="C123" s="5" t="inlineStr">
        <is>
          <t>MENSAJERO</t>
        </is>
      </c>
      <c r="D123" s="5" t="inlineStr">
        <is>
          <t xml:space="preserve">AGENCIA SANTA  ANA  </t>
        </is>
      </c>
      <c r="E123" s="5" t="inlineStr">
        <is>
          <t>Gerencia de Negocios (Agencias)</t>
        </is>
      </c>
    </row>
    <row r="124">
      <c r="A124" s="5" t="inlineStr">
        <is>
          <t xml:space="preserve">LUIS GERARDO DUEÑAS VALLE </t>
        </is>
      </c>
      <c r="B124" s="4" t="inlineStr">
        <is>
          <t>954</t>
        </is>
      </c>
      <c r="C124" s="5" t="inlineStr">
        <is>
          <t>CAJERO</t>
        </is>
      </c>
      <c r="D124" s="5" t="inlineStr">
        <is>
          <t xml:space="preserve">AGENCIA SANTA  ANA  </t>
        </is>
      </c>
      <c r="E124" s="5" t="inlineStr">
        <is>
          <t>Gerencia de Negocios (Agencias)</t>
        </is>
      </c>
    </row>
    <row r="125">
      <c r="A125" s="5" t="inlineStr">
        <is>
          <t xml:space="preserve">SOFIA AZMINIA MENA ARGUETA </t>
        </is>
      </c>
      <c r="B125" s="4" t="inlineStr">
        <is>
          <t>840</t>
        </is>
      </c>
      <c r="C125" s="5" t="inlineStr">
        <is>
          <t>CAJERO</t>
        </is>
      </c>
      <c r="D125" s="5" t="inlineStr">
        <is>
          <t xml:space="preserve">AGENCIA SANTA  ANA  </t>
        </is>
      </c>
      <c r="E125" s="5" t="inlineStr">
        <is>
          <t>Gerencia de Negocios (Agencias)</t>
        </is>
      </c>
    </row>
    <row r="126">
      <c r="A126" s="5" t="inlineStr">
        <is>
          <t xml:space="preserve">JESSICA YAMILETH LEIVA VASQUEZ </t>
        </is>
      </c>
      <c r="B126" s="4" t="inlineStr">
        <is>
          <t>575</t>
        </is>
      </c>
      <c r="C126" s="5" t="inlineStr">
        <is>
          <t>EJECUTIVA DE SEGUROS</t>
        </is>
      </c>
      <c r="D126" s="5" t="inlineStr">
        <is>
          <t xml:space="preserve">AGENCIA SONSONATE  </t>
        </is>
      </c>
      <c r="E126" s="5" t="inlineStr">
        <is>
          <t>Gerencia de Negocios (Agencias)</t>
        </is>
      </c>
    </row>
    <row r="127">
      <c r="A127" s="5" t="inlineStr">
        <is>
          <t xml:space="preserve">JOSE ALEXANDER TORRES PEREZ </t>
        </is>
      </c>
      <c r="B127" s="4" t="inlineStr">
        <is>
          <t>448</t>
        </is>
      </c>
      <c r="C127" s="5" t="inlineStr">
        <is>
          <t>MENSAJERO</t>
        </is>
      </c>
      <c r="D127" s="5" t="inlineStr">
        <is>
          <t xml:space="preserve">AGENCIA SONSONATE  </t>
        </is>
      </c>
      <c r="E127" s="5" t="inlineStr">
        <is>
          <t>Gerencia de Negocios (Agencias)</t>
        </is>
      </c>
    </row>
    <row r="128">
      <c r="A128" s="5" t="inlineStr">
        <is>
          <t xml:space="preserve">JOSUE ALEXANDER PEREZ HENRIQUEZ </t>
        </is>
      </c>
      <c r="B128" s="4" t="inlineStr">
        <is>
          <t>559</t>
        </is>
      </c>
      <c r="C128" s="5" t="inlineStr">
        <is>
          <t>EJECUTIVO DE NEGOCIOS</t>
        </is>
      </c>
      <c r="D128" s="5" t="inlineStr">
        <is>
          <t xml:space="preserve">AGENCIA SONSONATE  </t>
        </is>
      </c>
      <c r="E128" s="5" t="inlineStr">
        <is>
          <t>Gerencia de Negocios (Agencias)</t>
        </is>
      </c>
    </row>
    <row r="129">
      <c r="A129" s="5" t="inlineStr">
        <is>
          <t xml:space="preserve">KARLA MARCELA  ESCOBAR TRIGUEROS </t>
        </is>
      </c>
      <c r="B129" s="4" t="inlineStr">
        <is>
          <t>849</t>
        </is>
      </c>
      <c r="C129" s="5" t="inlineStr">
        <is>
          <t>CAJERO</t>
        </is>
      </c>
      <c r="D129" s="5" t="inlineStr">
        <is>
          <t xml:space="preserve">AGENCIA SONSONATE  </t>
        </is>
      </c>
      <c r="E129" s="5" t="inlineStr">
        <is>
          <t>Gerencia de Negocios (Agencias)</t>
        </is>
      </c>
    </row>
    <row r="130">
      <c r="A130" s="5" t="inlineStr">
        <is>
          <t>MARIA ANGELICA ESCOBAR RENDEROS</t>
        </is>
      </c>
      <c r="B130" s="4" t="inlineStr">
        <is>
          <t>287</t>
        </is>
      </c>
      <c r="C130" s="5" t="inlineStr">
        <is>
          <t xml:space="preserve">JEFE DE AGENCIA  </t>
        </is>
      </c>
      <c r="D130" s="5" t="inlineStr">
        <is>
          <t xml:space="preserve">AGENCIA SONSONATE  </t>
        </is>
      </c>
      <c r="E130" s="5" t="inlineStr">
        <is>
          <t>Gerencia de Negocios (Agencias)</t>
        </is>
      </c>
    </row>
    <row r="131">
      <c r="A131" s="5" t="inlineStr">
        <is>
          <t xml:space="preserve">MIGUEL ANGEL LEON MENA </t>
        </is>
      </c>
      <c r="B131" s="4" t="inlineStr">
        <is>
          <t>755</t>
        </is>
      </c>
      <c r="C131" s="5" t="inlineStr">
        <is>
          <t>CAJERO</t>
        </is>
      </c>
      <c r="D131" s="5" t="inlineStr">
        <is>
          <t xml:space="preserve">AGENCIA SONSONATE  </t>
        </is>
      </c>
      <c r="E131" s="5" t="inlineStr">
        <is>
          <t>Gerencia de Negocios (Agencias)</t>
        </is>
      </c>
    </row>
    <row r="132">
      <c r="A132" s="5" t="inlineStr">
        <is>
          <t xml:space="preserve">XIOMARA BEATRIZ MARTINEZ SERMEÑO </t>
        </is>
      </c>
      <c r="B132" s="4" t="inlineStr">
        <is>
          <t>526</t>
        </is>
      </c>
      <c r="C132" s="5" t="inlineStr">
        <is>
          <t>SUBJEFE DE  AGENCIA</t>
        </is>
      </c>
      <c r="D132" s="5" t="inlineStr">
        <is>
          <t xml:space="preserve">AGENCIA SONSONATE  </t>
        </is>
      </c>
      <c r="E132" s="5" t="inlineStr">
        <is>
          <t>Gerencia de Negocios (Agencias)</t>
        </is>
      </c>
    </row>
    <row r="133">
      <c r="A133" s="5" t="inlineStr">
        <is>
          <t xml:space="preserve">EDUARDO JOSE GAMEZ VILLATORO </t>
        </is>
      </c>
      <c r="B133" s="4" t="inlineStr">
        <is>
          <t>970</t>
        </is>
      </c>
      <c r="C133" s="5" t="inlineStr">
        <is>
          <t>CAJERO</t>
        </is>
      </c>
      <c r="D133" s="5" t="inlineStr">
        <is>
          <t xml:space="preserve">AGENCIA USULUTAN  </t>
        </is>
      </c>
      <c r="E133" s="5" t="inlineStr">
        <is>
          <t>Gerencia de Negocios (Agencias)</t>
        </is>
      </c>
    </row>
    <row r="134">
      <c r="A134" s="5" t="inlineStr">
        <is>
          <t xml:space="preserve">LUIS MANUEL VALENCIA GUERRERO </t>
        </is>
      </c>
      <c r="B134" s="4" t="inlineStr">
        <is>
          <t>917</t>
        </is>
      </c>
      <c r="C134" s="5" t="inlineStr">
        <is>
          <t>SUBJEFE DE  AGENCIA</t>
        </is>
      </c>
      <c r="D134" s="5" t="inlineStr">
        <is>
          <t xml:space="preserve">AGENCIA USULUTAN  </t>
        </is>
      </c>
      <c r="E134" s="5" t="inlineStr">
        <is>
          <t>Gerencia de Negocios (Agencias)</t>
        </is>
      </c>
    </row>
    <row r="135">
      <c r="A135" s="5" t="inlineStr">
        <is>
          <t xml:space="preserve">MELVIN ELISEO HERNANDEZ MACHADO </t>
        </is>
      </c>
      <c r="B135" s="4" t="inlineStr">
        <is>
          <t>951</t>
        </is>
      </c>
      <c r="C135" s="5" t="inlineStr">
        <is>
          <t>EJECUTIVO DE NEGOCIOS</t>
        </is>
      </c>
      <c r="D135" s="5" t="inlineStr">
        <is>
          <t xml:space="preserve">AGENCIA USULUTAN  </t>
        </is>
      </c>
      <c r="E135" s="5" t="inlineStr">
        <is>
          <t>Gerencia de Negocios (Agencias)</t>
        </is>
      </c>
    </row>
    <row r="136">
      <c r="A136" s="5" t="inlineStr">
        <is>
          <t xml:space="preserve">GEMA YESENIA VILLALOBOS HERNANDEZ </t>
        </is>
      </c>
      <c r="B136" s="4" t="inlineStr">
        <is>
          <t>477</t>
        </is>
      </c>
      <c r="C136" s="5" t="inlineStr">
        <is>
          <t>ANALISTA DE CARTERAS</t>
        </is>
      </c>
      <c r="D136" s="5" t="inlineStr">
        <is>
          <t>ADMINISTRACIÓN DE CARTERAS</t>
        </is>
      </c>
      <c r="E136" s="5" t="inlineStr">
        <is>
          <t>Gerencia de Operaciones</t>
        </is>
      </c>
    </row>
    <row r="137">
      <c r="A137" s="5" t="inlineStr">
        <is>
          <t xml:space="preserve">RICARDO JOSUE CACAO ROVELO </t>
        </is>
      </c>
      <c r="B137" s="4" t="inlineStr">
        <is>
          <t>732</t>
        </is>
      </c>
      <c r="C137" s="5" t="inlineStr">
        <is>
          <t>ANALISTA DE CARTERAS</t>
        </is>
      </c>
      <c r="D137" s="5" t="inlineStr">
        <is>
          <t>ADMINISTRACIÓN DE CARTERAS</t>
        </is>
      </c>
      <c r="E137" s="5" t="inlineStr">
        <is>
          <t>Gerencia de Operaciones</t>
        </is>
      </c>
    </row>
    <row r="138">
      <c r="A138" s="5" t="inlineStr">
        <is>
          <t>YANETH MARLENY LANDAVERDE MORALES</t>
        </is>
      </c>
      <c r="B138" s="4" t="inlineStr">
        <is>
          <t>16</t>
        </is>
      </c>
      <c r="C138" s="5" t="inlineStr">
        <is>
          <t>JEFE DE ADMINISTRACION DE CARTERA</t>
        </is>
      </c>
      <c r="D138" s="5" t="inlineStr">
        <is>
          <t>ADMINISTRACIÓN DE CARTERAS</t>
        </is>
      </c>
      <c r="E138" s="5" t="inlineStr">
        <is>
          <t>Gerencia de Operaciones</t>
        </is>
      </c>
    </row>
    <row r="139">
      <c r="A139" s="5" t="inlineStr">
        <is>
          <t xml:space="preserve">MARIO ANTONIO NAVARRO PINEDA </t>
        </is>
      </c>
      <c r="B139" s="4" t="inlineStr">
        <is>
          <t>284</t>
        </is>
      </c>
      <c r="C139" s="5" t="inlineStr">
        <is>
          <t>JEFE DE DEPOSITOS</t>
        </is>
      </c>
      <c r="D139" s="5" t="inlineStr">
        <is>
          <t>DEPARTAMENTO DE DEPOSITOS</t>
        </is>
      </c>
      <c r="E139" s="5" t="inlineStr">
        <is>
          <t>Gerencia de Operaciones</t>
        </is>
      </c>
    </row>
    <row r="140">
      <c r="A140" s="5" t="inlineStr">
        <is>
          <t xml:space="preserve">ANA BEATRIZ QUINTEROS AVELAR </t>
        </is>
      </c>
      <c r="B140" s="4" t="inlineStr">
        <is>
          <t>725</t>
        </is>
      </c>
      <c r="C140" s="5" t="inlineStr">
        <is>
          <t>ASISTENTE TECNICO DE OPERACIONES DE TARJETAS</t>
        </is>
      </c>
      <c r="D140" s="5" t="inlineStr">
        <is>
          <t>DEPARTAMENTO DE TARJETA DE CREDITO Y DEBITO</t>
        </is>
      </c>
      <c r="E140" s="5" t="inlineStr">
        <is>
          <t>Gerencia de Operaciones</t>
        </is>
      </c>
    </row>
    <row r="141">
      <c r="A141" s="5" t="inlineStr">
        <is>
          <t xml:space="preserve">CLAUDIA CAROLINA HERNANDEZ DE PAZ </t>
        </is>
      </c>
      <c r="B141" s="4" t="inlineStr">
        <is>
          <t>389</t>
        </is>
      </c>
      <c r="C141" s="5" t="inlineStr">
        <is>
          <t>ASISTENTE TECNICO DE INTERCAMBIO DE TARJETAS</t>
        </is>
      </c>
      <c r="D141" s="5" t="inlineStr">
        <is>
          <t>DEPARTAMENTO DE TARJETA DE CREDITO Y DEBITO</t>
        </is>
      </c>
      <c r="E141" s="5" t="inlineStr">
        <is>
          <t>Gerencia de Operaciones</t>
        </is>
      </c>
    </row>
    <row r="142">
      <c r="A142" s="5" t="inlineStr">
        <is>
          <t xml:space="preserve">GEOVANNI LIZAMA PORTILLO </t>
        </is>
      </c>
      <c r="B142" s="4" t="inlineStr">
        <is>
          <t>399</t>
        </is>
      </c>
      <c r="C142" s="5" t="inlineStr">
        <is>
          <t>JEFE DE TARJETA  DE CREDITO Y DEBITO</t>
        </is>
      </c>
      <c r="D142" s="5" t="inlineStr">
        <is>
          <t>DEPARTAMENTO DE TARJETA DE CREDITO Y DEBITO</t>
        </is>
      </c>
      <c r="E142" s="5" t="inlineStr">
        <is>
          <t>Gerencia de Operaciones</t>
        </is>
      </c>
    </row>
    <row r="143">
      <c r="A143" s="5" t="inlineStr">
        <is>
          <t xml:space="preserve">ROQUE RAFAEL REYES ESPINAL </t>
        </is>
      </c>
      <c r="B143" s="4" t="inlineStr">
        <is>
          <t>41</t>
        </is>
      </c>
      <c r="C143" s="5" t="inlineStr">
        <is>
          <t>GERENTE DE OPERACIONES</t>
        </is>
      </c>
      <c r="D143" s="5" t="inlineStr">
        <is>
          <t>GERENCIA DE OPERACIONES</t>
        </is>
      </c>
      <c r="E143" s="5" t="inlineStr">
        <is>
          <t>Gerencia de Operaciones</t>
        </is>
      </c>
    </row>
    <row r="144">
      <c r="A144" s="5" t="inlineStr">
        <is>
          <t>ALEJANDRA VERONICA CENTENO  LOPEZ</t>
        </is>
      </c>
      <c r="B144" s="4" t="inlineStr">
        <is>
          <t>899</t>
        </is>
      </c>
      <c r="C144" s="5" t="inlineStr">
        <is>
          <t xml:space="preserve">ANALISTA PROGRAMADOR </t>
        </is>
      </c>
      <c r="D144" s="5" t="inlineStr">
        <is>
          <t>DEPARTAMENTO DE ANALISIS Y PROGRAMACIÓN</t>
        </is>
      </c>
      <c r="E144" s="5" t="inlineStr">
        <is>
          <t>Gerencia de Sistemas</t>
        </is>
      </c>
    </row>
    <row r="145">
      <c r="A145" s="5" t="inlineStr">
        <is>
          <t xml:space="preserve">CLAUDIA MARGARITA CAMPOS GONZÁLEZ </t>
        </is>
      </c>
      <c r="B145" s="4" t="inlineStr">
        <is>
          <t>410</t>
        </is>
      </c>
      <c r="C145" s="5" t="inlineStr">
        <is>
          <t>JEFE DE ANALISIS Y PROGRAMACION</t>
        </is>
      </c>
      <c r="D145" s="5" t="inlineStr">
        <is>
          <t>DEPARTAMENTO DE ANALISIS Y PROGRAMACIÓN</t>
        </is>
      </c>
      <c r="E145" s="5" t="inlineStr">
        <is>
          <t>Gerencia de Sistemas</t>
        </is>
      </c>
    </row>
    <row r="146">
      <c r="A146" s="5" t="inlineStr">
        <is>
          <t xml:space="preserve">JEAN HARRY MIRANDA ARAUJO </t>
        </is>
      </c>
      <c r="B146" s="4" t="inlineStr">
        <is>
          <t>752</t>
        </is>
      </c>
      <c r="C146" s="5" t="inlineStr">
        <is>
          <t xml:space="preserve">ANALISTA PROGRAMADOR </t>
        </is>
      </c>
      <c r="D146" s="5" t="inlineStr">
        <is>
          <t>DEPARTAMENTO DE ANALISIS Y PROGRAMACIÓN</t>
        </is>
      </c>
      <c r="E146" s="5" t="inlineStr">
        <is>
          <t>Gerencia de Sistemas</t>
        </is>
      </c>
    </row>
    <row r="147">
      <c r="A147" s="5" t="inlineStr">
        <is>
          <t xml:space="preserve">HUGO MARVIN SERRANO SARAVIA </t>
        </is>
      </c>
      <c r="B147" s="4" t="inlineStr">
        <is>
          <t>90</t>
        </is>
      </c>
      <c r="C147" s="5" t="inlineStr">
        <is>
          <t>OPERADOR DE SISTEMAS</t>
        </is>
      </c>
      <c r="D147" s="5" t="inlineStr">
        <is>
          <t>DEPARTAMENTO DE OPERACIONES Y SOPORTE TECNICO</t>
        </is>
      </c>
      <c r="E147" s="5" t="inlineStr">
        <is>
          <t>Gerencia de Sistemas</t>
        </is>
      </c>
    </row>
    <row r="148">
      <c r="A148" s="5" t="inlineStr">
        <is>
          <t xml:space="preserve">ALEX VIRGILIO  AGUILAR ARIAS  </t>
        </is>
      </c>
      <c r="B148" s="4" t="inlineStr">
        <is>
          <t>878</t>
        </is>
      </c>
      <c r="C148" s="5" t="inlineStr">
        <is>
          <t>GERENTE DE SISTEMAS</t>
        </is>
      </c>
      <c r="D148" s="5" t="inlineStr">
        <is>
          <t>GERENCIA DE SISTEMAS</t>
        </is>
      </c>
      <c r="E148" s="5" t="inlineStr">
        <is>
          <t>Gerencia de Sistemas</t>
        </is>
      </c>
    </row>
    <row r="149">
      <c r="A149" s="5" t="inlineStr">
        <is>
          <t xml:space="preserve">FLOR MARISELA TORRES VELASQUEZ </t>
        </is>
      </c>
      <c r="B149" s="4" t="inlineStr">
        <is>
          <t>393</t>
        </is>
      </c>
      <c r="C149" s="5" t="inlineStr">
        <is>
          <t>LIDER DE PROYECTOS TECNOLOGICOS</t>
        </is>
      </c>
      <c r="D149" s="5" t="inlineStr">
        <is>
          <t>GERENCIA DE SISTEMAS</t>
        </is>
      </c>
      <c r="E149" s="5" t="inlineStr">
        <is>
          <t>Gerencia de Sistemas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2026-10-10T15:51:47Z</dcterms:created>
  <dcterms:modified xmlns:dcterms="http://purl.org/dc/terms/" xmlns:xsi="http://www.w3.org/2001/XMLSchema-instance" xsi:type="dcterms:W3CDTF">2026-10-10T15:57:42Z</dcterms:modified>
</cp:coreProperties>
</file>