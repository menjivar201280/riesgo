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Top 3 Departamentos" sheetId="9" state="visible" r:id="rId9"/>
    <sheet xmlns:r="http://schemas.openxmlformats.org/officeDocument/2006/relationships" name="Top 3 inicio" sheetId="10" state="visible" r:id="rId10"/>
    <sheet xmlns:r="http://schemas.openxmlformats.org/officeDocument/2006/relationships" name="Top 3 finalización" sheetId="11" state="visible" r:id="rId11"/>
    <sheet xmlns:r="http://schemas.openxmlformats.org/officeDocument/2006/relationships" name="Top 3 calificación" sheetId="12" state="visible" r:id="rId12"/>
    <sheet xmlns:r="http://schemas.openxmlformats.org/officeDocument/2006/relationships" name="Listado de Pendien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h:mm:ss"/>
    <numFmt numFmtId="166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Global de Evaluaciones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Gráfico'!O4</f>
              <strCache>
                <ptCount val="1"/>
                <pt idx="0">
                  <v>Cantidad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1"/>
            <separator val="&#10;"/>
          </dLbls>
          <cat>
            <strRef>
              <f>'Dashboard Gráfico'!$N$5:$N$6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'Dashboard Gráfico'!$O$5:$O$6</f>
              <numCache>
                <formatCode>General</formatCode>
                <ptCount val="2"/>
                <pt idx="0">
                  <v>146</v>
                </pt>
                <pt idx="1">
                  <v>145</v>
                </pt>
              </numCache>
            </numRef>
          </val>
        </ser>
        <firstSliceAng val="0"/>
        <holeSize val="55"/>
      </doughnutChart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Gerencia: Completados vs Pendientes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Gerencia'!C4</f>
              <strCache>
                <ptCount val="1"/>
                <pt idx="0">
                  <v>Personas Completadas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Gerencia'!$A$5:$A$14</f>
              <strCache>
                <ptCount val="10"/>
                <pt idx="0">
                  <v>Auditoría Interna</v>
                </pt>
                <pt idx="1">
                  <v>Gerencia Administrativa</v>
                </pt>
                <pt idx="2">
                  <v>Gerencia General</v>
                </pt>
                <pt idx="3">
                  <v>Gerencia Legal y Cumplimiento Normativo</v>
                </pt>
                <pt idx="4">
                  <v>Gerencia de Finanzas y Planificación</v>
                </pt>
                <pt idx="5">
                  <v>Gerencia de Negocios</v>
                </pt>
                <pt idx="6">
                  <v>Gerencia de Negocios (Agencias)</v>
                </pt>
                <pt idx="7">
                  <v>Gerencia de Oficialía de Cumplimiento</v>
                </pt>
                <pt idx="8">
                  <v>Gerencia de Operaciones</v>
                </pt>
                <pt idx="9">
                  <v>Gerencia de Sistemas</v>
                </pt>
              </strCache>
            </strRef>
          </cat>
          <val>
            <numRef>
              <f>'Consolidado por Gerencia'!$C$5:$C$14</f>
              <numCache>
                <formatCode>General</formatCode>
                <ptCount val="10"/>
                <pt idx="0">
                  <v>5</v>
                </pt>
                <pt idx="1">
                  <v>27</v>
                </pt>
                <pt idx="2">
                  <v>14</v>
                </pt>
                <pt idx="3">
                  <v>3</v>
                </pt>
                <pt idx="4">
                  <v>8</v>
                </pt>
                <pt idx="5">
                  <v>23</v>
                </pt>
                <pt idx="6">
                  <v>34</v>
                </pt>
                <pt idx="7">
                  <v>7</v>
                </pt>
                <pt idx="8">
                  <v>8</v>
                </pt>
                <pt idx="9">
                  <v>17</v>
                </pt>
              </numCache>
            </numRef>
          </val>
        </ser>
        <ser>
          <idx val="1"/>
          <order val="1"/>
          <tx>
            <strRef>
              <f>'Consolidado por Gerencia'!D4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Gerencia'!$A$5:$A$14</f>
              <strCache>
                <ptCount val="10"/>
                <pt idx="0">
                  <v>Auditoría Interna</v>
                </pt>
                <pt idx="1">
                  <v>Gerencia Administrativa</v>
                </pt>
                <pt idx="2">
                  <v>Gerencia General</v>
                </pt>
                <pt idx="3">
                  <v>Gerencia Legal y Cumplimiento Normativo</v>
                </pt>
                <pt idx="4">
                  <v>Gerencia de Finanzas y Planificación</v>
                </pt>
                <pt idx="5">
                  <v>Gerencia de Negocios</v>
                </pt>
                <pt idx="6">
                  <v>Gerencia de Negocios (Agencias)</v>
                </pt>
                <pt idx="7">
                  <v>Gerencia de Oficialía de Cumplimiento</v>
                </pt>
                <pt idx="8">
                  <v>Gerencia de Operaciones</v>
                </pt>
                <pt idx="9">
                  <v>Gerencia de Sistemas</v>
                </pt>
              </strCache>
            </strRef>
          </cat>
          <val>
            <numRef>
              <f>'Consolidado por Gerencia'!$D$5:$D$14</f>
              <numCache>
                <formatCode>General</formatCode>
                <ptCount val="10"/>
                <pt idx="0">
                  <v>2</v>
                </pt>
                <pt idx="1">
                  <v>5</v>
                </pt>
                <pt idx="2">
                  <v>7</v>
                </pt>
                <pt idx="3">
                  <v>6</v>
                </pt>
                <pt idx="4">
                  <v>10</v>
                </pt>
                <pt idx="5">
                  <v>38</v>
                </pt>
                <pt idx="6">
                  <v>63</v>
                </pt>
                <pt idx="7">
                  <v>0</v>
                </pt>
                <pt idx="8">
                  <v>8</v>
                </pt>
                <pt idx="9">
                  <v>6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Gerencia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Departamento / Agencia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área'!D4</f>
              <strCache>
                <ptCount val="1"/>
                <pt idx="0">
                  <v>Personas Completadas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  <strCache>
                <ptCount val="43"/>
                <pt idx="0">
                  <v>ADMINISTRACION DE BASE DE DATOS</v>
                </pt>
                <pt idx="1">
                  <v>ADMINISTRACION DE RIESGOS</v>
                </pt>
                <pt idx="2">
                  <v>ADMINISTRACIÓN DE CARTERAS</v>
                </pt>
                <pt idx="3">
                  <v>AGENCIA CENTRAL</v>
                </pt>
                <pt idx="4">
                  <v>AGENCIA COLEGIO MEDICO</v>
                </pt>
                <pt idx="5">
                  <v>AGENCIA COLONIA MEDICA</v>
                </pt>
                <pt idx="6">
                  <v>AGENCIA MERLIOT</v>
                </pt>
                <pt idx="7">
                  <v>AGENCIA PLAZA MUNDO</v>
                </pt>
                <pt idx="8">
                  <v>AGENCIA SAN  MIGUEL</v>
                </pt>
                <pt idx="9">
                  <v>AGENCIA SANTA  ANA</v>
                </pt>
                <pt idx="10">
                  <v>AGENCIA SONSONATE</v>
                </pt>
                <pt idx="11">
                  <v>AGENCIA USULUTAN</v>
                </pt>
                <pt idx="12">
                  <v>CLINICA EMPRESARIAL</v>
                </pt>
                <pt idx="13">
                  <v>DEPARTAMENTO COMERCIAL DE TARJETA DE CREDITO Y DEBITO</v>
                </pt>
                <pt idx="14">
                  <v>DEPARTAMENTO DE ANALISIS Y PROGRAMACIÓN</v>
                </pt>
                <pt idx="15">
                  <v>DEPARTAMENTO DE ATENCION A ASOCIADO Y CLIENTE</v>
                </pt>
                <pt idx="16">
                  <v>DEPARTAMENTO DE AUDITORIA INTERNA</v>
                </pt>
                <pt idx="17">
                  <v>DEPARTAMENTO DE CONTABILIDAD</v>
                </pt>
                <pt idx="18">
                  <v>DEPARTAMENTO DE CREDITOS</v>
                </pt>
                <pt idx="19">
                  <v>DEPARTAMENTO DE CUSTODIA DE GARANTÍA Y VALORES</v>
                </pt>
                <pt idx="20">
                  <v>DEPARTAMENTO DE DEPOSITOS</v>
                </pt>
                <pt idx="21">
                  <v>DEPARTAMENTO DE EDUCACION Y RESPONSABILIDAD SOCIAL</v>
                </pt>
                <pt idx="22">
                  <v>DEPARTAMENTO DE MERCADEO</v>
                </pt>
                <pt idx="23">
                  <v>DEPARTAMENTO DE OPERACIONES Y SOPORTE TECNICO</v>
                </pt>
                <pt idx="24">
                  <v>DEPARTAMENTO DE PLANIFICACIÓN Y ANALISIS</v>
                </pt>
                <pt idx="25">
                  <v>DEPARTAMENTO DE PROCESOS</v>
                </pt>
                <pt idx="26">
                  <v>DEPARTAMENTO DE SEGURIDAD</v>
                </pt>
                <pt idx="27">
                  <v>DEPARTAMENTO DE SEGUROS</v>
                </pt>
                <pt idx="28">
                  <v>DEPARTAMENTO DE SERVICIOS GENERALES</v>
                </pt>
                <pt idx="29">
                  <v>DEPARTAMENTO DE SOLUCIONES FINANCIERAS</v>
                </pt>
                <pt idx="30">
                  <v>DEPARTAMENTO DE TALENTO HUMANO</v>
                </pt>
                <pt idx="31">
                  <v>DEPARTAMENTO DE TARJETA DE CREDITO Y DEBITO</v>
                </pt>
                <pt idx="32">
                  <v>DEPARTAMENTO LEGAL</v>
                </pt>
                <pt idx="33">
                  <v>GERENCIA  ADMINISTRATIVA</v>
                </pt>
                <pt idx="34">
                  <v>GERENCIA DE FINANZAS Y PLANIFICACIÓN</v>
                </pt>
                <pt idx="35">
                  <v>GERENCIA DE NEGOCIOS</v>
                </pt>
                <pt idx="36">
                  <v>GERENCIA DE OPERACIONES</v>
                </pt>
                <pt idx="37">
                  <v>GERENCIA DE SISTEMAS</v>
                </pt>
                <pt idx="38">
                  <v>GERENCIA GENERAL</v>
                </pt>
                <pt idx="39">
                  <v>GERENCIA LEGAL Y DE CUMPLIMIENTO NORMATIVO</v>
                </pt>
                <pt idx="40">
                  <v>OFICIALIA DE CUMPLIMIENTO</v>
                </pt>
                <pt idx="41">
                  <v>OFICIALIA DE SEGURIDAD DE LA INFORMACION</v>
                </pt>
                <pt idx="42">
                  <v>SUB GERENCIA DE CANALES</v>
                </pt>
              </strCache>
            </strRef>
          </cat>
          <val>
            <numRef>
              <f>'Consolidado por área'!$D$5:$D$47</f>
              <numCache>
                <formatCode>General</formatCode>
                <ptCount val="43"/>
                <pt idx="0">
                  <v>1</v>
                </pt>
                <pt idx="1">
                  <v>3</v>
                </pt>
                <pt idx="2">
                  <v>2</v>
                </pt>
                <pt idx="3">
                  <v>5</v>
                </pt>
                <pt idx="4">
                  <v>1</v>
                </pt>
                <pt idx="5">
                  <v>5</v>
                </pt>
                <pt idx="6">
                  <v>12</v>
                </pt>
                <pt idx="7">
                  <v>0</v>
                </pt>
                <pt idx="8">
                  <v>7</v>
                </pt>
                <pt idx="9">
                  <v>0</v>
                </pt>
                <pt idx="10">
                  <v>0</v>
                </pt>
                <pt idx="11">
                  <v>4</v>
                </pt>
                <pt idx="12">
                  <v>0</v>
                </pt>
                <pt idx="13">
                  <v>4</v>
                </pt>
                <pt idx="14">
                  <v>8</v>
                </pt>
                <pt idx="15">
                  <v>2</v>
                </pt>
                <pt idx="16">
                  <v>5</v>
                </pt>
                <pt idx="17">
                  <v>7</v>
                </pt>
                <pt idx="18">
                  <v>7</v>
                </pt>
                <pt idx="19">
                  <v>6</v>
                </pt>
                <pt idx="20">
                  <v>3</v>
                </pt>
                <pt idx="21">
                  <v>1</v>
                </pt>
                <pt idx="22">
                  <v>1</v>
                </pt>
                <pt idx="23">
                  <v>6</v>
                </pt>
                <pt idx="24">
                  <v>0</v>
                </pt>
                <pt idx="25">
                  <v>3</v>
                </pt>
                <pt idx="26">
                  <v>2</v>
                </pt>
                <pt idx="27">
                  <v>5</v>
                </pt>
                <pt idx="28">
                  <v>16</v>
                </pt>
                <pt idx="29">
                  <v>2</v>
                </pt>
                <pt idx="30">
                  <v>2</v>
                </pt>
                <pt idx="31">
                  <v>3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3</v>
                </pt>
                <pt idx="36">
                  <v>0</v>
                </pt>
                <pt idx="37">
                  <v>2</v>
                </pt>
                <pt idx="38">
                  <v>0</v>
                </pt>
                <pt idx="39">
                  <v>1</v>
                </pt>
                <pt idx="40">
                  <v>7</v>
                </pt>
                <pt idx="41">
                  <v>4</v>
                </pt>
                <pt idx="42">
                  <v>2</v>
                </pt>
              </numCache>
            </numRef>
          </val>
        </ser>
        <ser>
          <idx val="1"/>
          <order val="1"/>
          <tx>
            <strRef>
              <f>'Consolidado por área'!E4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  <strCache>
                <ptCount val="43"/>
                <pt idx="0">
                  <v>ADMINISTRACION DE BASE DE DATOS</v>
                </pt>
                <pt idx="1">
                  <v>ADMINISTRACION DE RIESGOS</v>
                </pt>
                <pt idx="2">
                  <v>ADMINISTRACIÓN DE CARTERAS</v>
                </pt>
                <pt idx="3">
                  <v>AGENCIA CENTRAL</v>
                </pt>
                <pt idx="4">
                  <v>AGENCIA COLEGIO MEDICO</v>
                </pt>
                <pt idx="5">
                  <v>AGENCIA COLONIA MEDICA</v>
                </pt>
                <pt idx="6">
                  <v>AGENCIA MERLIOT</v>
                </pt>
                <pt idx="7">
                  <v>AGENCIA PLAZA MUNDO</v>
                </pt>
                <pt idx="8">
                  <v>AGENCIA SAN  MIGUEL</v>
                </pt>
                <pt idx="9">
                  <v>AGENCIA SANTA  ANA</v>
                </pt>
                <pt idx="10">
                  <v>AGENCIA SONSONATE</v>
                </pt>
                <pt idx="11">
                  <v>AGENCIA USULUTAN</v>
                </pt>
                <pt idx="12">
                  <v>CLINICA EMPRESARIAL</v>
                </pt>
                <pt idx="13">
                  <v>DEPARTAMENTO COMERCIAL DE TARJETA DE CREDITO Y DEBITO</v>
                </pt>
                <pt idx="14">
                  <v>DEPARTAMENTO DE ANALISIS Y PROGRAMACIÓN</v>
                </pt>
                <pt idx="15">
                  <v>DEPARTAMENTO DE ATENCION A ASOCIADO Y CLIENTE</v>
                </pt>
                <pt idx="16">
                  <v>DEPARTAMENTO DE AUDITORIA INTERNA</v>
                </pt>
                <pt idx="17">
                  <v>DEPARTAMENTO DE CONTABILIDAD</v>
                </pt>
                <pt idx="18">
                  <v>DEPARTAMENTO DE CREDITOS</v>
                </pt>
                <pt idx="19">
                  <v>DEPARTAMENTO DE CUSTODIA DE GARANTÍA Y VALORES</v>
                </pt>
                <pt idx="20">
                  <v>DEPARTAMENTO DE DEPOSITOS</v>
                </pt>
                <pt idx="21">
                  <v>DEPARTAMENTO DE EDUCACION Y RESPONSABILIDAD SOCIAL</v>
                </pt>
                <pt idx="22">
                  <v>DEPARTAMENTO DE MERCADEO</v>
                </pt>
                <pt idx="23">
                  <v>DEPARTAMENTO DE OPERACIONES Y SOPORTE TECNICO</v>
                </pt>
                <pt idx="24">
                  <v>DEPARTAMENTO DE PLANIFICACIÓN Y ANALISIS</v>
                </pt>
                <pt idx="25">
                  <v>DEPARTAMENTO DE PROCESOS</v>
                </pt>
                <pt idx="26">
                  <v>DEPARTAMENTO DE SEGURIDAD</v>
                </pt>
                <pt idx="27">
                  <v>DEPARTAMENTO DE SEGUROS</v>
                </pt>
                <pt idx="28">
                  <v>DEPARTAMENTO DE SERVICIOS GENERALES</v>
                </pt>
                <pt idx="29">
                  <v>DEPARTAMENTO DE SOLUCIONES FINANCIERAS</v>
                </pt>
                <pt idx="30">
                  <v>DEPARTAMENTO DE TALENTO HUMANO</v>
                </pt>
                <pt idx="31">
                  <v>DEPARTAMENTO DE TARJETA DE CREDITO Y DEBITO</v>
                </pt>
                <pt idx="32">
                  <v>DEPARTAMENTO LEGAL</v>
                </pt>
                <pt idx="33">
                  <v>GERENCIA  ADMINISTRATIVA</v>
                </pt>
                <pt idx="34">
                  <v>GERENCIA DE FINANZAS Y PLANIFICACIÓN</v>
                </pt>
                <pt idx="35">
                  <v>GERENCIA DE NEGOCIOS</v>
                </pt>
                <pt idx="36">
                  <v>GERENCIA DE OPERACIONES</v>
                </pt>
                <pt idx="37">
                  <v>GERENCIA DE SISTEMAS</v>
                </pt>
                <pt idx="38">
                  <v>GERENCIA GENERAL</v>
                </pt>
                <pt idx="39">
                  <v>GERENCIA LEGAL Y DE CUMPLIMIENTO NORMATIVO</v>
                </pt>
                <pt idx="40">
                  <v>OFICIALIA DE CUMPLIMIENTO</v>
                </pt>
                <pt idx="41">
                  <v>OFICIALIA DE SEGURIDAD DE LA INFORMACION</v>
                </pt>
                <pt idx="42">
                  <v>SUB GERENCIA DE CANALES</v>
                </pt>
              </strCache>
            </strRef>
          </cat>
          <val>
            <numRef>
              <f>'Consolidado por área'!$E$5:$E$47</f>
              <numCache>
                <formatCode>General</formatCode>
                <ptCount val="43"/>
                <pt idx="0">
                  <v>0</v>
                </pt>
                <pt idx="1">
                  <v>1</v>
                </pt>
                <pt idx="2">
                  <v>3</v>
                </pt>
                <pt idx="3">
                  <v>13</v>
                </pt>
                <pt idx="4">
                  <v>11</v>
                </pt>
                <pt idx="5">
                  <v>11</v>
                </pt>
                <pt idx="6">
                  <v>1</v>
                </pt>
                <pt idx="7">
                  <v>8</v>
                </pt>
                <pt idx="8">
                  <v>1</v>
                </pt>
                <pt idx="9">
                  <v>8</v>
                </pt>
                <pt idx="10">
                  <v>7</v>
                </pt>
                <pt idx="11">
                  <v>3</v>
                </pt>
                <pt idx="12">
                  <v>2</v>
                </pt>
                <pt idx="13">
                  <v>4</v>
                </pt>
                <pt idx="14">
                  <v>3</v>
                </pt>
                <pt idx="15">
                  <v>4</v>
                </pt>
                <pt idx="16">
                  <v>2</v>
                </pt>
                <pt idx="17">
                  <v>6</v>
                </pt>
                <pt idx="18">
                  <v>6</v>
                </pt>
                <pt idx="19">
                  <v>0</v>
                </pt>
                <pt idx="20">
                  <v>1</v>
                </pt>
                <pt idx="21">
                  <v>2</v>
                </pt>
                <pt idx="22">
                  <v>6</v>
                </pt>
                <pt idx="23">
                  <v>1</v>
                </pt>
                <pt idx="24">
                  <v>3</v>
                </pt>
                <pt idx="25">
                  <v>0</v>
                </pt>
                <pt idx="26">
                  <v>0</v>
                </pt>
                <pt idx="27">
                  <v>6</v>
                </pt>
                <pt idx="28">
                  <v>1</v>
                </pt>
                <pt idx="29">
                  <v>8</v>
                </pt>
                <pt idx="30">
                  <v>1</v>
                </pt>
                <pt idx="31">
                  <v>3</v>
                </pt>
                <pt idx="32">
                  <v>6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2</v>
                </pt>
                <pt idx="38">
                  <v>2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5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Departamento / Agencia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4680000" cy="45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8</row>
      <rowOff>0</rowOff>
    </from>
    <ext cx="9000000" cy="45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1520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de Negocios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de Negocios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de Negocios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Negocios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Negocios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Negocios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Negocios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Negocios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Negocios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Negocios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Negocios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Negocios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Negocios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General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General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General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General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General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General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General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General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 (Agencias)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 (Agencias)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 (Agencias)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 (Agencias)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 (Agencias)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 (Agencias)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 (Agencias)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 (Agencias)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 (Agencias)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 (Agencias)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 (Agencias)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 (Agencias)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 (Agencias)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 (Agencias)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 (Agencias)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 (Agencias)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 (Agencias)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 (Agencias)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 (Agencias)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 (Agencias)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 (Agencias)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 (Agencias)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 (Agencias)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 (Agencias)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 (Agencias)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 (Agencias)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 (Agencias)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 (Agencias)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 (Agencias)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 (Agencias)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 (Agencias)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 (Agencias)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 (Agencias)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 (Agencias)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 (Agencias)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 (Agencias)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 (Agencias)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 (Agencias)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 (Agencias)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 (Agencias)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 (Agencias)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 (Agencias)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 (Agencias)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 (Agencias)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 (Agencias)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 (Agencias)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 (Agencias)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 (Agencias)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 (Agencias)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 (Agencias)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 (Agencias)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 (Agencias)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 (Agencias)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 (Agencias)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 (Agencias)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 (Agencias)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 (Agencias)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 (Agencias)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 (Agencias)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 (Agencias)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 (Agencias)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 (Agencias)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 (Agencias)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 (Agencias)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 (Agencias)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 (Agencias)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 (Agencias)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 (Agencias)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 (Agencias)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 (Agencias)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 (Agencias)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 (Agencias)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 (Agencias)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 (Agencias)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 (Agencias)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 (Agencias)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 (Agencias)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 (Agencias)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 (Agencias)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 (Agencias)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 (Agencias)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 (Agencias)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 (Agencias)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 (Agencias)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 (Agencias)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 (Agencias)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 (Agencias)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 (Agencias)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 (Agencias)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 (Agencias)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 (Agencias)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 (Agencias)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 (Agencias)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 (Agencias)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 (Agencias)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 (Agencias)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 (Agencias)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2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5" t="n">
        <v>46296.42706018518</v>
      </c>
      <c r="E5" s="25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5" t="n">
        <v>46296.42641203704</v>
      </c>
      <c r="E6" s="25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5" t="n">
        <v>46296.43667824074</v>
      </c>
      <c r="E7" s="25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5" t="n">
        <v>46296.43491898148</v>
      </c>
      <c r="E8" s="25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5" t="n">
        <v>46296.43665509259</v>
      </c>
      <c r="E9" s="25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5" t="n">
        <v>46296.4371875</v>
      </c>
      <c r="E10" s="25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5" t="n">
        <v>46296.43657407408</v>
      </c>
      <c r="E11" s="25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5" t="n">
        <v>46296.44304398148</v>
      </c>
      <c r="E12" s="25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4" t="inlineStr">
        <is>
          <t>390</t>
        </is>
      </c>
      <c r="D13" s="25" t="n">
        <v>46296.44636574074</v>
      </c>
      <c r="E13" s="25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5" t="n">
        <v>46296.44221064815</v>
      </c>
      <c r="E14" s="25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5" t="n">
        <v>46296.4418287037</v>
      </c>
      <c r="E15" s="25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4" t="inlineStr">
        <is>
          <t>710</t>
        </is>
      </c>
      <c r="D16" s="25" t="n">
        <v>46296.44082175926</v>
      </c>
      <c r="E16" s="25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5" t="n">
        <v>46296.44081018519</v>
      </c>
      <c r="E17" s="25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4" t="inlineStr">
        <is>
          <t>807</t>
        </is>
      </c>
      <c r="D18" s="25" t="n">
        <v>46296.44934027778</v>
      </c>
      <c r="E18" s="25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5" t="n">
        <v>46296.45108796296</v>
      </c>
      <c r="E19" s="25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5" t="n">
        <v>46296.44934027778</v>
      </c>
      <c r="E20" s="25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5" t="n">
        <v>46296.45403935185</v>
      </c>
      <c r="E21" s="25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5" t="n">
        <v>46296.45601851852</v>
      </c>
      <c r="E22" s="25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5" t="n">
        <v>46296.45732638889</v>
      </c>
      <c r="E23" s="25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5" t="n">
        <v>46296.45379629629</v>
      </c>
      <c r="E24" s="25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5" t="n">
        <v>46296.47090277778</v>
      </c>
      <c r="E25" s="25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5" t="n">
        <v>46296.47011574074</v>
      </c>
      <c r="E26" s="25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4" t="inlineStr">
        <is>
          <t>914</t>
        </is>
      </c>
      <c r="D27" s="25" t="n">
        <v>46296.47130787037</v>
      </c>
      <c r="E27" s="25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5" t="n">
        <v>46296.4722337963</v>
      </c>
      <c r="E28" s="25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5" t="n">
        <v>46296.47424768518</v>
      </c>
      <c r="E29" s="25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5" t="n">
        <v>46296.48392361111</v>
      </c>
      <c r="E30" s="25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5" t="n">
        <v>46296.48201388889</v>
      </c>
      <c r="E31" s="25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5" t="n">
        <v>46296.48715277778</v>
      </c>
      <c r="E32" s="25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4" t="inlineStr">
        <is>
          <t>985</t>
        </is>
      </c>
      <c r="D33" s="25" t="n">
        <v>46296.48653935185</v>
      </c>
      <c r="E33" s="25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5" t="n">
        <v>46296.49111111111</v>
      </c>
      <c r="E34" s="25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5" t="n">
        <v>46296.54665509259</v>
      </c>
      <c r="E35" s="25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5" t="n">
        <v>46296.56951388889</v>
      </c>
      <c r="E36" s="25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5" t="n">
        <v>46296.56962962963</v>
      </c>
      <c r="E37" s="25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5" t="n">
        <v>46296.61756944445</v>
      </c>
      <c r="E38" s="25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5" t="n">
        <v>46296.61537037037</v>
      </c>
      <c r="E39" s="25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5" t="n">
        <v>46296.64626157407</v>
      </c>
      <c r="E40" s="25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5" t="n">
        <v>46296.64138888889</v>
      </c>
      <c r="E41" s="25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5" t="n">
        <v>46296.64094907408</v>
      </c>
      <c r="E42" s="25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5" t="n">
        <v>46296.6762037037</v>
      </c>
      <c r="E43" s="25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4" t="inlineStr">
        <is>
          <t>869</t>
        </is>
      </c>
      <c r="D44" s="25" t="n">
        <v>46296.67916666667</v>
      </c>
      <c r="E44" s="25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5" t="n">
        <v>46296.70424768519</v>
      </c>
      <c r="E45" s="25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4" t="inlineStr">
        <is>
          <t>980</t>
        </is>
      </c>
      <c r="D46" s="25" t="n">
        <v>46296.71229166666</v>
      </c>
      <c r="E46" s="25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5" t="n">
        <v>46296.82646990741</v>
      </c>
      <c r="E47" s="25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5" t="n">
        <v>46297.46885416667</v>
      </c>
      <c r="E48" s="25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5" t="n">
        <v>46297.48075231481</v>
      </c>
      <c r="E49" s="25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5" t="n">
        <v>46297.45885416667</v>
      </c>
      <c r="E50" s="25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4" t="inlineStr">
        <is>
          <t>349</t>
        </is>
      </c>
      <c r="D51" s="25" t="n">
        <v>46297.63677083333</v>
      </c>
      <c r="E51" s="25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5" t="n">
        <v>46297.64716435185</v>
      </c>
      <c r="E52" s="25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5" t="n">
        <v>46297.65282407407</v>
      </c>
      <c r="E53" s="25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5" t="n">
        <v>46297.7059375</v>
      </c>
      <c r="E54" s="25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4" t="inlineStr">
        <is>
          <t>308</t>
        </is>
      </c>
      <c r="D55" s="25" t="n">
        <v>46297.71155092592</v>
      </c>
      <c r="E55" s="25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4" t="inlineStr">
        <is>
          <t>959</t>
        </is>
      </c>
      <c r="D56" s="25" t="n">
        <v>46297.77194444444</v>
      </c>
      <c r="E56" s="25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5" t="n">
        <v>46297.83465277778</v>
      </c>
      <c r="E57" s="25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4" t="inlineStr">
        <is>
          <t>522</t>
        </is>
      </c>
      <c r="D58" s="25" t="n">
        <v>46297.84774305556</v>
      </c>
      <c r="E58" s="25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4" t="inlineStr">
        <is>
          <t>684</t>
        </is>
      </c>
      <c r="D59" s="25" t="n">
        <v>46298.29701388889</v>
      </c>
      <c r="E59" s="25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5" t="n">
        <v>46298.33667824074</v>
      </c>
      <c r="E60" s="25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4" t="inlineStr">
        <is>
          <t>587</t>
        </is>
      </c>
      <c r="D61" s="25" t="n">
        <v>46298.40037037037</v>
      </c>
      <c r="E61" s="25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4" t="inlineStr">
        <is>
          <t>875</t>
        </is>
      </c>
      <c r="D62" s="25" t="n">
        <v>46298.40277777778</v>
      </c>
      <c r="E62" s="25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4" t="inlineStr">
        <is>
          <t>387</t>
        </is>
      </c>
      <c r="D63" s="25" t="n">
        <v>46298.41678240741</v>
      </c>
      <c r="E63" s="25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5" t="n">
        <v>46298.40983796296</v>
      </c>
      <c r="E64" s="25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5" t="n">
        <v>46298.50091435185</v>
      </c>
      <c r="E65" s="25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5" t="n">
        <v>46300.30724537037</v>
      </c>
      <c r="E66" s="25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4" t="inlineStr">
        <is>
          <t>680</t>
        </is>
      </c>
      <c r="D67" s="25" t="n">
        <v>46300.38666666667</v>
      </c>
      <c r="E67" s="25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5" t="n">
        <v>46300.39452546297</v>
      </c>
      <c r="E68" s="25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</row>
    <row r="69">
      <c r="A69" s="5" t="inlineStr">
        <is>
          <t>Mario Rosales</t>
        </is>
      </c>
      <c r="B69" s="5" t="inlineStr">
        <is>
          <t>Servicio general</t>
        </is>
      </c>
      <c r="C69" s="4" t="inlineStr">
        <is>
          <t>430</t>
        </is>
      </c>
      <c r="D69" s="25" t="n">
        <v>46300.39993055556</v>
      </c>
      <c r="E69" s="25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4" t="inlineStr">
        <is>
          <t>215</t>
        </is>
      </c>
      <c r="D70" s="25" t="n">
        <v>46300.40697916667</v>
      </c>
      <c r="E70" s="25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5" t="n">
        <v>46300.46083333333</v>
      </c>
      <c r="E71" s="25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4" t="inlineStr">
        <is>
          <t>852</t>
        </is>
      </c>
      <c r="D72" s="25" t="n">
        <v>46300.52502314815</v>
      </c>
      <c r="E72" s="25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5" t="n">
        <v>46300.57717592592</v>
      </c>
      <c r="E73" s="25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5" t="n">
        <v>46300.58234953704</v>
      </c>
      <c r="E74" s="25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5" t="n">
        <v>46300.58730324074</v>
      </c>
      <c r="E75" s="25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4" t="inlineStr">
        <is>
          <t>926</t>
        </is>
      </c>
      <c r="D76" s="25" t="n">
        <v>46300.60138888889</v>
      </c>
      <c r="E76" s="25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4" t="inlineStr">
        <is>
          <t>929</t>
        </is>
      </c>
      <c r="D77" s="25" t="n">
        <v>46300.62287037037</v>
      </c>
      <c r="E77" s="25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5" t="n">
        <v>46300.6215162037</v>
      </c>
      <c r="E78" s="25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5" t="n">
        <v>46300.63085648148</v>
      </c>
      <c r="E79" s="25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4" t="inlineStr">
        <is>
          <t>53</t>
        </is>
      </c>
      <c r="D80" s="25" t="n">
        <v>46300.65247685185</v>
      </c>
      <c r="E80" s="25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5" t="n">
        <v>46300.65453703704</v>
      </c>
      <c r="E81" s="25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5" t="n">
        <v>46300.67056712963</v>
      </c>
      <c r="E82" s="25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5" t="n">
        <v>46300.68642361111</v>
      </c>
      <c r="E83" s="25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5" t="n">
        <v>46300.68533564815</v>
      </c>
      <c r="E84" s="25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4" t="inlineStr">
        <is>
          <t>803</t>
        </is>
      </c>
      <c r="D85" s="25" t="n">
        <v>46300.70214120371</v>
      </c>
      <c r="E85" s="25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5" t="n">
        <v>46300.7419212963</v>
      </c>
      <c r="E86" s="25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4" t="inlineStr">
        <is>
          <t>55</t>
        </is>
      </c>
      <c r="D87" s="25" t="n">
        <v>46300.80671296296</v>
      </c>
      <c r="E87" s="25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5" t="n">
        <v>46301.42581018519</v>
      </c>
      <c r="E88" s="25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5" t="n">
        <v>46301.4247337963</v>
      </c>
      <c r="E89" s="25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5" t="n">
        <v>46301.43630787037</v>
      </c>
      <c r="E90" s="25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4" t="inlineStr">
        <is>
          <t>782</t>
        </is>
      </c>
      <c r="D91" s="25" t="n">
        <v>46301.42778935185</v>
      </c>
      <c r="E91" s="25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5" t="n">
        <v>46301.48449074074</v>
      </c>
      <c r="E92" s="25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4" t="inlineStr">
        <is>
          <t>456</t>
        </is>
      </c>
      <c r="D93" s="25" t="n">
        <v>46301.48697916666</v>
      </c>
      <c r="E93" s="25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5" t="n">
        <v>46301.5078587963</v>
      </c>
      <c r="E94" s="25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5" t="n">
        <v>46301.61615740741</v>
      </c>
      <c r="E95" s="25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4" t="inlineStr">
        <is>
          <t>853</t>
        </is>
      </c>
      <c r="D96" s="25" t="n">
        <v>46301.62170138889</v>
      </c>
      <c r="E96" s="25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5" t="n">
        <v>46301.65331018518</v>
      </c>
      <c r="E97" s="25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4" t="inlineStr">
        <is>
          <t>589</t>
        </is>
      </c>
      <c r="D98" s="25" t="n">
        <v>46301.67337962963</v>
      </c>
      <c r="E98" s="25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4" t="inlineStr">
        <is>
          <t>119</t>
        </is>
      </c>
      <c r="D99" s="25" t="n">
        <v>46302.42083333333</v>
      </c>
      <c r="E99" s="25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5" t="n">
        <v>46302.46341435185</v>
      </c>
      <c r="E100" s="25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5" t="n">
        <v>46302.46998842592</v>
      </c>
      <c r="E101" s="25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4" t="inlineStr">
        <is>
          <t>837</t>
        </is>
      </c>
      <c r="D102" s="25" t="n">
        <v>46302.47519675926</v>
      </c>
      <c r="E102" s="25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4" t="inlineStr">
        <is>
          <t>700</t>
        </is>
      </c>
      <c r="D103" s="25" t="n">
        <v>46302.55385416667</v>
      </c>
      <c r="E103" s="25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5" t="n">
        <v>46302.57461805556</v>
      </c>
      <c r="E104" s="25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5" t="n">
        <v>46302.5837962963</v>
      </c>
      <c r="E105" s="25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5" t="n">
        <v>46302.58623842592</v>
      </c>
      <c r="E106" s="25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5" t="n">
        <v>46302.59699074074</v>
      </c>
      <c r="E107" s="25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5" t="n">
        <v>46302.62548611111</v>
      </c>
      <c r="E108" s="25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5" t="n">
        <v>46302.48877314815</v>
      </c>
      <c r="E109" s="25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5" t="n">
        <v>46302.63322916667</v>
      </c>
      <c r="E110" s="25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5" t="n">
        <v>46302.64388888889</v>
      </c>
      <c r="E111" s="25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5" t="n">
        <v>46302.63820601852</v>
      </c>
      <c r="E112" s="25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5" t="n">
        <v>46302.70020833334</v>
      </c>
      <c r="E113" s="25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4" t="inlineStr">
        <is>
          <t>909</t>
        </is>
      </c>
      <c r="D114" s="25" t="n">
        <v>46302.70101851852</v>
      </c>
      <c r="E114" s="25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5" t="n">
        <v>46303.38890046296</v>
      </c>
      <c r="E115" s="25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5" t="n">
        <v>46303.39310185185</v>
      </c>
      <c r="E116" s="25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5" t="n">
        <v>46303.44171296297</v>
      </c>
      <c r="E117" s="25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5" t="n">
        <v>46303.45423611111</v>
      </c>
      <c r="E118" s="25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4" t="inlineStr">
        <is>
          <t>251</t>
        </is>
      </c>
      <c r="D119" s="25" t="n">
        <v>46303.45815972222</v>
      </c>
      <c r="E119" s="25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5" t="n">
        <v>46303.53456018519</v>
      </c>
      <c r="E120" s="25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5" t="n">
        <v>46304.33164351852</v>
      </c>
      <c r="E121" s="25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5" t="n">
        <v>46304.35847222222</v>
      </c>
      <c r="E122" s="25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5" t="n">
        <v>46304.37324074074</v>
      </c>
      <c r="E123" s="25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5" t="n">
        <v>46304.37309027778</v>
      </c>
      <c r="E124" s="25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5" t="n">
        <v>46304.37530092592</v>
      </c>
      <c r="E125" s="25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5" t="n">
        <v>46304.36936342593</v>
      </c>
      <c r="E126" s="25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5" t="n">
        <v>46304.3803587963</v>
      </c>
      <c r="E127" s="25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5" t="n">
        <v>46304.37327546296</v>
      </c>
      <c r="E128" s="25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4" t="inlineStr">
        <is>
          <t>879</t>
        </is>
      </c>
      <c r="D129" s="25" t="n">
        <v>46304.39172453704</v>
      </c>
      <c r="E129" s="25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4" t="inlineStr">
        <is>
          <t>850</t>
        </is>
      </c>
      <c r="D130" s="25" t="n">
        <v>46304.38685185185</v>
      </c>
      <c r="E130" s="25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5" t="n">
        <v>46304.39583333334</v>
      </c>
      <c r="E131" s="25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5" t="n">
        <v>46304.39957175926</v>
      </c>
      <c r="E132" s="25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5" t="n">
        <v>46304.40168981482</v>
      </c>
      <c r="E133" s="25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5" t="n">
        <v>46304.40207175926</v>
      </c>
      <c r="E134" s="25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5" t="n">
        <v>46304.4034837963</v>
      </c>
      <c r="E135" s="25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5" t="n">
        <v>46304.40576388889</v>
      </c>
      <c r="E136" s="25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5" t="n">
        <v>46304.406875</v>
      </c>
      <c r="E137" s="25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4" t="inlineStr">
        <is>
          <t>422</t>
        </is>
      </c>
      <c r="D138" s="25" t="n">
        <v>46304.40586805555</v>
      </c>
      <c r="E138" s="25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5" t="n">
        <v>46304.41604166666</v>
      </c>
      <c r="E139" s="25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5" t="n">
        <v>46304.42932870371</v>
      </c>
      <c r="E140" s="25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5" t="n">
        <v>46304.49410879629</v>
      </c>
      <c r="E141" s="25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4" t="inlineStr">
        <is>
          <t>972</t>
        </is>
      </c>
      <c r="D142" s="25" t="n">
        <v>46304.51767361111</v>
      </c>
      <c r="E142" s="25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4" t="inlineStr">
        <is>
          <t>962</t>
        </is>
      </c>
      <c r="D143" s="25" t="n">
        <v>46304.51046296296</v>
      </c>
      <c r="E143" s="25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4" t="inlineStr">
        <is>
          <t>931</t>
        </is>
      </c>
      <c r="D144" s="25" t="n">
        <v>46304.56408564815</v>
      </c>
      <c r="E144" s="25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5" t="n">
        <v>46304.57431712963</v>
      </c>
      <c r="E145" s="25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5" t="n">
        <v>46304.66388888889</v>
      </c>
      <c r="E146" s="25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5" t="n">
        <v>46304.67545138889</v>
      </c>
      <c r="E147" s="25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5" t="n">
        <v>46304.68123842592</v>
      </c>
      <c r="E148" s="25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5" t="n">
        <v>46304.68376157407</v>
      </c>
      <c r="E149" s="25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5" t="n">
        <v>46304.69060185185</v>
      </c>
      <c r="E150" s="25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5" t="n">
        <v>46304.69274305556</v>
      </c>
      <c r="E151" s="25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5" t="n">
        <v>46304.69597222222</v>
      </c>
      <c r="E152" s="25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5" t="n">
        <v>46304.70121527778</v>
      </c>
      <c r="E153" s="25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5" t="n">
        <v>46304.77427083333</v>
      </c>
      <c r="E154" s="25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4" t="inlineStr">
        <is>
          <t>958</t>
        </is>
      </c>
      <c r="D155" s="25" t="n">
        <v>46305.38385416667</v>
      </c>
      <c r="E155" s="25" t="n">
        <v>46305.39554398148</v>
      </c>
      <c r="F155" s="7">
        <f>(E155-D155)*1440</f>
        <v>16.8333333333333</v>
      </c>
      <c r="G155" s="6" t="n">
        <v>75</v>
      </c>
      <c r="H155" s="6" t="inlineStr">
        <is>
          <t>anonymous</t>
        </is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4" t="inlineStr">
        <is>
          <t>928</t>
        </is>
      </c>
      <c r="D156" s="25" t="n">
        <v>46305.39564814815</v>
      </c>
      <c r="E156" s="25" t="n">
        <v>46305.39865740741</v>
      </c>
      <c r="F156" s="7">
        <f>(E156-D156)*1440</f>
        <v>4.33333333333333</v>
      </c>
      <c r="G156" s="6" t="n">
        <v>100</v>
      </c>
      <c r="H156" s="6" t="inlineStr">
        <is>
          <t>anonymous</t>
        </is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4" t="inlineStr">
        <is>
          <t>841</t>
        </is>
      </c>
      <c r="D157" s="25" t="n">
        <v>46305.38912037037</v>
      </c>
      <c r="E157" s="25" t="n">
        <v>46305.39891203704</v>
      </c>
      <c r="F157" s="7">
        <f>(E157-D157)*1440</f>
        <v>14.1</v>
      </c>
      <c r="G157" s="6" t="n">
        <v>100</v>
      </c>
      <c r="H157" s="6" t="inlineStr">
        <is>
          <t>anonymous</t>
        </is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4" t="inlineStr">
        <is>
          <t>543</t>
        </is>
      </c>
      <c r="D158" s="25" t="n">
        <v>46305.39409722222</v>
      </c>
      <c r="E158" s="25" t="n">
        <v>46305.40700231482</v>
      </c>
      <c r="F158" s="7">
        <f>(E158-D158)*1440</f>
        <v>18.58333335025</v>
      </c>
      <c r="G158" s="6" t="n">
        <v>100</v>
      </c>
      <c r="H158" s="6" t="inlineStr">
        <is>
          <t>anonymous</t>
        </is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4" t="inlineStr">
        <is>
          <t>590</t>
        </is>
      </c>
      <c r="D159" s="25" t="n">
        <v>46305.40681712963</v>
      </c>
      <c r="E159" s="25" t="n">
        <v>46305.40873842593</v>
      </c>
      <c r="F159" s="7">
        <f>(E159-D159)*1440</f>
        <v>2.76666666666667</v>
      </c>
      <c r="G159" s="6" t="n">
        <v>100</v>
      </c>
      <c r="H159" s="6" t="inlineStr">
        <is>
          <t>anonymous</t>
        </is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4" t="inlineStr">
        <is>
          <t>17</t>
        </is>
      </c>
      <c r="D160" s="25" t="n">
        <v>46305.40667824074</v>
      </c>
      <c r="E160" s="25" t="n">
        <v>46305.40980324074</v>
      </c>
      <c r="F160" s="7">
        <f>(E160-D160)*1440</f>
        <v>4.5</v>
      </c>
      <c r="G160" s="6" t="n">
        <v>100</v>
      </c>
      <c r="H160" s="6" t="inlineStr">
        <is>
          <t>anonymous</t>
        </is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4" t="inlineStr">
        <is>
          <t>609</t>
        </is>
      </c>
      <c r="D161" s="25" t="n">
        <v>46305.40778935186</v>
      </c>
      <c r="E161" s="25" t="n">
        <v>46305.41128472222</v>
      </c>
      <c r="F161" s="7">
        <f>(E161-D161)*1440</f>
        <v>5.0333333155</v>
      </c>
      <c r="G161" s="6" t="n">
        <v>100</v>
      </c>
      <c r="H161" s="6" t="inlineStr">
        <is>
          <t>anonymous</t>
        </is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4" t="inlineStr">
        <is>
          <t>289</t>
        </is>
      </c>
      <c r="D162" s="25" t="n">
        <v>46305.40527777778</v>
      </c>
      <c r="E162" s="25" t="n">
        <v>46305.41322916667</v>
      </c>
      <c r="F162" s="7">
        <f>(E162-D162)*1440</f>
        <v>11.45</v>
      </c>
      <c r="G162" s="6" t="n">
        <v>100</v>
      </c>
      <c r="H162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4" customWidth="1" min="3" max="3"/>
    <col width="24" customWidth="1" min="4" max="4"/>
    <col width="24" customWidth="1" min="5" max="5"/>
    <col width="117" customWidth="1" min="6" max="6"/>
    <col width="89" customWidth="1" min="7" max="7"/>
    <col width="89" customWidth="1" min="8" max="8"/>
    <col width="89" customWidth="1" min="9" max="9"/>
    <col width="89" customWidth="1" min="10" max="10"/>
    <col width="98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Exámenes'!$C$5:$C$1000, A5, 'Base Exámenes'!$E$5:$E$1000, "&lt;&gt;")&gt;0, "Completado", "Pendiente")</f>
        <v>Pendiente</v>
      </c>
      <c r="G5" s="25" t="str">
        <f>IFERROR(INDEX('Base Exámenes'!$D$5:$D$1000, MATCH(A5, 'Base Exámenes'!$C$5:$C$1000, 0)), "")</f>
        <v/>
      </c>
      <c r="H5" s="25" t="str">
        <f>IFERROR(INDEX('Base Exámenes'!$E$5:$E$1000, MATCH(A5, 'Base Exámenes'!$C$5:$C$1000, 0)), "")</f>
        <v/>
      </c>
      <c r="I5" s="26" t="str">
        <f>IFERROR(INDEX('Base Exámenes'!$F$5:$F$1000, MATCH(A5, 'Base Exámenes'!$C$5:$C$1000, 0)), "")</f>
        <v/>
      </c>
      <c r="J5" s="6" t="str">
        <f>IFERROR(INDEX('Base Exámenes'!$G$5:$G$1000, MATCH(A5, 'Base Exámenes'!$C$5:$C$1000, 0)), "")</f>
        <v/>
      </c>
      <c r="K5" s="6" t="str">
        <f>IFERROR(INDEX('Base Exámenes'!$H$5:$H$1000, MATCH(A5, 'Base Exámenes'!$C$5:$C$1000, 0)), "anonymous")</f>
        <v>anonymous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Exámenes'!$C$5:$C$1000, A6, 'Base Exámenes'!$E$5:$E$1000, "&lt;&gt;")&gt;0, "Completado", "Pendiente")</f>
        <v>Completado</v>
      </c>
      <c r="G6" s="25">
        <f>IFERROR(INDEX('Base Exámenes'!$D$5:$D$1000, MATCH(A6, 'Base Exámenes'!$C$5:$C$1000, 0)), "")</f>
        <v>46297.636770833335</v>
      </c>
      <c r="H6" s="25">
        <f>IFERROR(INDEX('Base Exámenes'!$E$5:$E$1000, MATCH(A6, 'Base Exámenes'!$C$5:$C$1000, 0)), "")</f>
        <v>46297.63836805556</v>
      </c>
      <c r="I6" s="26">
        <f>IFERROR(INDEX('Base Exámenes'!$F$5:$F$1000, MATCH(A6, 'Base Exámenes'!$C$5:$C$1000, 0)), "")</f>
        <v>2.3</v>
      </c>
      <c r="J6" s="6">
        <f>IFERROR(INDEX('Base Exámenes'!$G$5:$G$1000, MATCH(A6, 'Base Exámenes'!$C$5:$C$1000, 0)), "")</f>
        <v>100</v>
      </c>
      <c r="K6" s="6" t="str">
        <f>IFERROR(INDEX('Base Exámenes'!$H$5:$H$1000, MATCH(A6, 'Base Exámenes'!$C$5:$C$1000, 0)), "anonymous")</f>
        <v>anonymous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Exámenes'!$C$5:$C$1000, A7, 'Base Exámenes'!$E$5:$E$1000, "&lt;&gt;")&gt;0, "Completado", "Pendiente")</f>
        <v>Pendiente</v>
      </c>
      <c r="G7" s="25" t="str">
        <f>IFERROR(INDEX('Base Exámenes'!$D$5:$D$1000, MATCH(A7, 'Base Exámenes'!$C$5:$C$1000, 0)), "")</f>
        <v/>
      </c>
      <c r="H7" s="25" t="str">
        <f>IFERROR(INDEX('Base Exámenes'!$E$5:$E$1000, MATCH(A7, 'Base Exámenes'!$C$5:$C$1000, 0)), "")</f>
        <v/>
      </c>
      <c r="I7" s="26" t="str">
        <f>IFERROR(INDEX('Base Exámenes'!$F$5:$F$1000, MATCH(A7, 'Base Exámenes'!$C$5:$C$1000, 0)), "")</f>
        <v/>
      </c>
      <c r="J7" s="6" t="str">
        <f>IFERROR(INDEX('Base Exámenes'!$G$5:$G$1000, MATCH(A7, 'Base Exámenes'!$C$5:$C$1000, 0)), "")</f>
        <v/>
      </c>
      <c r="K7" s="6" t="str">
        <f>IFERROR(INDEX('Base Exámenes'!$H$5:$H$1000, MATCH(A7, 'Base Exámenes'!$C$5:$C$1000, 0)), "anonymous")</f>
        <v>anonymous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Exámenes'!$C$5:$C$1000, A8, 'Base Exámenes'!$E$5:$E$1000, "&lt;&gt;")&gt;0, "Completado", "Pendiente")</f>
        <v>Completado</v>
      </c>
      <c r="G8" s="25">
        <f>IFERROR(INDEX('Base Exámenes'!$D$5:$D$1000, MATCH(A8, 'Base Exámenes'!$C$5:$C$1000, 0)), "")</f>
        <v>46296.42706018518</v>
      </c>
      <c r="H8" s="25">
        <f>IFERROR(INDEX('Base Exámenes'!$E$5:$E$1000, MATCH(A8, 'Base Exámenes'!$C$5:$C$1000, 0)), "")</f>
        <v>46296.429560185185</v>
      </c>
      <c r="I8" s="26">
        <f>IFERROR(INDEX('Base Exámenes'!$F$5:$F$1000, MATCH(A8, 'Base Exámenes'!$C$5:$C$1000, 0)), "")</f>
        <v>3.6</v>
      </c>
      <c r="J8" s="6">
        <f>IFERROR(INDEX('Base Exámenes'!$G$5:$G$1000, MATCH(A8, 'Base Exámenes'!$C$5:$C$1000, 0)), "")</f>
        <v>100</v>
      </c>
      <c r="K8" s="6" t="str">
        <f>IFERROR(INDEX('Base Exámenes'!$H$5:$H$1000, MATCH(A8, 'Base Exámenes'!$C$5:$C$1000, 0)), "anonymous")</f>
        <v>anonymous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Exámenes'!$C$5:$C$1000, A9, 'Base Exámenes'!$E$5:$E$1000, "&lt;&gt;")&gt;0, "Completado", "Pendiente")</f>
        <v>Pendiente</v>
      </c>
      <c r="G9" s="25" t="str">
        <f>IFERROR(INDEX('Base Exámenes'!$D$5:$D$1000, MATCH(A9, 'Base Exámenes'!$C$5:$C$1000, 0)), "")</f>
        <v/>
      </c>
      <c r="H9" s="25" t="str">
        <f>IFERROR(INDEX('Base Exámenes'!$E$5:$E$1000, MATCH(A9, 'Base Exámenes'!$C$5:$C$1000, 0)), "")</f>
        <v/>
      </c>
      <c r="I9" s="26" t="str">
        <f>IFERROR(INDEX('Base Exámenes'!$F$5:$F$1000, MATCH(A9, 'Base Exámenes'!$C$5:$C$1000, 0)), "")</f>
        <v/>
      </c>
      <c r="J9" s="6" t="str">
        <f>IFERROR(INDEX('Base Exámenes'!$G$5:$G$1000, MATCH(A9, 'Base Exámenes'!$C$5:$C$1000, 0)), "")</f>
        <v/>
      </c>
      <c r="K9" s="6" t="str">
        <f>IFERROR(INDEX('Base Exámenes'!$H$5:$H$1000, MATCH(A9, 'Base Exámenes'!$C$5:$C$1000, 0)), "anonymous")</f>
        <v>anonymous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Exámenes'!$C$5:$C$1000, A10, 'Base Exámenes'!$E$5:$E$1000, "&lt;&gt;")&gt;0, "Completado", "Pendiente")</f>
        <v>Completado</v>
      </c>
      <c r="G10" s="25">
        <f>IFERROR(INDEX('Base Exámenes'!$D$5:$D$1000, MATCH(A10, 'Base Exámenes'!$C$5:$C$1000, 0)), "")</f>
        <v>46296.47011574074</v>
      </c>
      <c r="H10" s="25">
        <f>IFERROR(INDEX('Base Exámenes'!$E$5:$E$1000, MATCH(A10, 'Base Exámenes'!$C$5:$C$1000, 0)), "")</f>
        <v>46296.47738425926</v>
      </c>
      <c r="I10" s="26">
        <f>IFERROR(INDEX('Base Exámenes'!$F$5:$F$1000, MATCH(A10, 'Base Exámenes'!$C$5:$C$1000, 0)), "")</f>
        <v>10.4666666666667</v>
      </c>
      <c r="J10" s="6">
        <f>IFERROR(INDEX('Base Exámenes'!$G$5:$G$1000, MATCH(A10, 'Base Exámenes'!$C$5:$C$1000, 0)), "")</f>
        <v>100</v>
      </c>
      <c r="K10" s="6" t="str">
        <f>IFERROR(INDEX('Base Exámenes'!$H$5:$H$1000, MATCH(A10, 'Base Exámenes'!$C$5:$C$1000, 0)), "anonymous")</f>
        <v>anonymous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Exámenes'!$C$5:$C$1000, A11, 'Base Exámenes'!$E$5:$E$1000, "&lt;&gt;")&gt;0, "Completado", "Pendiente")</f>
        <v>Pendiente</v>
      </c>
      <c r="G11" s="25" t="str">
        <f>IFERROR(INDEX('Base Exámenes'!$D$5:$D$1000, MATCH(A11, 'Base Exámenes'!$C$5:$C$1000, 0)), "")</f>
        <v/>
      </c>
      <c r="H11" s="25" t="str">
        <f>IFERROR(INDEX('Base Exámenes'!$E$5:$E$1000, MATCH(A11, 'Base Exámenes'!$C$5:$C$1000, 0)), "")</f>
        <v/>
      </c>
      <c r="I11" s="26" t="str">
        <f>IFERROR(INDEX('Base Exámenes'!$F$5:$F$1000, MATCH(A11, 'Base Exámenes'!$C$5:$C$1000, 0)), "")</f>
        <v/>
      </c>
      <c r="J11" s="6" t="str">
        <f>IFERROR(INDEX('Base Exámenes'!$G$5:$G$1000, MATCH(A11, 'Base Exámenes'!$C$5:$C$1000, 0)), "")</f>
        <v/>
      </c>
      <c r="K11" s="6" t="str">
        <f>IFERROR(INDEX('Base Exámenes'!$H$5:$H$1000, MATCH(A11, 'Base Exámenes'!$C$5:$C$1000, 0)), "anonymous")</f>
        <v>anonymous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Exámenes'!$C$5:$C$1000, A12, 'Base Exámenes'!$E$5:$E$1000, "&lt;&gt;")&gt;0, "Completado", "Pendiente")</f>
        <v>Completado</v>
      </c>
      <c r="G12" s="25">
        <f>IFERROR(INDEX('Base Exámenes'!$D$5:$D$1000, MATCH(A12, 'Base Exámenes'!$C$5:$C$1000, 0)), "")</f>
        <v>46304.69274305556</v>
      </c>
      <c r="H12" s="25">
        <f>IFERROR(INDEX('Base Exámenes'!$E$5:$E$1000, MATCH(A12, 'Base Exámenes'!$C$5:$C$1000, 0)), "")</f>
        <v>46304.69452546296</v>
      </c>
      <c r="I12" s="26">
        <f>IFERROR(INDEX('Base Exámenes'!$F$5:$F$1000, MATCH(A12, 'Base Exámenes'!$C$5:$C$1000, 0)), "")</f>
        <v>2.56666666666667</v>
      </c>
      <c r="J12" s="6">
        <f>IFERROR(INDEX('Base Exámenes'!$G$5:$G$1000, MATCH(A12, 'Base Exámenes'!$C$5:$C$1000, 0)), "")</f>
        <v>100</v>
      </c>
      <c r="K12" s="6" t="str">
        <f>IFERROR(INDEX('Base Exámenes'!$H$5:$H$1000, MATCH(A12, 'Base Exámenes'!$C$5:$C$1000, 0)), "anonymous")</f>
        <v>anonymous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Exámenes'!$C$5:$C$1000, A13, 'Base Exámenes'!$E$5:$E$1000, "&lt;&gt;")&gt;0, "Completado", "Pendiente")</f>
        <v>Completado</v>
      </c>
      <c r="G13" s="25">
        <f>IFERROR(INDEX('Base Exámenes'!$D$5:$D$1000, MATCH(A13, 'Base Exámenes'!$C$5:$C$1000, 0)), "")</f>
        <v>46305.40667824074</v>
      </c>
      <c r="H13" s="25">
        <f>IFERROR(INDEX('Base Exámenes'!$E$5:$E$1000, MATCH(A13, 'Base Exámenes'!$C$5:$C$1000, 0)), "")</f>
        <v>46305.40980324074</v>
      </c>
      <c r="I13" s="26">
        <f>IFERROR(INDEX('Base Exámenes'!$F$5:$F$1000, MATCH(A13, 'Base Exámenes'!$C$5:$C$1000, 0)), "")</f>
        <v>4.5</v>
      </c>
      <c r="J13" s="6">
        <f>IFERROR(INDEX('Base Exámenes'!$G$5:$G$1000, MATCH(A13, 'Base Exámenes'!$C$5:$C$1000, 0)), "")</f>
        <v>100</v>
      </c>
      <c r="K13" s="6" t="str">
        <f>IFERROR(INDEX('Base Exámenes'!$H$5:$H$1000, MATCH(A13, 'Base Exámenes'!$C$5:$C$1000, 0)), "anonymous")</f>
        <v>anonymous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Exámenes'!$C$5:$C$1000, A14, 'Base Exámenes'!$E$5:$E$1000, "&lt;&gt;")&gt;0, "Completado", "Pendiente")</f>
        <v>Completado</v>
      </c>
      <c r="G14" s="25">
        <f>IFERROR(INDEX('Base Exámenes'!$D$5:$D$1000, MATCH(A14, 'Base Exámenes'!$C$5:$C$1000, 0)), "")</f>
        <v>46304.406875</v>
      </c>
      <c r="H14" s="25">
        <f>IFERROR(INDEX('Base Exámenes'!$E$5:$E$1000, MATCH(A14, 'Base Exámenes'!$C$5:$C$1000, 0)), "")</f>
        <v>46304.40962962963</v>
      </c>
      <c r="I14" s="26">
        <f>IFERROR(INDEX('Base Exámenes'!$F$5:$F$1000, MATCH(A14, 'Base Exámenes'!$C$5:$C$1000, 0)), "")</f>
        <v>3.96666666666667</v>
      </c>
      <c r="J14" s="6">
        <f>IFERROR(INDEX('Base Exámenes'!$G$5:$G$1000, MATCH(A14, 'Base Exámenes'!$C$5:$C$1000, 0)), "")</f>
        <v>100</v>
      </c>
      <c r="K14" s="6" t="str">
        <f>IFERROR(INDEX('Base Exámenes'!$H$5:$H$1000, MATCH(A14, 'Base Exámenes'!$C$5:$C$1000, 0)), "anonymous")</f>
        <v>anonymous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Exámenes'!$C$5:$C$1000, A15, 'Base Exámenes'!$E$5:$E$1000, "&lt;&gt;")&gt;0, "Completado", "Pendiente")</f>
        <v>Completado</v>
      </c>
      <c r="G15" s="25">
        <f>IFERROR(INDEX('Base Exámenes'!$D$5:$D$1000, MATCH(A15, 'Base Exámenes'!$C$5:$C$1000, 0)), "")</f>
        <v>46296.43667824074</v>
      </c>
      <c r="H15" s="25">
        <f>IFERROR(INDEX('Base Exámenes'!$E$5:$E$1000, MATCH(A15, 'Base Exámenes'!$C$5:$C$1000, 0)), "")</f>
        <v>46296.438796296294</v>
      </c>
      <c r="I15" s="26">
        <f>IFERROR(INDEX('Base Exámenes'!$F$5:$F$1000, MATCH(A15, 'Base Exámenes'!$C$5:$C$1000, 0)), "")</f>
        <v>3.05</v>
      </c>
      <c r="J15" s="6">
        <f>IFERROR(INDEX('Base Exámenes'!$G$5:$G$1000, MATCH(A15, 'Base Exámenes'!$C$5:$C$1000, 0)), "")</f>
        <v>100</v>
      </c>
      <c r="K15" s="6" t="str">
        <f>IFERROR(INDEX('Base Exámenes'!$H$5:$H$1000, MATCH(A15, 'Base Exámenes'!$C$5:$C$1000, 0)), "anonymous")</f>
        <v>anonymous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Exámenes'!$C$5:$C$1000, A16, 'Base Exámenes'!$E$5:$E$1000, "&lt;&gt;")&gt;0, "Completado", "Pendiente")</f>
        <v>Completado</v>
      </c>
      <c r="G16" s="25">
        <f>IFERROR(INDEX('Base Exámenes'!$D$5:$D$1000, MATCH(A16, 'Base Exámenes'!$C$5:$C$1000, 0)), "")</f>
        <v>46300.621516203704</v>
      </c>
      <c r="H16" s="25">
        <f>IFERROR(INDEX('Base Exámenes'!$E$5:$E$1000, MATCH(A16, 'Base Exámenes'!$C$5:$C$1000, 0)), "")</f>
        <v>46300.6309837963</v>
      </c>
      <c r="I16" s="26">
        <f>IFERROR(INDEX('Base Exámenes'!$F$5:$F$1000, MATCH(A16, 'Base Exámenes'!$C$5:$C$1000, 0)), "")</f>
        <v>13.6333333333333</v>
      </c>
      <c r="J16" s="6">
        <f>IFERROR(INDEX('Base Exámenes'!$G$5:$G$1000, MATCH(A16, 'Base Exámenes'!$C$5:$C$1000, 0)), "")</f>
        <v>100</v>
      </c>
      <c r="K16" s="6" t="str">
        <f>IFERROR(INDEX('Base Exámenes'!$H$5:$H$1000, MATCH(A16, 'Base Exámenes'!$C$5:$C$1000, 0)), "anonymous")</f>
        <v>anonymous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Exámenes'!$C$5:$C$1000, A17, 'Base Exámenes'!$E$5:$E$1000, "&lt;&gt;")&gt;0, "Completado", "Pendiente")</f>
        <v>Completado</v>
      </c>
      <c r="G17" s="25">
        <f>IFERROR(INDEX('Base Exámenes'!$D$5:$D$1000, MATCH(A17, 'Base Exámenes'!$C$5:$C$1000, 0)), "")</f>
        <v>46305.39564814815</v>
      </c>
      <c r="H17" s="25">
        <f>IFERROR(INDEX('Base Exámenes'!$E$5:$E$1000, MATCH(A17, 'Base Exámenes'!$C$5:$C$1000, 0)), "")</f>
        <v>46305.39865740741</v>
      </c>
      <c r="I17" s="26">
        <f>IFERROR(INDEX('Base Exámenes'!$F$5:$F$1000, MATCH(A17, 'Base Exámenes'!$C$5:$C$1000, 0)), "")</f>
        <v>4.33333333333333</v>
      </c>
      <c r="J17" s="6">
        <f>IFERROR(INDEX('Base Exámenes'!$G$5:$G$1000, MATCH(A17, 'Base Exámenes'!$C$5:$C$1000, 0)), "")</f>
        <v>100</v>
      </c>
      <c r="K17" s="6" t="str">
        <f>IFERROR(INDEX('Base Exámenes'!$H$5:$H$1000, MATCH(A17, 'Base Exámenes'!$C$5:$C$1000, 0)), "anonymous")</f>
        <v>anonymous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Exámenes'!$C$5:$C$1000, A18, 'Base Exámenes'!$E$5:$E$1000, "&lt;&gt;")&gt;0, "Completado", "Pendiente")</f>
        <v>Completado</v>
      </c>
      <c r="G18" s="25">
        <f>IFERROR(INDEX('Base Exámenes'!$D$5:$D$1000, MATCH(A18, 'Base Exámenes'!$C$5:$C$1000, 0)), "")</f>
        <v>46296.436574074076</v>
      </c>
      <c r="H18" s="25">
        <f>IFERROR(INDEX('Base Exámenes'!$E$5:$E$1000, MATCH(A18, 'Base Exámenes'!$C$5:$C$1000, 0)), "")</f>
        <v>46296.44149305556</v>
      </c>
      <c r="I18" s="26">
        <f>IFERROR(INDEX('Base Exámenes'!$F$5:$F$1000, MATCH(A18, 'Base Exámenes'!$C$5:$C$1000, 0)), "")</f>
        <v>7.08333333333333</v>
      </c>
      <c r="J18" s="6">
        <f>IFERROR(INDEX('Base Exámenes'!$G$5:$G$1000, MATCH(A18, 'Base Exámenes'!$C$5:$C$1000, 0)), "")</f>
        <v>100</v>
      </c>
      <c r="K18" s="6" t="str">
        <f>IFERROR(INDEX('Base Exámenes'!$H$5:$H$1000, MATCH(A18, 'Base Exámenes'!$C$5:$C$1000, 0)), "anonymous")</f>
        <v>anonymous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Exámenes'!$C$5:$C$1000, A19, 'Base Exámenes'!$E$5:$E$1000, "&lt;&gt;")&gt;0, "Completado", "Pendiente")</f>
        <v>Completado</v>
      </c>
      <c r="G19" s="25">
        <f>IFERROR(INDEX('Base Exámenes'!$D$5:$D$1000, MATCH(A19, 'Base Exámenes'!$C$5:$C$1000, 0)), "")</f>
        <v>46296.43665509259</v>
      </c>
      <c r="H19" s="25">
        <f>IFERROR(INDEX('Base Exámenes'!$E$5:$E$1000, MATCH(A19, 'Base Exámenes'!$C$5:$C$1000, 0)), "")</f>
        <v>46296.44137731481</v>
      </c>
      <c r="I19" s="26">
        <f>IFERROR(INDEX('Base Exámenes'!$F$5:$F$1000, MATCH(A19, 'Base Exámenes'!$C$5:$C$1000, 0)), "")</f>
        <v>6.8</v>
      </c>
      <c r="J19" s="6">
        <f>IFERROR(INDEX('Base Exámenes'!$G$5:$G$1000, MATCH(A19, 'Base Exámenes'!$C$5:$C$1000, 0)), "")</f>
        <v>100</v>
      </c>
      <c r="K19" s="6" t="str">
        <f>IFERROR(INDEX('Base Exámenes'!$H$5:$H$1000, MATCH(A19, 'Base Exámenes'!$C$5:$C$1000, 0)), "anonymous")</f>
        <v>anonymous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Exámenes'!$C$5:$C$1000, A20, 'Base Exámenes'!$E$5:$E$1000, "&lt;&gt;")&gt;0, "Completado", "Pendiente")</f>
        <v>Completado</v>
      </c>
      <c r="G20" s="25">
        <f>IFERROR(INDEX('Base Exámenes'!$D$5:$D$1000, MATCH(A20, 'Base Exámenes'!$C$5:$C$1000, 0)), "")</f>
        <v>46296.4371875</v>
      </c>
      <c r="H20" s="25">
        <f>IFERROR(INDEX('Base Exámenes'!$E$5:$E$1000, MATCH(A20, 'Base Exámenes'!$C$5:$C$1000, 0)), "")</f>
        <v>46296.44143518519</v>
      </c>
      <c r="I20" s="26">
        <f>IFERROR(INDEX('Base Exámenes'!$F$5:$F$1000, MATCH(A20, 'Base Exámenes'!$C$5:$C$1000, 0)), "")</f>
        <v>6.11666666666667</v>
      </c>
      <c r="J20" s="6">
        <f>IFERROR(INDEX('Base Exámenes'!$G$5:$G$1000, MATCH(A20, 'Base Exámenes'!$C$5:$C$1000, 0)), "")</f>
        <v>100</v>
      </c>
      <c r="K20" s="6" t="str">
        <f>IFERROR(INDEX('Base Exámenes'!$H$5:$H$1000, MATCH(A20, 'Base Exámenes'!$C$5:$C$1000, 0)), "anonymous")</f>
        <v>anonymous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Exámenes'!$C$5:$C$1000, A21, 'Base Exámenes'!$E$5:$E$1000, "&lt;&gt;")&gt;0, "Completado", "Pendiente")</f>
        <v>Completado</v>
      </c>
      <c r="G21" s="25">
        <f>IFERROR(INDEX('Base Exámenes'!$D$5:$D$1000, MATCH(A21, 'Base Exámenes'!$C$5:$C$1000, 0)), "")</f>
        <v>46296.44082175926</v>
      </c>
      <c r="H21" s="25">
        <f>IFERROR(INDEX('Base Exámenes'!$E$5:$E$1000, MATCH(A21, 'Base Exámenes'!$C$5:$C$1000, 0)), "")</f>
        <v>46296.448969907404</v>
      </c>
      <c r="I21" s="26">
        <f>IFERROR(INDEX('Base Exámenes'!$F$5:$F$1000, MATCH(A21, 'Base Exámenes'!$C$5:$C$1000, 0)), "")</f>
        <v>11.7333333333333</v>
      </c>
      <c r="J21" s="6">
        <f>IFERROR(INDEX('Base Exámenes'!$G$5:$G$1000, MATCH(A21, 'Base Exámenes'!$C$5:$C$1000, 0)), "")</f>
        <v>100</v>
      </c>
      <c r="K21" s="6" t="str">
        <f>IFERROR(INDEX('Base Exámenes'!$H$5:$H$1000, MATCH(A21, 'Base Exámenes'!$C$5:$C$1000, 0)), "anonymous")</f>
        <v>anonymous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Exámenes'!$C$5:$C$1000, A22, 'Base Exámenes'!$E$5:$E$1000, "&lt;&gt;")&gt;0, "Completado", "Pendiente")</f>
        <v>Completado</v>
      </c>
      <c r="G22" s="25">
        <f>IFERROR(INDEX('Base Exámenes'!$D$5:$D$1000, MATCH(A22, 'Base Exámenes'!$C$5:$C$1000, 0)), "")</f>
        <v>46296.44221064815</v>
      </c>
      <c r="H22" s="25">
        <f>IFERROR(INDEX('Base Exámenes'!$E$5:$E$1000, MATCH(A22, 'Base Exámenes'!$C$5:$C$1000, 0)), "")</f>
        <v>46296.44850694444</v>
      </c>
      <c r="I22" s="26">
        <f>IFERROR(INDEX('Base Exámenes'!$F$5:$F$1000, MATCH(A22, 'Base Exámenes'!$C$5:$C$1000, 0)), "")</f>
        <v>9.06666666666667</v>
      </c>
      <c r="J22" s="6">
        <f>IFERROR(INDEX('Base Exámenes'!$G$5:$G$1000, MATCH(A22, 'Base Exámenes'!$C$5:$C$1000, 0)), "")</f>
        <v>85</v>
      </c>
      <c r="K22" s="6" t="str">
        <f>IFERROR(INDEX('Base Exámenes'!$H$5:$H$1000, MATCH(A22, 'Base Exámenes'!$C$5:$C$1000, 0)), "anonymous")</f>
        <v>anonymous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Exámenes'!$C$5:$C$1000, A23, 'Base Exámenes'!$E$5:$E$1000, "&lt;&gt;")&gt;0, "Completado", "Pendiente")</f>
        <v>Completado</v>
      </c>
      <c r="G23" s="25">
        <f>IFERROR(INDEX('Base Exámenes'!$D$5:$D$1000, MATCH(A23, 'Base Exámenes'!$C$5:$C$1000, 0)), "")</f>
        <v>46296.441828703704</v>
      </c>
      <c r="H23" s="25">
        <f>IFERROR(INDEX('Base Exámenes'!$E$5:$E$1000, MATCH(A23, 'Base Exámenes'!$C$5:$C$1000, 0)), "")</f>
        <v>46296.44851851852</v>
      </c>
      <c r="I23" s="26">
        <f>IFERROR(INDEX('Base Exámenes'!$F$5:$F$1000, MATCH(A23, 'Base Exámenes'!$C$5:$C$1000, 0)), "")</f>
        <v>9.63333333333333</v>
      </c>
      <c r="J23" s="6">
        <f>IFERROR(INDEX('Base Exámenes'!$G$5:$G$1000, MATCH(A23, 'Base Exámenes'!$C$5:$C$1000, 0)), "")</f>
        <v>100</v>
      </c>
      <c r="K23" s="6" t="str">
        <f>IFERROR(INDEX('Base Exámenes'!$H$5:$H$1000, MATCH(A23, 'Base Exámenes'!$C$5:$C$1000, 0)), "anonymous")</f>
        <v>anonymous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Exámenes'!$C$5:$C$1000, A24, 'Base Exámenes'!$E$5:$E$1000, "&lt;&gt;")&gt;0, "Completado", "Pendiente")</f>
        <v>Completado</v>
      </c>
      <c r="G24" s="25">
        <f>IFERROR(INDEX('Base Exámenes'!$D$5:$D$1000, MATCH(A24, 'Base Exámenes'!$C$5:$C$1000, 0)), "")</f>
        <v>46296.44081018519</v>
      </c>
      <c r="H24" s="25">
        <f>IFERROR(INDEX('Base Exámenes'!$E$5:$E$1000, MATCH(A24, 'Base Exámenes'!$C$5:$C$1000, 0)), "")</f>
        <v>46296.44909722222</v>
      </c>
      <c r="I24" s="26">
        <f>IFERROR(INDEX('Base Exámenes'!$F$5:$F$1000, MATCH(A24, 'Base Exámenes'!$C$5:$C$1000, 0)), "")</f>
        <v>11.9333333333333</v>
      </c>
      <c r="J24" s="6">
        <f>IFERROR(INDEX('Base Exámenes'!$G$5:$G$1000, MATCH(A24, 'Base Exámenes'!$C$5:$C$1000, 0)), "")</f>
        <v>100</v>
      </c>
      <c r="K24" s="6" t="str">
        <f>IFERROR(INDEX('Base Exámenes'!$H$5:$H$1000, MATCH(A24, 'Base Exámenes'!$C$5:$C$1000, 0)), "anonymous")</f>
        <v>anonymous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Exámenes'!$C$5:$C$1000, A25, 'Base Exámenes'!$E$5:$E$1000, "&lt;&gt;")&gt;0, "Completado", "Pendiente")</f>
        <v>Pendiente</v>
      </c>
      <c r="G25" s="25" t="str">
        <f>IFERROR(INDEX('Base Exámenes'!$D$5:$D$1000, MATCH(A25, 'Base Exámenes'!$C$5:$C$1000, 0)), "")</f>
        <v/>
      </c>
      <c r="H25" s="25" t="str">
        <f>IFERROR(INDEX('Base Exámenes'!$E$5:$E$1000, MATCH(A25, 'Base Exámenes'!$C$5:$C$1000, 0)), "")</f>
        <v/>
      </c>
      <c r="I25" s="26" t="str">
        <f>IFERROR(INDEX('Base Exámenes'!$F$5:$F$1000, MATCH(A25, 'Base Exámenes'!$C$5:$C$1000, 0)), "")</f>
        <v/>
      </c>
      <c r="J25" s="6" t="str">
        <f>IFERROR(INDEX('Base Exámenes'!$G$5:$G$1000, MATCH(A25, 'Base Exámenes'!$C$5:$C$1000, 0)), "")</f>
        <v/>
      </c>
      <c r="K25" s="6" t="str">
        <f>IFERROR(INDEX('Base Exámenes'!$H$5:$H$1000, MATCH(A25, 'Base Exámenes'!$C$5:$C$1000, 0)), "anonymous")</f>
        <v>anonymous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Exámenes'!$C$5:$C$1000, A26, 'Base Exámenes'!$E$5:$E$1000, "&lt;&gt;")&gt;0, "Completado", "Pendiente")</f>
        <v>Completado</v>
      </c>
      <c r="G26" s="25">
        <f>IFERROR(INDEX('Base Exámenes'!$D$5:$D$1000, MATCH(A26, 'Base Exámenes'!$C$5:$C$1000, 0)), "")</f>
        <v>46300.80671296296</v>
      </c>
      <c r="H26" s="25">
        <f>IFERROR(INDEX('Base Exámenes'!$E$5:$E$1000, MATCH(A26, 'Base Exámenes'!$C$5:$C$1000, 0)), "")</f>
        <v>46300.81421296296</v>
      </c>
      <c r="I26" s="26">
        <f>IFERROR(INDEX('Base Exámenes'!$F$5:$F$1000, MATCH(A26, 'Base Exámenes'!$C$5:$C$1000, 0)), "")</f>
        <v>10.8</v>
      </c>
      <c r="J26" s="6">
        <f>IFERROR(INDEX('Base Exámenes'!$G$5:$G$1000, MATCH(A26, 'Base Exámenes'!$C$5:$C$1000, 0)), "")</f>
        <v>90</v>
      </c>
      <c r="K26" s="6" t="str">
        <f>IFERROR(INDEX('Base Exámenes'!$H$5:$H$1000, MATCH(A26, 'Base Exámenes'!$C$5:$C$1000, 0)), "anonymous")</f>
        <v>anonymous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Exámenes'!$C$5:$C$1000, A27, 'Base Exámenes'!$E$5:$E$1000, "&lt;&gt;")&gt;0, "Completado", "Pendiente")</f>
        <v>Completado</v>
      </c>
      <c r="G27" s="25">
        <f>IFERROR(INDEX('Base Exámenes'!$D$5:$D$1000, MATCH(A27, 'Base Exámenes'!$C$5:$C$1000, 0)), "")</f>
        <v>46300.65453703704</v>
      </c>
      <c r="H27" s="25">
        <f>IFERROR(INDEX('Base Exámenes'!$E$5:$E$1000, MATCH(A27, 'Base Exámenes'!$C$5:$C$1000, 0)), "")</f>
        <v>46300.665671296294</v>
      </c>
      <c r="I27" s="26">
        <f>IFERROR(INDEX('Base Exámenes'!$F$5:$F$1000, MATCH(A27, 'Base Exámenes'!$C$5:$C$1000, 0)), "")</f>
        <v>16.0333333333333</v>
      </c>
      <c r="J27" s="6">
        <f>IFERROR(INDEX('Base Exámenes'!$G$5:$G$1000, MATCH(A27, 'Base Exámenes'!$C$5:$C$1000, 0)), "")</f>
        <v>100</v>
      </c>
      <c r="K27" s="6" t="str">
        <f>IFERROR(INDEX('Base Exámenes'!$H$5:$H$1000, MATCH(A27, 'Base Exámenes'!$C$5:$C$1000, 0)), "anonymous")</f>
        <v>anonymous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Exámenes'!$C$5:$C$1000, A28, 'Base Exámenes'!$E$5:$E$1000, "&lt;&gt;")&gt;0, "Completado", "Pendiente")</f>
        <v>Completado</v>
      </c>
      <c r="G28" s="25">
        <f>IFERROR(INDEX('Base Exámenes'!$D$5:$D$1000, MATCH(A28, 'Base Exámenes'!$C$5:$C$1000, 0)), "")</f>
        <v>46297.834652777776</v>
      </c>
      <c r="H28" s="25">
        <f>IFERROR(INDEX('Base Exámenes'!$E$5:$E$1000, MATCH(A28, 'Base Exámenes'!$C$5:$C$1000, 0)), "")</f>
        <v>46297.84905092593</v>
      </c>
      <c r="I28" s="26">
        <f>IFERROR(INDEX('Base Exámenes'!$F$5:$F$1000, MATCH(A28, 'Base Exámenes'!$C$5:$C$1000, 0)), "")</f>
        <v>20.7333333333333</v>
      </c>
      <c r="J28" s="6">
        <f>IFERROR(INDEX('Base Exámenes'!$G$5:$G$1000, MATCH(A28, 'Base Exámenes'!$C$5:$C$1000, 0)), "")</f>
        <v>80</v>
      </c>
      <c r="K28" s="6" t="str">
        <f>IFERROR(INDEX('Base Exámenes'!$H$5:$H$1000, MATCH(A28, 'Base Exámenes'!$C$5:$C$1000, 0)), "anonymous")</f>
        <v>anonymous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Exámenes'!$C$5:$C$1000, A29, 'Base Exámenes'!$E$5:$E$1000, "&lt;&gt;")&gt;0, "Completado", "Pendiente")</f>
        <v>Completado</v>
      </c>
      <c r="G29" s="25">
        <f>IFERROR(INDEX('Base Exámenes'!$D$5:$D$1000, MATCH(A29, 'Base Exámenes'!$C$5:$C$1000, 0)), "")</f>
        <v>46298.41678240741</v>
      </c>
      <c r="H29" s="25">
        <f>IFERROR(INDEX('Base Exámenes'!$E$5:$E$1000, MATCH(A29, 'Base Exámenes'!$C$5:$C$1000, 0)), "")</f>
        <v>46298.4184375</v>
      </c>
      <c r="I29" s="26">
        <f>IFERROR(INDEX('Base Exámenes'!$F$5:$F$1000, MATCH(A29, 'Base Exámenes'!$C$5:$C$1000, 0)), "")</f>
        <v>2.38333333333333</v>
      </c>
      <c r="J29" s="6">
        <f>IFERROR(INDEX('Base Exámenes'!$G$5:$G$1000, MATCH(A29, 'Base Exámenes'!$C$5:$C$1000, 0)), "")</f>
        <v>90</v>
      </c>
      <c r="K29" s="6" t="str">
        <f>IFERROR(INDEX('Base Exámenes'!$H$5:$H$1000, MATCH(A29, 'Base Exámenes'!$C$5:$C$1000, 0)), "anonymous")</f>
        <v>anonymous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Exámenes'!$C$5:$C$1000, A30, 'Base Exámenes'!$E$5:$E$1000, "&lt;&gt;")&gt;0, "Completado", "Pendiente")</f>
        <v>Completado</v>
      </c>
      <c r="G30" s="25">
        <f>IFERROR(INDEX('Base Exámenes'!$D$5:$D$1000, MATCH(A30, 'Base Exámenes'!$C$5:$C$1000, 0)), "")</f>
        <v>46298.33667824074</v>
      </c>
      <c r="H30" s="25">
        <f>IFERROR(INDEX('Base Exámenes'!$E$5:$E$1000, MATCH(A30, 'Base Exámenes'!$C$5:$C$1000, 0)), "")</f>
        <v>46298.34488425926</v>
      </c>
      <c r="I30" s="26">
        <f>IFERROR(INDEX('Base Exámenes'!$F$5:$F$1000, MATCH(A30, 'Base Exámenes'!$C$5:$C$1000, 0)), "")</f>
        <v>11.8166666666667</v>
      </c>
      <c r="J30" s="6">
        <f>IFERROR(INDEX('Base Exámenes'!$G$5:$G$1000, MATCH(A30, 'Base Exámenes'!$C$5:$C$1000, 0)), "")</f>
        <v>40</v>
      </c>
      <c r="K30" s="6" t="str">
        <f>IFERROR(INDEX('Base Exámenes'!$H$5:$H$1000, MATCH(A30, 'Base Exámenes'!$C$5:$C$1000, 0)), "anonymous")</f>
        <v>anonymous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Exámenes'!$C$5:$C$1000, A31, 'Base Exámenes'!$E$5:$E$1000, "&lt;&gt;")&gt;0, "Completado", "Pendiente")</f>
        <v>Pendiente</v>
      </c>
      <c r="G31" s="25" t="str">
        <f>IFERROR(INDEX('Base Exámenes'!$D$5:$D$1000, MATCH(A31, 'Base Exámenes'!$C$5:$C$1000, 0)), "")</f>
        <v/>
      </c>
      <c r="H31" s="25" t="str">
        <f>IFERROR(INDEX('Base Exámenes'!$E$5:$E$1000, MATCH(A31, 'Base Exámenes'!$C$5:$C$1000, 0)), "")</f>
        <v/>
      </c>
      <c r="I31" s="26" t="str">
        <f>IFERROR(INDEX('Base Exámenes'!$F$5:$F$1000, MATCH(A31, 'Base Exámenes'!$C$5:$C$1000, 0)), "")</f>
        <v/>
      </c>
      <c r="J31" s="6" t="str">
        <f>IFERROR(INDEX('Base Exámenes'!$G$5:$G$1000, MATCH(A31, 'Base Exámenes'!$C$5:$C$1000, 0)), "")</f>
        <v/>
      </c>
      <c r="K31" s="6" t="str">
        <f>IFERROR(INDEX('Base Exámenes'!$H$5:$H$1000, MATCH(A31, 'Base Exámenes'!$C$5:$C$1000, 0)), "anonymous")</f>
        <v>anonymous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Exámenes'!$C$5:$C$1000, A32, 'Base Exámenes'!$E$5:$E$1000, "&lt;&gt;")&gt;0, "Completado", "Pendiente")</f>
        <v>Completado</v>
      </c>
      <c r="G32" s="25">
        <f>IFERROR(INDEX('Base Exámenes'!$D$5:$D$1000, MATCH(A32, 'Base Exámenes'!$C$5:$C$1000, 0)), "")</f>
        <v>46297.84774305556</v>
      </c>
      <c r="H32" s="25">
        <f>IFERROR(INDEX('Base Exámenes'!$E$5:$E$1000, MATCH(A32, 'Base Exámenes'!$C$5:$C$1000, 0)), "")</f>
        <v>46297.85355324074</v>
      </c>
      <c r="I32" s="26">
        <f>IFERROR(INDEX('Base Exámenes'!$F$5:$F$1000, MATCH(A32, 'Base Exámenes'!$C$5:$C$1000, 0)), "")</f>
        <v>8.36666666666667</v>
      </c>
      <c r="J32" s="6">
        <f>IFERROR(INDEX('Base Exámenes'!$G$5:$G$1000, MATCH(A32, 'Base Exámenes'!$C$5:$C$1000, 0)), "")</f>
        <v>85</v>
      </c>
      <c r="K32" s="6" t="str">
        <f>IFERROR(INDEX('Base Exámenes'!$H$5:$H$1000, MATCH(A32, 'Base Exámenes'!$C$5:$C$1000, 0)), "anonymous")</f>
        <v>anonymous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Exámenes'!$C$5:$C$1000, A33, 'Base Exámenes'!$E$5:$E$1000, "&lt;&gt;")&gt;0, "Completado", "Pendiente")</f>
        <v>Completado</v>
      </c>
      <c r="G33" s="25">
        <f>IFERROR(INDEX('Base Exámenes'!$D$5:$D$1000, MATCH(A33, 'Base Exámenes'!$C$5:$C$1000, 0)), "")</f>
        <v>46298.40037037037</v>
      </c>
      <c r="H33" s="25">
        <f>IFERROR(INDEX('Base Exámenes'!$E$5:$E$1000, MATCH(A33, 'Base Exámenes'!$C$5:$C$1000, 0)), "")</f>
        <v>46298.41559027778</v>
      </c>
      <c r="I33" s="26">
        <f>IFERROR(INDEX('Base Exámenes'!$F$5:$F$1000, MATCH(A33, 'Base Exámenes'!$C$5:$C$1000, 0)), "")</f>
        <v>21.9166666666667</v>
      </c>
      <c r="J33" s="6">
        <f>IFERROR(INDEX('Base Exámenes'!$G$5:$G$1000, MATCH(A33, 'Base Exámenes'!$C$5:$C$1000, 0)), "")</f>
        <v>90</v>
      </c>
      <c r="K33" s="6" t="str">
        <f>IFERROR(INDEX('Base Exámenes'!$H$5:$H$1000, MATCH(A33, 'Base Exámenes'!$C$5:$C$1000, 0)), "anonymous")</f>
        <v>anonymous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Exámenes'!$C$5:$C$1000, A34, 'Base Exámenes'!$E$5:$E$1000, "&lt;&gt;")&gt;0, "Completado", "Pendiente")</f>
        <v>Completado</v>
      </c>
      <c r="G34" s="25">
        <f>IFERROR(INDEX('Base Exámenes'!$D$5:$D$1000, MATCH(A34, 'Base Exámenes'!$C$5:$C$1000, 0)), "")</f>
        <v>46300.7419212963</v>
      </c>
      <c r="H34" s="25">
        <f>IFERROR(INDEX('Base Exámenes'!$E$5:$E$1000, MATCH(A34, 'Base Exámenes'!$C$5:$C$1000, 0)), "")</f>
        <v>46300.748703703706</v>
      </c>
      <c r="I34" s="26">
        <f>IFERROR(INDEX('Base Exámenes'!$F$5:$F$1000, MATCH(A34, 'Base Exámenes'!$C$5:$C$1000, 0)), "")</f>
        <v>9.76666666666667</v>
      </c>
      <c r="J34" s="6">
        <f>IFERROR(INDEX('Base Exámenes'!$G$5:$G$1000, MATCH(A34, 'Base Exámenes'!$C$5:$C$1000, 0)), "")</f>
        <v>100</v>
      </c>
      <c r="K34" s="6" t="str">
        <f>IFERROR(INDEX('Base Exámenes'!$H$5:$H$1000, MATCH(A34, 'Base Exámenes'!$C$5:$C$1000, 0)), "anonymous")</f>
        <v>anonymous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Exámenes'!$C$5:$C$1000, A35, 'Base Exámenes'!$E$5:$E$1000, "&lt;&gt;")&gt;0, "Completado", "Pendiente")</f>
        <v>Completado</v>
      </c>
      <c r="G35" s="25">
        <f>IFERROR(INDEX('Base Exámenes'!$D$5:$D$1000, MATCH(A35, 'Base Exámenes'!$C$5:$C$1000, 0)), "")</f>
        <v>46298.29701388889</v>
      </c>
      <c r="H35" s="25">
        <f>IFERROR(INDEX('Base Exámenes'!$E$5:$E$1000, MATCH(A35, 'Base Exámenes'!$C$5:$C$1000, 0)), "")</f>
        <v>46298.300208333334</v>
      </c>
      <c r="I35" s="26">
        <f>IFERROR(INDEX('Base Exámenes'!$F$5:$F$1000, MATCH(A35, 'Base Exámenes'!$C$5:$C$1000, 0)), "")</f>
        <v>4.6</v>
      </c>
      <c r="J35" s="6">
        <f>IFERROR(INDEX('Base Exámenes'!$G$5:$G$1000, MATCH(A35, 'Base Exámenes'!$C$5:$C$1000, 0)), "")</f>
        <v>80</v>
      </c>
      <c r="K35" s="6" t="str">
        <f>IFERROR(INDEX('Base Exámenes'!$H$5:$H$1000, MATCH(A35, 'Base Exámenes'!$C$5:$C$1000, 0)), "anonymous")</f>
        <v>anonymous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Exámenes'!$C$5:$C$1000, A36, 'Base Exámenes'!$E$5:$E$1000, "&lt;&gt;")&gt;0, "Completado", "Pendiente")</f>
        <v>Completado</v>
      </c>
      <c r="G36" s="25">
        <f>IFERROR(INDEX('Base Exámenes'!$D$5:$D$1000, MATCH(A36, 'Base Exámenes'!$C$5:$C$1000, 0)), "")</f>
        <v>46300.70214120371</v>
      </c>
      <c r="H36" s="25">
        <f>IFERROR(INDEX('Base Exámenes'!$E$5:$E$1000, MATCH(A36, 'Base Exámenes'!$C$5:$C$1000, 0)), "")</f>
        <v>46300.70883101852</v>
      </c>
      <c r="I36" s="26">
        <f>IFERROR(INDEX('Base Exámenes'!$F$5:$F$1000, MATCH(A36, 'Base Exámenes'!$C$5:$C$1000, 0)), "")</f>
        <v>9.63333333333333</v>
      </c>
      <c r="J36" s="6">
        <f>IFERROR(INDEX('Base Exámenes'!$G$5:$G$1000, MATCH(A36, 'Base Exámenes'!$C$5:$C$1000, 0)), "")</f>
        <v>60</v>
      </c>
      <c r="K36" s="6" t="str">
        <f>IFERROR(INDEX('Base Exámenes'!$H$5:$H$1000, MATCH(A36, 'Base Exámenes'!$C$5:$C$1000, 0)), "anonymous")</f>
        <v>anonymous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Exámenes'!$C$5:$C$1000, A37, 'Base Exámenes'!$E$5:$E$1000, "&lt;&gt;")&gt;0, "Completado", "Pendiente")</f>
        <v>Completado</v>
      </c>
      <c r="G37" s="25">
        <f>IFERROR(INDEX('Base Exámenes'!$D$5:$D$1000, MATCH(A37, 'Base Exámenes'!$C$5:$C$1000, 0)), "")</f>
        <v>46300.394525462965</v>
      </c>
      <c r="H37" s="25">
        <f>IFERROR(INDEX('Base Exámenes'!$E$5:$E$1000, MATCH(A37, 'Base Exámenes'!$C$5:$C$1000, 0)), "")</f>
        <v>46300.39962962963</v>
      </c>
      <c r="I37" s="26">
        <f>IFERROR(INDEX('Base Exámenes'!$F$5:$F$1000, MATCH(A37, 'Base Exámenes'!$C$5:$C$1000, 0)), "")</f>
        <v>7.35</v>
      </c>
      <c r="J37" s="6">
        <f>IFERROR(INDEX('Base Exámenes'!$G$5:$G$1000, MATCH(A37, 'Base Exámenes'!$C$5:$C$1000, 0)), "")</f>
        <v>95</v>
      </c>
      <c r="K37" s="6" t="str">
        <f>IFERROR(INDEX('Base Exámenes'!$H$5:$H$1000, MATCH(A37, 'Base Exámenes'!$C$5:$C$1000, 0)), "anonymous")</f>
        <v>anonymous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Exámenes'!$C$5:$C$1000, A38, 'Base Exámenes'!$E$5:$E$1000, "&lt;&gt;")&gt;0, "Completado", "Pendiente")</f>
        <v>Completado</v>
      </c>
      <c r="G38" s="25">
        <f>IFERROR(INDEX('Base Exámenes'!$D$5:$D$1000, MATCH(A38, 'Base Exámenes'!$C$5:$C$1000, 0)), "")</f>
        <v>46300.52502314815</v>
      </c>
      <c r="H38" s="25">
        <f>IFERROR(INDEX('Base Exámenes'!$E$5:$E$1000, MATCH(A38, 'Base Exámenes'!$C$5:$C$1000, 0)), "")</f>
        <v>46300.53921296296</v>
      </c>
      <c r="I38" s="26">
        <f>IFERROR(INDEX('Base Exámenes'!$F$5:$F$1000, MATCH(A38, 'Base Exámenes'!$C$5:$C$1000, 0)), "")</f>
        <v>20.4333333333333</v>
      </c>
      <c r="J38" s="6">
        <f>IFERROR(INDEX('Base Exámenes'!$G$5:$G$1000, MATCH(A38, 'Base Exámenes'!$C$5:$C$1000, 0)), "")</f>
        <v>90</v>
      </c>
      <c r="K38" s="6" t="str">
        <f>IFERROR(INDEX('Base Exámenes'!$H$5:$H$1000, MATCH(A38, 'Base Exámenes'!$C$5:$C$1000, 0)), "anonymous")</f>
        <v>anonymous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Exámenes'!$C$5:$C$1000, A39, 'Base Exámenes'!$E$5:$E$1000, "&lt;&gt;")&gt;0, "Completado", "Pendiente")</f>
        <v>Completado</v>
      </c>
      <c r="G39" s="25">
        <f>IFERROR(INDEX('Base Exámenes'!$D$5:$D$1000, MATCH(A39, 'Base Exámenes'!$C$5:$C$1000, 0)), "")</f>
        <v>46298.40277777778</v>
      </c>
      <c r="H39" s="25">
        <f>IFERROR(INDEX('Base Exámenes'!$E$5:$E$1000, MATCH(A39, 'Base Exámenes'!$C$5:$C$1000, 0)), "")</f>
        <v>46298.41583333333</v>
      </c>
      <c r="I39" s="26">
        <f>IFERROR(INDEX('Base Exámenes'!$F$5:$F$1000, MATCH(A39, 'Base Exámenes'!$C$5:$C$1000, 0)), "")</f>
        <v>18.8</v>
      </c>
      <c r="J39" s="6">
        <f>IFERROR(INDEX('Base Exámenes'!$G$5:$G$1000, MATCH(A39, 'Base Exámenes'!$C$5:$C$1000, 0)), "")</f>
        <v>100</v>
      </c>
      <c r="K39" s="6" t="str">
        <f>IFERROR(INDEX('Base Exámenes'!$H$5:$H$1000, MATCH(A39, 'Base Exámenes'!$C$5:$C$1000, 0)), "anonymous")</f>
        <v>anonymous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Exámenes'!$C$5:$C$1000, A40, 'Base Exámenes'!$E$5:$E$1000, "&lt;&gt;")&gt;0, "Completado", "Pendiente")</f>
        <v>Completado</v>
      </c>
      <c r="G40" s="25">
        <f>IFERROR(INDEX('Base Exámenes'!$D$5:$D$1000, MATCH(A40, 'Base Exámenes'!$C$5:$C$1000, 0)), "")</f>
        <v>46300.60138888889</v>
      </c>
      <c r="H40" s="25">
        <f>IFERROR(INDEX('Base Exámenes'!$E$5:$E$1000, MATCH(A40, 'Base Exámenes'!$C$5:$C$1000, 0)), "")</f>
        <v>46300.60789351852</v>
      </c>
      <c r="I40" s="26">
        <f>IFERROR(INDEX('Base Exámenes'!$F$5:$F$1000, MATCH(A40, 'Base Exámenes'!$C$5:$C$1000, 0)), "")</f>
        <v>9.36666666666667</v>
      </c>
      <c r="J40" s="6">
        <f>IFERROR(INDEX('Base Exámenes'!$G$5:$G$1000, MATCH(A40, 'Base Exámenes'!$C$5:$C$1000, 0)), "")</f>
        <v>90</v>
      </c>
      <c r="K40" s="6" t="str">
        <f>IFERROR(INDEX('Base Exámenes'!$H$5:$H$1000, MATCH(A40, 'Base Exámenes'!$C$5:$C$1000, 0)), "anonymous")</f>
        <v>anonymous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Exámenes'!$C$5:$C$1000, A41, 'Base Exámenes'!$E$5:$E$1000, "&lt;&gt;")&gt;0, "Completado", "Pendiente")</f>
        <v>Completado</v>
      </c>
      <c r="G41" s="25">
        <f>IFERROR(INDEX('Base Exámenes'!$D$5:$D$1000, MATCH(A41, 'Base Exámenes'!$C$5:$C$1000, 0)), "")</f>
        <v>46297.771944444445</v>
      </c>
      <c r="H41" s="25">
        <f>IFERROR(INDEX('Base Exámenes'!$E$5:$E$1000, MATCH(A41, 'Base Exámenes'!$C$5:$C$1000, 0)), "")</f>
        <v>46297.78946759259</v>
      </c>
      <c r="I41" s="26">
        <f>IFERROR(INDEX('Base Exámenes'!$F$5:$F$1000, MATCH(A41, 'Base Exámenes'!$C$5:$C$1000, 0)), "")</f>
        <v>25.2333333333333</v>
      </c>
      <c r="J41" s="6">
        <f>IFERROR(INDEX('Base Exámenes'!$G$5:$G$1000, MATCH(A41, 'Base Exámenes'!$C$5:$C$1000, 0)), "")</f>
        <v>90</v>
      </c>
      <c r="K41" s="6" t="str">
        <f>IFERROR(INDEX('Base Exámenes'!$H$5:$H$1000, MATCH(A41, 'Base Exámenes'!$C$5:$C$1000, 0)), "anonymous")</f>
        <v>anonymous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Exámenes'!$C$5:$C$1000, A42, 'Base Exámenes'!$E$5:$E$1000, "&lt;&gt;")&gt;0, "Completado", "Pendiente")</f>
        <v>Completado</v>
      </c>
      <c r="G42" s="25">
        <f>IFERROR(INDEX('Base Exámenes'!$D$5:$D$1000, MATCH(A42, 'Base Exámenes'!$C$5:$C$1000, 0)), "")</f>
        <v>46304.51767361111</v>
      </c>
      <c r="H42" s="25">
        <f>IFERROR(INDEX('Base Exámenes'!$E$5:$E$1000, MATCH(A42, 'Base Exámenes'!$C$5:$C$1000, 0)), "")</f>
        <v>46304.520787037036</v>
      </c>
      <c r="I42" s="26">
        <f>IFERROR(INDEX('Base Exámenes'!$F$5:$F$1000, MATCH(A42, 'Base Exámenes'!$C$5:$C$1000, 0)), "")</f>
        <v>4.48333333333333</v>
      </c>
      <c r="J42" s="6">
        <f>IFERROR(INDEX('Base Exámenes'!$G$5:$G$1000, MATCH(A42, 'Base Exámenes'!$C$5:$C$1000, 0)), "")</f>
        <v>90</v>
      </c>
      <c r="K42" s="6" t="str">
        <f>IFERROR(INDEX('Base Exámenes'!$H$5:$H$1000, MATCH(A42, 'Base Exámenes'!$C$5:$C$1000, 0)), "anonymous")</f>
        <v>anonymous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Exámenes'!$C$5:$C$1000, A43, 'Base Exámenes'!$E$5:$E$1000, "&lt;&gt;")&gt;0, "Completado", "Pendiente")</f>
        <v>Completado</v>
      </c>
      <c r="G43" s="25">
        <f>IFERROR(INDEX('Base Exámenes'!$D$5:$D$1000, MATCH(A43, 'Base Exámenes'!$C$5:$C$1000, 0)), "")</f>
        <v>46304.701215277775</v>
      </c>
      <c r="H43" s="25">
        <f>IFERROR(INDEX('Base Exámenes'!$E$5:$E$1000, MATCH(A43, 'Base Exámenes'!$C$5:$C$1000, 0)), "")</f>
        <v>46304.70379629629</v>
      </c>
      <c r="I43" s="26">
        <f>IFERROR(INDEX('Base Exámenes'!$F$5:$F$1000, MATCH(A43, 'Base Exámenes'!$C$5:$C$1000, 0)), "")</f>
        <v>3.71666666666667</v>
      </c>
      <c r="J43" s="6">
        <f>IFERROR(INDEX('Base Exámenes'!$G$5:$G$1000, MATCH(A43, 'Base Exámenes'!$C$5:$C$1000, 0)), "")</f>
        <v>100</v>
      </c>
      <c r="K43" s="6" t="str">
        <f>IFERROR(INDEX('Base Exámenes'!$H$5:$H$1000, MATCH(A43, 'Base Exámenes'!$C$5:$C$1000, 0)), "anonymous")</f>
        <v>anonymous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Exámenes'!$C$5:$C$1000, A44, 'Base Exámenes'!$E$5:$E$1000, "&lt;&gt;")&gt;0, "Completado", "Pendiente")</f>
        <v>Completado</v>
      </c>
      <c r="G44" s="25">
        <f>IFERROR(INDEX('Base Exámenes'!$D$5:$D$1000, MATCH(A44, 'Base Exámenes'!$C$5:$C$1000, 0)), "")</f>
        <v>46304.416041666664</v>
      </c>
      <c r="H44" s="25">
        <f>IFERROR(INDEX('Base Exámenes'!$E$5:$E$1000, MATCH(A44, 'Base Exámenes'!$C$5:$C$1000, 0)), "")</f>
        <v>46304.422789351855</v>
      </c>
      <c r="I44" s="26">
        <f>IFERROR(INDEX('Base Exámenes'!$F$5:$F$1000, MATCH(A44, 'Base Exámenes'!$C$5:$C$1000, 0)), "")</f>
        <v>9.71666666666667</v>
      </c>
      <c r="J44" s="6">
        <f>IFERROR(INDEX('Base Exámenes'!$G$5:$G$1000, MATCH(A44, 'Base Exámenes'!$C$5:$C$1000, 0)), "")</f>
        <v>100</v>
      </c>
      <c r="K44" s="6" t="str">
        <f>IFERROR(INDEX('Base Exámenes'!$H$5:$H$1000, MATCH(A44, 'Base Exámenes'!$C$5:$C$1000, 0)), "anonymous")</f>
        <v>anonymous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Exámenes'!$C$5:$C$1000, A45, 'Base Exámenes'!$E$5:$E$1000, "&lt;&gt;")&gt;0, "Completado", "Pendiente")</f>
        <v>Completado</v>
      </c>
      <c r="G45" s="25">
        <f>IFERROR(INDEX('Base Exámenes'!$D$5:$D$1000, MATCH(A45, 'Base Exámenes'!$C$5:$C$1000, 0)), "")</f>
        <v>46304.68376157407</v>
      </c>
      <c r="H45" s="25">
        <f>IFERROR(INDEX('Base Exámenes'!$E$5:$E$1000, MATCH(A45, 'Base Exámenes'!$C$5:$C$1000, 0)), "")</f>
        <v>46304.685949074075</v>
      </c>
      <c r="I45" s="26">
        <f>IFERROR(INDEX('Base Exámenes'!$F$5:$F$1000, MATCH(A45, 'Base Exámenes'!$C$5:$C$1000, 0)), "")</f>
        <v>3.15</v>
      </c>
      <c r="J45" s="6">
        <f>IFERROR(INDEX('Base Exámenes'!$G$5:$G$1000, MATCH(A45, 'Base Exámenes'!$C$5:$C$1000, 0)), "")</f>
        <v>100</v>
      </c>
      <c r="K45" s="6" t="str">
        <f>IFERROR(INDEX('Base Exámenes'!$H$5:$H$1000, MATCH(A45, 'Base Exámenes'!$C$5:$C$1000, 0)), "anonymous")</f>
        <v>anonymous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Exámenes'!$C$5:$C$1000, A46, 'Base Exámenes'!$E$5:$E$1000, "&lt;&gt;")&gt;0, "Completado", "Pendiente")</f>
        <v>Completado</v>
      </c>
      <c r="G46" s="25">
        <f>IFERROR(INDEX('Base Exámenes'!$D$5:$D$1000, MATCH(A46, 'Base Exámenes'!$C$5:$C$1000, 0)), "")</f>
        <v>46304.66388888889</v>
      </c>
      <c r="H46" s="25">
        <f>IFERROR(INDEX('Base Exámenes'!$E$5:$E$1000, MATCH(A46, 'Base Exámenes'!$C$5:$C$1000, 0)), "")</f>
        <v>46304.67644675926</v>
      </c>
      <c r="I46" s="26">
        <f>IFERROR(INDEX('Base Exámenes'!$F$5:$F$1000, MATCH(A46, 'Base Exámenes'!$C$5:$C$1000, 0)), "")</f>
        <v>18.0833333333333</v>
      </c>
      <c r="J46" s="6">
        <f>IFERROR(INDEX('Base Exámenes'!$G$5:$G$1000, MATCH(A46, 'Base Exámenes'!$C$5:$C$1000, 0)), "")</f>
        <v>100</v>
      </c>
      <c r="K46" s="6" t="str">
        <f>IFERROR(INDEX('Base Exámenes'!$H$5:$H$1000, MATCH(A46, 'Base Exámenes'!$C$5:$C$1000, 0)), "anonymous")</f>
        <v>anonymous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Exámenes'!$C$5:$C$1000, A47, 'Base Exámenes'!$E$5:$E$1000, "&lt;&gt;")&gt;0, "Completado", "Pendiente")</f>
        <v>Completado</v>
      </c>
      <c r="G47" s="25">
        <f>IFERROR(INDEX('Base Exámenes'!$D$5:$D$1000, MATCH(A47, 'Base Exámenes'!$C$5:$C$1000, 0)), "")</f>
        <v>46304.681238425925</v>
      </c>
      <c r="H47" s="25">
        <f>IFERROR(INDEX('Base Exámenes'!$E$5:$E$1000, MATCH(A47, 'Base Exámenes'!$C$5:$C$1000, 0)), "")</f>
        <v>46304.682708333334</v>
      </c>
      <c r="I47" s="26">
        <f>IFERROR(INDEX('Base Exámenes'!$F$5:$F$1000, MATCH(A47, 'Base Exámenes'!$C$5:$C$1000, 0)), "")</f>
        <v>2.11666666666667</v>
      </c>
      <c r="J47" s="6">
        <f>IFERROR(INDEX('Base Exámenes'!$G$5:$G$1000, MATCH(A47, 'Base Exámenes'!$C$5:$C$1000, 0)), "")</f>
        <v>100</v>
      </c>
      <c r="K47" s="6" t="str">
        <f>IFERROR(INDEX('Base Exámenes'!$H$5:$H$1000, MATCH(A47, 'Base Exámenes'!$C$5:$C$1000, 0)), "anonymous")</f>
        <v>anonymous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Exámenes'!$C$5:$C$1000, A48, 'Base Exámenes'!$E$5:$E$1000, "&lt;&gt;")&gt;0, "Completado", "Pendiente")</f>
        <v>Completado</v>
      </c>
      <c r="G48" s="25">
        <f>IFERROR(INDEX('Base Exámenes'!$D$5:$D$1000, MATCH(A48, 'Base Exámenes'!$C$5:$C$1000, 0)), "")</f>
        <v>46298.500914351855</v>
      </c>
      <c r="H48" s="25">
        <f>IFERROR(INDEX('Base Exámenes'!$E$5:$E$1000, MATCH(A48, 'Base Exámenes'!$C$5:$C$1000, 0)), "")</f>
        <v>46298.51430555555</v>
      </c>
      <c r="I48" s="26">
        <f>IFERROR(INDEX('Base Exámenes'!$F$5:$F$1000, MATCH(A48, 'Base Exámenes'!$C$5:$C$1000, 0)), "")</f>
        <v>19.2833333333333</v>
      </c>
      <c r="J48" s="6">
        <f>IFERROR(INDEX('Base Exámenes'!$G$5:$G$1000, MATCH(A48, 'Base Exámenes'!$C$5:$C$1000, 0)), "")</f>
        <v>100</v>
      </c>
      <c r="K48" s="6" t="str">
        <f>IFERROR(INDEX('Base Exámenes'!$H$5:$H$1000, MATCH(A48, 'Base Exámenes'!$C$5:$C$1000, 0)), "anonymous")</f>
        <v>anonymous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Exámenes'!$C$5:$C$1000, A49, 'Base Exámenes'!$E$5:$E$1000, "&lt;&gt;")&gt;0, "Completado", "Pendiente")</f>
        <v>Pendiente</v>
      </c>
      <c r="G49" s="25" t="str">
        <f>IFERROR(INDEX('Base Exámenes'!$D$5:$D$1000, MATCH(A49, 'Base Exámenes'!$C$5:$C$1000, 0)), "")</f>
        <v/>
      </c>
      <c r="H49" s="25" t="str">
        <f>IFERROR(INDEX('Base Exámenes'!$E$5:$E$1000, MATCH(A49, 'Base Exámenes'!$C$5:$C$1000, 0)), "")</f>
        <v/>
      </c>
      <c r="I49" s="26" t="str">
        <f>IFERROR(INDEX('Base Exámenes'!$F$5:$F$1000, MATCH(A49, 'Base Exámenes'!$C$5:$C$1000, 0)), "")</f>
        <v/>
      </c>
      <c r="J49" s="6" t="str">
        <f>IFERROR(INDEX('Base Exámenes'!$G$5:$G$1000, MATCH(A49, 'Base Exámenes'!$C$5:$C$1000, 0)), "")</f>
        <v/>
      </c>
      <c r="K49" s="6" t="str">
        <f>IFERROR(INDEX('Base Exámenes'!$H$5:$H$1000, MATCH(A49, 'Base Exámenes'!$C$5:$C$1000, 0)), "anonymous")</f>
        <v>anonymous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Exámenes'!$C$5:$C$1000, A50, 'Base Exámenes'!$E$5:$E$1000, "&lt;&gt;")&gt;0, "Completado", "Pendiente")</f>
        <v>Completado</v>
      </c>
      <c r="G50" s="25">
        <f>IFERROR(INDEX('Base Exámenes'!$D$5:$D$1000, MATCH(A50, 'Base Exámenes'!$C$5:$C$1000, 0)), "")</f>
        <v>46304.40207175926</v>
      </c>
      <c r="H50" s="25">
        <f>IFERROR(INDEX('Base Exámenes'!$E$5:$E$1000, MATCH(A50, 'Base Exámenes'!$C$5:$C$1000, 0)), "")</f>
        <v>46304.406006944446</v>
      </c>
      <c r="I50" s="26">
        <f>IFERROR(INDEX('Base Exámenes'!$F$5:$F$1000, MATCH(A50, 'Base Exámenes'!$C$5:$C$1000, 0)), "")</f>
        <v>5.66666666666667</v>
      </c>
      <c r="J50" s="6">
        <f>IFERROR(INDEX('Base Exámenes'!$G$5:$G$1000, MATCH(A50, 'Base Exámenes'!$C$5:$C$1000, 0)), "")</f>
        <v>100</v>
      </c>
      <c r="K50" s="6" t="str">
        <f>IFERROR(INDEX('Base Exámenes'!$H$5:$H$1000, MATCH(A50, 'Base Exámenes'!$C$5:$C$1000, 0)), "anonymous")</f>
        <v>anonymous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Exámenes'!$C$5:$C$1000, A51, 'Base Exámenes'!$E$5:$E$1000, "&lt;&gt;")&gt;0, "Completado", "Pendiente")</f>
        <v>Completado</v>
      </c>
      <c r="G51" s="25">
        <f>IFERROR(INDEX('Base Exámenes'!$D$5:$D$1000, MATCH(A51, 'Base Exámenes'!$C$5:$C$1000, 0)), "")</f>
        <v>46304.510462962964</v>
      </c>
      <c r="H51" s="25">
        <f>IFERROR(INDEX('Base Exámenes'!$E$5:$E$1000, MATCH(A51, 'Base Exámenes'!$C$5:$C$1000, 0)), "")</f>
        <v>46304.52142361111</v>
      </c>
      <c r="I51" s="26">
        <f>IFERROR(INDEX('Base Exámenes'!$F$5:$F$1000, MATCH(A51, 'Base Exámenes'!$C$5:$C$1000, 0)), "")</f>
        <v>15.7833333333333</v>
      </c>
      <c r="J51" s="6">
        <f>IFERROR(INDEX('Base Exámenes'!$G$5:$G$1000, MATCH(A51, 'Base Exámenes'!$C$5:$C$1000, 0)), "")</f>
        <v>90</v>
      </c>
      <c r="K51" s="6" t="str">
        <f>IFERROR(INDEX('Base Exámenes'!$H$5:$H$1000, MATCH(A51, 'Base Exámenes'!$C$5:$C$1000, 0)), "anonymous")</f>
        <v>anonymous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Exámenes'!$C$5:$C$1000, A52, 'Base Exámenes'!$E$5:$E$1000, "&lt;&gt;")&gt;0, "Completado", "Pendiente")</f>
        <v>Completado</v>
      </c>
      <c r="G52" s="25">
        <f>IFERROR(INDEX('Base Exámenes'!$D$5:$D$1000, MATCH(A52, 'Base Exámenes'!$C$5:$C$1000, 0)), "")</f>
        <v>46296.45732638889</v>
      </c>
      <c r="H52" s="25">
        <f>IFERROR(INDEX('Base Exámenes'!$E$5:$E$1000, MATCH(A52, 'Base Exámenes'!$C$5:$C$1000, 0)), "")</f>
        <v>46296.46072916667</v>
      </c>
      <c r="I52" s="26">
        <f>IFERROR(INDEX('Base Exámenes'!$F$5:$F$1000, MATCH(A52, 'Base Exámenes'!$C$5:$C$1000, 0)), "")</f>
        <v>4.9</v>
      </c>
      <c r="J52" s="6">
        <f>IFERROR(INDEX('Base Exámenes'!$G$5:$G$1000, MATCH(A52, 'Base Exámenes'!$C$5:$C$1000, 0)), "")</f>
        <v>90</v>
      </c>
      <c r="K52" s="6" t="str">
        <f>IFERROR(INDEX('Base Exámenes'!$H$5:$H$1000, MATCH(A52, 'Base Exámenes'!$C$5:$C$1000, 0)), "anonymous")</f>
        <v>anonymous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Exámenes'!$C$5:$C$1000, A53, 'Base Exámenes'!$E$5:$E$1000, "&lt;&gt;")&gt;0, "Completado", "Pendiente")</f>
        <v>Completado</v>
      </c>
      <c r="G53" s="25">
        <f>IFERROR(INDEX('Base Exámenes'!$D$5:$D$1000, MATCH(A53, 'Base Exámenes'!$C$5:$C$1000, 0)), "")</f>
        <v>46296.454039351855</v>
      </c>
      <c r="H53" s="25">
        <f>IFERROR(INDEX('Base Exámenes'!$E$5:$E$1000, MATCH(A53, 'Base Exámenes'!$C$5:$C$1000, 0)), "")</f>
        <v>46296.45633101852</v>
      </c>
      <c r="I53" s="26">
        <f>IFERROR(INDEX('Base Exámenes'!$F$5:$F$1000, MATCH(A53, 'Base Exámenes'!$C$5:$C$1000, 0)), "")</f>
        <v>3.3</v>
      </c>
      <c r="J53" s="6">
        <f>IFERROR(INDEX('Base Exámenes'!$G$5:$G$1000, MATCH(A53, 'Base Exámenes'!$C$5:$C$1000, 0)), "")</f>
        <v>100</v>
      </c>
      <c r="K53" s="6" t="str">
        <f>IFERROR(INDEX('Base Exámenes'!$H$5:$H$1000, MATCH(A53, 'Base Exámenes'!$C$5:$C$1000, 0)), "anonymous")</f>
        <v>anonymous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Exámenes'!$C$5:$C$1000, A54, 'Base Exámenes'!$E$5:$E$1000, "&lt;&gt;")&gt;0, "Completado", "Pendiente")</f>
        <v>Completado</v>
      </c>
      <c r="G54" s="25">
        <f>IFERROR(INDEX('Base Exámenes'!$D$5:$D$1000, MATCH(A54, 'Base Exámenes'!$C$5:$C$1000, 0)), "")</f>
        <v>46305.40681712963</v>
      </c>
      <c r="H54" s="25">
        <f>IFERROR(INDEX('Base Exámenes'!$E$5:$E$1000, MATCH(A54, 'Base Exámenes'!$C$5:$C$1000, 0)), "")</f>
        <v>46305.408738425926</v>
      </c>
      <c r="I54" s="26">
        <f>IFERROR(INDEX('Base Exámenes'!$F$5:$F$1000, MATCH(A54, 'Base Exámenes'!$C$5:$C$1000, 0)), "")</f>
        <v>2.76666666666667</v>
      </c>
      <c r="J54" s="6">
        <f>IFERROR(INDEX('Base Exámenes'!$G$5:$G$1000, MATCH(A54, 'Base Exámenes'!$C$5:$C$1000, 0)), "")</f>
        <v>100</v>
      </c>
      <c r="K54" s="6" t="str">
        <f>IFERROR(INDEX('Base Exámenes'!$H$5:$H$1000, MATCH(A54, 'Base Exámenes'!$C$5:$C$1000, 0)), "anonymous")</f>
        <v>anonymous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Exámenes'!$C$5:$C$1000, A55, 'Base Exámenes'!$E$5:$E$1000, "&lt;&gt;")&gt;0, "Completado", "Pendiente")</f>
        <v>Completado</v>
      </c>
      <c r="G55" s="25">
        <f>IFERROR(INDEX('Base Exámenes'!$D$5:$D$1000, MATCH(A55, 'Base Exámenes'!$C$5:$C$1000, 0)), "")</f>
        <v>46305.407789351855</v>
      </c>
      <c r="H55" s="25">
        <f>IFERROR(INDEX('Base Exámenes'!$E$5:$E$1000, MATCH(A55, 'Base Exámenes'!$C$5:$C$1000, 0)), "")</f>
        <v>46305.41128472222</v>
      </c>
      <c r="I55" s="26">
        <f>IFERROR(INDEX('Base Exámenes'!$F$5:$F$1000, MATCH(A55, 'Base Exámenes'!$C$5:$C$1000, 0)), "")</f>
        <v>5.0333333155</v>
      </c>
      <c r="J55" s="6">
        <f>IFERROR(INDEX('Base Exámenes'!$G$5:$G$1000, MATCH(A55, 'Base Exámenes'!$C$5:$C$1000, 0)), "")</f>
        <v>100</v>
      </c>
      <c r="K55" s="6" t="str">
        <f>IFERROR(INDEX('Base Exámenes'!$H$5:$H$1000, MATCH(A55, 'Base Exámenes'!$C$5:$C$1000, 0)), "anonymous")</f>
        <v>anonymous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de Negocios</v>
      </c>
      <c r="E56" s="6" t="str">
        <f>'Base Oficial'!D56</f>
        <v>JEFE DE EDUCACION Y RESPONSABILIDAD SOCIAL</v>
      </c>
      <c r="F56" s="4" t="str">
        <f>IF(COUNTIFS('Base Exámenes'!$C$5:$C$1000, A56, 'Base Exámenes'!$E$5:$E$1000, "&lt;&gt;")&gt;0, "Completado", "Pendiente")</f>
        <v>Pendiente</v>
      </c>
      <c r="G56" s="25" t="str">
        <f>IFERROR(INDEX('Base Exámenes'!$D$5:$D$1000, MATCH(A56, 'Base Exámenes'!$C$5:$C$1000, 0)), "")</f>
        <v/>
      </c>
      <c r="H56" s="25" t="str">
        <f>IFERROR(INDEX('Base Exámenes'!$E$5:$E$1000, MATCH(A56, 'Base Exámenes'!$C$5:$C$1000, 0)), "")</f>
        <v/>
      </c>
      <c r="I56" s="26" t="str">
        <f>IFERROR(INDEX('Base Exámenes'!$F$5:$F$1000, MATCH(A56, 'Base Exámenes'!$C$5:$C$1000, 0)), "")</f>
        <v/>
      </c>
      <c r="J56" s="6" t="str">
        <f>IFERROR(INDEX('Base Exámenes'!$G$5:$G$1000, MATCH(A56, 'Base Exámenes'!$C$5:$C$1000, 0)), "")</f>
        <v/>
      </c>
      <c r="K56" s="6" t="str">
        <f>IFERROR(INDEX('Base Exámenes'!$H$5:$H$1000, MATCH(A56, 'Base Exámenes'!$C$5:$C$1000, 0)), "anonymous")</f>
        <v>anonymous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de Negocios</v>
      </c>
      <c r="E57" s="6" t="str">
        <f>'Base Oficial'!D57</f>
        <v>ASISTENTE TECNICO DEPARTAMENTO DE EDUCACION Y RESPONSABILIDA</v>
      </c>
      <c r="F57" s="4" t="str">
        <f>IF(COUNTIFS('Base Exámenes'!$C$5:$C$1000, A57, 'Base Exámenes'!$E$5:$E$1000, "&lt;&gt;")&gt;0, "Completado", "Pendiente")</f>
        <v>Completado</v>
      </c>
      <c r="G57" s="25">
        <f>IFERROR(INDEX('Base Exámenes'!$D$5:$D$1000, MATCH(A57, 'Base Exámenes'!$C$5:$C$1000, 0)), "")</f>
        <v>46301.62170138889</v>
      </c>
      <c r="H57" s="25">
        <f>IFERROR(INDEX('Base Exámenes'!$E$5:$E$1000, MATCH(A57, 'Base Exámenes'!$C$5:$C$1000, 0)), "")</f>
        <v>46301.64635416667</v>
      </c>
      <c r="I57" s="26">
        <f>IFERROR(INDEX('Base Exámenes'!$F$5:$F$1000, MATCH(A57, 'Base Exámenes'!$C$5:$C$1000, 0)), "")</f>
        <v>35.5</v>
      </c>
      <c r="J57" s="6">
        <f>IFERROR(INDEX('Base Exámenes'!$G$5:$G$1000, MATCH(A57, 'Base Exámenes'!$C$5:$C$1000, 0)), "")</f>
        <v>100</v>
      </c>
      <c r="K57" s="6" t="str">
        <f>IFERROR(INDEX('Base Exámenes'!$H$5:$H$1000, MATCH(A57, 'Base Exámenes'!$C$5:$C$1000, 0)), "anonymous")</f>
        <v>anonymous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de Negocios</v>
      </c>
      <c r="E58" s="6" t="str">
        <f>'Base Oficial'!D58</f>
        <v>AUXILIAR DE EDUCACION Y RESPONSABILIDAD SOCIAL</v>
      </c>
      <c r="F58" s="4" t="str">
        <f>IF(COUNTIFS('Base Exámenes'!$C$5:$C$1000, A58, 'Base Exámenes'!$E$5:$E$1000, "&lt;&gt;")&gt;0, "Completado", "Pendiente")</f>
        <v>Pendiente</v>
      </c>
      <c r="G58" s="25" t="str">
        <f>IFERROR(INDEX('Base Exámenes'!$D$5:$D$1000, MATCH(A58, 'Base Exámenes'!$C$5:$C$1000, 0)), "")</f>
        <v/>
      </c>
      <c r="H58" s="25" t="str">
        <f>IFERROR(INDEX('Base Exámenes'!$E$5:$E$1000, MATCH(A58, 'Base Exámenes'!$C$5:$C$1000, 0)), "")</f>
        <v/>
      </c>
      <c r="I58" s="26" t="str">
        <f>IFERROR(INDEX('Base Exámenes'!$F$5:$F$1000, MATCH(A58, 'Base Exámenes'!$C$5:$C$1000, 0)), "")</f>
        <v/>
      </c>
      <c r="J58" s="6" t="str">
        <f>IFERROR(INDEX('Base Exámenes'!$G$5:$G$1000, MATCH(A58, 'Base Exámenes'!$C$5:$C$1000, 0)), "")</f>
        <v/>
      </c>
      <c r="K58" s="6" t="str">
        <f>IFERROR(INDEX('Base Exámenes'!$H$5:$H$1000, MATCH(A58, 'Base Exámenes'!$C$5:$C$1000, 0)), "anonymous")</f>
        <v>anonymous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Negocios</v>
      </c>
      <c r="E59" s="6" t="str">
        <f>'Base Oficial'!D59</f>
        <v>EJECUTIVO DE SOLUCIONES FINANCIERAS</v>
      </c>
      <c r="F59" s="4" t="str">
        <f>IF(COUNTIFS('Base Exámenes'!$C$5:$C$1000, A59, 'Base Exámenes'!$E$5:$E$1000, "&lt;&gt;")&gt;0, "Completado", "Pendiente")</f>
        <v>Pendiente</v>
      </c>
      <c r="G59" s="25" t="str">
        <f>IFERROR(INDEX('Base Exámenes'!$D$5:$D$1000, MATCH(A59, 'Base Exámenes'!$C$5:$C$1000, 0)), "")</f>
        <v/>
      </c>
      <c r="H59" s="25" t="str">
        <f>IFERROR(INDEX('Base Exámenes'!$E$5:$E$1000, MATCH(A59, 'Base Exámenes'!$C$5:$C$1000, 0)), "")</f>
        <v/>
      </c>
      <c r="I59" s="26" t="str">
        <f>IFERROR(INDEX('Base Exámenes'!$F$5:$F$1000, MATCH(A59, 'Base Exámenes'!$C$5:$C$1000, 0)), "")</f>
        <v/>
      </c>
      <c r="J59" s="6" t="str">
        <f>IFERROR(INDEX('Base Exámenes'!$G$5:$G$1000, MATCH(A59, 'Base Exámenes'!$C$5:$C$1000, 0)), "")</f>
        <v/>
      </c>
      <c r="K59" s="6" t="str">
        <f>IFERROR(INDEX('Base Exámenes'!$H$5:$H$1000, MATCH(A59, 'Base Exámenes'!$C$5:$C$1000, 0)), "anonymous")</f>
        <v>anonymous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Negocios</v>
      </c>
      <c r="E60" s="6" t="str">
        <f>'Base Oficial'!D60</f>
        <v>EJECUTIVO DE SOLUCIONES FINANCIERAS</v>
      </c>
      <c r="F60" s="4" t="str">
        <f>IF(COUNTIFS('Base Exámenes'!$C$5:$C$1000, A60, 'Base Exámenes'!$E$5:$E$1000, "&lt;&gt;")&gt;0, "Completado", "Pendiente")</f>
        <v>Pendiente</v>
      </c>
      <c r="G60" s="25" t="str">
        <f>IFERROR(INDEX('Base Exámenes'!$D$5:$D$1000, MATCH(A60, 'Base Exámenes'!$C$5:$C$1000, 0)), "")</f>
        <v/>
      </c>
      <c r="H60" s="25" t="str">
        <f>IFERROR(INDEX('Base Exámenes'!$E$5:$E$1000, MATCH(A60, 'Base Exámenes'!$C$5:$C$1000, 0)), "")</f>
        <v/>
      </c>
      <c r="I60" s="26" t="str">
        <f>IFERROR(INDEX('Base Exámenes'!$F$5:$F$1000, MATCH(A60, 'Base Exámenes'!$C$5:$C$1000, 0)), "")</f>
        <v/>
      </c>
      <c r="J60" s="6" t="str">
        <f>IFERROR(INDEX('Base Exámenes'!$G$5:$G$1000, MATCH(A60, 'Base Exámenes'!$C$5:$C$1000, 0)), "")</f>
        <v/>
      </c>
      <c r="K60" s="6" t="str">
        <f>IFERROR(INDEX('Base Exámenes'!$H$5:$H$1000, MATCH(A60, 'Base Exámenes'!$C$5:$C$1000, 0)), "anonymous")</f>
        <v>anonymous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Negocios</v>
      </c>
      <c r="E61" s="6" t="str">
        <f>'Base Oficial'!D61</f>
        <v>EJECUTIVO DE SOLUCIONES FINANCIERAS</v>
      </c>
      <c r="F61" s="4" t="str">
        <f>IF(COUNTIFS('Base Exámenes'!$C$5:$C$1000, A61, 'Base Exámenes'!$E$5:$E$1000, "&lt;&gt;")&gt;0, "Completado", "Pendiente")</f>
        <v>Pendiente</v>
      </c>
      <c r="G61" s="25" t="str">
        <f>IFERROR(INDEX('Base Exámenes'!$D$5:$D$1000, MATCH(A61, 'Base Exámenes'!$C$5:$C$1000, 0)), "")</f>
        <v/>
      </c>
      <c r="H61" s="25" t="str">
        <f>IFERROR(INDEX('Base Exámenes'!$E$5:$E$1000, MATCH(A61, 'Base Exámenes'!$C$5:$C$1000, 0)), "")</f>
        <v/>
      </c>
      <c r="I61" s="26" t="str">
        <f>IFERROR(INDEX('Base Exámenes'!$F$5:$F$1000, MATCH(A61, 'Base Exámenes'!$C$5:$C$1000, 0)), "")</f>
        <v/>
      </c>
      <c r="J61" s="6" t="str">
        <f>IFERROR(INDEX('Base Exámenes'!$G$5:$G$1000, MATCH(A61, 'Base Exámenes'!$C$5:$C$1000, 0)), "")</f>
        <v/>
      </c>
      <c r="K61" s="6" t="str">
        <f>IFERROR(INDEX('Base Exámenes'!$H$5:$H$1000, MATCH(A61, 'Base Exámenes'!$C$5:$C$1000, 0)), "anonymous")</f>
        <v>anonymous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Negocios</v>
      </c>
      <c r="E62" s="6" t="str">
        <f>'Base Oficial'!D62</f>
        <v>EJECUTIVO DE SOLUCIONES FINANCIERAS</v>
      </c>
      <c r="F62" s="4" t="str">
        <f>IF(COUNTIFS('Base Exámenes'!$C$5:$C$1000, A62, 'Base Exámenes'!$E$5:$E$1000, "&lt;&gt;")&gt;0, "Completado", "Pendiente")</f>
        <v>Completado</v>
      </c>
      <c r="G62" s="25">
        <f>IFERROR(INDEX('Base Exámenes'!$D$5:$D$1000, MATCH(A62, 'Base Exámenes'!$C$5:$C$1000, 0)), "")</f>
        <v>46305.405277777776</v>
      </c>
      <c r="H62" s="25">
        <f>IFERROR(INDEX('Base Exámenes'!$E$5:$E$1000, MATCH(A62, 'Base Exámenes'!$C$5:$C$1000, 0)), "")</f>
        <v>46305.41322916667</v>
      </c>
      <c r="I62" s="26">
        <f>IFERROR(INDEX('Base Exámenes'!$F$5:$F$1000, MATCH(A62, 'Base Exámenes'!$C$5:$C$1000, 0)), "")</f>
        <v>11.45</v>
      </c>
      <c r="J62" s="6">
        <f>IFERROR(INDEX('Base Exámenes'!$G$5:$G$1000, MATCH(A62, 'Base Exámenes'!$C$5:$C$1000, 0)), "")</f>
        <v>100</v>
      </c>
      <c r="K62" s="6" t="str">
        <f>IFERROR(INDEX('Base Exámenes'!$H$5:$H$1000, MATCH(A62, 'Base Exámenes'!$C$5:$C$1000, 0)), "anonymous")</f>
        <v>anonymous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Negocios</v>
      </c>
      <c r="E63" s="6" t="str">
        <f>'Base Oficial'!D63</f>
        <v>EJECUTIVO DE SOLUCIONES FINANCIERAS</v>
      </c>
      <c r="F63" s="4" t="str">
        <f>IF(COUNTIFS('Base Exámenes'!$C$5:$C$1000, A63, 'Base Exámenes'!$E$5:$E$1000, "&lt;&gt;")&gt;0, "Completado", "Pendiente")</f>
        <v>Pendiente</v>
      </c>
      <c r="G63" s="25" t="str">
        <f>IFERROR(INDEX('Base Exámenes'!$D$5:$D$1000, MATCH(A63, 'Base Exámenes'!$C$5:$C$1000, 0)), "")</f>
        <v/>
      </c>
      <c r="H63" s="25" t="str">
        <f>IFERROR(INDEX('Base Exámenes'!$E$5:$E$1000, MATCH(A63, 'Base Exámenes'!$C$5:$C$1000, 0)), "")</f>
        <v/>
      </c>
      <c r="I63" s="26" t="str">
        <f>IFERROR(INDEX('Base Exámenes'!$F$5:$F$1000, MATCH(A63, 'Base Exámenes'!$C$5:$C$1000, 0)), "")</f>
        <v/>
      </c>
      <c r="J63" s="6" t="str">
        <f>IFERROR(INDEX('Base Exámenes'!$G$5:$G$1000, MATCH(A63, 'Base Exámenes'!$C$5:$C$1000, 0)), "")</f>
        <v/>
      </c>
      <c r="K63" s="6" t="str">
        <f>IFERROR(INDEX('Base Exámenes'!$H$5:$H$1000, MATCH(A63, 'Base Exámenes'!$C$5:$C$1000, 0)), "anonymous")</f>
        <v>anonymous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Negocios</v>
      </c>
      <c r="E64" s="6" t="str">
        <f>'Base Oficial'!D64</f>
        <v>EJECUTIVO DE SOLUCIONES FINANCIERAS</v>
      </c>
      <c r="F64" s="4" t="str">
        <f>IF(COUNTIFS('Base Exámenes'!$C$5:$C$1000, A64, 'Base Exámenes'!$E$5:$E$1000, "&lt;&gt;")&gt;0, "Completado", "Pendiente")</f>
        <v>Completado</v>
      </c>
      <c r="G64" s="25">
        <f>IFERROR(INDEX('Base Exámenes'!$D$5:$D$1000, MATCH(A64, 'Base Exámenes'!$C$5:$C$1000, 0)), "")</f>
        <v>46304.3803587963</v>
      </c>
      <c r="H64" s="25">
        <f>IFERROR(INDEX('Base Exámenes'!$E$5:$E$1000, MATCH(A64, 'Base Exámenes'!$C$5:$C$1000, 0)), "")</f>
        <v>46304.38547453703</v>
      </c>
      <c r="I64" s="26">
        <f>IFERROR(INDEX('Base Exámenes'!$F$5:$F$1000, MATCH(A64, 'Base Exámenes'!$C$5:$C$1000, 0)), "")</f>
        <v>7.36666666666667</v>
      </c>
      <c r="J64" s="6">
        <f>IFERROR(INDEX('Base Exámenes'!$G$5:$G$1000, MATCH(A64, 'Base Exámenes'!$C$5:$C$1000, 0)), "")</f>
        <v>80</v>
      </c>
      <c r="K64" s="6" t="str">
        <f>IFERROR(INDEX('Base Exámenes'!$H$5:$H$1000, MATCH(A64, 'Base Exámenes'!$C$5:$C$1000, 0)), "anonymous")</f>
        <v>anonymous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Negocios</v>
      </c>
      <c r="E65" s="6" t="str">
        <f>'Base Oficial'!D65</f>
        <v>JEFE DE SOLUCIONES FINANCIERAS</v>
      </c>
      <c r="F65" s="4" t="str">
        <f>IF(COUNTIFS('Base Exámenes'!$C$5:$C$1000, A65, 'Base Exámenes'!$E$5:$E$1000, "&lt;&gt;")&gt;0, "Completado", "Pendiente")</f>
        <v>Completado</v>
      </c>
      <c r="G65" s="25">
        <f>IFERROR(INDEX('Base Exámenes'!$D$5:$D$1000, MATCH(A65, 'Base Exámenes'!$C$5:$C$1000, 0)), "")</f>
        <v>46304.373240740744</v>
      </c>
      <c r="H65" s="25">
        <f>IFERROR(INDEX('Base Exámenes'!$E$5:$E$1000, MATCH(A65, 'Base Exámenes'!$C$5:$C$1000, 0)), "")</f>
        <v>46304.37534722222</v>
      </c>
      <c r="I65" s="26">
        <f>IFERROR(INDEX('Base Exámenes'!$F$5:$F$1000, MATCH(A65, 'Base Exámenes'!$C$5:$C$1000, 0)), "")</f>
        <v>3.03333333333333</v>
      </c>
      <c r="J65" s="6">
        <f>IFERROR(INDEX('Base Exámenes'!$G$5:$G$1000, MATCH(A65, 'Base Exámenes'!$C$5:$C$1000, 0)), "")</f>
        <v>100</v>
      </c>
      <c r="K65" s="6" t="str">
        <f>IFERROR(INDEX('Base Exámenes'!$H$5:$H$1000, MATCH(A65, 'Base Exámenes'!$C$5:$C$1000, 0)), "anonymous")</f>
        <v>anonymous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Negocios</v>
      </c>
      <c r="E66" s="6" t="str">
        <f>'Base Oficial'!D66</f>
        <v>AUXILIAR DE DEPARTAMENTO DE SOLUCIONES FINANCIERAS</v>
      </c>
      <c r="F66" s="4" t="str">
        <f>IF(COUNTIFS('Base Exámenes'!$C$5:$C$1000, A66, 'Base Exámenes'!$E$5:$E$1000, "&lt;&gt;")&gt;0, "Completado", "Pendiente")</f>
        <v>Pendiente</v>
      </c>
      <c r="G66" s="25" t="str">
        <f>IFERROR(INDEX('Base Exámenes'!$D$5:$D$1000, MATCH(A66, 'Base Exámenes'!$C$5:$C$1000, 0)), "")</f>
        <v/>
      </c>
      <c r="H66" s="25" t="str">
        <f>IFERROR(INDEX('Base Exámenes'!$E$5:$E$1000, MATCH(A66, 'Base Exámenes'!$C$5:$C$1000, 0)), "")</f>
        <v/>
      </c>
      <c r="I66" s="26" t="str">
        <f>IFERROR(INDEX('Base Exámenes'!$F$5:$F$1000, MATCH(A66, 'Base Exámenes'!$C$5:$C$1000, 0)), "")</f>
        <v/>
      </c>
      <c r="J66" s="6" t="str">
        <f>IFERROR(INDEX('Base Exámenes'!$G$5:$G$1000, MATCH(A66, 'Base Exámenes'!$C$5:$C$1000, 0)), "")</f>
        <v/>
      </c>
      <c r="K66" s="6" t="str">
        <f>IFERROR(INDEX('Base Exámenes'!$H$5:$H$1000, MATCH(A66, 'Base Exámenes'!$C$5:$C$1000, 0)), "anonymous")</f>
        <v>anonymous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Negocios</v>
      </c>
      <c r="E67" s="6" t="str">
        <f>'Base Oficial'!D67</f>
        <v>EJECUTIVO DE SOLUCIONES FINANCIERAS</v>
      </c>
      <c r="F67" s="4" t="str">
        <f>IF(COUNTIFS('Base Exámenes'!$C$5:$C$1000, A67, 'Base Exámenes'!$E$5:$E$1000, "&lt;&gt;")&gt;0, "Completado", "Pendiente")</f>
        <v>Pendiente</v>
      </c>
      <c r="G67" s="25" t="str">
        <f>IFERROR(INDEX('Base Exámenes'!$D$5:$D$1000, MATCH(A67, 'Base Exámenes'!$C$5:$C$1000, 0)), "")</f>
        <v/>
      </c>
      <c r="H67" s="25" t="str">
        <f>IFERROR(INDEX('Base Exámenes'!$E$5:$E$1000, MATCH(A67, 'Base Exámenes'!$C$5:$C$1000, 0)), "")</f>
        <v/>
      </c>
      <c r="I67" s="26" t="str">
        <f>IFERROR(INDEX('Base Exámenes'!$F$5:$F$1000, MATCH(A67, 'Base Exámenes'!$C$5:$C$1000, 0)), "")</f>
        <v/>
      </c>
      <c r="J67" s="6" t="str">
        <f>IFERROR(INDEX('Base Exámenes'!$G$5:$G$1000, MATCH(A67, 'Base Exámenes'!$C$5:$C$1000, 0)), "")</f>
        <v/>
      </c>
      <c r="K67" s="6" t="str">
        <f>IFERROR(INDEX('Base Exámenes'!$H$5:$H$1000, MATCH(A67, 'Base Exámenes'!$C$5:$C$1000, 0)), "anonymous")</f>
        <v>anonymous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Negocios</v>
      </c>
      <c r="E68" s="6" t="str">
        <f>'Base Oficial'!D68</f>
        <v>ASISTENTE DE RECUPERACION JUDICIAL Y CARTERA CASTIGADA</v>
      </c>
      <c r="F68" s="4" t="str">
        <f>IF(COUNTIFS('Base Exámenes'!$C$5:$C$1000, A68, 'Base Exámenes'!$E$5:$E$1000, "&lt;&gt;")&gt;0, "Completado", "Pendiente")</f>
        <v>Pendiente</v>
      </c>
      <c r="G68" s="25" t="str">
        <f>IFERROR(INDEX('Base Exámenes'!$D$5:$D$1000, MATCH(A68, 'Base Exámenes'!$C$5:$C$1000, 0)), "")</f>
        <v/>
      </c>
      <c r="H68" s="25" t="str">
        <f>IFERROR(INDEX('Base Exámenes'!$E$5:$E$1000, MATCH(A68, 'Base Exámenes'!$C$5:$C$1000, 0)), "")</f>
        <v/>
      </c>
      <c r="I68" s="26" t="str">
        <f>IFERROR(INDEX('Base Exámenes'!$F$5:$F$1000, MATCH(A68, 'Base Exámenes'!$C$5:$C$1000, 0)), "")</f>
        <v/>
      </c>
      <c r="J68" s="6" t="str">
        <f>IFERROR(INDEX('Base Exámenes'!$G$5:$G$1000, MATCH(A68, 'Base Exámenes'!$C$5:$C$1000, 0)), "")</f>
        <v/>
      </c>
      <c r="K68" s="6" t="str">
        <f>IFERROR(INDEX('Base Exámenes'!$H$5:$H$1000, MATCH(A68, 'Base Exámenes'!$C$5:$C$1000, 0)), "anonymous")</f>
        <v>anonymous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Exámenes'!$C$5:$C$1000, A69, 'Base Exámenes'!$E$5:$E$1000, "&lt;&gt;")&gt;0, "Completado", "Pendiente")</f>
        <v>Pendiente</v>
      </c>
      <c r="G69" s="25" t="str">
        <f>IFERROR(INDEX('Base Exámenes'!$D$5:$D$1000, MATCH(A69, 'Base Exámenes'!$C$5:$C$1000, 0)), "")</f>
        <v/>
      </c>
      <c r="H69" s="25" t="str">
        <f>IFERROR(INDEX('Base Exámenes'!$E$5:$E$1000, MATCH(A69, 'Base Exámenes'!$C$5:$C$1000, 0)), "")</f>
        <v/>
      </c>
      <c r="I69" s="26" t="str">
        <f>IFERROR(INDEX('Base Exámenes'!$F$5:$F$1000, MATCH(A69, 'Base Exámenes'!$C$5:$C$1000, 0)), "")</f>
        <v/>
      </c>
      <c r="J69" s="6" t="str">
        <f>IFERROR(INDEX('Base Exámenes'!$G$5:$G$1000, MATCH(A69, 'Base Exámenes'!$C$5:$C$1000, 0)), "")</f>
        <v/>
      </c>
      <c r="K69" s="6" t="str">
        <f>IFERROR(INDEX('Base Exámenes'!$H$5:$H$1000, MATCH(A69, 'Base Exámenes'!$C$5:$C$1000, 0)), "anonymous")</f>
        <v>anonymous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Exámenes'!$C$5:$C$1000, A70, 'Base Exámenes'!$E$5:$E$1000, "&lt;&gt;")&gt;0, "Completado", "Pendiente")</f>
        <v>Pendiente</v>
      </c>
      <c r="G70" s="25" t="str">
        <f>IFERROR(INDEX('Base Exámenes'!$D$5:$D$1000, MATCH(A70, 'Base Exámenes'!$C$5:$C$1000, 0)), "")</f>
        <v/>
      </c>
      <c r="H70" s="25" t="str">
        <f>IFERROR(INDEX('Base Exámenes'!$E$5:$E$1000, MATCH(A70, 'Base Exámenes'!$C$5:$C$1000, 0)), "")</f>
        <v/>
      </c>
      <c r="I70" s="26" t="str">
        <f>IFERROR(INDEX('Base Exámenes'!$F$5:$F$1000, MATCH(A70, 'Base Exámenes'!$C$5:$C$1000, 0)), "")</f>
        <v/>
      </c>
      <c r="J70" s="6" t="str">
        <f>IFERROR(INDEX('Base Exámenes'!$G$5:$G$1000, MATCH(A70, 'Base Exámenes'!$C$5:$C$1000, 0)), "")</f>
        <v/>
      </c>
      <c r="K70" s="6" t="str">
        <f>IFERROR(INDEX('Base Exámenes'!$H$5:$H$1000, MATCH(A70, 'Base Exámenes'!$C$5:$C$1000, 0)), "anonymous")</f>
        <v>anonymous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Exámenes'!$C$5:$C$1000, A71, 'Base Exámenes'!$E$5:$E$1000, "&lt;&gt;")&gt;0, "Completado", "Pendiente")</f>
        <v>Completado</v>
      </c>
      <c r="G71" s="25">
        <f>IFERROR(INDEX('Base Exámenes'!$D$5:$D$1000, MATCH(A71, 'Base Exámenes'!$C$5:$C$1000, 0)), "")</f>
        <v>46304.57431712963</v>
      </c>
      <c r="H71" s="25">
        <f>IFERROR(INDEX('Base Exámenes'!$E$5:$E$1000, MATCH(A71, 'Base Exámenes'!$C$5:$C$1000, 0)), "")</f>
        <v>46304.57939814815</v>
      </c>
      <c r="I71" s="26">
        <f>IFERROR(INDEX('Base Exámenes'!$F$5:$F$1000, MATCH(A71, 'Base Exámenes'!$C$5:$C$1000, 0)), "")</f>
        <v>7.31666666666667</v>
      </c>
      <c r="J71" s="6">
        <f>IFERROR(INDEX('Base Exámenes'!$G$5:$G$1000, MATCH(A71, 'Base Exámenes'!$C$5:$C$1000, 0)), "")</f>
        <v>95</v>
      </c>
      <c r="K71" s="6" t="str">
        <f>IFERROR(INDEX('Base Exámenes'!$H$5:$H$1000, MATCH(A71, 'Base Exámenes'!$C$5:$C$1000, 0)), "anonymous")</f>
        <v>anonymous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Exámenes'!$C$5:$C$1000, A72, 'Base Exámenes'!$E$5:$E$1000, "&lt;&gt;")&gt;0, "Completado", "Pendiente")</f>
        <v>Pendiente</v>
      </c>
      <c r="G72" s="25" t="str">
        <f>IFERROR(INDEX('Base Exámenes'!$D$5:$D$1000, MATCH(A72, 'Base Exámenes'!$C$5:$C$1000, 0)), "")</f>
        <v/>
      </c>
      <c r="H72" s="25" t="str">
        <f>IFERROR(INDEX('Base Exámenes'!$E$5:$E$1000, MATCH(A72, 'Base Exámenes'!$C$5:$C$1000, 0)), "")</f>
        <v/>
      </c>
      <c r="I72" s="26" t="str">
        <f>IFERROR(INDEX('Base Exámenes'!$F$5:$F$1000, MATCH(A72, 'Base Exámenes'!$C$5:$C$1000, 0)), "")</f>
        <v/>
      </c>
      <c r="J72" s="6" t="str">
        <f>IFERROR(INDEX('Base Exámenes'!$G$5:$G$1000, MATCH(A72, 'Base Exámenes'!$C$5:$C$1000, 0)), "")</f>
        <v/>
      </c>
      <c r="K72" s="6" t="str">
        <f>IFERROR(INDEX('Base Exámenes'!$H$5:$H$1000, MATCH(A72, 'Base Exámenes'!$C$5:$C$1000, 0)), "anonymous")</f>
        <v>anonymous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Exámenes'!$C$5:$C$1000, A73, 'Base Exámenes'!$E$5:$E$1000, "&lt;&gt;")&gt;0, "Completado", "Pendiente")</f>
        <v>Completado</v>
      </c>
      <c r="G73" s="25">
        <f>IFERROR(INDEX('Base Exámenes'!$D$5:$D$1000, MATCH(A73, 'Base Exámenes'!$C$5:$C$1000, 0)), "")</f>
        <v>46296.646261574075</v>
      </c>
      <c r="H73" s="25">
        <f>IFERROR(INDEX('Base Exámenes'!$E$5:$E$1000, MATCH(A73, 'Base Exámenes'!$C$5:$C$1000, 0)), "")</f>
        <v>46296.65724537037</v>
      </c>
      <c r="I73" s="26">
        <f>IFERROR(INDEX('Base Exámenes'!$F$5:$F$1000, MATCH(A73, 'Base Exámenes'!$C$5:$C$1000, 0)), "")</f>
        <v>15.8166666666667</v>
      </c>
      <c r="J73" s="6">
        <f>IFERROR(INDEX('Base Exámenes'!$G$5:$G$1000, MATCH(A73, 'Base Exámenes'!$C$5:$C$1000, 0)), "")</f>
        <v>100</v>
      </c>
      <c r="K73" s="6" t="str">
        <f>IFERROR(INDEX('Base Exámenes'!$H$5:$H$1000, MATCH(A73, 'Base Exámenes'!$C$5:$C$1000, 0)), "anonymous")</f>
        <v>anonymous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Exámenes'!$C$5:$C$1000, A74, 'Base Exámenes'!$E$5:$E$1000, "&lt;&gt;")&gt;0, "Completado", "Pendiente")</f>
        <v>Completado</v>
      </c>
      <c r="G74" s="25">
        <f>IFERROR(INDEX('Base Exámenes'!$D$5:$D$1000, MATCH(A74, 'Base Exámenes'!$C$5:$C$1000, 0)), "")</f>
        <v>46296.71229166666</v>
      </c>
      <c r="H74" s="25">
        <f>IFERROR(INDEX('Base Exámenes'!$E$5:$E$1000, MATCH(A74, 'Base Exámenes'!$C$5:$C$1000, 0)), "")</f>
        <v>46296.71346064815</v>
      </c>
      <c r="I74" s="26">
        <f>IFERROR(INDEX('Base Exámenes'!$F$5:$F$1000, MATCH(A74, 'Base Exámenes'!$C$5:$C$1000, 0)), "")</f>
        <v>1.68333333333333</v>
      </c>
      <c r="J74" s="6">
        <f>IFERROR(INDEX('Base Exámenes'!$G$5:$G$1000, MATCH(A74, 'Base Exámenes'!$C$5:$C$1000, 0)), "")</f>
        <v>100</v>
      </c>
      <c r="K74" s="6" t="str">
        <f>IFERROR(INDEX('Base Exámenes'!$H$5:$H$1000, MATCH(A74, 'Base Exámenes'!$C$5:$C$1000, 0)), "anonymous")</f>
        <v>anonymous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Exámenes'!$C$5:$C$1000, A75, 'Base Exámenes'!$E$5:$E$1000, "&lt;&gt;")&gt;0, "Completado", "Pendiente")</f>
        <v>Pendiente</v>
      </c>
      <c r="G75" s="25" t="str">
        <f>IFERROR(INDEX('Base Exámenes'!$D$5:$D$1000, MATCH(A75, 'Base Exámenes'!$C$5:$C$1000, 0)), "")</f>
        <v/>
      </c>
      <c r="H75" s="25" t="str">
        <f>IFERROR(INDEX('Base Exámenes'!$E$5:$E$1000, MATCH(A75, 'Base Exámenes'!$C$5:$C$1000, 0)), "")</f>
        <v/>
      </c>
      <c r="I75" s="26" t="str">
        <f>IFERROR(INDEX('Base Exámenes'!$F$5:$F$1000, MATCH(A75, 'Base Exámenes'!$C$5:$C$1000, 0)), "")</f>
        <v/>
      </c>
      <c r="J75" s="6" t="str">
        <f>IFERROR(INDEX('Base Exámenes'!$G$5:$G$1000, MATCH(A75, 'Base Exámenes'!$C$5:$C$1000, 0)), "")</f>
        <v/>
      </c>
      <c r="K75" s="6" t="str">
        <f>IFERROR(INDEX('Base Exámenes'!$H$5:$H$1000, MATCH(A75, 'Base Exámenes'!$C$5:$C$1000, 0)), "anonymous")</f>
        <v>anonymous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Exámenes'!$C$5:$C$1000, A76, 'Base Exámenes'!$E$5:$E$1000, "&lt;&gt;")&gt;0, "Completado", "Pendiente")</f>
        <v>Completado</v>
      </c>
      <c r="G76" s="25">
        <f>IFERROR(INDEX('Base Exámenes'!$D$5:$D$1000, MATCH(A76, 'Base Exámenes'!$C$5:$C$1000, 0)), "")</f>
        <v>46296.56951388889</v>
      </c>
      <c r="H76" s="25">
        <f>IFERROR(INDEX('Base Exámenes'!$E$5:$E$1000, MATCH(A76, 'Base Exámenes'!$C$5:$C$1000, 0)), "")</f>
        <v>46296.57800925926</v>
      </c>
      <c r="I76" s="26">
        <f>IFERROR(INDEX('Base Exámenes'!$F$5:$F$1000, MATCH(A76, 'Base Exámenes'!$C$5:$C$1000, 0)), "")</f>
        <v>12.2333333333333</v>
      </c>
      <c r="J76" s="6">
        <f>IFERROR(INDEX('Base Exámenes'!$G$5:$G$1000, MATCH(A76, 'Base Exámenes'!$C$5:$C$1000, 0)), "")</f>
        <v>100</v>
      </c>
      <c r="K76" s="6" t="str">
        <f>IFERROR(INDEX('Base Exámenes'!$H$5:$H$1000, MATCH(A76, 'Base Exámenes'!$C$5:$C$1000, 0)), "anonymous")</f>
        <v>anonymous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Exámenes'!$C$5:$C$1000, A77, 'Base Exámenes'!$E$5:$E$1000, "&lt;&gt;")&gt;0, "Completado", "Pendiente")</f>
        <v>Completado</v>
      </c>
      <c r="G77" s="25">
        <f>IFERROR(INDEX('Base Exámenes'!$D$5:$D$1000, MATCH(A77, 'Base Exámenes'!$C$5:$C$1000, 0)), "")</f>
        <v>46297.46885416667</v>
      </c>
      <c r="H77" s="25">
        <f>IFERROR(INDEX('Base Exámenes'!$E$5:$E$1000, MATCH(A77, 'Base Exámenes'!$C$5:$C$1000, 0)), "")</f>
        <v>46297.47550925926</v>
      </c>
      <c r="I77" s="26">
        <f>IFERROR(INDEX('Base Exámenes'!$F$5:$F$1000, MATCH(A77, 'Base Exámenes'!$C$5:$C$1000, 0)), "")</f>
        <v>9.58333333333333</v>
      </c>
      <c r="J77" s="6">
        <f>IFERROR(INDEX('Base Exámenes'!$G$5:$G$1000, MATCH(A77, 'Base Exámenes'!$C$5:$C$1000, 0)), "")</f>
        <v>95</v>
      </c>
      <c r="K77" s="6" t="str">
        <f>IFERROR(INDEX('Base Exámenes'!$H$5:$H$1000, MATCH(A77, 'Base Exámenes'!$C$5:$C$1000, 0)), "anonymous")</f>
        <v>anonymous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Exámenes'!$C$5:$C$1000, A78, 'Base Exámenes'!$E$5:$E$1000, "&lt;&gt;")&gt;0, "Completado", "Pendiente")</f>
        <v>Completado</v>
      </c>
      <c r="G78" s="25">
        <f>IFERROR(INDEX('Base Exámenes'!$D$5:$D$1000, MATCH(A78, 'Base Exámenes'!$C$5:$C$1000, 0)), "")</f>
        <v>46304.69060185185</v>
      </c>
      <c r="H78" s="25">
        <f>IFERROR(INDEX('Base Exámenes'!$E$5:$E$1000, MATCH(A78, 'Base Exámenes'!$C$5:$C$1000, 0)), "")</f>
        <v>46304.692928240744</v>
      </c>
      <c r="I78" s="26">
        <f>IFERROR(INDEX('Base Exámenes'!$F$5:$F$1000, MATCH(A78, 'Base Exámenes'!$C$5:$C$1000, 0)), "")</f>
        <v>3.35</v>
      </c>
      <c r="J78" s="6">
        <f>IFERROR(INDEX('Base Exámenes'!$G$5:$G$1000, MATCH(A78, 'Base Exámenes'!$C$5:$C$1000, 0)), "")</f>
        <v>100</v>
      </c>
      <c r="K78" s="6" t="str">
        <f>IFERROR(INDEX('Base Exámenes'!$H$5:$H$1000, MATCH(A78, 'Base Exámenes'!$C$5:$C$1000, 0)), "anonymous")</f>
        <v>anonymous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Exámenes'!$C$5:$C$1000, A79, 'Base Exámenes'!$E$5:$E$1000, "&lt;&gt;")&gt;0, "Completado", "Pendiente")</f>
        <v>Pendiente</v>
      </c>
      <c r="G79" s="25" t="str">
        <f>IFERROR(INDEX('Base Exámenes'!$D$5:$D$1000, MATCH(A79, 'Base Exámenes'!$C$5:$C$1000, 0)), "")</f>
        <v/>
      </c>
      <c r="H79" s="25" t="str">
        <f>IFERROR(INDEX('Base Exámenes'!$E$5:$E$1000, MATCH(A79, 'Base Exámenes'!$C$5:$C$1000, 0)), "")</f>
        <v/>
      </c>
      <c r="I79" s="26" t="str">
        <f>IFERROR(INDEX('Base Exámenes'!$F$5:$F$1000, MATCH(A79, 'Base Exámenes'!$C$5:$C$1000, 0)), "")</f>
        <v/>
      </c>
      <c r="J79" s="6" t="str">
        <f>IFERROR(INDEX('Base Exámenes'!$G$5:$G$1000, MATCH(A79, 'Base Exámenes'!$C$5:$C$1000, 0)), "")</f>
        <v/>
      </c>
      <c r="K79" s="6" t="str">
        <f>IFERROR(INDEX('Base Exámenes'!$H$5:$H$1000, MATCH(A79, 'Base Exámenes'!$C$5:$C$1000, 0)), "anonymous")</f>
        <v>anonymous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Exámenes'!$C$5:$C$1000, A80, 'Base Exámenes'!$E$5:$E$1000, "&lt;&gt;")&gt;0, "Completado", "Pendiente")</f>
        <v>Pendiente</v>
      </c>
      <c r="G80" s="25" t="str">
        <f>IFERROR(INDEX('Base Exámenes'!$D$5:$D$1000, MATCH(A80, 'Base Exámenes'!$C$5:$C$1000, 0)), "")</f>
        <v/>
      </c>
      <c r="H80" s="25" t="str">
        <f>IFERROR(INDEX('Base Exámenes'!$E$5:$E$1000, MATCH(A80, 'Base Exámenes'!$C$5:$C$1000, 0)), "")</f>
        <v/>
      </c>
      <c r="I80" s="26" t="str">
        <f>IFERROR(INDEX('Base Exámenes'!$F$5:$F$1000, MATCH(A80, 'Base Exámenes'!$C$5:$C$1000, 0)), "")</f>
        <v/>
      </c>
      <c r="J80" s="6" t="str">
        <f>IFERROR(INDEX('Base Exámenes'!$G$5:$G$1000, MATCH(A80, 'Base Exámenes'!$C$5:$C$1000, 0)), "")</f>
        <v/>
      </c>
      <c r="K80" s="6" t="str">
        <f>IFERROR(INDEX('Base Exámenes'!$H$5:$H$1000, MATCH(A80, 'Base Exámenes'!$C$5:$C$1000, 0)), "anonymous")</f>
        <v>anonymous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Exámenes'!$C$5:$C$1000, A81, 'Base Exámenes'!$E$5:$E$1000, "&lt;&gt;")&gt;0, "Completado", "Pendiente")</f>
        <v>Completado</v>
      </c>
      <c r="G81" s="25">
        <f>IFERROR(INDEX('Base Exámenes'!$D$5:$D$1000, MATCH(A81, 'Base Exámenes'!$C$5:$C$1000, 0)), "")</f>
        <v>46304.494108796294</v>
      </c>
      <c r="H81" s="25">
        <f>IFERROR(INDEX('Base Exámenes'!$E$5:$E$1000, MATCH(A81, 'Base Exámenes'!$C$5:$C$1000, 0)), "")</f>
        <v>46304.51201388889</v>
      </c>
      <c r="I81" s="26">
        <f>IFERROR(INDEX('Base Exámenes'!$F$5:$F$1000, MATCH(A81, 'Base Exámenes'!$C$5:$C$1000, 0)), "")</f>
        <v>25.7833333333333</v>
      </c>
      <c r="J81" s="6">
        <f>IFERROR(INDEX('Base Exámenes'!$G$5:$G$1000, MATCH(A81, 'Base Exámenes'!$C$5:$C$1000, 0)), "")</f>
        <v>100</v>
      </c>
      <c r="K81" s="6" t="str">
        <f>IFERROR(INDEX('Base Exámenes'!$H$5:$H$1000, MATCH(A81, 'Base Exámenes'!$C$5:$C$1000, 0)), "anonymous")</f>
        <v>anonymous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Exámenes'!$C$5:$C$1000, A82, 'Base Exámenes'!$E$5:$E$1000, "&lt;&gt;")&gt;0, "Completado", "Pendiente")</f>
        <v>Pendiente</v>
      </c>
      <c r="G82" s="25" t="str">
        <f>IFERROR(INDEX('Base Exámenes'!$D$5:$D$1000, MATCH(A82, 'Base Exámenes'!$C$5:$C$1000, 0)), "")</f>
        <v/>
      </c>
      <c r="H82" s="25" t="str">
        <f>IFERROR(INDEX('Base Exámenes'!$E$5:$E$1000, MATCH(A82, 'Base Exámenes'!$C$5:$C$1000, 0)), "")</f>
        <v/>
      </c>
      <c r="I82" s="26" t="str">
        <f>IFERROR(INDEX('Base Exámenes'!$F$5:$F$1000, MATCH(A82, 'Base Exámenes'!$C$5:$C$1000, 0)), "")</f>
        <v/>
      </c>
      <c r="J82" s="6" t="str">
        <f>IFERROR(INDEX('Base Exámenes'!$G$5:$G$1000, MATCH(A82, 'Base Exámenes'!$C$5:$C$1000, 0)), "")</f>
        <v/>
      </c>
      <c r="K82" s="6" t="str">
        <f>IFERROR(INDEX('Base Exámenes'!$H$5:$H$1000, MATCH(A82, 'Base Exámenes'!$C$5:$C$1000, 0)), "anonymous")</f>
        <v>anonymous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Exámenes'!$C$5:$C$1000, A83, 'Base Exámenes'!$E$5:$E$1000, "&lt;&gt;")&gt;0, "Completado", "Pendiente")</f>
        <v>Completado</v>
      </c>
      <c r="G83" s="25">
        <f>IFERROR(INDEX('Base Exámenes'!$D$5:$D$1000, MATCH(A83, 'Base Exámenes'!$C$5:$C$1000, 0)), "")</f>
        <v>46304.56408564815</v>
      </c>
      <c r="H83" s="25">
        <f>IFERROR(INDEX('Base Exámenes'!$E$5:$E$1000, MATCH(A83, 'Base Exámenes'!$C$5:$C$1000, 0)), "")</f>
        <v>46304.56716435185</v>
      </c>
      <c r="I83" s="26">
        <f>IFERROR(INDEX('Base Exámenes'!$F$5:$F$1000, MATCH(A83, 'Base Exámenes'!$C$5:$C$1000, 0)), "")</f>
        <v>4.43333333333333</v>
      </c>
      <c r="J83" s="6">
        <f>IFERROR(INDEX('Base Exámenes'!$G$5:$G$1000, MATCH(A83, 'Base Exámenes'!$C$5:$C$1000, 0)), "")</f>
        <v>100</v>
      </c>
      <c r="K83" s="6" t="str">
        <f>IFERROR(INDEX('Base Exámenes'!$H$5:$H$1000, MATCH(A83, 'Base Exámenes'!$C$5:$C$1000, 0)), "anonymous")</f>
        <v>anonymous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Exámenes'!$C$5:$C$1000, A84, 'Base Exámenes'!$E$5:$E$1000, "&lt;&gt;")&gt;0, "Completado", "Pendiente")</f>
        <v>Pendiente</v>
      </c>
      <c r="G84" s="25" t="str">
        <f>IFERROR(INDEX('Base Exámenes'!$D$5:$D$1000, MATCH(A84, 'Base Exámenes'!$C$5:$C$1000, 0)), "")</f>
        <v/>
      </c>
      <c r="H84" s="25" t="str">
        <f>IFERROR(INDEX('Base Exámenes'!$E$5:$E$1000, MATCH(A84, 'Base Exámenes'!$C$5:$C$1000, 0)), "")</f>
        <v/>
      </c>
      <c r="I84" s="26" t="str">
        <f>IFERROR(INDEX('Base Exámenes'!$F$5:$F$1000, MATCH(A84, 'Base Exámenes'!$C$5:$C$1000, 0)), "")</f>
        <v/>
      </c>
      <c r="J84" s="6" t="str">
        <f>IFERROR(INDEX('Base Exámenes'!$G$5:$G$1000, MATCH(A84, 'Base Exámenes'!$C$5:$C$1000, 0)), "")</f>
        <v/>
      </c>
      <c r="K84" s="6" t="str">
        <f>IFERROR(INDEX('Base Exámenes'!$H$5:$H$1000, MATCH(A84, 'Base Exámenes'!$C$5:$C$1000, 0)), "anonymous")</f>
        <v>anonymous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Exámenes'!$C$5:$C$1000, A85, 'Base Exámenes'!$E$5:$E$1000, "&lt;&gt;")&gt;0, "Completado", "Pendiente")</f>
        <v>Pendiente</v>
      </c>
      <c r="G85" s="25" t="str">
        <f>IFERROR(INDEX('Base Exámenes'!$D$5:$D$1000, MATCH(A85, 'Base Exámenes'!$C$5:$C$1000, 0)), "")</f>
        <v/>
      </c>
      <c r="H85" s="25" t="str">
        <f>IFERROR(INDEX('Base Exámenes'!$E$5:$E$1000, MATCH(A85, 'Base Exámenes'!$C$5:$C$1000, 0)), "")</f>
        <v/>
      </c>
      <c r="I85" s="26" t="str">
        <f>IFERROR(INDEX('Base Exámenes'!$F$5:$F$1000, MATCH(A85, 'Base Exámenes'!$C$5:$C$1000, 0)), "")</f>
        <v/>
      </c>
      <c r="J85" s="6" t="str">
        <f>IFERROR(INDEX('Base Exámenes'!$G$5:$G$1000, MATCH(A85, 'Base Exámenes'!$C$5:$C$1000, 0)), "")</f>
        <v/>
      </c>
      <c r="K85" s="6" t="str">
        <f>IFERROR(INDEX('Base Exámenes'!$H$5:$H$1000, MATCH(A85, 'Base Exámenes'!$C$5:$C$1000, 0)), "anonymous")</f>
        <v>anonymous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Exámenes'!$C$5:$C$1000, A86, 'Base Exámenes'!$E$5:$E$1000, "&lt;&gt;")&gt;0, "Completado", "Pendiente")</f>
        <v>Pendiente</v>
      </c>
      <c r="G86" s="25" t="str">
        <f>IFERROR(INDEX('Base Exámenes'!$D$5:$D$1000, MATCH(A86, 'Base Exámenes'!$C$5:$C$1000, 0)), "")</f>
        <v/>
      </c>
      <c r="H86" s="25" t="str">
        <f>IFERROR(INDEX('Base Exámenes'!$E$5:$E$1000, MATCH(A86, 'Base Exámenes'!$C$5:$C$1000, 0)), "")</f>
        <v/>
      </c>
      <c r="I86" s="26" t="str">
        <f>IFERROR(INDEX('Base Exámenes'!$F$5:$F$1000, MATCH(A86, 'Base Exámenes'!$C$5:$C$1000, 0)), "")</f>
        <v/>
      </c>
      <c r="J86" s="6" t="str">
        <f>IFERROR(INDEX('Base Exámenes'!$G$5:$G$1000, MATCH(A86, 'Base Exámenes'!$C$5:$C$1000, 0)), "")</f>
        <v/>
      </c>
      <c r="K86" s="6" t="str">
        <f>IFERROR(INDEX('Base Exámenes'!$H$5:$H$1000, MATCH(A86, 'Base Exámenes'!$C$5:$C$1000, 0)), "anonymous")</f>
        <v>anonymous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Exámenes'!$C$5:$C$1000, A87, 'Base Exámenes'!$E$5:$E$1000, "&lt;&gt;")&gt;0, "Completado", "Pendiente")</f>
        <v>Completado</v>
      </c>
      <c r="G87" s="25">
        <f>IFERROR(INDEX('Base Exámenes'!$D$5:$D$1000, MATCH(A87, 'Base Exámenes'!$C$5:$C$1000, 0)), "")</f>
        <v>46296.826469907406</v>
      </c>
      <c r="H87" s="25">
        <f>IFERROR(INDEX('Base Exámenes'!$E$5:$E$1000, MATCH(A87, 'Base Exámenes'!$C$5:$C$1000, 0)), "")</f>
        <v>46296.82847222222</v>
      </c>
      <c r="I87" s="26">
        <f>IFERROR(INDEX('Base Exámenes'!$F$5:$F$1000, MATCH(A87, 'Base Exámenes'!$C$5:$C$1000, 0)), "")</f>
        <v>2.88333333333333</v>
      </c>
      <c r="J87" s="6">
        <f>IFERROR(INDEX('Base Exámenes'!$G$5:$G$1000, MATCH(A87, 'Base Exámenes'!$C$5:$C$1000, 0)), "")</f>
        <v>100</v>
      </c>
      <c r="K87" s="6" t="str">
        <f>IFERROR(INDEX('Base Exámenes'!$H$5:$H$1000, MATCH(A87, 'Base Exámenes'!$C$5:$C$1000, 0)), "anonymous")</f>
        <v>anonymous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Exámenes'!$C$5:$C$1000, A88, 'Base Exámenes'!$E$5:$E$1000, "&lt;&gt;")&gt;0, "Completado", "Pendiente")</f>
        <v>Pendiente</v>
      </c>
      <c r="G88" s="25" t="str">
        <f>IFERROR(INDEX('Base Exámenes'!$D$5:$D$1000, MATCH(A88, 'Base Exámenes'!$C$5:$C$1000, 0)), "")</f>
        <v/>
      </c>
      <c r="H88" s="25" t="str">
        <f>IFERROR(INDEX('Base Exámenes'!$E$5:$E$1000, MATCH(A88, 'Base Exámenes'!$C$5:$C$1000, 0)), "")</f>
        <v/>
      </c>
      <c r="I88" s="26" t="str">
        <f>IFERROR(INDEX('Base Exámenes'!$F$5:$F$1000, MATCH(A88, 'Base Exámenes'!$C$5:$C$1000, 0)), "")</f>
        <v/>
      </c>
      <c r="J88" s="6" t="str">
        <f>IFERROR(INDEX('Base Exámenes'!$G$5:$G$1000, MATCH(A88, 'Base Exámenes'!$C$5:$C$1000, 0)), "")</f>
        <v/>
      </c>
      <c r="K88" s="6" t="str">
        <f>IFERROR(INDEX('Base Exámenes'!$H$5:$H$1000, MATCH(A88, 'Base Exámenes'!$C$5:$C$1000, 0)), "anonymous")</f>
        <v>anonymous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Exámenes'!$C$5:$C$1000, A89, 'Base Exámenes'!$E$5:$E$1000, "&lt;&gt;")&gt;0, "Completado", "Pendiente")</f>
        <v>Pendiente</v>
      </c>
      <c r="G89" s="25" t="str">
        <f>IFERROR(INDEX('Base Exámenes'!$D$5:$D$1000, MATCH(A89, 'Base Exámenes'!$C$5:$C$1000, 0)), "")</f>
        <v/>
      </c>
      <c r="H89" s="25" t="str">
        <f>IFERROR(INDEX('Base Exámenes'!$E$5:$E$1000, MATCH(A89, 'Base Exámenes'!$C$5:$C$1000, 0)), "")</f>
        <v/>
      </c>
      <c r="I89" s="26" t="str">
        <f>IFERROR(INDEX('Base Exámenes'!$F$5:$F$1000, MATCH(A89, 'Base Exámenes'!$C$5:$C$1000, 0)), "")</f>
        <v/>
      </c>
      <c r="J89" s="6" t="str">
        <f>IFERROR(INDEX('Base Exámenes'!$G$5:$G$1000, MATCH(A89, 'Base Exámenes'!$C$5:$C$1000, 0)), "")</f>
        <v/>
      </c>
      <c r="K89" s="6" t="str">
        <f>IFERROR(INDEX('Base Exámenes'!$H$5:$H$1000, MATCH(A89, 'Base Exámenes'!$C$5:$C$1000, 0)), "anonymous")</f>
        <v>anonymous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Exámenes'!$C$5:$C$1000, A90, 'Base Exámenes'!$E$5:$E$1000, "&lt;&gt;")&gt;0, "Completado", "Pendiente")</f>
        <v>Completado</v>
      </c>
      <c r="G90" s="25">
        <f>IFERROR(INDEX('Base Exámenes'!$D$5:$D$1000, MATCH(A90, 'Base Exámenes'!$C$5:$C$1000, 0)), "")</f>
        <v>46304.35847222222</v>
      </c>
      <c r="H90" s="25">
        <f>IFERROR(INDEX('Base Exámenes'!$E$5:$E$1000, MATCH(A90, 'Base Exámenes'!$C$5:$C$1000, 0)), "")</f>
        <v>46304.36083333333</v>
      </c>
      <c r="I90" s="26">
        <f>IFERROR(INDEX('Base Exámenes'!$F$5:$F$1000, MATCH(A90, 'Base Exámenes'!$C$5:$C$1000, 0)), "")</f>
        <v>3.4</v>
      </c>
      <c r="J90" s="6">
        <f>IFERROR(INDEX('Base Exámenes'!$G$5:$G$1000, MATCH(A90, 'Base Exámenes'!$C$5:$C$1000, 0)), "")</f>
        <v>100</v>
      </c>
      <c r="K90" s="6" t="str">
        <f>IFERROR(INDEX('Base Exámenes'!$H$5:$H$1000, MATCH(A90, 'Base Exámenes'!$C$5:$C$1000, 0)), "anonymous")</f>
        <v>anonymous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Exámenes'!$C$5:$C$1000, A91, 'Base Exámenes'!$E$5:$E$1000, "&lt;&gt;")&gt;0, "Completado", "Pendiente")</f>
        <v>Completado</v>
      </c>
      <c r="G91" s="25">
        <f>IFERROR(INDEX('Base Exámenes'!$D$5:$D$1000, MATCH(A91, 'Base Exámenes'!$C$5:$C$1000, 0)), "")</f>
        <v>46300.30724537037</v>
      </c>
      <c r="H91" s="25">
        <f>IFERROR(INDEX('Base Exámenes'!$E$5:$E$1000, MATCH(A91, 'Base Exámenes'!$C$5:$C$1000, 0)), "")</f>
        <v>46300.31707175926</v>
      </c>
      <c r="I91" s="26">
        <f>IFERROR(INDEX('Base Exámenes'!$F$5:$F$1000, MATCH(A91, 'Base Exámenes'!$C$5:$C$1000, 0)), "")</f>
        <v>14.15</v>
      </c>
      <c r="J91" s="6">
        <f>IFERROR(INDEX('Base Exámenes'!$G$5:$G$1000, MATCH(A91, 'Base Exámenes'!$C$5:$C$1000, 0)), "")</f>
        <v>100</v>
      </c>
      <c r="K91" s="6" t="str">
        <f>IFERROR(INDEX('Base Exámenes'!$H$5:$H$1000, MATCH(A91, 'Base Exámenes'!$C$5:$C$1000, 0)), "anonymous")</f>
        <v>anonymous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Exámenes'!$C$5:$C$1000, A92, 'Base Exámenes'!$E$5:$E$1000, "&lt;&gt;")&gt;0, "Completado", "Pendiente")</f>
        <v>Pendiente</v>
      </c>
      <c r="G92" s="25" t="str">
        <f>IFERROR(INDEX('Base Exámenes'!$D$5:$D$1000, MATCH(A92, 'Base Exámenes'!$C$5:$C$1000, 0)), "")</f>
        <v/>
      </c>
      <c r="H92" s="25" t="str">
        <f>IFERROR(INDEX('Base Exámenes'!$E$5:$E$1000, MATCH(A92, 'Base Exámenes'!$C$5:$C$1000, 0)), "")</f>
        <v/>
      </c>
      <c r="I92" s="26" t="str">
        <f>IFERROR(INDEX('Base Exámenes'!$F$5:$F$1000, MATCH(A92, 'Base Exámenes'!$C$5:$C$1000, 0)), "")</f>
        <v/>
      </c>
      <c r="J92" s="6" t="str">
        <f>IFERROR(INDEX('Base Exámenes'!$G$5:$G$1000, MATCH(A92, 'Base Exámenes'!$C$5:$C$1000, 0)), "")</f>
        <v/>
      </c>
      <c r="K92" s="6" t="str">
        <f>IFERROR(INDEX('Base Exámenes'!$H$5:$H$1000, MATCH(A92, 'Base Exámenes'!$C$5:$C$1000, 0)), "anonymous")</f>
        <v>anonymous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Exámenes'!$C$5:$C$1000, A93, 'Base Exámenes'!$E$5:$E$1000, "&lt;&gt;")&gt;0, "Completado", "Pendiente")</f>
        <v>Completado</v>
      </c>
      <c r="G93" s="25">
        <f>IFERROR(INDEX('Base Exámenes'!$D$5:$D$1000, MATCH(A93, 'Base Exámenes'!$C$5:$C$1000, 0)), "")</f>
        <v>46304.33164351852</v>
      </c>
      <c r="H93" s="25">
        <f>IFERROR(INDEX('Base Exámenes'!$E$5:$E$1000, MATCH(A93, 'Base Exámenes'!$C$5:$C$1000, 0)), "")</f>
        <v>46304.33385416667</v>
      </c>
      <c r="I93" s="26">
        <f>IFERROR(INDEX('Base Exámenes'!$F$5:$F$1000, MATCH(A93, 'Base Exámenes'!$C$5:$C$1000, 0)), "")</f>
        <v>3.18333333333333</v>
      </c>
      <c r="J93" s="6">
        <f>IFERROR(INDEX('Base Exámenes'!$G$5:$G$1000, MATCH(A93, 'Base Exámenes'!$C$5:$C$1000, 0)), "")</f>
        <v>100</v>
      </c>
      <c r="K93" s="6" t="str">
        <f>IFERROR(INDEX('Base Exámenes'!$H$5:$H$1000, MATCH(A93, 'Base Exámenes'!$C$5:$C$1000, 0)), "anonymous")</f>
        <v>anonymous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Exámenes'!$C$5:$C$1000, A94, 'Base Exámenes'!$E$5:$E$1000, "&lt;&gt;")&gt;0, "Completado", "Pendiente")</f>
        <v>Completado</v>
      </c>
      <c r="G94" s="25">
        <f>IFERROR(INDEX('Base Exámenes'!$D$5:$D$1000, MATCH(A94, 'Base Exámenes'!$C$5:$C$1000, 0)), "")</f>
        <v>46296.61537037037</v>
      </c>
      <c r="H94" s="25">
        <f>IFERROR(INDEX('Base Exámenes'!$E$5:$E$1000, MATCH(A94, 'Base Exámenes'!$C$5:$C$1000, 0)), "")</f>
        <v>46296.62540509259</v>
      </c>
      <c r="I94" s="26">
        <f>IFERROR(INDEX('Base Exámenes'!$F$5:$F$1000, MATCH(A94, 'Base Exámenes'!$C$5:$C$1000, 0)), "")</f>
        <v>14.45</v>
      </c>
      <c r="J94" s="6">
        <f>IFERROR(INDEX('Base Exámenes'!$G$5:$G$1000, MATCH(A94, 'Base Exámenes'!$C$5:$C$1000, 0)), "")</f>
        <v>100</v>
      </c>
      <c r="K94" s="6" t="str">
        <f>IFERROR(INDEX('Base Exámenes'!$H$5:$H$1000, MATCH(A94, 'Base Exámenes'!$C$5:$C$1000, 0)), "anonymous")</f>
        <v>anonymous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Exámenes'!$C$5:$C$1000, A95, 'Base Exámenes'!$E$5:$E$1000, "&lt;&gt;")&gt;0, "Completado", "Pendiente")</f>
        <v>Completado</v>
      </c>
      <c r="G95" s="25">
        <f>IFERROR(INDEX('Base Exámenes'!$D$5:$D$1000, MATCH(A95, 'Base Exámenes'!$C$5:$C$1000, 0)), "")</f>
        <v>46304.38685185185</v>
      </c>
      <c r="H95" s="25">
        <f>IFERROR(INDEX('Base Exámenes'!$E$5:$E$1000, MATCH(A95, 'Base Exámenes'!$C$5:$C$1000, 0)), "")</f>
        <v>46304.4002662037</v>
      </c>
      <c r="I95" s="26">
        <f>IFERROR(INDEX('Base Exámenes'!$F$5:$F$1000, MATCH(A95, 'Base Exámenes'!$C$5:$C$1000, 0)), "")</f>
        <v>19.3166666666667</v>
      </c>
      <c r="J95" s="6">
        <f>IFERROR(INDEX('Base Exámenes'!$G$5:$G$1000, MATCH(A95, 'Base Exámenes'!$C$5:$C$1000, 0)), "")</f>
        <v>90</v>
      </c>
      <c r="K95" s="6" t="str">
        <f>IFERROR(INDEX('Base Exámenes'!$H$5:$H$1000, MATCH(A95, 'Base Exámenes'!$C$5:$C$1000, 0)), "anonymous")</f>
        <v>anonymous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Exámenes'!$C$5:$C$1000, A96, 'Base Exámenes'!$E$5:$E$1000, "&lt;&gt;")&gt;0, "Completado", "Pendiente")</f>
        <v>Completado</v>
      </c>
      <c r="G96" s="25">
        <f>IFERROR(INDEX('Base Exámenes'!$D$5:$D$1000, MATCH(A96, 'Base Exámenes'!$C$5:$C$1000, 0)), "")</f>
        <v>46301.43630787037</v>
      </c>
      <c r="H96" s="25">
        <f>IFERROR(INDEX('Base Exámenes'!$E$5:$E$1000, MATCH(A96, 'Base Exámenes'!$C$5:$C$1000, 0)), "")</f>
        <v>46301.438738425924</v>
      </c>
      <c r="I96" s="26">
        <f>IFERROR(INDEX('Base Exámenes'!$F$5:$F$1000, MATCH(A96, 'Base Exámenes'!$C$5:$C$1000, 0)), "")</f>
        <v>3.5</v>
      </c>
      <c r="J96" s="6">
        <f>IFERROR(INDEX('Base Exámenes'!$G$5:$G$1000, MATCH(A96, 'Base Exámenes'!$C$5:$C$1000, 0)), "")</f>
        <v>100</v>
      </c>
      <c r="K96" s="6" t="str">
        <f>IFERROR(INDEX('Base Exámenes'!$H$5:$H$1000, MATCH(A96, 'Base Exámenes'!$C$5:$C$1000, 0)), "anonymous")</f>
        <v>anonymous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Exámenes'!$C$5:$C$1000, A97, 'Base Exámenes'!$E$5:$E$1000, "&lt;&gt;")&gt;0, "Completado", "Pendiente")</f>
        <v>Pendiente</v>
      </c>
      <c r="G97" s="25" t="str">
        <f>IFERROR(INDEX('Base Exámenes'!$D$5:$D$1000, MATCH(A97, 'Base Exámenes'!$C$5:$C$1000, 0)), "")</f>
        <v/>
      </c>
      <c r="H97" s="25" t="str">
        <f>IFERROR(INDEX('Base Exámenes'!$E$5:$E$1000, MATCH(A97, 'Base Exámenes'!$C$5:$C$1000, 0)), "")</f>
        <v/>
      </c>
      <c r="I97" s="26" t="str">
        <f>IFERROR(INDEX('Base Exámenes'!$F$5:$F$1000, MATCH(A97, 'Base Exámenes'!$C$5:$C$1000, 0)), "")</f>
        <v/>
      </c>
      <c r="J97" s="6" t="str">
        <f>IFERROR(INDEX('Base Exámenes'!$G$5:$G$1000, MATCH(A97, 'Base Exámenes'!$C$5:$C$1000, 0)), "")</f>
        <v/>
      </c>
      <c r="K97" s="6" t="str">
        <f>IFERROR(INDEX('Base Exámenes'!$H$5:$H$1000, MATCH(A97, 'Base Exámenes'!$C$5:$C$1000, 0)), "anonymous")</f>
        <v>anonymous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Exámenes'!$C$5:$C$1000, A98, 'Base Exámenes'!$E$5:$E$1000, "&lt;&gt;")&gt;0, "Completado", "Pendiente")</f>
        <v>Pendiente</v>
      </c>
      <c r="G98" s="25" t="str">
        <f>IFERROR(INDEX('Base Exámenes'!$D$5:$D$1000, MATCH(A98, 'Base Exámenes'!$C$5:$C$1000, 0)), "")</f>
        <v/>
      </c>
      <c r="H98" s="25" t="str">
        <f>IFERROR(INDEX('Base Exámenes'!$E$5:$E$1000, MATCH(A98, 'Base Exámenes'!$C$5:$C$1000, 0)), "")</f>
        <v/>
      </c>
      <c r="I98" s="26" t="str">
        <f>IFERROR(INDEX('Base Exámenes'!$F$5:$F$1000, MATCH(A98, 'Base Exámenes'!$C$5:$C$1000, 0)), "")</f>
        <v/>
      </c>
      <c r="J98" s="6" t="str">
        <f>IFERROR(INDEX('Base Exámenes'!$G$5:$G$1000, MATCH(A98, 'Base Exámenes'!$C$5:$C$1000, 0)), "")</f>
        <v/>
      </c>
      <c r="K98" s="6" t="str">
        <f>IFERROR(INDEX('Base Exámenes'!$H$5:$H$1000, MATCH(A98, 'Base Exámenes'!$C$5:$C$1000, 0)), "anonymous")</f>
        <v>anonymous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Exámenes'!$C$5:$C$1000, A99, 'Base Exámenes'!$E$5:$E$1000, "&lt;&gt;")&gt;0, "Completado", "Pendiente")</f>
        <v>Pendiente</v>
      </c>
      <c r="G99" s="25" t="str">
        <f>IFERROR(INDEX('Base Exámenes'!$D$5:$D$1000, MATCH(A99, 'Base Exámenes'!$C$5:$C$1000, 0)), "")</f>
        <v/>
      </c>
      <c r="H99" s="25" t="str">
        <f>IFERROR(INDEX('Base Exámenes'!$E$5:$E$1000, MATCH(A99, 'Base Exámenes'!$C$5:$C$1000, 0)), "")</f>
        <v/>
      </c>
      <c r="I99" s="26" t="str">
        <f>IFERROR(INDEX('Base Exámenes'!$F$5:$F$1000, MATCH(A99, 'Base Exámenes'!$C$5:$C$1000, 0)), "")</f>
        <v/>
      </c>
      <c r="J99" s="6" t="str">
        <f>IFERROR(INDEX('Base Exámenes'!$G$5:$G$1000, MATCH(A99, 'Base Exámenes'!$C$5:$C$1000, 0)), "")</f>
        <v/>
      </c>
      <c r="K99" s="6" t="str">
        <f>IFERROR(INDEX('Base Exámenes'!$H$5:$H$1000, MATCH(A99, 'Base Exámenes'!$C$5:$C$1000, 0)), "anonymous")</f>
        <v>anonymous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Exámenes'!$C$5:$C$1000, A100, 'Base Exámenes'!$E$5:$E$1000, "&lt;&gt;")&gt;0, "Completado", "Pendiente")</f>
        <v>Pendiente</v>
      </c>
      <c r="G100" s="25" t="str">
        <f>IFERROR(INDEX('Base Exámenes'!$D$5:$D$1000, MATCH(A100, 'Base Exámenes'!$C$5:$C$1000, 0)), "")</f>
        <v/>
      </c>
      <c r="H100" s="25" t="str">
        <f>IFERROR(INDEX('Base Exámenes'!$E$5:$E$1000, MATCH(A100, 'Base Exámenes'!$C$5:$C$1000, 0)), "")</f>
        <v/>
      </c>
      <c r="I100" s="26" t="str">
        <f>IFERROR(INDEX('Base Exámenes'!$F$5:$F$1000, MATCH(A100, 'Base Exámenes'!$C$5:$C$1000, 0)), "")</f>
        <v/>
      </c>
      <c r="J100" s="6" t="str">
        <f>IFERROR(INDEX('Base Exámenes'!$G$5:$G$1000, MATCH(A100, 'Base Exámenes'!$C$5:$C$1000, 0)), "")</f>
        <v/>
      </c>
      <c r="K100" s="6" t="str">
        <f>IFERROR(INDEX('Base Exámenes'!$H$5:$H$1000, MATCH(A100, 'Base Exámenes'!$C$5:$C$1000, 0)), "anonymous")</f>
        <v>anonymous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Exámenes'!$C$5:$C$1000, A101, 'Base Exámenes'!$E$5:$E$1000, "&lt;&gt;")&gt;0, "Completado", "Pendiente")</f>
        <v>Pendiente</v>
      </c>
      <c r="G101" s="25" t="str">
        <f>IFERROR(INDEX('Base Exámenes'!$D$5:$D$1000, MATCH(A101, 'Base Exámenes'!$C$5:$C$1000, 0)), "")</f>
        <v/>
      </c>
      <c r="H101" s="25" t="str">
        <f>IFERROR(INDEX('Base Exámenes'!$E$5:$E$1000, MATCH(A101, 'Base Exámenes'!$C$5:$C$1000, 0)), "")</f>
        <v/>
      </c>
      <c r="I101" s="26" t="str">
        <f>IFERROR(INDEX('Base Exámenes'!$F$5:$F$1000, MATCH(A101, 'Base Exámenes'!$C$5:$C$1000, 0)), "")</f>
        <v/>
      </c>
      <c r="J101" s="6" t="str">
        <f>IFERROR(INDEX('Base Exámenes'!$G$5:$G$1000, MATCH(A101, 'Base Exámenes'!$C$5:$C$1000, 0)), "")</f>
        <v/>
      </c>
      <c r="K101" s="6" t="str">
        <f>IFERROR(INDEX('Base Exámenes'!$H$5:$H$1000, MATCH(A101, 'Base Exámenes'!$C$5:$C$1000, 0)), "anonymous")</f>
        <v>anonymous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Exámenes'!$C$5:$C$1000, A102, 'Base Exámenes'!$E$5:$E$1000, "&lt;&gt;")&gt;0, "Completado", "Pendiente")</f>
        <v>Completado</v>
      </c>
      <c r="G102" s="25">
        <f>IFERROR(INDEX('Base Exámenes'!$D$5:$D$1000, MATCH(A102, 'Base Exámenes'!$C$5:$C$1000, 0)), "")</f>
        <v>46304.4034837963</v>
      </c>
      <c r="H102" s="25">
        <f>IFERROR(INDEX('Base Exámenes'!$E$5:$E$1000, MATCH(A102, 'Base Exámenes'!$C$5:$C$1000, 0)), "")</f>
        <v>46304.407905092594</v>
      </c>
      <c r="I102" s="26">
        <f>IFERROR(INDEX('Base Exámenes'!$F$5:$F$1000, MATCH(A102, 'Base Exámenes'!$C$5:$C$1000, 0)), "")</f>
        <v>6.36666666666667</v>
      </c>
      <c r="J102" s="6">
        <f>IFERROR(INDEX('Base Exámenes'!$G$5:$G$1000, MATCH(A102, 'Base Exámenes'!$C$5:$C$1000, 0)), "")</f>
        <v>100</v>
      </c>
      <c r="K102" s="6" t="str">
        <f>IFERROR(INDEX('Base Exámenes'!$H$5:$H$1000, MATCH(A102, 'Base Exámenes'!$C$5:$C$1000, 0)), "anonymous")</f>
        <v>anonymous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Exámenes'!$C$5:$C$1000, A103, 'Base Exámenes'!$E$5:$E$1000, "&lt;&gt;")&gt;0, "Completado", "Pendiente")</f>
        <v>Completado</v>
      </c>
      <c r="G103" s="25">
        <f>IFERROR(INDEX('Base Exámenes'!$D$5:$D$1000, MATCH(A103, 'Base Exámenes'!$C$5:$C$1000, 0)), "")</f>
        <v>46300.582349537035</v>
      </c>
      <c r="H103" s="25">
        <f>IFERROR(INDEX('Base Exámenes'!$E$5:$E$1000, MATCH(A103, 'Base Exámenes'!$C$5:$C$1000, 0)), "")</f>
        <v>46300.58474537037</v>
      </c>
      <c r="I103" s="26">
        <f>IFERROR(INDEX('Base Exámenes'!$F$5:$F$1000, MATCH(A103, 'Base Exámenes'!$C$5:$C$1000, 0)), "")</f>
        <v>3.45</v>
      </c>
      <c r="J103" s="6">
        <f>IFERROR(INDEX('Base Exámenes'!$G$5:$G$1000, MATCH(A103, 'Base Exámenes'!$C$5:$C$1000, 0)), "")</f>
        <v>95</v>
      </c>
      <c r="K103" s="6" t="str">
        <f>IFERROR(INDEX('Base Exámenes'!$H$5:$H$1000, MATCH(A103, 'Base Exámenes'!$C$5:$C$1000, 0)), "anonymous")</f>
        <v>anonymous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Exámenes'!$C$5:$C$1000, A104, 'Base Exámenes'!$E$5:$E$1000, "&lt;&gt;")&gt;0, "Completado", "Pendiente")</f>
        <v>Pendiente</v>
      </c>
      <c r="G104" s="25" t="str">
        <f>IFERROR(INDEX('Base Exámenes'!$D$5:$D$1000, MATCH(A104, 'Base Exámenes'!$C$5:$C$1000, 0)), "")</f>
        <v/>
      </c>
      <c r="H104" s="25" t="str">
        <f>IFERROR(INDEX('Base Exámenes'!$E$5:$E$1000, MATCH(A104, 'Base Exámenes'!$C$5:$C$1000, 0)), "")</f>
        <v/>
      </c>
      <c r="I104" s="26" t="str">
        <f>IFERROR(INDEX('Base Exámenes'!$F$5:$F$1000, MATCH(A104, 'Base Exámenes'!$C$5:$C$1000, 0)), "")</f>
        <v/>
      </c>
      <c r="J104" s="6" t="str">
        <f>IFERROR(INDEX('Base Exámenes'!$G$5:$G$1000, MATCH(A104, 'Base Exámenes'!$C$5:$C$1000, 0)), "")</f>
        <v/>
      </c>
      <c r="K104" s="6" t="str">
        <f>IFERROR(INDEX('Base Exámenes'!$H$5:$H$1000, MATCH(A104, 'Base Exámenes'!$C$5:$C$1000, 0)), "anonymous")</f>
        <v>anonymous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Exámenes'!$C$5:$C$1000, A105, 'Base Exámenes'!$E$5:$E$1000, "&lt;&gt;")&gt;0, "Completado", "Pendiente")</f>
        <v>Completado</v>
      </c>
      <c r="G105" s="25">
        <f>IFERROR(INDEX('Base Exámenes'!$D$5:$D$1000, MATCH(A105, 'Base Exámenes'!$C$5:$C$1000, 0)), "")</f>
        <v>46302.42083333333</v>
      </c>
      <c r="H105" s="25">
        <f>IFERROR(INDEX('Base Exámenes'!$E$5:$E$1000, MATCH(A105, 'Base Exámenes'!$C$5:$C$1000, 0)), "")</f>
        <v>46302.441828703704</v>
      </c>
      <c r="I105" s="26">
        <f>IFERROR(INDEX('Base Exámenes'!$F$5:$F$1000, MATCH(A105, 'Base Exámenes'!$C$5:$C$1000, 0)), "")</f>
        <v>30.2333333333333</v>
      </c>
      <c r="J105" s="6">
        <f>IFERROR(INDEX('Base Exámenes'!$G$5:$G$1000, MATCH(A105, 'Base Exámenes'!$C$5:$C$1000, 0)), "")</f>
        <v>100</v>
      </c>
      <c r="K105" s="6" t="str">
        <f>IFERROR(INDEX('Base Exámenes'!$H$5:$H$1000, MATCH(A105, 'Base Exámenes'!$C$5:$C$1000, 0)), "anonymous")</f>
        <v>anonymous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Exámenes'!$C$5:$C$1000, A106, 'Base Exámenes'!$E$5:$E$1000, "&lt;&gt;")&gt;0, "Completado", "Pendiente")</f>
        <v>Completado</v>
      </c>
      <c r="G106" s="25">
        <f>IFERROR(INDEX('Base Exámenes'!$D$5:$D$1000, MATCH(A106, 'Base Exámenes'!$C$5:$C$1000, 0)), "")</f>
        <v>46300.58730324074</v>
      </c>
      <c r="H106" s="25">
        <f>IFERROR(INDEX('Base Exámenes'!$E$5:$E$1000, MATCH(A106, 'Base Exámenes'!$C$5:$C$1000, 0)), "")</f>
        <v>46300.58950231481</v>
      </c>
      <c r="I106" s="26">
        <f>IFERROR(INDEX('Base Exámenes'!$F$5:$F$1000, MATCH(A106, 'Base Exámenes'!$C$5:$C$1000, 0)), "")</f>
        <v>3.16666666666667</v>
      </c>
      <c r="J106" s="6">
        <f>IFERROR(INDEX('Base Exámenes'!$G$5:$G$1000, MATCH(A106, 'Base Exámenes'!$C$5:$C$1000, 0)), "")</f>
        <v>100</v>
      </c>
      <c r="K106" s="6" t="str">
        <f>IFERROR(INDEX('Base Exámenes'!$H$5:$H$1000, MATCH(A106, 'Base Exámenes'!$C$5:$C$1000, 0)), "anonymous")</f>
        <v>anonymous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Exámenes'!$C$5:$C$1000, A107, 'Base Exámenes'!$E$5:$E$1000, "&lt;&gt;")&gt;0, "Completado", "Pendiente")</f>
        <v>Completado</v>
      </c>
      <c r="G107" s="25">
        <f>IFERROR(INDEX('Base Exámenes'!$D$5:$D$1000, MATCH(A107, 'Base Exámenes'!$C$5:$C$1000, 0)), "")</f>
        <v>46300.63085648148</v>
      </c>
      <c r="H107" s="25">
        <f>IFERROR(INDEX('Base Exámenes'!$E$5:$E$1000, MATCH(A107, 'Base Exámenes'!$C$5:$C$1000, 0)), "")</f>
        <v>46300.63810185185</v>
      </c>
      <c r="I107" s="26">
        <f>IFERROR(INDEX('Base Exámenes'!$F$5:$F$1000, MATCH(A107, 'Base Exámenes'!$C$5:$C$1000, 0)), "")</f>
        <v>10.4333333333333</v>
      </c>
      <c r="J107" s="6">
        <f>IFERROR(INDEX('Base Exámenes'!$G$5:$G$1000, MATCH(A107, 'Base Exámenes'!$C$5:$C$1000, 0)), "")</f>
        <v>100</v>
      </c>
      <c r="K107" s="6" t="str">
        <f>IFERROR(INDEX('Base Exámenes'!$H$5:$H$1000, MATCH(A107, 'Base Exámenes'!$C$5:$C$1000, 0)), "anonymous")</f>
        <v>anonymous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Exámenes'!$C$5:$C$1000, A108, 'Base Exámenes'!$E$5:$E$1000, "&lt;&gt;")&gt;0, "Completado", "Pendiente")</f>
        <v>Completado</v>
      </c>
      <c r="G108" s="25">
        <f>IFERROR(INDEX('Base Exámenes'!$D$5:$D$1000, MATCH(A108, 'Base Exámenes'!$C$5:$C$1000, 0)), "")</f>
        <v>46300.46083333333</v>
      </c>
      <c r="H108" s="25">
        <f>IFERROR(INDEX('Base Exámenes'!$E$5:$E$1000, MATCH(A108, 'Base Exámenes'!$C$5:$C$1000, 0)), "")</f>
        <v>46300.48065972222</v>
      </c>
      <c r="I108" s="26">
        <f>IFERROR(INDEX('Base Exámenes'!$F$5:$F$1000, MATCH(A108, 'Base Exámenes'!$C$5:$C$1000, 0)), "")</f>
        <v>28.55</v>
      </c>
      <c r="J108" s="6">
        <f>IFERROR(INDEX('Base Exámenes'!$G$5:$G$1000, MATCH(A108, 'Base Exámenes'!$C$5:$C$1000, 0)), "")</f>
        <v>100</v>
      </c>
      <c r="K108" s="6" t="str">
        <f>IFERROR(INDEX('Base Exámenes'!$H$5:$H$1000, MATCH(A108, 'Base Exámenes'!$C$5:$C$1000, 0)), "anonymous")</f>
        <v>anonymous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Exámenes'!$C$5:$C$1000, A109, 'Base Exámenes'!$E$5:$E$1000, "&lt;&gt;")&gt;0, "Completado", "Pendiente")</f>
        <v>Completado</v>
      </c>
      <c r="G109" s="25">
        <f>IFERROR(INDEX('Base Exámenes'!$D$5:$D$1000, MATCH(A109, 'Base Exámenes'!$C$5:$C$1000, 0)), "")</f>
        <v>46301.424733796295</v>
      </c>
      <c r="H109" s="25">
        <f>IFERROR(INDEX('Base Exámenes'!$E$5:$E$1000, MATCH(A109, 'Base Exámenes'!$C$5:$C$1000, 0)), "")</f>
        <v>46301.436527777776</v>
      </c>
      <c r="I109" s="26">
        <f>IFERROR(INDEX('Base Exámenes'!$F$5:$F$1000, MATCH(A109, 'Base Exámenes'!$C$5:$C$1000, 0)), "")</f>
        <v>16.9833333333333</v>
      </c>
      <c r="J109" s="6">
        <f>IFERROR(INDEX('Base Exámenes'!$G$5:$G$1000, MATCH(A109, 'Base Exámenes'!$C$5:$C$1000, 0)), "")</f>
        <v>100</v>
      </c>
      <c r="K109" s="6" t="str">
        <f>IFERROR(INDEX('Base Exámenes'!$H$5:$H$1000, MATCH(A109, 'Base Exámenes'!$C$5:$C$1000, 0)), "anonymous")</f>
        <v>anonymous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Exámenes'!$C$5:$C$1000, A110, 'Base Exámenes'!$E$5:$E$1000, "&lt;&gt;")&gt;0, "Completado", "Pendiente")</f>
        <v>Completado</v>
      </c>
      <c r="G110" s="25">
        <f>IFERROR(INDEX('Base Exámenes'!$D$5:$D$1000, MATCH(A110, 'Base Exámenes'!$C$5:$C$1000, 0)), "")</f>
        <v>46300.57717592592</v>
      </c>
      <c r="H110" s="25">
        <f>IFERROR(INDEX('Base Exámenes'!$E$5:$E$1000, MATCH(A110, 'Base Exámenes'!$C$5:$C$1000, 0)), "")</f>
        <v>46300.5841087963</v>
      </c>
      <c r="I110" s="26">
        <f>IFERROR(INDEX('Base Exámenes'!$F$5:$F$1000, MATCH(A110, 'Base Exámenes'!$C$5:$C$1000, 0)), "")</f>
        <v>9.98333333333333</v>
      </c>
      <c r="J110" s="6">
        <f>IFERROR(INDEX('Base Exámenes'!$G$5:$G$1000, MATCH(A110, 'Base Exámenes'!$C$5:$C$1000, 0)), "")</f>
        <v>100</v>
      </c>
      <c r="K110" s="6" t="str">
        <f>IFERROR(INDEX('Base Exámenes'!$H$5:$H$1000, MATCH(A110, 'Base Exámenes'!$C$5:$C$1000, 0)), "anonymous")</f>
        <v>anonymous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Exámenes'!$C$5:$C$1000, A111, 'Base Exámenes'!$E$5:$E$1000, "&lt;&gt;")&gt;0, "Completado", "Pendiente")</f>
        <v>Completado</v>
      </c>
      <c r="G111" s="25">
        <f>IFERROR(INDEX('Base Exámenes'!$D$5:$D$1000, MATCH(A111, 'Base Exámenes'!$C$5:$C$1000, 0)), "")</f>
        <v>46296.641388888886</v>
      </c>
      <c r="H111" s="25">
        <f>IFERROR(INDEX('Base Exámenes'!$E$5:$E$1000, MATCH(A111, 'Base Exámenes'!$C$5:$C$1000, 0)), "")</f>
        <v>46296.65938657407</v>
      </c>
      <c r="I111" s="26">
        <f>IFERROR(INDEX('Base Exámenes'!$F$5:$F$1000, MATCH(A111, 'Base Exámenes'!$C$5:$C$1000, 0)), "")</f>
        <v>25.9166666666667</v>
      </c>
      <c r="J111" s="6">
        <f>IFERROR(INDEX('Base Exámenes'!$G$5:$G$1000, MATCH(A111, 'Base Exámenes'!$C$5:$C$1000, 0)), "")</f>
        <v>100</v>
      </c>
      <c r="K111" s="6" t="str">
        <f>IFERROR(INDEX('Base Exámenes'!$H$5:$H$1000, MATCH(A111, 'Base Exámenes'!$C$5:$C$1000, 0)), "anonymous")</f>
        <v>anonymous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Exámenes'!$C$5:$C$1000, A112, 'Base Exámenes'!$E$5:$E$1000, "&lt;&gt;")&gt;0, "Completado", "Pendiente")</f>
        <v>Completado</v>
      </c>
      <c r="G112" s="25">
        <f>IFERROR(INDEX('Base Exámenes'!$D$5:$D$1000, MATCH(A112, 'Base Exámenes'!$C$5:$C$1000, 0)), "")</f>
        <v>46296.56962962963</v>
      </c>
      <c r="H112" s="25">
        <f>IFERROR(INDEX('Base Exámenes'!$E$5:$E$1000, MATCH(A112, 'Base Exámenes'!$C$5:$C$1000, 0)), "")</f>
        <v>46296.59023148148</v>
      </c>
      <c r="I112" s="26">
        <f>IFERROR(INDEX('Base Exámenes'!$F$5:$F$1000, MATCH(A112, 'Base Exámenes'!$C$5:$C$1000, 0)), "")</f>
        <v>29.6666666666667</v>
      </c>
      <c r="J112" s="6">
        <f>IFERROR(INDEX('Base Exámenes'!$G$5:$G$1000, MATCH(A112, 'Base Exámenes'!$C$5:$C$1000, 0)), "")</f>
        <v>100</v>
      </c>
      <c r="K112" s="6" t="str">
        <f>IFERROR(INDEX('Base Exámenes'!$H$5:$H$1000, MATCH(A112, 'Base Exámenes'!$C$5:$C$1000, 0)), "anonymous")</f>
        <v>anonymous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Exámenes'!$C$5:$C$1000, A113, 'Base Exámenes'!$E$5:$E$1000, "&lt;&gt;")&gt;0, "Completado", "Pendiente")</f>
        <v>Pendiente</v>
      </c>
      <c r="G113" s="25" t="str">
        <f>IFERROR(INDEX('Base Exámenes'!$D$5:$D$1000, MATCH(A113, 'Base Exámenes'!$C$5:$C$1000, 0)), "")</f>
        <v/>
      </c>
      <c r="H113" s="25" t="str">
        <f>IFERROR(INDEX('Base Exámenes'!$E$5:$E$1000, MATCH(A113, 'Base Exámenes'!$C$5:$C$1000, 0)), "")</f>
        <v/>
      </c>
      <c r="I113" s="26" t="str">
        <f>IFERROR(INDEX('Base Exámenes'!$F$5:$F$1000, MATCH(A113, 'Base Exámenes'!$C$5:$C$1000, 0)), "")</f>
        <v/>
      </c>
      <c r="J113" s="6" t="str">
        <f>IFERROR(INDEX('Base Exámenes'!$G$5:$G$1000, MATCH(A113, 'Base Exámenes'!$C$5:$C$1000, 0)), "")</f>
        <v/>
      </c>
      <c r="K113" s="6" t="str">
        <f>IFERROR(INDEX('Base Exámenes'!$H$5:$H$1000, MATCH(A113, 'Base Exámenes'!$C$5:$C$1000, 0)), "anonymous")</f>
        <v>anonymous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Exámenes'!$C$5:$C$1000, A114, 'Base Exámenes'!$E$5:$E$1000, "&lt;&gt;")&gt;0, "Completado", "Pendiente")</f>
        <v>Completado</v>
      </c>
      <c r="G114" s="25">
        <f>IFERROR(INDEX('Base Exámenes'!$D$5:$D$1000, MATCH(A114, 'Base Exámenes'!$C$5:$C$1000, 0)), "")</f>
        <v>46297.48075231481</v>
      </c>
      <c r="H114" s="25">
        <f>IFERROR(INDEX('Base Exámenes'!$E$5:$E$1000, MATCH(A114, 'Base Exámenes'!$C$5:$C$1000, 0)), "")</f>
        <v>46297.48825231481</v>
      </c>
      <c r="I114" s="26">
        <f>IFERROR(INDEX('Base Exámenes'!$F$5:$F$1000, MATCH(A114, 'Base Exámenes'!$C$5:$C$1000, 0)), "")</f>
        <v>10.8</v>
      </c>
      <c r="J114" s="6">
        <f>IFERROR(INDEX('Base Exámenes'!$G$5:$G$1000, MATCH(A114, 'Base Exámenes'!$C$5:$C$1000, 0)), "")</f>
        <v>100</v>
      </c>
      <c r="K114" s="6" t="str">
        <f>IFERROR(INDEX('Base Exámenes'!$H$5:$H$1000, MATCH(A114, 'Base Exámenes'!$C$5:$C$1000, 0)), "anonymous")</f>
        <v>anonymous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Exámenes'!$C$5:$C$1000, A115, 'Base Exámenes'!$E$5:$E$1000, "&lt;&gt;")&gt;0, "Completado", "Pendiente")</f>
        <v>Completado</v>
      </c>
      <c r="G115" s="25">
        <f>IFERROR(INDEX('Base Exámenes'!$D$5:$D$1000, MATCH(A115, 'Base Exámenes'!$C$5:$C$1000, 0)), "")</f>
        <v>46300.386666666665</v>
      </c>
      <c r="H115" s="25">
        <f>IFERROR(INDEX('Base Exámenes'!$E$5:$E$1000, MATCH(A115, 'Base Exámenes'!$C$5:$C$1000, 0)), "")</f>
        <v>46300.39171296296</v>
      </c>
      <c r="I115" s="26">
        <f>IFERROR(INDEX('Base Exámenes'!$F$5:$F$1000, MATCH(A115, 'Base Exámenes'!$C$5:$C$1000, 0)), "")</f>
        <v>7.26666666666667</v>
      </c>
      <c r="J115" s="6">
        <f>IFERROR(INDEX('Base Exámenes'!$G$5:$G$1000, MATCH(A115, 'Base Exámenes'!$C$5:$C$1000, 0)), "")</f>
        <v>100</v>
      </c>
      <c r="K115" s="6" t="str">
        <f>IFERROR(INDEX('Base Exámenes'!$H$5:$H$1000, MATCH(A115, 'Base Exámenes'!$C$5:$C$1000, 0)), "anonymous")</f>
        <v>anonymous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Exámenes'!$C$5:$C$1000, A116, 'Base Exámenes'!$E$5:$E$1000, "&lt;&gt;")&gt;0, "Completado", "Pendiente")</f>
        <v>Pendiente</v>
      </c>
      <c r="G116" s="25" t="str">
        <f>IFERROR(INDEX('Base Exámenes'!$D$5:$D$1000, MATCH(A116, 'Base Exámenes'!$C$5:$C$1000, 0)), "")</f>
        <v/>
      </c>
      <c r="H116" s="25" t="str">
        <f>IFERROR(INDEX('Base Exámenes'!$E$5:$E$1000, MATCH(A116, 'Base Exámenes'!$C$5:$C$1000, 0)), "")</f>
        <v/>
      </c>
      <c r="I116" s="26" t="str">
        <f>IFERROR(INDEX('Base Exámenes'!$F$5:$F$1000, MATCH(A116, 'Base Exámenes'!$C$5:$C$1000, 0)), "")</f>
        <v/>
      </c>
      <c r="J116" s="6" t="str">
        <f>IFERROR(INDEX('Base Exámenes'!$G$5:$G$1000, MATCH(A116, 'Base Exámenes'!$C$5:$C$1000, 0)), "")</f>
        <v/>
      </c>
      <c r="K116" s="6" t="str">
        <f>IFERROR(INDEX('Base Exámenes'!$H$5:$H$1000, MATCH(A116, 'Base Exámenes'!$C$5:$C$1000, 0)), "anonymous")</f>
        <v>anonymous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Exámenes'!$C$5:$C$1000, A117, 'Base Exámenes'!$E$5:$E$1000, "&lt;&gt;")&gt;0, "Completado", "Pendiente")</f>
        <v>Completado</v>
      </c>
      <c r="G117" s="25">
        <f>IFERROR(INDEX('Base Exámenes'!$D$5:$D$1000, MATCH(A117, 'Base Exámenes'!$C$5:$C$1000, 0)), "")</f>
        <v>46304.395833333336</v>
      </c>
      <c r="H117" s="25">
        <f>IFERROR(INDEX('Base Exámenes'!$E$5:$E$1000, MATCH(A117, 'Base Exámenes'!$C$5:$C$1000, 0)), "")</f>
        <v>46304.40027777778</v>
      </c>
      <c r="I117" s="26">
        <f>IFERROR(INDEX('Base Exámenes'!$F$5:$F$1000, MATCH(A117, 'Base Exámenes'!$C$5:$C$1000, 0)), "")</f>
        <v>6.4</v>
      </c>
      <c r="J117" s="6">
        <f>IFERROR(INDEX('Base Exámenes'!$G$5:$G$1000, MATCH(A117, 'Base Exámenes'!$C$5:$C$1000, 0)), "")</f>
        <v>100</v>
      </c>
      <c r="K117" s="6" t="str">
        <f>IFERROR(INDEX('Base Exámenes'!$H$5:$H$1000, MATCH(A117, 'Base Exámenes'!$C$5:$C$1000, 0)), "anonymous")</f>
        <v>anonymous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Exámenes'!$C$5:$C$1000, A118, 'Base Exámenes'!$E$5:$E$1000, "&lt;&gt;")&gt;0, "Completado", "Pendiente")</f>
        <v>Completado</v>
      </c>
      <c r="G118" s="25">
        <f>IFERROR(INDEX('Base Exámenes'!$D$5:$D$1000, MATCH(A118, 'Base Exámenes'!$C$5:$C$1000, 0)), "")</f>
        <v>46304.369363425925</v>
      </c>
      <c r="H118" s="25">
        <f>IFERROR(INDEX('Base Exámenes'!$E$5:$E$1000, MATCH(A118, 'Base Exámenes'!$C$5:$C$1000, 0)), "")</f>
        <v>46304.384618055556</v>
      </c>
      <c r="I118" s="26">
        <f>IFERROR(INDEX('Base Exámenes'!$F$5:$F$1000, MATCH(A118, 'Base Exámenes'!$C$5:$C$1000, 0)), "")</f>
        <v>21.9666666666667</v>
      </c>
      <c r="J118" s="6">
        <f>IFERROR(INDEX('Base Exámenes'!$G$5:$G$1000, MATCH(A118, 'Base Exámenes'!$C$5:$C$1000, 0)), "")</f>
        <v>100</v>
      </c>
      <c r="K118" s="6" t="str">
        <f>IFERROR(INDEX('Base Exámenes'!$H$5:$H$1000, MATCH(A118, 'Base Exámenes'!$C$5:$C$1000, 0)), "anonymous")</f>
        <v>anonymous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Exámenes'!$C$5:$C$1000, A119, 'Base Exámenes'!$E$5:$E$1000, "&lt;&gt;")&gt;0, "Completado", "Pendiente")</f>
        <v>Completado</v>
      </c>
      <c r="G119" s="25">
        <f>IFERROR(INDEX('Base Exámenes'!$D$5:$D$1000, MATCH(A119, 'Base Exámenes'!$C$5:$C$1000, 0)), "")</f>
        <v>46304.37327546296</v>
      </c>
      <c r="H119" s="25">
        <f>IFERROR(INDEX('Base Exámenes'!$E$5:$E$1000, MATCH(A119, 'Base Exámenes'!$C$5:$C$1000, 0)), "")</f>
        <v>46304.38784722222</v>
      </c>
      <c r="I119" s="26">
        <f>IFERROR(INDEX('Base Exámenes'!$F$5:$F$1000, MATCH(A119, 'Base Exámenes'!$C$5:$C$1000, 0)), "")</f>
        <v>20.9833333333333</v>
      </c>
      <c r="J119" s="6">
        <f>IFERROR(INDEX('Base Exámenes'!$G$5:$G$1000, MATCH(A119, 'Base Exámenes'!$C$5:$C$1000, 0)), "")</f>
        <v>100</v>
      </c>
      <c r="K119" s="6" t="str">
        <f>IFERROR(INDEX('Base Exámenes'!$H$5:$H$1000, MATCH(A119, 'Base Exámenes'!$C$5:$C$1000, 0)), "anonymous")</f>
        <v>anonymous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Exámenes'!$C$5:$C$1000, A120, 'Base Exámenes'!$E$5:$E$1000, "&lt;&gt;")&gt;0, "Completado", "Pendiente")</f>
        <v>Completado</v>
      </c>
      <c r="G120" s="25">
        <f>IFERROR(INDEX('Base Exámenes'!$D$5:$D$1000, MATCH(A120, 'Base Exámenes'!$C$5:$C$1000, 0)), "")</f>
        <v>46304.39172453704</v>
      </c>
      <c r="H120" s="25">
        <f>IFERROR(INDEX('Base Exámenes'!$E$5:$E$1000, MATCH(A120, 'Base Exámenes'!$C$5:$C$1000, 0)), "")</f>
        <v>46304.394837962966</v>
      </c>
      <c r="I120" s="26">
        <f>IFERROR(INDEX('Base Exámenes'!$F$5:$F$1000, MATCH(A120, 'Base Exámenes'!$C$5:$C$1000, 0)), "")</f>
        <v>4.48333333333333</v>
      </c>
      <c r="J120" s="6">
        <f>IFERROR(INDEX('Base Exámenes'!$G$5:$G$1000, MATCH(A120, 'Base Exámenes'!$C$5:$C$1000, 0)), "")</f>
        <v>100</v>
      </c>
      <c r="K120" s="6" t="str">
        <f>IFERROR(INDEX('Base Exámenes'!$H$5:$H$1000, MATCH(A120, 'Base Exámenes'!$C$5:$C$1000, 0)), "anonymous")</f>
        <v>anonymous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Exámenes'!$C$5:$C$1000, A121, 'Base Exámenes'!$E$5:$E$1000, "&lt;&gt;")&gt;0, "Completado", "Pendiente")</f>
        <v>Pendiente</v>
      </c>
      <c r="G121" s="25" t="str">
        <f>IFERROR(INDEX('Base Exámenes'!$D$5:$D$1000, MATCH(A121, 'Base Exámenes'!$C$5:$C$1000, 0)), "")</f>
        <v/>
      </c>
      <c r="H121" s="25" t="str">
        <f>IFERROR(INDEX('Base Exámenes'!$E$5:$E$1000, MATCH(A121, 'Base Exámenes'!$C$5:$C$1000, 0)), "")</f>
        <v/>
      </c>
      <c r="I121" s="26" t="str">
        <f>IFERROR(INDEX('Base Exámenes'!$F$5:$F$1000, MATCH(A121, 'Base Exámenes'!$C$5:$C$1000, 0)), "")</f>
        <v/>
      </c>
      <c r="J121" s="6" t="str">
        <f>IFERROR(INDEX('Base Exámenes'!$G$5:$G$1000, MATCH(A121, 'Base Exámenes'!$C$5:$C$1000, 0)), "")</f>
        <v/>
      </c>
      <c r="K121" s="6" t="str">
        <f>IFERROR(INDEX('Base Exámenes'!$H$5:$H$1000, MATCH(A121, 'Base Exámenes'!$C$5:$C$1000, 0)), "anonymous")</f>
        <v>anonymous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Exámenes'!$C$5:$C$1000, A122, 'Base Exámenes'!$E$5:$E$1000, "&lt;&gt;")&gt;0, "Completado", "Pendiente")</f>
        <v>Completado</v>
      </c>
      <c r="G122" s="25">
        <f>IFERROR(INDEX('Base Exámenes'!$D$5:$D$1000, MATCH(A122, 'Base Exámenes'!$C$5:$C$1000, 0)), "")</f>
        <v>46300.68533564815</v>
      </c>
      <c r="H122" s="25">
        <f>IFERROR(INDEX('Base Exámenes'!$E$5:$E$1000, MATCH(A122, 'Base Exámenes'!$C$5:$C$1000, 0)), "")</f>
        <v>46300.696018518516</v>
      </c>
      <c r="I122" s="26">
        <f>IFERROR(INDEX('Base Exámenes'!$F$5:$F$1000, MATCH(A122, 'Base Exámenes'!$C$5:$C$1000, 0)), "")</f>
        <v>15.3833333333333</v>
      </c>
      <c r="J122" s="6">
        <f>IFERROR(INDEX('Base Exámenes'!$G$5:$G$1000, MATCH(A122, 'Base Exámenes'!$C$5:$C$1000, 0)), "")</f>
        <v>95</v>
      </c>
      <c r="K122" s="6" t="str">
        <f>IFERROR(INDEX('Base Exámenes'!$H$5:$H$1000, MATCH(A122, 'Base Exámenes'!$C$5:$C$1000, 0)), "anonymous")</f>
        <v>anonymous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Exámenes'!$C$5:$C$1000, A123, 'Base Exámenes'!$E$5:$E$1000, "&lt;&gt;")&gt;0, "Completado", "Pendiente")</f>
        <v>Pendiente</v>
      </c>
      <c r="G123" s="25" t="str">
        <f>IFERROR(INDEX('Base Exámenes'!$D$5:$D$1000, MATCH(A123, 'Base Exámenes'!$C$5:$C$1000, 0)), "")</f>
        <v/>
      </c>
      <c r="H123" s="25" t="str">
        <f>IFERROR(INDEX('Base Exámenes'!$E$5:$E$1000, MATCH(A123, 'Base Exámenes'!$C$5:$C$1000, 0)), "")</f>
        <v/>
      </c>
      <c r="I123" s="26" t="str">
        <f>IFERROR(INDEX('Base Exámenes'!$F$5:$F$1000, MATCH(A123, 'Base Exámenes'!$C$5:$C$1000, 0)), "")</f>
        <v/>
      </c>
      <c r="J123" s="6" t="str">
        <f>IFERROR(INDEX('Base Exámenes'!$G$5:$G$1000, MATCH(A123, 'Base Exámenes'!$C$5:$C$1000, 0)), "")</f>
        <v/>
      </c>
      <c r="K123" s="6" t="str">
        <f>IFERROR(INDEX('Base Exámenes'!$H$5:$H$1000, MATCH(A123, 'Base Exámenes'!$C$5:$C$1000, 0)), "anonymous")</f>
        <v>anonymous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Exámenes'!$C$5:$C$1000, A124, 'Base Exámenes'!$E$5:$E$1000, "&lt;&gt;")&gt;0, "Completado", "Pendiente")</f>
        <v>Completado</v>
      </c>
      <c r="G124" s="25">
        <f>IFERROR(INDEX('Base Exámenes'!$D$5:$D$1000, MATCH(A124, 'Base Exámenes'!$C$5:$C$1000, 0)), "")</f>
        <v>46304.40168981482</v>
      </c>
      <c r="H124" s="25">
        <f>IFERROR(INDEX('Base Exámenes'!$E$5:$E$1000, MATCH(A124, 'Base Exámenes'!$C$5:$C$1000, 0)), "")</f>
        <v>46304.404328703706</v>
      </c>
      <c r="I124" s="26">
        <f>IFERROR(INDEX('Base Exámenes'!$F$5:$F$1000, MATCH(A124, 'Base Exámenes'!$C$5:$C$1000, 0)), "")</f>
        <v>3.8</v>
      </c>
      <c r="J124" s="6">
        <f>IFERROR(INDEX('Base Exámenes'!$G$5:$G$1000, MATCH(A124, 'Base Exámenes'!$C$5:$C$1000, 0)), "")</f>
        <v>90</v>
      </c>
      <c r="K124" s="6" t="str">
        <f>IFERROR(INDEX('Base Exámenes'!$H$5:$H$1000, MATCH(A124, 'Base Exámenes'!$C$5:$C$1000, 0)), "anonymous")</f>
        <v>anonymous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Exámenes'!$C$5:$C$1000, A125, 'Base Exámenes'!$E$5:$E$1000, "&lt;&gt;")&gt;0, "Completado", "Pendiente")</f>
        <v>Pendiente</v>
      </c>
      <c r="G125" s="25" t="str">
        <f>IFERROR(INDEX('Base Exámenes'!$D$5:$D$1000, MATCH(A125, 'Base Exámenes'!$C$5:$C$1000, 0)), "")</f>
        <v/>
      </c>
      <c r="H125" s="25" t="str">
        <f>IFERROR(INDEX('Base Exámenes'!$E$5:$E$1000, MATCH(A125, 'Base Exámenes'!$C$5:$C$1000, 0)), "")</f>
        <v/>
      </c>
      <c r="I125" s="26" t="str">
        <f>IFERROR(INDEX('Base Exámenes'!$F$5:$F$1000, MATCH(A125, 'Base Exámenes'!$C$5:$C$1000, 0)), "")</f>
        <v/>
      </c>
      <c r="J125" s="6" t="str">
        <f>IFERROR(INDEX('Base Exámenes'!$G$5:$G$1000, MATCH(A125, 'Base Exámenes'!$C$5:$C$1000, 0)), "")</f>
        <v/>
      </c>
      <c r="K125" s="6" t="str">
        <f>IFERROR(INDEX('Base Exámenes'!$H$5:$H$1000, MATCH(A125, 'Base Exámenes'!$C$5:$C$1000, 0)), "anonymous")</f>
        <v>anonymous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Exámenes'!$C$5:$C$1000, A126, 'Base Exámenes'!$E$5:$E$1000, "&lt;&gt;")&gt;0, "Completado", "Pendiente")</f>
        <v>Completado</v>
      </c>
      <c r="G126" s="25">
        <f>IFERROR(INDEX('Base Exámenes'!$D$5:$D$1000, MATCH(A126, 'Base Exámenes'!$C$5:$C$1000, 0)), "")</f>
        <v>46296.704247685186</v>
      </c>
      <c r="H126" s="25">
        <f>IFERROR(INDEX('Base Exámenes'!$E$5:$E$1000, MATCH(A126, 'Base Exámenes'!$C$5:$C$1000, 0)), "")</f>
        <v>46296.711550925924</v>
      </c>
      <c r="I126" s="26">
        <f>IFERROR(INDEX('Base Exámenes'!$F$5:$F$1000, MATCH(A126, 'Base Exámenes'!$C$5:$C$1000, 0)), "")</f>
        <v>10.5166666419167</v>
      </c>
      <c r="J126" s="6">
        <f>IFERROR(INDEX('Base Exámenes'!$G$5:$G$1000, MATCH(A126, 'Base Exámenes'!$C$5:$C$1000, 0)), "")</f>
        <v>100</v>
      </c>
      <c r="K126" s="6" t="str">
        <f>IFERROR(INDEX('Base Exámenes'!$H$5:$H$1000, MATCH(A126, 'Base Exámenes'!$C$5:$C$1000, 0)), "anonymous")</f>
        <v>anonymous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Exámenes'!$C$5:$C$1000, A127, 'Base Exámenes'!$E$5:$E$1000, "&lt;&gt;")&gt;0, "Completado", "Pendiente")</f>
        <v>Completado</v>
      </c>
      <c r="G127" s="25">
        <f>IFERROR(INDEX('Base Exámenes'!$D$5:$D$1000, MATCH(A127, 'Base Exámenes'!$C$5:$C$1000, 0)), "")</f>
        <v>46304.39957175926</v>
      </c>
      <c r="H127" s="25">
        <f>IFERROR(INDEX('Base Exámenes'!$E$5:$E$1000, MATCH(A127, 'Base Exámenes'!$C$5:$C$1000, 0)), "")</f>
        <v>46304.40319444444</v>
      </c>
      <c r="I127" s="26">
        <f>IFERROR(INDEX('Base Exámenes'!$F$5:$F$1000, MATCH(A127, 'Base Exámenes'!$C$5:$C$1000, 0)), "")</f>
        <v>5.21666666666667</v>
      </c>
      <c r="J127" s="6">
        <f>IFERROR(INDEX('Base Exámenes'!$G$5:$G$1000, MATCH(A127, 'Base Exámenes'!$C$5:$C$1000, 0)), "")</f>
        <v>90</v>
      </c>
      <c r="K127" s="6" t="str">
        <f>IFERROR(INDEX('Base Exámenes'!$H$5:$H$1000, MATCH(A127, 'Base Exámenes'!$C$5:$C$1000, 0)), "anonymous")</f>
        <v>anonymous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Exámenes'!$C$5:$C$1000, A128, 'Base Exámenes'!$E$5:$E$1000, "&lt;&gt;")&gt;0, "Completado", "Pendiente")</f>
        <v>Completado</v>
      </c>
      <c r="G128" s="25">
        <f>IFERROR(INDEX('Base Exámenes'!$D$5:$D$1000, MATCH(A128, 'Base Exámenes'!$C$5:$C$1000, 0)), "")</f>
        <v>46296.61756944445</v>
      </c>
      <c r="H128" s="25">
        <f>IFERROR(INDEX('Base Exámenes'!$E$5:$E$1000, MATCH(A128, 'Base Exámenes'!$C$5:$C$1000, 0)), "")</f>
        <v>46296.62321759259</v>
      </c>
      <c r="I128" s="26">
        <f>IFERROR(INDEX('Base Exámenes'!$F$5:$F$1000, MATCH(A128, 'Base Exámenes'!$C$5:$C$1000, 0)), "")</f>
        <v>8.13333333333333</v>
      </c>
      <c r="J128" s="6">
        <f>IFERROR(INDEX('Base Exámenes'!$G$5:$G$1000, MATCH(A128, 'Base Exámenes'!$C$5:$C$1000, 0)), "")</f>
        <v>100</v>
      </c>
      <c r="K128" s="6" t="str">
        <f>IFERROR(INDEX('Base Exámenes'!$H$5:$H$1000, MATCH(A128, 'Base Exámenes'!$C$5:$C$1000, 0)), "anonymous")</f>
        <v>anonymous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Exámenes'!$C$5:$C$1000, A129, 'Base Exámenes'!$E$5:$E$1000, "&lt;&gt;")&gt;0, "Completado", "Pendiente")</f>
        <v>Completado</v>
      </c>
      <c r="G129" s="25">
        <f>IFERROR(INDEX('Base Exámenes'!$D$5:$D$1000, MATCH(A129, 'Base Exámenes'!$C$5:$C$1000, 0)), "")</f>
        <v>46296.676203703704</v>
      </c>
      <c r="H129" s="25">
        <f>IFERROR(INDEX('Base Exámenes'!$E$5:$E$1000, MATCH(A129, 'Base Exámenes'!$C$5:$C$1000, 0)), "")</f>
        <v>46296.68074074074</v>
      </c>
      <c r="I129" s="26">
        <f>IFERROR(INDEX('Base Exámenes'!$F$5:$F$1000, MATCH(A129, 'Base Exámenes'!$C$5:$C$1000, 0)), "")</f>
        <v>6.53333333333333</v>
      </c>
      <c r="J129" s="6">
        <f>IFERROR(INDEX('Base Exámenes'!$G$5:$G$1000, MATCH(A129, 'Base Exámenes'!$C$5:$C$1000, 0)), "")</f>
        <v>100</v>
      </c>
      <c r="K129" s="6" t="str">
        <f>IFERROR(INDEX('Base Exámenes'!$H$5:$H$1000, MATCH(A129, 'Base Exámenes'!$C$5:$C$1000, 0)), "anonymous")</f>
        <v>anonymous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Exámenes'!$C$5:$C$1000, A130, 'Base Exámenes'!$E$5:$E$1000, "&lt;&gt;")&gt;0, "Completado", "Pendiente")</f>
        <v>Completado</v>
      </c>
      <c r="G130" s="25">
        <f>IFERROR(INDEX('Base Exámenes'!$D$5:$D$1000, MATCH(A130, 'Base Exámenes'!$C$5:$C$1000, 0)), "")</f>
        <v>46296.48201388889</v>
      </c>
      <c r="H130" s="25">
        <f>IFERROR(INDEX('Base Exámenes'!$E$5:$E$1000, MATCH(A130, 'Base Exámenes'!$C$5:$C$1000, 0)), "")</f>
        <v>46296.491481481484</v>
      </c>
      <c r="I130" s="26">
        <f>IFERROR(INDEX('Base Exámenes'!$F$5:$F$1000, MATCH(A130, 'Base Exámenes'!$C$5:$C$1000, 0)), "")</f>
        <v>13.6333333333333</v>
      </c>
      <c r="J130" s="6">
        <f>IFERROR(INDEX('Base Exámenes'!$G$5:$G$1000, MATCH(A130, 'Base Exámenes'!$C$5:$C$1000, 0)), "")</f>
        <v>100</v>
      </c>
      <c r="K130" s="6" t="str">
        <f>IFERROR(INDEX('Base Exámenes'!$H$5:$H$1000, MATCH(A130, 'Base Exámenes'!$C$5:$C$1000, 0)), "anonymous")</f>
        <v>anonymous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Exámenes'!$C$5:$C$1000, A131, 'Base Exámenes'!$E$5:$E$1000, "&lt;&gt;")&gt;0, "Completado", "Pendiente")</f>
        <v>Completado</v>
      </c>
      <c r="G131" s="25">
        <f>IFERROR(INDEX('Base Exámenes'!$D$5:$D$1000, MATCH(A131, 'Base Exámenes'!$C$5:$C$1000, 0)), "")</f>
        <v>46296.47424768518</v>
      </c>
      <c r="H131" s="25">
        <f>IFERROR(INDEX('Base Exámenes'!$E$5:$E$1000, MATCH(A131, 'Base Exámenes'!$C$5:$C$1000, 0)), "")</f>
        <v>46296.48637731482</v>
      </c>
      <c r="I131" s="26">
        <f>IFERROR(INDEX('Base Exámenes'!$F$5:$F$1000, MATCH(A131, 'Base Exámenes'!$C$5:$C$1000, 0)), "")</f>
        <v>17.4666666666667</v>
      </c>
      <c r="J131" s="6">
        <f>IFERROR(INDEX('Base Exámenes'!$G$5:$G$1000, MATCH(A131, 'Base Exámenes'!$C$5:$C$1000, 0)), "")</f>
        <v>100</v>
      </c>
      <c r="K131" s="6" t="str">
        <f>IFERROR(INDEX('Base Exámenes'!$H$5:$H$1000, MATCH(A131, 'Base Exámenes'!$C$5:$C$1000, 0)), "anonymous")</f>
        <v>anonymous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Exámenes'!$C$5:$C$1000, A132, 'Base Exámenes'!$E$5:$E$1000, "&lt;&gt;")&gt;0, "Completado", "Pendiente")</f>
        <v>Completado</v>
      </c>
      <c r="G132" s="25">
        <f>IFERROR(INDEX('Base Exámenes'!$D$5:$D$1000, MATCH(A132, 'Base Exámenes'!$C$5:$C$1000, 0)), "")</f>
        <v>46296.47130787037</v>
      </c>
      <c r="H132" s="25">
        <f>IFERROR(INDEX('Base Exámenes'!$E$5:$E$1000, MATCH(A132, 'Base Exámenes'!$C$5:$C$1000, 0)), "")</f>
        <v>46296.47803240741</v>
      </c>
      <c r="I132" s="26">
        <f>IFERROR(INDEX('Base Exámenes'!$F$5:$F$1000, MATCH(A132, 'Base Exámenes'!$C$5:$C$1000, 0)), "")</f>
        <v>9.68333333333333</v>
      </c>
      <c r="J132" s="6">
        <f>IFERROR(INDEX('Base Exámenes'!$G$5:$G$1000, MATCH(A132, 'Base Exámenes'!$C$5:$C$1000, 0)), "")</f>
        <v>100</v>
      </c>
      <c r="K132" s="6" t="str">
        <f>IFERROR(INDEX('Base Exámenes'!$H$5:$H$1000, MATCH(A132, 'Base Exámenes'!$C$5:$C$1000, 0)), "anonymous")</f>
        <v>anonymous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Exámenes'!$C$5:$C$1000, A133, 'Base Exámenes'!$E$5:$E$1000, "&lt;&gt;")&gt;0, "Completado", "Pendiente")</f>
        <v>Completado</v>
      </c>
      <c r="G133" s="25">
        <f>IFERROR(INDEX('Base Exámenes'!$D$5:$D$1000, MATCH(A133, 'Base Exámenes'!$C$5:$C$1000, 0)), "")</f>
        <v>46296.491111111114</v>
      </c>
      <c r="H133" s="25">
        <f>IFERROR(INDEX('Base Exámenes'!$E$5:$E$1000, MATCH(A133, 'Base Exámenes'!$C$5:$C$1000, 0)), "")</f>
        <v>46296.49747685185</v>
      </c>
      <c r="I133" s="26">
        <f>IFERROR(INDEX('Base Exámenes'!$F$5:$F$1000, MATCH(A133, 'Base Exámenes'!$C$5:$C$1000, 0)), "")</f>
        <v>9.16666666666667</v>
      </c>
      <c r="J133" s="6">
        <f>IFERROR(INDEX('Base Exámenes'!$G$5:$G$1000, MATCH(A133, 'Base Exámenes'!$C$5:$C$1000, 0)), "")</f>
        <v>100</v>
      </c>
      <c r="K133" s="6" t="str">
        <f>IFERROR(INDEX('Base Exámenes'!$H$5:$H$1000, MATCH(A133, 'Base Exámenes'!$C$5:$C$1000, 0)), "anonymous")</f>
        <v>anonymous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Exámenes'!$C$5:$C$1000, A134, 'Base Exámenes'!$E$5:$E$1000, "&lt;&gt;")&gt;0, "Completado", "Pendiente")</f>
        <v>Completado</v>
      </c>
      <c r="G134" s="25">
        <f>IFERROR(INDEX('Base Exámenes'!$D$5:$D$1000, MATCH(A134, 'Base Exámenes'!$C$5:$C$1000, 0)), "")</f>
        <v>46296.472233796296</v>
      </c>
      <c r="H134" s="25">
        <f>IFERROR(INDEX('Base Exámenes'!$E$5:$E$1000, MATCH(A134, 'Base Exámenes'!$C$5:$C$1000, 0)), "")</f>
        <v>46296.48002314815</v>
      </c>
      <c r="I134" s="26">
        <f>IFERROR(INDEX('Base Exámenes'!$F$5:$F$1000, MATCH(A134, 'Base Exámenes'!$C$5:$C$1000, 0)), "")</f>
        <v>11.2166666666667</v>
      </c>
      <c r="J134" s="6">
        <f>IFERROR(INDEX('Base Exámenes'!$G$5:$G$1000, MATCH(A134, 'Base Exámenes'!$C$5:$C$1000, 0)), "")</f>
        <v>100</v>
      </c>
      <c r="K134" s="6" t="str">
        <f>IFERROR(INDEX('Base Exámenes'!$H$5:$H$1000, MATCH(A134, 'Base Exámenes'!$C$5:$C$1000, 0)), "anonymous")</f>
        <v>anonymous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Exámenes'!$C$5:$C$1000, A135, 'Base Exámenes'!$E$5:$E$1000, "&lt;&gt;")&gt;0, "Completado", "Pendiente")</f>
        <v>Completado</v>
      </c>
      <c r="G135" s="25">
        <f>IFERROR(INDEX('Base Exámenes'!$D$5:$D$1000, MATCH(A135, 'Base Exámenes'!$C$5:$C$1000, 0)), "")</f>
        <v>46296.48653935185</v>
      </c>
      <c r="H135" s="25">
        <f>IFERROR(INDEX('Base Exámenes'!$E$5:$E$1000, MATCH(A135, 'Base Exámenes'!$C$5:$C$1000, 0)), "")</f>
        <v>46296.4949537037</v>
      </c>
      <c r="I135" s="26">
        <f>IFERROR(INDEX('Base Exámenes'!$F$5:$F$1000, MATCH(A135, 'Base Exámenes'!$C$5:$C$1000, 0)), "")</f>
        <v>12.1166666666667</v>
      </c>
      <c r="J135" s="6">
        <f>IFERROR(INDEX('Base Exámenes'!$G$5:$G$1000, MATCH(A135, 'Base Exámenes'!$C$5:$C$1000, 0)), "")</f>
        <v>100</v>
      </c>
      <c r="K135" s="6" t="str">
        <f>IFERROR(INDEX('Base Exámenes'!$H$5:$H$1000, MATCH(A135, 'Base Exámenes'!$C$5:$C$1000, 0)), "anonymous")</f>
        <v>anonymous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Exámenes'!$C$5:$C$1000, A136, 'Base Exámenes'!$E$5:$E$1000, "&lt;&gt;")&gt;0, "Completado", "Pendiente")</f>
        <v>Completado</v>
      </c>
      <c r="G136" s="25">
        <f>IFERROR(INDEX('Base Exámenes'!$D$5:$D$1000, MATCH(A136, 'Base Exámenes'!$C$5:$C$1000, 0)), "")</f>
        <v>46296.483923611115</v>
      </c>
      <c r="H136" s="25">
        <f>IFERROR(INDEX('Base Exámenes'!$E$5:$E$1000, MATCH(A136, 'Base Exámenes'!$C$5:$C$1000, 0)), "")</f>
        <v>46296.48710648148</v>
      </c>
      <c r="I136" s="26">
        <f>IFERROR(INDEX('Base Exámenes'!$F$5:$F$1000, MATCH(A136, 'Base Exámenes'!$C$5:$C$1000, 0)), "")</f>
        <v>4.58333333333333</v>
      </c>
      <c r="J136" s="6">
        <f>IFERROR(INDEX('Base Exámenes'!$G$5:$G$1000, MATCH(A136, 'Base Exámenes'!$C$5:$C$1000, 0)), "")</f>
        <v>100</v>
      </c>
      <c r="K136" s="6" t="str">
        <f>IFERROR(INDEX('Base Exámenes'!$H$5:$H$1000, MATCH(A136, 'Base Exámenes'!$C$5:$C$1000, 0)), "anonymous")</f>
        <v>anonymous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Exámenes'!$C$5:$C$1000, A137, 'Base Exámenes'!$E$5:$E$1000, "&lt;&gt;")&gt;0, "Completado", "Pendiente")</f>
        <v>Completado</v>
      </c>
      <c r="G137" s="25">
        <f>IFERROR(INDEX('Base Exámenes'!$D$5:$D$1000, MATCH(A137, 'Base Exámenes'!$C$5:$C$1000, 0)), "")</f>
        <v>46296.45108796296</v>
      </c>
      <c r="H137" s="25">
        <f>IFERROR(INDEX('Base Exámenes'!$E$5:$E$1000, MATCH(A137, 'Base Exámenes'!$C$5:$C$1000, 0)), "")</f>
        <v>46296.453680555554</v>
      </c>
      <c r="I137" s="26">
        <f>IFERROR(INDEX('Base Exámenes'!$F$5:$F$1000, MATCH(A137, 'Base Exámenes'!$C$5:$C$1000, 0)), "")</f>
        <v>3.73333333333333</v>
      </c>
      <c r="J137" s="6">
        <f>IFERROR(INDEX('Base Exámenes'!$G$5:$G$1000, MATCH(A137, 'Base Exámenes'!$C$5:$C$1000, 0)), "")</f>
        <v>100</v>
      </c>
      <c r="K137" s="6" t="str">
        <f>IFERROR(INDEX('Base Exámenes'!$H$5:$H$1000, MATCH(A137, 'Base Exámenes'!$C$5:$C$1000, 0)), "anonymous")</f>
        <v>anonymous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Exámenes'!$C$5:$C$1000, A138, 'Base Exámenes'!$E$5:$E$1000, "&lt;&gt;")&gt;0, "Completado", "Pendiente")</f>
        <v>Completado</v>
      </c>
      <c r="G138" s="25">
        <f>IFERROR(INDEX('Base Exámenes'!$D$5:$D$1000, MATCH(A138, 'Base Exámenes'!$C$5:$C$1000, 0)), "")</f>
        <v>46301.42778935185</v>
      </c>
      <c r="H138" s="25">
        <f>IFERROR(INDEX('Base Exámenes'!$E$5:$E$1000, MATCH(A138, 'Base Exámenes'!$C$5:$C$1000, 0)), "")</f>
        <v>46301.440300925926</v>
      </c>
      <c r="I138" s="26">
        <f>IFERROR(INDEX('Base Exámenes'!$F$5:$F$1000, MATCH(A138, 'Base Exámenes'!$C$5:$C$1000, 0)), "")</f>
        <v>18.0166666666667</v>
      </c>
      <c r="J138" s="6">
        <f>IFERROR(INDEX('Base Exámenes'!$G$5:$G$1000, MATCH(A138, 'Base Exámenes'!$C$5:$C$1000, 0)), "")</f>
        <v>100</v>
      </c>
      <c r="K138" s="6" t="str">
        <f>IFERROR(INDEX('Base Exámenes'!$H$5:$H$1000, MATCH(A138, 'Base Exámenes'!$C$5:$C$1000, 0)), "anonymous")</f>
        <v>anonymous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Exámenes'!$C$5:$C$1000, A139, 'Base Exámenes'!$E$5:$E$1000, "&lt;&gt;")&gt;0, "Completado", "Pendiente")</f>
        <v>Completado</v>
      </c>
      <c r="G139" s="25">
        <f>IFERROR(INDEX('Base Exámenes'!$D$5:$D$1000, MATCH(A139, 'Base Exámenes'!$C$5:$C$1000, 0)), "")</f>
        <v>46301.48449074074</v>
      </c>
      <c r="H139" s="25">
        <f>IFERROR(INDEX('Base Exámenes'!$E$5:$E$1000, MATCH(A139, 'Base Exámenes'!$C$5:$C$1000, 0)), "")</f>
        <v>46301.489282407405</v>
      </c>
      <c r="I139" s="26">
        <f>IFERROR(INDEX('Base Exámenes'!$F$5:$F$1000, MATCH(A139, 'Base Exámenes'!$C$5:$C$1000, 0)), "")</f>
        <v>6.9</v>
      </c>
      <c r="J139" s="6">
        <f>IFERROR(INDEX('Base Exámenes'!$G$5:$G$1000, MATCH(A139, 'Base Exámenes'!$C$5:$C$1000, 0)), "")</f>
        <v>100</v>
      </c>
      <c r="K139" s="6" t="str">
        <f>IFERROR(INDEX('Base Exámenes'!$H$5:$H$1000, MATCH(A139, 'Base Exámenes'!$C$5:$C$1000, 0)), "anonymous")</f>
        <v>anonymous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Exámenes'!$C$5:$C$1000, A140, 'Base Exámenes'!$E$5:$E$1000, "&lt;&gt;")&gt;0, "Completado", "Pendiente")</f>
        <v>Completado</v>
      </c>
      <c r="G140" s="25">
        <f>IFERROR(INDEX('Base Exámenes'!$D$5:$D$1000, MATCH(A140, 'Base Exámenes'!$C$5:$C$1000, 0)), "")</f>
        <v>46304.373090277775</v>
      </c>
      <c r="H140" s="25">
        <f>IFERROR(INDEX('Base Exámenes'!$E$5:$E$1000, MATCH(A140, 'Base Exámenes'!$C$5:$C$1000, 0)), "")</f>
        <v>46304.37650462963</v>
      </c>
      <c r="I140" s="26">
        <f>IFERROR(INDEX('Base Exámenes'!$F$5:$F$1000, MATCH(A140, 'Base Exámenes'!$C$5:$C$1000, 0)), "")</f>
        <v>4.91666666666667</v>
      </c>
      <c r="J140" s="6">
        <f>IFERROR(INDEX('Base Exámenes'!$G$5:$G$1000, MATCH(A140, 'Base Exámenes'!$C$5:$C$1000, 0)), "")</f>
        <v>100</v>
      </c>
      <c r="K140" s="6" t="str">
        <f>IFERROR(INDEX('Base Exámenes'!$H$5:$H$1000, MATCH(A140, 'Base Exámenes'!$C$5:$C$1000, 0)), "anonymous")</f>
        <v>anonymous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Exámenes'!$C$5:$C$1000, A141, 'Base Exámenes'!$E$5:$E$1000, "&lt;&gt;")&gt;0, "Completado", "Pendiente")</f>
        <v>Pendiente</v>
      </c>
      <c r="G141" s="25" t="str">
        <f>IFERROR(INDEX('Base Exámenes'!$D$5:$D$1000, MATCH(A141, 'Base Exámenes'!$C$5:$C$1000, 0)), "")</f>
        <v/>
      </c>
      <c r="H141" s="25" t="str">
        <f>IFERROR(INDEX('Base Exámenes'!$E$5:$E$1000, MATCH(A141, 'Base Exámenes'!$C$5:$C$1000, 0)), "")</f>
        <v/>
      </c>
      <c r="I141" s="26" t="str">
        <f>IFERROR(INDEX('Base Exámenes'!$F$5:$F$1000, MATCH(A141, 'Base Exámenes'!$C$5:$C$1000, 0)), "")</f>
        <v/>
      </c>
      <c r="J141" s="6" t="str">
        <f>IFERROR(INDEX('Base Exámenes'!$G$5:$G$1000, MATCH(A141, 'Base Exámenes'!$C$5:$C$1000, 0)), "")</f>
        <v/>
      </c>
      <c r="K141" s="6" t="str">
        <f>IFERROR(INDEX('Base Exámenes'!$H$5:$H$1000, MATCH(A141, 'Base Exámenes'!$C$5:$C$1000, 0)), "anonymous")</f>
        <v>anonymous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Exámenes'!$C$5:$C$1000, A142, 'Base Exámenes'!$E$5:$E$1000, "&lt;&gt;")&gt;0, "Completado", "Pendiente")</f>
        <v>Pendiente</v>
      </c>
      <c r="G142" s="25" t="str">
        <f>IFERROR(INDEX('Base Exámenes'!$D$5:$D$1000, MATCH(A142, 'Base Exámenes'!$C$5:$C$1000, 0)), "")</f>
        <v/>
      </c>
      <c r="H142" s="25" t="str">
        <f>IFERROR(INDEX('Base Exámenes'!$E$5:$E$1000, MATCH(A142, 'Base Exámenes'!$C$5:$C$1000, 0)), "")</f>
        <v/>
      </c>
      <c r="I142" s="26" t="str">
        <f>IFERROR(INDEX('Base Exámenes'!$F$5:$F$1000, MATCH(A142, 'Base Exámenes'!$C$5:$C$1000, 0)), "")</f>
        <v/>
      </c>
      <c r="J142" s="6" t="str">
        <f>IFERROR(INDEX('Base Exámenes'!$G$5:$G$1000, MATCH(A142, 'Base Exámenes'!$C$5:$C$1000, 0)), "")</f>
        <v/>
      </c>
      <c r="K142" s="6" t="str">
        <f>IFERROR(INDEX('Base Exámenes'!$H$5:$H$1000, MATCH(A142, 'Base Exámenes'!$C$5:$C$1000, 0)), "anonymous")</f>
        <v>anonymous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Exámenes'!$C$5:$C$1000, A143, 'Base Exámenes'!$E$5:$E$1000, "&lt;&gt;")&gt;0, "Completado", "Pendiente")</f>
        <v>Pendiente</v>
      </c>
      <c r="G143" s="25" t="str">
        <f>IFERROR(INDEX('Base Exámenes'!$D$5:$D$1000, MATCH(A143, 'Base Exámenes'!$C$5:$C$1000, 0)), "")</f>
        <v/>
      </c>
      <c r="H143" s="25" t="str">
        <f>IFERROR(INDEX('Base Exámenes'!$E$5:$E$1000, MATCH(A143, 'Base Exámenes'!$C$5:$C$1000, 0)), "")</f>
        <v/>
      </c>
      <c r="I143" s="26" t="str">
        <f>IFERROR(INDEX('Base Exámenes'!$F$5:$F$1000, MATCH(A143, 'Base Exámenes'!$C$5:$C$1000, 0)), "")</f>
        <v/>
      </c>
      <c r="J143" s="6" t="str">
        <f>IFERROR(INDEX('Base Exámenes'!$G$5:$G$1000, MATCH(A143, 'Base Exámenes'!$C$5:$C$1000, 0)), "")</f>
        <v/>
      </c>
      <c r="K143" s="6" t="str">
        <f>IFERROR(INDEX('Base Exámenes'!$H$5:$H$1000, MATCH(A143, 'Base Exámenes'!$C$5:$C$1000, 0)), "anonymous")</f>
        <v>anonymous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Exámenes'!$C$5:$C$1000, A144, 'Base Exámenes'!$E$5:$E$1000, "&lt;&gt;")&gt;0, "Completado", "Pendiente")</f>
        <v>Pendiente</v>
      </c>
      <c r="G144" s="25" t="str">
        <f>IFERROR(INDEX('Base Exámenes'!$D$5:$D$1000, MATCH(A144, 'Base Exámenes'!$C$5:$C$1000, 0)), "")</f>
        <v/>
      </c>
      <c r="H144" s="25" t="str">
        <f>IFERROR(INDEX('Base Exámenes'!$E$5:$E$1000, MATCH(A144, 'Base Exámenes'!$C$5:$C$1000, 0)), "")</f>
        <v/>
      </c>
      <c r="I144" s="26" t="str">
        <f>IFERROR(INDEX('Base Exámenes'!$F$5:$F$1000, MATCH(A144, 'Base Exámenes'!$C$5:$C$1000, 0)), "")</f>
        <v/>
      </c>
      <c r="J144" s="6" t="str">
        <f>IFERROR(INDEX('Base Exámenes'!$G$5:$G$1000, MATCH(A144, 'Base Exámenes'!$C$5:$C$1000, 0)), "")</f>
        <v/>
      </c>
      <c r="K144" s="6" t="str">
        <f>IFERROR(INDEX('Base Exámenes'!$H$5:$H$1000, MATCH(A144, 'Base Exámenes'!$C$5:$C$1000, 0)), "anonymous")</f>
        <v>anonymous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Exámenes'!$C$5:$C$1000, A145, 'Base Exámenes'!$E$5:$E$1000, "&lt;&gt;")&gt;0, "Completado", "Pendiente")</f>
        <v>Pendiente</v>
      </c>
      <c r="G145" s="25" t="str">
        <f>IFERROR(INDEX('Base Exámenes'!$D$5:$D$1000, MATCH(A145, 'Base Exámenes'!$C$5:$C$1000, 0)), "")</f>
        <v/>
      </c>
      <c r="H145" s="25" t="str">
        <f>IFERROR(INDEX('Base Exámenes'!$E$5:$E$1000, MATCH(A145, 'Base Exámenes'!$C$5:$C$1000, 0)), "")</f>
        <v/>
      </c>
      <c r="I145" s="26" t="str">
        <f>IFERROR(INDEX('Base Exámenes'!$F$5:$F$1000, MATCH(A145, 'Base Exámenes'!$C$5:$C$1000, 0)), "")</f>
        <v/>
      </c>
      <c r="J145" s="6" t="str">
        <f>IFERROR(INDEX('Base Exámenes'!$G$5:$G$1000, MATCH(A145, 'Base Exámenes'!$C$5:$C$1000, 0)), "")</f>
        <v/>
      </c>
      <c r="K145" s="6" t="str">
        <f>IFERROR(INDEX('Base Exámenes'!$H$5:$H$1000, MATCH(A145, 'Base Exámenes'!$C$5:$C$1000, 0)), "anonymous")</f>
        <v>anonymous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Exámenes'!$C$5:$C$1000, A146, 'Base Exámenes'!$E$5:$E$1000, "&lt;&gt;")&gt;0, "Completado", "Pendiente")</f>
        <v>Pendiente</v>
      </c>
      <c r="G146" s="25" t="str">
        <f>IFERROR(INDEX('Base Exámenes'!$D$5:$D$1000, MATCH(A146, 'Base Exámenes'!$C$5:$C$1000, 0)), "")</f>
        <v/>
      </c>
      <c r="H146" s="25" t="str">
        <f>IFERROR(INDEX('Base Exámenes'!$E$5:$E$1000, MATCH(A146, 'Base Exámenes'!$C$5:$C$1000, 0)), "")</f>
        <v/>
      </c>
      <c r="I146" s="26" t="str">
        <f>IFERROR(INDEX('Base Exámenes'!$F$5:$F$1000, MATCH(A146, 'Base Exámenes'!$C$5:$C$1000, 0)), "")</f>
        <v/>
      </c>
      <c r="J146" s="6" t="str">
        <f>IFERROR(INDEX('Base Exámenes'!$G$5:$G$1000, MATCH(A146, 'Base Exámenes'!$C$5:$C$1000, 0)), "")</f>
        <v/>
      </c>
      <c r="K146" s="6" t="str">
        <f>IFERROR(INDEX('Base Exámenes'!$H$5:$H$1000, MATCH(A146, 'Base Exámenes'!$C$5:$C$1000, 0)), "anonymous")</f>
        <v>anonymous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Exámenes'!$C$5:$C$1000, A147, 'Base Exámenes'!$E$5:$E$1000, "&lt;&gt;")&gt;0, "Completado", "Pendiente")</f>
        <v>Pendiente</v>
      </c>
      <c r="G147" s="25" t="str">
        <f>IFERROR(INDEX('Base Exámenes'!$D$5:$D$1000, MATCH(A147, 'Base Exámenes'!$C$5:$C$1000, 0)), "")</f>
        <v/>
      </c>
      <c r="H147" s="25" t="str">
        <f>IFERROR(INDEX('Base Exámenes'!$E$5:$E$1000, MATCH(A147, 'Base Exámenes'!$C$5:$C$1000, 0)), "")</f>
        <v/>
      </c>
      <c r="I147" s="26" t="str">
        <f>IFERROR(INDEX('Base Exámenes'!$F$5:$F$1000, MATCH(A147, 'Base Exámenes'!$C$5:$C$1000, 0)), "")</f>
        <v/>
      </c>
      <c r="J147" s="6" t="str">
        <f>IFERROR(INDEX('Base Exámenes'!$G$5:$G$1000, MATCH(A147, 'Base Exámenes'!$C$5:$C$1000, 0)), "")</f>
        <v/>
      </c>
      <c r="K147" s="6" t="str">
        <f>IFERROR(INDEX('Base Exámenes'!$H$5:$H$1000, MATCH(A147, 'Base Exámenes'!$C$5:$C$1000, 0)), "anonymous")</f>
        <v>anonymous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Exámenes'!$C$5:$C$1000, A148, 'Base Exámenes'!$E$5:$E$1000, "&lt;&gt;")&gt;0, "Completado", "Pendiente")</f>
        <v>Pendiente</v>
      </c>
      <c r="G148" s="25" t="str">
        <f>IFERROR(INDEX('Base Exámenes'!$D$5:$D$1000, MATCH(A148, 'Base Exámenes'!$C$5:$C$1000, 0)), "")</f>
        <v/>
      </c>
      <c r="H148" s="25" t="str">
        <f>IFERROR(INDEX('Base Exámenes'!$E$5:$E$1000, MATCH(A148, 'Base Exámenes'!$C$5:$C$1000, 0)), "")</f>
        <v/>
      </c>
      <c r="I148" s="26" t="str">
        <f>IFERROR(INDEX('Base Exámenes'!$F$5:$F$1000, MATCH(A148, 'Base Exámenes'!$C$5:$C$1000, 0)), "")</f>
        <v/>
      </c>
      <c r="J148" s="6" t="str">
        <f>IFERROR(INDEX('Base Exámenes'!$G$5:$G$1000, MATCH(A148, 'Base Exámenes'!$C$5:$C$1000, 0)), "")</f>
        <v/>
      </c>
      <c r="K148" s="6" t="str">
        <f>IFERROR(INDEX('Base Exámenes'!$H$5:$H$1000, MATCH(A148, 'Base Exámenes'!$C$5:$C$1000, 0)), "anonymous")</f>
        <v>anonymous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Exámenes'!$C$5:$C$1000, A149, 'Base Exámenes'!$E$5:$E$1000, "&lt;&gt;")&gt;0, "Completado", "Pendiente")</f>
        <v>Pendiente</v>
      </c>
      <c r="G149" s="25" t="str">
        <f>IFERROR(INDEX('Base Exámenes'!$D$5:$D$1000, MATCH(A149, 'Base Exámenes'!$C$5:$C$1000, 0)), "")</f>
        <v/>
      </c>
      <c r="H149" s="25" t="str">
        <f>IFERROR(INDEX('Base Exámenes'!$E$5:$E$1000, MATCH(A149, 'Base Exámenes'!$C$5:$C$1000, 0)), "")</f>
        <v/>
      </c>
      <c r="I149" s="26" t="str">
        <f>IFERROR(INDEX('Base Exámenes'!$F$5:$F$1000, MATCH(A149, 'Base Exámenes'!$C$5:$C$1000, 0)), "")</f>
        <v/>
      </c>
      <c r="J149" s="6" t="str">
        <f>IFERROR(INDEX('Base Exámenes'!$G$5:$G$1000, MATCH(A149, 'Base Exámenes'!$C$5:$C$1000, 0)), "")</f>
        <v/>
      </c>
      <c r="K149" s="6" t="str">
        <f>IFERROR(INDEX('Base Exámenes'!$H$5:$H$1000, MATCH(A149, 'Base Exámenes'!$C$5:$C$1000, 0)), "anonymous")</f>
        <v>anonymous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Exámenes'!$C$5:$C$1000, A150, 'Base Exámenes'!$E$5:$E$1000, "&lt;&gt;")&gt;0, "Completado", "Pendiente")</f>
        <v>Pendiente</v>
      </c>
      <c r="G150" s="25" t="str">
        <f>IFERROR(INDEX('Base Exámenes'!$D$5:$D$1000, MATCH(A150, 'Base Exámenes'!$C$5:$C$1000, 0)), "")</f>
        <v/>
      </c>
      <c r="H150" s="25" t="str">
        <f>IFERROR(INDEX('Base Exámenes'!$E$5:$E$1000, MATCH(A150, 'Base Exámenes'!$C$5:$C$1000, 0)), "")</f>
        <v/>
      </c>
      <c r="I150" s="26" t="str">
        <f>IFERROR(INDEX('Base Exámenes'!$F$5:$F$1000, MATCH(A150, 'Base Exámenes'!$C$5:$C$1000, 0)), "")</f>
        <v/>
      </c>
      <c r="J150" s="6" t="str">
        <f>IFERROR(INDEX('Base Exámenes'!$G$5:$G$1000, MATCH(A150, 'Base Exámenes'!$C$5:$C$1000, 0)), "")</f>
        <v/>
      </c>
      <c r="K150" s="6" t="str">
        <f>IFERROR(INDEX('Base Exámenes'!$H$5:$H$1000, MATCH(A150, 'Base Exámenes'!$C$5:$C$1000, 0)), "anonymous")</f>
        <v>anonymous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Exámenes'!$C$5:$C$1000, A151, 'Base Exámenes'!$E$5:$E$1000, "&lt;&gt;")&gt;0, "Completado", "Pendiente")</f>
        <v>Completado</v>
      </c>
      <c r="G151" s="25">
        <f>IFERROR(INDEX('Base Exámenes'!$D$5:$D$1000, MATCH(A151, 'Base Exámenes'!$C$5:$C$1000, 0)), "")</f>
        <v>46301.61615740741</v>
      </c>
      <c r="H151" s="25">
        <f>IFERROR(INDEX('Base Exámenes'!$E$5:$E$1000, MATCH(A151, 'Base Exámenes'!$C$5:$C$1000, 0)), "")</f>
        <v>46301.64126157408</v>
      </c>
      <c r="I151" s="26">
        <f>IFERROR(INDEX('Base Exámenes'!$F$5:$F$1000, MATCH(A151, 'Base Exámenes'!$C$5:$C$1000, 0)), "")</f>
        <v>36.15</v>
      </c>
      <c r="J151" s="6">
        <f>IFERROR(INDEX('Base Exámenes'!$G$5:$G$1000, MATCH(A151, 'Base Exámenes'!$C$5:$C$1000, 0)), "")</f>
        <v>100</v>
      </c>
      <c r="K151" s="6" t="str">
        <f>IFERROR(INDEX('Base Exámenes'!$H$5:$H$1000, MATCH(A151, 'Base Exámenes'!$C$5:$C$1000, 0)), "anonymous")</f>
        <v>anonymous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Exámenes'!$C$5:$C$1000, A152, 'Base Exámenes'!$E$5:$E$1000, "&lt;&gt;")&gt;0, "Completado", "Pendiente")</f>
        <v>Pendiente</v>
      </c>
      <c r="G152" s="25" t="str">
        <f>IFERROR(INDEX('Base Exámenes'!$D$5:$D$1000, MATCH(A152, 'Base Exámenes'!$C$5:$C$1000, 0)), "")</f>
        <v/>
      </c>
      <c r="H152" s="25" t="str">
        <f>IFERROR(INDEX('Base Exámenes'!$E$5:$E$1000, MATCH(A152, 'Base Exámenes'!$C$5:$C$1000, 0)), "")</f>
        <v/>
      </c>
      <c r="I152" s="26" t="str">
        <f>IFERROR(INDEX('Base Exámenes'!$F$5:$F$1000, MATCH(A152, 'Base Exámenes'!$C$5:$C$1000, 0)), "")</f>
        <v/>
      </c>
      <c r="J152" s="6" t="str">
        <f>IFERROR(INDEX('Base Exámenes'!$G$5:$G$1000, MATCH(A152, 'Base Exámenes'!$C$5:$C$1000, 0)), "")</f>
        <v/>
      </c>
      <c r="K152" s="6" t="str">
        <f>IFERROR(INDEX('Base Exámenes'!$H$5:$H$1000, MATCH(A152, 'Base Exámenes'!$C$5:$C$1000, 0)), "anonymous")</f>
        <v>anonymous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Exámenes'!$C$5:$C$1000, A153, 'Base Exámenes'!$E$5:$E$1000, "&lt;&gt;")&gt;0, "Completado", "Pendiente")</f>
        <v>Completado</v>
      </c>
      <c r="G153" s="25">
        <f>IFERROR(INDEX('Base Exámenes'!$D$5:$D$1000, MATCH(A153, 'Base Exámenes'!$C$5:$C$1000, 0)), "")</f>
        <v>46297.64716435185</v>
      </c>
      <c r="H153" s="25">
        <f>IFERROR(INDEX('Base Exámenes'!$E$5:$E$1000, MATCH(A153, 'Base Exámenes'!$C$5:$C$1000, 0)), "")</f>
        <v>46297.65186342593</v>
      </c>
      <c r="I153" s="26">
        <f>IFERROR(INDEX('Base Exámenes'!$F$5:$F$1000, MATCH(A153, 'Base Exámenes'!$C$5:$C$1000, 0)), "")</f>
        <v>6.76666666666667</v>
      </c>
      <c r="J153" s="6">
        <f>IFERROR(INDEX('Base Exámenes'!$G$5:$G$1000, MATCH(A153, 'Base Exámenes'!$C$5:$C$1000, 0)), "")</f>
        <v>90</v>
      </c>
      <c r="K153" s="6" t="str">
        <f>IFERROR(INDEX('Base Exámenes'!$H$5:$H$1000, MATCH(A153, 'Base Exámenes'!$C$5:$C$1000, 0)), "anonymous")</f>
        <v>anonymous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Exámenes'!$C$5:$C$1000, A154, 'Base Exámenes'!$E$5:$E$1000, "&lt;&gt;")&gt;0, "Completado", "Pendiente")</f>
        <v>Pendiente</v>
      </c>
      <c r="G154" s="25" t="str">
        <f>IFERROR(INDEX('Base Exámenes'!$D$5:$D$1000, MATCH(A154, 'Base Exámenes'!$C$5:$C$1000, 0)), "")</f>
        <v/>
      </c>
      <c r="H154" s="25" t="str">
        <f>IFERROR(INDEX('Base Exámenes'!$E$5:$E$1000, MATCH(A154, 'Base Exámenes'!$C$5:$C$1000, 0)), "")</f>
        <v/>
      </c>
      <c r="I154" s="26" t="str">
        <f>IFERROR(INDEX('Base Exámenes'!$F$5:$F$1000, MATCH(A154, 'Base Exámenes'!$C$5:$C$1000, 0)), "")</f>
        <v/>
      </c>
      <c r="J154" s="6" t="str">
        <f>IFERROR(INDEX('Base Exámenes'!$G$5:$G$1000, MATCH(A154, 'Base Exámenes'!$C$5:$C$1000, 0)), "")</f>
        <v/>
      </c>
      <c r="K154" s="6" t="str">
        <f>IFERROR(INDEX('Base Exámenes'!$H$5:$H$1000, MATCH(A154, 'Base Exámenes'!$C$5:$C$1000, 0)), "anonymous")</f>
        <v>anonymous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Exámenes'!$C$5:$C$1000, A155, 'Base Exámenes'!$E$5:$E$1000, "&lt;&gt;")&gt;0, "Completado", "Pendiente")</f>
        <v>Completado</v>
      </c>
      <c r="G155" s="25">
        <f>IFERROR(INDEX('Base Exámenes'!$D$5:$D$1000, MATCH(A155, 'Base Exámenes'!$C$5:$C$1000, 0)), "")</f>
        <v>46304.40576388889</v>
      </c>
      <c r="H155" s="25">
        <f>IFERROR(INDEX('Base Exámenes'!$E$5:$E$1000, MATCH(A155, 'Base Exámenes'!$C$5:$C$1000, 0)), "")</f>
        <v>46304.409317129626</v>
      </c>
      <c r="I155" s="26">
        <f>IFERROR(INDEX('Base Exámenes'!$F$5:$F$1000, MATCH(A155, 'Base Exámenes'!$C$5:$C$1000, 0)), "")</f>
        <v>5.11666666666667</v>
      </c>
      <c r="J155" s="6">
        <f>IFERROR(INDEX('Base Exámenes'!$G$5:$G$1000, MATCH(A155, 'Base Exámenes'!$C$5:$C$1000, 0)), "")</f>
        <v>100</v>
      </c>
      <c r="K155" s="6" t="str">
        <f>IFERROR(INDEX('Base Exámenes'!$H$5:$H$1000, MATCH(A155, 'Base Exámenes'!$C$5:$C$1000, 0)), "anonymous")</f>
        <v>anonymous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Exámenes'!$C$5:$C$1000, A156, 'Base Exámenes'!$E$5:$E$1000, "&lt;&gt;")&gt;0, "Completado", "Pendiente")</f>
        <v>Completado</v>
      </c>
      <c r="G156" s="25">
        <f>IFERROR(INDEX('Base Exámenes'!$D$5:$D$1000, MATCH(A156, 'Base Exámenes'!$C$5:$C$1000, 0)), "")</f>
        <v>46297.65282407407</v>
      </c>
      <c r="H156" s="25">
        <f>IFERROR(INDEX('Base Exámenes'!$E$5:$E$1000, MATCH(A156, 'Base Exámenes'!$C$5:$C$1000, 0)), "")</f>
        <v>46297.66012731481</v>
      </c>
      <c r="I156" s="26">
        <f>IFERROR(INDEX('Base Exámenes'!$F$5:$F$1000, MATCH(A156, 'Base Exámenes'!$C$5:$C$1000, 0)), "")</f>
        <v>10.5166666666667</v>
      </c>
      <c r="J156" s="6">
        <f>IFERROR(INDEX('Base Exámenes'!$G$5:$G$1000, MATCH(A156, 'Base Exámenes'!$C$5:$C$1000, 0)), "")</f>
        <v>100</v>
      </c>
      <c r="K156" s="6" t="str">
        <f>IFERROR(INDEX('Base Exámenes'!$H$5:$H$1000, MATCH(A156, 'Base Exámenes'!$C$5:$C$1000, 0)), "anonymous")</f>
        <v>anonymous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Exámenes'!$C$5:$C$1000, A157, 'Base Exámenes'!$E$5:$E$1000, "&lt;&gt;")&gt;0, "Completado", "Pendiente")</f>
        <v>Completado</v>
      </c>
      <c r="G157" s="25">
        <f>IFERROR(INDEX('Base Exámenes'!$D$5:$D$1000, MATCH(A157, 'Base Exámenes'!$C$5:$C$1000, 0)), "")</f>
        <v>46298.409837962965</v>
      </c>
      <c r="H157" s="25">
        <f>IFERROR(INDEX('Base Exámenes'!$E$5:$E$1000, MATCH(A157, 'Base Exámenes'!$C$5:$C$1000, 0)), "")</f>
        <v>46298.41878472222</v>
      </c>
      <c r="I157" s="26">
        <f>IFERROR(INDEX('Base Exámenes'!$F$5:$F$1000, MATCH(A157, 'Base Exámenes'!$C$5:$C$1000, 0)), "")</f>
        <v>12.8833333333333</v>
      </c>
      <c r="J157" s="6">
        <f>IFERROR(INDEX('Base Exámenes'!$G$5:$G$1000, MATCH(A157, 'Base Exámenes'!$C$5:$C$1000, 0)), "")</f>
        <v>100</v>
      </c>
      <c r="K157" s="6" t="str">
        <f>IFERROR(INDEX('Base Exámenes'!$H$5:$H$1000, MATCH(A157, 'Base Exámenes'!$C$5:$C$1000, 0)), "anonymous")</f>
        <v>anonymous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Exámenes'!$C$5:$C$1000, A158, 'Base Exámenes'!$E$5:$E$1000, "&lt;&gt;")&gt;0, "Completado", "Pendiente")</f>
        <v>Pendiente</v>
      </c>
      <c r="G158" s="25" t="str">
        <f>IFERROR(INDEX('Base Exámenes'!$D$5:$D$1000, MATCH(A158, 'Base Exámenes'!$C$5:$C$1000, 0)), "")</f>
        <v/>
      </c>
      <c r="H158" s="25" t="str">
        <f>IFERROR(INDEX('Base Exámenes'!$E$5:$E$1000, MATCH(A158, 'Base Exámenes'!$C$5:$C$1000, 0)), "")</f>
        <v/>
      </c>
      <c r="I158" s="26" t="str">
        <f>IFERROR(INDEX('Base Exámenes'!$F$5:$F$1000, MATCH(A158, 'Base Exámenes'!$C$5:$C$1000, 0)), "")</f>
        <v/>
      </c>
      <c r="J158" s="6" t="str">
        <f>IFERROR(INDEX('Base Exámenes'!$G$5:$G$1000, MATCH(A158, 'Base Exámenes'!$C$5:$C$1000, 0)), "")</f>
        <v/>
      </c>
      <c r="K158" s="6" t="str">
        <f>IFERROR(INDEX('Base Exámenes'!$H$5:$H$1000, MATCH(A158, 'Base Exámenes'!$C$5:$C$1000, 0)), "anonymous")</f>
        <v>anonymous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Exámenes'!$C$5:$C$1000, A159, 'Base Exámenes'!$E$5:$E$1000, "&lt;&gt;")&gt;0, "Completado", "Pendiente")</f>
        <v>Completado</v>
      </c>
      <c r="G159" s="25">
        <f>IFERROR(INDEX('Base Exámenes'!$D$5:$D$1000, MATCH(A159, 'Base Exámenes'!$C$5:$C$1000, 0)), "")</f>
        <v>46301.65331018518</v>
      </c>
      <c r="H159" s="25">
        <f>IFERROR(INDEX('Base Exámenes'!$E$5:$E$1000, MATCH(A159, 'Base Exámenes'!$C$5:$C$1000, 0)), "")</f>
        <v>46301.65928240741</v>
      </c>
      <c r="I159" s="26">
        <f>IFERROR(INDEX('Base Exámenes'!$F$5:$F$1000, MATCH(A159, 'Base Exámenes'!$C$5:$C$1000, 0)), "")</f>
        <v>8.6</v>
      </c>
      <c r="J159" s="6">
        <f>IFERROR(INDEX('Base Exámenes'!$G$5:$G$1000, MATCH(A159, 'Base Exámenes'!$C$5:$C$1000, 0)), "")</f>
        <v>100</v>
      </c>
      <c r="K159" s="6" t="str">
        <f>IFERROR(INDEX('Base Exámenes'!$H$5:$H$1000, MATCH(A159, 'Base Exámenes'!$C$5:$C$1000, 0)), "anonymous")</f>
        <v>anonymous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Exámenes'!$C$5:$C$1000, A160, 'Base Exámenes'!$E$5:$E$1000, "&lt;&gt;")&gt;0, "Completado", "Pendiente")</f>
        <v>Completado</v>
      </c>
      <c r="G160" s="25">
        <f>IFERROR(INDEX('Base Exámenes'!$D$5:$D$1000, MATCH(A160, 'Base Exámenes'!$C$5:$C$1000, 0)), "")</f>
        <v>46304.42932870371</v>
      </c>
      <c r="H160" s="25">
        <f>IFERROR(INDEX('Base Exámenes'!$E$5:$E$1000, MATCH(A160, 'Base Exámenes'!$C$5:$C$1000, 0)), "")</f>
        <v>46304.444606481484</v>
      </c>
      <c r="I160" s="26">
        <f>IFERROR(INDEX('Base Exámenes'!$F$5:$F$1000, MATCH(A160, 'Base Exámenes'!$C$5:$C$1000, 0)), "")</f>
        <v>22</v>
      </c>
      <c r="J160" s="6">
        <f>IFERROR(INDEX('Base Exámenes'!$G$5:$G$1000, MATCH(A160, 'Base Exámenes'!$C$5:$C$1000, 0)), "")</f>
        <v>90</v>
      </c>
      <c r="K160" s="6" t="str">
        <f>IFERROR(INDEX('Base Exámenes'!$H$5:$H$1000, MATCH(A160, 'Base Exámenes'!$C$5:$C$1000, 0)), "anonymous")</f>
        <v>anonymous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Exámenes'!$C$5:$C$1000, A161, 'Base Exámenes'!$E$5:$E$1000, "&lt;&gt;")&gt;0, "Completado", "Pendiente")</f>
        <v>Pendiente</v>
      </c>
      <c r="G161" s="25" t="str">
        <f>IFERROR(INDEX('Base Exámenes'!$D$5:$D$1000, MATCH(A161, 'Base Exámenes'!$C$5:$C$1000, 0)), "")</f>
        <v/>
      </c>
      <c r="H161" s="25" t="str">
        <f>IFERROR(INDEX('Base Exámenes'!$E$5:$E$1000, MATCH(A161, 'Base Exámenes'!$C$5:$C$1000, 0)), "")</f>
        <v/>
      </c>
      <c r="I161" s="26" t="str">
        <f>IFERROR(INDEX('Base Exámenes'!$F$5:$F$1000, MATCH(A161, 'Base Exámenes'!$C$5:$C$1000, 0)), "")</f>
        <v/>
      </c>
      <c r="J161" s="6" t="str">
        <f>IFERROR(INDEX('Base Exámenes'!$G$5:$G$1000, MATCH(A161, 'Base Exámenes'!$C$5:$C$1000, 0)), "")</f>
        <v/>
      </c>
      <c r="K161" s="6" t="str">
        <f>IFERROR(INDEX('Base Exámenes'!$H$5:$H$1000, MATCH(A161, 'Base Exámenes'!$C$5:$C$1000, 0)), "anonymous")</f>
        <v>anonymous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Exámenes'!$C$5:$C$1000, A162, 'Base Exámenes'!$E$5:$E$1000, "&lt;&gt;")&gt;0, "Completado", "Pendiente")</f>
        <v>Completado</v>
      </c>
      <c r="G162" s="25">
        <f>IFERROR(INDEX('Base Exámenes'!$D$5:$D$1000, MATCH(A162, 'Base Exámenes'!$C$5:$C$1000, 0)), "")</f>
        <v>46302.47519675926</v>
      </c>
      <c r="H162" s="25">
        <f>IFERROR(INDEX('Base Exámenes'!$E$5:$E$1000, MATCH(A162, 'Base Exámenes'!$C$5:$C$1000, 0)), "")</f>
        <v>46302.48523148148</v>
      </c>
      <c r="I162" s="26">
        <f>IFERROR(INDEX('Base Exámenes'!$F$5:$F$1000, MATCH(A162, 'Base Exámenes'!$C$5:$C$1000, 0)), "")</f>
        <v>14.45</v>
      </c>
      <c r="J162" s="6">
        <f>IFERROR(INDEX('Base Exámenes'!$G$5:$G$1000, MATCH(A162, 'Base Exámenes'!$C$5:$C$1000, 0)), "")</f>
        <v>100</v>
      </c>
      <c r="K162" s="6" t="str">
        <f>IFERROR(INDEX('Base Exámenes'!$H$5:$H$1000, MATCH(A162, 'Base Exámenes'!$C$5:$C$1000, 0)), "anonymous")</f>
        <v>anonymous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Exámenes'!$C$5:$C$1000, A163, 'Base Exámenes'!$E$5:$E$1000, "&lt;&gt;")&gt;0, "Completado", "Pendiente")</f>
        <v>Pendiente</v>
      </c>
      <c r="G163" s="25" t="str">
        <f>IFERROR(INDEX('Base Exámenes'!$D$5:$D$1000, MATCH(A163, 'Base Exámenes'!$C$5:$C$1000, 0)), "")</f>
        <v/>
      </c>
      <c r="H163" s="25" t="str">
        <f>IFERROR(INDEX('Base Exámenes'!$E$5:$E$1000, MATCH(A163, 'Base Exámenes'!$C$5:$C$1000, 0)), "")</f>
        <v/>
      </c>
      <c r="I163" s="26" t="str">
        <f>IFERROR(INDEX('Base Exámenes'!$F$5:$F$1000, MATCH(A163, 'Base Exámenes'!$C$5:$C$1000, 0)), "")</f>
        <v/>
      </c>
      <c r="J163" s="6" t="str">
        <f>IFERROR(INDEX('Base Exámenes'!$G$5:$G$1000, MATCH(A163, 'Base Exámenes'!$C$5:$C$1000, 0)), "")</f>
        <v/>
      </c>
      <c r="K163" s="6" t="str">
        <f>IFERROR(INDEX('Base Exámenes'!$H$5:$H$1000, MATCH(A163, 'Base Exámenes'!$C$5:$C$1000, 0)), "anonymous")</f>
        <v>anonymous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Exámenes'!$C$5:$C$1000, A164, 'Base Exámenes'!$E$5:$E$1000, "&lt;&gt;")&gt;0, "Completado", "Pendiente")</f>
        <v>Pendiente</v>
      </c>
      <c r="G164" s="25" t="str">
        <f>IFERROR(INDEX('Base Exámenes'!$D$5:$D$1000, MATCH(A164, 'Base Exámenes'!$C$5:$C$1000, 0)), "")</f>
        <v/>
      </c>
      <c r="H164" s="25" t="str">
        <f>IFERROR(INDEX('Base Exámenes'!$E$5:$E$1000, MATCH(A164, 'Base Exámenes'!$C$5:$C$1000, 0)), "")</f>
        <v/>
      </c>
      <c r="I164" s="26" t="str">
        <f>IFERROR(INDEX('Base Exámenes'!$F$5:$F$1000, MATCH(A164, 'Base Exámenes'!$C$5:$C$1000, 0)), "")</f>
        <v/>
      </c>
      <c r="J164" s="6" t="str">
        <f>IFERROR(INDEX('Base Exámenes'!$G$5:$G$1000, MATCH(A164, 'Base Exámenes'!$C$5:$C$1000, 0)), "")</f>
        <v/>
      </c>
      <c r="K164" s="6" t="str">
        <f>IFERROR(INDEX('Base Exámenes'!$H$5:$H$1000, MATCH(A164, 'Base Exámenes'!$C$5:$C$1000, 0)), "anonymous")</f>
        <v>anonymous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Exámenes'!$C$5:$C$1000, A165, 'Base Exámenes'!$E$5:$E$1000, "&lt;&gt;")&gt;0, "Completado", "Pendiente")</f>
        <v>Pendiente</v>
      </c>
      <c r="G165" s="25" t="str">
        <f>IFERROR(INDEX('Base Exámenes'!$D$5:$D$1000, MATCH(A165, 'Base Exámenes'!$C$5:$C$1000, 0)), "")</f>
        <v/>
      </c>
      <c r="H165" s="25" t="str">
        <f>IFERROR(INDEX('Base Exámenes'!$E$5:$E$1000, MATCH(A165, 'Base Exámenes'!$C$5:$C$1000, 0)), "")</f>
        <v/>
      </c>
      <c r="I165" s="26" t="str">
        <f>IFERROR(INDEX('Base Exámenes'!$F$5:$F$1000, MATCH(A165, 'Base Exámenes'!$C$5:$C$1000, 0)), "")</f>
        <v/>
      </c>
      <c r="J165" s="6" t="str">
        <f>IFERROR(INDEX('Base Exámenes'!$G$5:$G$1000, MATCH(A165, 'Base Exámenes'!$C$5:$C$1000, 0)), "")</f>
        <v/>
      </c>
      <c r="K165" s="6" t="str">
        <f>IFERROR(INDEX('Base Exámenes'!$H$5:$H$1000, MATCH(A165, 'Base Exámenes'!$C$5:$C$1000, 0)), "anonymous")</f>
        <v>anonymous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Exámenes'!$C$5:$C$1000, A166, 'Base Exámenes'!$E$5:$E$1000, "&lt;&gt;")&gt;0, "Completado", "Pendiente")</f>
        <v>Completado</v>
      </c>
      <c r="G166" s="25">
        <f>IFERROR(INDEX('Base Exámenes'!$D$5:$D$1000, MATCH(A166, 'Base Exámenes'!$C$5:$C$1000, 0)), "")</f>
        <v>46301.67337962963</v>
      </c>
      <c r="H166" s="25">
        <f>IFERROR(INDEX('Base Exámenes'!$E$5:$E$1000, MATCH(A166, 'Base Exámenes'!$C$5:$C$1000, 0)), "")</f>
        <v>46301.68011574074</v>
      </c>
      <c r="I166" s="26">
        <f>IFERROR(INDEX('Base Exámenes'!$F$5:$F$1000, MATCH(A166, 'Base Exámenes'!$C$5:$C$1000, 0)), "")</f>
        <v>9.7</v>
      </c>
      <c r="J166" s="6">
        <f>IFERROR(INDEX('Base Exámenes'!$G$5:$G$1000, MATCH(A166, 'Base Exámenes'!$C$5:$C$1000, 0)), "")</f>
        <v>90</v>
      </c>
      <c r="K166" s="6" t="str">
        <f>IFERROR(INDEX('Base Exámenes'!$H$5:$H$1000, MATCH(A166, 'Base Exámenes'!$C$5:$C$1000, 0)), "anonymous")</f>
        <v>anonymous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Exámenes'!$C$5:$C$1000, A167, 'Base Exámenes'!$E$5:$E$1000, "&lt;&gt;")&gt;0, "Completado", "Pendiente")</f>
        <v>Pendiente</v>
      </c>
      <c r="G167" s="25" t="str">
        <f>IFERROR(INDEX('Base Exámenes'!$D$5:$D$1000, MATCH(A167, 'Base Exámenes'!$C$5:$C$1000, 0)), "")</f>
        <v/>
      </c>
      <c r="H167" s="25" t="str">
        <f>IFERROR(INDEX('Base Exámenes'!$E$5:$E$1000, MATCH(A167, 'Base Exámenes'!$C$5:$C$1000, 0)), "")</f>
        <v/>
      </c>
      <c r="I167" s="26" t="str">
        <f>IFERROR(INDEX('Base Exámenes'!$F$5:$F$1000, MATCH(A167, 'Base Exámenes'!$C$5:$C$1000, 0)), "")</f>
        <v/>
      </c>
      <c r="J167" s="6" t="str">
        <f>IFERROR(INDEX('Base Exámenes'!$G$5:$G$1000, MATCH(A167, 'Base Exámenes'!$C$5:$C$1000, 0)), "")</f>
        <v/>
      </c>
      <c r="K167" s="6" t="str">
        <f>IFERROR(INDEX('Base Exámenes'!$H$5:$H$1000, MATCH(A167, 'Base Exámenes'!$C$5:$C$1000, 0)), "anonymous")</f>
        <v>anonymous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Exámenes'!$C$5:$C$1000, A168, 'Base Exámenes'!$E$5:$E$1000, "&lt;&gt;")&gt;0, "Completado", "Pendiente")</f>
        <v>Pendiente</v>
      </c>
      <c r="G168" s="25" t="str">
        <f>IFERROR(INDEX('Base Exámenes'!$D$5:$D$1000, MATCH(A168, 'Base Exámenes'!$C$5:$C$1000, 0)), "")</f>
        <v/>
      </c>
      <c r="H168" s="25" t="str">
        <f>IFERROR(INDEX('Base Exámenes'!$E$5:$E$1000, MATCH(A168, 'Base Exámenes'!$C$5:$C$1000, 0)), "")</f>
        <v/>
      </c>
      <c r="I168" s="26" t="str">
        <f>IFERROR(INDEX('Base Exámenes'!$F$5:$F$1000, MATCH(A168, 'Base Exámenes'!$C$5:$C$1000, 0)), "")</f>
        <v/>
      </c>
      <c r="J168" s="6" t="str">
        <f>IFERROR(INDEX('Base Exámenes'!$G$5:$G$1000, MATCH(A168, 'Base Exámenes'!$C$5:$C$1000, 0)), "")</f>
        <v/>
      </c>
      <c r="K168" s="6" t="str">
        <f>IFERROR(INDEX('Base Exámenes'!$H$5:$H$1000, MATCH(A168, 'Base Exámenes'!$C$5:$C$1000, 0)), "anonymous")</f>
        <v>anonymous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Exámenes'!$C$5:$C$1000, A169, 'Base Exámenes'!$E$5:$E$1000, "&lt;&gt;")&gt;0, "Completado", "Pendiente")</f>
        <v>Completado</v>
      </c>
      <c r="G169" s="25">
        <f>IFERROR(INDEX('Base Exámenes'!$D$5:$D$1000, MATCH(A169, 'Base Exámenes'!$C$5:$C$1000, 0)), "")</f>
        <v>46296.45379629629</v>
      </c>
      <c r="H169" s="25">
        <f>IFERROR(INDEX('Base Exámenes'!$E$5:$E$1000, MATCH(A169, 'Base Exámenes'!$C$5:$C$1000, 0)), "")</f>
        <v>46296.46570601852</v>
      </c>
      <c r="I169" s="26">
        <f>IFERROR(INDEX('Base Exámenes'!$F$5:$F$1000, MATCH(A169, 'Base Exámenes'!$C$5:$C$1000, 0)), "")</f>
        <v>17.15</v>
      </c>
      <c r="J169" s="6">
        <f>IFERROR(INDEX('Base Exámenes'!$G$5:$G$1000, MATCH(A169, 'Base Exámenes'!$C$5:$C$1000, 0)), "")</f>
        <v>100</v>
      </c>
      <c r="K169" s="6" t="str">
        <f>IFERROR(INDEX('Base Exámenes'!$H$5:$H$1000, MATCH(A169, 'Base Exámenes'!$C$5:$C$1000, 0)), "anonymous")</f>
        <v>anonymous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Exámenes'!$C$5:$C$1000, A170, 'Base Exámenes'!$E$5:$E$1000, "&lt;&gt;")&gt;0, "Completado", "Pendiente")</f>
        <v>Pendiente</v>
      </c>
      <c r="G170" s="25" t="str">
        <f>IFERROR(INDEX('Base Exámenes'!$D$5:$D$1000, MATCH(A170, 'Base Exámenes'!$C$5:$C$1000, 0)), "")</f>
        <v/>
      </c>
      <c r="H170" s="25" t="str">
        <f>IFERROR(INDEX('Base Exámenes'!$E$5:$E$1000, MATCH(A170, 'Base Exámenes'!$C$5:$C$1000, 0)), "")</f>
        <v/>
      </c>
      <c r="I170" s="26" t="str">
        <f>IFERROR(INDEX('Base Exámenes'!$F$5:$F$1000, MATCH(A170, 'Base Exámenes'!$C$5:$C$1000, 0)), "")</f>
        <v/>
      </c>
      <c r="J170" s="6" t="str">
        <f>IFERROR(INDEX('Base Exámenes'!$G$5:$G$1000, MATCH(A170, 'Base Exámenes'!$C$5:$C$1000, 0)), "")</f>
        <v/>
      </c>
      <c r="K170" s="6" t="str">
        <f>IFERROR(INDEX('Base Exámenes'!$H$5:$H$1000, MATCH(A170, 'Base Exámenes'!$C$5:$C$1000, 0)), "anonymous")</f>
        <v>anonymous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Exámenes'!$C$5:$C$1000, A171, 'Base Exámenes'!$E$5:$E$1000, "&lt;&gt;")&gt;0, "Completado", "Pendiente")</f>
        <v>Completado</v>
      </c>
      <c r="G171" s="25">
        <f>IFERROR(INDEX('Base Exámenes'!$D$5:$D$1000, MATCH(A171, 'Base Exámenes'!$C$5:$C$1000, 0)), "")</f>
        <v>46297.45885416667</v>
      </c>
      <c r="H171" s="25">
        <f>IFERROR(INDEX('Base Exámenes'!$E$5:$E$1000, MATCH(A171, 'Base Exámenes'!$C$5:$C$1000, 0)), "")</f>
        <v>46297.49109953704</v>
      </c>
      <c r="I171" s="26">
        <f>IFERROR(INDEX('Base Exámenes'!$F$5:$F$1000, MATCH(A171, 'Base Exámenes'!$C$5:$C$1000, 0)), "")</f>
        <v>46.4333333333333</v>
      </c>
      <c r="J171" s="6">
        <f>IFERROR(INDEX('Base Exámenes'!$G$5:$G$1000, MATCH(A171, 'Base Exámenes'!$C$5:$C$1000, 0)), "")</f>
        <v>90</v>
      </c>
      <c r="K171" s="6" t="str">
        <f>IFERROR(INDEX('Base Exámenes'!$H$5:$H$1000, MATCH(A171, 'Base Exámenes'!$C$5:$C$1000, 0)), "anonymous")</f>
        <v>anonymous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Exámenes'!$C$5:$C$1000, A172, 'Base Exámenes'!$E$5:$E$1000, "&lt;&gt;")&gt;0, "Completado", "Pendiente")</f>
        <v>Pendiente</v>
      </c>
      <c r="G172" s="25" t="str">
        <f>IFERROR(INDEX('Base Exámenes'!$D$5:$D$1000, MATCH(A172, 'Base Exámenes'!$C$5:$C$1000, 0)), "")</f>
        <v/>
      </c>
      <c r="H172" s="25" t="str">
        <f>IFERROR(INDEX('Base Exámenes'!$E$5:$E$1000, MATCH(A172, 'Base Exámenes'!$C$5:$C$1000, 0)), "")</f>
        <v/>
      </c>
      <c r="I172" s="26" t="str">
        <f>IFERROR(INDEX('Base Exámenes'!$F$5:$F$1000, MATCH(A172, 'Base Exámenes'!$C$5:$C$1000, 0)), "")</f>
        <v/>
      </c>
      <c r="J172" s="6" t="str">
        <f>IFERROR(INDEX('Base Exámenes'!$G$5:$G$1000, MATCH(A172, 'Base Exámenes'!$C$5:$C$1000, 0)), "")</f>
        <v/>
      </c>
      <c r="K172" s="6" t="str">
        <f>IFERROR(INDEX('Base Exámenes'!$H$5:$H$1000, MATCH(A172, 'Base Exámenes'!$C$5:$C$1000, 0)), "anonymous")</f>
        <v>anonymous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Exámenes'!$C$5:$C$1000, A173, 'Base Exámenes'!$E$5:$E$1000, "&lt;&gt;")&gt;0, "Completado", "Pendiente")</f>
        <v>Pendiente</v>
      </c>
      <c r="G173" s="25" t="str">
        <f>IFERROR(INDEX('Base Exámenes'!$D$5:$D$1000, MATCH(A173, 'Base Exámenes'!$C$5:$C$1000, 0)), "")</f>
        <v/>
      </c>
      <c r="H173" s="25" t="str">
        <f>IFERROR(INDEX('Base Exámenes'!$E$5:$E$1000, MATCH(A173, 'Base Exámenes'!$C$5:$C$1000, 0)), "")</f>
        <v/>
      </c>
      <c r="I173" s="26" t="str">
        <f>IFERROR(INDEX('Base Exámenes'!$F$5:$F$1000, MATCH(A173, 'Base Exámenes'!$C$5:$C$1000, 0)), "")</f>
        <v/>
      </c>
      <c r="J173" s="6" t="str">
        <f>IFERROR(INDEX('Base Exámenes'!$G$5:$G$1000, MATCH(A173, 'Base Exámenes'!$C$5:$C$1000, 0)), "")</f>
        <v/>
      </c>
      <c r="K173" s="6" t="str">
        <f>IFERROR(INDEX('Base Exámenes'!$H$5:$H$1000, MATCH(A173, 'Base Exámenes'!$C$5:$C$1000, 0)), "anonymous")</f>
        <v>anonymous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Exámenes'!$C$5:$C$1000, A174, 'Base Exámenes'!$E$5:$E$1000, "&lt;&gt;")&gt;0, "Completado", "Pendiente")</f>
        <v>Completado</v>
      </c>
      <c r="G174" s="25">
        <f>IFERROR(INDEX('Base Exámenes'!$D$5:$D$1000, MATCH(A174, 'Base Exámenes'!$C$5:$C$1000, 0)), "")</f>
        <v>46296.67916666667</v>
      </c>
      <c r="H174" s="25">
        <f>IFERROR(INDEX('Base Exámenes'!$E$5:$E$1000, MATCH(A174, 'Base Exámenes'!$C$5:$C$1000, 0)), "")</f>
        <v>46296.68630787037</v>
      </c>
      <c r="I174" s="26">
        <f>IFERROR(INDEX('Base Exámenes'!$F$5:$F$1000, MATCH(A174, 'Base Exámenes'!$C$5:$C$1000, 0)), "")</f>
        <v>10.2833333333333</v>
      </c>
      <c r="J174" s="6">
        <f>IFERROR(INDEX('Base Exámenes'!$G$5:$G$1000, MATCH(A174, 'Base Exámenes'!$C$5:$C$1000, 0)), "")</f>
        <v>100</v>
      </c>
      <c r="K174" s="6" t="str">
        <f>IFERROR(INDEX('Base Exámenes'!$H$5:$H$1000, MATCH(A174, 'Base Exámenes'!$C$5:$C$1000, 0)), "anonymous")</f>
        <v>anonymous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Exámenes'!$C$5:$C$1000, A175, 'Base Exámenes'!$E$5:$E$1000, "&lt;&gt;")&gt;0, "Completado", "Pendiente")</f>
        <v>Completado</v>
      </c>
      <c r="G175" s="25">
        <f>IFERROR(INDEX('Base Exámenes'!$D$5:$D$1000, MATCH(A175, 'Base Exámenes'!$C$5:$C$1000, 0)), "")</f>
        <v>46296.426412037035</v>
      </c>
      <c r="H175" s="25">
        <f>IFERROR(INDEX('Base Exámenes'!$E$5:$E$1000, MATCH(A175, 'Base Exámenes'!$C$5:$C$1000, 0)), "")</f>
        <v>46296.431875</v>
      </c>
      <c r="I175" s="26">
        <f>IFERROR(INDEX('Base Exámenes'!$F$5:$F$1000, MATCH(A175, 'Base Exámenes'!$C$5:$C$1000, 0)), "")</f>
        <v>7.86666666666667</v>
      </c>
      <c r="J175" s="6">
        <f>IFERROR(INDEX('Base Exámenes'!$G$5:$G$1000, MATCH(A175, 'Base Exámenes'!$C$5:$C$1000, 0)), "")</f>
        <v>100</v>
      </c>
      <c r="K175" s="6" t="str">
        <f>IFERROR(INDEX('Base Exámenes'!$H$5:$H$1000, MATCH(A175, 'Base Exámenes'!$C$5:$C$1000, 0)), "anonymous")</f>
        <v>anonymous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General</v>
      </c>
      <c r="E176" s="6" t="str">
        <f>'Base Oficial'!D176</f>
        <v>ASISTENTE COMERCIAL DE TARJETA DE CREDITO</v>
      </c>
      <c r="F176" s="4" t="str">
        <f>IF(COUNTIFS('Base Exámenes'!$C$5:$C$1000, A176, 'Base Exámenes'!$E$5:$E$1000, "&lt;&gt;")&gt;0, "Completado", "Pendiente")</f>
        <v>Completado</v>
      </c>
      <c r="G176" s="25">
        <f>IFERROR(INDEX('Base Exámenes'!$D$5:$D$1000, MATCH(A176, 'Base Exámenes'!$C$5:$C$1000, 0)), "")</f>
        <v>46304.40586805555</v>
      </c>
      <c r="H176" s="25">
        <f>IFERROR(INDEX('Base Exámenes'!$E$5:$E$1000, MATCH(A176, 'Base Exámenes'!$C$5:$C$1000, 0)), "")</f>
        <v>46304.41396990741</v>
      </c>
      <c r="I176" s="26">
        <f>IFERROR(INDEX('Base Exámenes'!$F$5:$F$1000, MATCH(A176, 'Base Exámenes'!$C$5:$C$1000, 0)), "")</f>
        <v>11.6666666666667</v>
      </c>
      <c r="J176" s="6">
        <f>IFERROR(INDEX('Base Exámenes'!$G$5:$G$1000, MATCH(A176, 'Base Exámenes'!$C$5:$C$1000, 0)), "")</f>
        <v>100</v>
      </c>
      <c r="K176" s="6" t="str">
        <f>IFERROR(INDEX('Base Exámenes'!$H$5:$H$1000, MATCH(A176, 'Base Exámenes'!$C$5:$C$1000, 0)), "anonymous")</f>
        <v>anonymous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General</v>
      </c>
      <c r="E177" s="6" t="str">
        <f>'Base Oficial'!D177</f>
        <v>JEFE COMERCIAL DE TARJETA DE CREDITO</v>
      </c>
      <c r="F177" s="4" t="str">
        <f>IF(COUNTIFS('Base Exámenes'!$C$5:$C$1000, A177, 'Base Exámenes'!$E$5:$E$1000, "&lt;&gt;")&gt;0, "Completado", "Pendiente")</f>
        <v>Completado</v>
      </c>
      <c r="G177" s="25">
        <f>IFERROR(INDEX('Base Exámenes'!$D$5:$D$1000, MATCH(A177, 'Base Exámenes'!$C$5:$C$1000, 0)), "")</f>
        <v>46304.77427083333</v>
      </c>
      <c r="H177" s="25">
        <f>IFERROR(INDEX('Base Exámenes'!$E$5:$E$1000, MATCH(A177, 'Base Exámenes'!$C$5:$C$1000, 0)), "")</f>
        <v>46304.7809837963</v>
      </c>
      <c r="I177" s="26">
        <f>IFERROR(INDEX('Base Exámenes'!$F$5:$F$1000, MATCH(A177, 'Base Exámenes'!$C$5:$C$1000, 0)), "")</f>
        <v>9.66666666666667</v>
      </c>
      <c r="J177" s="6">
        <f>IFERROR(INDEX('Base Exámenes'!$G$5:$G$1000, MATCH(A177, 'Base Exámenes'!$C$5:$C$1000, 0)), "")</f>
        <v>90</v>
      </c>
      <c r="K177" s="6" t="str">
        <f>IFERROR(INDEX('Base Exámenes'!$H$5:$H$1000, MATCH(A177, 'Base Exámenes'!$C$5:$C$1000, 0)), "anonymous")</f>
        <v>anonymous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General</v>
      </c>
      <c r="E178" s="6" t="str">
        <f>'Base Oficial'!D178</f>
        <v>AUXILIAR DE ATENCION AL CLIENTE</v>
      </c>
      <c r="F178" s="4" t="str">
        <f>IF(COUNTIFS('Base Exámenes'!$C$5:$C$1000, A178, 'Base Exámenes'!$E$5:$E$1000, "&lt;&gt;")&gt;0, "Completado", "Pendiente")</f>
        <v>Completado</v>
      </c>
      <c r="G178" s="25">
        <f>IFERROR(INDEX('Base Exámenes'!$D$5:$D$1000, MATCH(A178, 'Base Exámenes'!$C$5:$C$1000, 0)), "")</f>
        <v>46304.67545138889</v>
      </c>
      <c r="H178" s="25">
        <f>IFERROR(INDEX('Base Exámenes'!$E$5:$E$1000, MATCH(A178, 'Base Exámenes'!$C$5:$C$1000, 0)), "")</f>
        <v>46304.678506944445</v>
      </c>
      <c r="I178" s="26">
        <f>IFERROR(INDEX('Base Exámenes'!$F$5:$F$1000, MATCH(A178, 'Base Exámenes'!$C$5:$C$1000, 0)), "")</f>
        <v>4.4</v>
      </c>
      <c r="J178" s="6">
        <f>IFERROR(INDEX('Base Exámenes'!$G$5:$G$1000, MATCH(A178, 'Base Exámenes'!$C$5:$C$1000, 0)), "")</f>
        <v>80</v>
      </c>
      <c r="K178" s="6" t="str">
        <f>IFERROR(INDEX('Base Exámenes'!$H$5:$H$1000, MATCH(A178, 'Base Exámenes'!$C$5:$C$1000, 0)), "anonymous")</f>
        <v>anonymous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General</v>
      </c>
      <c r="E179" s="6" t="str">
        <f>'Base Oficial'!D179</f>
        <v>EJECUTIVO DE NEGOCIOS</v>
      </c>
      <c r="F179" s="4" t="str">
        <f>IF(COUNTIFS('Base Exámenes'!$C$5:$C$1000, A179, 'Base Exámenes'!$E$5:$E$1000, "&lt;&gt;")&gt;0, "Completado", "Pendiente")</f>
        <v>Pendiente</v>
      </c>
      <c r="G179" s="25" t="str">
        <f>IFERROR(INDEX('Base Exámenes'!$D$5:$D$1000, MATCH(A179, 'Base Exámenes'!$C$5:$C$1000, 0)), "")</f>
        <v/>
      </c>
      <c r="H179" s="25" t="str">
        <f>IFERROR(INDEX('Base Exámenes'!$E$5:$E$1000, MATCH(A179, 'Base Exámenes'!$C$5:$C$1000, 0)), "")</f>
        <v/>
      </c>
      <c r="I179" s="26" t="str">
        <f>IFERROR(INDEX('Base Exámenes'!$F$5:$F$1000, MATCH(A179, 'Base Exámenes'!$C$5:$C$1000, 0)), "")</f>
        <v/>
      </c>
      <c r="J179" s="6" t="str">
        <f>IFERROR(INDEX('Base Exámenes'!$G$5:$G$1000, MATCH(A179, 'Base Exámenes'!$C$5:$C$1000, 0)), "")</f>
        <v/>
      </c>
      <c r="K179" s="6" t="str">
        <f>IFERROR(INDEX('Base Exámenes'!$H$5:$H$1000, MATCH(A179, 'Base Exámenes'!$C$5:$C$1000, 0)), "anonymous")</f>
        <v>anonymous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General</v>
      </c>
      <c r="E180" s="6" t="str">
        <f>'Base Oficial'!D180</f>
        <v>EJECUTIVO DE NEGOCIOS</v>
      </c>
      <c r="F180" s="4" t="str">
        <f>IF(COUNTIFS('Base Exámenes'!$C$5:$C$1000, A180, 'Base Exámenes'!$E$5:$E$1000, "&lt;&gt;")&gt;0, "Completado", "Pendiente")</f>
        <v>Pendiente</v>
      </c>
      <c r="G180" s="25" t="str">
        <f>IFERROR(INDEX('Base Exámenes'!$D$5:$D$1000, MATCH(A180, 'Base Exámenes'!$C$5:$C$1000, 0)), "")</f>
        <v/>
      </c>
      <c r="H180" s="25" t="str">
        <f>IFERROR(INDEX('Base Exámenes'!$E$5:$E$1000, MATCH(A180, 'Base Exámenes'!$C$5:$C$1000, 0)), "")</f>
        <v/>
      </c>
      <c r="I180" s="26" t="str">
        <f>IFERROR(INDEX('Base Exámenes'!$F$5:$F$1000, MATCH(A180, 'Base Exámenes'!$C$5:$C$1000, 0)), "")</f>
        <v/>
      </c>
      <c r="J180" s="6" t="str">
        <f>IFERROR(INDEX('Base Exámenes'!$G$5:$G$1000, MATCH(A180, 'Base Exámenes'!$C$5:$C$1000, 0)), "")</f>
        <v/>
      </c>
      <c r="K180" s="6" t="str">
        <f>IFERROR(INDEX('Base Exámenes'!$H$5:$H$1000, MATCH(A180, 'Base Exámenes'!$C$5:$C$1000, 0)), "anonymous")</f>
        <v>anonymous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General</v>
      </c>
      <c r="E181" s="6" t="str">
        <f>'Base Oficial'!D181</f>
        <v>AUXILIAR DE ATENCION AL TARJETAHABIENTE</v>
      </c>
      <c r="F181" s="4" t="str">
        <f>IF(COUNTIFS('Base Exámenes'!$C$5:$C$1000, A181, 'Base Exámenes'!$E$5:$E$1000, "&lt;&gt;")&gt;0, "Completado", "Pendiente")</f>
        <v>Completado</v>
      </c>
      <c r="G181" s="25">
        <f>IFERROR(INDEX('Base Exámenes'!$D$5:$D$1000, MATCH(A181, 'Base Exámenes'!$C$5:$C$1000, 0)), "")</f>
        <v>46297.7059375</v>
      </c>
      <c r="H181" s="25">
        <f>IFERROR(INDEX('Base Exámenes'!$E$5:$E$1000, MATCH(A181, 'Base Exámenes'!$C$5:$C$1000, 0)), "")</f>
        <v>46297.71334490741</v>
      </c>
      <c r="I181" s="26">
        <f>IFERROR(INDEX('Base Exámenes'!$F$5:$F$1000, MATCH(A181, 'Base Exámenes'!$C$5:$C$1000, 0)), "")</f>
        <v>10.6666666666667</v>
      </c>
      <c r="J181" s="6">
        <f>IFERROR(INDEX('Base Exámenes'!$G$5:$G$1000, MATCH(A181, 'Base Exámenes'!$C$5:$C$1000, 0)), "")</f>
        <v>85</v>
      </c>
      <c r="K181" s="6" t="str">
        <f>IFERROR(INDEX('Base Exámenes'!$H$5:$H$1000, MATCH(A181, 'Base Exámenes'!$C$5:$C$1000, 0)), "anonymous")</f>
        <v>anonymous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General</v>
      </c>
      <c r="E182" s="6" t="str">
        <f>'Base Oficial'!D182</f>
        <v>EJECUTIVO DE NEGOCIOS</v>
      </c>
      <c r="F182" s="4" t="str">
        <f>IF(COUNTIFS('Base Exámenes'!$C$5:$C$1000, A182, 'Base Exámenes'!$E$5:$E$1000, "&lt;&gt;")&gt;0, "Completado", "Pendiente")</f>
        <v>Pendiente</v>
      </c>
      <c r="G182" s="25" t="str">
        <f>IFERROR(INDEX('Base Exámenes'!$D$5:$D$1000, MATCH(A182, 'Base Exámenes'!$C$5:$C$1000, 0)), "")</f>
        <v/>
      </c>
      <c r="H182" s="25" t="str">
        <f>IFERROR(INDEX('Base Exámenes'!$E$5:$E$1000, MATCH(A182, 'Base Exámenes'!$C$5:$C$1000, 0)), "")</f>
        <v/>
      </c>
      <c r="I182" s="26" t="str">
        <f>IFERROR(INDEX('Base Exámenes'!$F$5:$F$1000, MATCH(A182, 'Base Exámenes'!$C$5:$C$1000, 0)), "")</f>
        <v/>
      </c>
      <c r="J182" s="6" t="str">
        <f>IFERROR(INDEX('Base Exámenes'!$G$5:$G$1000, MATCH(A182, 'Base Exámenes'!$C$5:$C$1000, 0)), "")</f>
        <v/>
      </c>
      <c r="K182" s="6" t="str">
        <f>IFERROR(INDEX('Base Exámenes'!$H$5:$H$1000, MATCH(A182, 'Base Exámenes'!$C$5:$C$1000, 0)), "anonymous")</f>
        <v>anonymous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General</v>
      </c>
      <c r="E183" s="6" t="str">
        <f>'Base Oficial'!D183</f>
        <v>EJECUTIVO DE NEGOCIOS</v>
      </c>
      <c r="F183" s="4" t="str">
        <f>IF(COUNTIFS('Base Exámenes'!$C$5:$C$1000, A183, 'Base Exámenes'!$E$5:$E$1000, "&lt;&gt;")&gt;0, "Completado", "Pendiente")</f>
        <v>Pendiente</v>
      </c>
      <c r="G183" s="25" t="str">
        <f>IFERROR(INDEX('Base Exámenes'!$D$5:$D$1000, MATCH(A183, 'Base Exámenes'!$C$5:$C$1000, 0)), "")</f>
        <v/>
      </c>
      <c r="H183" s="25" t="str">
        <f>IFERROR(INDEX('Base Exámenes'!$E$5:$E$1000, MATCH(A183, 'Base Exámenes'!$C$5:$C$1000, 0)), "")</f>
        <v/>
      </c>
      <c r="I183" s="26" t="str">
        <f>IFERROR(INDEX('Base Exámenes'!$F$5:$F$1000, MATCH(A183, 'Base Exámenes'!$C$5:$C$1000, 0)), "")</f>
        <v/>
      </c>
      <c r="J183" s="6" t="str">
        <f>IFERROR(INDEX('Base Exámenes'!$G$5:$G$1000, MATCH(A183, 'Base Exámenes'!$C$5:$C$1000, 0)), "")</f>
        <v/>
      </c>
      <c r="K183" s="6" t="str">
        <f>IFERROR(INDEX('Base Exámenes'!$H$5:$H$1000, MATCH(A183, 'Base Exámenes'!$C$5:$C$1000, 0)), "anonymous")</f>
        <v>anonymous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Exámenes'!$C$5:$C$1000, A184, 'Base Exámenes'!$E$5:$E$1000, "&lt;&gt;")&gt;0, "Completado", "Pendiente")</f>
        <v>Completado</v>
      </c>
      <c r="G184" s="25">
        <f>IFERROR(INDEX('Base Exámenes'!$D$5:$D$1000, MATCH(A184, 'Base Exámenes'!$C$5:$C$1000, 0)), "")</f>
        <v>46300.40697916667</v>
      </c>
      <c r="H184" s="25">
        <f>IFERROR(INDEX('Base Exámenes'!$E$5:$E$1000, MATCH(A184, 'Base Exámenes'!$C$5:$C$1000, 0)), "")</f>
        <v>46300.41096064815</v>
      </c>
      <c r="I184" s="26">
        <f>IFERROR(INDEX('Base Exámenes'!$F$5:$F$1000, MATCH(A184, 'Base Exámenes'!$C$5:$C$1000, 0)), "")</f>
        <v>5.73333333333333</v>
      </c>
      <c r="J184" s="6">
        <f>IFERROR(INDEX('Base Exámenes'!$G$5:$G$1000, MATCH(A184, 'Base Exámenes'!$C$5:$C$1000, 0)), "")</f>
        <v>100</v>
      </c>
      <c r="K184" s="6" t="str">
        <f>IFERROR(INDEX('Base Exámenes'!$H$5:$H$1000, MATCH(A184, 'Base Exámenes'!$C$5:$C$1000, 0)), "anonymous")</f>
        <v>anonymous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Exámenes'!$C$5:$C$1000, A185, 'Base Exámenes'!$E$5:$E$1000, "&lt;&gt;")&gt;0, "Completado", "Pendiente")</f>
        <v>Pendiente</v>
      </c>
      <c r="G185" s="25" t="str">
        <f>IFERROR(INDEX('Base Exámenes'!$D$5:$D$1000, MATCH(A185, 'Base Exámenes'!$C$5:$C$1000, 0)), "")</f>
        <v/>
      </c>
      <c r="H185" s="25" t="str">
        <f>IFERROR(INDEX('Base Exámenes'!$E$5:$E$1000, MATCH(A185, 'Base Exámenes'!$C$5:$C$1000, 0)), "")</f>
        <v/>
      </c>
      <c r="I185" s="26" t="str">
        <f>IFERROR(INDEX('Base Exámenes'!$F$5:$F$1000, MATCH(A185, 'Base Exámenes'!$C$5:$C$1000, 0)), "")</f>
        <v/>
      </c>
      <c r="J185" s="6" t="str">
        <f>IFERROR(INDEX('Base Exámenes'!$G$5:$G$1000, MATCH(A185, 'Base Exámenes'!$C$5:$C$1000, 0)), "")</f>
        <v/>
      </c>
      <c r="K185" s="6" t="str">
        <f>IFERROR(INDEX('Base Exámenes'!$H$5:$H$1000, MATCH(A185, 'Base Exámenes'!$C$5:$C$1000, 0)), "anonymous")</f>
        <v>anonymous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Exámenes'!$C$5:$C$1000, A186, 'Base Exámenes'!$E$5:$E$1000, "&lt;&gt;")&gt;0, "Completado", "Pendiente")</f>
        <v>Completado</v>
      </c>
      <c r="G186" s="25">
        <f>IFERROR(INDEX('Base Exámenes'!$D$5:$D$1000, MATCH(A186, 'Base Exámenes'!$C$5:$C$1000, 0)), "")</f>
        <v>46302.46341435185</v>
      </c>
      <c r="H186" s="25">
        <f>IFERROR(INDEX('Base Exámenes'!$E$5:$E$1000, MATCH(A186, 'Base Exámenes'!$C$5:$C$1000, 0)), "")</f>
        <v>46302.479097222225</v>
      </c>
      <c r="I186" s="26">
        <f>IFERROR(INDEX('Base Exámenes'!$F$5:$F$1000, MATCH(A186, 'Base Exámenes'!$C$5:$C$1000, 0)), "")</f>
        <v>22.5833333528</v>
      </c>
      <c r="J186" s="6">
        <f>IFERROR(INDEX('Base Exámenes'!$G$5:$G$1000, MATCH(A186, 'Base Exámenes'!$C$5:$C$1000, 0)), "")</f>
        <v>100</v>
      </c>
      <c r="K186" s="6" t="str">
        <f>IFERROR(INDEX('Base Exámenes'!$H$5:$H$1000, MATCH(A186, 'Base Exámenes'!$C$5:$C$1000, 0)), "anonymous")</f>
        <v>anonymous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Exámenes'!$C$5:$C$1000, A187, 'Base Exámenes'!$E$5:$E$1000, "&lt;&gt;")&gt;0, "Completado", "Pendiente")</f>
        <v>Pendiente</v>
      </c>
      <c r="G187" s="25" t="str">
        <f>IFERROR(INDEX('Base Exámenes'!$D$5:$D$1000, MATCH(A187, 'Base Exámenes'!$C$5:$C$1000, 0)), "")</f>
        <v/>
      </c>
      <c r="H187" s="25" t="str">
        <f>IFERROR(INDEX('Base Exámenes'!$E$5:$E$1000, MATCH(A187, 'Base Exámenes'!$C$5:$C$1000, 0)), "")</f>
        <v/>
      </c>
      <c r="I187" s="26" t="str">
        <f>IFERROR(INDEX('Base Exámenes'!$F$5:$F$1000, MATCH(A187, 'Base Exámenes'!$C$5:$C$1000, 0)), "")</f>
        <v/>
      </c>
      <c r="J187" s="6" t="str">
        <f>IFERROR(INDEX('Base Exámenes'!$G$5:$G$1000, MATCH(A187, 'Base Exámenes'!$C$5:$C$1000, 0)), "")</f>
        <v/>
      </c>
      <c r="K187" s="6" t="str">
        <f>IFERROR(INDEX('Base Exámenes'!$H$5:$H$1000, MATCH(A187, 'Base Exámenes'!$C$5:$C$1000, 0)), "anonymous")</f>
        <v>anonymous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Exámenes'!$C$5:$C$1000, A188, 'Base Exámenes'!$E$5:$E$1000, "&lt;&gt;")&gt;0, "Completado", "Pendiente")</f>
        <v>Pendiente</v>
      </c>
      <c r="G188" s="25" t="str">
        <f>IFERROR(INDEX('Base Exámenes'!$D$5:$D$1000, MATCH(A188, 'Base Exámenes'!$C$5:$C$1000, 0)), "")</f>
        <v/>
      </c>
      <c r="H188" s="25" t="str">
        <f>IFERROR(INDEX('Base Exámenes'!$E$5:$E$1000, MATCH(A188, 'Base Exámenes'!$C$5:$C$1000, 0)), "")</f>
        <v/>
      </c>
      <c r="I188" s="26" t="str">
        <f>IFERROR(INDEX('Base Exámenes'!$F$5:$F$1000, MATCH(A188, 'Base Exámenes'!$C$5:$C$1000, 0)), "")</f>
        <v/>
      </c>
      <c r="J188" s="6" t="str">
        <f>IFERROR(INDEX('Base Exámenes'!$G$5:$G$1000, MATCH(A188, 'Base Exámenes'!$C$5:$C$1000, 0)), "")</f>
        <v/>
      </c>
      <c r="K188" s="6" t="str">
        <f>IFERROR(INDEX('Base Exámenes'!$H$5:$H$1000, MATCH(A188, 'Base Exámenes'!$C$5:$C$1000, 0)), "anonymous")</f>
        <v>anonymous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Exámenes'!$C$5:$C$1000, A189, 'Base Exámenes'!$E$5:$E$1000, "&lt;&gt;")&gt;0, "Completado", "Pendiente")</f>
        <v>Pendiente</v>
      </c>
      <c r="G189" s="25" t="str">
        <f>IFERROR(INDEX('Base Exámenes'!$D$5:$D$1000, MATCH(A189, 'Base Exámenes'!$C$5:$C$1000, 0)), "")</f>
        <v/>
      </c>
      <c r="H189" s="25" t="str">
        <f>IFERROR(INDEX('Base Exámenes'!$E$5:$E$1000, MATCH(A189, 'Base Exámenes'!$C$5:$C$1000, 0)), "")</f>
        <v/>
      </c>
      <c r="I189" s="26" t="str">
        <f>IFERROR(INDEX('Base Exámenes'!$F$5:$F$1000, MATCH(A189, 'Base Exámenes'!$C$5:$C$1000, 0)), "")</f>
        <v/>
      </c>
      <c r="J189" s="6" t="str">
        <f>IFERROR(INDEX('Base Exámenes'!$G$5:$G$1000, MATCH(A189, 'Base Exámenes'!$C$5:$C$1000, 0)), "")</f>
        <v/>
      </c>
      <c r="K189" s="6" t="str">
        <f>IFERROR(INDEX('Base Exámenes'!$H$5:$H$1000, MATCH(A189, 'Base Exámenes'!$C$5:$C$1000, 0)), "anonymous")</f>
        <v>anonymous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Exámenes'!$C$5:$C$1000, A190, 'Base Exámenes'!$E$5:$E$1000, "&lt;&gt;")&gt;0, "Completado", "Pendiente")</f>
        <v>Pendiente</v>
      </c>
      <c r="G190" s="25" t="str">
        <f>IFERROR(INDEX('Base Exámenes'!$D$5:$D$1000, MATCH(A190, 'Base Exámenes'!$C$5:$C$1000, 0)), "")</f>
        <v/>
      </c>
      <c r="H190" s="25" t="str">
        <f>IFERROR(INDEX('Base Exámenes'!$E$5:$E$1000, MATCH(A190, 'Base Exámenes'!$C$5:$C$1000, 0)), "")</f>
        <v/>
      </c>
      <c r="I190" s="26" t="str">
        <f>IFERROR(INDEX('Base Exámenes'!$F$5:$F$1000, MATCH(A190, 'Base Exámenes'!$C$5:$C$1000, 0)), "")</f>
        <v/>
      </c>
      <c r="J190" s="6" t="str">
        <f>IFERROR(INDEX('Base Exámenes'!$G$5:$G$1000, MATCH(A190, 'Base Exámenes'!$C$5:$C$1000, 0)), "")</f>
        <v/>
      </c>
      <c r="K190" s="6" t="str">
        <f>IFERROR(INDEX('Base Exámenes'!$H$5:$H$1000, MATCH(A190, 'Base Exámenes'!$C$5:$C$1000, 0)), "anonymous")</f>
        <v>anonymous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 (Agencias)</v>
      </c>
      <c r="E191" s="6" t="str">
        <f>'Base Oficial'!D191</f>
        <v>SUBJEFE DE  AGENCIA</v>
      </c>
      <c r="F191" s="4" t="str">
        <f>IF(COUNTIFS('Base Exámenes'!$C$5:$C$1000, A191, 'Base Exámenes'!$E$5:$E$1000, "&lt;&gt;")&gt;0, "Completado", "Pendiente")</f>
        <v>Pendiente</v>
      </c>
      <c r="G191" s="25" t="str">
        <f>IFERROR(INDEX('Base Exámenes'!$D$5:$D$1000, MATCH(A191, 'Base Exámenes'!$C$5:$C$1000, 0)), "")</f>
        <v/>
      </c>
      <c r="H191" s="25" t="str">
        <f>IFERROR(INDEX('Base Exámenes'!$E$5:$E$1000, MATCH(A191, 'Base Exámenes'!$C$5:$C$1000, 0)), "")</f>
        <v/>
      </c>
      <c r="I191" s="26" t="str">
        <f>IFERROR(INDEX('Base Exámenes'!$F$5:$F$1000, MATCH(A191, 'Base Exámenes'!$C$5:$C$1000, 0)), "")</f>
        <v/>
      </c>
      <c r="J191" s="6" t="str">
        <f>IFERROR(INDEX('Base Exámenes'!$G$5:$G$1000, MATCH(A191, 'Base Exámenes'!$C$5:$C$1000, 0)), "")</f>
        <v/>
      </c>
      <c r="K191" s="6" t="str">
        <f>IFERROR(INDEX('Base Exámenes'!$H$5:$H$1000, MATCH(A191, 'Base Exámenes'!$C$5:$C$1000, 0)), "anonymous")</f>
        <v>anonymous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 (Agencias)</v>
      </c>
      <c r="E192" s="6" t="str">
        <f>'Base Oficial'!D192</f>
        <v>EJECUTIVO DE NEGOCIOS</v>
      </c>
      <c r="F192" s="4" t="str">
        <f>IF(COUNTIFS('Base Exámenes'!$C$5:$C$1000, A192, 'Base Exámenes'!$E$5:$E$1000, "&lt;&gt;")&gt;0, "Completado", "Pendiente")</f>
        <v>Pendiente</v>
      </c>
      <c r="G192" s="25" t="str">
        <f>IFERROR(INDEX('Base Exámenes'!$D$5:$D$1000, MATCH(A192, 'Base Exámenes'!$C$5:$C$1000, 0)), "")</f>
        <v/>
      </c>
      <c r="H192" s="25" t="str">
        <f>IFERROR(INDEX('Base Exámenes'!$E$5:$E$1000, MATCH(A192, 'Base Exámenes'!$C$5:$C$1000, 0)), "")</f>
        <v/>
      </c>
      <c r="I192" s="26" t="str">
        <f>IFERROR(INDEX('Base Exámenes'!$F$5:$F$1000, MATCH(A192, 'Base Exámenes'!$C$5:$C$1000, 0)), "")</f>
        <v/>
      </c>
      <c r="J192" s="6" t="str">
        <f>IFERROR(INDEX('Base Exámenes'!$G$5:$G$1000, MATCH(A192, 'Base Exámenes'!$C$5:$C$1000, 0)), "")</f>
        <v/>
      </c>
      <c r="K192" s="6" t="str">
        <f>IFERROR(INDEX('Base Exámenes'!$H$5:$H$1000, MATCH(A192, 'Base Exámenes'!$C$5:$C$1000, 0)), "anonymous")</f>
        <v>anonymous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 (Agencias)</v>
      </c>
      <c r="E193" s="6" t="str">
        <f>'Base Oficial'!D193</f>
        <v>EJECUTIVO DE NEGOCIOS</v>
      </c>
      <c r="F193" s="4" t="str">
        <f>IF(COUNTIFS('Base Exámenes'!$C$5:$C$1000, A193, 'Base Exámenes'!$E$5:$E$1000, "&lt;&gt;")&gt;0, "Completado", "Pendiente")</f>
        <v>Pendiente</v>
      </c>
      <c r="G193" s="25" t="str">
        <f>IFERROR(INDEX('Base Exámenes'!$D$5:$D$1000, MATCH(A193, 'Base Exámenes'!$C$5:$C$1000, 0)), "")</f>
        <v/>
      </c>
      <c r="H193" s="25" t="str">
        <f>IFERROR(INDEX('Base Exámenes'!$E$5:$E$1000, MATCH(A193, 'Base Exámenes'!$C$5:$C$1000, 0)), "")</f>
        <v/>
      </c>
      <c r="I193" s="26" t="str">
        <f>IFERROR(INDEX('Base Exámenes'!$F$5:$F$1000, MATCH(A193, 'Base Exámenes'!$C$5:$C$1000, 0)), "")</f>
        <v/>
      </c>
      <c r="J193" s="6" t="str">
        <f>IFERROR(INDEX('Base Exámenes'!$G$5:$G$1000, MATCH(A193, 'Base Exámenes'!$C$5:$C$1000, 0)), "")</f>
        <v/>
      </c>
      <c r="K193" s="6" t="str">
        <f>IFERROR(INDEX('Base Exámenes'!$H$5:$H$1000, MATCH(A193, 'Base Exámenes'!$C$5:$C$1000, 0)), "anonymous")</f>
        <v>anonymous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 (Agencias)</v>
      </c>
      <c r="E194" s="6" t="str">
        <f>'Base Oficial'!D194</f>
        <v>EJECUTIVO DE NEGOCIOS</v>
      </c>
      <c r="F194" s="4" t="str">
        <f>IF(COUNTIFS('Base Exámenes'!$C$5:$C$1000, A194, 'Base Exámenes'!$E$5:$E$1000, "&lt;&gt;")&gt;0, "Completado", "Pendiente")</f>
        <v>Pendiente</v>
      </c>
      <c r="G194" s="25" t="str">
        <f>IFERROR(INDEX('Base Exámenes'!$D$5:$D$1000, MATCH(A194, 'Base Exámenes'!$C$5:$C$1000, 0)), "")</f>
        <v/>
      </c>
      <c r="H194" s="25" t="str">
        <f>IFERROR(INDEX('Base Exámenes'!$E$5:$E$1000, MATCH(A194, 'Base Exámenes'!$C$5:$C$1000, 0)), "")</f>
        <v/>
      </c>
      <c r="I194" s="26" t="str">
        <f>IFERROR(INDEX('Base Exámenes'!$F$5:$F$1000, MATCH(A194, 'Base Exámenes'!$C$5:$C$1000, 0)), "")</f>
        <v/>
      </c>
      <c r="J194" s="6" t="str">
        <f>IFERROR(INDEX('Base Exámenes'!$G$5:$G$1000, MATCH(A194, 'Base Exámenes'!$C$5:$C$1000, 0)), "")</f>
        <v/>
      </c>
      <c r="K194" s="6" t="str">
        <f>IFERROR(INDEX('Base Exámenes'!$H$5:$H$1000, MATCH(A194, 'Base Exámenes'!$C$5:$C$1000, 0)), "anonymous")</f>
        <v>anonymous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 (Agencias)</v>
      </c>
      <c r="E195" s="6" t="str">
        <f>'Base Oficial'!D195</f>
        <v>AUXILIAR DE OPERACIONES Y ATENCION EN  AGENCIA</v>
      </c>
      <c r="F195" s="4" t="str">
        <f>IF(COUNTIFS('Base Exámenes'!$C$5:$C$1000, A195, 'Base Exámenes'!$E$5:$E$1000, "&lt;&gt;")&gt;0, "Completado", "Pendiente")</f>
        <v>Pendiente</v>
      </c>
      <c r="G195" s="25" t="str">
        <f>IFERROR(INDEX('Base Exámenes'!$D$5:$D$1000, MATCH(A195, 'Base Exámenes'!$C$5:$C$1000, 0)), "")</f>
        <v/>
      </c>
      <c r="H195" s="25" t="str">
        <f>IFERROR(INDEX('Base Exámenes'!$E$5:$E$1000, MATCH(A195, 'Base Exámenes'!$C$5:$C$1000, 0)), "")</f>
        <v/>
      </c>
      <c r="I195" s="26" t="str">
        <f>IFERROR(INDEX('Base Exámenes'!$F$5:$F$1000, MATCH(A195, 'Base Exámenes'!$C$5:$C$1000, 0)), "")</f>
        <v/>
      </c>
      <c r="J195" s="6" t="str">
        <f>IFERROR(INDEX('Base Exámenes'!$G$5:$G$1000, MATCH(A195, 'Base Exámenes'!$C$5:$C$1000, 0)), "")</f>
        <v/>
      </c>
      <c r="K195" s="6" t="str">
        <f>IFERROR(INDEX('Base Exámenes'!$H$5:$H$1000, MATCH(A195, 'Base Exámenes'!$C$5:$C$1000, 0)), "anonymous")</f>
        <v>anonymous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 (Agencias)</v>
      </c>
      <c r="E196" s="6" t="str">
        <f>'Base Oficial'!D196</f>
        <v>JEFE DE AGENCIA  </v>
      </c>
      <c r="F196" s="4" t="str">
        <f>IF(COUNTIFS('Base Exámenes'!$C$5:$C$1000, A196, 'Base Exámenes'!$E$5:$E$1000, "&lt;&gt;")&gt;0, "Completado", "Pendiente")</f>
        <v>Pendiente</v>
      </c>
      <c r="G196" s="25" t="str">
        <f>IFERROR(INDEX('Base Exámenes'!$D$5:$D$1000, MATCH(A196, 'Base Exámenes'!$C$5:$C$1000, 0)), "")</f>
        <v/>
      </c>
      <c r="H196" s="25" t="str">
        <f>IFERROR(INDEX('Base Exámenes'!$E$5:$E$1000, MATCH(A196, 'Base Exámenes'!$C$5:$C$1000, 0)), "")</f>
        <v/>
      </c>
      <c r="I196" s="26" t="str">
        <f>IFERROR(INDEX('Base Exámenes'!$F$5:$F$1000, MATCH(A196, 'Base Exámenes'!$C$5:$C$1000, 0)), "")</f>
        <v/>
      </c>
      <c r="J196" s="6" t="str">
        <f>IFERROR(INDEX('Base Exámenes'!$G$5:$G$1000, MATCH(A196, 'Base Exámenes'!$C$5:$C$1000, 0)), "")</f>
        <v/>
      </c>
      <c r="K196" s="6" t="str">
        <f>IFERROR(INDEX('Base Exámenes'!$H$5:$H$1000, MATCH(A196, 'Base Exámenes'!$C$5:$C$1000, 0)), "anonymous")</f>
        <v>anonymous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 (Agencias)</v>
      </c>
      <c r="E197" s="6" t="str">
        <f>'Base Oficial'!D197</f>
        <v>EJECUTIVA DE SEGUROS</v>
      </c>
      <c r="F197" s="4" t="str">
        <f>IF(COUNTIFS('Base Exámenes'!$C$5:$C$1000, A197, 'Base Exámenes'!$E$5:$E$1000, "&lt;&gt;")&gt;0, "Completado", "Pendiente")</f>
        <v>Completado</v>
      </c>
      <c r="G197" s="25">
        <f>IFERROR(INDEX('Base Exámenes'!$D$5:$D$1000, MATCH(A197, 'Base Exámenes'!$C$5:$C$1000, 0)), "")</f>
        <v>46302.63820601852</v>
      </c>
      <c r="H197" s="25">
        <f>IFERROR(INDEX('Base Exámenes'!$E$5:$E$1000, MATCH(A197, 'Base Exámenes'!$C$5:$C$1000, 0)), "")</f>
        <v>46302.67400462963</v>
      </c>
      <c r="I197" s="26">
        <f>IFERROR(INDEX('Base Exámenes'!$F$5:$F$1000, MATCH(A197, 'Base Exámenes'!$C$5:$C$1000, 0)), "")</f>
        <v>51.55</v>
      </c>
      <c r="J197" s="6">
        <f>IFERROR(INDEX('Base Exámenes'!$G$5:$G$1000, MATCH(A197, 'Base Exámenes'!$C$5:$C$1000, 0)), "")</f>
        <v>95</v>
      </c>
      <c r="K197" s="6" t="str">
        <f>IFERROR(INDEX('Base Exámenes'!$H$5:$H$1000, MATCH(A197, 'Base Exámenes'!$C$5:$C$1000, 0)), "anonymous")</f>
        <v>anonymous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 (Agencias)</v>
      </c>
      <c r="E198" s="6" t="str">
        <f>'Base Oficial'!D198</f>
        <v>CAJERO</v>
      </c>
      <c r="F198" s="4" t="str">
        <f>IF(COUNTIFS('Base Exámenes'!$C$5:$C$1000, A198, 'Base Exámenes'!$E$5:$E$1000, "&lt;&gt;")&gt;0, "Completado", "Pendiente")</f>
        <v>Pendiente</v>
      </c>
      <c r="G198" s="25" t="str">
        <f>IFERROR(INDEX('Base Exámenes'!$D$5:$D$1000, MATCH(A198, 'Base Exámenes'!$C$5:$C$1000, 0)), "")</f>
        <v/>
      </c>
      <c r="H198" s="25" t="str">
        <f>IFERROR(INDEX('Base Exámenes'!$E$5:$E$1000, MATCH(A198, 'Base Exámenes'!$C$5:$C$1000, 0)), "")</f>
        <v/>
      </c>
      <c r="I198" s="26" t="str">
        <f>IFERROR(INDEX('Base Exámenes'!$F$5:$F$1000, MATCH(A198, 'Base Exámenes'!$C$5:$C$1000, 0)), "")</f>
        <v/>
      </c>
      <c r="J198" s="6" t="str">
        <f>IFERROR(INDEX('Base Exámenes'!$G$5:$G$1000, MATCH(A198, 'Base Exámenes'!$C$5:$C$1000, 0)), "")</f>
        <v/>
      </c>
      <c r="K198" s="6" t="str">
        <f>IFERROR(INDEX('Base Exámenes'!$H$5:$H$1000, MATCH(A198, 'Base Exámenes'!$C$5:$C$1000, 0)), "anonymous")</f>
        <v>anonymous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 (Agencias)</v>
      </c>
      <c r="E199" s="6" t="str">
        <f>'Base Oficial'!D199</f>
        <v>CAJERO</v>
      </c>
      <c r="F199" s="4" t="str">
        <f>IF(COUNTIFS('Base Exámenes'!$C$5:$C$1000, A199, 'Base Exámenes'!$E$5:$E$1000, "&lt;&gt;")&gt;0, "Completado", "Pendiente")</f>
        <v>Completado</v>
      </c>
      <c r="G199" s="25">
        <f>IFERROR(INDEX('Base Exámenes'!$D$5:$D$1000, MATCH(A199, 'Base Exámenes'!$C$5:$C$1000, 0)), "")</f>
        <v>46303.441712962966</v>
      </c>
      <c r="H199" s="25">
        <f>IFERROR(INDEX('Base Exámenes'!$E$5:$E$1000, MATCH(A199, 'Base Exámenes'!$C$5:$C$1000, 0)), "")</f>
        <v>46303.443460648145</v>
      </c>
      <c r="I199" s="26">
        <f>IFERROR(INDEX('Base Exámenes'!$F$5:$F$1000, MATCH(A199, 'Base Exámenes'!$C$5:$C$1000, 0)), "")</f>
        <v>2.5166666368</v>
      </c>
      <c r="J199" s="6">
        <f>IFERROR(INDEX('Base Exámenes'!$G$5:$G$1000, MATCH(A199, 'Base Exámenes'!$C$5:$C$1000, 0)), "")</f>
        <v>100</v>
      </c>
      <c r="K199" s="6" t="str">
        <f>IFERROR(INDEX('Base Exámenes'!$H$5:$H$1000, MATCH(A199, 'Base Exámenes'!$C$5:$C$1000, 0)), "anonymous")</f>
        <v>anonymous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 (Agencias)</v>
      </c>
      <c r="E200" s="6" t="str">
        <f>'Base Oficial'!D200</f>
        <v>AUXILIAR DE OPERACIONES Y ATENCION EN  AGENCIA</v>
      </c>
      <c r="F200" s="4" t="str">
        <f>IF(COUNTIFS('Base Exámenes'!$C$5:$C$1000, A200, 'Base Exámenes'!$E$5:$E$1000, "&lt;&gt;")&gt;0, "Completado", "Pendiente")</f>
        <v>Pendiente</v>
      </c>
      <c r="G200" s="25" t="str">
        <f>IFERROR(INDEX('Base Exámenes'!$D$5:$D$1000, MATCH(A200, 'Base Exámenes'!$C$5:$C$1000, 0)), "")</f>
        <v/>
      </c>
      <c r="H200" s="25" t="str">
        <f>IFERROR(INDEX('Base Exámenes'!$E$5:$E$1000, MATCH(A200, 'Base Exámenes'!$C$5:$C$1000, 0)), "")</f>
        <v/>
      </c>
      <c r="I200" s="26" t="str">
        <f>IFERROR(INDEX('Base Exámenes'!$F$5:$F$1000, MATCH(A200, 'Base Exámenes'!$C$5:$C$1000, 0)), "")</f>
        <v/>
      </c>
      <c r="J200" s="6" t="str">
        <f>IFERROR(INDEX('Base Exámenes'!$G$5:$G$1000, MATCH(A200, 'Base Exámenes'!$C$5:$C$1000, 0)), "")</f>
        <v/>
      </c>
      <c r="K200" s="6" t="str">
        <f>IFERROR(INDEX('Base Exámenes'!$H$5:$H$1000, MATCH(A200, 'Base Exámenes'!$C$5:$C$1000, 0)), "anonymous")</f>
        <v>anonymous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 (Agencias)</v>
      </c>
      <c r="E201" s="6" t="str">
        <f>'Base Oficial'!D201</f>
        <v>CAJERO</v>
      </c>
      <c r="F201" s="4" t="str">
        <f>IF(COUNTIFS('Base Exámenes'!$C$5:$C$1000, A201, 'Base Exámenes'!$E$5:$E$1000, "&lt;&gt;")&gt;0, "Completado", "Pendiente")</f>
        <v>Pendiente</v>
      </c>
      <c r="G201" s="25" t="str">
        <f>IFERROR(INDEX('Base Exámenes'!$D$5:$D$1000, MATCH(A201, 'Base Exámenes'!$C$5:$C$1000, 0)), "")</f>
        <v/>
      </c>
      <c r="H201" s="25" t="str">
        <f>IFERROR(INDEX('Base Exámenes'!$E$5:$E$1000, MATCH(A201, 'Base Exámenes'!$C$5:$C$1000, 0)), "")</f>
        <v/>
      </c>
      <c r="I201" s="26" t="str">
        <f>IFERROR(INDEX('Base Exámenes'!$F$5:$F$1000, MATCH(A201, 'Base Exámenes'!$C$5:$C$1000, 0)), "")</f>
        <v/>
      </c>
      <c r="J201" s="6" t="str">
        <f>IFERROR(INDEX('Base Exámenes'!$G$5:$G$1000, MATCH(A201, 'Base Exámenes'!$C$5:$C$1000, 0)), "")</f>
        <v/>
      </c>
      <c r="K201" s="6" t="str">
        <f>IFERROR(INDEX('Base Exámenes'!$H$5:$H$1000, MATCH(A201, 'Base Exámenes'!$C$5:$C$1000, 0)), "anonymous")</f>
        <v>anonymous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 (Agencias)</v>
      </c>
      <c r="E202" s="6" t="str">
        <f>'Base Oficial'!D202</f>
        <v>AUXILIAR DE OPERACIONES Y ATENCION EN  AGENCIA</v>
      </c>
      <c r="F202" s="4" t="str">
        <f>IF(COUNTIFS('Base Exámenes'!$C$5:$C$1000, A202, 'Base Exámenes'!$E$5:$E$1000, "&lt;&gt;")&gt;0, "Completado", "Pendiente")</f>
        <v>Pendiente</v>
      </c>
      <c r="G202" s="25" t="str">
        <f>IFERROR(INDEX('Base Exámenes'!$D$5:$D$1000, MATCH(A202, 'Base Exámenes'!$C$5:$C$1000, 0)), "")</f>
        <v/>
      </c>
      <c r="H202" s="25" t="str">
        <f>IFERROR(INDEX('Base Exámenes'!$E$5:$E$1000, MATCH(A202, 'Base Exámenes'!$C$5:$C$1000, 0)), "")</f>
        <v/>
      </c>
      <c r="I202" s="26" t="str">
        <f>IFERROR(INDEX('Base Exámenes'!$F$5:$F$1000, MATCH(A202, 'Base Exámenes'!$C$5:$C$1000, 0)), "")</f>
        <v/>
      </c>
      <c r="J202" s="6" t="str">
        <f>IFERROR(INDEX('Base Exámenes'!$G$5:$G$1000, MATCH(A202, 'Base Exámenes'!$C$5:$C$1000, 0)), "")</f>
        <v/>
      </c>
      <c r="K202" s="6" t="str">
        <f>IFERROR(INDEX('Base Exámenes'!$H$5:$H$1000, MATCH(A202, 'Base Exámenes'!$C$5:$C$1000, 0)), "anonymous")</f>
        <v>anonymous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 (Agencias)</v>
      </c>
      <c r="E203" s="6" t="str">
        <f>'Base Oficial'!D203</f>
        <v>CAJERO</v>
      </c>
      <c r="F203" s="4" t="str">
        <f>IF(COUNTIFS('Base Exámenes'!$C$5:$C$1000, A203, 'Base Exámenes'!$E$5:$E$1000, "&lt;&gt;")&gt;0, "Completado", "Pendiente")</f>
        <v>Completado</v>
      </c>
      <c r="G203" s="25">
        <f>IFERROR(INDEX('Base Exámenes'!$D$5:$D$1000, MATCH(A203, 'Base Exámenes'!$C$5:$C$1000, 0)), "")</f>
        <v>46302.62548611111</v>
      </c>
      <c r="H203" s="25">
        <f>IFERROR(INDEX('Base Exámenes'!$E$5:$E$1000, MATCH(A203, 'Base Exámenes'!$C$5:$C$1000, 0)), "")</f>
        <v>46302.62670138889</v>
      </c>
      <c r="I203" s="26">
        <f>IFERROR(INDEX('Base Exámenes'!$F$5:$F$1000, MATCH(A203, 'Base Exámenes'!$C$5:$C$1000, 0)), "")</f>
        <v>1.75</v>
      </c>
      <c r="J203" s="6">
        <f>IFERROR(INDEX('Base Exámenes'!$G$5:$G$1000, MATCH(A203, 'Base Exámenes'!$C$5:$C$1000, 0)), "")</f>
        <v>100</v>
      </c>
      <c r="K203" s="6" t="str">
        <f>IFERROR(INDEX('Base Exámenes'!$H$5:$H$1000, MATCH(A203, 'Base Exámenes'!$C$5:$C$1000, 0)), "anonymous")</f>
        <v>anonymous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 (Agencias)</v>
      </c>
      <c r="E204" s="6" t="str">
        <f>'Base Oficial'!D204</f>
        <v>CAJERO</v>
      </c>
      <c r="F204" s="4" t="str">
        <f>IF(COUNTIFS('Base Exámenes'!$C$5:$C$1000, A204, 'Base Exámenes'!$E$5:$E$1000, "&lt;&gt;")&gt;0, "Completado", "Pendiente")</f>
        <v>Pendiente</v>
      </c>
      <c r="G204" s="25" t="str">
        <f>IFERROR(INDEX('Base Exámenes'!$D$5:$D$1000, MATCH(A204, 'Base Exámenes'!$C$5:$C$1000, 0)), "")</f>
        <v/>
      </c>
      <c r="H204" s="25" t="str">
        <f>IFERROR(INDEX('Base Exámenes'!$E$5:$E$1000, MATCH(A204, 'Base Exámenes'!$C$5:$C$1000, 0)), "")</f>
        <v/>
      </c>
      <c r="I204" s="26" t="str">
        <f>IFERROR(INDEX('Base Exámenes'!$F$5:$F$1000, MATCH(A204, 'Base Exámenes'!$C$5:$C$1000, 0)), "")</f>
        <v/>
      </c>
      <c r="J204" s="6" t="str">
        <f>IFERROR(INDEX('Base Exámenes'!$G$5:$G$1000, MATCH(A204, 'Base Exámenes'!$C$5:$C$1000, 0)), "")</f>
        <v/>
      </c>
      <c r="K204" s="6" t="str">
        <f>IFERROR(INDEX('Base Exámenes'!$H$5:$H$1000, MATCH(A204, 'Base Exámenes'!$C$5:$C$1000, 0)), "anonymous")</f>
        <v>anonymous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 (Agencias)</v>
      </c>
      <c r="E205" s="6" t="str">
        <f>'Base Oficial'!D205</f>
        <v>AUXILIAR DE ATENCION A  ASOCIADOS</v>
      </c>
      <c r="F205" s="4" t="str">
        <f>IF(COUNTIFS('Base Exámenes'!$C$5:$C$1000, A205, 'Base Exámenes'!$E$5:$E$1000, "&lt;&gt;")&gt;0, "Completado", "Pendiente")</f>
        <v>Completado</v>
      </c>
      <c r="G205" s="25">
        <f>IFERROR(INDEX('Base Exámenes'!$D$5:$D$1000, MATCH(A205, 'Base Exámenes'!$C$5:$C$1000, 0)), "")</f>
        <v>46305.38385416667</v>
      </c>
      <c r="H205" s="25">
        <f>IFERROR(INDEX('Base Exámenes'!$E$5:$E$1000, MATCH(A205, 'Base Exámenes'!$C$5:$C$1000, 0)), "")</f>
        <v>46305.39554398148</v>
      </c>
      <c r="I205" s="26">
        <f>IFERROR(INDEX('Base Exámenes'!$F$5:$F$1000, MATCH(A205, 'Base Exámenes'!$C$5:$C$1000, 0)), "")</f>
        <v>16.8333333333333</v>
      </c>
      <c r="J205" s="6">
        <f>IFERROR(INDEX('Base Exámenes'!$G$5:$G$1000, MATCH(A205, 'Base Exámenes'!$C$5:$C$1000, 0)), "")</f>
        <v>75</v>
      </c>
      <c r="K205" s="6" t="str">
        <f>IFERROR(INDEX('Base Exámenes'!$H$5:$H$1000, MATCH(A205, 'Base Exámenes'!$C$5:$C$1000, 0)), "anonymous")</f>
        <v>anonymous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 (Agencias)</v>
      </c>
      <c r="E206" s="6" t="str">
        <f>'Base Oficial'!D206</f>
        <v>CAJERO</v>
      </c>
      <c r="F206" s="4" t="str">
        <f>IF(COUNTIFS('Base Exámenes'!$C$5:$C$1000, A206, 'Base Exámenes'!$E$5:$E$1000, "&lt;&gt;")&gt;0, "Completado", "Pendiente")</f>
        <v>Completado</v>
      </c>
      <c r="G206" s="25">
        <f>IFERROR(INDEX('Base Exámenes'!$D$5:$D$1000, MATCH(A206, 'Base Exámenes'!$C$5:$C$1000, 0)), "")</f>
        <v>46302.469988425924</v>
      </c>
      <c r="H206" s="25">
        <f>IFERROR(INDEX('Base Exámenes'!$E$5:$E$1000, MATCH(A206, 'Base Exámenes'!$C$5:$C$1000, 0)), "")</f>
        <v>46302.48327546296</v>
      </c>
      <c r="I206" s="26">
        <f>IFERROR(INDEX('Base Exámenes'!$F$5:$F$1000, MATCH(A206, 'Base Exámenes'!$C$5:$C$1000, 0)), "")</f>
        <v>19.1333333333333</v>
      </c>
      <c r="J206" s="6">
        <f>IFERROR(INDEX('Base Exámenes'!$G$5:$G$1000, MATCH(A206, 'Base Exámenes'!$C$5:$C$1000, 0)), "")</f>
        <v>100</v>
      </c>
      <c r="K206" s="6" t="str">
        <f>IFERROR(INDEX('Base Exámenes'!$H$5:$H$1000, MATCH(A206, 'Base Exámenes'!$C$5:$C$1000, 0)), "anonymous")</f>
        <v>anonymous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 (Agencias)</v>
      </c>
      <c r="E207" s="6" t="str">
        <f>'Base Oficial'!D207</f>
        <v>CAJERO</v>
      </c>
      <c r="F207" s="4" t="str">
        <f>IF(COUNTIFS('Base Exámenes'!$C$5:$C$1000, A207, 'Base Exámenes'!$E$5:$E$1000, "&lt;&gt;")&gt;0, "Completado", "Pendiente")</f>
        <v>Pendiente</v>
      </c>
      <c r="G207" s="25" t="str">
        <f>IFERROR(INDEX('Base Exámenes'!$D$5:$D$1000, MATCH(A207, 'Base Exámenes'!$C$5:$C$1000, 0)), "")</f>
        <v/>
      </c>
      <c r="H207" s="25" t="str">
        <f>IFERROR(INDEX('Base Exámenes'!$E$5:$E$1000, MATCH(A207, 'Base Exámenes'!$C$5:$C$1000, 0)), "")</f>
        <v/>
      </c>
      <c r="I207" s="26" t="str">
        <f>IFERROR(INDEX('Base Exámenes'!$F$5:$F$1000, MATCH(A207, 'Base Exámenes'!$C$5:$C$1000, 0)), "")</f>
        <v/>
      </c>
      <c r="J207" s="6" t="str">
        <f>IFERROR(INDEX('Base Exámenes'!$G$5:$G$1000, MATCH(A207, 'Base Exámenes'!$C$5:$C$1000, 0)), "")</f>
        <v/>
      </c>
      <c r="K207" s="6" t="str">
        <f>IFERROR(INDEX('Base Exámenes'!$H$5:$H$1000, MATCH(A207, 'Base Exámenes'!$C$5:$C$1000, 0)), "anonymous")</f>
        <v>anonymous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 (Agencias)</v>
      </c>
      <c r="E208" s="6" t="str">
        <f>'Base Oficial'!D208</f>
        <v>CAJERO</v>
      </c>
      <c r="F208" s="4" t="str">
        <f>IF(COUNTIFS('Base Exámenes'!$C$5:$C$1000, A208, 'Base Exámenes'!$E$5:$E$1000, "&lt;&gt;")&gt;0, "Completado", "Pendiente")</f>
        <v>Completado</v>
      </c>
      <c r="G208" s="25">
        <f>IFERROR(INDEX('Base Exámenes'!$D$5:$D$1000, MATCH(A208, 'Base Exámenes'!$C$5:$C$1000, 0)), "")</f>
        <v>46302.59699074074</v>
      </c>
      <c r="H208" s="25">
        <f>IFERROR(INDEX('Base Exámenes'!$E$5:$E$1000, MATCH(A208, 'Base Exámenes'!$C$5:$C$1000, 0)), "")</f>
        <v>46302.59866898148</v>
      </c>
      <c r="I208" s="26">
        <f>IFERROR(INDEX('Base Exámenes'!$F$5:$F$1000, MATCH(A208, 'Base Exámenes'!$C$5:$C$1000, 0)), "")</f>
        <v>2.41666666666667</v>
      </c>
      <c r="J208" s="6">
        <f>IFERROR(INDEX('Base Exámenes'!$G$5:$G$1000, MATCH(A208, 'Base Exámenes'!$C$5:$C$1000, 0)), "")</f>
        <v>100</v>
      </c>
      <c r="K208" s="6" t="str">
        <f>IFERROR(INDEX('Base Exámenes'!$H$5:$H$1000, MATCH(A208, 'Base Exámenes'!$C$5:$C$1000, 0)), "anonymous")</f>
        <v>anonymous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 (Agencias)</v>
      </c>
      <c r="E209" s="6" t="str">
        <f>'Base Oficial'!D209</f>
        <v>EJECUTIVO DE NEGOCIOS</v>
      </c>
      <c r="F209" s="4" t="str">
        <f>IF(COUNTIFS('Base Exámenes'!$C$5:$C$1000, A209, 'Base Exámenes'!$E$5:$E$1000, "&lt;&gt;")&gt;0, "Completado", "Pendiente")</f>
        <v>Pendiente</v>
      </c>
      <c r="G209" s="25" t="str">
        <f>IFERROR(INDEX('Base Exámenes'!$D$5:$D$1000, MATCH(A209, 'Base Exámenes'!$C$5:$C$1000, 0)), "")</f>
        <v/>
      </c>
      <c r="H209" s="25" t="str">
        <f>IFERROR(INDEX('Base Exámenes'!$E$5:$E$1000, MATCH(A209, 'Base Exámenes'!$C$5:$C$1000, 0)), "")</f>
        <v/>
      </c>
      <c r="I209" s="26" t="str">
        <f>IFERROR(INDEX('Base Exámenes'!$F$5:$F$1000, MATCH(A209, 'Base Exámenes'!$C$5:$C$1000, 0)), "")</f>
        <v/>
      </c>
      <c r="J209" s="6" t="str">
        <f>IFERROR(INDEX('Base Exámenes'!$G$5:$G$1000, MATCH(A209, 'Base Exámenes'!$C$5:$C$1000, 0)), "")</f>
        <v/>
      </c>
      <c r="K209" s="6" t="str">
        <f>IFERROR(INDEX('Base Exámenes'!$H$5:$H$1000, MATCH(A209, 'Base Exámenes'!$C$5:$C$1000, 0)), "anonymous")</f>
        <v>anonymous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 (Agencias)</v>
      </c>
      <c r="E210" s="6" t="str">
        <f>'Base Oficial'!D210</f>
        <v>SUBJEFE DE  AGENCIA</v>
      </c>
      <c r="F210" s="4" t="str">
        <f>IF(COUNTIFS('Base Exámenes'!$C$5:$C$1000, A210, 'Base Exámenes'!$E$5:$E$1000, "&lt;&gt;")&gt;0, "Completado", "Pendiente")</f>
        <v>Pendiente</v>
      </c>
      <c r="G210" s="25" t="str">
        <f>IFERROR(INDEX('Base Exámenes'!$D$5:$D$1000, MATCH(A210, 'Base Exámenes'!$C$5:$C$1000, 0)), "")</f>
        <v/>
      </c>
      <c r="H210" s="25" t="str">
        <f>IFERROR(INDEX('Base Exámenes'!$E$5:$E$1000, MATCH(A210, 'Base Exámenes'!$C$5:$C$1000, 0)), "")</f>
        <v/>
      </c>
      <c r="I210" s="26" t="str">
        <f>IFERROR(INDEX('Base Exámenes'!$F$5:$F$1000, MATCH(A210, 'Base Exámenes'!$C$5:$C$1000, 0)), "")</f>
        <v/>
      </c>
      <c r="J210" s="6" t="str">
        <f>IFERROR(INDEX('Base Exámenes'!$G$5:$G$1000, MATCH(A210, 'Base Exámenes'!$C$5:$C$1000, 0)), "")</f>
        <v/>
      </c>
      <c r="K210" s="6" t="str">
        <f>IFERROR(INDEX('Base Exámenes'!$H$5:$H$1000, MATCH(A210, 'Base Exámenes'!$C$5:$C$1000, 0)), "anonymous")</f>
        <v>anonymous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 (Agencias)</v>
      </c>
      <c r="E211" s="6" t="str">
        <f>'Base Oficial'!D211</f>
        <v>EJECUTIVO DE NEGOCIOS</v>
      </c>
      <c r="F211" s="4" t="str">
        <f>IF(COUNTIFS('Base Exámenes'!$C$5:$C$1000, A211, 'Base Exámenes'!$E$5:$E$1000, "&lt;&gt;")&gt;0, "Completado", "Pendiente")</f>
        <v>Pendiente</v>
      </c>
      <c r="G211" s="25" t="str">
        <f>IFERROR(INDEX('Base Exámenes'!$D$5:$D$1000, MATCH(A211, 'Base Exámenes'!$C$5:$C$1000, 0)), "")</f>
        <v/>
      </c>
      <c r="H211" s="25" t="str">
        <f>IFERROR(INDEX('Base Exámenes'!$E$5:$E$1000, MATCH(A211, 'Base Exámenes'!$C$5:$C$1000, 0)), "")</f>
        <v/>
      </c>
      <c r="I211" s="26" t="str">
        <f>IFERROR(INDEX('Base Exámenes'!$F$5:$F$1000, MATCH(A211, 'Base Exámenes'!$C$5:$C$1000, 0)), "")</f>
        <v/>
      </c>
      <c r="J211" s="6" t="str">
        <f>IFERROR(INDEX('Base Exámenes'!$G$5:$G$1000, MATCH(A211, 'Base Exámenes'!$C$5:$C$1000, 0)), "")</f>
        <v/>
      </c>
      <c r="K211" s="6" t="str">
        <f>IFERROR(INDEX('Base Exámenes'!$H$5:$H$1000, MATCH(A211, 'Base Exámenes'!$C$5:$C$1000, 0)), "anonymous")</f>
        <v>anonymous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 (Agencias)</v>
      </c>
      <c r="E212" s="6" t="str">
        <f>'Base Oficial'!D212</f>
        <v>JEFE DE AGENCIA  </v>
      </c>
      <c r="F212" s="4" t="str">
        <f>IF(COUNTIFS('Base Exámenes'!$C$5:$C$1000, A212, 'Base Exámenes'!$E$5:$E$1000, "&lt;&gt;")&gt;0, "Completado", "Pendiente")</f>
        <v>Completado</v>
      </c>
      <c r="G212" s="25">
        <f>IFERROR(INDEX('Base Exámenes'!$D$5:$D$1000, MATCH(A212, 'Base Exámenes'!$C$5:$C$1000, 0)), "")</f>
        <v>46296.47090277778</v>
      </c>
      <c r="H212" s="25">
        <f>IFERROR(INDEX('Base Exámenes'!$E$5:$E$1000, MATCH(A212, 'Base Exámenes'!$C$5:$C$1000, 0)), "")</f>
        <v>46296.47634259259</v>
      </c>
      <c r="I212" s="26">
        <f>IFERROR(INDEX('Base Exámenes'!$F$5:$F$1000, MATCH(A212, 'Base Exámenes'!$C$5:$C$1000, 0)), "")</f>
        <v>7.83333333333333</v>
      </c>
      <c r="J212" s="6">
        <f>IFERROR(INDEX('Base Exámenes'!$G$5:$G$1000, MATCH(A212, 'Base Exámenes'!$C$5:$C$1000, 0)), "")</f>
        <v>100</v>
      </c>
      <c r="K212" s="6" t="str">
        <f>IFERROR(INDEX('Base Exámenes'!$H$5:$H$1000, MATCH(A212, 'Base Exámenes'!$C$5:$C$1000, 0)), "anonymous")</f>
        <v>anonymous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 (Agencias)</v>
      </c>
      <c r="E213" s="6" t="str">
        <f>'Base Oficial'!D213</f>
        <v>SERVICIOS VARIOS</v>
      </c>
      <c r="F213" s="4" t="str">
        <f>IF(COUNTIFS('Base Exámenes'!$C$5:$C$1000, A213, 'Base Exámenes'!$E$5:$E$1000, "&lt;&gt;")&gt;0, "Completado", "Pendiente")</f>
        <v>Pendiente</v>
      </c>
      <c r="G213" s="25" t="str">
        <f>IFERROR(INDEX('Base Exámenes'!$D$5:$D$1000, MATCH(A213, 'Base Exámenes'!$C$5:$C$1000, 0)), "")</f>
        <v/>
      </c>
      <c r="H213" s="25" t="str">
        <f>IFERROR(INDEX('Base Exámenes'!$E$5:$E$1000, MATCH(A213, 'Base Exámenes'!$C$5:$C$1000, 0)), "")</f>
        <v/>
      </c>
      <c r="I213" s="26" t="str">
        <f>IFERROR(INDEX('Base Exámenes'!$F$5:$F$1000, MATCH(A213, 'Base Exámenes'!$C$5:$C$1000, 0)), "")</f>
        <v/>
      </c>
      <c r="J213" s="6" t="str">
        <f>IFERROR(INDEX('Base Exámenes'!$G$5:$G$1000, MATCH(A213, 'Base Exámenes'!$C$5:$C$1000, 0)), "")</f>
        <v/>
      </c>
      <c r="K213" s="6" t="str">
        <f>IFERROR(INDEX('Base Exámenes'!$H$5:$H$1000, MATCH(A213, 'Base Exámenes'!$C$5:$C$1000, 0)), "anonymous")</f>
        <v>anonymous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 (Agencias)</v>
      </c>
      <c r="E214" s="6" t="str">
        <f>'Base Oficial'!D214</f>
        <v>CAJERO</v>
      </c>
      <c r="F214" s="4" t="str">
        <f>IF(COUNTIFS('Base Exámenes'!$C$5:$C$1000, A214, 'Base Exámenes'!$E$5:$E$1000, "&lt;&gt;")&gt;0, "Completado", "Pendiente")</f>
        <v>Pendiente</v>
      </c>
      <c r="G214" s="25" t="str">
        <f>IFERROR(INDEX('Base Exámenes'!$D$5:$D$1000, MATCH(A214, 'Base Exámenes'!$C$5:$C$1000, 0)), "")</f>
        <v/>
      </c>
      <c r="H214" s="25" t="str">
        <f>IFERROR(INDEX('Base Exámenes'!$E$5:$E$1000, MATCH(A214, 'Base Exámenes'!$C$5:$C$1000, 0)), "")</f>
        <v/>
      </c>
      <c r="I214" s="26" t="str">
        <f>IFERROR(INDEX('Base Exámenes'!$F$5:$F$1000, MATCH(A214, 'Base Exámenes'!$C$5:$C$1000, 0)), "")</f>
        <v/>
      </c>
      <c r="J214" s="6" t="str">
        <f>IFERROR(INDEX('Base Exámenes'!$G$5:$G$1000, MATCH(A214, 'Base Exámenes'!$C$5:$C$1000, 0)), "")</f>
        <v/>
      </c>
      <c r="K214" s="6" t="str">
        <f>IFERROR(INDEX('Base Exámenes'!$H$5:$H$1000, MATCH(A214, 'Base Exámenes'!$C$5:$C$1000, 0)), "anonymous")</f>
        <v>anonymous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 (Agencias)</v>
      </c>
      <c r="E215" s="6" t="str">
        <f>'Base Oficial'!D215</f>
        <v>EJECUTIVA DE SEGUROS</v>
      </c>
      <c r="F215" s="4" t="str">
        <f>IF(COUNTIFS('Base Exámenes'!$C$5:$C$1000, A215, 'Base Exámenes'!$E$5:$E$1000, "&lt;&gt;")&gt;0, "Completado", "Pendiente")</f>
        <v>Completado</v>
      </c>
      <c r="G215" s="25">
        <f>IFERROR(INDEX('Base Exámenes'!$D$5:$D$1000, MATCH(A215, 'Base Exámenes'!$C$5:$C$1000, 0)), "")</f>
        <v>46305.39409722222</v>
      </c>
      <c r="H215" s="25">
        <f>IFERROR(INDEX('Base Exámenes'!$E$5:$E$1000, MATCH(A215, 'Base Exámenes'!$C$5:$C$1000, 0)), "")</f>
        <v>46305.407002314816</v>
      </c>
      <c r="I215" s="26">
        <f>IFERROR(INDEX('Base Exámenes'!$F$5:$F$1000, MATCH(A215, 'Base Exámenes'!$C$5:$C$1000, 0)), "")</f>
        <v>18.58333335025</v>
      </c>
      <c r="J215" s="6">
        <f>IFERROR(INDEX('Base Exámenes'!$G$5:$G$1000, MATCH(A215, 'Base Exámenes'!$C$5:$C$1000, 0)), "")</f>
        <v>100</v>
      </c>
      <c r="K215" s="6" t="str">
        <f>IFERROR(INDEX('Base Exámenes'!$H$5:$H$1000, MATCH(A215, 'Base Exámenes'!$C$5:$C$1000, 0)), "anonymous")</f>
        <v>anonymous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 (Agencias)</v>
      </c>
      <c r="E216" s="6" t="str">
        <f>'Base Oficial'!D216</f>
        <v>CAJERO</v>
      </c>
      <c r="F216" s="4" t="str">
        <f>IF(COUNTIFS('Base Exámenes'!$C$5:$C$1000, A216, 'Base Exámenes'!$E$5:$E$1000, "&lt;&gt;")&gt;0, "Completado", "Pendiente")</f>
        <v>Pendiente</v>
      </c>
      <c r="G216" s="25" t="str">
        <f>IFERROR(INDEX('Base Exámenes'!$D$5:$D$1000, MATCH(A216, 'Base Exámenes'!$C$5:$C$1000, 0)), "")</f>
        <v/>
      </c>
      <c r="H216" s="25" t="str">
        <f>IFERROR(INDEX('Base Exámenes'!$E$5:$E$1000, MATCH(A216, 'Base Exámenes'!$C$5:$C$1000, 0)), "")</f>
        <v/>
      </c>
      <c r="I216" s="26" t="str">
        <f>IFERROR(INDEX('Base Exámenes'!$F$5:$F$1000, MATCH(A216, 'Base Exámenes'!$C$5:$C$1000, 0)), "")</f>
        <v/>
      </c>
      <c r="J216" s="6" t="str">
        <f>IFERROR(INDEX('Base Exámenes'!$G$5:$G$1000, MATCH(A216, 'Base Exámenes'!$C$5:$C$1000, 0)), "")</f>
        <v/>
      </c>
      <c r="K216" s="6" t="str">
        <f>IFERROR(INDEX('Base Exámenes'!$H$5:$H$1000, MATCH(A216, 'Base Exámenes'!$C$5:$C$1000, 0)), "anonymous")</f>
        <v>anonymous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 (Agencias)</v>
      </c>
      <c r="E217" s="6" t="str">
        <f>'Base Oficial'!D217</f>
        <v>CAJERO</v>
      </c>
      <c r="F217" s="4" t="str">
        <f>IF(COUNTIFS('Base Exámenes'!$C$5:$C$1000, A217, 'Base Exámenes'!$E$5:$E$1000, "&lt;&gt;")&gt;0, "Completado", "Pendiente")</f>
        <v>Completado</v>
      </c>
      <c r="G217" s="25">
        <f>IFERROR(INDEX('Base Exámenes'!$D$5:$D$1000, MATCH(A217, 'Base Exámenes'!$C$5:$C$1000, 0)), "")</f>
        <v>46305.38912037037</v>
      </c>
      <c r="H217" s="25">
        <f>IFERROR(INDEX('Base Exámenes'!$E$5:$E$1000, MATCH(A217, 'Base Exámenes'!$C$5:$C$1000, 0)), "")</f>
        <v>46305.39891203704</v>
      </c>
      <c r="I217" s="26">
        <f>IFERROR(INDEX('Base Exámenes'!$F$5:$F$1000, MATCH(A217, 'Base Exámenes'!$C$5:$C$1000, 0)), "")</f>
        <v>14.1</v>
      </c>
      <c r="J217" s="6">
        <f>IFERROR(INDEX('Base Exámenes'!$G$5:$G$1000, MATCH(A217, 'Base Exámenes'!$C$5:$C$1000, 0)), "")</f>
        <v>100</v>
      </c>
      <c r="K217" s="6" t="str">
        <f>IFERROR(INDEX('Base Exámenes'!$H$5:$H$1000, MATCH(A217, 'Base Exámenes'!$C$5:$C$1000, 0)), "anonymous")</f>
        <v>anonymous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 (Agencias)</v>
      </c>
      <c r="E218" s="6" t="str">
        <f>'Base Oficial'!D218</f>
        <v>CAJERO</v>
      </c>
      <c r="F218" s="4" t="str">
        <f>IF(COUNTIFS('Base Exámenes'!$C$5:$C$1000, A218, 'Base Exámenes'!$E$5:$E$1000, "&lt;&gt;")&gt;0, "Completado", "Pendiente")</f>
        <v>Pendiente</v>
      </c>
      <c r="G218" s="25" t="str">
        <f>IFERROR(INDEX('Base Exámenes'!$D$5:$D$1000, MATCH(A218, 'Base Exámenes'!$C$5:$C$1000, 0)), "")</f>
        <v/>
      </c>
      <c r="H218" s="25" t="str">
        <f>IFERROR(INDEX('Base Exámenes'!$E$5:$E$1000, MATCH(A218, 'Base Exámenes'!$C$5:$C$1000, 0)), "")</f>
        <v/>
      </c>
      <c r="I218" s="26" t="str">
        <f>IFERROR(INDEX('Base Exámenes'!$F$5:$F$1000, MATCH(A218, 'Base Exámenes'!$C$5:$C$1000, 0)), "")</f>
        <v/>
      </c>
      <c r="J218" s="6" t="str">
        <f>IFERROR(INDEX('Base Exámenes'!$G$5:$G$1000, MATCH(A218, 'Base Exámenes'!$C$5:$C$1000, 0)), "")</f>
        <v/>
      </c>
      <c r="K218" s="6" t="str">
        <f>IFERROR(INDEX('Base Exámenes'!$H$5:$H$1000, MATCH(A218, 'Base Exámenes'!$C$5:$C$1000, 0)), "anonymous")</f>
        <v>anonymous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 (Agencias)</v>
      </c>
      <c r="E219" s="6" t="str">
        <f>'Base Oficial'!D219</f>
        <v>CAJERO</v>
      </c>
      <c r="F219" s="4" t="str">
        <f>IF(COUNTIFS('Base Exámenes'!$C$5:$C$1000, A219, 'Base Exámenes'!$E$5:$E$1000, "&lt;&gt;")&gt;0, "Completado", "Pendiente")</f>
        <v>Pendiente</v>
      </c>
      <c r="G219" s="25" t="str">
        <f>IFERROR(INDEX('Base Exámenes'!$D$5:$D$1000, MATCH(A219, 'Base Exámenes'!$C$5:$C$1000, 0)), "")</f>
        <v/>
      </c>
      <c r="H219" s="25" t="str">
        <f>IFERROR(INDEX('Base Exámenes'!$E$5:$E$1000, MATCH(A219, 'Base Exámenes'!$C$5:$C$1000, 0)), "")</f>
        <v/>
      </c>
      <c r="I219" s="26" t="str">
        <f>IFERROR(INDEX('Base Exámenes'!$F$5:$F$1000, MATCH(A219, 'Base Exámenes'!$C$5:$C$1000, 0)), "")</f>
        <v/>
      </c>
      <c r="J219" s="6" t="str">
        <f>IFERROR(INDEX('Base Exámenes'!$G$5:$G$1000, MATCH(A219, 'Base Exámenes'!$C$5:$C$1000, 0)), "")</f>
        <v/>
      </c>
      <c r="K219" s="6" t="str">
        <f>IFERROR(INDEX('Base Exámenes'!$H$5:$H$1000, MATCH(A219, 'Base Exámenes'!$C$5:$C$1000, 0)), "anonymous")</f>
        <v>anonymous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 (Agencias)</v>
      </c>
      <c r="E220" s="6" t="str">
        <f>'Base Oficial'!D220</f>
        <v>AUXILIAR DE ATENCION AL ASOCIADO EN AGENCIA</v>
      </c>
      <c r="F220" s="4" t="str">
        <f>IF(COUNTIFS('Base Exámenes'!$C$5:$C$1000, A220, 'Base Exámenes'!$E$5:$E$1000, "&lt;&gt;")&gt;0, "Completado", "Pendiente")</f>
        <v>Pendiente</v>
      </c>
      <c r="G220" s="25" t="str">
        <f>IFERROR(INDEX('Base Exámenes'!$D$5:$D$1000, MATCH(A220, 'Base Exámenes'!$C$5:$C$1000, 0)), "")</f>
        <v/>
      </c>
      <c r="H220" s="25" t="str">
        <f>IFERROR(INDEX('Base Exámenes'!$E$5:$E$1000, MATCH(A220, 'Base Exámenes'!$C$5:$C$1000, 0)), "")</f>
        <v/>
      </c>
      <c r="I220" s="26" t="str">
        <f>IFERROR(INDEX('Base Exámenes'!$F$5:$F$1000, MATCH(A220, 'Base Exámenes'!$C$5:$C$1000, 0)), "")</f>
        <v/>
      </c>
      <c r="J220" s="6" t="str">
        <f>IFERROR(INDEX('Base Exámenes'!$G$5:$G$1000, MATCH(A220, 'Base Exámenes'!$C$5:$C$1000, 0)), "")</f>
        <v/>
      </c>
      <c r="K220" s="6" t="str">
        <f>IFERROR(INDEX('Base Exámenes'!$H$5:$H$1000, MATCH(A220, 'Base Exámenes'!$C$5:$C$1000, 0)), "anonymous")</f>
        <v>anonymous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 (Agencias)</v>
      </c>
      <c r="E221" s="6" t="str">
        <f>'Base Oficial'!D221</f>
        <v>EJECUTIVO DE NEGOCIOS</v>
      </c>
      <c r="F221" s="4" t="str">
        <f>IF(COUNTIFS('Base Exámenes'!$C$5:$C$1000, A221, 'Base Exámenes'!$E$5:$E$1000, "&lt;&gt;")&gt;0, "Completado", "Pendiente")</f>
        <v>Completado</v>
      </c>
      <c r="G221" s="25">
        <f>IFERROR(INDEX('Base Exámenes'!$D$5:$D$1000, MATCH(A221, 'Base Exámenes'!$C$5:$C$1000, 0)), "")</f>
        <v>46296.43491898148</v>
      </c>
      <c r="H221" s="25">
        <f>IFERROR(INDEX('Base Exámenes'!$E$5:$E$1000, MATCH(A221, 'Base Exámenes'!$C$5:$C$1000, 0)), "")</f>
        <v>46296.44064814815</v>
      </c>
      <c r="I221" s="26">
        <f>IFERROR(INDEX('Base Exámenes'!$F$5:$F$1000, MATCH(A221, 'Base Exámenes'!$C$5:$C$1000, 0)), "")</f>
        <v>8.25</v>
      </c>
      <c r="J221" s="6">
        <f>IFERROR(INDEX('Base Exámenes'!$G$5:$G$1000, MATCH(A221, 'Base Exámenes'!$C$5:$C$1000, 0)), "")</f>
        <v>100</v>
      </c>
      <c r="K221" s="6" t="str">
        <f>IFERROR(INDEX('Base Exámenes'!$H$5:$H$1000, MATCH(A221, 'Base Exámenes'!$C$5:$C$1000, 0)), "anonymous")</f>
        <v>anonymous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 (Agencias)</v>
      </c>
      <c r="E222" s="6" t="str">
        <f>'Base Oficial'!D222</f>
        <v>JEFE DE AGENCIA  </v>
      </c>
      <c r="F222" s="4" t="str">
        <f>IF(COUNTIFS('Base Exámenes'!$C$5:$C$1000, A222, 'Base Exámenes'!$E$5:$E$1000, "&lt;&gt;")&gt;0, "Completado", "Pendiente")</f>
        <v>Completado</v>
      </c>
      <c r="G222" s="25">
        <f>IFERROR(INDEX('Base Exámenes'!$D$5:$D$1000, MATCH(A222, 'Base Exámenes'!$C$5:$C$1000, 0)), "")</f>
        <v>46296.48715277778</v>
      </c>
      <c r="H222" s="25">
        <f>IFERROR(INDEX('Base Exámenes'!$E$5:$E$1000, MATCH(A222, 'Base Exámenes'!$C$5:$C$1000, 0)), "")</f>
        <v>46296.49199074074</v>
      </c>
      <c r="I222" s="26">
        <f>IFERROR(INDEX('Base Exámenes'!$F$5:$F$1000, MATCH(A222, 'Base Exámenes'!$C$5:$C$1000, 0)), "")</f>
        <v>6.96666666666667</v>
      </c>
      <c r="J222" s="6">
        <f>IFERROR(INDEX('Base Exámenes'!$G$5:$G$1000, MATCH(A222, 'Base Exámenes'!$C$5:$C$1000, 0)), "")</f>
        <v>90</v>
      </c>
      <c r="K222" s="6" t="str">
        <f>IFERROR(INDEX('Base Exámenes'!$H$5:$H$1000, MATCH(A222, 'Base Exámenes'!$C$5:$C$1000, 0)), "anonymous")</f>
        <v>anonymous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 (Agencias)</v>
      </c>
      <c r="E223" s="6" t="str">
        <f>'Base Oficial'!D223</f>
        <v>AUXILIAR DE OPERACIONES Y ATENCION EN  AGENCIA</v>
      </c>
      <c r="F223" s="4" t="str">
        <f>IF(COUNTIFS('Base Exámenes'!$C$5:$C$1000, A223, 'Base Exámenes'!$E$5:$E$1000, "&lt;&gt;")&gt;0, "Completado", "Pendiente")</f>
        <v>Completado</v>
      </c>
      <c r="G223" s="25">
        <f>IFERROR(INDEX('Base Exámenes'!$D$5:$D$1000, MATCH(A223, 'Base Exámenes'!$C$5:$C$1000, 0)), "")</f>
        <v>46296.44636574074</v>
      </c>
      <c r="H223" s="25">
        <f>IFERROR(INDEX('Base Exámenes'!$E$5:$E$1000, MATCH(A223, 'Base Exámenes'!$C$5:$C$1000, 0)), "")</f>
        <v>46296.44844907407</v>
      </c>
      <c r="I223" s="26">
        <f>IFERROR(INDEX('Base Exámenes'!$F$5:$F$1000, MATCH(A223, 'Base Exámenes'!$C$5:$C$1000, 0)), "")</f>
        <v>3</v>
      </c>
      <c r="J223" s="6">
        <f>IFERROR(INDEX('Base Exámenes'!$G$5:$G$1000, MATCH(A223, 'Base Exámenes'!$C$5:$C$1000, 0)), "")</f>
        <v>100</v>
      </c>
      <c r="K223" s="6" t="str">
        <f>IFERROR(INDEX('Base Exámenes'!$H$5:$H$1000, MATCH(A223, 'Base Exámenes'!$C$5:$C$1000, 0)), "anonymous")</f>
        <v>anonymous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 (Agencias)</v>
      </c>
      <c r="E224" s="6" t="str">
        <f>'Base Oficial'!D224</f>
        <v>SUBJEFE DE  AGENCIA</v>
      </c>
      <c r="F224" s="4" t="str">
        <f>IF(COUNTIFS('Base Exámenes'!$C$5:$C$1000, A224, 'Base Exámenes'!$E$5:$E$1000, "&lt;&gt;")&gt;0, "Completado", "Pendiente")</f>
        <v>Completado</v>
      </c>
      <c r="G224" s="25">
        <f>IFERROR(INDEX('Base Exámenes'!$D$5:$D$1000, MATCH(A224, 'Base Exámenes'!$C$5:$C$1000, 0)), "")</f>
        <v>46296.44934027778</v>
      </c>
      <c r="H224" s="25">
        <f>IFERROR(INDEX('Base Exámenes'!$E$5:$E$1000, MATCH(A224, 'Base Exámenes'!$C$5:$C$1000, 0)), "")</f>
        <v>46296.45449074074</v>
      </c>
      <c r="I224" s="26">
        <f>IFERROR(INDEX('Base Exámenes'!$F$5:$F$1000, MATCH(A224, 'Base Exámenes'!$C$5:$C$1000, 0)), "")</f>
        <v>7.41666666666667</v>
      </c>
      <c r="J224" s="6">
        <f>IFERROR(INDEX('Base Exámenes'!$G$5:$G$1000, MATCH(A224, 'Base Exámenes'!$C$5:$C$1000, 0)), "")</f>
        <v>100</v>
      </c>
      <c r="K224" s="6" t="str">
        <f>IFERROR(INDEX('Base Exámenes'!$H$5:$H$1000, MATCH(A224, 'Base Exámenes'!$C$5:$C$1000, 0)), "anonymous")</f>
        <v>anonymous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 (Agencias)</v>
      </c>
      <c r="E225" s="6" t="str">
        <f>'Base Oficial'!D225</f>
        <v>CAJERO</v>
      </c>
      <c r="F225" s="4" t="str">
        <f>IF(COUNTIFS('Base Exámenes'!$C$5:$C$1000, A225, 'Base Exámenes'!$E$5:$E$1000, "&lt;&gt;")&gt;0, "Completado", "Pendiente")</f>
        <v>Completado</v>
      </c>
      <c r="G225" s="25">
        <f>IFERROR(INDEX('Base Exámenes'!$D$5:$D$1000, MATCH(A225, 'Base Exámenes'!$C$5:$C$1000, 0)), "")</f>
        <v>46296.44304398148</v>
      </c>
      <c r="H225" s="25">
        <f>IFERROR(INDEX('Base Exámenes'!$E$5:$E$1000, MATCH(A225, 'Base Exámenes'!$C$5:$C$1000, 0)), "")</f>
        <v>46296.44540509259</v>
      </c>
      <c r="I225" s="26">
        <f>IFERROR(INDEX('Base Exámenes'!$F$5:$F$1000, MATCH(A225, 'Base Exámenes'!$C$5:$C$1000, 0)), "")</f>
        <v>3.4</v>
      </c>
      <c r="J225" s="6">
        <f>IFERROR(INDEX('Base Exámenes'!$G$5:$G$1000, MATCH(A225, 'Base Exámenes'!$C$5:$C$1000, 0)), "")</f>
        <v>100</v>
      </c>
      <c r="K225" s="6" t="str">
        <f>IFERROR(INDEX('Base Exámenes'!$H$5:$H$1000, MATCH(A225, 'Base Exámenes'!$C$5:$C$1000, 0)), "anonymous")</f>
        <v>anonymous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 (Agencias)</v>
      </c>
      <c r="E226" s="6" t="str">
        <f>'Base Oficial'!D226</f>
        <v>CAJERO</v>
      </c>
      <c r="F226" s="4" t="str">
        <f>IF(COUNTIFS('Base Exámenes'!$C$5:$C$1000, A226, 'Base Exámenes'!$E$5:$E$1000, "&lt;&gt;")&gt;0, "Completado", "Pendiente")</f>
        <v>Completado</v>
      </c>
      <c r="G226" s="25">
        <f>IFERROR(INDEX('Base Exámenes'!$D$5:$D$1000, MATCH(A226, 'Base Exámenes'!$C$5:$C$1000, 0)), "")</f>
        <v>46296.45601851852</v>
      </c>
      <c r="H226" s="25">
        <f>IFERROR(INDEX('Base Exámenes'!$E$5:$E$1000, MATCH(A226, 'Base Exámenes'!$C$5:$C$1000, 0)), "")</f>
        <v>46296.45806712963</v>
      </c>
      <c r="I226" s="26">
        <f>IFERROR(INDEX('Base Exámenes'!$F$5:$F$1000, MATCH(A226, 'Base Exámenes'!$C$5:$C$1000, 0)), "")</f>
        <v>2.95</v>
      </c>
      <c r="J226" s="6">
        <f>IFERROR(INDEX('Base Exámenes'!$G$5:$G$1000, MATCH(A226, 'Base Exámenes'!$C$5:$C$1000, 0)), "")</f>
        <v>100</v>
      </c>
      <c r="K226" s="6" t="str">
        <f>IFERROR(INDEX('Base Exámenes'!$H$5:$H$1000, MATCH(A226, 'Base Exámenes'!$C$5:$C$1000, 0)), "anonymous")</f>
        <v>anonymous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 (Agencias)</v>
      </c>
      <c r="E227" s="6" t="str">
        <f>'Base Oficial'!D227</f>
        <v>EJECUTIVA DE SEGUROS</v>
      </c>
      <c r="F227" s="4" t="str">
        <f>IF(COUNTIFS('Base Exámenes'!$C$5:$C$1000, A227, 'Base Exámenes'!$E$5:$E$1000, "&lt;&gt;")&gt;0, "Completado", "Pendiente")</f>
        <v>Completado</v>
      </c>
      <c r="G227" s="25">
        <f>IFERROR(INDEX('Base Exámenes'!$D$5:$D$1000, MATCH(A227, 'Base Exámenes'!$C$5:$C$1000, 0)), "")</f>
        <v>46296.44934027778</v>
      </c>
      <c r="H227" s="25">
        <f>IFERROR(INDEX('Base Exámenes'!$E$5:$E$1000, MATCH(A227, 'Base Exámenes'!$C$5:$C$1000, 0)), "")</f>
        <v>46296.45224537037</v>
      </c>
      <c r="I227" s="26">
        <f>IFERROR(INDEX('Base Exámenes'!$F$5:$F$1000, MATCH(A227, 'Base Exámenes'!$C$5:$C$1000, 0)), "")</f>
        <v>4.18333333333333</v>
      </c>
      <c r="J227" s="6">
        <f>IFERROR(INDEX('Base Exámenes'!$G$5:$G$1000, MATCH(A227, 'Base Exámenes'!$C$5:$C$1000, 0)), "")</f>
        <v>100</v>
      </c>
      <c r="K227" s="6" t="str">
        <f>IFERROR(INDEX('Base Exámenes'!$H$5:$H$1000, MATCH(A227, 'Base Exámenes'!$C$5:$C$1000, 0)), "anonymous")</f>
        <v>anonymous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 (Agencias)</v>
      </c>
      <c r="E228" s="6" t="str">
        <f>'Base Oficial'!D228</f>
        <v>CAJERO</v>
      </c>
      <c r="F228" s="4" t="str">
        <f>IF(COUNTIFS('Base Exámenes'!$C$5:$C$1000, A228, 'Base Exámenes'!$E$5:$E$1000, "&lt;&gt;")&gt;0, "Completado", "Pendiente")</f>
        <v>Pendiente</v>
      </c>
      <c r="G228" s="25" t="str">
        <f>IFERROR(INDEX('Base Exámenes'!$D$5:$D$1000, MATCH(A228, 'Base Exámenes'!$C$5:$C$1000, 0)), "")</f>
        <v/>
      </c>
      <c r="H228" s="25" t="str">
        <f>IFERROR(INDEX('Base Exámenes'!$E$5:$E$1000, MATCH(A228, 'Base Exámenes'!$C$5:$C$1000, 0)), "")</f>
        <v/>
      </c>
      <c r="I228" s="26" t="str">
        <f>IFERROR(INDEX('Base Exámenes'!$F$5:$F$1000, MATCH(A228, 'Base Exámenes'!$C$5:$C$1000, 0)), "")</f>
        <v/>
      </c>
      <c r="J228" s="6" t="str">
        <f>IFERROR(INDEX('Base Exámenes'!$G$5:$G$1000, MATCH(A228, 'Base Exámenes'!$C$5:$C$1000, 0)), "")</f>
        <v/>
      </c>
      <c r="K228" s="6" t="str">
        <f>IFERROR(INDEX('Base Exámenes'!$H$5:$H$1000, MATCH(A228, 'Base Exámenes'!$C$5:$C$1000, 0)), "anonymous")</f>
        <v>anonymous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 (Agencias)</v>
      </c>
      <c r="E229" s="6" t="str">
        <f>'Base Oficial'!D229</f>
        <v>EJECUTIVO DE NEGOCIOS</v>
      </c>
      <c r="F229" s="4" t="str">
        <f>IF(COUNTIFS('Base Exámenes'!$C$5:$C$1000, A229, 'Base Exámenes'!$E$5:$E$1000, "&lt;&gt;")&gt;0, "Completado", "Pendiente")</f>
        <v>Pendiente</v>
      </c>
      <c r="G229" s="25" t="str">
        <f>IFERROR(INDEX('Base Exámenes'!$D$5:$D$1000, MATCH(A229, 'Base Exámenes'!$C$5:$C$1000, 0)), "")</f>
        <v/>
      </c>
      <c r="H229" s="25" t="str">
        <f>IFERROR(INDEX('Base Exámenes'!$E$5:$E$1000, MATCH(A229, 'Base Exámenes'!$C$5:$C$1000, 0)), "")</f>
        <v/>
      </c>
      <c r="I229" s="26" t="str">
        <f>IFERROR(INDEX('Base Exámenes'!$F$5:$F$1000, MATCH(A229, 'Base Exámenes'!$C$5:$C$1000, 0)), "")</f>
        <v/>
      </c>
      <c r="J229" s="6" t="str">
        <f>IFERROR(INDEX('Base Exámenes'!$G$5:$G$1000, MATCH(A229, 'Base Exámenes'!$C$5:$C$1000, 0)), "")</f>
        <v/>
      </c>
      <c r="K229" s="6" t="str">
        <f>IFERROR(INDEX('Base Exámenes'!$H$5:$H$1000, MATCH(A229, 'Base Exámenes'!$C$5:$C$1000, 0)), "anonymous")</f>
        <v>anonymous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 (Agencias)</v>
      </c>
      <c r="E230" s="6" t="str">
        <f>'Base Oficial'!D230</f>
        <v>JEFE DE AGENCIA  </v>
      </c>
      <c r="F230" s="4" t="str">
        <f>IF(COUNTIFS('Base Exámenes'!$C$5:$C$1000, A230, 'Base Exámenes'!$E$5:$E$1000, "&lt;&gt;")&gt;0, "Completado", "Pendiente")</f>
        <v>Pendiente</v>
      </c>
      <c r="G230" s="25" t="str">
        <f>IFERROR(INDEX('Base Exámenes'!$D$5:$D$1000, MATCH(A230, 'Base Exámenes'!$C$5:$C$1000, 0)), "")</f>
        <v/>
      </c>
      <c r="H230" s="25" t="str">
        <f>IFERROR(INDEX('Base Exámenes'!$E$5:$E$1000, MATCH(A230, 'Base Exámenes'!$C$5:$C$1000, 0)), "")</f>
        <v/>
      </c>
      <c r="I230" s="26" t="str">
        <f>IFERROR(INDEX('Base Exámenes'!$F$5:$F$1000, MATCH(A230, 'Base Exámenes'!$C$5:$C$1000, 0)), "")</f>
        <v/>
      </c>
      <c r="J230" s="6" t="str">
        <f>IFERROR(INDEX('Base Exámenes'!$G$5:$G$1000, MATCH(A230, 'Base Exámenes'!$C$5:$C$1000, 0)), "")</f>
        <v/>
      </c>
      <c r="K230" s="6" t="str">
        <f>IFERROR(INDEX('Base Exámenes'!$H$5:$H$1000, MATCH(A230, 'Base Exámenes'!$C$5:$C$1000, 0)), "anonymous")</f>
        <v>anonymous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 (Agencias)</v>
      </c>
      <c r="E231" s="6" t="str">
        <f>'Base Oficial'!D231</f>
        <v>SUBJEFE DE  AGENCIA</v>
      </c>
      <c r="F231" s="4" t="str">
        <f>IF(COUNTIFS('Base Exámenes'!$C$5:$C$1000, A231, 'Base Exámenes'!$E$5:$E$1000, "&lt;&gt;")&gt;0, "Completado", "Pendiente")</f>
        <v>Pendiente</v>
      </c>
      <c r="G231" s="25" t="str">
        <f>IFERROR(INDEX('Base Exámenes'!$D$5:$D$1000, MATCH(A231, 'Base Exámenes'!$C$5:$C$1000, 0)), "")</f>
        <v/>
      </c>
      <c r="H231" s="25" t="str">
        <f>IFERROR(INDEX('Base Exámenes'!$E$5:$E$1000, MATCH(A231, 'Base Exámenes'!$C$5:$C$1000, 0)), "")</f>
        <v/>
      </c>
      <c r="I231" s="26" t="str">
        <f>IFERROR(INDEX('Base Exámenes'!$F$5:$F$1000, MATCH(A231, 'Base Exámenes'!$C$5:$C$1000, 0)), "")</f>
        <v/>
      </c>
      <c r="J231" s="6" t="str">
        <f>IFERROR(INDEX('Base Exámenes'!$G$5:$G$1000, MATCH(A231, 'Base Exámenes'!$C$5:$C$1000, 0)), "")</f>
        <v/>
      </c>
      <c r="K231" s="6" t="str">
        <f>IFERROR(INDEX('Base Exámenes'!$H$5:$H$1000, MATCH(A231, 'Base Exámenes'!$C$5:$C$1000, 0)), "anonymous")</f>
        <v>anonymous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 (Agencias)</v>
      </c>
      <c r="E232" s="6" t="str">
        <f>'Base Oficial'!D232</f>
        <v>EJECUTIVO DE SEGUROS</v>
      </c>
      <c r="F232" s="4" t="str">
        <f>IF(COUNTIFS('Base Exámenes'!$C$5:$C$1000, A232, 'Base Exámenes'!$E$5:$E$1000, "&lt;&gt;")&gt;0, "Completado", "Pendiente")</f>
        <v>Pendiente</v>
      </c>
      <c r="G232" s="25" t="str">
        <f>IFERROR(INDEX('Base Exámenes'!$D$5:$D$1000, MATCH(A232, 'Base Exámenes'!$C$5:$C$1000, 0)), "")</f>
        <v/>
      </c>
      <c r="H232" s="25" t="str">
        <f>IFERROR(INDEX('Base Exámenes'!$E$5:$E$1000, MATCH(A232, 'Base Exámenes'!$C$5:$C$1000, 0)), "")</f>
        <v/>
      </c>
      <c r="I232" s="26" t="str">
        <f>IFERROR(INDEX('Base Exámenes'!$F$5:$F$1000, MATCH(A232, 'Base Exámenes'!$C$5:$C$1000, 0)), "")</f>
        <v/>
      </c>
      <c r="J232" s="6" t="str">
        <f>IFERROR(INDEX('Base Exámenes'!$G$5:$G$1000, MATCH(A232, 'Base Exámenes'!$C$5:$C$1000, 0)), "")</f>
        <v/>
      </c>
      <c r="K232" s="6" t="str">
        <f>IFERROR(INDEX('Base Exámenes'!$H$5:$H$1000, MATCH(A232, 'Base Exámenes'!$C$5:$C$1000, 0)), "anonymous")</f>
        <v>anonymous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 (Agencias)</v>
      </c>
      <c r="E233" s="6" t="str">
        <f>'Base Oficial'!D233</f>
        <v>CAJERO</v>
      </c>
      <c r="F233" s="4" t="str">
        <f>IF(COUNTIFS('Base Exámenes'!$C$5:$C$1000, A233, 'Base Exámenes'!$E$5:$E$1000, "&lt;&gt;")&gt;0, "Completado", "Pendiente")</f>
        <v>Pendiente</v>
      </c>
      <c r="G233" s="25" t="str">
        <f>IFERROR(INDEX('Base Exámenes'!$D$5:$D$1000, MATCH(A233, 'Base Exámenes'!$C$5:$C$1000, 0)), "")</f>
        <v/>
      </c>
      <c r="H233" s="25" t="str">
        <f>IFERROR(INDEX('Base Exámenes'!$E$5:$E$1000, MATCH(A233, 'Base Exámenes'!$C$5:$C$1000, 0)), "")</f>
        <v/>
      </c>
      <c r="I233" s="26" t="str">
        <f>IFERROR(INDEX('Base Exámenes'!$F$5:$F$1000, MATCH(A233, 'Base Exámenes'!$C$5:$C$1000, 0)), "")</f>
        <v/>
      </c>
      <c r="J233" s="6" t="str">
        <f>IFERROR(INDEX('Base Exámenes'!$G$5:$G$1000, MATCH(A233, 'Base Exámenes'!$C$5:$C$1000, 0)), "")</f>
        <v/>
      </c>
      <c r="K233" s="6" t="str">
        <f>IFERROR(INDEX('Base Exámenes'!$H$5:$H$1000, MATCH(A233, 'Base Exámenes'!$C$5:$C$1000, 0)), "anonymous")</f>
        <v>anonymous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 (Agencias)</v>
      </c>
      <c r="E234" s="6" t="str">
        <f>'Base Oficial'!D234</f>
        <v>CAJERO</v>
      </c>
      <c r="F234" s="4" t="str">
        <f>IF(COUNTIFS('Base Exámenes'!$C$5:$C$1000, A234, 'Base Exámenes'!$E$5:$E$1000, "&lt;&gt;")&gt;0, "Completado", "Pendiente")</f>
        <v>Pendiente</v>
      </c>
      <c r="G234" s="25" t="str">
        <f>IFERROR(INDEX('Base Exámenes'!$D$5:$D$1000, MATCH(A234, 'Base Exámenes'!$C$5:$C$1000, 0)), "")</f>
        <v/>
      </c>
      <c r="H234" s="25" t="str">
        <f>IFERROR(INDEX('Base Exámenes'!$E$5:$E$1000, MATCH(A234, 'Base Exámenes'!$C$5:$C$1000, 0)), "")</f>
        <v/>
      </c>
      <c r="I234" s="26" t="str">
        <f>IFERROR(INDEX('Base Exámenes'!$F$5:$F$1000, MATCH(A234, 'Base Exámenes'!$C$5:$C$1000, 0)), "")</f>
        <v/>
      </c>
      <c r="J234" s="6" t="str">
        <f>IFERROR(INDEX('Base Exámenes'!$G$5:$G$1000, MATCH(A234, 'Base Exámenes'!$C$5:$C$1000, 0)), "")</f>
        <v/>
      </c>
      <c r="K234" s="6" t="str">
        <f>IFERROR(INDEX('Base Exámenes'!$H$5:$H$1000, MATCH(A234, 'Base Exámenes'!$C$5:$C$1000, 0)), "anonymous")</f>
        <v>anonymous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 (Agencias)</v>
      </c>
      <c r="E235" s="6" t="str">
        <f>'Base Oficial'!D235</f>
        <v>MENSAJERO</v>
      </c>
      <c r="F235" s="4" t="str">
        <f>IF(COUNTIFS('Base Exámenes'!$C$5:$C$1000, A235, 'Base Exámenes'!$E$5:$E$1000, "&lt;&gt;")&gt;0, "Completado", "Pendiente")</f>
        <v>Pendiente</v>
      </c>
      <c r="G235" s="25" t="str">
        <f>IFERROR(INDEX('Base Exámenes'!$D$5:$D$1000, MATCH(A235, 'Base Exámenes'!$C$5:$C$1000, 0)), "")</f>
        <v/>
      </c>
      <c r="H235" s="25" t="str">
        <f>IFERROR(INDEX('Base Exámenes'!$E$5:$E$1000, MATCH(A235, 'Base Exámenes'!$C$5:$C$1000, 0)), "")</f>
        <v/>
      </c>
      <c r="I235" s="26" t="str">
        <f>IFERROR(INDEX('Base Exámenes'!$F$5:$F$1000, MATCH(A235, 'Base Exámenes'!$C$5:$C$1000, 0)), "")</f>
        <v/>
      </c>
      <c r="J235" s="6" t="str">
        <f>IFERROR(INDEX('Base Exámenes'!$G$5:$G$1000, MATCH(A235, 'Base Exámenes'!$C$5:$C$1000, 0)), "")</f>
        <v/>
      </c>
      <c r="K235" s="6" t="str">
        <f>IFERROR(INDEX('Base Exámenes'!$H$5:$H$1000, MATCH(A235, 'Base Exámenes'!$C$5:$C$1000, 0)), "anonymous")</f>
        <v>anonymous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 (Agencias)</v>
      </c>
      <c r="E236" s="6" t="str">
        <f>'Base Oficial'!D236</f>
        <v>CAJERO</v>
      </c>
      <c r="F236" s="4" t="str">
        <f>IF(COUNTIFS('Base Exámenes'!$C$5:$C$1000, A236, 'Base Exámenes'!$E$5:$E$1000, "&lt;&gt;")&gt;0, "Completado", "Pendiente")</f>
        <v>Pendiente</v>
      </c>
      <c r="G236" s="25" t="str">
        <f>IFERROR(INDEX('Base Exámenes'!$D$5:$D$1000, MATCH(A236, 'Base Exámenes'!$C$5:$C$1000, 0)), "")</f>
        <v/>
      </c>
      <c r="H236" s="25" t="str">
        <f>IFERROR(INDEX('Base Exámenes'!$E$5:$E$1000, MATCH(A236, 'Base Exámenes'!$C$5:$C$1000, 0)), "")</f>
        <v/>
      </c>
      <c r="I236" s="26" t="str">
        <f>IFERROR(INDEX('Base Exámenes'!$F$5:$F$1000, MATCH(A236, 'Base Exámenes'!$C$5:$C$1000, 0)), "")</f>
        <v/>
      </c>
      <c r="J236" s="6" t="str">
        <f>IFERROR(INDEX('Base Exámenes'!$G$5:$G$1000, MATCH(A236, 'Base Exámenes'!$C$5:$C$1000, 0)), "")</f>
        <v/>
      </c>
      <c r="K236" s="6" t="str">
        <f>IFERROR(INDEX('Base Exámenes'!$H$5:$H$1000, MATCH(A236, 'Base Exámenes'!$C$5:$C$1000, 0)), "anonymous")</f>
        <v>anonymous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 (Agencias)</v>
      </c>
      <c r="E237" s="6" t="str">
        <f>'Base Oficial'!D237</f>
        <v>JEFE DE AGENCIA  </v>
      </c>
      <c r="F237" s="4" t="str">
        <f>IF(COUNTIFS('Base Exámenes'!$C$5:$C$1000, A237, 'Base Exámenes'!$E$5:$E$1000, "&lt;&gt;")&gt;0, "Completado", "Pendiente")</f>
        <v>Pendiente</v>
      </c>
      <c r="G237" s="25" t="str">
        <f>IFERROR(INDEX('Base Exámenes'!$D$5:$D$1000, MATCH(A237, 'Base Exámenes'!$C$5:$C$1000, 0)), "")</f>
        <v/>
      </c>
      <c r="H237" s="25" t="str">
        <f>IFERROR(INDEX('Base Exámenes'!$E$5:$E$1000, MATCH(A237, 'Base Exámenes'!$C$5:$C$1000, 0)), "")</f>
        <v/>
      </c>
      <c r="I237" s="26" t="str">
        <f>IFERROR(INDEX('Base Exámenes'!$F$5:$F$1000, MATCH(A237, 'Base Exámenes'!$C$5:$C$1000, 0)), "")</f>
        <v/>
      </c>
      <c r="J237" s="6" t="str">
        <f>IFERROR(INDEX('Base Exámenes'!$G$5:$G$1000, MATCH(A237, 'Base Exámenes'!$C$5:$C$1000, 0)), "")</f>
        <v/>
      </c>
      <c r="K237" s="6" t="str">
        <f>IFERROR(INDEX('Base Exámenes'!$H$5:$H$1000, MATCH(A237, 'Base Exámenes'!$C$5:$C$1000, 0)), "anonymous")</f>
        <v>anonymous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 (Agencias)</v>
      </c>
      <c r="E238" s="6" t="str">
        <f>'Base Oficial'!D238</f>
        <v>MENSAJERO</v>
      </c>
      <c r="F238" s="4" t="str">
        <f>IF(COUNTIFS('Base Exámenes'!$C$5:$C$1000, A238, 'Base Exámenes'!$E$5:$E$1000, "&lt;&gt;")&gt;0, "Completado", "Pendiente")</f>
        <v>Pendiente</v>
      </c>
      <c r="G238" s="25" t="str">
        <f>IFERROR(INDEX('Base Exámenes'!$D$5:$D$1000, MATCH(A238, 'Base Exámenes'!$C$5:$C$1000, 0)), "")</f>
        <v/>
      </c>
      <c r="H238" s="25" t="str">
        <f>IFERROR(INDEX('Base Exámenes'!$E$5:$E$1000, MATCH(A238, 'Base Exámenes'!$C$5:$C$1000, 0)), "")</f>
        <v/>
      </c>
      <c r="I238" s="26" t="str">
        <f>IFERROR(INDEX('Base Exámenes'!$F$5:$F$1000, MATCH(A238, 'Base Exámenes'!$C$5:$C$1000, 0)), "")</f>
        <v/>
      </c>
      <c r="J238" s="6" t="str">
        <f>IFERROR(INDEX('Base Exámenes'!$G$5:$G$1000, MATCH(A238, 'Base Exámenes'!$C$5:$C$1000, 0)), "")</f>
        <v/>
      </c>
      <c r="K238" s="6" t="str">
        <f>IFERROR(INDEX('Base Exámenes'!$H$5:$H$1000, MATCH(A238, 'Base Exámenes'!$C$5:$C$1000, 0)), "anonymous")</f>
        <v>anonymous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 (Agencias)</v>
      </c>
      <c r="E239" s="6" t="str">
        <f>'Base Oficial'!D239</f>
        <v>SUBJEFE DE  AGENCIA</v>
      </c>
      <c r="F239" s="4" t="str">
        <f>IF(COUNTIFS('Base Exámenes'!$C$5:$C$1000, A239, 'Base Exámenes'!$E$5:$E$1000, "&lt;&gt;")&gt;0, "Completado", "Pendiente")</f>
        <v>Pendiente</v>
      </c>
      <c r="G239" s="25" t="str">
        <f>IFERROR(INDEX('Base Exámenes'!$D$5:$D$1000, MATCH(A239, 'Base Exámenes'!$C$5:$C$1000, 0)), "")</f>
        <v/>
      </c>
      <c r="H239" s="25" t="str">
        <f>IFERROR(INDEX('Base Exámenes'!$E$5:$E$1000, MATCH(A239, 'Base Exámenes'!$C$5:$C$1000, 0)), "")</f>
        <v/>
      </c>
      <c r="I239" s="26" t="str">
        <f>IFERROR(INDEX('Base Exámenes'!$F$5:$F$1000, MATCH(A239, 'Base Exámenes'!$C$5:$C$1000, 0)), "")</f>
        <v/>
      </c>
      <c r="J239" s="6" t="str">
        <f>IFERROR(INDEX('Base Exámenes'!$G$5:$G$1000, MATCH(A239, 'Base Exámenes'!$C$5:$C$1000, 0)), "")</f>
        <v/>
      </c>
      <c r="K239" s="6" t="str">
        <f>IFERROR(INDEX('Base Exámenes'!$H$5:$H$1000, MATCH(A239, 'Base Exámenes'!$C$5:$C$1000, 0)), "anonymous")</f>
        <v>anonymous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 (Agencias)</v>
      </c>
      <c r="E240" s="6" t="str">
        <f>'Base Oficial'!D240</f>
        <v>EJECUTIVO DE NEGOCIOS</v>
      </c>
      <c r="F240" s="4" t="str">
        <f>IF(COUNTIFS('Base Exámenes'!$C$5:$C$1000, A240, 'Base Exámenes'!$E$5:$E$1000, "&lt;&gt;")&gt;0, "Completado", "Pendiente")</f>
        <v>Pendiente</v>
      </c>
      <c r="G240" s="25" t="str">
        <f>IFERROR(INDEX('Base Exámenes'!$D$5:$D$1000, MATCH(A240, 'Base Exámenes'!$C$5:$C$1000, 0)), "")</f>
        <v/>
      </c>
      <c r="H240" s="25" t="str">
        <f>IFERROR(INDEX('Base Exámenes'!$E$5:$E$1000, MATCH(A240, 'Base Exámenes'!$C$5:$C$1000, 0)), "")</f>
        <v/>
      </c>
      <c r="I240" s="26" t="str">
        <f>IFERROR(INDEX('Base Exámenes'!$F$5:$F$1000, MATCH(A240, 'Base Exámenes'!$C$5:$C$1000, 0)), "")</f>
        <v/>
      </c>
      <c r="J240" s="6" t="str">
        <f>IFERROR(INDEX('Base Exámenes'!$G$5:$G$1000, MATCH(A240, 'Base Exámenes'!$C$5:$C$1000, 0)), "")</f>
        <v/>
      </c>
      <c r="K240" s="6" t="str">
        <f>IFERROR(INDEX('Base Exámenes'!$H$5:$H$1000, MATCH(A240, 'Base Exámenes'!$C$5:$C$1000, 0)), "anonymous")</f>
        <v>anonymous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 (Agencias)</v>
      </c>
      <c r="E241" s="6" t="str">
        <f>'Base Oficial'!D241</f>
        <v>EJECUTIVA DE SEGUROS</v>
      </c>
      <c r="F241" s="4" t="str">
        <f>IF(COUNTIFS('Base Exámenes'!$C$5:$C$1000, A241, 'Base Exámenes'!$E$5:$E$1000, "&lt;&gt;")&gt;0, "Completado", "Pendiente")</f>
        <v>Pendiente</v>
      </c>
      <c r="G241" s="25" t="str">
        <f>IFERROR(INDEX('Base Exámenes'!$D$5:$D$1000, MATCH(A241, 'Base Exámenes'!$C$5:$C$1000, 0)), "")</f>
        <v/>
      </c>
      <c r="H241" s="25" t="str">
        <f>IFERROR(INDEX('Base Exámenes'!$E$5:$E$1000, MATCH(A241, 'Base Exámenes'!$C$5:$C$1000, 0)), "")</f>
        <v/>
      </c>
      <c r="I241" s="26" t="str">
        <f>IFERROR(INDEX('Base Exámenes'!$F$5:$F$1000, MATCH(A241, 'Base Exámenes'!$C$5:$C$1000, 0)), "")</f>
        <v/>
      </c>
      <c r="J241" s="6" t="str">
        <f>IFERROR(INDEX('Base Exámenes'!$G$5:$G$1000, MATCH(A241, 'Base Exámenes'!$C$5:$C$1000, 0)), "")</f>
        <v/>
      </c>
      <c r="K241" s="6" t="str">
        <f>IFERROR(INDEX('Base Exámenes'!$H$5:$H$1000, MATCH(A241, 'Base Exámenes'!$C$5:$C$1000, 0)), "anonymous")</f>
        <v>anonymous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 (Agencias)</v>
      </c>
      <c r="E242" s="6" t="str">
        <f>'Base Oficial'!D242</f>
        <v>CAJERO</v>
      </c>
      <c r="F242" s="4" t="str">
        <f>IF(COUNTIFS('Base Exámenes'!$C$5:$C$1000, A242, 'Base Exámenes'!$E$5:$E$1000, "&lt;&gt;")&gt;0, "Completado", "Pendiente")</f>
        <v>Pendiente</v>
      </c>
      <c r="G242" s="25" t="str">
        <f>IFERROR(INDEX('Base Exámenes'!$D$5:$D$1000, MATCH(A242, 'Base Exámenes'!$C$5:$C$1000, 0)), "")</f>
        <v/>
      </c>
      <c r="H242" s="25" t="str">
        <f>IFERROR(INDEX('Base Exámenes'!$E$5:$E$1000, MATCH(A242, 'Base Exámenes'!$C$5:$C$1000, 0)), "")</f>
        <v/>
      </c>
      <c r="I242" s="26" t="str">
        <f>IFERROR(INDEX('Base Exámenes'!$F$5:$F$1000, MATCH(A242, 'Base Exámenes'!$C$5:$C$1000, 0)), "")</f>
        <v/>
      </c>
      <c r="J242" s="6" t="str">
        <f>IFERROR(INDEX('Base Exámenes'!$G$5:$G$1000, MATCH(A242, 'Base Exámenes'!$C$5:$C$1000, 0)), "")</f>
        <v/>
      </c>
      <c r="K242" s="6" t="str">
        <f>IFERROR(INDEX('Base Exámenes'!$H$5:$H$1000, MATCH(A242, 'Base Exámenes'!$C$5:$C$1000, 0)), "anonymous")</f>
        <v>anonymous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 (Agencias)</v>
      </c>
      <c r="E243" s="6" t="str">
        <f>'Base Oficial'!D243</f>
        <v>CAJERO</v>
      </c>
      <c r="F243" s="4" t="str">
        <f>IF(COUNTIFS('Base Exámenes'!$C$5:$C$1000, A243, 'Base Exámenes'!$E$5:$E$1000, "&lt;&gt;")&gt;0, "Completado", "Pendiente")</f>
        <v>Pendiente</v>
      </c>
      <c r="G243" s="25" t="str">
        <f>IFERROR(INDEX('Base Exámenes'!$D$5:$D$1000, MATCH(A243, 'Base Exámenes'!$C$5:$C$1000, 0)), "")</f>
        <v/>
      </c>
      <c r="H243" s="25" t="str">
        <f>IFERROR(INDEX('Base Exámenes'!$E$5:$E$1000, MATCH(A243, 'Base Exámenes'!$C$5:$C$1000, 0)), "")</f>
        <v/>
      </c>
      <c r="I243" s="26" t="str">
        <f>IFERROR(INDEX('Base Exámenes'!$F$5:$F$1000, MATCH(A243, 'Base Exámenes'!$C$5:$C$1000, 0)), "")</f>
        <v/>
      </c>
      <c r="J243" s="6" t="str">
        <f>IFERROR(INDEX('Base Exámenes'!$G$5:$G$1000, MATCH(A243, 'Base Exámenes'!$C$5:$C$1000, 0)), "")</f>
        <v/>
      </c>
      <c r="K243" s="6" t="str">
        <f>IFERROR(INDEX('Base Exámenes'!$H$5:$H$1000, MATCH(A243, 'Base Exámenes'!$C$5:$C$1000, 0)), "anonymous")</f>
        <v>anonymous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 (Agencias)</v>
      </c>
      <c r="E244" s="6" t="str">
        <f>'Base Oficial'!D244</f>
        <v>EJECUTIVO DE NEGOCIOS</v>
      </c>
      <c r="F244" s="4" t="str">
        <f>IF(COUNTIFS('Base Exámenes'!$C$5:$C$1000, A244, 'Base Exámenes'!$E$5:$E$1000, "&lt;&gt;")&gt;0, "Completado", "Pendiente")</f>
        <v>Completado</v>
      </c>
      <c r="G244" s="25">
        <f>IFERROR(INDEX('Base Exámenes'!$D$5:$D$1000, MATCH(A244, 'Base Exámenes'!$C$5:$C$1000, 0)), "")</f>
        <v>46303.39310185185</v>
      </c>
      <c r="H244" s="25">
        <f>IFERROR(INDEX('Base Exámenes'!$E$5:$E$1000, MATCH(A244, 'Base Exámenes'!$C$5:$C$1000, 0)), "")</f>
        <v>46303.39640046296</v>
      </c>
      <c r="I244" s="26">
        <f>IFERROR(INDEX('Base Exámenes'!$F$5:$F$1000, MATCH(A244, 'Base Exámenes'!$C$5:$C$1000, 0)), "")</f>
        <v>4.75</v>
      </c>
      <c r="J244" s="6">
        <f>IFERROR(INDEX('Base Exámenes'!$G$5:$G$1000, MATCH(A244, 'Base Exámenes'!$C$5:$C$1000, 0)), "")</f>
        <v>100</v>
      </c>
      <c r="K244" s="6" t="str">
        <f>IFERROR(INDEX('Base Exámenes'!$H$5:$H$1000, MATCH(A244, 'Base Exámenes'!$C$5:$C$1000, 0)), "anonymous")</f>
        <v>anonymous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 (Agencias)</v>
      </c>
      <c r="E245" s="6" t="str">
        <f>'Base Oficial'!D245</f>
        <v>EJECUTIVO DE NEGOCIOS</v>
      </c>
      <c r="F245" s="4" t="str">
        <f>IF(COUNTIFS('Base Exámenes'!$C$5:$C$1000, A245, 'Base Exámenes'!$E$5:$E$1000, "&lt;&gt;")&gt;0, "Completado", "Pendiente")</f>
        <v>Completado</v>
      </c>
      <c r="G245" s="25">
        <f>IFERROR(INDEX('Base Exámenes'!$D$5:$D$1000, MATCH(A245, 'Base Exámenes'!$C$5:$C$1000, 0)), "")</f>
        <v>46303.45815972222</v>
      </c>
      <c r="H245" s="25">
        <f>IFERROR(INDEX('Base Exámenes'!$E$5:$E$1000, MATCH(A245, 'Base Exámenes'!$C$5:$C$1000, 0)), "")</f>
        <v>46303.46199074074</v>
      </c>
      <c r="I245" s="26">
        <f>IFERROR(INDEX('Base Exámenes'!$F$5:$F$1000, MATCH(A245, 'Base Exámenes'!$C$5:$C$1000, 0)), "")</f>
        <v>5.51666666666667</v>
      </c>
      <c r="J245" s="6">
        <f>IFERROR(INDEX('Base Exámenes'!$G$5:$G$1000, MATCH(A245, 'Base Exámenes'!$C$5:$C$1000, 0)), "")</f>
        <v>100</v>
      </c>
      <c r="K245" s="6" t="str">
        <f>IFERROR(INDEX('Base Exámenes'!$H$5:$H$1000, MATCH(A245, 'Base Exámenes'!$C$5:$C$1000, 0)), "anonymous")</f>
        <v>anonymous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 (Agencias)</v>
      </c>
      <c r="E246" s="6" t="str">
        <f>'Base Oficial'!D246</f>
        <v>JEFE DE AGENCIA  </v>
      </c>
      <c r="F246" s="4" t="str">
        <f>IF(COUNTIFS('Base Exámenes'!$C$5:$C$1000, A246, 'Base Exámenes'!$E$5:$E$1000, "&lt;&gt;")&gt;0, "Completado", "Pendiente")</f>
        <v>Completado</v>
      </c>
      <c r="G246" s="25">
        <f>IFERROR(INDEX('Base Exámenes'!$D$5:$D$1000, MATCH(A246, 'Base Exámenes'!$C$5:$C$1000, 0)), "")</f>
        <v>46302.700208333335</v>
      </c>
      <c r="H246" s="25">
        <f>IFERROR(INDEX('Base Exámenes'!$E$5:$E$1000, MATCH(A246, 'Base Exámenes'!$C$5:$C$1000, 0)), "")</f>
        <v>46302.70259259259</v>
      </c>
      <c r="I246" s="26">
        <f>IFERROR(INDEX('Base Exámenes'!$F$5:$F$1000, MATCH(A246, 'Base Exámenes'!$C$5:$C$1000, 0)), "")</f>
        <v>3.43333333333333</v>
      </c>
      <c r="J246" s="6">
        <f>IFERROR(INDEX('Base Exámenes'!$G$5:$G$1000, MATCH(A246, 'Base Exámenes'!$C$5:$C$1000, 0)), "")</f>
        <v>100</v>
      </c>
      <c r="K246" s="6" t="str">
        <f>IFERROR(INDEX('Base Exámenes'!$H$5:$H$1000, MATCH(A246, 'Base Exámenes'!$C$5:$C$1000, 0)), "anonymous")</f>
        <v>anonymous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 (Agencias)</v>
      </c>
      <c r="E247" s="6" t="str">
        <f>'Base Oficial'!D247</f>
        <v>SERVICIOS VARIOS</v>
      </c>
      <c r="F247" s="4" t="str">
        <f>IF(COUNTIFS('Base Exámenes'!$C$5:$C$1000, A247, 'Base Exámenes'!$E$5:$E$1000, "&lt;&gt;")&gt;0, "Completado", "Pendiente")</f>
        <v>Pendiente</v>
      </c>
      <c r="G247" s="25" t="str">
        <f>IFERROR(INDEX('Base Exámenes'!$D$5:$D$1000, MATCH(A247, 'Base Exámenes'!$C$5:$C$1000, 0)), "")</f>
        <v/>
      </c>
      <c r="H247" s="25" t="str">
        <f>IFERROR(INDEX('Base Exámenes'!$E$5:$E$1000, MATCH(A247, 'Base Exámenes'!$C$5:$C$1000, 0)), "")</f>
        <v/>
      </c>
      <c r="I247" s="26" t="str">
        <f>IFERROR(INDEX('Base Exámenes'!$F$5:$F$1000, MATCH(A247, 'Base Exámenes'!$C$5:$C$1000, 0)), "")</f>
        <v/>
      </c>
      <c r="J247" s="6" t="str">
        <f>IFERROR(INDEX('Base Exámenes'!$G$5:$G$1000, MATCH(A247, 'Base Exámenes'!$C$5:$C$1000, 0)), "")</f>
        <v/>
      </c>
      <c r="K247" s="6" t="str">
        <f>IFERROR(INDEX('Base Exámenes'!$H$5:$H$1000, MATCH(A247, 'Base Exámenes'!$C$5:$C$1000, 0)), "anonymous")</f>
        <v>anonymous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 (Agencias)</v>
      </c>
      <c r="E248" s="6" t="str">
        <f>'Base Oficial'!D248</f>
        <v>CAJERO</v>
      </c>
      <c r="F248" s="4" t="str">
        <f>IF(COUNTIFS('Base Exámenes'!$C$5:$C$1000, A248, 'Base Exámenes'!$E$5:$E$1000, "&lt;&gt;")&gt;0, "Completado", "Pendiente")</f>
        <v>Completado</v>
      </c>
      <c r="G248" s="25">
        <f>IFERROR(INDEX('Base Exámenes'!$D$5:$D$1000, MATCH(A248, 'Base Exámenes'!$C$5:$C$1000, 0)), "")</f>
        <v>46296.54665509259</v>
      </c>
      <c r="H248" s="25">
        <f>IFERROR(INDEX('Base Exámenes'!$E$5:$E$1000, MATCH(A248, 'Base Exámenes'!$C$5:$C$1000, 0)), "")</f>
        <v>46296.55247685185</v>
      </c>
      <c r="I248" s="26">
        <f>IFERROR(INDEX('Base Exámenes'!$F$5:$F$1000, MATCH(A248, 'Base Exámenes'!$C$5:$C$1000, 0)), "")</f>
        <v>8.38333333333333</v>
      </c>
      <c r="J248" s="6">
        <f>IFERROR(INDEX('Base Exámenes'!$G$5:$G$1000, MATCH(A248, 'Base Exámenes'!$C$5:$C$1000, 0)), "")</f>
        <v>70</v>
      </c>
      <c r="K248" s="6" t="str">
        <f>IFERROR(INDEX('Base Exámenes'!$H$5:$H$1000, MATCH(A248, 'Base Exámenes'!$C$5:$C$1000, 0)), "anonymous")</f>
        <v>anonymous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 (Agencias)</v>
      </c>
      <c r="E249" s="6" t="str">
        <f>'Base Oficial'!D249</f>
        <v>SUBJEFE DE  AGENCIA</v>
      </c>
      <c r="F249" s="4" t="str">
        <f>IF(COUNTIFS('Base Exámenes'!$C$5:$C$1000, A249, 'Base Exámenes'!$E$5:$E$1000, "&lt;&gt;")&gt;0, "Completado", "Pendiente")</f>
        <v>Completado</v>
      </c>
      <c r="G249" s="25">
        <f>IFERROR(INDEX('Base Exámenes'!$D$5:$D$1000, MATCH(A249, 'Base Exámenes'!$C$5:$C$1000, 0)), "")</f>
        <v>46302.55385416667</v>
      </c>
      <c r="H249" s="25">
        <f>IFERROR(INDEX('Base Exámenes'!$E$5:$E$1000, MATCH(A249, 'Base Exámenes'!$C$5:$C$1000, 0)), "")</f>
        <v>46302.561886574076</v>
      </c>
      <c r="I249" s="26">
        <f>IFERROR(INDEX('Base Exámenes'!$F$5:$F$1000, MATCH(A249, 'Base Exámenes'!$C$5:$C$1000, 0)), "")</f>
        <v>11.5666666666667</v>
      </c>
      <c r="J249" s="6">
        <f>IFERROR(INDEX('Base Exámenes'!$G$5:$G$1000, MATCH(A249, 'Base Exámenes'!$C$5:$C$1000, 0)), "")</f>
        <v>100</v>
      </c>
      <c r="K249" s="6" t="str">
        <f>IFERROR(INDEX('Base Exámenes'!$H$5:$H$1000, MATCH(A249, 'Base Exámenes'!$C$5:$C$1000, 0)), "anonymous")</f>
        <v>anonymous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 (Agencias)</v>
      </c>
      <c r="E250" s="6" t="str">
        <f>'Base Oficial'!D250</f>
        <v>CAJERO</v>
      </c>
      <c r="F250" s="4" t="str">
        <f>IF(COUNTIFS('Base Exámenes'!$C$5:$C$1000, A250, 'Base Exámenes'!$E$5:$E$1000, "&lt;&gt;")&gt;0, "Completado", "Pendiente")</f>
        <v>Completado</v>
      </c>
      <c r="G250" s="25">
        <f>IFERROR(INDEX('Base Exámenes'!$D$5:$D$1000, MATCH(A250, 'Base Exámenes'!$C$5:$C$1000, 0)), "")</f>
        <v>46302.5837962963</v>
      </c>
      <c r="H250" s="25">
        <f>IFERROR(INDEX('Base Exámenes'!$E$5:$E$1000, MATCH(A250, 'Base Exámenes'!$C$5:$C$1000, 0)), "")</f>
        <v>46302.58609953704</v>
      </c>
      <c r="I250" s="26">
        <f>IFERROR(INDEX('Base Exámenes'!$F$5:$F$1000, MATCH(A250, 'Base Exámenes'!$C$5:$C$1000, 0)), "")</f>
        <v>3.31666666666667</v>
      </c>
      <c r="J250" s="6">
        <f>IFERROR(INDEX('Base Exámenes'!$G$5:$G$1000, MATCH(A250, 'Base Exámenes'!$C$5:$C$1000, 0)), "")</f>
        <v>100</v>
      </c>
      <c r="K250" s="6" t="str">
        <f>IFERROR(INDEX('Base Exámenes'!$H$5:$H$1000, MATCH(A250, 'Base Exámenes'!$C$5:$C$1000, 0)), "anonymous")</f>
        <v>anonymous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 (Agencias)</v>
      </c>
      <c r="E251" s="6" t="str">
        <f>'Base Oficial'!D251</f>
        <v>EJECUTIVA DE SEGUROS</v>
      </c>
      <c r="F251" s="4" t="str">
        <f>IF(COUNTIFS('Base Exámenes'!$C$5:$C$1000, A251, 'Base Exámenes'!$E$5:$E$1000, "&lt;&gt;")&gt;0, "Completado", "Pendiente")</f>
        <v>Completado</v>
      </c>
      <c r="G251" s="25">
        <f>IFERROR(INDEX('Base Exámenes'!$D$5:$D$1000, MATCH(A251, 'Base Exámenes'!$C$5:$C$1000, 0)), "")</f>
        <v>46303.38890046296</v>
      </c>
      <c r="H251" s="25">
        <f>IFERROR(INDEX('Base Exámenes'!$E$5:$E$1000, MATCH(A251, 'Base Exámenes'!$C$5:$C$1000, 0)), "")</f>
        <v>46303.39013888889</v>
      </c>
      <c r="I251" s="26">
        <f>IFERROR(INDEX('Base Exámenes'!$F$5:$F$1000, MATCH(A251, 'Base Exámenes'!$C$5:$C$1000, 0)), "")</f>
        <v>1.78333333333333</v>
      </c>
      <c r="J251" s="6">
        <f>IFERROR(INDEX('Base Exámenes'!$G$5:$G$1000, MATCH(A251, 'Base Exámenes'!$C$5:$C$1000, 0)), "")</f>
        <v>100</v>
      </c>
      <c r="K251" s="6" t="str">
        <f>IFERROR(INDEX('Base Exámenes'!$H$5:$H$1000, MATCH(A251, 'Base Exámenes'!$C$5:$C$1000, 0)), "anonymous")</f>
        <v>anonymous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 (Agencias)</v>
      </c>
      <c r="E252" s="6" t="str">
        <f>'Base Oficial'!D252</f>
        <v>CAJERO</v>
      </c>
      <c r="F252" s="4" t="str">
        <f>IF(COUNTIFS('Base Exámenes'!$C$5:$C$1000, A252, 'Base Exámenes'!$E$5:$E$1000, "&lt;&gt;")&gt;0, "Completado", "Pendiente")</f>
        <v>Completado</v>
      </c>
      <c r="G252" s="25">
        <f>IFERROR(INDEX('Base Exámenes'!$D$5:$D$1000, MATCH(A252, 'Base Exámenes'!$C$5:$C$1000, 0)), "")</f>
        <v>46302.70101851852</v>
      </c>
      <c r="H252" s="25">
        <f>IFERROR(INDEX('Base Exámenes'!$E$5:$E$1000, MATCH(A252, 'Base Exámenes'!$C$5:$C$1000, 0)), "")</f>
        <v>46302.70457175926</v>
      </c>
      <c r="I252" s="26">
        <f>IFERROR(INDEX('Base Exámenes'!$F$5:$F$1000, MATCH(A252, 'Base Exámenes'!$C$5:$C$1000, 0)), "")</f>
        <v>5.11666666666667</v>
      </c>
      <c r="J252" s="6">
        <f>IFERROR(INDEX('Base Exámenes'!$G$5:$G$1000, MATCH(A252, 'Base Exámenes'!$C$5:$C$1000, 0)), "")</f>
        <v>100</v>
      </c>
      <c r="K252" s="6" t="str">
        <f>IFERROR(INDEX('Base Exámenes'!$H$5:$H$1000, MATCH(A252, 'Base Exámenes'!$C$5:$C$1000, 0)), "anonymous")</f>
        <v>anonymous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 (Agencias)</v>
      </c>
      <c r="E253" s="6" t="str">
        <f>'Base Oficial'!D253</f>
        <v>CAJERO</v>
      </c>
      <c r="F253" s="4" t="str">
        <f>IF(COUNTIFS('Base Exámenes'!$C$5:$C$1000, A253, 'Base Exámenes'!$E$5:$E$1000, "&lt;&gt;")&gt;0, "Completado", "Pendiente")</f>
        <v>Completado</v>
      </c>
      <c r="G253" s="25">
        <f>IFERROR(INDEX('Base Exámenes'!$D$5:$D$1000, MATCH(A253, 'Base Exámenes'!$C$5:$C$1000, 0)), "")</f>
        <v>46302.57461805556</v>
      </c>
      <c r="H253" s="25">
        <f>IFERROR(INDEX('Base Exámenes'!$E$5:$E$1000, MATCH(A253, 'Base Exámenes'!$C$5:$C$1000, 0)), "")</f>
        <v>46302.57753472222</v>
      </c>
      <c r="I253" s="26">
        <f>IFERROR(INDEX('Base Exámenes'!$F$5:$F$1000, MATCH(A253, 'Base Exámenes'!$C$5:$C$1000, 0)), "")</f>
        <v>4.2</v>
      </c>
      <c r="J253" s="6">
        <f>IFERROR(INDEX('Base Exámenes'!$G$5:$G$1000, MATCH(A253, 'Base Exámenes'!$C$5:$C$1000, 0)), "")</f>
        <v>100</v>
      </c>
      <c r="K253" s="6" t="str">
        <f>IFERROR(INDEX('Base Exámenes'!$H$5:$H$1000, MATCH(A253, 'Base Exámenes'!$C$5:$C$1000, 0)), "anonymous")</f>
        <v>anonymous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 (Agencias)</v>
      </c>
      <c r="E254" s="6" t="str">
        <f>'Base Oficial'!D254</f>
        <v>CAJERO</v>
      </c>
      <c r="F254" s="4" t="str">
        <f>IF(COUNTIFS('Base Exámenes'!$C$5:$C$1000, A254, 'Base Exámenes'!$E$5:$E$1000, "&lt;&gt;")&gt;0, "Completado", "Pendiente")</f>
        <v>Completado</v>
      </c>
      <c r="G254" s="25">
        <f>IFERROR(INDEX('Base Exámenes'!$D$5:$D$1000, MATCH(A254, 'Base Exámenes'!$C$5:$C$1000, 0)), "")</f>
        <v>46302.63322916667</v>
      </c>
      <c r="H254" s="25">
        <f>IFERROR(INDEX('Base Exámenes'!$E$5:$E$1000, MATCH(A254, 'Base Exámenes'!$C$5:$C$1000, 0)), "")</f>
        <v>46302.637037037035</v>
      </c>
      <c r="I254" s="26">
        <f>IFERROR(INDEX('Base Exámenes'!$F$5:$F$1000, MATCH(A254, 'Base Exámenes'!$C$5:$C$1000, 0)), "")</f>
        <v>5.48333333333333</v>
      </c>
      <c r="J254" s="6">
        <f>IFERROR(INDEX('Base Exámenes'!$G$5:$G$1000, MATCH(A254, 'Base Exámenes'!$C$5:$C$1000, 0)), "")</f>
        <v>100</v>
      </c>
      <c r="K254" s="6" t="str">
        <f>IFERROR(INDEX('Base Exámenes'!$H$5:$H$1000, MATCH(A254, 'Base Exámenes'!$C$5:$C$1000, 0)), "anonymous")</f>
        <v>anonymous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 (Agencias)</v>
      </c>
      <c r="E255" s="6" t="str">
        <f>'Base Oficial'!D255</f>
        <v>AUXILIAR DE ATENCION A  ASOCIADOS</v>
      </c>
      <c r="F255" s="4" t="str">
        <f>IF(COUNTIFS('Base Exámenes'!$C$5:$C$1000, A255, 'Base Exámenes'!$E$5:$E$1000, "&lt;&gt;")&gt;0, "Completado", "Pendiente")</f>
        <v>Completado</v>
      </c>
      <c r="G255" s="25">
        <f>IFERROR(INDEX('Base Exámenes'!$D$5:$D$1000, MATCH(A255, 'Base Exámenes'!$C$5:$C$1000, 0)), "")</f>
        <v>46296.64094907408</v>
      </c>
      <c r="H255" s="25">
        <f>IFERROR(INDEX('Base Exámenes'!$E$5:$E$1000, MATCH(A255, 'Base Exámenes'!$C$5:$C$1000, 0)), "")</f>
        <v>46296.67511574074</v>
      </c>
      <c r="I255" s="26">
        <f>IFERROR(INDEX('Base Exámenes'!$F$5:$F$1000, MATCH(A255, 'Base Exámenes'!$C$5:$C$1000, 0)), "")</f>
        <v>49.2</v>
      </c>
      <c r="J255" s="6">
        <f>IFERROR(INDEX('Base Exámenes'!$G$5:$G$1000, MATCH(A255, 'Base Exámenes'!$C$5:$C$1000, 0)), "")</f>
        <v>75</v>
      </c>
      <c r="K255" s="6" t="str">
        <f>IFERROR(INDEX('Base Exámenes'!$H$5:$H$1000, MATCH(A255, 'Base Exámenes'!$C$5:$C$1000, 0)), "anonymous")</f>
        <v>anonymous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 (Agencias)</v>
      </c>
      <c r="E256" s="6" t="str">
        <f>'Base Oficial'!D256</f>
        <v>CAJERO</v>
      </c>
      <c r="F256" s="4" t="str">
        <f>IF(COUNTIFS('Base Exámenes'!$C$5:$C$1000, A256, 'Base Exámenes'!$E$5:$E$1000, "&lt;&gt;")&gt;0, "Completado", "Pendiente")</f>
        <v>Completado</v>
      </c>
      <c r="G256" s="25">
        <f>IFERROR(INDEX('Base Exámenes'!$D$5:$D$1000, MATCH(A256, 'Base Exámenes'!$C$5:$C$1000, 0)), "")</f>
        <v>46302.58623842592</v>
      </c>
      <c r="H256" s="25">
        <f>IFERROR(INDEX('Base Exámenes'!$E$5:$E$1000, MATCH(A256, 'Base Exámenes'!$C$5:$C$1000, 0)), "")</f>
        <v>46302.58998842593</v>
      </c>
      <c r="I256" s="26">
        <f>IFERROR(INDEX('Base Exámenes'!$F$5:$F$1000, MATCH(A256, 'Base Exámenes'!$C$5:$C$1000, 0)), "")</f>
        <v>5.4</v>
      </c>
      <c r="J256" s="6">
        <f>IFERROR(INDEX('Base Exámenes'!$G$5:$G$1000, MATCH(A256, 'Base Exámenes'!$C$5:$C$1000, 0)), "")</f>
        <v>100</v>
      </c>
      <c r="K256" s="6" t="str">
        <f>IFERROR(INDEX('Base Exámenes'!$H$5:$H$1000, MATCH(A256, 'Base Exámenes'!$C$5:$C$1000, 0)), "anonymous")</f>
        <v>anonymous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 (Agencias)</v>
      </c>
      <c r="E257" s="6" t="str">
        <f>'Base Oficial'!D257</f>
        <v>CAJERO</v>
      </c>
      <c r="F257" s="4" t="str">
        <f>IF(COUNTIFS('Base Exámenes'!$C$5:$C$1000, A257, 'Base Exámenes'!$E$5:$E$1000, "&lt;&gt;")&gt;0, "Completado", "Pendiente")</f>
        <v>Pendiente</v>
      </c>
      <c r="G257" s="25" t="str">
        <f>IFERROR(INDEX('Base Exámenes'!$D$5:$D$1000, MATCH(A257, 'Base Exámenes'!$C$5:$C$1000, 0)), "")</f>
        <v/>
      </c>
      <c r="H257" s="25" t="str">
        <f>IFERROR(INDEX('Base Exámenes'!$E$5:$E$1000, MATCH(A257, 'Base Exámenes'!$C$5:$C$1000, 0)), "")</f>
        <v/>
      </c>
      <c r="I257" s="26" t="str">
        <f>IFERROR(INDEX('Base Exámenes'!$F$5:$F$1000, MATCH(A257, 'Base Exámenes'!$C$5:$C$1000, 0)), "")</f>
        <v/>
      </c>
      <c r="J257" s="6" t="str">
        <f>IFERROR(INDEX('Base Exámenes'!$G$5:$G$1000, MATCH(A257, 'Base Exámenes'!$C$5:$C$1000, 0)), "")</f>
        <v/>
      </c>
      <c r="K257" s="6" t="str">
        <f>IFERROR(INDEX('Base Exámenes'!$H$5:$H$1000, MATCH(A257, 'Base Exámenes'!$C$5:$C$1000, 0)), "anonymous")</f>
        <v>anonymous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 (Agencias)</v>
      </c>
      <c r="E258" s="6" t="str">
        <f>'Base Oficial'!D258</f>
        <v>AUXILIAR DE OPERACIONES Y ATENCION EN  AGENCIA</v>
      </c>
      <c r="F258" s="4" t="str">
        <f>IF(COUNTIFS('Base Exámenes'!$C$5:$C$1000, A258, 'Base Exámenes'!$E$5:$E$1000, "&lt;&gt;")&gt;0, "Completado", "Pendiente")</f>
        <v>Completado</v>
      </c>
      <c r="G258" s="25">
        <f>IFERROR(INDEX('Base Exámenes'!$D$5:$D$1000, MATCH(A258, 'Base Exámenes'!$C$5:$C$1000, 0)), "")</f>
        <v>46302.64388888889</v>
      </c>
      <c r="H258" s="25">
        <f>IFERROR(INDEX('Base Exámenes'!$E$5:$E$1000, MATCH(A258, 'Base Exámenes'!$C$5:$C$1000, 0)), "")</f>
        <v>46302.64712962963</v>
      </c>
      <c r="I258" s="26">
        <f>IFERROR(INDEX('Base Exámenes'!$F$5:$F$1000, MATCH(A258, 'Base Exámenes'!$C$5:$C$1000, 0)), "")</f>
        <v>4.66666666666667</v>
      </c>
      <c r="J258" s="6">
        <f>IFERROR(INDEX('Base Exámenes'!$G$5:$G$1000, MATCH(A258, 'Base Exámenes'!$C$5:$C$1000, 0)), "")</f>
        <v>100</v>
      </c>
      <c r="K258" s="6" t="str">
        <f>IFERROR(INDEX('Base Exámenes'!$H$5:$H$1000, MATCH(A258, 'Base Exámenes'!$C$5:$C$1000, 0)), "anonymous")</f>
        <v>anonymous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 (Agencias)</v>
      </c>
      <c r="E259" s="6" t="str">
        <f>'Base Oficial'!D259</f>
        <v>JEFE DE AGENCIA  </v>
      </c>
      <c r="F259" s="4" t="str">
        <f>IF(COUNTIFS('Base Exámenes'!$C$5:$C$1000, A259, 'Base Exámenes'!$E$5:$E$1000, "&lt;&gt;")&gt;0, "Completado", "Pendiente")</f>
        <v>Pendiente</v>
      </c>
      <c r="G259" s="25" t="str">
        <f>IFERROR(INDEX('Base Exámenes'!$D$5:$D$1000, MATCH(A259, 'Base Exámenes'!$C$5:$C$1000, 0)), "")</f>
        <v/>
      </c>
      <c r="H259" s="25" t="str">
        <f>IFERROR(INDEX('Base Exámenes'!$E$5:$E$1000, MATCH(A259, 'Base Exámenes'!$C$5:$C$1000, 0)), "")</f>
        <v/>
      </c>
      <c r="I259" s="26" t="str">
        <f>IFERROR(INDEX('Base Exámenes'!$F$5:$F$1000, MATCH(A259, 'Base Exámenes'!$C$5:$C$1000, 0)), "")</f>
        <v/>
      </c>
      <c r="J259" s="6" t="str">
        <f>IFERROR(INDEX('Base Exámenes'!$G$5:$G$1000, MATCH(A259, 'Base Exámenes'!$C$5:$C$1000, 0)), "")</f>
        <v/>
      </c>
      <c r="K259" s="6" t="str">
        <f>IFERROR(INDEX('Base Exámenes'!$H$5:$H$1000, MATCH(A259, 'Base Exámenes'!$C$5:$C$1000, 0)), "anonymous")</f>
        <v>anonymous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 (Agencias)</v>
      </c>
      <c r="E260" s="6" t="str">
        <f>'Base Oficial'!D260</f>
        <v>EJECUTIVO DE NEGOCIOS</v>
      </c>
      <c r="F260" s="4" t="str">
        <f>IF(COUNTIFS('Base Exámenes'!$C$5:$C$1000, A260, 'Base Exámenes'!$E$5:$E$1000, "&lt;&gt;")&gt;0, "Completado", "Pendiente")</f>
        <v>Completado</v>
      </c>
      <c r="G260" s="25">
        <f>IFERROR(INDEX('Base Exámenes'!$D$5:$D$1000, MATCH(A260, 'Base Exámenes'!$C$5:$C$1000, 0)), "")</f>
        <v>46297.711550925924</v>
      </c>
      <c r="H260" s="25">
        <f>IFERROR(INDEX('Base Exámenes'!$E$5:$E$1000, MATCH(A260, 'Base Exámenes'!$C$5:$C$1000, 0)), "")</f>
        <v>46297.714895833335</v>
      </c>
      <c r="I260" s="26">
        <f>IFERROR(INDEX('Base Exámenes'!$F$5:$F$1000, MATCH(A260, 'Base Exámenes'!$C$5:$C$1000, 0)), "")</f>
        <v>4.81666666666667</v>
      </c>
      <c r="J260" s="6">
        <f>IFERROR(INDEX('Base Exámenes'!$G$5:$G$1000, MATCH(A260, 'Base Exámenes'!$C$5:$C$1000, 0)), "")</f>
        <v>95</v>
      </c>
      <c r="K260" s="6" t="str">
        <f>IFERROR(INDEX('Base Exámenes'!$H$5:$H$1000, MATCH(A260, 'Base Exámenes'!$C$5:$C$1000, 0)), "anonymous")</f>
        <v>anonymous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 (Agencias)</v>
      </c>
      <c r="E261" s="6" t="str">
        <f>'Base Oficial'!D261</f>
        <v>EJECUTIVA DE SEGUROS</v>
      </c>
      <c r="F261" s="4" t="str">
        <f>IF(COUNTIFS('Base Exámenes'!$C$5:$C$1000, A261, 'Base Exámenes'!$E$5:$E$1000, "&lt;&gt;")&gt;0, "Completado", "Pendiente")</f>
        <v>Completado</v>
      </c>
      <c r="G261" s="25">
        <f>IFERROR(INDEX('Base Exámenes'!$D$5:$D$1000, MATCH(A261, 'Base Exámenes'!$C$5:$C$1000, 0)), "")</f>
        <v>46302.48877314815</v>
      </c>
      <c r="H261" s="25">
        <f>IFERROR(INDEX('Base Exámenes'!$E$5:$E$1000, MATCH(A261, 'Base Exámenes'!$C$5:$C$1000, 0)), "")</f>
        <v>46302.63581018519</v>
      </c>
      <c r="I261" s="26">
        <f>IFERROR(INDEX('Base Exámenes'!$F$5:$F$1000, MATCH(A261, 'Base Exámenes'!$C$5:$C$1000, 0)), "")</f>
        <v>211.733333333333</v>
      </c>
      <c r="J261" s="6">
        <f>IFERROR(INDEX('Base Exámenes'!$G$5:$G$1000, MATCH(A261, 'Base Exámenes'!$C$5:$C$1000, 0)), "")</f>
        <v>100</v>
      </c>
      <c r="K261" s="6" t="str">
        <f>IFERROR(INDEX('Base Exámenes'!$H$5:$H$1000, MATCH(A261, 'Base Exámenes'!$C$5:$C$1000, 0)), "anonymous")</f>
        <v>anonymous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 (Agencias)</v>
      </c>
      <c r="E262" s="6" t="str">
        <f>'Base Oficial'!D262</f>
        <v>EJECUTIVO DE NEGOCIOS</v>
      </c>
      <c r="F262" s="4" t="str">
        <f>IF(COUNTIFS('Base Exámenes'!$C$5:$C$1000, A262, 'Base Exámenes'!$E$5:$E$1000, "&lt;&gt;")&gt;0, "Completado", "Pendiente")</f>
        <v>Pendiente</v>
      </c>
      <c r="G262" s="25" t="str">
        <f>IFERROR(INDEX('Base Exámenes'!$D$5:$D$1000, MATCH(A262, 'Base Exámenes'!$C$5:$C$1000, 0)), "")</f>
        <v/>
      </c>
      <c r="H262" s="25" t="str">
        <f>IFERROR(INDEX('Base Exámenes'!$E$5:$E$1000, MATCH(A262, 'Base Exámenes'!$C$5:$C$1000, 0)), "")</f>
        <v/>
      </c>
      <c r="I262" s="26" t="str">
        <f>IFERROR(INDEX('Base Exámenes'!$F$5:$F$1000, MATCH(A262, 'Base Exámenes'!$C$5:$C$1000, 0)), "")</f>
        <v/>
      </c>
      <c r="J262" s="6" t="str">
        <f>IFERROR(INDEX('Base Exámenes'!$G$5:$G$1000, MATCH(A262, 'Base Exámenes'!$C$5:$C$1000, 0)), "")</f>
        <v/>
      </c>
      <c r="K262" s="6" t="str">
        <f>IFERROR(INDEX('Base Exámenes'!$H$5:$H$1000, MATCH(A262, 'Base Exámenes'!$C$5:$C$1000, 0)), "anonymous")</f>
        <v>anonymous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 (Agencias)</v>
      </c>
      <c r="E263" s="6" t="str">
        <f>'Base Oficial'!D263</f>
        <v>CAJERO</v>
      </c>
      <c r="F263" s="4" t="str">
        <f>IF(COUNTIFS('Base Exámenes'!$C$5:$C$1000, A263, 'Base Exámenes'!$E$5:$E$1000, "&lt;&gt;")&gt;0, "Completado", "Pendiente")</f>
        <v>Pendiente</v>
      </c>
      <c r="G263" s="25" t="str">
        <f>IFERROR(INDEX('Base Exámenes'!$D$5:$D$1000, MATCH(A263, 'Base Exámenes'!$C$5:$C$1000, 0)), "")</f>
        <v/>
      </c>
      <c r="H263" s="25" t="str">
        <f>IFERROR(INDEX('Base Exámenes'!$E$5:$E$1000, MATCH(A263, 'Base Exámenes'!$C$5:$C$1000, 0)), "")</f>
        <v/>
      </c>
      <c r="I263" s="26" t="str">
        <f>IFERROR(INDEX('Base Exámenes'!$F$5:$F$1000, MATCH(A263, 'Base Exámenes'!$C$5:$C$1000, 0)), "")</f>
        <v/>
      </c>
      <c r="J263" s="6" t="str">
        <f>IFERROR(INDEX('Base Exámenes'!$G$5:$G$1000, MATCH(A263, 'Base Exámenes'!$C$5:$C$1000, 0)), "")</f>
        <v/>
      </c>
      <c r="K263" s="6" t="str">
        <f>IFERROR(INDEX('Base Exámenes'!$H$5:$H$1000, MATCH(A263, 'Base Exámenes'!$C$5:$C$1000, 0)), "anonymous")</f>
        <v>anonymous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 (Agencias)</v>
      </c>
      <c r="E264" s="6" t="str">
        <f>'Base Oficial'!D264</f>
        <v>CAJERO</v>
      </c>
      <c r="F264" s="4" t="str">
        <f>IF(COUNTIFS('Base Exámenes'!$C$5:$C$1000, A264, 'Base Exámenes'!$E$5:$E$1000, "&lt;&gt;")&gt;0, "Completado", "Pendiente")</f>
        <v>Pendiente</v>
      </c>
      <c r="G264" s="25" t="str">
        <f>IFERROR(INDEX('Base Exámenes'!$D$5:$D$1000, MATCH(A264, 'Base Exámenes'!$C$5:$C$1000, 0)), "")</f>
        <v/>
      </c>
      <c r="H264" s="25" t="str">
        <f>IFERROR(INDEX('Base Exámenes'!$E$5:$E$1000, MATCH(A264, 'Base Exámenes'!$C$5:$C$1000, 0)), "")</f>
        <v/>
      </c>
      <c r="I264" s="26" t="str">
        <f>IFERROR(INDEX('Base Exámenes'!$F$5:$F$1000, MATCH(A264, 'Base Exámenes'!$C$5:$C$1000, 0)), "")</f>
        <v/>
      </c>
      <c r="J264" s="6" t="str">
        <f>IFERROR(INDEX('Base Exámenes'!$G$5:$G$1000, MATCH(A264, 'Base Exámenes'!$C$5:$C$1000, 0)), "")</f>
        <v/>
      </c>
      <c r="K264" s="6" t="str">
        <f>IFERROR(INDEX('Base Exámenes'!$H$5:$H$1000, MATCH(A264, 'Base Exámenes'!$C$5:$C$1000, 0)), "anonymous")</f>
        <v>anonymous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 (Agencias)</v>
      </c>
      <c r="E265" s="6" t="str">
        <f>'Base Oficial'!D265</f>
        <v>SUBJEFE DE  AGENCIA</v>
      </c>
      <c r="F265" s="4" t="str">
        <f>IF(COUNTIFS('Base Exámenes'!$C$5:$C$1000, A265, 'Base Exámenes'!$E$5:$E$1000, "&lt;&gt;")&gt;0, "Completado", "Pendiente")</f>
        <v>Completado</v>
      </c>
      <c r="G265" s="25">
        <f>IFERROR(INDEX('Base Exámenes'!$D$5:$D$1000, MATCH(A265, 'Base Exámenes'!$C$5:$C$1000, 0)), "")</f>
        <v>46300.67056712963</v>
      </c>
      <c r="H265" s="25">
        <f>IFERROR(INDEX('Base Exámenes'!$E$5:$E$1000, MATCH(A265, 'Base Exámenes'!$C$5:$C$1000, 0)), "")</f>
        <v>46300.68400462963</v>
      </c>
      <c r="I265" s="26">
        <f>IFERROR(INDEX('Base Exámenes'!$F$5:$F$1000, MATCH(A265, 'Base Exámenes'!$C$5:$C$1000, 0)), "")</f>
        <v>19.35</v>
      </c>
      <c r="J265" s="6">
        <f>IFERROR(INDEX('Base Exámenes'!$G$5:$G$1000, MATCH(A265, 'Base Exámenes'!$C$5:$C$1000, 0)), "")</f>
        <v>100</v>
      </c>
      <c r="K265" s="6" t="str">
        <f>IFERROR(INDEX('Base Exámenes'!$H$5:$H$1000, MATCH(A265, 'Base Exámenes'!$C$5:$C$1000, 0)), "anonymous")</f>
        <v>anonymous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 (Agencias)</v>
      </c>
      <c r="E266" s="6" t="str">
        <f>'Base Oficial'!D266</f>
        <v>CAJERO</v>
      </c>
      <c r="F266" s="4" t="str">
        <f>IF(COUNTIFS('Base Exámenes'!$C$5:$C$1000, A266, 'Base Exámenes'!$E$5:$E$1000, "&lt;&gt;")&gt;0, "Completado", "Pendiente")</f>
        <v>Pendiente</v>
      </c>
      <c r="G266" s="25" t="str">
        <f>IFERROR(INDEX('Base Exámenes'!$D$5:$D$1000, MATCH(A266, 'Base Exámenes'!$C$5:$C$1000, 0)), "")</f>
        <v/>
      </c>
      <c r="H266" s="25" t="str">
        <f>IFERROR(INDEX('Base Exámenes'!$E$5:$E$1000, MATCH(A266, 'Base Exámenes'!$C$5:$C$1000, 0)), "")</f>
        <v/>
      </c>
      <c r="I266" s="26" t="str">
        <f>IFERROR(INDEX('Base Exámenes'!$F$5:$F$1000, MATCH(A266, 'Base Exámenes'!$C$5:$C$1000, 0)), "")</f>
        <v/>
      </c>
      <c r="J266" s="6" t="str">
        <f>IFERROR(INDEX('Base Exámenes'!$G$5:$G$1000, MATCH(A266, 'Base Exámenes'!$C$5:$C$1000, 0)), "")</f>
        <v/>
      </c>
      <c r="K266" s="6" t="str">
        <f>IFERROR(INDEX('Base Exámenes'!$H$5:$H$1000, MATCH(A266, 'Base Exámenes'!$C$5:$C$1000, 0)), "anonymous")</f>
        <v>anonymous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 (Agencias)</v>
      </c>
      <c r="E267" s="6" t="str">
        <f>'Base Oficial'!D267</f>
        <v>CAJERO</v>
      </c>
      <c r="F267" s="4" t="str">
        <f>IF(COUNTIFS('Base Exámenes'!$C$5:$C$1000, A267, 'Base Exámenes'!$E$5:$E$1000, "&lt;&gt;")&gt;0, "Completado", "Pendiente")</f>
        <v>Completado</v>
      </c>
      <c r="G267" s="25">
        <f>IFERROR(INDEX('Base Exámenes'!$D$5:$D$1000, MATCH(A267, 'Base Exámenes'!$C$5:$C$1000, 0)), "")</f>
        <v>46300.686423611114</v>
      </c>
      <c r="H267" s="25">
        <f>IFERROR(INDEX('Base Exámenes'!$E$5:$E$1000, MATCH(A267, 'Base Exámenes'!$C$5:$C$1000, 0)), "")</f>
        <v>46300.688368055555</v>
      </c>
      <c r="I267" s="26">
        <f>IFERROR(INDEX('Base Exámenes'!$F$5:$F$1000, MATCH(A267, 'Base Exámenes'!$C$5:$C$1000, 0)), "")</f>
        <v>2.8</v>
      </c>
      <c r="J267" s="6">
        <f>IFERROR(INDEX('Base Exámenes'!$G$5:$G$1000, MATCH(A267, 'Base Exámenes'!$C$5:$C$1000, 0)), "")</f>
        <v>100</v>
      </c>
      <c r="K267" s="6" t="str">
        <f>IFERROR(INDEX('Base Exámenes'!$H$5:$H$1000, MATCH(A267, 'Base Exámenes'!$C$5:$C$1000, 0)), "anonymous")</f>
        <v>anonymous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 (Agencias)</v>
      </c>
      <c r="E268" s="6" t="str">
        <f>'Base Oficial'!D268</f>
        <v>CAJERO</v>
      </c>
      <c r="F268" s="4" t="str">
        <f>IF(COUNTIFS('Base Exámenes'!$C$5:$C$1000, A268, 'Base Exámenes'!$E$5:$E$1000, "&lt;&gt;")&gt;0, "Completado", "Pendiente")</f>
        <v>Pendiente</v>
      </c>
      <c r="G268" s="25" t="str">
        <f>IFERROR(INDEX('Base Exámenes'!$D$5:$D$1000, MATCH(A268, 'Base Exámenes'!$C$5:$C$1000, 0)), "")</f>
        <v/>
      </c>
      <c r="H268" s="25" t="str">
        <f>IFERROR(INDEX('Base Exámenes'!$E$5:$E$1000, MATCH(A268, 'Base Exámenes'!$C$5:$C$1000, 0)), "")</f>
        <v/>
      </c>
      <c r="I268" s="26" t="str">
        <f>IFERROR(INDEX('Base Exámenes'!$F$5:$F$1000, MATCH(A268, 'Base Exámenes'!$C$5:$C$1000, 0)), "")</f>
        <v/>
      </c>
      <c r="J268" s="6" t="str">
        <f>IFERROR(INDEX('Base Exámenes'!$G$5:$G$1000, MATCH(A268, 'Base Exámenes'!$C$5:$C$1000, 0)), "")</f>
        <v/>
      </c>
      <c r="K268" s="6" t="str">
        <f>IFERROR(INDEX('Base Exámenes'!$H$5:$H$1000, MATCH(A268, 'Base Exámenes'!$C$5:$C$1000, 0)), "anonymous")</f>
        <v>anonymous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 (Agencias)</v>
      </c>
      <c r="E269" s="6" t="str">
        <f>'Base Oficial'!D269</f>
        <v>CAJERO</v>
      </c>
      <c r="F269" s="4" t="str">
        <f>IF(COUNTIFS('Base Exámenes'!$C$5:$C$1000, A269, 'Base Exámenes'!$E$5:$E$1000, "&lt;&gt;")&gt;0, "Completado", "Pendiente")</f>
        <v>Pendiente</v>
      </c>
      <c r="G269" s="25" t="str">
        <f>IFERROR(INDEX('Base Exámenes'!$D$5:$D$1000, MATCH(A269, 'Base Exámenes'!$C$5:$C$1000, 0)), "")</f>
        <v/>
      </c>
      <c r="H269" s="25" t="str">
        <f>IFERROR(INDEX('Base Exámenes'!$E$5:$E$1000, MATCH(A269, 'Base Exámenes'!$C$5:$C$1000, 0)), "")</f>
        <v/>
      </c>
      <c r="I269" s="26" t="str">
        <f>IFERROR(INDEX('Base Exámenes'!$F$5:$F$1000, MATCH(A269, 'Base Exámenes'!$C$5:$C$1000, 0)), "")</f>
        <v/>
      </c>
      <c r="J269" s="6" t="str">
        <f>IFERROR(INDEX('Base Exámenes'!$G$5:$G$1000, MATCH(A269, 'Base Exámenes'!$C$5:$C$1000, 0)), "")</f>
        <v/>
      </c>
      <c r="K269" s="6" t="str">
        <f>IFERROR(INDEX('Base Exámenes'!$H$5:$H$1000, MATCH(A269, 'Base Exámenes'!$C$5:$C$1000, 0)), "anonymous")</f>
        <v>anonymous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 (Agencias)</v>
      </c>
      <c r="E270" s="6" t="str">
        <f>'Base Oficial'!D270</f>
        <v>AUXILIAR DE ATENCION AL ASOCIADO EN AGENCIA</v>
      </c>
      <c r="F270" s="4" t="str">
        <f>IF(COUNTIFS('Base Exámenes'!$C$5:$C$1000, A270, 'Base Exámenes'!$E$5:$E$1000, "&lt;&gt;")&gt;0, "Completado", "Pendiente")</f>
        <v>Pendiente</v>
      </c>
      <c r="G270" s="25" t="str">
        <f>IFERROR(INDEX('Base Exámenes'!$D$5:$D$1000, MATCH(A270, 'Base Exámenes'!$C$5:$C$1000, 0)), "")</f>
        <v/>
      </c>
      <c r="H270" s="25" t="str">
        <f>IFERROR(INDEX('Base Exámenes'!$E$5:$E$1000, MATCH(A270, 'Base Exámenes'!$C$5:$C$1000, 0)), "")</f>
        <v/>
      </c>
      <c r="I270" s="26" t="str">
        <f>IFERROR(INDEX('Base Exámenes'!$F$5:$F$1000, MATCH(A270, 'Base Exámenes'!$C$5:$C$1000, 0)), "")</f>
        <v/>
      </c>
      <c r="J270" s="6" t="str">
        <f>IFERROR(INDEX('Base Exámenes'!$G$5:$G$1000, MATCH(A270, 'Base Exámenes'!$C$5:$C$1000, 0)), "")</f>
        <v/>
      </c>
      <c r="K270" s="6" t="str">
        <f>IFERROR(INDEX('Base Exámenes'!$H$5:$H$1000, MATCH(A270, 'Base Exámenes'!$C$5:$C$1000, 0)), "anonymous")</f>
        <v>anonymous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 (Agencias)</v>
      </c>
      <c r="E271" s="6" t="str">
        <f>'Base Oficial'!D271</f>
        <v>SERVICIOS VARIOS</v>
      </c>
      <c r="F271" s="4" t="str">
        <f>IF(COUNTIFS('Base Exámenes'!$C$5:$C$1000, A271, 'Base Exámenes'!$E$5:$E$1000, "&lt;&gt;")&gt;0, "Completado", "Pendiente")</f>
        <v>Pendiente</v>
      </c>
      <c r="G271" s="25" t="str">
        <f>IFERROR(INDEX('Base Exámenes'!$D$5:$D$1000, MATCH(A271, 'Base Exámenes'!$C$5:$C$1000, 0)), "")</f>
        <v/>
      </c>
      <c r="H271" s="25" t="str">
        <f>IFERROR(INDEX('Base Exámenes'!$E$5:$E$1000, MATCH(A271, 'Base Exámenes'!$C$5:$C$1000, 0)), "")</f>
        <v/>
      </c>
      <c r="I271" s="26" t="str">
        <f>IFERROR(INDEX('Base Exámenes'!$F$5:$F$1000, MATCH(A271, 'Base Exámenes'!$C$5:$C$1000, 0)), "")</f>
        <v/>
      </c>
      <c r="J271" s="6" t="str">
        <f>IFERROR(INDEX('Base Exámenes'!$G$5:$G$1000, MATCH(A271, 'Base Exámenes'!$C$5:$C$1000, 0)), "")</f>
        <v/>
      </c>
      <c r="K271" s="6" t="str">
        <f>IFERROR(INDEX('Base Exámenes'!$H$5:$H$1000, MATCH(A271, 'Base Exámenes'!$C$5:$C$1000, 0)), "anonymous")</f>
        <v>anonymous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 (Agencias)</v>
      </c>
      <c r="E272" s="6" t="str">
        <f>'Base Oficial'!D272</f>
        <v>EJECUTIVO DE NEGOCIOS</v>
      </c>
      <c r="F272" s="4" t="str">
        <f>IF(COUNTIFS('Base Exámenes'!$C$5:$C$1000, A272, 'Base Exámenes'!$E$5:$E$1000, "&lt;&gt;")&gt;0, "Completado", "Pendiente")</f>
        <v>Pendiente</v>
      </c>
      <c r="G272" s="25" t="str">
        <f>IFERROR(INDEX('Base Exámenes'!$D$5:$D$1000, MATCH(A272, 'Base Exámenes'!$C$5:$C$1000, 0)), "")</f>
        <v/>
      </c>
      <c r="H272" s="25" t="str">
        <f>IFERROR(INDEX('Base Exámenes'!$E$5:$E$1000, MATCH(A272, 'Base Exámenes'!$C$5:$C$1000, 0)), "")</f>
        <v/>
      </c>
      <c r="I272" s="26" t="str">
        <f>IFERROR(INDEX('Base Exámenes'!$F$5:$F$1000, MATCH(A272, 'Base Exámenes'!$C$5:$C$1000, 0)), "")</f>
        <v/>
      </c>
      <c r="J272" s="6" t="str">
        <f>IFERROR(INDEX('Base Exámenes'!$G$5:$G$1000, MATCH(A272, 'Base Exámenes'!$C$5:$C$1000, 0)), "")</f>
        <v/>
      </c>
      <c r="K272" s="6" t="str">
        <f>IFERROR(INDEX('Base Exámenes'!$H$5:$H$1000, MATCH(A272, 'Base Exámenes'!$C$5:$C$1000, 0)), "anonymous")</f>
        <v>anonymous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 (Agencias)</v>
      </c>
      <c r="E273" s="6" t="str">
        <f>'Base Oficial'!D273</f>
        <v>SERVICIOS VARIOS</v>
      </c>
      <c r="F273" s="4" t="str">
        <f>IF(COUNTIFS('Base Exámenes'!$C$5:$C$1000, A273, 'Base Exámenes'!$E$5:$E$1000, "&lt;&gt;")&gt;0, "Completado", "Pendiente")</f>
        <v>Pendiente</v>
      </c>
      <c r="G273" s="25" t="str">
        <f>IFERROR(INDEX('Base Exámenes'!$D$5:$D$1000, MATCH(A273, 'Base Exámenes'!$C$5:$C$1000, 0)), "")</f>
        <v/>
      </c>
      <c r="H273" s="25" t="str">
        <f>IFERROR(INDEX('Base Exámenes'!$E$5:$E$1000, MATCH(A273, 'Base Exámenes'!$C$5:$C$1000, 0)), "")</f>
        <v/>
      </c>
      <c r="I273" s="26" t="str">
        <f>IFERROR(INDEX('Base Exámenes'!$F$5:$F$1000, MATCH(A273, 'Base Exámenes'!$C$5:$C$1000, 0)), "")</f>
        <v/>
      </c>
      <c r="J273" s="6" t="str">
        <f>IFERROR(INDEX('Base Exámenes'!$G$5:$G$1000, MATCH(A273, 'Base Exámenes'!$C$5:$C$1000, 0)), "")</f>
        <v/>
      </c>
      <c r="K273" s="6" t="str">
        <f>IFERROR(INDEX('Base Exámenes'!$H$5:$H$1000, MATCH(A273, 'Base Exámenes'!$C$5:$C$1000, 0)), "anonymous")</f>
        <v>anonymous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 (Agencias)</v>
      </c>
      <c r="E274" s="6" t="str">
        <f>'Base Oficial'!D274</f>
        <v>SUBJEFE DE  AGENCIA</v>
      </c>
      <c r="F274" s="4" t="str">
        <f>IF(COUNTIFS('Base Exámenes'!$C$5:$C$1000, A274, 'Base Exámenes'!$E$5:$E$1000, "&lt;&gt;")&gt;0, "Completado", "Pendiente")</f>
        <v>Pendiente</v>
      </c>
      <c r="G274" s="25" t="str">
        <f>IFERROR(INDEX('Base Exámenes'!$D$5:$D$1000, MATCH(A274, 'Base Exámenes'!$C$5:$C$1000, 0)), "")</f>
        <v/>
      </c>
      <c r="H274" s="25" t="str">
        <f>IFERROR(INDEX('Base Exámenes'!$E$5:$E$1000, MATCH(A274, 'Base Exámenes'!$C$5:$C$1000, 0)), "")</f>
        <v/>
      </c>
      <c r="I274" s="26" t="str">
        <f>IFERROR(INDEX('Base Exámenes'!$F$5:$F$1000, MATCH(A274, 'Base Exámenes'!$C$5:$C$1000, 0)), "")</f>
        <v/>
      </c>
      <c r="J274" s="6" t="str">
        <f>IFERROR(INDEX('Base Exámenes'!$G$5:$G$1000, MATCH(A274, 'Base Exámenes'!$C$5:$C$1000, 0)), "")</f>
        <v/>
      </c>
      <c r="K274" s="6" t="str">
        <f>IFERROR(INDEX('Base Exámenes'!$H$5:$H$1000, MATCH(A274, 'Base Exámenes'!$C$5:$C$1000, 0)), "anonymous")</f>
        <v>anonymous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 (Agencias)</v>
      </c>
      <c r="E275" s="6" t="str">
        <f>'Base Oficial'!D275</f>
        <v>JEFE DE AGENCIA  </v>
      </c>
      <c r="F275" s="4" t="str">
        <f>IF(COUNTIFS('Base Exámenes'!$C$5:$C$1000, A275, 'Base Exámenes'!$E$5:$E$1000, "&lt;&gt;")&gt;0, "Completado", "Pendiente")</f>
        <v>Pendiente</v>
      </c>
      <c r="G275" s="25" t="str">
        <f>IFERROR(INDEX('Base Exámenes'!$D$5:$D$1000, MATCH(A275, 'Base Exámenes'!$C$5:$C$1000, 0)), "")</f>
        <v/>
      </c>
      <c r="H275" s="25" t="str">
        <f>IFERROR(INDEX('Base Exámenes'!$E$5:$E$1000, MATCH(A275, 'Base Exámenes'!$C$5:$C$1000, 0)), "")</f>
        <v/>
      </c>
      <c r="I275" s="26" t="str">
        <f>IFERROR(INDEX('Base Exámenes'!$F$5:$F$1000, MATCH(A275, 'Base Exámenes'!$C$5:$C$1000, 0)), "")</f>
        <v/>
      </c>
      <c r="J275" s="6" t="str">
        <f>IFERROR(INDEX('Base Exámenes'!$G$5:$G$1000, MATCH(A275, 'Base Exámenes'!$C$5:$C$1000, 0)), "")</f>
        <v/>
      </c>
      <c r="K275" s="6" t="str">
        <f>IFERROR(INDEX('Base Exámenes'!$H$5:$H$1000, MATCH(A275, 'Base Exámenes'!$C$5:$C$1000, 0)), "anonymous")</f>
        <v>anonymous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 (Agencias)</v>
      </c>
      <c r="E276" s="6" t="str">
        <f>'Base Oficial'!D276</f>
        <v>EJECUTIVA DE SEGUROS</v>
      </c>
      <c r="F276" s="4" t="str">
        <f>IF(COUNTIFS('Base Exámenes'!$C$5:$C$1000, A276, 'Base Exámenes'!$E$5:$E$1000, "&lt;&gt;")&gt;0, "Completado", "Pendiente")</f>
        <v>Pendiente</v>
      </c>
      <c r="G276" s="25" t="str">
        <f>IFERROR(INDEX('Base Exámenes'!$D$5:$D$1000, MATCH(A276, 'Base Exámenes'!$C$5:$C$1000, 0)), "")</f>
        <v/>
      </c>
      <c r="H276" s="25" t="str">
        <f>IFERROR(INDEX('Base Exámenes'!$E$5:$E$1000, MATCH(A276, 'Base Exámenes'!$C$5:$C$1000, 0)), "")</f>
        <v/>
      </c>
      <c r="I276" s="26" t="str">
        <f>IFERROR(INDEX('Base Exámenes'!$F$5:$F$1000, MATCH(A276, 'Base Exámenes'!$C$5:$C$1000, 0)), "")</f>
        <v/>
      </c>
      <c r="J276" s="6" t="str">
        <f>IFERROR(INDEX('Base Exámenes'!$G$5:$G$1000, MATCH(A276, 'Base Exámenes'!$C$5:$C$1000, 0)), "")</f>
        <v/>
      </c>
      <c r="K276" s="6" t="str">
        <f>IFERROR(INDEX('Base Exámenes'!$H$5:$H$1000, MATCH(A276, 'Base Exámenes'!$C$5:$C$1000, 0)), "anonymous")</f>
        <v>anonymous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 (Agencias)</v>
      </c>
      <c r="E277" s="6" t="str">
        <f>'Base Oficial'!D277</f>
        <v>CAJERO</v>
      </c>
      <c r="F277" s="4" t="str">
        <f>IF(COUNTIFS('Base Exámenes'!$C$5:$C$1000, A277, 'Base Exámenes'!$E$5:$E$1000, "&lt;&gt;")&gt;0, "Completado", "Pendiente")</f>
        <v>Pendiente</v>
      </c>
      <c r="G277" s="25" t="str">
        <f>IFERROR(INDEX('Base Exámenes'!$D$5:$D$1000, MATCH(A277, 'Base Exámenes'!$C$5:$C$1000, 0)), "")</f>
        <v/>
      </c>
      <c r="H277" s="25" t="str">
        <f>IFERROR(INDEX('Base Exámenes'!$E$5:$E$1000, MATCH(A277, 'Base Exámenes'!$C$5:$C$1000, 0)), "")</f>
        <v/>
      </c>
      <c r="I277" s="26" t="str">
        <f>IFERROR(INDEX('Base Exámenes'!$F$5:$F$1000, MATCH(A277, 'Base Exámenes'!$C$5:$C$1000, 0)), "")</f>
        <v/>
      </c>
      <c r="J277" s="6" t="str">
        <f>IFERROR(INDEX('Base Exámenes'!$G$5:$G$1000, MATCH(A277, 'Base Exámenes'!$C$5:$C$1000, 0)), "")</f>
        <v/>
      </c>
      <c r="K277" s="6" t="str">
        <f>IFERROR(INDEX('Base Exámenes'!$H$5:$H$1000, MATCH(A277, 'Base Exámenes'!$C$5:$C$1000, 0)), "anonymous")</f>
        <v>anonymous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 (Agencias)</v>
      </c>
      <c r="E278" s="6" t="str">
        <f>'Base Oficial'!D278</f>
        <v>CAJERO</v>
      </c>
      <c r="F278" s="4" t="str">
        <f>IF(COUNTIFS('Base Exámenes'!$C$5:$C$1000, A278, 'Base Exámenes'!$E$5:$E$1000, "&lt;&gt;")&gt;0, "Completado", "Pendiente")</f>
        <v>Pendiente</v>
      </c>
      <c r="G278" s="25" t="str">
        <f>IFERROR(INDEX('Base Exámenes'!$D$5:$D$1000, MATCH(A278, 'Base Exámenes'!$C$5:$C$1000, 0)), "")</f>
        <v/>
      </c>
      <c r="H278" s="25" t="str">
        <f>IFERROR(INDEX('Base Exámenes'!$E$5:$E$1000, MATCH(A278, 'Base Exámenes'!$C$5:$C$1000, 0)), "")</f>
        <v/>
      </c>
      <c r="I278" s="26" t="str">
        <f>IFERROR(INDEX('Base Exámenes'!$F$5:$F$1000, MATCH(A278, 'Base Exámenes'!$C$5:$C$1000, 0)), "")</f>
        <v/>
      </c>
      <c r="J278" s="6" t="str">
        <f>IFERROR(INDEX('Base Exámenes'!$G$5:$G$1000, MATCH(A278, 'Base Exámenes'!$C$5:$C$1000, 0)), "")</f>
        <v/>
      </c>
      <c r="K278" s="6" t="str">
        <f>IFERROR(INDEX('Base Exámenes'!$H$5:$H$1000, MATCH(A278, 'Base Exámenes'!$C$5:$C$1000, 0)), "anonymous")</f>
        <v>anonymous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 (Agencias)</v>
      </c>
      <c r="E279" s="6" t="str">
        <f>'Base Oficial'!D279</f>
        <v>CAJERO</v>
      </c>
      <c r="F279" s="4" t="str">
        <f>IF(COUNTIFS('Base Exámenes'!$C$5:$C$1000, A279, 'Base Exámenes'!$E$5:$E$1000, "&lt;&gt;")&gt;0, "Completado", "Pendiente")</f>
        <v>Pendiente</v>
      </c>
      <c r="G279" s="25" t="str">
        <f>IFERROR(INDEX('Base Exámenes'!$D$5:$D$1000, MATCH(A279, 'Base Exámenes'!$C$5:$C$1000, 0)), "")</f>
        <v/>
      </c>
      <c r="H279" s="25" t="str">
        <f>IFERROR(INDEX('Base Exámenes'!$E$5:$E$1000, MATCH(A279, 'Base Exámenes'!$C$5:$C$1000, 0)), "")</f>
        <v/>
      </c>
      <c r="I279" s="26" t="str">
        <f>IFERROR(INDEX('Base Exámenes'!$F$5:$F$1000, MATCH(A279, 'Base Exámenes'!$C$5:$C$1000, 0)), "")</f>
        <v/>
      </c>
      <c r="J279" s="6" t="str">
        <f>IFERROR(INDEX('Base Exámenes'!$G$5:$G$1000, MATCH(A279, 'Base Exámenes'!$C$5:$C$1000, 0)), "")</f>
        <v/>
      </c>
      <c r="K279" s="6" t="str">
        <f>IFERROR(INDEX('Base Exámenes'!$H$5:$H$1000, MATCH(A279, 'Base Exámenes'!$C$5:$C$1000, 0)), "anonymous")</f>
        <v>anonymous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 (Agencias)</v>
      </c>
      <c r="E280" s="6" t="str">
        <f>'Base Oficial'!D280</f>
        <v>CAJERO</v>
      </c>
      <c r="F280" s="4" t="str">
        <f>IF(COUNTIFS('Base Exámenes'!$C$5:$C$1000, A280, 'Base Exámenes'!$E$5:$E$1000, "&lt;&gt;")&gt;0, "Completado", "Pendiente")</f>
        <v>Pendiente</v>
      </c>
      <c r="G280" s="25" t="str">
        <f>IFERROR(INDEX('Base Exámenes'!$D$5:$D$1000, MATCH(A280, 'Base Exámenes'!$C$5:$C$1000, 0)), "")</f>
        <v/>
      </c>
      <c r="H280" s="25" t="str">
        <f>IFERROR(INDEX('Base Exámenes'!$E$5:$E$1000, MATCH(A280, 'Base Exámenes'!$C$5:$C$1000, 0)), "")</f>
        <v/>
      </c>
      <c r="I280" s="26" t="str">
        <f>IFERROR(INDEX('Base Exámenes'!$F$5:$F$1000, MATCH(A280, 'Base Exámenes'!$C$5:$C$1000, 0)), "")</f>
        <v/>
      </c>
      <c r="J280" s="6" t="str">
        <f>IFERROR(INDEX('Base Exámenes'!$G$5:$G$1000, MATCH(A280, 'Base Exámenes'!$C$5:$C$1000, 0)), "")</f>
        <v/>
      </c>
      <c r="K280" s="6" t="str">
        <f>IFERROR(INDEX('Base Exámenes'!$H$5:$H$1000, MATCH(A280, 'Base Exámenes'!$C$5:$C$1000, 0)), "anonymous")</f>
        <v>anonymous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 (Agencias)</v>
      </c>
      <c r="E281" s="6" t="str">
        <f>'Base Oficial'!D281</f>
        <v>MENSAJERO</v>
      </c>
      <c r="F281" s="4" t="str">
        <f>IF(COUNTIFS('Base Exámenes'!$C$5:$C$1000, A281, 'Base Exámenes'!$E$5:$E$1000, "&lt;&gt;")&gt;0, "Completado", "Pendiente")</f>
        <v>Completado</v>
      </c>
      <c r="G281" s="25">
        <f>IFERROR(INDEX('Base Exámenes'!$D$5:$D$1000, MATCH(A281, 'Base Exámenes'!$C$5:$C$1000, 0)), "")</f>
        <v>46301.486979166664</v>
      </c>
      <c r="H281" s="25">
        <f>IFERROR(INDEX('Base Exámenes'!$E$5:$E$1000, MATCH(A281, 'Base Exámenes'!$C$5:$C$1000, 0)), "")</f>
        <v>46301.49184027778</v>
      </c>
      <c r="I281" s="26">
        <f>IFERROR(INDEX('Base Exámenes'!$F$5:$F$1000, MATCH(A281, 'Base Exámenes'!$C$5:$C$1000, 0)), "")</f>
        <v>7</v>
      </c>
      <c r="J281" s="6">
        <f>IFERROR(INDEX('Base Exámenes'!$G$5:$G$1000, MATCH(A281, 'Base Exámenes'!$C$5:$C$1000, 0)), "")</f>
        <v>80</v>
      </c>
      <c r="K281" s="6" t="str">
        <f>IFERROR(INDEX('Base Exámenes'!$H$5:$H$1000, MATCH(A281, 'Base Exámenes'!$C$5:$C$1000, 0)), "anonymous")</f>
        <v>anonymous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 (Agencias)</v>
      </c>
      <c r="E282" s="6" t="str">
        <f>'Base Oficial'!D282</f>
        <v>JEFE DE AGENCIA  </v>
      </c>
      <c r="F282" s="4" t="str">
        <f>IF(COUNTIFS('Base Exámenes'!$C$5:$C$1000, A282, 'Base Exámenes'!$E$5:$E$1000, "&lt;&gt;")&gt;0, "Completado", "Pendiente")</f>
        <v>Completado</v>
      </c>
      <c r="G282" s="25">
        <f>IFERROR(INDEX('Base Exámenes'!$D$5:$D$1000, MATCH(A282, 'Base Exámenes'!$C$5:$C$1000, 0)), "")</f>
        <v>46301.42581018519</v>
      </c>
      <c r="H282" s="25">
        <f>IFERROR(INDEX('Base Exámenes'!$E$5:$E$1000, MATCH(A282, 'Base Exámenes'!$C$5:$C$1000, 0)), "")</f>
        <v>46301.432337962964</v>
      </c>
      <c r="I282" s="26">
        <f>IFERROR(INDEX('Base Exámenes'!$F$5:$F$1000, MATCH(A282, 'Base Exámenes'!$C$5:$C$1000, 0)), "")</f>
        <v>9.4</v>
      </c>
      <c r="J282" s="6">
        <f>IFERROR(INDEX('Base Exámenes'!$G$5:$G$1000, MATCH(A282, 'Base Exámenes'!$C$5:$C$1000, 0)), "")</f>
        <v>100</v>
      </c>
      <c r="K282" s="6" t="str">
        <f>IFERROR(INDEX('Base Exámenes'!$H$5:$H$1000, MATCH(A282, 'Base Exámenes'!$C$5:$C$1000, 0)), "anonymous")</f>
        <v>anonymous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 (Agencias)</v>
      </c>
      <c r="E283" s="6" t="str">
        <f>'Base Oficial'!D283</f>
        <v>EJECUTIVO DE SEGUROS</v>
      </c>
      <c r="F283" s="4" t="str">
        <f>IF(COUNTIFS('Base Exámenes'!$C$5:$C$1000, A283, 'Base Exámenes'!$E$5:$E$1000, "&lt;&gt;")&gt;0, "Completado", "Pendiente")</f>
        <v>Completado</v>
      </c>
      <c r="G283" s="25">
        <f>IFERROR(INDEX('Base Exámenes'!$D$5:$D$1000, MATCH(A283, 'Base Exámenes'!$C$5:$C$1000, 0)), "")</f>
        <v>46303.45423611111</v>
      </c>
      <c r="H283" s="25">
        <f>IFERROR(INDEX('Base Exámenes'!$E$5:$E$1000, MATCH(A283, 'Base Exámenes'!$C$5:$C$1000, 0)), "")</f>
        <v>46303.45730324074</v>
      </c>
      <c r="I283" s="26">
        <f>IFERROR(INDEX('Base Exámenes'!$F$5:$F$1000, MATCH(A283, 'Base Exámenes'!$C$5:$C$1000, 0)), "")</f>
        <v>4.41666666666667</v>
      </c>
      <c r="J283" s="6">
        <f>IFERROR(INDEX('Base Exámenes'!$G$5:$G$1000, MATCH(A283, 'Base Exámenes'!$C$5:$C$1000, 0)), "")</f>
        <v>100</v>
      </c>
      <c r="K283" s="6" t="str">
        <f>IFERROR(INDEX('Base Exámenes'!$H$5:$H$1000, MATCH(A283, 'Base Exámenes'!$C$5:$C$1000, 0)), "anonymous")</f>
        <v>anonymous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 (Agencias)</v>
      </c>
      <c r="E284" s="6" t="str">
        <f>'Base Oficial'!D284</f>
        <v>SUBJEFE DE  AGENCIA</v>
      </c>
      <c r="F284" s="4" t="str">
        <f>IF(COUNTIFS('Base Exámenes'!$C$5:$C$1000, A284, 'Base Exámenes'!$E$5:$E$1000, "&lt;&gt;")&gt;0, "Completado", "Pendiente")</f>
        <v>Pendiente</v>
      </c>
      <c r="G284" s="25" t="str">
        <f>IFERROR(INDEX('Base Exámenes'!$D$5:$D$1000, MATCH(A284, 'Base Exámenes'!$C$5:$C$1000, 0)), "")</f>
        <v/>
      </c>
      <c r="H284" s="25" t="str">
        <f>IFERROR(INDEX('Base Exámenes'!$E$5:$E$1000, MATCH(A284, 'Base Exámenes'!$C$5:$C$1000, 0)), "")</f>
        <v/>
      </c>
      <c r="I284" s="26" t="str">
        <f>IFERROR(INDEX('Base Exámenes'!$F$5:$F$1000, MATCH(A284, 'Base Exámenes'!$C$5:$C$1000, 0)), "")</f>
        <v/>
      </c>
      <c r="J284" s="6" t="str">
        <f>IFERROR(INDEX('Base Exámenes'!$G$5:$G$1000, MATCH(A284, 'Base Exámenes'!$C$5:$C$1000, 0)), "")</f>
        <v/>
      </c>
      <c r="K284" s="6" t="str">
        <f>IFERROR(INDEX('Base Exámenes'!$H$5:$H$1000, MATCH(A284, 'Base Exámenes'!$C$5:$C$1000, 0)), "anonymous")</f>
        <v>anonymous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 (Agencias)</v>
      </c>
      <c r="E285" s="6" t="str">
        <f>'Base Oficial'!D285</f>
        <v>EJECUTIVO DE NEGOCIOS</v>
      </c>
      <c r="F285" s="4" t="str">
        <f>IF(COUNTIFS('Base Exámenes'!$C$5:$C$1000, A285, 'Base Exámenes'!$E$5:$E$1000, "&lt;&gt;")&gt;0, "Completado", "Pendiente")</f>
        <v>Pendiente</v>
      </c>
      <c r="G285" s="25" t="str">
        <f>IFERROR(INDEX('Base Exámenes'!$D$5:$D$1000, MATCH(A285, 'Base Exámenes'!$C$5:$C$1000, 0)), "")</f>
        <v/>
      </c>
      <c r="H285" s="25" t="str">
        <f>IFERROR(INDEX('Base Exámenes'!$E$5:$E$1000, MATCH(A285, 'Base Exámenes'!$C$5:$C$1000, 0)), "")</f>
        <v/>
      </c>
      <c r="I285" s="26" t="str">
        <f>IFERROR(INDEX('Base Exámenes'!$F$5:$F$1000, MATCH(A285, 'Base Exámenes'!$C$5:$C$1000, 0)), "")</f>
        <v/>
      </c>
      <c r="J285" s="6" t="str">
        <f>IFERROR(INDEX('Base Exámenes'!$G$5:$G$1000, MATCH(A285, 'Base Exámenes'!$C$5:$C$1000, 0)), "")</f>
        <v/>
      </c>
      <c r="K285" s="6" t="str">
        <f>IFERROR(INDEX('Base Exámenes'!$H$5:$H$1000, MATCH(A285, 'Base Exámenes'!$C$5:$C$1000, 0)), "anonymous")</f>
        <v>anonymous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 (Agencias)</v>
      </c>
      <c r="E286" s="6" t="str">
        <f>'Base Oficial'!D286</f>
        <v>CAJERO</v>
      </c>
      <c r="F286" s="4" t="str">
        <f>IF(COUNTIFS('Base Exámenes'!$C$5:$C$1000, A286, 'Base Exámenes'!$E$5:$E$1000, "&lt;&gt;")&gt;0, "Completado", "Pendiente")</f>
        <v>Completado</v>
      </c>
      <c r="G286" s="25">
        <f>IFERROR(INDEX('Base Exámenes'!$D$5:$D$1000, MATCH(A286, 'Base Exámenes'!$C$5:$C$1000, 0)), "")</f>
        <v>46303.53456018519</v>
      </c>
      <c r="H286" s="25">
        <f>IFERROR(INDEX('Base Exámenes'!$E$5:$E$1000, MATCH(A286, 'Base Exámenes'!$C$5:$C$1000, 0)), "")</f>
        <v>46303.544328703705</v>
      </c>
      <c r="I286" s="26">
        <f>IFERROR(INDEX('Base Exámenes'!$F$5:$F$1000, MATCH(A286, 'Base Exámenes'!$C$5:$C$1000, 0)), "")</f>
        <v>14.0666666666667</v>
      </c>
      <c r="J286" s="6">
        <f>IFERROR(INDEX('Base Exámenes'!$G$5:$G$1000, MATCH(A286, 'Base Exámenes'!$C$5:$C$1000, 0)), "")</f>
        <v>100</v>
      </c>
      <c r="K286" s="6" t="str">
        <f>IFERROR(INDEX('Base Exámenes'!$H$5:$H$1000, MATCH(A286, 'Base Exámenes'!$C$5:$C$1000, 0)), "anonymous")</f>
        <v>anonymous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 (Agencias)</v>
      </c>
      <c r="E287" s="6" t="str">
        <f>'Base Oficial'!D287</f>
        <v>CAJERO</v>
      </c>
      <c r="F287" s="4" t="str">
        <f>IF(COUNTIFS('Base Exámenes'!$C$5:$C$1000, A287, 'Base Exámenes'!$E$5:$E$1000, "&lt;&gt;")&gt;0, "Completado", "Pendiente")</f>
        <v>Pendiente</v>
      </c>
      <c r="G287" s="25" t="str">
        <f>IFERROR(INDEX('Base Exámenes'!$D$5:$D$1000, MATCH(A287, 'Base Exámenes'!$C$5:$C$1000, 0)), "")</f>
        <v/>
      </c>
      <c r="H287" s="25" t="str">
        <f>IFERROR(INDEX('Base Exámenes'!$E$5:$E$1000, MATCH(A287, 'Base Exámenes'!$C$5:$C$1000, 0)), "")</f>
        <v/>
      </c>
      <c r="I287" s="26" t="str">
        <f>IFERROR(INDEX('Base Exámenes'!$F$5:$F$1000, MATCH(A287, 'Base Exámenes'!$C$5:$C$1000, 0)), "")</f>
        <v/>
      </c>
      <c r="J287" s="6" t="str">
        <f>IFERROR(INDEX('Base Exámenes'!$G$5:$G$1000, MATCH(A287, 'Base Exámenes'!$C$5:$C$1000, 0)), "")</f>
        <v/>
      </c>
      <c r="K287" s="6" t="str">
        <f>IFERROR(INDEX('Base Exámenes'!$H$5:$H$1000, MATCH(A287, 'Base Exámenes'!$C$5:$C$1000, 0)), "anonymous")</f>
        <v>anonymous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Exámenes'!$C$5:$C$1000, A288, 'Base Exámenes'!$E$5:$E$1000, "&lt;&gt;")&gt;0, "Completado", "Pendiente")</f>
        <v>Pendiente</v>
      </c>
      <c r="G288" s="25" t="str">
        <f>IFERROR(INDEX('Base Exámenes'!$D$5:$D$1000, MATCH(A288, 'Base Exámenes'!$C$5:$C$1000, 0)), "")</f>
        <v/>
      </c>
      <c r="H288" s="25" t="str">
        <f>IFERROR(INDEX('Base Exámenes'!$E$5:$E$1000, MATCH(A288, 'Base Exámenes'!$C$5:$C$1000, 0)), "")</f>
        <v/>
      </c>
      <c r="I288" s="26" t="str">
        <f>IFERROR(INDEX('Base Exámenes'!$F$5:$F$1000, MATCH(A288, 'Base Exámenes'!$C$5:$C$1000, 0)), "")</f>
        <v/>
      </c>
      <c r="J288" s="6" t="str">
        <f>IFERROR(INDEX('Base Exámenes'!$G$5:$G$1000, MATCH(A288, 'Base Exámenes'!$C$5:$C$1000, 0)), "")</f>
        <v/>
      </c>
      <c r="K288" s="6" t="str">
        <f>IFERROR(INDEX('Base Exámenes'!$H$5:$H$1000, MATCH(A288, 'Base Exámenes'!$C$5:$C$1000, 0)), "anonymous")</f>
        <v>anonymous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Exámenes'!$C$5:$C$1000, A289, 'Base Exámenes'!$E$5:$E$1000, "&lt;&gt;")&gt;0, "Completado", "Pendiente")</f>
        <v>Pendiente</v>
      </c>
      <c r="G289" s="25" t="str">
        <f>IFERROR(INDEX('Base Exámenes'!$D$5:$D$1000, MATCH(A289, 'Base Exámenes'!$C$5:$C$1000, 0)), "")</f>
        <v/>
      </c>
      <c r="H289" s="25" t="str">
        <f>IFERROR(INDEX('Base Exámenes'!$E$5:$E$1000, MATCH(A289, 'Base Exámenes'!$C$5:$C$1000, 0)), "")</f>
        <v/>
      </c>
      <c r="I289" s="26" t="str">
        <f>IFERROR(INDEX('Base Exámenes'!$F$5:$F$1000, MATCH(A289, 'Base Exámenes'!$C$5:$C$1000, 0)), "")</f>
        <v/>
      </c>
      <c r="J289" s="6" t="str">
        <f>IFERROR(INDEX('Base Exámenes'!$G$5:$G$1000, MATCH(A289, 'Base Exámenes'!$C$5:$C$1000, 0)), "")</f>
        <v/>
      </c>
      <c r="K289" s="6" t="str">
        <f>IFERROR(INDEX('Base Exámenes'!$H$5:$H$1000, MATCH(A289, 'Base Exámenes'!$C$5:$C$1000, 0)), "anonymous")</f>
        <v>anonymous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Exámenes'!$C$5:$C$1000, A290, 'Base Exámenes'!$E$5:$E$1000, "&lt;&gt;")&gt;0, "Completado", "Pendiente")</f>
        <v>Pendiente</v>
      </c>
      <c r="G290" s="25" t="str">
        <f>IFERROR(INDEX('Base Exámenes'!$D$5:$D$1000, MATCH(A290, 'Base Exámenes'!$C$5:$C$1000, 0)), "")</f>
        <v/>
      </c>
      <c r="H290" s="25" t="str">
        <f>IFERROR(INDEX('Base Exámenes'!$E$5:$E$1000, MATCH(A290, 'Base Exámenes'!$C$5:$C$1000, 0)), "")</f>
        <v/>
      </c>
      <c r="I290" s="26" t="str">
        <f>IFERROR(INDEX('Base Exámenes'!$F$5:$F$1000, MATCH(A290, 'Base Exámenes'!$C$5:$C$1000, 0)), "")</f>
        <v/>
      </c>
      <c r="J290" s="6" t="str">
        <f>IFERROR(INDEX('Base Exámenes'!$G$5:$G$1000, MATCH(A290, 'Base Exámenes'!$C$5:$C$1000, 0)), "")</f>
        <v/>
      </c>
      <c r="K290" s="6" t="str">
        <f>IFERROR(INDEX('Base Exámenes'!$H$5:$H$1000, MATCH(A290, 'Base Exámenes'!$C$5:$C$1000, 0)), "anonymous")</f>
        <v>anonymous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Exámenes'!$C$5:$C$1000, A291, 'Base Exámenes'!$E$5:$E$1000, "&lt;&gt;")&gt;0, "Completado", "Pendiente")</f>
        <v>Pendiente</v>
      </c>
      <c r="G291" s="25" t="str">
        <f>IFERROR(INDEX('Base Exámenes'!$D$5:$D$1000, MATCH(A291, 'Base Exámenes'!$C$5:$C$1000, 0)), "")</f>
        <v/>
      </c>
      <c r="H291" s="25" t="str">
        <f>IFERROR(INDEX('Base Exámenes'!$E$5:$E$1000, MATCH(A291, 'Base Exámenes'!$C$5:$C$1000, 0)), "")</f>
        <v/>
      </c>
      <c r="I291" s="26" t="str">
        <f>IFERROR(INDEX('Base Exámenes'!$F$5:$F$1000, MATCH(A291, 'Base Exámenes'!$C$5:$C$1000, 0)), "")</f>
        <v/>
      </c>
      <c r="J291" s="6" t="str">
        <f>IFERROR(INDEX('Base Exámenes'!$G$5:$G$1000, MATCH(A291, 'Base Exámenes'!$C$5:$C$1000, 0)), "")</f>
        <v/>
      </c>
      <c r="K291" s="6" t="str">
        <f>IFERROR(INDEX('Base Exámenes'!$H$5:$H$1000, MATCH(A291, 'Base Exámenes'!$C$5:$C$1000, 0)), "anonymous")</f>
        <v>anonymous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Exámenes'!$C$5:$C$1000, A292, 'Base Exámenes'!$E$5:$E$1000, "&lt;&gt;")&gt;0, "Completado", "Pendiente")</f>
        <v>Pendiente</v>
      </c>
      <c r="G292" s="25" t="str">
        <f>IFERROR(INDEX('Base Exámenes'!$D$5:$D$1000, MATCH(A292, 'Base Exámenes'!$C$5:$C$1000, 0)), "")</f>
        <v/>
      </c>
      <c r="H292" s="25" t="str">
        <f>IFERROR(INDEX('Base Exámenes'!$E$5:$E$1000, MATCH(A292, 'Base Exámenes'!$C$5:$C$1000, 0)), "")</f>
        <v/>
      </c>
      <c r="I292" s="26" t="str">
        <f>IFERROR(INDEX('Base Exámenes'!$F$5:$F$1000, MATCH(A292, 'Base Exámenes'!$C$5:$C$1000, 0)), "")</f>
        <v/>
      </c>
      <c r="J292" s="6" t="str">
        <f>IFERROR(INDEX('Base Exámenes'!$G$5:$G$1000, MATCH(A292, 'Base Exámenes'!$C$5:$C$1000, 0)), "")</f>
        <v/>
      </c>
      <c r="K292" s="6" t="str">
        <f>IFERROR(INDEX('Base Exámenes'!$H$5:$H$1000, MATCH(A292, 'Base Exámenes'!$C$5:$C$1000, 0)), "anonymous")</f>
        <v>anonymous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Exámenes'!$C$5:$C$1000, A293, 'Base Exámenes'!$E$5:$E$1000, "&lt;&gt;")&gt;0, "Completado", "Pendiente")</f>
        <v>Completado</v>
      </c>
      <c r="G293" s="25">
        <f>IFERROR(INDEX('Base Exámenes'!$D$5:$D$1000, MATCH(A293, 'Base Exámenes'!$C$5:$C$1000, 0)), "")</f>
        <v>46304.695972222224</v>
      </c>
      <c r="H293" s="25">
        <f>IFERROR(INDEX('Base Exámenes'!$E$5:$E$1000, MATCH(A293, 'Base Exámenes'!$C$5:$C$1000, 0)), "")</f>
        <v>46304.703680555554</v>
      </c>
      <c r="I293" s="26">
        <f>IFERROR(INDEX('Base Exámenes'!$F$5:$F$1000, MATCH(A293, 'Base Exámenes'!$C$5:$C$1000, 0)), "")</f>
        <v>11.1</v>
      </c>
      <c r="J293" s="6">
        <f>IFERROR(INDEX('Base Exámenes'!$G$5:$G$1000, MATCH(A293, 'Base Exámenes'!$C$5:$C$1000, 0)), "")</f>
        <v>100</v>
      </c>
      <c r="K293" s="6" t="str">
        <f>IFERROR(INDEX('Base Exámenes'!$H$5:$H$1000, MATCH(A293, 'Base Exámenes'!$C$5:$C$1000, 0)), "anonymous")</f>
        <v>anonymous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Exámenes'!$C$5:$C$1000, A294, 'Base Exámenes'!$E$5:$E$1000, "&lt;&gt;")&gt;0, "Completado", "Pendiente")</f>
        <v>Pendiente</v>
      </c>
      <c r="G294" s="25" t="str">
        <f>IFERROR(INDEX('Base Exámenes'!$D$5:$D$1000, MATCH(A294, 'Base Exámenes'!$C$5:$C$1000, 0)), "")</f>
        <v/>
      </c>
      <c r="H294" s="25" t="str">
        <f>IFERROR(INDEX('Base Exámenes'!$E$5:$E$1000, MATCH(A294, 'Base Exámenes'!$C$5:$C$1000, 0)), "")</f>
        <v/>
      </c>
      <c r="I294" s="26" t="str">
        <f>IFERROR(INDEX('Base Exámenes'!$F$5:$F$1000, MATCH(A294, 'Base Exámenes'!$C$5:$C$1000, 0)), "")</f>
        <v/>
      </c>
      <c r="J294" s="6" t="str">
        <f>IFERROR(INDEX('Base Exámenes'!$G$5:$G$1000, MATCH(A294, 'Base Exámenes'!$C$5:$C$1000, 0)), "")</f>
        <v/>
      </c>
      <c r="K294" s="6" t="str">
        <f>IFERROR(INDEX('Base Exámenes'!$H$5:$H$1000, MATCH(A294, 'Base Exámenes'!$C$5:$C$1000, 0)), "anonymous")</f>
        <v>anonymous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Exámenes'!$C$5:$C$1000, A295, 'Base Exámenes'!$E$5:$E$1000, "&lt;&gt;")&gt;0, "Completado", "Pendiente")</f>
        <v>Completado</v>
      </c>
      <c r="G295" s="25">
        <f>IFERROR(INDEX('Base Exámenes'!$D$5:$D$1000, MATCH(A295, 'Base Exámenes'!$C$5:$C$1000, 0)), "")</f>
        <v>46300.62287037037</v>
      </c>
      <c r="H295" s="25">
        <f>IFERROR(INDEX('Base Exámenes'!$E$5:$E$1000, MATCH(A295, 'Base Exámenes'!$C$5:$C$1000, 0)), "")</f>
        <v>46300.628483796296</v>
      </c>
      <c r="I295" s="26">
        <f>IFERROR(INDEX('Base Exámenes'!$F$5:$F$1000, MATCH(A295, 'Base Exámenes'!$C$5:$C$1000, 0)), "")</f>
        <v>8.08333333333333</v>
      </c>
      <c r="J295" s="6">
        <f>IFERROR(INDEX('Base Exámenes'!$G$5:$G$1000, MATCH(A295, 'Base Exámenes'!$C$5:$C$1000, 0)), "")</f>
        <v>90</v>
      </c>
      <c r="K295" s="6" t="str">
        <f>IFERROR(INDEX('Base Exámenes'!$H$5:$H$1000, MATCH(A295, 'Base Exámenes'!$C$5:$C$1000, 0)), "anonymous")</f>
        <v>anonymous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>1</v>
      </c>
      <c r="D5" s="8">
        <f>COUNTIFS('Detalle individual'!$C$5:$C$295, A5, 'Detalle individual'!$F$5:$F$295,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individual'!$J$5:$J$295, 'Detalle individual'!$C$5:$C$295, A5), ""), "")</f>
        <v>95</v>
      </c>
      <c r="I5" s="6">
        <f>IF(D5&gt;0, IFERROR(_xlfn.MAXIFS('Detalle individual'!$J$5:$J$295, 'Detalle individual'!$C$5:$C$295, A5), ""), "")</f>
        <v>95</v>
      </c>
      <c r="J5" s="6">
        <f>IF(D5&gt;0, IFERROR(_xlfn.MINIFS('Detalle individual'!$J$5:$J$295, 'Detalle individual'!$C$5:$C$295, A5), ""), "")</f>
        <v>95</v>
      </c>
      <c r="K5" s="25">
        <f>IF(D5&gt;0, IFERROR(_xlfn.MINIFS('Detalle individual'!$G$5:$G$295, 'Detalle individual'!$C$5:$C$295, A5), ""), "")</f>
        <v>46300.68533564815</v>
      </c>
      <c r="L5" s="25">
        <f>IF(D5&gt;0, IFERROR(_xlfn.MAXIFS('Detalle individual'!$H$5:$H$295, 'Detalle individual'!$C$5:$C$295, A5), ""), "")</f>
        <v>46300.696018518516</v>
      </c>
      <c r="M5" s="7">
        <f>IF(D5&gt;0, IFERROR(_xlfn.MINIFS('Detalle individual'!$I$5:$I$295, 'Detalle individual'!$C$5:$C$295, A5), ""), "")</f>
        <v>15.3833333333333</v>
      </c>
      <c r="N5" s="7">
        <f>IF(D5&gt;0, IFERROR(AVERAGEIFS('Detalle individual'!$I$5:$I$295, 'Detalle individual'!$C$5:$C$295,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>4</v>
      </c>
      <c r="D6" s="8">
        <f>COUNTIFS('Detalle individual'!$C$5:$C$295, A6, 'Detalle individual'!$F$5:$F$295, "Completado")</f>
        <v>4</v>
      </c>
      <c r="E6" s="8">
        <f>C6-D6</f>
        <v>0</v>
      </c>
      <c r="F6" s="9">
        <f>IF(C6&gt;0, D6/C6, 0)</f>
        <v>1</v>
      </c>
      <c r="G6" s="4" t="str">
        <f>IF(AND(C6&gt;0, D6=C6), "Completo", "Pendiente")</f>
        <v>Completo</v>
      </c>
      <c r="H6" s="7">
        <f>IF(D6&gt;0, IFERROR(AVERAGEIFS('Detalle individual'!$J$5:$J$295, 'Detalle individual'!$C$5:$C$295, A6), ""), "")</f>
        <v>100</v>
      </c>
      <c r="I6" s="6">
        <f>IF(D6&gt;0, IFERROR(_xlfn.MAXIFS('Detalle individual'!$J$5:$J$295, 'Detalle individual'!$C$5:$C$295, A6), ""), "")</f>
        <v>100</v>
      </c>
      <c r="J6" s="6">
        <f>IF(D6&gt;0, IFERROR(_xlfn.MINIFS('Detalle individual'!$J$5:$J$295, 'Detalle individual'!$C$5:$C$295, A6), ""), "")</f>
        <v>100</v>
      </c>
      <c r="K6" s="25">
        <f>IF(D6&gt;0, IFERROR(_xlfn.MINIFS('Detalle individual'!$G$5:$G$295, 'Detalle individual'!$C$5:$C$295, A6), ""), "")</f>
        <v>46296.43667824074</v>
      </c>
      <c r="L6" s="25">
        <f>IF(D6&gt;0, IFERROR(_xlfn.MAXIFS('Detalle individual'!$H$5:$H$295, 'Detalle individual'!$C$5:$C$295, A6), ""), "")</f>
        <v>46305.39865740741</v>
      </c>
      <c r="M6" s="7">
        <f>IF(D6&gt;0, IFERROR(_xlfn.MINIFS('Detalle individual'!$I$5:$I$295, 'Detalle individual'!$C$5:$C$295, A6), ""), "")</f>
        <v>3.05</v>
      </c>
      <c r="N6" s="7">
        <f>IF(D6&gt;0, IFERROR(AVERAGEIFS('Detalle individual'!$I$5:$I$295, 'Detalle individual'!$C$5:$C$295, A6), ""), "")</f>
        <v>6.24583333333333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>5</v>
      </c>
      <c r="D7" s="8">
        <f>COUNTIFS('Detalle individual'!$C$5:$C$295, A7, 'Detalle individual'!$F$5:$F$295, "Completado")</f>
        <v>2</v>
      </c>
      <c r="E7" s="8">
        <f>C7-D7</f>
        <v>3</v>
      </c>
      <c r="F7" s="9">
        <f>IF(C7&gt;0, D7/C7, 0)</f>
        <v>0.4</v>
      </c>
      <c r="G7" s="4" t="str">
        <f>IF(AND(C7&gt;0, D7=C7), "Completo", "Pendiente")</f>
        <v>Pendiente</v>
      </c>
      <c r="H7" s="7">
        <f>IF(D7&gt;0, IFERROR(AVERAGEIFS('Detalle individual'!$J$5:$J$295, 'Detalle individual'!$C$5:$C$295, A7), ""), "")</f>
        <v>100</v>
      </c>
      <c r="I7" s="6">
        <f>IF(D7&gt;0, IFERROR(_xlfn.MAXIFS('Detalle individual'!$J$5:$J$295, 'Detalle individual'!$C$5:$C$295, A7), ""), "")</f>
        <v>100</v>
      </c>
      <c r="J7" s="6">
        <f>IF(D7&gt;0, IFERROR(_xlfn.MINIFS('Detalle individual'!$J$5:$J$295, 'Detalle individual'!$C$5:$C$295, A7), ""), "")</f>
        <v>100</v>
      </c>
      <c r="K7" s="25">
        <f>IF(D7&gt;0, IFERROR(_xlfn.MINIFS('Detalle individual'!$G$5:$G$295, 'Detalle individual'!$C$5:$C$295, A7), ""), "")</f>
        <v>46304.494108796294</v>
      </c>
      <c r="L7" s="25">
        <f>IF(D7&gt;0, IFERROR(_xlfn.MAXIFS('Detalle individual'!$H$5:$H$295, 'Detalle individual'!$C$5:$C$295, A7), ""), "")</f>
        <v>46304.56716435185</v>
      </c>
      <c r="M7" s="7">
        <f>IF(D7&gt;0, IFERROR(_xlfn.MINIFS('Detalle individual'!$I$5:$I$295, 'Detalle individual'!$C$5:$C$295, A7), ""), "")</f>
        <v>4.43333333333333</v>
      </c>
      <c r="N7" s="7">
        <f>IF(D7&gt;0, IFERROR(AVERAGEIFS('Detalle individual'!$I$5:$I$295, 'Detalle individual'!$C$5:$C$295, A7), ""), "")</f>
        <v>15.1083333333333</v>
      </c>
    </row>
    <row r="8">
      <c r="A8" s="5" t="inlineStr">
        <is>
          <t xml:space="preserve">AGENCIA CENTRAL  </t>
        </is>
      </c>
      <c r="B8" s="5" t="inlineStr">
        <is>
          <t>Gerencia de Negocios (Agencias)</t>
        </is>
      </c>
      <c r="C8" s="8">
        <f>COUNTIF('Detalle individual'!$C$5:$C$295, A8)</f>
        <v>18</v>
      </c>
      <c r="D8" s="8">
        <f>COUNTIFS('Detalle individual'!$C$5:$C$295, A8, 'Detalle individual'!$F$5:$F$295, "Completado")</f>
        <v>6</v>
      </c>
      <c r="E8" s="8">
        <f>C8-D8</f>
        <v>12</v>
      </c>
      <c r="F8" s="9">
        <f>IF(C8&gt;0, D8/C8, 0)</f>
        <v>0.333333333333333</v>
      </c>
      <c r="G8" s="4" t="str">
        <f>IF(AND(C8&gt;0, D8=C8), "Completo", "Pendiente")</f>
        <v>Pendiente</v>
      </c>
      <c r="H8" s="7">
        <f>IF(D8&gt;0, IFERROR(AVERAGEIFS('Detalle individual'!$J$5:$J$295, 'Detalle individual'!$C$5:$C$295, A8), ""), "")</f>
        <v>95</v>
      </c>
      <c r="I8" s="6">
        <f>IF(D8&gt;0, IFERROR(_xlfn.MAXIFS('Detalle individual'!$J$5:$J$295, 'Detalle individual'!$C$5:$C$295, A8), ""), "")</f>
        <v>100</v>
      </c>
      <c r="J8" s="6">
        <f>IF(D8&gt;0, IFERROR(_xlfn.MINIFS('Detalle individual'!$J$5:$J$295, 'Detalle individual'!$C$5:$C$295, A8), ""), "")</f>
        <v>75</v>
      </c>
      <c r="K8" s="25">
        <f>IF(D8&gt;0, IFERROR(_xlfn.MINIFS('Detalle individual'!$G$5:$G$295, 'Detalle individual'!$C$5:$C$295, A8), ""), "")</f>
        <v>46302.469988425924</v>
      </c>
      <c r="L8" s="25">
        <f>IF(D8&gt;0, IFERROR(_xlfn.MAXIFS('Detalle individual'!$H$5:$H$295, 'Detalle individual'!$C$5:$C$295, A8), ""), "")</f>
        <v>46305.39554398148</v>
      </c>
      <c r="M8" s="7">
        <f>IF(D8&gt;0, IFERROR(_xlfn.MINIFS('Detalle individual'!$I$5:$I$295, 'Detalle individual'!$C$5:$C$295, A8), ""), "")</f>
        <v>1.75</v>
      </c>
      <c r="N8" s="7">
        <f>IF(D8&gt;0, IFERROR(AVERAGEIFS('Detalle individual'!$I$5:$I$295, 'Detalle individual'!$C$5:$C$295, A8), ""), "")</f>
        <v>15.6999999950222</v>
      </c>
    </row>
    <row r="9">
      <c r="A9" s="5" t="inlineStr">
        <is>
          <t xml:space="preserve">AGENCIA COLEGIO MEDICO </t>
        </is>
      </c>
      <c r="B9" s="5" t="inlineStr">
        <is>
          <t>Gerencia de Negocios (Agencias)</t>
        </is>
      </c>
      <c r="C9" s="8">
        <f>COUNTIF('Detalle individual'!$C$5:$C$295, A9)</f>
        <v>12</v>
      </c>
      <c r="D9" s="8">
        <f>COUNTIFS('Detalle individual'!$C$5:$C$295, A9, 'Detalle individual'!$F$5:$F$295, "Completado")</f>
        <v>3</v>
      </c>
      <c r="E9" s="8">
        <f>C9-D9</f>
        <v>9</v>
      </c>
      <c r="F9" s="9">
        <f>IF(C9&gt;0, D9/C9, 0)</f>
        <v>0.25</v>
      </c>
      <c r="G9" s="4" t="str">
        <f>IF(AND(C9&gt;0, D9=C9), "Completo", "Pendiente")</f>
        <v>Pendiente</v>
      </c>
      <c r="H9" s="7">
        <f>IF(D9&gt;0, IFERROR(AVERAGEIFS('Detalle individual'!$J$5:$J$295, 'Detalle individual'!$C$5:$C$295, A9), ""), "")</f>
        <v>100</v>
      </c>
      <c r="I9" s="6">
        <f>IF(D9&gt;0, IFERROR(_xlfn.MAXIFS('Detalle individual'!$J$5:$J$295, 'Detalle individual'!$C$5:$C$295, A9), ""), "")</f>
        <v>100</v>
      </c>
      <c r="J9" s="6">
        <f>IF(D9&gt;0, IFERROR(_xlfn.MINIFS('Detalle individual'!$J$5:$J$295, 'Detalle individual'!$C$5:$C$295, A9), ""), "")</f>
        <v>100</v>
      </c>
      <c r="K9" s="25">
        <f>IF(D9&gt;0, IFERROR(_xlfn.MINIFS('Detalle individual'!$G$5:$G$295, 'Detalle individual'!$C$5:$C$295, A9), ""), "")</f>
        <v>46296.47090277778</v>
      </c>
      <c r="L9" s="25">
        <f>IF(D9&gt;0, IFERROR(_xlfn.MAXIFS('Detalle individual'!$H$5:$H$295, 'Detalle individual'!$C$5:$C$295, A9), ""), "")</f>
        <v>46305.407002314816</v>
      </c>
      <c r="M9" s="7">
        <f>IF(D9&gt;0, IFERROR(_xlfn.MINIFS('Detalle individual'!$I$5:$I$295, 'Detalle individual'!$C$5:$C$295, A9), ""), "")</f>
        <v>7.83333333333333</v>
      </c>
      <c r="N9" s="7">
        <f>IF(D9&gt;0, IFERROR(AVERAGEIFS('Detalle individual'!$I$5:$I$295, 'Detalle individual'!$C$5:$C$295, A9), ""), "")</f>
        <v>13.5055555611944</v>
      </c>
    </row>
    <row r="10">
      <c r="A10" s="5" t="inlineStr">
        <is>
          <t xml:space="preserve">AGENCIA COLONIA MEDICA  </t>
        </is>
      </c>
      <c r="B10" s="5" t="inlineStr">
        <is>
          <t>Gerencia de Negocios (Agencias)</t>
        </is>
      </c>
      <c r="C10" s="8">
        <f>COUNTIF('Detalle individual'!$C$5:$C$295, A10)</f>
        <v>16</v>
      </c>
      <c r="D10" s="8">
        <f>COUNTIFS('Detalle individual'!$C$5:$C$295, A10, 'Detalle individual'!$F$5:$F$295, "Completado")</f>
        <v>5</v>
      </c>
      <c r="E10" s="8">
        <f>C10-D10</f>
        <v>11</v>
      </c>
      <c r="F10" s="9">
        <f>IF(C10&gt;0, D10/C10, 0)</f>
        <v>0.3125</v>
      </c>
      <c r="G10" s="4" t="str">
        <f>IF(AND(C10&gt;0, D10=C10), "Completo", "Pendiente")</f>
        <v>Pendiente</v>
      </c>
      <c r="H10" s="7">
        <f>IF(D10&gt;0, IFERROR(AVERAGEIFS('Detalle individual'!$J$5:$J$295, 'Detalle individual'!$C$5:$C$295, A10), ""), "")</f>
        <v>99</v>
      </c>
      <c r="I10" s="6">
        <f>IF(D10&gt;0, IFERROR(_xlfn.MAXIFS('Detalle individual'!$J$5:$J$295, 'Detalle individual'!$C$5:$C$295, A10), ""), "")</f>
        <v>100</v>
      </c>
      <c r="J10" s="6">
        <f>IF(D10&gt;0, IFERROR(_xlfn.MINIFS('Detalle individual'!$J$5:$J$295, 'Detalle individual'!$C$5:$C$295, A10), ""), "")</f>
        <v>95</v>
      </c>
      <c r="K10" s="25">
        <f>IF(D10&gt;0, IFERROR(_xlfn.MINIFS('Detalle individual'!$G$5:$G$295, 'Detalle individual'!$C$5:$C$295, A10), ""), "")</f>
        <v>46297.711550925924</v>
      </c>
      <c r="L10" s="25">
        <f>IF(D10&gt;0, IFERROR(_xlfn.MAXIFS('Detalle individual'!$H$5:$H$295, 'Detalle individual'!$C$5:$C$295, A10), ""), "")</f>
        <v>46302.64712962963</v>
      </c>
      <c r="M10" s="7">
        <f>IF(D10&gt;0, IFERROR(_xlfn.MINIFS('Detalle individual'!$I$5:$I$295, 'Detalle individual'!$C$5:$C$295, A10), ""), "")</f>
        <v>2.8</v>
      </c>
      <c r="N10" s="7">
        <f>IF(D10&gt;0, IFERROR(AVERAGEIFS('Detalle individual'!$I$5:$I$295, 'Detalle individual'!$C$5:$C$295, A10), ""), "")</f>
        <v>48.6733333333333</v>
      </c>
    </row>
    <row r="11">
      <c r="A11" s="5" t="inlineStr">
        <is>
          <t xml:space="preserve">AGENCIA MERLIOT  </t>
        </is>
      </c>
      <c r="B11" s="5" t="inlineStr">
        <is>
          <t>Gerencia de Negocios (Agencias)</t>
        </is>
      </c>
      <c r="C11" s="8">
        <f>COUNTIF('Detalle individual'!$C$5:$C$295, A11)</f>
        <v>13</v>
      </c>
      <c r="D11" s="8">
        <f>COUNTIFS('Detalle individual'!$C$5:$C$295, A11, 'Detalle individual'!$F$5:$F$295,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individual'!$J$5:$J$295, 'Detalle individual'!$C$5:$C$295, A11), ""), "")</f>
        <v>95.4166666666667</v>
      </c>
      <c r="I11" s="6">
        <f>IF(D11&gt;0, IFERROR(_xlfn.MAXIFS('Detalle individual'!$J$5:$J$295, 'Detalle individual'!$C$5:$C$295, A11), ""), "")</f>
        <v>100</v>
      </c>
      <c r="J11" s="6">
        <f>IF(D11&gt;0, IFERROR(_xlfn.MINIFS('Detalle individual'!$J$5:$J$295, 'Detalle individual'!$C$5:$C$295, A11), ""), "")</f>
        <v>70</v>
      </c>
      <c r="K11" s="25">
        <f>IF(D11&gt;0, IFERROR(_xlfn.MINIFS('Detalle individual'!$G$5:$G$295, 'Detalle individual'!$C$5:$C$295, A11), ""), "")</f>
        <v>46296.54665509259</v>
      </c>
      <c r="L11" s="25">
        <f>IF(D11&gt;0, IFERROR(_xlfn.MAXIFS('Detalle individual'!$H$5:$H$295, 'Detalle individual'!$C$5:$C$295, A11), ""), "")</f>
        <v>46303.46199074074</v>
      </c>
      <c r="M11" s="7">
        <f>IF(D11&gt;0, IFERROR(_xlfn.MINIFS('Detalle individual'!$I$5:$I$295, 'Detalle individual'!$C$5:$C$295, A11), ""), "")</f>
        <v>1.78333333333333</v>
      </c>
      <c r="N11" s="7">
        <f>IF(D11&gt;0, IFERROR(AVERAGEIFS('Detalle individual'!$I$5:$I$295, 'Detalle individual'!$C$5:$C$295,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 (Agencias)</t>
        </is>
      </c>
      <c r="C12" s="8">
        <f>COUNTIF('Detalle individual'!$C$5:$C$295, A12)</f>
        <v>8</v>
      </c>
      <c r="D12" s="8">
        <f>COUNTIFS('Detalle individual'!$C$5:$C$295, A12, 'Detalle individual'!$F$5:$F$295, "Completado")</f>
        <v>0</v>
      </c>
      <c r="E12" s="8">
        <f>C12-D12</f>
        <v>8</v>
      </c>
      <c r="F12" s="9">
        <f>IF(C12&gt;0, D12/C12, 0)</f>
        <v>0</v>
      </c>
      <c r="G12" s="4" t="str">
        <f>IF(AND(C12&gt;0, D12=C12), "Completo", "Pendiente")</f>
        <v>Pendiente</v>
      </c>
      <c r="H12" s="7" t="str">
        <f>IF(D12&gt;0, IFERROR(AVERAGEIFS('Detalle individual'!$J$5:$J$295, 'Detalle individual'!$C$5:$C$295, A12), ""), "")</f>
        <v/>
      </c>
      <c r="I12" s="6" t="str">
        <f>IF(D12&gt;0, IFERROR(_xlfn.MAXIFS('Detalle individual'!$J$5:$J$295, 'Detalle individual'!$C$5:$C$295, A12), ""), "")</f>
        <v/>
      </c>
      <c r="J12" s="6" t="str">
        <f>IF(D12&gt;0, IFERROR(_xlfn.MINIFS('Detalle individual'!$J$5:$J$295, 'Detalle individual'!$C$5:$C$295, A12), ""), "")</f>
        <v/>
      </c>
      <c r="K12" s="25" t="str">
        <f>IF(D12&gt;0, IFERROR(_xlfn.MINIFS('Detalle individual'!$G$5:$G$295, 'Detalle individual'!$C$5:$C$295, A12), ""), "")</f>
        <v/>
      </c>
      <c r="L12" s="25" t="str">
        <f>IF(D12&gt;0, IFERROR(_xlfn.MAXIFS('Detalle individual'!$H$5:$H$295, 'Detalle individual'!$C$5:$C$295, A12), ""), "")</f>
        <v/>
      </c>
      <c r="M12" s="7" t="str">
        <f>IF(D12&gt;0, IFERROR(_xlfn.MINIFS('Detalle individual'!$I$5:$I$295, 'Detalle individual'!$C$5:$C$295, A12), ""), "")</f>
        <v/>
      </c>
      <c r="N12" s="7" t="str">
        <f>IF(D12&gt;0, IFERROR(AVERAGEIFS('Detalle individual'!$I$5:$I$295, 'Detalle individual'!$C$5:$C$295, A12), ""), "")</f>
        <v/>
      </c>
    </row>
    <row r="13">
      <c r="A13" s="5" t="inlineStr">
        <is>
          <t xml:space="preserve">AGENCIA SAN  MIGUEL  </t>
        </is>
      </c>
      <c r="B13" s="5" t="inlineStr">
        <is>
          <t>Gerencia de Negocios (Agencias)</t>
        </is>
      </c>
      <c r="C13" s="8">
        <f>COUNTIF('Detalle individual'!$C$5:$C$295, A13)</f>
        <v>8</v>
      </c>
      <c r="D13" s="8">
        <f>COUNTIFS('Detalle individual'!$C$5:$C$295, A13, 'Detalle individual'!$F$5:$F$295,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individual'!$J$5:$J$295, 'Detalle individual'!$C$5:$C$295, A13), ""), "")</f>
        <v>98.5714285714286</v>
      </c>
      <c r="I13" s="6">
        <f>IF(D13&gt;0, IFERROR(_xlfn.MAXIFS('Detalle individual'!$J$5:$J$295, 'Detalle individual'!$C$5:$C$295, A13), ""), "")</f>
        <v>100</v>
      </c>
      <c r="J13" s="6">
        <f>IF(D13&gt;0, IFERROR(_xlfn.MINIFS('Detalle individual'!$J$5:$J$295, 'Detalle individual'!$C$5:$C$295, A13), ""), "")</f>
        <v>90</v>
      </c>
      <c r="K13" s="25">
        <f>IF(D13&gt;0, IFERROR(_xlfn.MINIFS('Detalle individual'!$G$5:$G$295, 'Detalle individual'!$C$5:$C$295, A13), ""), "")</f>
        <v>46296.43491898148</v>
      </c>
      <c r="L13" s="25">
        <f>IF(D13&gt;0, IFERROR(_xlfn.MAXIFS('Detalle individual'!$H$5:$H$295, 'Detalle individual'!$C$5:$C$295, A13), ""), "")</f>
        <v>46296.49199074074</v>
      </c>
      <c r="M13" s="7">
        <f>IF(D13&gt;0, IFERROR(_xlfn.MINIFS('Detalle individual'!$I$5:$I$295, 'Detalle individual'!$C$5:$C$295, A13), ""), "")</f>
        <v>2.95</v>
      </c>
      <c r="N13" s="7">
        <f>IF(D13&gt;0, IFERROR(AVERAGEIFS('Detalle individual'!$I$5:$I$295, 'Detalle individual'!$C$5:$C$295,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 (Agencias)</t>
        </is>
      </c>
      <c r="C14" s="8">
        <f>COUNTIF('Detalle individual'!$C$5:$C$295, A14)</f>
        <v>8</v>
      </c>
      <c r="D14" s="8">
        <f>COUNTIFS('Detalle individual'!$C$5:$C$295, A14, 'Detalle individual'!$F$5:$F$295, "Completado")</f>
        <v>0</v>
      </c>
      <c r="E14" s="8">
        <f>C14-D14</f>
        <v>8</v>
      </c>
      <c r="F14" s="9">
        <f>IF(C14&gt;0, D14/C14, 0)</f>
        <v>0</v>
      </c>
      <c r="G14" s="4" t="str">
        <f>IF(AND(C14&gt;0, D14=C14), "Completo", "Pendiente")</f>
        <v>Pendiente</v>
      </c>
      <c r="H14" s="7" t="str">
        <f>IF(D14&gt;0, IFERROR(AVERAGEIFS('Detalle individual'!$J$5:$J$295, 'Detalle individual'!$C$5:$C$295, A14), ""), "")</f>
        <v/>
      </c>
      <c r="I14" s="6" t="str">
        <f>IF(D14&gt;0, IFERROR(_xlfn.MAXIFS('Detalle individual'!$J$5:$J$295, 'Detalle individual'!$C$5:$C$295, A14), ""), "")</f>
        <v/>
      </c>
      <c r="J14" s="6" t="str">
        <f>IF(D14&gt;0, IFERROR(_xlfn.MINIFS('Detalle individual'!$J$5:$J$295, 'Detalle individual'!$C$5:$C$295, A14), ""), "")</f>
        <v/>
      </c>
      <c r="K14" s="25" t="str">
        <f>IF(D14&gt;0, IFERROR(_xlfn.MINIFS('Detalle individual'!$G$5:$G$295, 'Detalle individual'!$C$5:$C$295, A14), ""), "")</f>
        <v/>
      </c>
      <c r="L14" s="25" t="str">
        <f>IF(D14&gt;0, IFERROR(_xlfn.MAXIFS('Detalle individual'!$H$5:$H$295, 'Detalle individual'!$C$5:$C$295, A14), ""), "")</f>
        <v/>
      </c>
      <c r="M14" s="7" t="str">
        <f>IF(D14&gt;0, IFERROR(_xlfn.MINIFS('Detalle individual'!$I$5:$I$295, 'Detalle individual'!$C$5:$C$295, A14), ""), "")</f>
        <v/>
      </c>
      <c r="N14" s="7" t="str">
        <f>IF(D14&gt;0, IFERROR(AVERAGEIFS('Detalle individual'!$I$5:$I$295, 'Detalle individual'!$C$5:$C$295, A14), ""), "")</f>
        <v/>
      </c>
    </row>
    <row r="15">
      <c r="A15" s="5" t="inlineStr">
        <is>
          <t xml:space="preserve">AGENCIA SONSONATE  </t>
        </is>
      </c>
      <c r="B15" s="5" t="inlineStr">
        <is>
          <t>Gerencia de Negocios (Agencias)</t>
        </is>
      </c>
      <c r="C15" s="8">
        <f>COUNTIF('Detalle individual'!$C$5:$C$295, A15)</f>
        <v>7</v>
      </c>
      <c r="D15" s="8">
        <f>COUNTIFS('Detalle individual'!$C$5:$C$295, A15, 'Detalle individual'!$F$5:$F$295, "Completado")</f>
        <v>0</v>
      </c>
      <c r="E15" s="8">
        <f>C15-D15</f>
        <v>7</v>
      </c>
      <c r="F15" s="9">
        <f>IF(C15&gt;0, D15/C15, 0)</f>
        <v>0</v>
      </c>
      <c r="G15" s="4" t="str">
        <f>IF(AND(C15&gt;0, D15=C15), "Completo", "Pendiente")</f>
        <v>Pendiente</v>
      </c>
      <c r="H15" s="7" t="str">
        <f>IF(D15&gt;0, IFERROR(AVERAGEIFS('Detalle individual'!$J$5:$J$295, 'Detalle individual'!$C$5:$C$295, A15), ""), "")</f>
        <v/>
      </c>
      <c r="I15" s="6" t="str">
        <f>IF(D15&gt;0, IFERROR(_xlfn.MAXIFS('Detalle individual'!$J$5:$J$295, 'Detalle individual'!$C$5:$C$295, A15), ""), "")</f>
        <v/>
      </c>
      <c r="J15" s="6" t="str">
        <f>IF(D15&gt;0, IFERROR(_xlfn.MINIFS('Detalle individual'!$J$5:$J$295, 'Detalle individual'!$C$5:$C$295, A15), ""), "")</f>
        <v/>
      </c>
      <c r="K15" s="25" t="str">
        <f>IF(D15&gt;0, IFERROR(_xlfn.MINIFS('Detalle individual'!$G$5:$G$295, 'Detalle individual'!$C$5:$C$295, A15), ""), "")</f>
        <v/>
      </c>
      <c r="L15" s="25" t="str">
        <f>IF(D15&gt;0, IFERROR(_xlfn.MAXIFS('Detalle individual'!$H$5:$H$295, 'Detalle individual'!$C$5:$C$295, A15), ""), "")</f>
        <v/>
      </c>
      <c r="M15" s="7" t="str">
        <f>IF(D15&gt;0, IFERROR(_xlfn.MINIFS('Detalle individual'!$I$5:$I$295, 'Detalle individual'!$C$5:$C$295, A15), ""), "")</f>
        <v/>
      </c>
      <c r="N15" s="7" t="str">
        <f>IF(D15&gt;0, IFERROR(AVERAGEIFS('Detalle individual'!$I$5:$I$295, 'Detalle individual'!$C$5:$C$295, A15), ""), "")</f>
        <v/>
      </c>
    </row>
    <row r="16">
      <c r="A16" s="5" t="inlineStr">
        <is>
          <t xml:space="preserve">AGENCIA USULUTAN  </t>
        </is>
      </c>
      <c r="B16" s="5" t="inlineStr">
        <is>
          <t>Gerencia de Negocios (Agencias)</t>
        </is>
      </c>
      <c r="C16" s="8">
        <f>COUNTIF('Detalle individual'!$C$5:$C$295, A16)</f>
        <v>7</v>
      </c>
      <c r="D16" s="8">
        <f>COUNTIFS('Detalle individual'!$C$5:$C$295, A16, 'Detalle individual'!$F$5:$F$295, "Completado")</f>
        <v>4</v>
      </c>
      <c r="E16" s="8">
        <f>C16-D16</f>
        <v>3</v>
      </c>
      <c r="F16" s="9">
        <f>IF(C16&gt;0, D16/C16, 0)</f>
        <v>0.571428571428571</v>
      </c>
      <c r="G16" s="4" t="str">
        <f>IF(AND(C16&gt;0, D16=C16), "Completo", "Pendiente")</f>
        <v>Pendiente</v>
      </c>
      <c r="H16" s="7">
        <f>IF(D16&gt;0, IFERROR(AVERAGEIFS('Detalle individual'!$J$5:$J$295, 'Detalle individual'!$C$5:$C$295, A16), ""), "")</f>
        <v>95</v>
      </c>
      <c r="I16" s="6">
        <f>IF(D16&gt;0, IFERROR(_xlfn.MAXIFS('Detalle individual'!$J$5:$J$295, 'Detalle individual'!$C$5:$C$295, A16), ""), "")</f>
        <v>100</v>
      </c>
      <c r="J16" s="6">
        <f>IF(D16&gt;0, IFERROR(_xlfn.MINIFS('Detalle individual'!$J$5:$J$295, 'Detalle individual'!$C$5:$C$295, A16), ""), "")</f>
        <v>80</v>
      </c>
      <c r="K16" s="25">
        <f>IF(D16&gt;0, IFERROR(_xlfn.MINIFS('Detalle individual'!$G$5:$G$295, 'Detalle individual'!$C$5:$C$295, A16), ""), "")</f>
        <v>46301.42581018519</v>
      </c>
      <c r="L16" s="25">
        <f>IF(D16&gt;0, IFERROR(_xlfn.MAXIFS('Detalle individual'!$H$5:$H$295, 'Detalle individual'!$C$5:$C$295, A16), ""), "")</f>
        <v>46303.544328703705</v>
      </c>
      <c r="M16" s="7">
        <f>IF(D16&gt;0, IFERROR(_xlfn.MINIFS('Detalle individual'!$I$5:$I$295, 'Detalle individual'!$C$5:$C$295, A16), ""), "")</f>
        <v>4.41666666666667</v>
      </c>
      <c r="N16" s="7">
        <f>IF(D16&gt;0, IFERROR(AVERAGEIFS('Detalle individual'!$I$5:$I$295, 'Detalle individual'!$C$5:$C$295, A16), ""), "")</f>
        <v>8.72083333333333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>2</v>
      </c>
      <c r="D17" s="8">
        <f>COUNTIFS('Detalle individual'!$C$5:$C$295, A17, 'Detalle individual'!$F$5:$F$295, "Completado")</f>
        <v>2</v>
      </c>
      <c r="E17" s="8">
        <f>C17-D17</f>
        <v>0</v>
      </c>
      <c r="F17" s="9">
        <f>IF(C17&gt;0, D17/C17, 0)</f>
        <v>1</v>
      </c>
      <c r="G17" s="4" t="str">
        <f>IF(AND(C17&gt;0, D17=C17), "Completo", "Pendiente")</f>
        <v>Completo</v>
      </c>
      <c r="H17" s="7">
        <f>IF(D17&gt;0, IFERROR(AVERAGEIFS('Detalle individual'!$J$5:$J$295, 'Detalle individual'!$C$5:$C$295, A17), ""), "")</f>
        <v>100</v>
      </c>
      <c r="I17" s="6">
        <f>IF(D17&gt;0, IFERROR(_xlfn.MAXIFS('Detalle individual'!$J$5:$J$295, 'Detalle individual'!$C$5:$C$295, A17), ""), "")</f>
        <v>100</v>
      </c>
      <c r="J17" s="6">
        <f>IF(D17&gt;0, IFERROR(_xlfn.MINIFS('Detalle individual'!$J$5:$J$295, 'Detalle individual'!$C$5:$C$295, A17), ""), "")</f>
        <v>100</v>
      </c>
      <c r="K17" s="25">
        <f>IF(D17&gt;0, IFERROR(_xlfn.MINIFS('Detalle individual'!$G$5:$G$295, 'Detalle individual'!$C$5:$C$295, A17), ""), "")</f>
        <v>46305.40681712963</v>
      </c>
      <c r="L17" s="25">
        <f>IF(D17&gt;0, IFERROR(_xlfn.MAXIFS('Detalle individual'!$H$5:$H$295, 'Detalle individual'!$C$5:$C$295, A17), ""), "")</f>
        <v>46305.41128472222</v>
      </c>
      <c r="M17" s="7">
        <f>IF(D17&gt;0, IFERROR(_xlfn.MINIFS('Detalle individual'!$I$5:$I$295, 'Detalle individual'!$C$5:$C$295, A17), ""), "")</f>
        <v>2.76666666666667</v>
      </c>
      <c r="N17" s="7">
        <f>IF(D17&gt;0, IFERROR(AVERAGEIFS('Detalle individual'!$I$5:$I$295, 'Detalle individual'!$C$5:$C$295, A17), ""), "")</f>
        <v>3.89999999108333</v>
      </c>
    </row>
    <row r="18">
      <c r="A18" s="5" t="inlineStr">
        <is>
          <t>DEPARTAMENTO COMERCIAL DE TARJETA DE CREDITO Y DEBITO</t>
        </is>
      </c>
      <c r="B18" s="5" t="inlineStr">
        <is>
          <t>Gerencia General</t>
        </is>
      </c>
      <c r="C18" s="8">
        <f>COUNTIF('Detalle individual'!$C$5:$C$295, A18)</f>
        <v>8</v>
      </c>
      <c r="D18" s="8">
        <f>COUNTIFS('Detalle individual'!$C$5:$C$295, A18, 'Detalle individual'!$F$5:$F$295, "Completado")</f>
        <v>4</v>
      </c>
      <c r="E18" s="8">
        <f>C18-D18</f>
        <v>4</v>
      </c>
      <c r="F18" s="9">
        <f>IF(C18&gt;0, D18/C18, 0)</f>
        <v>0.5</v>
      </c>
      <c r="G18" s="4" t="str">
        <f>IF(AND(C18&gt;0, D18=C18), "Completo", "Pendiente")</f>
        <v>Pendiente</v>
      </c>
      <c r="H18" s="7">
        <f>IF(D18&gt;0, IFERROR(AVERAGEIFS('Detalle individual'!$J$5:$J$295, 'Detalle individual'!$C$5:$C$295, A18), ""), "")</f>
        <v>88.75</v>
      </c>
      <c r="I18" s="6">
        <f>IF(D18&gt;0, IFERROR(_xlfn.MAXIFS('Detalle individual'!$J$5:$J$295, 'Detalle individual'!$C$5:$C$295, A18), ""), "")</f>
        <v>100</v>
      </c>
      <c r="J18" s="6">
        <f>IF(D18&gt;0, IFERROR(_xlfn.MINIFS('Detalle individual'!$J$5:$J$295, 'Detalle individual'!$C$5:$C$295, A18), ""), "")</f>
        <v>80</v>
      </c>
      <c r="K18" s="25">
        <f>IF(D18&gt;0, IFERROR(_xlfn.MINIFS('Detalle individual'!$G$5:$G$295, 'Detalle individual'!$C$5:$C$295, A18), ""), "")</f>
        <v>46297.7059375</v>
      </c>
      <c r="L18" s="25">
        <f>IF(D18&gt;0, IFERROR(_xlfn.MAXIFS('Detalle individual'!$H$5:$H$295, 'Detalle individual'!$C$5:$C$295, A18), ""), "")</f>
        <v>46304.7809837963</v>
      </c>
      <c r="M18" s="7">
        <f>IF(D18&gt;0, IFERROR(_xlfn.MINIFS('Detalle individual'!$I$5:$I$295, 'Detalle individual'!$C$5:$C$295, A18), ""), "")</f>
        <v>4.4</v>
      </c>
      <c r="N18" s="7">
        <f>IF(D18&gt;0, IFERROR(AVERAGEIFS('Detalle individual'!$I$5:$I$295, 'Detalle individual'!$C$5:$C$295, A18), ""), "")</f>
        <v>9.1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>11</v>
      </c>
      <c r="D19" s="8">
        <f>COUNTIFS('Detalle individual'!$C$5:$C$295, A19, 'Detalle individual'!$F$5:$F$295, "Completado")</f>
        <v>8</v>
      </c>
      <c r="E19" s="8">
        <f>C19-D19</f>
        <v>3</v>
      </c>
      <c r="F19" s="9">
        <f>IF(C19&gt;0, D19/C19, 0)</f>
        <v>0.727272727272727</v>
      </c>
      <c r="G19" s="4" t="str">
        <f>IF(AND(C19&gt;0, D19=C19), "Completo", "Pendiente")</f>
        <v>Pendiente</v>
      </c>
      <c r="H19" s="7">
        <f>IF(D19&gt;0, IFERROR(AVERAGEIFS('Detalle individual'!$J$5:$J$295, 'Detalle individual'!$C$5:$C$295, A19), ""), "")</f>
        <v>100</v>
      </c>
      <c r="I19" s="6">
        <f>IF(D19&gt;0, IFERROR(_xlfn.MAXIFS('Detalle individual'!$J$5:$J$295, 'Detalle individual'!$C$5:$C$295, A19), ""), "")</f>
        <v>100</v>
      </c>
      <c r="J19" s="6">
        <f>IF(D19&gt;0, IFERROR(_xlfn.MINIFS('Detalle individual'!$J$5:$J$295, 'Detalle individual'!$C$5:$C$295, A19), ""), "")</f>
        <v>100</v>
      </c>
      <c r="K19" s="25">
        <f>IF(D19&gt;0, IFERROR(_xlfn.MINIFS('Detalle individual'!$G$5:$G$295, 'Detalle individual'!$C$5:$C$295, A19), ""), "")</f>
        <v>46296.56962962963</v>
      </c>
      <c r="L19" s="25">
        <f>IF(D19&gt;0, IFERROR(_xlfn.MAXIFS('Detalle individual'!$H$5:$H$295, 'Detalle individual'!$C$5:$C$295, A19), ""), "")</f>
        <v>46304.40027777778</v>
      </c>
      <c r="M19" s="7">
        <f>IF(D19&gt;0, IFERROR(_xlfn.MINIFS('Detalle individual'!$I$5:$I$295, 'Detalle individual'!$C$5:$C$295, A19), ""), "")</f>
        <v>4.48333333333333</v>
      </c>
      <c r="N19" s="7">
        <f>IF(D19&gt;0, IFERROR(AVERAGEIFS('Detalle individual'!$I$5:$I$295, 'Detalle individual'!$C$5:$C$295, A19), ""), "")</f>
        <v>15.9354166666667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>6</v>
      </c>
      <c r="D20" s="8">
        <f>COUNTIFS('Detalle individual'!$C$5:$C$295, A20, 'Detalle individual'!$F$5:$F$295, "Completado")</f>
        <v>2</v>
      </c>
      <c r="E20" s="8">
        <f>C20-D20</f>
        <v>4</v>
      </c>
      <c r="F20" s="9">
        <f>IF(C20&gt;0, D20/C20, 0)</f>
        <v>0.333333333333333</v>
      </c>
      <c r="G20" s="4" t="str">
        <f>IF(AND(C20&gt;0, D20=C20), "Completo", "Pendiente")</f>
        <v>Pendiente</v>
      </c>
      <c r="H20" s="7">
        <f>IF(D20&gt;0, IFERROR(AVERAGEIFS('Detalle individual'!$J$5:$J$295, 'Detalle individual'!$C$5:$C$295, A20), ""), "")</f>
        <v>100</v>
      </c>
      <c r="I20" s="6">
        <f>IF(D20&gt;0, IFERROR(_xlfn.MAXIFS('Detalle individual'!$J$5:$J$295, 'Detalle individual'!$C$5:$C$295, A20), ""), "")</f>
        <v>100</v>
      </c>
      <c r="J20" s="6">
        <f>IF(D20&gt;0, IFERROR(_xlfn.MINIFS('Detalle individual'!$J$5:$J$295, 'Detalle individual'!$C$5:$C$295, A20), ""), "")</f>
        <v>100</v>
      </c>
      <c r="K20" s="25">
        <f>IF(D20&gt;0, IFERROR(_xlfn.MINIFS('Detalle individual'!$G$5:$G$295, 'Detalle individual'!$C$5:$C$295, A20), ""), "")</f>
        <v>46301.48449074074</v>
      </c>
      <c r="L20" s="25">
        <f>IF(D20&gt;0, IFERROR(_xlfn.MAXIFS('Detalle individual'!$H$5:$H$295, 'Detalle individual'!$C$5:$C$295, A20), ""), "")</f>
        <v>46304.37650462963</v>
      </c>
      <c r="M20" s="7">
        <f>IF(D20&gt;0, IFERROR(_xlfn.MINIFS('Detalle individual'!$I$5:$I$295, 'Detalle individual'!$C$5:$C$295, A20), ""), "")</f>
        <v>4.91666666666667</v>
      </c>
      <c r="N20" s="7">
        <f>IF(D20&gt;0, IFERROR(AVERAGEIFS('Detalle individual'!$I$5:$I$295, 'Detalle individual'!$C$5:$C$295, A20), ""), "")</f>
        <v>5.90833333333333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>7</v>
      </c>
      <c r="D21" s="8">
        <f>COUNTIFS('Detalle individual'!$C$5:$C$295, A21, 'Detalle individual'!$F$5:$F$295, "Completado")</f>
        <v>5</v>
      </c>
      <c r="E21" s="8">
        <f>C21-D21</f>
        <v>2</v>
      </c>
      <c r="F21" s="9">
        <f>IF(C21&gt;0, D21/C21, 0)</f>
        <v>0.714285714285714</v>
      </c>
      <c r="G21" s="4" t="str">
        <f>IF(AND(C21&gt;0, D21=C21), "Completo", "Pendiente")</f>
        <v>Pendiente</v>
      </c>
      <c r="H21" s="7">
        <f>IF(D21&gt;0, IFERROR(AVERAGEIFS('Detalle individual'!$J$5:$J$295, 'Detalle individual'!$C$5:$C$295, A21), ""), "")</f>
        <v>96</v>
      </c>
      <c r="I21" s="6">
        <f>IF(D21&gt;0, IFERROR(_xlfn.MAXIFS('Detalle individual'!$J$5:$J$295, 'Detalle individual'!$C$5:$C$295, A21), ""), "")</f>
        <v>100</v>
      </c>
      <c r="J21" s="6">
        <f>IF(D21&gt;0, IFERROR(_xlfn.MINIFS('Detalle individual'!$J$5:$J$295, 'Detalle individual'!$C$5:$C$295, A21), ""), "")</f>
        <v>90</v>
      </c>
      <c r="K21" s="25">
        <f>IF(D21&gt;0, IFERROR(_xlfn.MINIFS('Detalle individual'!$G$5:$G$295, 'Detalle individual'!$C$5:$C$295, A21), ""), "")</f>
        <v>46296.61756944445</v>
      </c>
      <c r="L21" s="25">
        <f>IF(D21&gt;0, IFERROR(_xlfn.MAXIFS('Detalle individual'!$H$5:$H$295, 'Detalle individual'!$C$5:$C$295, A21), ""), "")</f>
        <v>46304.404328703706</v>
      </c>
      <c r="M21" s="7">
        <f>IF(D21&gt;0, IFERROR(_xlfn.MINIFS('Detalle individual'!$I$5:$I$295, 'Detalle individual'!$C$5:$C$295, A21), ""), "")</f>
        <v>3.8</v>
      </c>
      <c r="N21" s="7">
        <f>IF(D21&gt;0, IFERROR(AVERAGEIFS('Detalle individual'!$I$5:$I$295, 'Detalle individual'!$C$5:$C$295, A21), ""), "")</f>
        <v>6.83999999505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>13</v>
      </c>
      <c r="D22" s="8">
        <f>COUNTIFS('Detalle individual'!$C$5:$C$295, A22, 'Detalle individual'!$F$5:$F$295, "Completado")</f>
        <v>7</v>
      </c>
      <c r="E22" s="8">
        <f>C22-D22</f>
        <v>6</v>
      </c>
      <c r="F22" s="9">
        <f>IF(C22&gt;0, D22/C22, 0)</f>
        <v>0.538461538461538</v>
      </c>
      <c r="G22" s="4" t="str">
        <f>IF(AND(C22&gt;0, D22=C22), "Completo", "Pendiente")</f>
        <v>Pendiente</v>
      </c>
      <c r="H22" s="7">
        <f>IF(D22&gt;0, IFERROR(AVERAGEIFS('Detalle individual'!$J$5:$J$295, 'Detalle individual'!$C$5:$C$295, A22), ""), "")</f>
        <v>98.5714285714286</v>
      </c>
      <c r="I22" s="6">
        <f>IF(D22&gt;0, IFERROR(_xlfn.MAXIFS('Detalle individual'!$J$5:$J$295, 'Detalle individual'!$C$5:$C$295, A22), ""), "")</f>
        <v>100</v>
      </c>
      <c r="J22" s="6">
        <f>IF(D22&gt;0, IFERROR(_xlfn.MINIFS('Detalle individual'!$J$5:$J$295, 'Detalle individual'!$C$5:$C$295, A22), ""), "")</f>
        <v>90</v>
      </c>
      <c r="K22" s="25">
        <f>IF(D22&gt;0, IFERROR(_xlfn.MINIFS('Detalle individual'!$G$5:$G$295, 'Detalle individual'!$C$5:$C$295, A22), ""), "")</f>
        <v>46296.61537037037</v>
      </c>
      <c r="L22" s="25">
        <f>IF(D22&gt;0, IFERROR(_xlfn.MAXIFS('Detalle individual'!$H$5:$H$295, 'Detalle individual'!$C$5:$C$295, A22), ""), "")</f>
        <v>46304.4002662037</v>
      </c>
      <c r="M22" s="7">
        <f>IF(D22&gt;0, IFERROR(_xlfn.MINIFS('Detalle individual'!$I$5:$I$295, 'Detalle individual'!$C$5:$C$295, A22), ""), "")</f>
        <v>2.88333333333333</v>
      </c>
      <c r="N22" s="7">
        <f>IF(D22&gt;0, IFERROR(AVERAGEIFS('Detalle individual'!$I$5:$I$295, 'Detalle individual'!$C$5:$C$295, A22), ""), "")</f>
        <v>8.69761904761905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>13</v>
      </c>
      <c r="D23" s="8">
        <f>COUNTIFS('Detalle individual'!$C$5:$C$295, A23, 'Detalle individual'!$F$5:$F$295, "Completado")</f>
        <v>7</v>
      </c>
      <c r="E23" s="8">
        <f>C23-D23</f>
        <v>6</v>
      </c>
      <c r="F23" s="9">
        <f>IF(C23&gt;0, D23/C23, 0)</f>
        <v>0.538461538461538</v>
      </c>
      <c r="G23" s="4" t="str">
        <f>IF(AND(C23&gt;0, D23=C23), "Completo", "Pendiente")</f>
        <v>Pendiente</v>
      </c>
      <c r="H23" s="7">
        <f>IF(D23&gt;0, IFERROR(AVERAGEIFS('Detalle individual'!$J$5:$J$295, 'Detalle individual'!$C$5:$C$295, A23), ""), "")</f>
        <v>97.1428571428571</v>
      </c>
      <c r="I23" s="6">
        <f>IF(D23&gt;0, IFERROR(_xlfn.MAXIFS('Detalle individual'!$J$5:$J$295, 'Detalle individual'!$C$5:$C$295, A23), ""), "")</f>
        <v>100</v>
      </c>
      <c r="J23" s="6">
        <f>IF(D23&gt;0, IFERROR(_xlfn.MINIFS('Detalle individual'!$J$5:$J$295, 'Detalle individual'!$C$5:$C$295, A23), ""), "")</f>
        <v>90</v>
      </c>
      <c r="K23" s="25">
        <f>IF(D23&gt;0, IFERROR(_xlfn.MINIFS('Detalle individual'!$G$5:$G$295, 'Detalle individual'!$C$5:$C$295, A23), ""), "")</f>
        <v>46297.64716435185</v>
      </c>
      <c r="L23" s="25">
        <f>IF(D23&gt;0, IFERROR(_xlfn.MAXIFS('Detalle individual'!$H$5:$H$295, 'Detalle individual'!$C$5:$C$295, A23), ""), "")</f>
        <v>46304.444606481484</v>
      </c>
      <c r="M23" s="7">
        <f>IF(D23&gt;0, IFERROR(_xlfn.MINIFS('Detalle individual'!$I$5:$I$295, 'Detalle individual'!$C$5:$C$295, A23), ""), "")</f>
        <v>5.11666666666667</v>
      </c>
      <c r="N23" s="7">
        <f>IF(D23&gt;0, IFERROR(AVERAGEIFS('Detalle individual'!$I$5:$I$295, 'Detalle individual'!$C$5:$C$295, A23), ""), "")</f>
        <v>11.4761904761905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>6</v>
      </c>
      <c r="D24" s="8">
        <f>COUNTIFS('Detalle individual'!$C$5:$C$295, A24, 'Detalle individual'!$F$5:$F$295,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individual'!$J$5:$J$295, 'Detalle individual'!$C$5:$C$295, A24), ""), "")</f>
        <v>100</v>
      </c>
      <c r="I24" s="6">
        <f>IF(D24&gt;0, IFERROR(_xlfn.MAXIFS('Detalle individual'!$J$5:$J$295, 'Detalle individual'!$C$5:$C$295, A24), ""), "")</f>
        <v>100</v>
      </c>
      <c r="J24" s="6">
        <f>IF(D24&gt;0, IFERROR(_xlfn.MINIFS('Detalle individual'!$J$5:$J$295, 'Detalle individual'!$C$5:$C$295, A24), ""), "")</f>
        <v>100</v>
      </c>
      <c r="K24" s="25">
        <f>IF(D24&gt;0, IFERROR(_xlfn.MINIFS('Detalle individual'!$G$5:$G$295, 'Detalle individual'!$C$5:$C$295, A24), ""), "")</f>
        <v>46298.500914351855</v>
      </c>
      <c r="L24" s="25">
        <f>IF(D24&gt;0, IFERROR(_xlfn.MAXIFS('Detalle individual'!$H$5:$H$295, 'Detalle individual'!$C$5:$C$295, A24), ""), "")</f>
        <v>46304.70379629629</v>
      </c>
      <c r="M24" s="7">
        <f>IF(D24&gt;0, IFERROR(_xlfn.MINIFS('Detalle individual'!$I$5:$I$295, 'Detalle individual'!$C$5:$C$295, A24), ""), "")</f>
        <v>2.11666666666667</v>
      </c>
      <c r="N24" s="7">
        <f>IF(D24&gt;0, IFERROR(AVERAGEIFS('Detalle individual'!$I$5:$I$295, 'Detalle individual'!$C$5:$C$295,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>4</v>
      </c>
      <c r="D25" s="8">
        <f>COUNTIFS('Detalle individual'!$C$5:$C$295, A25, 'Detalle individual'!$F$5:$F$295, "Completado")</f>
        <v>3</v>
      </c>
      <c r="E25" s="8">
        <f>C25-D25</f>
        <v>1</v>
      </c>
      <c r="F25" s="9">
        <f>IF(C25&gt;0, D25/C25, 0)</f>
        <v>0.75</v>
      </c>
      <c r="G25" s="4" t="str">
        <f>IF(AND(C25&gt;0, D25=C25), "Completo", "Pendiente")</f>
        <v>Pendiente</v>
      </c>
      <c r="H25" s="7">
        <f>IF(D25&gt;0, IFERROR(AVERAGEIFS('Detalle individual'!$J$5:$J$295, 'Detalle individual'!$C$5:$C$295, A25), ""), "")</f>
        <v>98.3333333333333</v>
      </c>
      <c r="I25" s="6">
        <f>IF(D25&gt;0, IFERROR(_xlfn.MAXIFS('Detalle individual'!$J$5:$J$295, 'Detalle individual'!$C$5:$C$295, A25), ""), "")</f>
        <v>100</v>
      </c>
      <c r="J25" s="6">
        <f>IF(D25&gt;0, IFERROR(_xlfn.MINIFS('Detalle individual'!$J$5:$J$295, 'Detalle individual'!$C$5:$C$295, A25), ""), "")</f>
        <v>95</v>
      </c>
      <c r="K25" s="25">
        <f>IF(D25&gt;0, IFERROR(_xlfn.MINIFS('Detalle individual'!$G$5:$G$295, 'Detalle individual'!$C$5:$C$295, A25), ""), "")</f>
        <v>46296.56951388889</v>
      </c>
      <c r="L25" s="25">
        <f>IF(D25&gt;0, IFERROR(_xlfn.MAXIFS('Detalle individual'!$H$5:$H$295, 'Detalle individual'!$C$5:$C$295, A25), ""), "")</f>
        <v>46304.692928240744</v>
      </c>
      <c r="M25" s="7">
        <f>IF(D25&gt;0, IFERROR(_xlfn.MINIFS('Detalle individual'!$I$5:$I$295, 'Detalle individual'!$C$5:$C$295, A25), ""), "")</f>
        <v>3.35</v>
      </c>
      <c r="N25" s="7">
        <f>IF(D25&gt;0, IFERROR(AVERAGEIFS('Detalle individual'!$I$5:$I$295, 'Detalle individual'!$C$5:$C$295, A25), ""), "")</f>
        <v>8.38888888888889</v>
      </c>
    </row>
    <row r="26">
      <c r="A26" s="5" t="inlineStr">
        <is>
          <t>DEPARTAMENTO DE EDUCACION Y RESPONSABILIDAD SOCIAL</t>
        </is>
      </c>
      <c r="B26" s="5" t="inlineStr">
        <is>
          <t>Gerencia de Negocios</t>
        </is>
      </c>
      <c r="C26" s="8">
        <f>COUNTIF('Detalle individual'!$C$5:$C$295, A26)</f>
        <v>3</v>
      </c>
      <c r="D26" s="8">
        <f>COUNTIFS('Detalle individual'!$C$5:$C$295, A26, 'Detalle individual'!$F$5:$F$295,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individual'!$J$5:$J$295, 'Detalle individual'!$C$5:$C$295, A26), ""), "")</f>
        <v>100</v>
      </c>
      <c r="I26" s="6">
        <f>IF(D26&gt;0, IFERROR(_xlfn.MAXIFS('Detalle individual'!$J$5:$J$295, 'Detalle individual'!$C$5:$C$295, A26), ""), "")</f>
        <v>100</v>
      </c>
      <c r="J26" s="6">
        <f>IF(D26&gt;0, IFERROR(_xlfn.MINIFS('Detalle individual'!$J$5:$J$295, 'Detalle individual'!$C$5:$C$295, A26), ""), "")</f>
        <v>100</v>
      </c>
      <c r="K26" s="25">
        <f>IF(D26&gt;0, IFERROR(_xlfn.MINIFS('Detalle individual'!$G$5:$G$295, 'Detalle individual'!$C$5:$C$295, A26), ""), "")</f>
        <v>46301.62170138889</v>
      </c>
      <c r="L26" s="25">
        <f>IF(D26&gt;0, IFERROR(_xlfn.MAXIFS('Detalle individual'!$H$5:$H$295, 'Detalle individual'!$C$5:$C$295, A26), ""), "")</f>
        <v>46301.64635416667</v>
      </c>
      <c r="M26" s="7">
        <f>IF(D26&gt;0, IFERROR(_xlfn.MINIFS('Detalle individual'!$I$5:$I$295, 'Detalle individual'!$C$5:$C$295, A26), ""), "")</f>
        <v>35.5</v>
      </c>
      <c r="N26" s="7">
        <f>IF(D26&gt;0, IFERROR(AVERAGEIFS('Detalle individual'!$I$5:$I$295, 'Detalle individual'!$C$5:$C$295,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>7</v>
      </c>
      <c r="D27" s="8">
        <f>COUNTIFS('Detalle individual'!$C$5:$C$295, A27, 'Detalle individual'!$F$5:$F$295, "Completado")</f>
        <v>1</v>
      </c>
      <c r="E27" s="8">
        <f>C27-D27</f>
        <v>6</v>
      </c>
      <c r="F27" s="9">
        <f>IF(C27&gt;0, D27/C27, 0)</f>
        <v>0.142857142857143</v>
      </c>
      <c r="G27" s="4" t="str">
        <f>IF(AND(C27&gt;0, D27=C27), "Completo", "Pendiente")</f>
        <v>Pendiente</v>
      </c>
      <c r="H27" s="7">
        <f>IF(D27&gt;0, IFERROR(AVERAGEIFS('Detalle individual'!$J$5:$J$295, 'Detalle individual'!$C$5:$C$295, A27), ""), "")</f>
        <v>100</v>
      </c>
      <c r="I27" s="6">
        <f>IF(D27&gt;0, IFERROR(_xlfn.MAXIFS('Detalle individual'!$J$5:$J$295, 'Detalle individual'!$C$5:$C$295, A27), ""), "")</f>
        <v>100</v>
      </c>
      <c r="J27" s="6">
        <f>IF(D27&gt;0, IFERROR(_xlfn.MINIFS('Detalle individual'!$J$5:$J$295, 'Detalle individual'!$C$5:$C$295, A27), ""), "")</f>
        <v>100</v>
      </c>
      <c r="K27" s="25">
        <f>IF(D27&gt;0, IFERROR(_xlfn.MINIFS('Detalle individual'!$G$5:$G$295, 'Detalle individual'!$C$5:$C$295, A27), ""), "")</f>
        <v>46301.61615740741</v>
      </c>
      <c r="L27" s="25">
        <f>IF(D27&gt;0, IFERROR(_xlfn.MAXIFS('Detalle individual'!$H$5:$H$295, 'Detalle individual'!$C$5:$C$295, A27), ""), "")</f>
        <v>46301.64126157408</v>
      </c>
      <c r="M27" s="7">
        <f>IF(D27&gt;0, IFERROR(_xlfn.MINIFS('Detalle individual'!$I$5:$I$295, 'Detalle individual'!$C$5:$C$295, A27), ""), "")</f>
        <v>36.15</v>
      </c>
      <c r="N27" s="7">
        <f>IF(D27&gt;0, IFERROR(AVERAGEIFS('Detalle individual'!$I$5:$I$295, 'Detalle individual'!$C$5:$C$295, A27), ""), "")</f>
        <v>36.15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>7</v>
      </c>
      <c r="D28" s="8">
        <f>COUNTIFS('Detalle individual'!$C$5:$C$295, A28, 'Detalle individual'!$F$5:$F$295,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individual'!$J$5:$J$295, 'Detalle individual'!$C$5:$C$295, A28), ""), "")</f>
        <v>100</v>
      </c>
      <c r="I28" s="6">
        <f>IF(D28&gt;0, IFERROR(_xlfn.MAXIFS('Detalle individual'!$J$5:$J$295, 'Detalle individual'!$C$5:$C$295, A28), ""), "")</f>
        <v>100</v>
      </c>
      <c r="J28" s="6">
        <f>IF(D28&gt;0, IFERROR(_xlfn.MINIFS('Detalle individual'!$J$5:$J$295, 'Detalle individual'!$C$5:$C$295, A28), ""), "")</f>
        <v>100</v>
      </c>
      <c r="K28" s="25">
        <f>IF(D28&gt;0, IFERROR(_xlfn.MINIFS('Detalle individual'!$G$5:$G$295, 'Detalle individual'!$C$5:$C$295, A28), ""), "")</f>
        <v>46300.46083333333</v>
      </c>
      <c r="L28" s="25">
        <f>IF(D28&gt;0, IFERROR(_xlfn.MAXIFS('Detalle individual'!$H$5:$H$295, 'Detalle individual'!$C$5:$C$295, A28), ""), "")</f>
        <v>46302.441828703704</v>
      </c>
      <c r="M28" s="7">
        <f>IF(D28&gt;0, IFERROR(_xlfn.MINIFS('Detalle individual'!$I$5:$I$295, 'Detalle individual'!$C$5:$C$295, A28), ""), "")</f>
        <v>3.16666666666667</v>
      </c>
      <c r="N28" s="7">
        <f>IF(D28&gt;0, IFERROR(AVERAGEIFS('Detalle individual'!$I$5:$I$295, 'Detalle individual'!$C$5:$C$295,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>3</v>
      </c>
      <c r="D29" s="8">
        <f>COUNTIFS('Detalle individual'!$C$5:$C$295, A29, 'Detalle individual'!$F$5:$F$295, "Completado")</f>
        <v>0</v>
      </c>
      <c r="E29" s="8">
        <f>C29-D29</f>
        <v>3</v>
      </c>
      <c r="F29" s="9">
        <f>IF(C29&gt;0, D29/C29, 0)</f>
        <v>0</v>
      </c>
      <c r="G29" s="4" t="str">
        <f>IF(AND(C29&gt;0, D29=C29), "Completo", "Pendiente")</f>
        <v>Pendiente</v>
      </c>
      <c r="H29" s="7" t="str">
        <f>IF(D29&gt;0, IFERROR(AVERAGEIFS('Detalle individual'!$J$5:$J$295, 'Detalle individual'!$C$5:$C$295, A29), ""), "")</f>
        <v/>
      </c>
      <c r="I29" s="6" t="str">
        <f>IF(D29&gt;0, IFERROR(_xlfn.MAXIFS('Detalle individual'!$J$5:$J$295, 'Detalle individual'!$C$5:$C$295, A29), ""), "")</f>
        <v/>
      </c>
      <c r="J29" s="6" t="str">
        <f>IF(D29&gt;0, IFERROR(_xlfn.MINIFS('Detalle individual'!$J$5:$J$295, 'Detalle individual'!$C$5:$C$295, A29), ""), "")</f>
        <v/>
      </c>
      <c r="K29" s="25" t="str">
        <f>IF(D29&gt;0, IFERROR(_xlfn.MINIFS('Detalle individual'!$G$5:$G$295, 'Detalle individual'!$C$5:$C$295, A29), ""), "")</f>
        <v/>
      </c>
      <c r="L29" s="25" t="str">
        <f>IF(D29&gt;0, IFERROR(_xlfn.MAXIFS('Detalle individual'!$H$5:$H$295, 'Detalle individual'!$C$5:$C$295, A29), ""), "")</f>
        <v/>
      </c>
      <c r="M29" s="7" t="str">
        <f>IF(D29&gt;0, IFERROR(_xlfn.MINIFS('Detalle individual'!$I$5:$I$295, 'Detalle individual'!$C$5:$C$295, A29), ""), "")</f>
        <v/>
      </c>
      <c r="N29" s="7" t="str">
        <f>IF(D29&gt;0, IFERROR(AVERAGEIFS('Detalle individual'!$I$5:$I$295, 'Detalle individual'!$C$5:$C$295, A29), ""), "")</f>
        <v/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>3</v>
      </c>
      <c r="D30" s="8">
        <f>COUNTIFS('Detalle individual'!$C$5:$C$295, A30, 'Detalle individual'!$F$5:$F$295,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individual'!$J$5:$J$295, 'Detalle individual'!$C$5:$C$295, A30), ""), "")</f>
        <v>100</v>
      </c>
      <c r="I30" s="6">
        <f>IF(D30&gt;0, IFERROR(_xlfn.MAXIFS('Detalle individual'!$J$5:$J$295, 'Detalle individual'!$C$5:$C$295, A30), ""), "")</f>
        <v>100</v>
      </c>
      <c r="J30" s="6">
        <f>IF(D30&gt;0, IFERROR(_xlfn.MINIFS('Detalle individual'!$J$5:$J$295, 'Detalle individual'!$C$5:$C$295, A30), ""), "")</f>
        <v>100</v>
      </c>
      <c r="K30" s="25">
        <f>IF(D30&gt;0, IFERROR(_xlfn.MINIFS('Detalle individual'!$G$5:$G$295, 'Detalle individual'!$C$5:$C$295, A30), ""), "")</f>
        <v>46296.436574074076</v>
      </c>
      <c r="L30" s="25">
        <f>IF(D30&gt;0, IFERROR(_xlfn.MAXIFS('Detalle individual'!$H$5:$H$295, 'Detalle individual'!$C$5:$C$295, A30), ""), "")</f>
        <v>46296.44149305556</v>
      </c>
      <c r="M30" s="7">
        <f>IF(D30&gt;0, IFERROR(_xlfn.MINIFS('Detalle individual'!$I$5:$I$295, 'Detalle individual'!$C$5:$C$295, A30), ""), "")</f>
        <v>6.11666666666667</v>
      </c>
      <c r="N30" s="7">
        <f>IF(D30&gt;0, IFERROR(AVERAGEIFS('Detalle individual'!$I$5:$I$295, 'Detalle individual'!$C$5:$C$295,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>2</v>
      </c>
      <c r="D31" s="8">
        <f>COUNTIFS('Detalle individual'!$C$5:$C$295, A31, 'Detalle individual'!$F$5:$F$295,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individual'!$J$5:$J$295, 'Detalle individual'!$C$5:$C$295, A31), ""), "")</f>
        <v>95</v>
      </c>
      <c r="I31" s="6">
        <f>IF(D31&gt;0, IFERROR(_xlfn.MAXIFS('Detalle individual'!$J$5:$J$295, 'Detalle individual'!$C$5:$C$295, A31), ""), "")</f>
        <v>100</v>
      </c>
      <c r="J31" s="6">
        <f>IF(D31&gt;0, IFERROR(_xlfn.MINIFS('Detalle individual'!$J$5:$J$295, 'Detalle individual'!$C$5:$C$295, A31), ""), "")</f>
        <v>90</v>
      </c>
      <c r="K31" s="25">
        <f>IF(D31&gt;0, IFERROR(_xlfn.MINIFS('Detalle individual'!$G$5:$G$295, 'Detalle individual'!$C$5:$C$295, A31), ""), "")</f>
        <v>46296.454039351855</v>
      </c>
      <c r="L31" s="25">
        <f>IF(D31&gt;0, IFERROR(_xlfn.MAXIFS('Detalle individual'!$H$5:$H$295, 'Detalle individual'!$C$5:$C$295, A31), ""), "")</f>
        <v>46296.46072916667</v>
      </c>
      <c r="M31" s="7">
        <f>IF(D31&gt;0, IFERROR(_xlfn.MINIFS('Detalle individual'!$I$5:$I$295, 'Detalle individual'!$C$5:$C$295, A31), ""), "")</f>
        <v>3.3</v>
      </c>
      <c r="N31" s="7">
        <f>IF(D31&gt;0, IFERROR(AVERAGEIFS('Detalle individual'!$I$5:$I$295, 'Detalle individual'!$C$5:$C$295,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>11</v>
      </c>
      <c r="D32" s="8">
        <f>COUNTIFS('Detalle individual'!$C$5:$C$295, A32, 'Detalle individual'!$F$5:$F$295, "Completado")</f>
        <v>5</v>
      </c>
      <c r="E32" s="8">
        <f>C32-D32</f>
        <v>6</v>
      </c>
      <c r="F32" s="9">
        <f>IF(C32&gt;0, D32/C32, 0)</f>
        <v>0.454545454545455</v>
      </c>
      <c r="G32" s="4" t="str">
        <f>IF(AND(C32&gt;0, D32=C32), "Completo", "Pendiente")</f>
        <v>Pendiente</v>
      </c>
      <c r="H32" s="7">
        <f>IF(D32&gt;0, IFERROR(AVERAGEIFS('Detalle individual'!$J$5:$J$295, 'Detalle individual'!$C$5:$C$295, A32), ""), "")</f>
        <v>96</v>
      </c>
      <c r="I32" s="6">
        <f>IF(D32&gt;0, IFERROR(_xlfn.MAXIFS('Detalle individual'!$J$5:$J$295, 'Detalle individual'!$C$5:$C$295, A32), ""), "")</f>
        <v>100</v>
      </c>
      <c r="J32" s="6">
        <f>IF(D32&gt;0, IFERROR(_xlfn.MINIFS('Detalle individual'!$J$5:$J$295, 'Detalle individual'!$C$5:$C$295, A32), ""), "")</f>
        <v>90</v>
      </c>
      <c r="K32" s="25">
        <f>IF(D32&gt;0, IFERROR(_xlfn.MINIFS('Detalle individual'!$G$5:$G$295, 'Detalle individual'!$C$5:$C$295, A32), ""), "")</f>
        <v>46296.426412037035</v>
      </c>
      <c r="L32" s="25">
        <f>IF(D32&gt;0, IFERROR(_xlfn.MAXIFS('Detalle individual'!$H$5:$H$295, 'Detalle individual'!$C$5:$C$295, A32), ""), "")</f>
        <v>46301.68011574074</v>
      </c>
      <c r="M32" s="7">
        <f>IF(D32&gt;0, IFERROR(_xlfn.MINIFS('Detalle individual'!$I$5:$I$295, 'Detalle individual'!$C$5:$C$295, A32), ""), "")</f>
        <v>7.86666666666667</v>
      </c>
      <c r="N32" s="7">
        <f>IF(D32&gt;0, IFERROR(AVERAGEIFS('Detalle individual'!$I$5:$I$295, 'Detalle individual'!$C$5:$C$295, A32), ""), "")</f>
        <v>18.2866666666667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>17</v>
      </c>
      <c r="D33" s="8">
        <f>COUNTIFS('Detalle individual'!$C$5:$C$295, A33, 'Detalle individual'!$F$5:$F$295, "Completado")</f>
        <v>16</v>
      </c>
      <c r="E33" s="8">
        <f>C33-D33</f>
        <v>1</v>
      </c>
      <c r="F33" s="9">
        <f>IF(C33&gt;0, D33/C33, 0)</f>
        <v>0.941176470588235</v>
      </c>
      <c r="G33" s="4" t="str">
        <f>IF(AND(C33&gt;0, D33=C33), "Completo", "Pendiente")</f>
        <v>Pendiente</v>
      </c>
      <c r="H33" s="7">
        <f>IF(D33&gt;0, IFERROR(AVERAGEIFS('Detalle individual'!$J$5:$J$295, 'Detalle individual'!$C$5:$C$295, A33), ""), "")</f>
        <v>85.625</v>
      </c>
      <c r="I33" s="6">
        <f>IF(D33&gt;0, IFERROR(_xlfn.MAXIFS('Detalle individual'!$J$5:$J$295, 'Detalle individual'!$C$5:$C$295, A33), ""), "")</f>
        <v>100</v>
      </c>
      <c r="J33" s="6">
        <f>IF(D33&gt;0, IFERROR(_xlfn.MINIFS('Detalle individual'!$J$5:$J$295, 'Detalle individual'!$C$5:$C$295, A33), ""), "")</f>
        <v>40</v>
      </c>
      <c r="K33" s="25">
        <f>IF(D33&gt;0, IFERROR(_xlfn.MINIFS('Detalle individual'!$G$5:$G$295, 'Detalle individual'!$C$5:$C$295, A33), ""), "")</f>
        <v>46297.771944444445</v>
      </c>
      <c r="L33" s="25">
        <f>IF(D33&gt;0, IFERROR(_xlfn.MAXIFS('Detalle individual'!$H$5:$H$295, 'Detalle individual'!$C$5:$C$295, A33), ""), "")</f>
        <v>46304.520787037036</v>
      </c>
      <c r="M33" s="7">
        <f>IF(D33&gt;0, IFERROR(_xlfn.MINIFS('Detalle individual'!$I$5:$I$295, 'Detalle individual'!$C$5:$C$295, A33), ""), "")</f>
        <v>2.38333333333333</v>
      </c>
      <c r="N33" s="7">
        <f>IF(D33&gt;0, IFERROR(AVERAGEIFS('Detalle individual'!$I$5:$I$295, 'Detalle individual'!$C$5:$C$295, A33), ""), "")</f>
        <v>12.6072916666667</v>
      </c>
    </row>
    <row r="34">
      <c r="A34" s="5" t="inlineStr">
        <is>
          <t>DEPARTAMENTO DE SOLUCIONES FINANCIERAS</t>
        </is>
      </c>
      <c r="B34" s="5" t="inlineStr">
        <is>
          <t>Gerencia de Negocios</t>
        </is>
      </c>
      <c r="C34" s="8">
        <f>COUNTIF('Detalle individual'!$C$5:$C$295, A34)</f>
        <v>10</v>
      </c>
      <c r="D34" s="8">
        <f>COUNTIFS('Detalle individual'!$C$5:$C$295, A34, 'Detalle individual'!$F$5:$F$295, "Completado")</f>
        <v>3</v>
      </c>
      <c r="E34" s="8">
        <f>C34-D34</f>
        <v>7</v>
      </c>
      <c r="F34" s="9">
        <f>IF(C34&gt;0, D34/C34, 0)</f>
        <v>0.3</v>
      </c>
      <c r="G34" s="4" t="str">
        <f>IF(AND(C34&gt;0, D34=C34), "Completo", "Pendiente")</f>
        <v>Pendiente</v>
      </c>
      <c r="H34" s="7">
        <f>IF(D34&gt;0, IFERROR(AVERAGEIFS('Detalle individual'!$J$5:$J$295, 'Detalle individual'!$C$5:$C$295, A34), ""), "")</f>
        <v>93.3333333333333</v>
      </c>
      <c r="I34" s="6">
        <f>IF(D34&gt;0, IFERROR(_xlfn.MAXIFS('Detalle individual'!$J$5:$J$295, 'Detalle individual'!$C$5:$C$295, A34), ""), "")</f>
        <v>100</v>
      </c>
      <c r="J34" s="6">
        <f>IF(D34&gt;0, IFERROR(_xlfn.MINIFS('Detalle individual'!$J$5:$J$295, 'Detalle individual'!$C$5:$C$295, A34), ""), "")</f>
        <v>80</v>
      </c>
      <c r="K34" s="25">
        <f>IF(D34&gt;0, IFERROR(_xlfn.MINIFS('Detalle individual'!$G$5:$G$295, 'Detalle individual'!$C$5:$C$295, A34), ""), "")</f>
        <v>46304.373240740744</v>
      </c>
      <c r="L34" s="25">
        <f>IF(D34&gt;0, IFERROR(_xlfn.MAXIFS('Detalle individual'!$H$5:$H$295, 'Detalle individual'!$C$5:$C$295, A34), ""), "")</f>
        <v>46305.41322916667</v>
      </c>
      <c r="M34" s="7">
        <f>IF(D34&gt;0, IFERROR(_xlfn.MINIFS('Detalle individual'!$I$5:$I$295, 'Detalle individual'!$C$5:$C$295, A34), ""), "")</f>
        <v>3.03333333333333</v>
      </c>
      <c r="N34" s="7">
        <f>IF(D34&gt;0, IFERROR(AVERAGEIFS('Detalle individual'!$I$5:$I$295, 'Detalle individual'!$C$5:$C$295, A34), ""), "")</f>
        <v>7.28333333333333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>3</v>
      </c>
      <c r="D35" s="8">
        <f>COUNTIFS('Detalle individual'!$C$5:$C$295, A35, 'Detalle individual'!$F$5:$F$295,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individual'!$J$5:$J$295, 'Detalle individual'!$C$5:$C$295, A35), ""), "")</f>
        <v>95</v>
      </c>
      <c r="I35" s="6">
        <f>IF(D35&gt;0, IFERROR(_xlfn.MAXIFS('Detalle individual'!$J$5:$J$295, 'Detalle individual'!$C$5:$C$295, A35), ""), "")</f>
        <v>100</v>
      </c>
      <c r="J35" s="6">
        <f>IF(D35&gt;0, IFERROR(_xlfn.MINIFS('Detalle individual'!$J$5:$J$295, 'Detalle individual'!$C$5:$C$295, A35), ""), "")</f>
        <v>90</v>
      </c>
      <c r="K35" s="25">
        <f>IF(D35&gt;0, IFERROR(_xlfn.MINIFS('Detalle individual'!$G$5:$G$295, 'Detalle individual'!$C$5:$C$295, A35), ""), "")</f>
        <v>46304.40207175926</v>
      </c>
      <c r="L35" s="25">
        <f>IF(D35&gt;0, IFERROR(_xlfn.MAXIFS('Detalle individual'!$H$5:$H$295, 'Detalle individual'!$C$5:$C$295, A35), ""), "")</f>
        <v>46304.52142361111</v>
      </c>
      <c r="M35" s="7">
        <f>IF(D35&gt;0, IFERROR(_xlfn.MINIFS('Detalle individual'!$I$5:$I$295, 'Detalle individual'!$C$5:$C$295, A35), ""), "")</f>
        <v>5.66666666666667</v>
      </c>
      <c r="N35" s="7">
        <f>IF(D35&gt;0, IFERROR(AVERAGEIFS('Detalle individual'!$I$5:$I$295, 'Detalle individual'!$C$5:$C$295,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>6</v>
      </c>
      <c r="D36" s="8">
        <f>COUNTIFS('Detalle individual'!$C$5:$C$295, A36, 'Detalle individual'!$F$5:$F$295, "Completado")</f>
        <v>3</v>
      </c>
      <c r="E36" s="8">
        <f>C36-D36</f>
        <v>3</v>
      </c>
      <c r="F36" s="9">
        <f>IF(C36&gt;0, D36/C36, 0)</f>
        <v>0.5</v>
      </c>
      <c r="G36" s="4" t="str">
        <f>IF(AND(C36&gt;0, D36=C36), "Completo", "Pendiente")</f>
        <v>Pendiente</v>
      </c>
      <c r="H36" s="7">
        <f>IF(D36&gt;0, IFERROR(AVERAGEIFS('Detalle individual'!$J$5:$J$295, 'Detalle individual'!$C$5:$C$295, A36), ""), "")</f>
        <v>98.3333333333333</v>
      </c>
      <c r="I36" s="6">
        <f>IF(D36&gt;0, IFERROR(_xlfn.MAXIFS('Detalle individual'!$J$5:$J$295, 'Detalle individual'!$C$5:$C$295, A36), ""), "")</f>
        <v>100</v>
      </c>
      <c r="J36" s="6">
        <f>IF(D36&gt;0, IFERROR(_xlfn.MINIFS('Detalle individual'!$J$5:$J$295, 'Detalle individual'!$C$5:$C$295, A36), ""), "")</f>
        <v>95</v>
      </c>
      <c r="K36" s="25">
        <f>IF(D36&gt;0, IFERROR(_xlfn.MINIFS('Detalle individual'!$G$5:$G$295, 'Detalle individual'!$C$5:$C$295, A36), ""), "")</f>
        <v>46296.646261574075</v>
      </c>
      <c r="L36" s="25">
        <f>IF(D36&gt;0, IFERROR(_xlfn.MAXIFS('Detalle individual'!$H$5:$H$295, 'Detalle individual'!$C$5:$C$295, A36), ""), "")</f>
        <v>46304.57939814815</v>
      </c>
      <c r="M36" s="7">
        <f>IF(D36&gt;0, IFERROR(_xlfn.MINIFS('Detalle individual'!$I$5:$I$295, 'Detalle individual'!$C$5:$C$295, A36), ""), "")</f>
        <v>1.68333333333333</v>
      </c>
      <c r="N36" s="7">
        <f>IF(D36&gt;0, IFERROR(AVERAGEIFS('Detalle individual'!$I$5:$I$295, 'Detalle individual'!$C$5:$C$295, A36), ""), "")</f>
        <v>8.27222222222222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>8</v>
      </c>
      <c r="D37" s="8">
        <f>COUNTIFS('Detalle individual'!$C$5:$C$295, A37, 'Detalle individual'!$F$5:$F$295, "Completado")</f>
        <v>2</v>
      </c>
      <c r="E37" s="8">
        <f>C37-D37</f>
        <v>6</v>
      </c>
      <c r="F37" s="9">
        <f>IF(C37&gt;0, D37/C37, 0)</f>
        <v>0.25</v>
      </c>
      <c r="G37" s="4" t="str">
        <f>IF(AND(C37&gt;0, D37=C37), "Completo", "Pendiente")</f>
        <v>Pendiente</v>
      </c>
      <c r="H37" s="7">
        <f>IF(D37&gt;0, IFERROR(AVERAGEIFS('Detalle individual'!$J$5:$J$295, 'Detalle individual'!$C$5:$C$295, A37), ""), "")</f>
        <v>95</v>
      </c>
      <c r="I37" s="6">
        <f>IF(D37&gt;0, IFERROR(_xlfn.MAXIFS('Detalle individual'!$J$5:$J$295, 'Detalle individual'!$C$5:$C$295, A37), ""), "")</f>
        <v>100</v>
      </c>
      <c r="J37" s="6">
        <f>IF(D37&gt;0, IFERROR(_xlfn.MINIFS('Detalle individual'!$J$5:$J$295, 'Detalle individual'!$C$5:$C$295, A37), ""), "")</f>
        <v>90</v>
      </c>
      <c r="K37" s="25">
        <f>IF(D37&gt;0, IFERROR(_xlfn.MINIFS('Detalle individual'!$G$5:$G$295, 'Detalle individual'!$C$5:$C$295, A37), ""), "")</f>
        <v>46300.62287037037</v>
      </c>
      <c r="L37" s="25">
        <f>IF(D37&gt;0, IFERROR(_xlfn.MAXIFS('Detalle individual'!$H$5:$H$295, 'Detalle individual'!$C$5:$C$295, A37), ""), "")</f>
        <v>46304.703680555554</v>
      </c>
      <c r="M37" s="7">
        <f>IF(D37&gt;0, IFERROR(_xlfn.MINIFS('Detalle individual'!$I$5:$I$295, 'Detalle individual'!$C$5:$C$295, A37), ""), "")</f>
        <v>8.08333333333333</v>
      </c>
      <c r="N37" s="7">
        <f>IF(D37&gt;0, IFERROR(AVERAGEIFS('Detalle individual'!$I$5:$I$295, 'Detalle individual'!$C$5:$C$295, A37), ""), "")</f>
        <v>9.59166666666667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>2</v>
      </c>
      <c r="D38" s="8">
        <f>COUNTIFS('Detalle individual'!$C$5:$C$295, A38, 'Detalle individual'!$F$5:$F$295, "Completado")</f>
        <v>1</v>
      </c>
      <c r="E38" s="8">
        <f>C38-D38</f>
        <v>1</v>
      </c>
      <c r="F38" s="9">
        <f>IF(C38&gt;0, D38/C38, 0)</f>
        <v>0.5</v>
      </c>
      <c r="G38" s="4" t="str">
        <f>IF(AND(C38&gt;0, D38=C38), "Completo", "Pendiente")</f>
        <v>Pendiente</v>
      </c>
      <c r="H38" s="7">
        <f>IF(D38&gt;0, IFERROR(AVERAGEIFS('Detalle individual'!$J$5:$J$295, 'Detalle individual'!$C$5:$C$295, A38), ""), "")</f>
        <v>100</v>
      </c>
      <c r="I38" s="6">
        <f>IF(D38&gt;0, IFERROR(_xlfn.MAXIFS('Detalle individual'!$J$5:$J$295, 'Detalle individual'!$C$5:$C$295, A38), ""), "")</f>
        <v>100</v>
      </c>
      <c r="J38" s="6">
        <f>IF(D38&gt;0, IFERROR(_xlfn.MINIFS('Detalle individual'!$J$5:$J$295, 'Detalle individual'!$C$5:$C$295, A38), ""), "")</f>
        <v>100</v>
      </c>
      <c r="K38" s="25">
        <f>IF(D38&gt;0, IFERROR(_xlfn.MINIFS('Detalle individual'!$G$5:$G$295, 'Detalle individual'!$C$5:$C$295, A38), ""), "")</f>
        <v>46297.636770833335</v>
      </c>
      <c r="L38" s="25">
        <f>IF(D38&gt;0, IFERROR(_xlfn.MAXIFS('Detalle individual'!$H$5:$H$295, 'Detalle individual'!$C$5:$C$295, A38), ""), "")</f>
        <v>46297.63836805556</v>
      </c>
      <c r="M38" s="7">
        <f>IF(D38&gt;0, IFERROR(_xlfn.MINIFS('Detalle individual'!$I$5:$I$295, 'Detalle individual'!$C$5:$C$295, A38), ""), "")</f>
        <v>2.3</v>
      </c>
      <c r="N38" s="7">
        <f>IF(D38&gt;0, IFERROR(AVERAGEIFS('Detalle individual'!$I$5:$I$295, 'Detalle individual'!$C$5:$C$295, A38), ""), "")</f>
        <v>2.3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>2</v>
      </c>
      <c r="D39" s="8">
        <f>COUNTIFS('Detalle individual'!$C$5:$C$295, A39, 'Detalle individual'!$F$5:$F$295, "Completado")</f>
        <v>1</v>
      </c>
      <c r="E39" s="8">
        <f>C39-D39</f>
        <v>1</v>
      </c>
      <c r="F39" s="9">
        <f>IF(C39&gt;0, D39/C39, 0)</f>
        <v>0.5</v>
      </c>
      <c r="G39" s="4" t="str">
        <f>IF(AND(C39&gt;0, D39=C39), "Completo", "Pendiente")</f>
        <v>Pendiente</v>
      </c>
      <c r="H39" s="7">
        <f>IF(D39&gt;0, IFERROR(AVERAGEIFS('Detalle individual'!$J$5:$J$295, 'Detalle individual'!$C$5:$C$295, A39), ""), "")</f>
        <v>100</v>
      </c>
      <c r="I39" s="6">
        <f>IF(D39&gt;0, IFERROR(_xlfn.MAXIFS('Detalle individual'!$J$5:$J$295, 'Detalle individual'!$C$5:$C$295, A39), ""), "")</f>
        <v>100</v>
      </c>
      <c r="J39" s="6">
        <f>IF(D39&gt;0, IFERROR(_xlfn.MINIFS('Detalle individual'!$J$5:$J$295, 'Detalle individual'!$C$5:$C$295, A39), ""), "")</f>
        <v>100</v>
      </c>
      <c r="K39" s="25">
        <f>IF(D39&gt;0, IFERROR(_xlfn.MINIFS('Detalle individual'!$G$5:$G$295, 'Detalle individual'!$C$5:$C$295, A39), ""), "")</f>
        <v>46296.42706018518</v>
      </c>
      <c r="L39" s="25">
        <f>IF(D39&gt;0, IFERROR(_xlfn.MAXIFS('Detalle individual'!$H$5:$H$295, 'Detalle individual'!$C$5:$C$295, A39), ""), "")</f>
        <v>46296.429560185185</v>
      </c>
      <c r="M39" s="7">
        <f>IF(D39&gt;0, IFERROR(_xlfn.MINIFS('Detalle individual'!$I$5:$I$295, 'Detalle individual'!$C$5:$C$295, A39), ""), "")</f>
        <v>3.6</v>
      </c>
      <c r="N39" s="7">
        <f>IF(D39&gt;0, IFERROR(AVERAGEIFS('Detalle individual'!$I$5:$I$295, 'Detalle individual'!$C$5:$C$295, A39), ""), "")</f>
        <v>3.6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>4</v>
      </c>
      <c r="D40" s="8">
        <f>COUNTIFS('Detalle individual'!$C$5:$C$295, A40, 'Detalle individual'!$F$5:$F$295,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individual'!$J$5:$J$295, 'Detalle individual'!$C$5:$C$295, A40), ""), "")</f>
        <v>100</v>
      </c>
      <c r="I40" s="6">
        <f>IF(D40&gt;0, IFERROR(_xlfn.MAXIFS('Detalle individual'!$J$5:$J$295, 'Detalle individual'!$C$5:$C$295, A40), ""), "")</f>
        <v>100</v>
      </c>
      <c r="J40" s="6">
        <f>IF(D40&gt;0, IFERROR(_xlfn.MINIFS('Detalle individual'!$J$5:$J$295, 'Detalle individual'!$C$5:$C$295, A40), ""), "")</f>
        <v>100</v>
      </c>
      <c r="K40" s="25">
        <f>IF(D40&gt;0, IFERROR(_xlfn.MINIFS('Detalle individual'!$G$5:$G$295, 'Detalle individual'!$C$5:$C$295, A40), ""), "")</f>
        <v>46296.45108796296</v>
      </c>
      <c r="L40" s="25">
        <f>IF(D40&gt;0, IFERROR(_xlfn.MAXIFS('Detalle individual'!$H$5:$H$295, 'Detalle individual'!$C$5:$C$295, A40), ""), "")</f>
        <v>46301.440300925926</v>
      </c>
      <c r="M40" s="7">
        <f>IF(D40&gt;0, IFERROR(_xlfn.MINIFS('Detalle individual'!$I$5:$I$295, 'Detalle individual'!$C$5:$C$295, A40), ""), "")</f>
        <v>3.73333333333333</v>
      </c>
      <c r="N40" s="7">
        <f>IF(D40&gt;0, IFERROR(AVERAGEIFS('Detalle individual'!$I$5:$I$295, 'Detalle individual'!$C$5:$C$295,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>1</v>
      </c>
      <c r="D41" s="8">
        <f>COUNTIFS('Detalle individual'!$C$5:$C$295, A41, 'Detalle individual'!$F$5:$F$295,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individual'!$J$5:$J$295, 'Detalle individual'!$C$5:$C$295, A41), ""), "")</f>
        <v/>
      </c>
      <c r="I41" s="6" t="str">
        <f>IF(D41&gt;0, IFERROR(_xlfn.MAXIFS('Detalle individual'!$J$5:$J$295, 'Detalle individual'!$C$5:$C$295, A41), ""), "")</f>
        <v/>
      </c>
      <c r="J41" s="6" t="str">
        <f>IF(D41&gt;0, IFERROR(_xlfn.MINIFS('Detalle individual'!$J$5:$J$295, 'Detalle individual'!$C$5:$C$295, A41), ""), "")</f>
        <v/>
      </c>
      <c r="K41" s="25" t="str">
        <f>IF(D41&gt;0, IFERROR(_xlfn.MINIFS('Detalle individual'!$G$5:$G$295, 'Detalle individual'!$C$5:$C$295, A41), ""), "")</f>
        <v/>
      </c>
      <c r="L41" s="25" t="str">
        <f>IF(D41&gt;0, IFERROR(_xlfn.MAXIFS('Detalle individual'!$H$5:$H$295, 'Detalle individual'!$C$5:$C$295, A41), ""), "")</f>
        <v/>
      </c>
      <c r="M41" s="7" t="str">
        <f>IF(D41&gt;0, IFERROR(_xlfn.MINIFS('Detalle individual'!$I$5:$I$295, 'Detalle individual'!$C$5:$C$295, A41), ""), "")</f>
        <v/>
      </c>
      <c r="N41" s="7" t="str">
        <f>IF(D41&gt;0, IFERROR(AVERAGEIFS('Detalle individual'!$I$5:$I$295, 'Detalle individual'!$C$5:$C$295,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>4</v>
      </c>
      <c r="D42" s="8">
        <f>COUNTIFS('Detalle individual'!$C$5:$C$295, A42, 'Detalle individual'!$F$5:$F$295, "Completado")</f>
        <v>2</v>
      </c>
      <c r="E42" s="8">
        <f>C42-D42</f>
        <v>2</v>
      </c>
      <c r="F42" s="9">
        <f>IF(C42&gt;0, D42/C42, 0)</f>
        <v>0.5</v>
      </c>
      <c r="G42" s="4" t="str">
        <f>IF(AND(C42&gt;0, D42=C42), "Completo", "Pendiente")</f>
        <v>Pendiente</v>
      </c>
      <c r="H42" s="7">
        <f>IF(D42&gt;0, IFERROR(AVERAGEIFS('Detalle individual'!$J$5:$J$295, 'Detalle individual'!$C$5:$C$295, A42), ""), "")</f>
        <v>97.5</v>
      </c>
      <c r="I42" s="6">
        <f>IF(D42&gt;0, IFERROR(_xlfn.MAXIFS('Detalle individual'!$J$5:$J$295, 'Detalle individual'!$C$5:$C$295, A42), ""), "")</f>
        <v>100</v>
      </c>
      <c r="J42" s="6">
        <f>IF(D42&gt;0, IFERROR(_xlfn.MINIFS('Detalle individual'!$J$5:$J$295, 'Detalle individual'!$C$5:$C$295, A42), ""), "")</f>
        <v>95</v>
      </c>
      <c r="K42" s="25">
        <f>IF(D42&gt;0, IFERROR(_xlfn.MINIFS('Detalle individual'!$G$5:$G$295, 'Detalle individual'!$C$5:$C$295, A42), ""), "")</f>
        <v>46300.582349537035</v>
      </c>
      <c r="L42" s="25">
        <f>IF(D42&gt;0, IFERROR(_xlfn.MAXIFS('Detalle individual'!$H$5:$H$295, 'Detalle individual'!$C$5:$C$295, A42), ""), "")</f>
        <v>46304.407905092594</v>
      </c>
      <c r="M42" s="7">
        <f>IF(D42&gt;0, IFERROR(_xlfn.MINIFS('Detalle individual'!$I$5:$I$295, 'Detalle individual'!$C$5:$C$295, A42), ""), "")</f>
        <v>3.45</v>
      </c>
      <c r="N42" s="7">
        <f>IF(D42&gt;0, IFERROR(AVERAGEIFS('Detalle individual'!$I$5:$I$295, 'Detalle individual'!$C$5:$C$295, A42), ""), "")</f>
        <v>4.90833333333333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>2</v>
      </c>
      <c r="D43" s="8">
        <f>COUNTIFS('Detalle individual'!$C$5:$C$295, A43, 'Detalle individual'!$F$5:$F$295, "Completado")</f>
        <v>1</v>
      </c>
      <c r="E43" s="8">
        <f>C43-D43</f>
        <v>1</v>
      </c>
      <c r="F43" s="9">
        <f>IF(C43&gt;0, D43/C43, 0)</f>
        <v>0.5</v>
      </c>
      <c r="G43" s="4" t="str">
        <f>IF(AND(C43&gt;0, D43=C43), "Completo", "Pendiente")</f>
        <v>Pendiente</v>
      </c>
      <c r="H43" s="7">
        <f>IF(D43&gt;0, IFERROR(AVERAGEIFS('Detalle individual'!$J$5:$J$295, 'Detalle individual'!$C$5:$C$295, A43), ""), "")</f>
        <v>100</v>
      </c>
      <c r="I43" s="6">
        <f>IF(D43&gt;0, IFERROR(_xlfn.MAXIFS('Detalle individual'!$J$5:$J$295, 'Detalle individual'!$C$5:$C$295, A43), ""), "")</f>
        <v>100</v>
      </c>
      <c r="J43" s="6">
        <f>IF(D43&gt;0, IFERROR(_xlfn.MINIFS('Detalle individual'!$J$5:$J$295, 'Detalle individual'!$C$5:$C$295, A43), ""), "")</f>
        <v>100</v>
      </c>
      <c r="K43" s="25">
        <f>IF(D43&gt;0, IFERROR(_xlfn.MINIFS('Detalle individual'!$G$5:$G$295, 'Detalle individual'!$C$5:$C$295, A43), ""), "")</f>
        <v>46305.40667824074</v>
      </c>
      <c r="L43" s="25">
        <f>IF(D43&gt;0, IFERROR(_xlfn.MAXIFS('Detalle individual'!$H$5:$H$295, 'Detalle individual'!$C$5:$C$295, A43), ""), "")</f>
        <v>46305.40980324074</v>
      </c>
      <c r="M43" s="7">
        <f>IF(D43&gt;0, IFERROR(_xlfn.MINIFS('Detalle individual'!$I$5:$I$295, 'Detalle individual'!$C$5:$C$295, A43), ""), "")</f>
        <v>4.5</v>
      </c>
      <c r="N43" s="7">
        <f>IF(D43&gt;0, IFERROR(AVERAGEIFS('Detalle individual'!$I$5:$I$295, 'Detalle individual'!$C$5:$C$295, A43), ""), "")</f>
        <v>4.5</v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>1</v>
      </c>
      <c r="D44" s="8">
        <f>COUNTIFS('Detalle individual'!$C$5:$C$295, A44, 'Detalle individual'!$F$5:$F$295,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individual'!$J$5:$J$295, 'Detalle individual'!$C$5:$C$295, A44), ""), "")</f>
        <v>100</v>
      </c>
      <c r="I44" s="6">
        <f>IF(D44&gt;0, IFERROR(_xlfn.MAXIFS('Detalle individual'!$J$5:$J$295, 'Detalle individual'!$C$5:$C$295, A44), ""), "")</f>
        <v>100</v>
      </c>
      <c r="J44" s="6">
        <f>IF(D44&gt;0, IFERROR(_xlfn.MINIFS('Detalle individual'!$J$5:$J$295, 'Detalle individual'!$C$5:$C$295, A44), ""), "")</f>
        <v>100</v>
      </c>
      <c r="K44" s="25">
        <f>IF(D44&gt;0, IFERROR(_xlfn.MINIFS('Detalle individual'!$G$5:$G$295, 'Detalle individual'!$C$5:$C$295, A44), ""), "")</f>
        <v>46304.69274305556</v>
      </c>
      <c r="L44" s="25">
        <f>IF(D44&gt;0, IFERROR(_xlfn.MAXIFS('Detalle individual'!$H$5:$H$295, 'Detalle individual'!$C$5:$C$295, A44), ""), "")</f>
        <v>46304.69452546296</v>
      </c>
      <c r="M44" s="7">
        <f>IF(D44&gt;0, IFERROR(_xlfn.MINIFS('Detalle individual'!$I$5:$I$295, 'Detalle individual'!$C$5:$C$295, A44), ""), "")</f>
        <v>2.56666666666667</v>
      </c>
      <c r="N44" s="7">
        <f>IF(D44&gt;0, IFERROR(AVERAGEIFS('Detalle individual'!$I$5:$I$295, 'Detalle individual'!$C$5:$C$295,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>7</v>
      </c>
      <c r="D45" s="8">
        <f>COUNTIFS('Detalle individual'!$C$5:$C$295, A45, 'Detalle individual'!$F$5:$F$295,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individual'!$J$5:$J$295, 'Detalle individual'!$C$5:$C$295, A45), ""), "")</f>
        <v>100</v>
      </c>
      <c r="I45" s="6">
        <f>IF(D45&gt;0, IFERROR(_xlfn.MAXIFS('Detalle individual'!$J$5:$J$295, 'Detalle individual'!$C$5:$C$295, A45), ""), "")</f>
        <v>100</v>
      </c>
      <c r="J45" s="6">
        <f>IF(D45&gt;0, IFERROR(_xlfn.MINIFS('Detalle individual'!$J$5:$J$295, 'Detalle individual'!$C$5:$C$295, A45), ""), "")</f>
        <v>100</v>
      </c>
      <c r="K45" s="25">
        <f>IF(D45&gt;0, IFERROR(_xlfn.MINIFS('Detalle individual'!$G$5:$G$295, 'Detalle individual'!$C$5:$C$295, A45), ""), "")</f>
        <v>46296.47011574074</v>
      </c>
      <c r="L45" s="25">
        <f>IF(D45&gt;0, IFERROR(_xlfn.MAXIFS('Detalle individual'!$H$5:$H$295, 'Detalle individual'!$C$5:$C$295, A45), ""), "")</f>
        <v>46296.49747685185</v>
      </c>
      <c r="M45" s="7">
        <f>IF(D45&gt;0, IFERROR(_xlfn.MINIFS('Detalle individual'!$I$5:$I$295, 'Detalle individual'!$C$5:$C$295, A45), ""), "")</f>
        <v>9.16666666666667</v>
      </c>
      <c r="N45" s="7">
        <f>IF(D45&gt;0, IFERROR(AVERAGEIFS('Detalle individual'!$I$5:$I$295, 'Detalle individual'!$C$5:$C$295,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>4</v>
      </c>
      <c r="D46" s="8">
        <f>COUNTIFS('Detalle individual'!$C$5:$C$295, A46, 'Detalle individual'!$F$5:$F$295,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individual'!$J$5:$J$295, 'Detalle individual'!$C$5:$C$295, A46), ""), "")</f>
        <v>96.25</v>
      </c>
      <c r="I46" s="6">
        <f>IF(D46&gt;0, IFERROR(_xlfn.MAXIFS('Detalle individual'!$J$5:$J$295, 'Detalle individual'!$C$5:$C$295, A46), ""), "")</f>
        <v>100</v>
      </c>
      <c r="J46" s="6">
        <f>IF(D46&gt;0, IFERROR(_xlfn.MINIFS('Detalle individual'!$J$5:$J$295, 'Detalle individual'!$C$5:$C$295, A46), ""), "")</f>
        <v>85</v>
      </c>
      <c r="K46" s="25">
        <f>IF(D46&gt;0, IFERROR(_xlfn.MINIFS('Detalle individual'!$G$5:$G$295, 'Detalle individual'!$C$5:$C$295, A46), ""), "")</f>
        <v>46296.44081018519</v>
      </c>
      <c r="L46" s="25">
        <f>IF(D46&gt;0, IFERROR(_xlfn.MAXIFS('Detalle individual'!$H$5:$H$295, 'Detalle individual'!$C$5:$C$295, A46), ""), "")</f>
        <v>46296.44909722222</v>
      </c>
      <c r="M46" s="7">
        <f>IF(D46&gt;0, IFERROR(_xlfn.MINIFS('Detalle individual'!$I$5:$I$295, 'Detalle individual'!$C$5:$C$295, A46), ""), "")</f>
        <v>9.06666666666667</v>
      </c>
      <c r="N46" s="7">
        <f>IF(D46&gt;0, IFERROR(AVERAGEIFS('Detalle individual'!$I$5:$I$295, 'Detalle individual'!$C$5:$C$295,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>7</v>
      </c>
      <c r="D47" s="8">
        <f>COUNTIFS('Detalle individual'!$C$5:$C$295, A47, 'Detalle individual'!$F$5:$F$295, "Completado")</f>
        <v>2</v>
      </c>
      <c r="E47" s="8">
        <f>C47-D47</f>
        <v>5</v>
      </c>
      <c r="F47" s="9">
        <f>IF(C47&gt;0, D47/C47, 0)</f>
        <v>0.285714285714286</v>
      </c>
      <c r="G47" s="4" t="str">
        <f>IF(AND(C47&gt;0, D47=C47), "Completo", "Pendiente")</f>
        <v>Pendiente</v>
      </c>
      <c r="H47" s="7">
        <f>IF(D47&gt;0, IFERROR(AVERAGEIFS('Detalle individual'!$J$5:$J$295, 'Detalle individual'!$C$5:$C$295, A47), ""), "")</f>
        <v>100</v>
      </c>
      <c r="I47" s="6">
        <f>IF(D47&gt;0, IFERROR(_xlfn.MAXIFS('Detalle individual'!$J$5:$J$295, 'Detalle individual'!$C$5:$C$295, A47), ""), "")</f>
        <v>100</v>
      </c>
      <c r="J47" s="6">
        <f>IF(D47&gt;0, IFERROR(_xlfn.MINIFS('Detalle individual'!$J$5:$J$295, 'Detalle individual'!$C$5:$C$295, A47), ""), "")</f>
        <v>100</v>
      </c>
      <c r="K47" s="25">
        <f>IF(D47&gt;0, IFERROR(_xlfn.MINIFS('Detalle individual'!$G$5:$G$295, 'Detalle individual'!$C$5:$C$295, A47), ""), "")</f>
        <v>46300.40697916667</v>
      </c>
      <c r="L47" s="25">
        <f>IF(D47&gt;0, IFERROR(_xlfn.MAXIFS('Detalle individual'!$H$5:$H$295, 'Detalle individual'!$C$5:$C$295, A47), ""), "")</f>
        <v>46302.479097222225</v>
      </c>
      <c r="M47" s="7">
        <f>IF(D47&gt;0, IFERROR(_xlfn.MINIFS('Detalle individual'!$I$5:$I$295, 'Detalle individual'!$C$5:$C$295, A47), ""), "")</f>
        <v>5.73333333333333</v>
      </c>
      <c r="N47" s="7">
        <f>IF(D47&gt;0, IFERROR(AVERAGEIFS('Detalle individual'!$I$5:$I$295, 'Detalle individual'!$C$5:$C$295, A47), ""), "")</f>
        <v>14.1583333430667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>7</v>
      </c>
      <c r="C5" s="8">
        <f>COUNTIFS('Detalle individual'!$D$5:$D$295, A5, 'Detalle individual'!$F$5:$F$295, "Completado")</f>
        <v>5</v>
      </c>
      <c r="D5" s="8">
        <f>B5-C5</f>
        <v>2</v>
      </c>
      <c r="E5" s="9">
        <f>IF(B5&gt;0, C5/B5, 0)</f>
        <v>0.714285714285714</v>
      </c>
      <c r="F5" s="4" t="str">
        <f>IF(AND(B5&gt;0, C5=B5), "Completo", "Pendiente")</f>
        <v>Pendiente</v>
      </c>
      <c r="G5" s="7">
        <f>IF(C5&gt;0, IFERROR(AVERAGEIFS('Detalle individual'!$J$5:$J$295, 'Detalle individual'!$D$5:$D$295, A5), ""), "")</f>
        <v>96</v>
      </c>
      <c r="H5" s="6">
        <f>IF(C5&gt;0, IFERROR(_xlfn.MAXIFS('Detalle individual'!$J$5:$J$295, 'Detalle individual'!$D$5:$D$295, A5), ""), "")</f>
        <v>100</v>
      </c>
      <c r="I5" s="6">
        <f>IF(C5&gt;0, IFERROR(_xlfn.MINIFS('Detalle individual'!$J$5:$J$295, 'Detalle individual'!$D$5:$D$295, A5), ""), "")</f>
        <v>90</v>
      </c>
      <c r="J5" s="25">
        <f>IF(C5&gt;0, IFERROR(_xlfn.MINIFS('Detalle individual'!$G$5:$G$295, 'Detalle individual'!$D$5:$D$295, A5), ""), "")</f>
        <v>46296.61756944445</v>
      </c>
      <c r="K5" s="25">
        <f>IF(C5&gt;0, IFERROR(_xlfn.MAXIFS('Detalle individual'!$H$5:$H$295, 'Detalle individual'!$D$5:$D$295, A5), ""), "")</f>
        <v>46304.404328703706</v>
      </c>
      <c r="L5" s="7">
        <f>IF(C5&gt;0, IFERROR(_xlfn.MINIFS('Detalle individual'!$I$5:$I$295, 'Detalle individual'!$D$5:$D$295, A5), ""), "")</f>
        <v>3.8</v>
      </c>
      <c r="M5" s="7">
        <f>IF(C5&gt;0, IFERROR(AVERAGEIFS('Detalle individual'!$I$5:$I$295, 'Detalle individual'!$D$5:$D$295, A5), ""), "")</f>
        <v>6.83999999505</v>
      </c>
    </row>
    <row r="6">
      <c r="A6" s="5" t="inlineStr">
        <is>
          <t>Gerencia Administrativa</t>
        </is>
      </c>
      <c r="B6" s="8">
        <f>COUNTIF('Detalle individual'!$D$5:$D$295, A6)</f>
        <v>32</v>
      </c>
      <c r="C6" s="8">
        <f>COUNTIFS('Detalle individual'!$D$5:$D$295, A6, 'Detalle individual'!$F$5:$F$295, "Completado")</f>
        <v>29</v>
      </c>
      <c r="D6" s="8">
        <f>B6-C6</f>
        <v>3</v>
      </c>
      <c r="E6" s="9">
        <f>IF(B6&gt;0, C6/B6, 0)</f>
        <v>0.90625</v>
      </c>
      <c r="F6" s="4" t="str">
        <f>IF(AND(B6&gt;0, C6=B6), "Completo", "Pendiente")</f>
        <v>Pendiente</v>
      </c>
      <c r="G6" s="7">
        <f>IF(C6&gt;0, IFERROR(AVERAGEIFS('Detalle individual'!$J$5:$J$295, 'Detalle individual'!$D$5:$D$295, A6), ""), "")</f>
        <v>91.3793103448276</v>
      </c>
      <c r="H6" s="6">
        <f>IF(C6&gt;0, IFERROR(_xlfn.MAXIFS('Detalle individual'!$J$5:$J$295, 'Detalle individual'!$D$5:$D$295, A6), ""), "")</f>
        <v>100</v>
      </c>
      <c r="I6" s="6">
        <f>IF(C6&gt;0, IFERROR(_xlfn.MINIFS('Detalle individual'!$J$5:$J$295, 'Detalle individual'!$D$5:$D$295, A6), ""), "")</f>
        <v>40</v>
      </c>
      <c r="J6" s="25">
        <f>IF(C6&gt;0, IFERROR(_xlfn.MINIFS('Detalle individual'!$G$5:$G$295, 'Detalle individual'!$D$5:$D$295, A6), ""), "")</f>
        <v>46296.454039351855</v>
      </c>
      <c r="K6" s="25">
        <f>IF(C6&gt;0, IFERROR(_xlfn.MAXIFS('Detalle individual'!$H$5:$H$295, 'Detalle individual'!$D$5:$D$295, A6), ""), "")</f>
        <v>46305.41128472222</v>
      </c>
      <c r="L6" s="7">
        <f>IF(C6&gt;0, IFERROR(_xlfn.MINIFS('Detalle individual'!$I$5:$I$295, 'Detalle individual'!$D$5:$D$295, A6), ""), "")</f>
        <v>2.11666666666667</v>
      </c>
      <c r="M6" s="7">
        <f>IF(C6&gt;0, IFERROR(AVERAGEIFS('Detalle individual'!$I$5:$I$295, 'Detalle individual'!$D$5:$D$295, A6), ""), "")</f>
        <v>10.2597701143276</v>
      </c>
    </row>
    <row r="7">
      <c r="A7" s="5" t="inlineStr">
        <is>
          <t>Gerencia General</t>
        </is>
      </c>
      <c r="B7" s="8">
        <f>COUNTIF('Detalle individual'!$D$5:$D$295, A7)</f>
        <v>21</v>
      </c>
      <c r="C7" s="8">
        <f>COUNTIFS('Detalle individual'!$D$5:$D$295, A7, 'Detalle individual'!$F$5:$F$295, "Completado")</f>
        <v>16</v>
      </c>
      <c r="D7" s="8">
        <f>B7-C7</f>
        <v>5</v>
      </c>
      <c r="E7" s="9">
        <f>IF(B7&gt;0, C7/B7, 0)</f>
        <v>0.761904761904762</v>
      </c>
      <c r="F7" s="4" t="str">
        <f>IF(AND(B7&gt;0, C7=B7), "Completo", "Pendiente")</f>
        <v>Pendiente</v>
      </c>
      <c r="G7" s="7">
        <f>IF(C7&gt;0, IFERROR(AVERAGEIFS('Detalle individual'!$J$5:$J$295, 'Detalle individual'!$D$5:$D$295, A7), ""), "")</f>
        <v>96.25</v>
      </c>
      <c r="H7" s="6">
        <f>IF(C7&gt;0, IFERROR(_xlfn.MAXIFS('Detalle individual'!$J$5:$J$295, 'Detalle individual'!$D$5:$D$295, A7), ""), "")</f>
        <v>100</v>
      </c>
      <c r="I7" s="6">
        <f>IF(C7&gt;0, IFERROR(_xlfn.MINIFS('Detalle individual'!$J$5:$J$295, 'Detalle individual'!$D$5:$D$295, A7), ""), "")</f>
        <v>80</v>
      </c>
      <c r="J7" s="25">
        <f>IF(C7&gt;0, IFERROR(_xlfn.MINIFS('Detalle individual'!$G$5:$G$295, 'Detalle individual'!$D$5:$D$295, A7), ""), "")</f>
        <v>46296.436574074076</v>
      </c>
      <c r="K7" s="25">
        <f>IF(C7&gt;0, IFERROR(_xlfn.MAXIFS('Detalle individual'!$H$5:$H$295, 'Detalle individual'!$D$5:$D$295, A7), ""), "")</f>
        <v>46305.40980324074</v>
      </c>
      <c r="L7" s="7">
        <f>IF(C7&gt;0, IFERROR(_xlfn.MINIFS('Detalle individual'!$I$5:$I$295, 'Detalle individual'!$D$5:$D$295, A7), ""), "")</f>
        <v>3.05</v>
      </c>
      <c r="M7" s="7">
        <f>IF(C7&gt;0, IFERROR(AVERAGEIFS('Detalle individual'!$I$5:$I$295, 'Detalle individual'!$D$5:$D$295, A7), ""), "")</f>
        <v>8.015625</v>
      </c>
    </row>
    <row r="8">
      <c r="A8" s="5" t="inlineStr">
        <is>
          <t>Gerencia Legal y Cumplimiento Normativo</t>
        </is>
      </c>
      <c r="B8" s="8">
        <f>COUNTIF('Detalle individual'!$D$5:$D$295, A8)</f>
        <v>9</v>
      </c>
      <c r="C8" s="8">
        <f>COUNTIFS('Detalle individual'!$D$5:$D$295, A8, 'Detalle individual'!$F$5:$F$295, "Completado")</f>
        <v>3</v>
      </c>
      <c r="D8" s="8">
        <f>B8-C8</f>
        <v>6</v>
      </c>
      <c r="E8" s="9">
        <f>IF(B8&gt;0, C8/B8, 0)</f>
        <v>0.333333333333333</v>
      </c>
      <c r="F8" s="4" t="str">
        <f>IF(AND(B8&gt;0, C8=B8), "Completo", "Pendiente")</f>
        <v>Pendiente</v>
      </c>
      <c r="G8" s="7">
        <f>IF(C8&gt;0, IFERROR(AVERAGEIFS('Detalle individual'!$J$5:$J$295, 'Detalle individual'!$D$5:$D$295, A8), ""), "")</f>
        <v>96.6666666666667</v>
      </c>
      <c r="H8" s="6">
        <f>IF(C8&gt;0, IFERROR(_xlfn.MAXIFS('Detalle individual'!$J$5:$J$295, 'Detalle individual'!$D$5:$D$295, A8), ""), "")</f>
        <v>100</v>
      </c>
      <c r="I8" s="6">
        <f>IF(C8&gt;0, IFERROR(_xlfn.MINIFS('Detalle individual'!$J$5:$J$295, 'Detalle individual'!$D$5:$D$295, A8), ""), "")</f>
        <v>90</v>
      </c>
      <c r="J8" s="25">
        <f>IF(C8&gt;0, IFERROR(_xlfn.MINIFS('Detalle individual'!$G$5:$G$295, 'Detalle individual'!$D$5:$D$295, A8), ""), "")</f>
        <v>46300.62287037037</v>
      </c>
      <c r="K8" s="25">
        <f>IF(C8&gt;0, IFERROR(_xlfn.MAXIFS('Detalle individual'!$H$5:$H$295, 'Detalle individual'!$D$5:$D$295, A8), ""), "")</f>
        <v>46304.703680555554</v>
      </c>
      <c r="L8" s="7">
        <f>IF(C8&gt;0, IFERROR(_xlfn.MINIFS('Detalle individual'!$I$5:$I$295, 'Detalle individual'!$D$5:$D$295, A8), ""), "")</f>
        <v>2.56666666666667</v>
      </c>
      <c r="M8" s="7">
        <f>IF(C8&gt;0, IFERROR(AVERAGEIFS('Detalle individual'!$I$5:$I$295, 'Detalle individual'!$D$5:$D$295, A8), ""), "")</f>
        <v>7.25</v>
      </c>
    </row>
    <row r="9">
      <c r="A9" s="5" t="inlineStr">
        <is>
          <t>Gerencia de Finanzas y Planificación</t>
        </is>
      </c>
      <c r="B9" s="8">
        <f>COUNTIF('Detalle individual'!$D$5:$D$295, A9)</f>
        <v>18</v>
      </c>
      <c r="C9" s="8">
        <f>COUNTIFS('Detalle individual'!$D$5:$D$295, A9, 'Detalle individual'!$F$5:$F$295, "Completado")</f>
        <v>8</v>
      </c>
      <c r="D9" s="8">
        <f>B9-C9</f>
        <v>10</v>
      </c>
      <c r="E9" s="9">
        <f>IF(B9&gt;0, C9/B9, 0)</f>
        <v>0.444444444444444</v>
      </c>
      <c r="F9" s="4" t="str">
        <f>IF(AND(B9&gt;0, C9=B9), "Completo", "Pendiente")</f>
        <v>Pendiente</v>
      </c>
      <c r="G9" s="7">
        <f>IF(C9&gt;0, IFERROR(AVERAGEIFS('Detalle individual'!$J$5:$J$295, 'Detalle individual'!$D$5:$D$295, A9), ""), "")</f>
        <v>98.75</v>
      </c>
      <c r="H9" s="6">
        <f>IF(C9&gt;0, IFERROR(_xlfn.MAXIFS('Detalle individual'!$J$5:$J$295, 'Detalle individual'!$D$5:$D$295, A9), ""), "")</f>
        <v>100</v>
      </c>
      <c r="I9" s="6">
        <f>IF(C9&gt;0, IFERROR(_xlfn.MINIFS('Detalle individual'!$J$5:$J$295, 'Detalle individual'!$D$5:$D$295, A9), ""), "")</f>
        <v>90</v>
      </c>
      <c r="J9" s="25">
        <f>IF(C9&gt;0, IFERROR(_xlfn.MINIFS('Detalle individual'!$G$5:$G$295, 'Detalle individual'!$D$5:$D$295, A9), ""), "")</f>
        <v>46296.42706018518</v>
      </c>
      <c r="K9" s="25">
        <f>IF(C9&gt;0, IFERROR(_xlfn.MAXIFS('Detalle individual'!$H$5:$H$295, 'Detalle individual'!$D$5:$D$295, A9), ""), "")</f>
        <v>46304.4002662037</v>
      </c>
      <c r="L9" s="7">
        <f>IF(C9&gt;0, IFERROR(_xlfn.MINIFS('Detalle individual'!$I$5:$I$295, 'Detalle individual'!$D$5:$D$295, A9), ""), "")</f>
        <v>2.88333333333333</v>
      </c>
      <c r="M9" s="7">
        <f>IF(C9&gt;0, IFERROR(AVERAGEIFS('Detalle individual'!$I$5:$I$295, 'Detalle individual'!$D$5:$D$295, A9), ""), "")</f>
        <v>8.06041666666667</v>
      </c>
    </row>
    <row r="10">
      <c r="A10" s="5" t="inlineStr">
        <is>
          <t>Gerencia de Negocios</t>
        </is>
      </c>
      <c r="B10" s="8">
        <f>COUNTIF('Detalle individual'!$D$5:$D$295, A10)</f>
        <v>61</v>
      </c>
      <c r="C10" s="8">
        <f>COUNTIFS('Detalle individual'!$D$5:$D$295, A10, 'Detalle individual'!$F$5:$F$295, "Completado")</f>
        <v>24</v>
      </c>
      <c r="D10" s="8">
        <f>B10-C10</f>
        <v>37</v>
      </c>
      <c r="E10" s="9">
        <f>IF(B10&gt;0, C10/B10, 0)</f>
        <v>0.39344262295082</v>
      </c>
      <c r="F10" s="4" t="str">
        <f>IF(AND(B10&gt;0, C10=B10), "Completo", "Pendiente")</f>
        <v>Pendiente</v>
      </c>
      <c r="G10" s="7">
        <f>IF(C10&gt;0, IFERROR(AVERAGEIFS('Detalle individual'!$J$5:$J$295, 'Detalle individual'!$D$5:$D$295, A10), ""), "")</f>
        <v>97.5</v>
      </c>
      <c r="H10" s="6">
        <f>IF(C10&gt;0, IFERROR(_xlfn.MAXIFS('Detalle individual'!$J$5:$J$295, 'Detalle individual'!$D$5:$D$295, A10), ""), "")</f>
        <v>100</v>
      </c>
      <c r="I10" s="6">
        <f>IF(C10&gt;0, IFERROR(_xlfn.MINIFS('Detalle individual'!$J$5:$J$295, 'Detalle individual'!$D$5:$D$295, A10), ""), "")</f>
        <v>80</v>
      </c>
      <c r="J10" s="25">
        <f>IF(C10&gt;0, IFERROR(_xlfn.MINIFS('Detalle individual'!$G$5:$G$295, 'Detalle individual'!$D$5:$D$295, A10), ""), "")</f>
        <v>46296.426412037035</v>
      </c>
      <c r="K10" s="25">
        <f>IF(C10&gt;0, IFERROR(_xlfn.MAXIFS('Detalle individual'!$H$5:$H$295, 'Detalle individual'!$D$5:$D$295, A10), ""), "")</f>
        <v>46305.41322916667</v>
      </c>
      <c r="L10" s="7">
        <f>IF(C10&gt;0, IFERROR(_xlfn.MINIFS('Detalle individual'!$I$5:$I$295, 'Detalle individual'!$D$5:$D$295, A10), ""), "")</f>
        <v>3.03333333333333</v>
      </c>
      <c r="M10" s="7">
        <f>IF(C10&gt;0, IFERROR(AVERAGEIFS('Detalle individual'!$I$5:$I$295, 'Detalle individual'!$D$5:$D$295, A10), ""), "")</f>
        <v>13.8222222230333</v>
      </c>
    </row>
    <row r="11">
      <c r="A11" s="5" t="inlineStr">
        <is>
          <t>Gerencia de Negocios (Agencias)</t>
        </is>
      </c>
      <c r="B11" s="8">
        <f>COUNTIF('Detalle individual'!$D$5:$D$295, A11)</f>
        <v>97</v>
      </c>
      <c r="C11" s="8">
        <f>COUNTIFS('Detalle individual'!$D$5:$D$295, A11, 'Detalle individual'!$F$5:$F$295, "Completado")</f>
        <v>37</v>
      </c>
      <c r="D11" s="8">
        <f>B11-C11</f>
        <v>60</v>
      </c>
      <c r="E11" s="9">
        <f>IF(B11&gt;0, C11/B11, 0)</f>
        <v>0.381443298969072</v>
      </c>
      <c r="F11" s="4" t="str">
        <f>IF(AND(B11&gt;0, C11=B11), "Completo", "Pendiente")</f>
        <v>Pendiente</v>
      </c>
      <c r="G11" s="7">
        <f>IF(C11&gt;0, IFERROR(AVERAGEIFS('Detalle individual'!$J$5:$J$295, 'Detalle individual'!$D$5:$D$295, A11), ""), "")</f>
        <v>96.7567567567568</v>
      </c>
      <c r="H11" s="6">
        <f>IF(C11&gt;0, IFERROR(_xlfn.MAXIFS('Detalle individual'!$J$5:$J$295, 'Detalle individual'!$D$5:$D$295, A11), ""), "")</f>
        <v>100</v>
      </c>
      <c r="I11" s="6">
        <f>IF(C11&gt;0, IFERROR(_xlfn.MINIFS('Detalle individual'!$J$5:$J$295, 'Detalle individual'!$D$5:$D$295, A11), ""), "")</f>
        <v>70</v>
      </c>
      <c r="J11" s="25">
        <f>IF(C11&gt;0, IFERROR(_xlfn.MINIFS('Detalle individual'!$G$5:$G$295, 'Detalle individual'!$D$5:$D$295, A11), ""), "")</f>
        <v>46296.43491898148</v>
      </c>
      <c r="K11" s="25">
        <f>IF(C11&gt;0, IFERROR(_xlfn.MAXIFS('Detalle individual'!$H$5:$H$295, 'Detalle individual'!$D$5:$D$295, A11), ""), "")</f>
        <v>46305.407002314816</v>
      </c>
      <c r="L11" s="7">
        <f>IF(C11&gt;0, IFERROR(_xlfn.MINIFS('Detalle individual'!$I$5:$I$295, 'Detalle individual'!$D$5:$D$295, A11), ""), "")</f>
        <v>1.75</v>
      </c>
      <c r="M11" s="7">
        <f>IF(C11&gt;0, IFERROR(AVERAGEIFS('Detalle individual'!$I$5:$I$295, 'Detalle individual'!$D$5:$D$295, A11), ""), "")</f>
        <v>15.0617117113617</v>
      </c>
    </row>
    <row r="12">
      <c r="A12" s="5" t="inlineStr">
        <is>
          <t>Gerencia de Oficialía de Cumplimiento</t>
        </is>
      </c>
      <c r="B12" s="8">
        <f>COUNTIF('Detalle individual'!$D$5:$D$295, A12)</f>
        <v>7</v>
      </c>
      <c r="C12" s="8">
        <f>COUNTIFS('Detalle individual'!$D$5:$D$295, A12, 'Detalle individual'!$F$5:$F$295, "Completado")</f>
        <v>7</v>
      </c>
      <c r="D12" s="8">
        <f>B12-C12</f>
        <v>0</v>
      </c>
      <c r="E12" s="9">
        <f>IF(B12&gt;0, C12/B12, 0)</f>
        <v>1</v>
      </c>
      <c r="F12" s="4" t="str">
        <f>IF(AND(B12&gt;0, C12=B12), "Completo", "Pendiente")</f>
        <v>Completo</v>
      </c>
      <c r="G12" s="7">
        <f>IF(C12&gt;0, IFERROR(AVERAGEIFS('Detalle individual'!$J$5:$J$295, 'Detalle individual'!$D$5:$D$295, A12), ""), "")</f>
        <v>100</v>
      </c>
      <c r="H12" s="6">
        <f>IF(C12&gt;0, IFERROR(_xlfn.MAXIFS('Detalle individual'!$J$5:$J$295, 'Detalle individual'!$D$5:$D$295, A12), ""), "")</f>
        <v>100</v>
      </c>
      <c r="I12" s="6">
        <f>IF(C12&gt;0, IFERROR(_xlfn.MINIFS('Detalle individual'!$J$5:$J$295, 'Detalle individual'!$D$5:$D$295, A12), ""), "")</f>
        <v>100</v>
      </c>
      <c r="J12" s="25">
        <f>IF(C12&gt;0, IFERROR(_xlfn.MINIFS('Detalle individual'!$G$5:$G$295, 'Detalle individual'!$D$5:$D$295, A12), ""), "")</f>
        <v>46296.47011574074</v>
      </c>
      <c r="K12" s="25">
        <f>IF(C12&gt;0, IFERROR(_xlfn.MAXIFS('Detalle individual'!$H$5:$H$295, 'Detalle individual'!$D$5:$D$295, A12), ""), "")</f>
        <v>46296.49747685185</v>
      </c>
      <c r="L12" s="7">
        <f>IF(C12&gt;0, IFERROR(_xlfn.MINIFS('Detalle individual'!$I$5:$I$295, 'Detalle individual'!$D$5:$D$295, A12), ""), "")</f>
        <v>9.16666666666667</v>
      </c>
      <c r="M12" s="7">
        <f>IF(C12&gt;0, IFERROR(AVERAGEIFS('Detalle individual'!$I$5:$I$295, 'Detalle individual'!$D$5:$D$295, A12), ""), "")</f>
        <v>11.9642857142857</v>
      </c>
    </row>
    <row r="13">
      <c r="A13" s="5" t="inlineStr">
        <is>
          <t>Gerencia de Operaciones</t>
        </is>
      </c>
      <c r="B13" s="8">
        <f>COUNTIF('Detalle individual'!$D$5:$D$295, A13)</f>
        <v>16</v>
      </c>
      <c r="C13" s="8">
        <f>COUNTIFS('Detalle individual'!$D$5:$D$295, A13, 'Detalle individual'!$F$5:$F$295, "Completado")</f>
        <v>8</v>
      </c>
      <c r="D13" s="8">
        <f>B13-C13</f>
        <v>8</v>
      </c>
      <c r="E13" s="9">
        <f>IF(B13&gt;0, C13/B13, 0)</f>
        <v>0.5</v>
      </c>
      <c r="F13" s="4" t="str">
        <f>IF(AND(B13&gt;0, C13=B13), "Completo", "Pendiente")</f>
        <v>Pendiente</v>
      </c>
      <c r="G13" s="7">
        <f>IF(C13&gt;0, IFERROR(AVERAGEIFS('Detalle individual'!$J$5:$J$295, 'Detalle individual'!$D$5:$D$295, A13), ""), "")</f>
        <v>98.75</v>
      </c>
      <c r="H13" s="6">
        <f>IF(C13&gt;0, IFERROR(_xlfn.MAXIFS('Detalle individual'!$J$5:$J$295, 'Detalle individual'!$D$5:$D$295, A13), ""), "")</f>
        <v>100</v>
      </c>
      <c r="I13" s="6">
        <f>IF(C13&gt;0, IFERROR(_xlfn.MINIFS('Detalle individual'!$J$5:$J$295, 'Detalle individual'!$D$5:$D$295, A13), ""), "")</f>
        <v>95</v>
      </c>
      <c r="J13" s="25">
        <f>IF(C13&gt;0, IFERROR(_xlfn.MINIFS('Detalle individual'!$G$5:$G$295, 'Detalle individual'!$D$5:$D$295, A13), ""), "")</f>
        <v>46296.56951388889</v>
      </c>
      <c r="K13" s="25">
        <f>IF(C13&gt;0, IFERROR(_xlfn.MAXIFS('Detalle individual'!$H$5:$H$295, 'Detalle individual'!$D$5:$D$295, A13), ""), "")</f>
        <v>46304.692928240744</v>
      </c>
      <c r="L13" s="7">
        <f>IF(C13&gt;0, IFERROR(_xlfn.MINIFS('Detalle individual'!$I$5:$I$295, 'Detalle individual'!$D$5:$D$295, A13), ""), "")</f>
        <v>1.68333333333333</v>
      </c>
      <c r="M13" s="7">
        <f>IF(C13&gt;0, IFERROR(AVERAGEIFS('Detalle individual'!$I$5:$I$295, 'Detalle individual'!$D$5:$D$295, A13), ""), "")</f>
        <v>10.025</v>
      </c>
    </row>
    <row r="14">
      <c r="A14" s="5" t="inlineStr">
        <is>
          <t>Gerencia de Sistemas</t>
        </is>
      </c>
      <c r="B14" s="8">
        <f>COUNTIF('Detalle individual'!$D$5:$D$295, A14)</f>
        <v>23</v>
      </c>
      <c r="C14" s="8">
        <f>COUNTIFS('Detalle individual'!$D$5:$D$295, A14, 'Detalle individual'!$F$5:$F$295, "Completado")</f>
        <v>17</v>
      </c>
      <c r="D14" s="8">
        <f>B14-C14</f>
        <v>6</v>
      </c>
      <c r="E14" s="9">
        <f>IF(B14&gt;0, C14/B14, 0)</f>
        <v>0.739130434782609</v>
      </c>
      <c r="F14" s="4" t="str">
        <f>IF(AND(B14&gt;0, C14=B14), "Completo", "Pendiente")</f>
        <v>Pendiente</v>
      </c>
      <c r="G14" s="7">
        <f>IF(C14&gt;0, IFERROR(AVERAGEIFS('Detalle individual'!$J$5:$J$295, 'Detalle individual'!$D$5:$D$295, A14), ""), "")</f>
        <v>99.4117647058824</v>
      </c>
      <c r="H14" s="6">
        <f>IF(C14&gt;0, IFERROR(_xlfn.MAXIFS('Detalle individual'!$J$5:$J$295, 'Detalle individual'!$D$5:$D$295, A14), ""), "")</f>
        <v>100</v>
      </c>
      <c r="I14" s="6">
        <f>IF(C14&gt;0, IFERROR(_xlfn.MINIFS('Detalle individual'!$J$5:$J$295, 'Detalle individual'!$D$5:$D$295, A14), ""), "")</f>
        <v>95</v>
      </c>
      <c r="J14" s="25">
        <f>IF(C14&gt;0, IFERROR(_xlfn.MINIFS('Detalle individual'!$G$5:$G$295, 'Detalle individual'!$D$5:$D$295, A14), ""), "")</f>
        <v>46296.56962962963</v>
      </c>
      <c r="K14" s="25">
        <f>IF(C14&gt;0, IFERROR(_xlfn.MAXIFS('Detalle individual'!$H$5:$H$295, 'Detalle individual'!$D$5:$D$295, A14), ""), "")</f>
        <v>46304.407905092594</v>
      </c>
      <c r="L14" s="7">
        <f>IF(C14&gt;0, IFERROR(_xlfn.MINIFS('Detalle individual'!$I$5:$I$295, 'Detalle individual'!$D$5:$D$295, A14), ""), "")</f>
        <v>3.16666666666667</v>
      </c>
      <c r="M14" s="7">
        <f>IF(C14&gt;0, IFERROR(AVERAGEIFS('Detalle individual'!$I$5:$I$295, 'Detalle individual'!$D$5:$D$295, A14), ""), "")</f>
        <v>14.8254901960784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12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  <col width="46" customWidth="1" min="9" max="9"/>
    <col width="46" customWidth="1" min="10" max="10"/>
    <col width="46" customWidth="1" min="11" max="11"/>
    <col width="46" customWidth="1" min="12" max="12"/>
  </cols>
  <sheetData>
    <row r="1">
      <c r="A1" s="1" t="inlineStr">
        <is>
          <t>DASHBOARD INTERACTIVO MULTI-GERENCIA</t>
        </is>
      </c>
    </row>
    <row r="2">
      <c r="A2" s="2" t="inlineStr">
        <is>
          <t>Marque con '1' las gerencias que desea visualizar en la tabla inferior.</t>
        </is>
      </c>
    </row>
    <row r="4">
      <c r="A4" s="10" t="n"/>
      <c r="B4" s="10" t="n"/>
      <c r="D4" s="3" t="inlineStr">
        <is>
          <t>Área / Departamento</t>
        </is>
      </c>
      <c r="E4" s="3" t="inlineStr">
        <is>
          <t>Gerencia Asignada</t>
        </is>
      </c>
      <c r="F4" s="3" t="inlineStr">
        <is>
          <t>Personal Esperado</t>
        </is>
      </c>
      <c r="G4" s="3" t="inlineStr">
        <is>
          <t>Personas Completadas</t>
        </is>
      </c>
      <c r="H4" s="3" t="inlineStr">
        <is>
          <t>Pendientes</t>
        </is>
      </c>
      <c r="I4" s="3" t="inlineStr">
        <is>
          <t>% Cumplimiento</t>
        </is>
      </c>
      <c r="J4" s="3" t="inlineStr">
        <is>
          <t>Estado</t>
        </is>
      </c>
      <c r="K4" s="3" t="inlineStr">
        <is>
          <t>Promedio Nota</t>
        </is>
      </c>
      <c r="L4" s="3" t="inlineStr">
        <is>
          <t>Última Finalización</t>
        </is>
      </c>
    </row>
    <row r="5">
      <c r="A5" s="5" t="inlineStr">
        <is>
          <t>Auditoría Interna</t>
        </is>
      </c>
      <c r="B5" s="11" t="n">
        <v>1</v>
      </c>
      <c r="D5" s="5" t="str">
        <f>IF(SUMIF($A$5:$A$14, 'Consolidado por área'!B5, $B$5:$B$14)&gt;=1, 'Consolidado por área'!A5, "")</f>
        <v/>
      </c>
      <c r="E5" s="5" t="str">
        <f>IF(SUMIF($A$5:$A$14, 'Consolidado por área'!B5, $B$5:$B$14)&gt;=1, 'Consolidado por área'!B5, "")</f>
        <v/>
      </c>
      <c r="F5" s="8" t="str">
        <f>IF(SUMIF($A$5:$A$14, 'Consolidado por área'!B5, $B$5:$B$14)&gt;=1, 'Consolidado por área'!C5, "")</f>
        <v/>
      </c>
      <c r="G5" s="8" t="str">
        <f>IF(SUMIF($A$5:$A$14, 'Consolidado por área'!B5, $B$5:$B$14)&gt;=1, 'Consolidado por área'!D5, "")</f>
        <v/>
      </c>
      <c r="H5" s="8" t="str">
        <f>IF(SUMIF($A$5:$A$14, 'Consolidado por área'!B5, $B$5:$B$14)&gt;=1, 'Consolidado por área'!E5, "")</f>
        <v/>
      </c>
      <c r="I5" s="9" t="str">
        <f>IF(SUMIF($A$5:$A$14, 'Consolidado por área'!B5, $B$5:$B$14)&gt;=1, 'Consolidado por área'!F5, "")</f>
        <v/>
      </c>
      <c r="J5" s="4" t="str">
        <f>IF(SUMIF($A$5:$A$14, 'Consolidado por área'!B5, $B$5:$B$14)&gt;=1, 'Consolidado por área'!G5, "")</f>
        <v/>
      </c>
      <c r="K5" s="7" t="str">
        <f>IF(SUMIF($A$5:$A$14, 'Consolidado por área'!B5, $B$5:$B$14)&gt;=1, 'Consolidado por área'!H5, "")</f>
        <v/>
      </c>
      <c r="L5" s="25" t="str">
        <f>IF(SUMIF($A$5:$A$14, 'Consolidado por área'!B5, $B$5:$B$14)&gt;=1, 'Consolidado por área'!L5, "")</f>
        <v/>
      </c>
    </row>
    <row r="6">
      <c r="A6" s="5" t="inlineStr">
        <is>
          <t>Gerencia Administrativa</t>
        </is>
      </c>
      <c r="B6" s="11" t="n">
        <v>1</v>
      </c>
      <c r="D6" s="5" t="str">
        <f>IF(SUMIF($A$5:$A$14, 'Consolidado por área'!B6, $B$5:$B$14)&gt;=1, 'Consolidado por área'!A6, "")</f>
        <v/>
      </c>
      <c r="E6" s="5" t="str">
        <f>IF(SUMIF($A$5:$A$14, 'Consolidado por área'!B6, $B$5:$B$14)&gt;=1, 'Consolidado por área'!B6, "")</f>
        <v/>
      </c>
      <c r="F6" s="8" t="str">
        <f>IF(SUMIF($A$5:$A$14, 'Consolidado por área'!B6, $B$5:$B$14)&gt;=1, 'Consolidado por área'!C6, "")</f>
        <v/>
      </c>
      <c r="G6" s="8" t="str">
        <f>IF(SUMIF($A$5:$A$14, 'Consolidado por área'!B6, $B$5:$B$14)&gt;=1, 'Consolidado por área'!D6, "")</f>
        <v/>
      </c>
      <c r="H6" s="8" t="str">
        <f>IF(SUMIF($A$5:$A$14, 'Consolidado por área'!B6, $B$5:$B$14)&gt;=1, 'Consolidado por área'!E6, "")</f>
        <v/>
      </c>
      <c r="I6" s="9" t="str">
        <f>IF(SUMIF($A$5:$A$14, 'Consolidado por área'!B6, $B$5:$B$14)&gt;=1, 'Consolidado por área'!F6, "")</f>
        <v/>
      </c>
      <c r="J6" s="4" t="str">
        <f>IF(SUMIF($A$5:$A$14, 'Consolidado por área'!B6, $B$5:$B$14)&gt;=1, 'Consolidado por área'!G6, "")</f>
        <v/>
      </c>
      <c r="K6" s="7" t="str">
        <f>IF(SUMIF($A$5:$A$14, 'Consolidado por área'!B6, $B$5:$B$14)&gt;=1, 'Consolidado por área'!H6, "")</f>
        <v/>
      </c>
      <c r="L6" s="25" t="str">
        <f>IF(SUMIF($A$5:$A$14, 'Consolidado por área'!B6, $B$5:$B$14)&gt;=1, 'Consolidado por área'!L6, "")</f>
        <v/>
      </c>
    </row>
    <row r="7">
      <c r="A7" s="5" t="inlineStr">
        <is>
          <t>Gerencia General</t>
        </is>
      </c>
      <c r="B7" s="11" t="inlineStr"/>
      <c r="D7" s="5" t="str">
        <f>IF(SUMIF($A$5:$A$14, 'Consolidado por área'!B7, $B$5:$B$14)&gt;=1, 'Consolidado por área'!A7, "")</f>
        <v/>
      </c>
      <c r="E7" s="5" t="str">
        <f>IF(SUMIF($A$5:$A$14, 'Consolidado por área'!B7, $B$5:$B$14)&gt;=1, 'Consolidado por área'!B7, "")</f>
        <v/>
      </c>
      <c r="F7" s="8" t="str">
        <f>IF(SUMIF($A$5:$A$14, 'Consolidado por área'!B7, $B$5:$B$14)&gt;=1, 'Consolidado por área'!C7, "")</f>
        <v/>
      </c>
      <c r="G7" s="8" t="str">
        <f>IF(SUMIF($A$5:$A$14, 'Consolidado por área'!B7, $B$5:$B$14)&gt;=1, 'Consolidado por área'!D7, "")</f>
        <v/>
      </c>
      <c r="H7" s="8" t="str">
        <f>IF(SUMIF($A$5:$A$14, 'Consolidado por área'!B7, $B$5:$B$14)&gt;=1, 'Consolidado por área'!E7, "")</f>
        <v/>
      </c>
      <c r="I7" s="9" t="str">
        <f>IF(SUMIF($A$5:$A$14, 'Consolidado por área'!B7, $B$5:$B$14)&gt;=1, 'Consolidado por área'!F7, "")</f>
        <v/>
      </c>
      <c r="J7" s="4" t="str">
        <f>IF(SUMIF($A$5:$A$14, 'Consolidado por área'!B7, $B$5:$B$14)&gt;=1, 'Consolidado por área'!G7, "")</f>
        <v/>
      </c>
      <c r="K7" s="7" t="str">
        <f>IF(SUMIF($A$5:$A$14, 'Consolidado por área'!B7, $B$5:$B$14)&gt;=1, 'Consolidado por área'!H7, "")</f>
        <v/>
      </c>
      <c r="L7" s="25" t="str">
        <f>IF(SUMIF($A$5:$A$14, 'Consolidado por área'!B7, $B$5:$B$14)&gt;=1, 'Consolidado por área'!L7, "")</f>
        <v/>
      </c>
    </row>
    <row r="8">
      <c r="A8" s="5" t="inlineStr">
        <is>
          <t>Gerencia Legal y Cumplimiento Normativo</t>
        </is>
      </c>
      <c r="B8" s="11" t="inlineStr"/>
      <c r="D8" s="5" t="str">
        <f>IF(SUMIF($A$5:$A$14, 'Consolidado por área'!B8, $B$5:$B$14)&gt;=1, 'Consolidado por área'!A8, "")</f>
        <v/>
      </c>
      <c r="E8" s="5" t="str">
        <f>IF(SUMIF($A$5:$A$14, 'Consolidado por área'!B8, $B$5:$B$14)&gt;=1, 'Consolidado por área'!B8, "")</f>
        <v/>
      </c>
      <c r="F8" s="8" t="str">
        <f>IF(SUMIF($A$5:$A$14, 'Consolidado por área'!B8, $B$5:$B$14)&gt;=1, 'Consolidado por área'!C8, "")</f>
        <v/>
      </c>
      <c r="G8" s="8" t="str">
        <f>IF(SUMIF($A$5:$A$14, 'Consolidado por área'!B8, $B$5:$B$14)&gt;=1, 'Consolidado por área'!D8, "")</f>
        <v/>
      </c>
      <c r="H8" s="8" t="str">
        <f>IF(SUMIF($A$5:$A$14, 'Consolidado por área'!B8, $B$5:$B$14)&gt;=1, 'Consolidado por área'!E8, "")</f>
        <v/>
      </c>
      <c r="I8" s="9" t="str">
        <f>IF(SUMIF($A$5:$A$14, 'Consolidado por área'!B8, $B$5:$B$14)&gt;=1, 'Consolidado por área'!F8, "")</f>
        <v/>
      </c>
      <c r="J8" s="4" t="str">
        <f>IF(SUMIF($A$5:$A$14, 'Consolidado por área'!B8, $B$5:$B$14)&gt;=1, 'Consolidado por área'!G8, "")</f>
        <v/>
      </c>
      <c r="K8" s="7" t="str">
        <f>IF(SUMIF($A$5:$A$14, 'Consolidado por área'!B8, $B$5:$B$14)&gt;=1, 'Consolidado por área'!H8, "")</f>
        <v/>
      </c>
      <c r="L8" s="25" t="str">
        <f>IF(SUMIF($A$5:$A$14, 'Consolidado por área'!B8, $B$5:$B$14)&gt;=1, 'Consolidado por área'!L8, "")</f>
        <v/>
      </c>
    </row>
    <row r="9">
      <c r="A9" s="5" t="inlineStr">
        <is>
          <t>Gerencia de Finanzas y Planificación</t>
        </is>
      </c>
      <c r="B9" s="11" t="inlineStr"/>
      <c r="D9" s="5" t="str">
        <f>IF(SUMIF($A$5:$A$14, 'Consolidado por área'!B9, $B$5:$B$14)&gt;=1, 'Consolidado por área'!A9, "")</f>
        <v/>
      </c>
      <c r="E9" s="5" t="str">
        <f>IF(SUMIF($A$5:$A$14, 'Consolidado por área'!B9, $B$5:$B$14)&gt;=1, 'Consolidado por área'!B9, "")</f>
        <v/>
      </c>
      <c r="F9" s="8" t="str">
        <f>IF(SUMIF($A$5:$A$14, 'Consolidado por área'!B9, $B$5:$B$14)&gt;=1, 'Consolidado por área'!C9, "")</f>
        <v/>
      </c>
      <c r="G9" s="8" t="str">
        <f>IF(SUMIF($A$5:$A$14, 'Consolidado por área'!B9, $B$5:$B$14)&gt;=1, 'Consolidado por área'!D9, "")</f>
        <v/>
      </c>
      <c r="H9" s="8" t="str">
        <f>IF(SUMIF($A$5:$A$14, 'Consolidado por área'!B9, $B$5:$B$14)&gt;=1, 'Consolidado por área'!E9, "")</f>
        <v/>
      </c>
      <c r="I9" s="9" t="str">
        <f>IF(SUMIF($A$5:$A$14, 'Consolidado por área'!B9, $B$5:$B$14)&gt;=1, 'Consolidado por área'!F9, "")</f>
        <v/>
      </c>
      <c r="J9" s="4" t="str">
        <f>IF(SUMIF($A$5:$A$14, 'Consolidado por área'!B9, $B$5:$B$14)&gt;=1, 'Consolidado por área'!G9, "")</f>
        <v/>
      </c>
      <c r="K9" s="7" t="str">
        <f>IF(SUMIF($A$5:$A$14, 'Consolidado por área'!B9, $B$5:$B$14)&gt;=1, 'Consolidado por área'!H9, "")</f>
        <v/>
      </c>
      <c r="L9" s="25" t="str">
        <f>IF(SUMIF($A$5:$A$14, 'Consolidado por área'!B9, $B$5:$B$14)&gt;=1, 'Consolidado por área'!L9, "")</f>
        <v/>
      </c>
    </row>
    <row r="10">
      <c r="A10" s="5" t="inlineStr">
        <is>
          <t>Gerencia de Negocios</t>
        </is>
      </c>
      <c r="B10" s="11" t="inlineStr"/>
      <c r="D10" s="5" t="str">
        <f>IF(SUMIF($A$5:$A$14, 'Consolidado por área'!B10, $B$5:$B$14)&gt;=1, 'Consolidado por área'!A10, "")</f>
        <v/>
      </c>
      <c r="E10" s="5" t="str">
        <f>IF(SUMIF($A$5:$A$14, 'Consolidado por área'!B10, $B$5:$B$14)&gt;=1, 'Consolidado por área'!B10, "")</f>
        <v/>
      </c>
      <c r="F10" s="8" t="str">
        <f>IF(SUMIF($A$5:$A$14, 'Consolidado por área'!B10, $B$5:$B$14)&gt;=1, 'Consolidado por área'!C10, "")</f>
        <v/>
      </c>
      <c r="G10" s="8" t="str">
        <f>IF(SUMIF($A$5:$A$14, 'Consolidado por área'!B10, $B$5:$B$14)&gt;=1, 'Consolidado por área'!D10, "")</f>
        <v/>
      </c>
      <c r="H10" s="8" t="str">
        <f>IF(SUMIF($A$5:$A$14, 'Consolidado por área'!B10, $B$5:$B$14)&gt;=1, 'Consolidado por área'!E10, "")</f>
        <v/>
      </c>
      <c r="I10" s="9" t="str">
        <f>IF(SUMIF($A$5:$A$14, 'Consolidado por área'!B10, $B$5:$B$14)&gt;=1, 'Consolidado por área'!F10, "")</f>
        <v/>
      </c>
      <c r="J10" s="4" t="str">
        <f>IF(SUMIF($A$5:$A$14, 'Consolidado por área'!B10, $B$5:$B$14)&gt;=1, 'Consolidado por área'!G10, "")</f>
        <v/>
      </c>
      <c r="K10" s="7" t="str">
        <f>IF(SUMIF($A$5:$A$14, 'Consolidado por área'!B10, $B$5:$B$14)&gt;=1, 'Consolidado por área'!H10, "")</f>
        <v/>
      </c>
      <c r="L10" s="25" t="str">
        <f>IF(SUMIF($A$5:$A$14, 'Consolidado por área'!B10, $B$5:$B$14)&gt;=1, 'Consolidado por área'!L10, "")</f>
        <v/>
      </c>
    </row>
    <row r="11">
      <c r="A11" s="5" t="inlineStr">
        <is>
          <t>Gerencia de Negocios (Agencias)</t>
        </is>
      </c>
      <c r="B11" s="11" t="inlineStr"/>
      <c r="D11" s="5" t="str">
        <f>IF(SUMIF($A$5:$A$14, 'Consolidado por área'!B11, $B$5:$B$14)&gt;=1, 'Consolidado por área'!A11, "")</f>
        <v/>
      </c>
      <c r="E11" s="5" t="str">
        <f>IF(SUMIF($A$5:$A$14, 'Consolidado por área'!B11, $B$5:$B$14)&gt;=1, 'Consolidado por área'!B11, "")</f>
        <v/>
      </c>
      <c r="F11" s="8" t="str">
        <f>IF(SUMIF($A$5:$A$14, 'Consolidado por área'!B11, $B$5:$B$14)&gt;=1, 'Consolidado por área'!C11, "")</f>
        <v/>
      </c>
      <c r="G11" s="8" t="str">
        <f>IF(SUMIF($A$5:$A$14, 'Consolidado por área'!B11, $B$5:$B$14)&gt;=1, 'Consolidado por área'!D11, "")</f>
        <v/>
      </c>
      <c r="H11" s="8" t="str">
        <f>IF(SUMIF($A$5:$A$14, 'Consolidado por área'!B11, $B$5:$B$14)&gt;=1, 'Consolidado por área'!E11, "")</f>
        <v/>
      </c>
      <c r="I11" s="9" t="str">
        <f>IF(SUMIF($A$5:$A$14, 'Consolidado por área'!B11, $B$5:$B$14)&gt;=1, 'Consolidado por área'!F11, "")</f>
        <v/>
      </c>
      <c r="J11" s="4" t="str">
        <f>IF(SUMIF($A$5:$A$14, 'Consolidado por área'!B11, $B$5:$B$14)&gt;=1, 'Consolidado por área'!G11, "")</f>
        <v/>
      </c>
      <c r="K11" s="7" t="str">
        <f>IF(SUMIF($A$5:$A$14, 'Consolidado por área'!B11, $B$5:$B$14)&gt;=1, 'Consolidado por área'!H11, "")</f>
        <v/>
      </c>
      <c r="L11" s="25" t="str">
        <f>IF(SUMIF($A$5:$A$14, 'Consolidado por área'!B11, $B$5:$B$14)&gt;=1, 'Consolidado por área'!L11, "")</f>
        <v/>
      </c>
    </row>
    <row r="12">
      <c r="A12" s="5" t="inlineStr">
        <is>
          <t>Gerencia de Oficialía de Cumplimiento</t>
        </is>
      </c>
      <c r="B12" s="11" t="inlineStr"/>
      <c r="D12" s="5" t="str">
        <f>IF(SUMIF($A$5:$A$14, 'Consolidado por área'!B12, $B$5:$B$14)&gt;=1, 'Consolidado por área'!A12, "")</f>
        <v/>
      </c>
      <c r="E12" s="5" t="str">
        <f>IF(SUMIF($A$5:$A$14, 'Consolidado por área'!B12, $B$5:$B$14)&gt;=1, 'Consolidado por área'!B12, "")</f>
        <v/>
      </c>
      <c r="F12" s="8" t="str">
        <f>IF(SUMIF($A$5:$A$14, 'Consolidado por área'!B12, $B$5:$B$14)&gt;=1, 'Consolidado por área'!C12, "")</f>
        <v/>
      </c>
      <c r="G12" s="8" t="str">
        <f>IF(SUMIF($A$5:$A$14, 'Consolidado por área'!B12, $B$5:$B$14)&gt;=1, 'Consolidado por área'!D12, "")</f>
        <v/>
      </c>
      <c r="H12" s="8" t="str">
        <f>IF(SUMIF($A$5:$A$14, 'Consolidado por área'!B12, $B$5:$B$14)&gt;=1, 'Consolidado por área'!E12, "")</f>
        <v/>
      </c>
      <c r="I12" s="9" t="str">
        <f>IF(SUMIF($A$5:$A$14, 'Consolidado por área'!B12, $B$5:$B$14)&gt;=1, 'Consolidado por área'!F12, "")</f>
        <v/>
      </c>
      <c r="J12" s="4" t="str">
        <f>IF(SUMIF($A$5:$A$14, 'Consolidado por área'!B12, $B$5:$B$14)&gt;=1, 'Consolidado por área'!G12, "")</f>
        <v/>
      </c>
      <c r="K12" s="7" t="str">
        <f>IF(SUMIF($A$5:$A$14, 'Consolidado por área'!B12, $B$5:$B$14)&gt;=1, 'Consolidado por área'!H12, "")</f>
        <v/>
      </c>
      <c r="L12" s="25" t="str">
        <f>IF(SUMIF($A$5:$A$14, 'Consolidado por área'!B12, $B$5:$B$14)&gt;=1, 'Consolidado por área'!L12, "")</f>
        <v/>
      </c>
    </row>
    <row r="13">
      <c r="A13" s="5" t="inlineStr">
        <is>
          <t>Gerencia de Operaciones</t>
        </is>
      </c>
      <c r="B13" s="11" t="inlineStr"/>
      <c r="D13" s="5" t="str">
        <f>IF(SUMIF($A$5:$A$14, 'Consolidado por área'!B13, $B$5:$B$14)&gt;=1, 'Consolidado por área'!A13, "")</f>
        <v/>
      </c>
      <c r="E13" s="5" t="str">
        <f>IF(SUMIF($A$5:$A$14, 'Consolidado por área'!B13, $B$5:$B$14)&gt;=1, 'Consolidado por área'!B13, "")</f>
        <v/>
      </c>
      <c r="F13" s="8" t="str">
        <f>IF(SUMIF($A$5:$A$14, 'Consolidado por área'!B13, $B$5:$B$14)&gt;=1, 'Consolidado por área'!C13, "")</f>
        <v/>
      </c>
      <c r="G13" s="8" t="str">
        <f>IF(SUMIF($A$5:$A$14, 'Consolidado por área'!B13, $B$5:$B$14)&gt;=1, 'Consolidado por área'!D13, "")</f>
        <v/>
      </c>
      <c r="H13" s="8" t="str">
        <f>IF(SUMIF($A$5:$A$14, 'Consolidado por área'!B13, $B$5:$B$14)&gt;=1, 'Consolidado por área'!E13, "")</f>
        <v/>
      </c>
      <c r="I13" s="9" t="str">
        <f>IF(SUMIF($A$5:$A$14, 'Consolidado por área'!B13, $B$5:$B$14)&gt;=1, 'Consolidado por área'!F13, "")</f>
        <v/>
      </c>
      <c r="J13" s="4" t="str">
        <f>IF(SUMIF($A$5:$A$14, 'Consolidado por área'!B13, $B$5:$B$14)&gt;=1, 'Consolidado por área'!G13, "")</f>
        <v/>
      </c>
      <c r="K13" s="7" t="str">
        <f>IF(SUMIF($A$5:$A$14, 'Consolidado por área'!B13, $B$5:$B$14)&gt;=1, 'Consolidado por área'!H13, "")</f>
        <v/>
      </c>
      <c r="L13" s="25" t="str">
        <f>IF(SUMIF($A$5:$A$14, 'Consolidado por área'!B13, $B$5:$B$14)&gt;=1, 'Consolidado por área'!L13, "")</f>
        <v/>
      </c>
    </row>
    <row r="14">
      <c r="A14" s="5" t="inlineStr">
        <is>
          <t>Gerencia de Sistemas</t>
        </is>
      </c>
      <c r="B14" s="11" t="inlineStr"/>
      <c r="D14" s="5" t="str">
        <f>IF(SUMIF($A$5:$A$14, 'Consolidado por área'!B14, $B$5:$B$14)&gt;=1, 'Consolidado por área'!A14, "")</f>
        <v/>
      </c>
      <c r="E14" s="5" t="str">
        <f>IF(SUMIF($A$5:$A$14, 'Consolidado por área'!B14, $B$5:$B$14)&gt;=1, 'Consolidado por área'!B14, "")</f>
        <v/>
      </c>
      <c r="F14" s="8" t="str">
        <f>IF(SUMIF($A$5:$A$14, 'Consolidado por área'!B14, $B$5:$B$14)&gt;=1, 'Consolidado por área'!C14, "")</f>
        <v/>
      </c>
      <c r="G14" s="8" t="str">
        <f>IF(SUMIF($A$5:$A$14, 'Consolidado por área'!B14, $B$5:$B$14)&gt;=1, 'Consolidado por área'!D14, "")</f>
        <v/>
      </c>
      <c r="H14" s="8" t="str">
        <f>IF(SUMIF($A$5:$A$14, 'Consolidado por área'!B14, $B$5:$B$14)&gt;=1, 'Consolidado por área'!E14, "")</f>
        <v/>
      </c>
      <c r="I14" s="9" t="str">
        <f>IF(SUMIF($A$5:$A$14, 'Consolidado por área'!B14, $B$5:$B$14)&gt;=1, 'Consolidado por área'!F14, "")</f>
        <v/>
      </c>
      <c r="J14" s="4" t="str">
        <f>IF(SUMIF($A$5:$A$14, 'Consolidado por área'!B14, $B$5:$B$14)&gt;=1, 'Consolidado por área'!G14, "")</f>
        <v/>
      </c>
      <c r="K14" s="7" t="str">
        <f>IF(SUMIF($A$5:$A$14, 'Consolidado por área'!B14, $B$5:$B$14)&gt;=1, 'Consolidado por área'!H14, "")</f>
        <v/>
      </c>
      <c r="L14" s="25" t="str">
        <f>IF(SUMIF($A$5:$A$14, 'Consolidado por área'!B14, $B$5:$B$14)&gt;=1, 'Consolidado por área'!L14, "")</f>
        <v/>
      </c>
    </row>
    <row r="15">
      <c r="D15" s="5" t="str">
        <f>IF(SUMIF($A$5:$A$14, 'Consolidado por área'!B15, $B$5:$B$14)&gt;=1, 'Consolidado por área'!A15, "")</f>
        <v/>
      </c>
      <c r="E15" s="5" t="str">
        <f>IF(SUMIF($A$5:$A$14, 'Consolidado por área'!B15, $B$5:$B$14)&gt;=1, 'Consolidado por área'!B15, "")</f>
        <v/>
      </c>
      <c r="F15" s="8" t="str">
        <f>IF(SUMIF($A$5:$A$14, 'Consolidado por área'!B15, $B$5:$B$14)&gt;=1, 'Consolidado por área'!C15, "")</f>
        <v/>
      </c>
      <c r="G15" s="8" t="str">
        <f>IF(SUMIF($A$5:$A$14, 'Consolidado por área'!B15, $B$5:$B$14)&gt;=1, 'Consolidado por área'!D15, "")</f>
        <v/>
      </c>
      <c r="H15" s="8" t="str">
        <f>IF(SUMIF($A$5:$A$14, 'Consolidado por área'!B15, $B$5:$B$14)&gt;=1, 'Consolidado por área'!E15, "")</f>
        <v/>
      </c>
      <c r="I15" s="9" t="str">
        <f>IF(SUMIF($A$5:$A$14, 'Consolidado por área'!B15, $B$5:$B$14)&gt;=1, 'Consolidado por área'!F15, "")</f>
        <v/>
      </c>
      <c r="J15" s="4" t="str">
        <f>IF(SUMIF($A$5:$A$14, 'Consolidado por área'!B15, $B$5:$B$14)&gt;=1, 'Consolidado por área'!G15, "")</f>
        <v/>
      </c>
      <c r="K15" s="7" t="str">
        <f>IF(SUMIF($A$5:$A$14, 'Consolidado por área'!B15, $B$5:$B$14)&gt;=1, 'Consolidado por área'!H15, "")</f>
        <v/>
      </c>
      <c r="L15" s="25" t="str">
        <f>IF(SUMIF($A$5:$A$14, 'Consolidado por área'!B15, $B$5:$B$14)&gt;=1, 'Consolidado por área'!L15, "")</f>
        <v/>
      </c>
    </row>
    <row r="16">
      <c r="D16" s="5" t="str">
        <f>IF(SUMIF($A$5:$A$14, 'Consolidado por área'!B16, $B$5:$B$14)&gt;=1, 'Consolidado por área'!A16, "")</f>
        <v/>
      </c>
      <c r="E16" s="5" t="str">
        <f>IF(SUMIF($A$5:$A$14, 'Consolidado por área'!B16, $B$5:$B$14)&gt;=1, 'Consolidado por área'!B16, "")</f>
        <v/>
      </c>
      <c r="F16" s="8" t="str">
        <f>IF(SUMIF($A$5:$A$14, 'Consolidado por área'!B16, $B$5:$B$14)&gt;=1, 'Consolidado por área'!C16, "")</f>
        <v/>
      </c>
      <c r="G16" s="8" t="str">
        <f>IF(SUMIF($A$5:$A$14, 'Consolidado por área'!B16, $B$5:$B$14)&gt;=1, 'Consolidado por área'!D16, "")</f>
        <v/>
      </c>
      <c r="H16" s="8" t="str">
        <f>IF(SUMIF($A$5:$A$14, 'Consolidado por área'!B16, $B$5:$B$14)&gt;=1, 'Consolidado por área'!E16, "")</f>
        <v/>
      </c>
      <c r="I16" s="9" t="str">
        <f>IF(SUMIF($A$5:$A$14, 'Consolidado por área'!B16, $B$5:$B$14)&gt;=1, 'Consolidado por área'!F16, "")</f>
        <v/>
      </c>
      <c r="J16" s="4" t="str">
        <f>IF(SUMIF($A$5:$A$14, 'Consolidado por área'!B16, $B$5:$B$14)&gt;=1, 'Consolidado por área'!G16, "")</f>
        <v/>
      </c>
      <c r="K16" s="7" t="str">
        <f>IF(SUMIF($A$5:$A$14, 'Consolidado por área'!B16, $B$5:$B$14)&gt;=1, 'Consolidado por área'!H16, "")</f>
        <v/>
      </c>
      <c r="L16" s="25" t="str">
        <f>IF(SUMIF($A$5:$A$14, 'Consolidado por área'!B16, $B$5:$B$14)&gt;=1, 'Consolidado por área'!L16, "")</f>
        <v/>
      </c>
    </row>
    <row r="17">
      <c r="D17" s="5" t="str">
        <f>IF(SUMIF($A$5:$A$14, 'Consolidado por área'!B17, $B$5:$B$14)&gt;=1, 'Consolidado por área'!A17, "")</f>
        <v>CLINICA EMPRESARIAL</v>
      </c>
      <c r="E17" s="5" t="str">
        <f>IF(SUMIF($A$5:$A$14, 'Consolidado por área'!B17, $B$5:$B$14)&gt;=1, 'Consolidado por área'!B17, "")</f>
        <v>Gerencia Administrativa</v>
      </c>
      <c r="F17" s="8">
        <f>IF(SUMIF($A$5:$A$14, 'Consolidado por área'!B17, $B$5:$B$14)&gt;=1, 'Consolidado por área'!C17, "")</f>
        <v>2</v>
      </c>
      <c r="G17" s="8">
        <f>IF(SUMIF($A$5:$A$14, 'Consolidado por área'!B17, $B$5:$B$14)&gt;=1, 'Consolidado por área'!D17, "")</f>
        <v>2</v>
      </c>
      <c r="H17" s="8">
        <f>IF(SUMIF($A$5:$A$14, 'Consolidado por área'!B17, $B$5:$B$14)&gt;=1, 'Consolidado por área'!E17, "")</f>
        <v>0</v>
      </c>
      <c r="I17" s="9">
        <f>IF(SUMIF($A$5:$A$14, 'Consolidado por área'!B17, $B$5:$B$14)&gt;=1, 'Consolidado por área'!F17, "")</f>
        <v>1</v>
      </c>
      <c r="J17" s="4" t="str">
        <f>IF(SUMIF($A$5:$A$14, 'Consolidado por área'!B17, $B$5:$B$14)&gt;=1, 'Consolidado por área'!G17, "")</f>
        <v>Completo</v>
      </c>
      <c r="K17" s="7">
        <f>IF(SUMIF($A$5:$A$14, 'Consolidado por área'!B17, $B$5:$B$14)&gt;=1, 'Consolidado por área'!H17, "")</f>
        <v>100</v>
      </c>
      <c r="L17" s="25">
        <f>IF(SUMIF($A$5:$A$14, 'Consolidado por área'!B17, $B$5:$B$14)&gt;=1, 'Consolidado por área'!L17, "")</f>
        <v>46305.41128472222</v>
      </c>
    </row>
    <row r="18">
      <c r="D18" s="5" t="str">
        <f>IF(SUMIF($A$5:$A$14, 'Consolidado por área'!B18, $B$5:$B$14)&gt;=1, 'Consolidado por área'!A18, "")</f>
        <v/>
      </c>
      <c r="E18" s="5" t="str">
        <f>IF(SUMIF($A$5:$A$14, 'Consolidado por área'!B18, $B$5:$B$14)&gt;=1, 'Consolidado por área'!B18, "")</f>
        <v/>
      </c>
      <c r="F18" s="8" t="str">
        <f>IF(SUMIF($A$5:$A$14, 'Consolidado por área'!B18, $B$5:$B$14)&gt;=1, 'Consolidado por área'!C18, "")</f>
        <v/>
      </c>
      <c r="G18" s="8" t="str">
        <f>IF(SUMIF($A$5:$A$14, 'Consolidado por área'!B18, $B$5:$B$14)&gt;=1, 'Consolidado por área'!D18, "")</f>
        <v/>
      </c>
      <c r="H18" s="8" t="str">
        <f>IF(SUMIF($A$5:$A$14, 'Consolidado por área'!B18, $B$5:$B$14)&gt;=1, 'Consolidado por área'!E18, "")</f>
        <v/>
      </c>
      <c r="I18" s="9" t="str">
        <f>IF(SUMIF($A$5:$A$14, 'Consolidado por área'!B18, $B$5:$B$14)&gt;=1, 'Consolidado por área'!F18, "")</f>
        <v/>
      </c>
      <c r="J18" s="4" t="str">
        <f>IF(SUMIF($A$5:$A$14, 'Consolidado por área'!B18, $B$5:$B$14)&gt;=1, 'Consolidado por área'!G18, "")</f>
        <v/>
      </c>
      <c r="K18" s="7" t="str">
        <f>IF(SUMIF($A$5:$A$14, 'Consolidado por área'!B18, $B$5:$B$14)&gt;=1, 'Consolidado por área'!H18, "")</f>
        <v/>
      </c>
      <c r="L18" s="25" t="str">
        <f>IF(SUMIF($A$5:$A$14, 'Consolidado por área'!B18, $B$5:$B$14)&gt;=1, 'Consolidado por área'!L18, "")</f>
        <v/>
      </c>
    </row>
    <row r="19">
      <c r="D19" s="5" t="str">
        <f>IF(SUMIF($A$5:$A$14, 'Consolidado por área'!B19, $B$5:$B$14)&gt;=1, 'Consolidado por área'!A19, "")</f>
        <v/>
      </c>
      <c r="E19" s="5" t="str">
        <f>IF(SUMIF($A$5:$A$14, 'Consolidado por área'!B19, $B$5:$B$14)&gt;=1, 'Consolidado por área'!B19, "")</f>
        <v/>
      </c>
      <c r="F19" s="8" t="str">
        <f>IF(SUMIF($A$5:$A$14, 'Consolidado por área'!B19, $B$5:$B$14)&gt;=1, 'Consolidado por área'!C19, "")</f>
        <v/>
      </c>
      <c r="G19" s="8" t="str">
        <f>IF(SUMIF($A$5:$A$14, 'Consolidado por área'!B19, $B$5:$B$14)&gt;=1, 'Consolidado por área'!D19, "")</f>
        <v/>
      </c>
      <c r="H19" s="8" t="str">
        <f>IF(SUMIF($A$5:$A$14, 'Consolidado por área'!B19, $B$5:$B$14)&gt;=1, 'Consolidado por área'!E19, "")</f>
        <v/>
      </c>
      <c r="I19" s="9" t="str">
        <f>IF(SUMIF($A$5:$A$14, 'Consolidado por área'!B19, $B$5:$B$14)&gt;=1, 'Consolidado por área'!F19, "")</f>
        <v/>
      </c>
      <c r="J19" s="4" t="str">
        <f>IF(SUMIF($A$5:$A$14, 'Consolidado por área'!B19, $B$5:$B$14)&gt;=1, 'Consolidado por área'!G19, "")</f>
        <v/>
      </c>
      <c r="K19" s="7" t="str">
        <f>IF(SUMIF($A$5:$A$14, 'Consolidado por área'!B19, $B$5:$B$14)&gt;=1, 'Consolidado por área'!H19, "")</f>
        <v/>
      </c>
      <c r="L19" s="25" t="str">
        <f>IF(SUMIF($A$5:$A$14, 'Consolidado por área'!B19, $B$5:$B$14)&gt;=1, 'Consolidado por área'!L19, "")</f>
        <v/>
      </c>
    </row>
    <row r="20">
      <c r="D20" s="5" t="str">
        <f>IF(SUMIF($A$5:$A$14, 'Consolidado por área'!B20, $B$5:$B$14)&gt;=1, 'Consolidado por área'!A20, "")</f>
        <v/>
      </c>
      <c r="E20" s="5" t="str">
        <f>IF(SUMIF($A$5:$A$14, 'Consolidado por área'!B20, $B$5:$B$14)&gt;=1, 'Consolidado por área'!B20, "")</f>
        <v/>
      </c>
      <c r="F20" s="8" t="str">
        <f>IF(SUMIF($A$5:$A$14, 'Consolidado por área'!B20, $B$5:$B$14)&gt;=1, 'Consolidado por área'!C20, "")</f>
        <v/>
      </c>
      <c r="G20" s="8" t="str">
        <f>IF(SUMIF($A$5:$A$14, 'Consolidado por área'!B20, $B$5:$B$14)&gt;=1, 'Consolidado por área'!D20, "")</f>
        <v/>
      </c>
      <c r="H20" s="8" t="str">
        <f>IF(SUMIF($A$5:$A$14, 'Consolidado por área'!B20, $B$5:$B$14)&gt;=1, 'Consolidado por área'!E20, "")</f>
        <v/>
      </c>
      <c r="I20" s="9" t="str">
        <f>IF(SUMIF($A$5:$A$14, 'Consolidado por área'!B20, $B$5:$B$14)&gt;=1, 'Consolidado por área'!F20, "")</f>
        <v/>
      </c>
      <c r="J20" s="4" t="str">
        <f>IF(SUMIF($A$5:$A$14, 'Consolidado por área'!B20, $B$5:$B$14)&gt;=1, 'Consolidado por área'!G20, "")</f>
        <v/>
      </c>
      <c r="K20" s="7" t="str">
        <f>IF(SUMIF($A$5:$A$14, 'Consolidado por área'!B20, $B$5:$B$14)&gt;=1, 'Consolidado por área'!H20, "")</f>
        <v/>
      </c>
      <c r="L20" s="25" t="str">
        <f>IF(SUMIF($A$5:$A$14, 'Consolidado por área'!B20, $B$5:$B$14)&gt;=1, 'Consolidado por área'!L20, "")</f>
        <v/>
      </c>
    </row>
    <row r="21">
      <c r="D21" s="5" t="str">
        <f>IF(SUMIF($A$5:$A$14, 'Consolidado por área'!B21, $B$5:$B$14)&gt;=1, 'Consolidado por área'!A21, "")</f>
        <v>DEPARTAMENTO DE AUDITORIA INTERNA</v>
      </c>
      <c r="E21" s="5" t="str">
        <f>IF(SUMIF($A$5:$A$14, 'Consolidado por área'!B21, $B$5:$B$14)&gt;=1, 'Consolidado por área'!B21, "")</f>
        <v>Auditoría Interna</v>
      </c>
      <c r="F21" s="8">
        <f>IF(SUMIF($A$5:$A$14, 'Consolidado por área'!B21, $B$5:$B$14)&gt;=1, 'Consolidado por área'!C21, "")</f>
        <v>7</v>
      </c>
      <c r="G21" s="8">
        <f>IF(SUMIF($A$5:$A$14, 'Consolidado por área'!B21, $B$5:$B$14)&gt;=1, 'Consolidado por área'!D21, "")</f>
        <v>5</v>
      </c>
      <c r="H21" s="8">
        <f>IF(SUMIF($A$5:$A$14, 'Consolidado por área'!B21, $B$5:$B$14)&gt;=1, 'Consolidado por área'!E21, "")</f>
        <v>2</v>
      </c>
      <c r="I21" s="9">
        <f>IF(SUMIF($A$5:$A$14, 'Consolidado por área'!B21, $B$5:$B$14)&gt;=1, 'Consolidado por área'!F21, "")</f>
        <v>0.714285714285714</v>
      </c>
      <c r="J21" s="4" t="str">
        <f>IF(SUMIF($A$5:$A$14, 'Consolidado por área'!B21, $B$5:$B$14)&gt;=1, 'Consolidado por área'!G21, "")</f>
        <v>Pendiente</v>
      </c>
      <c r="K21" s="7">
        <f>IF(SUMIF($A$5:$A$14, 'Consolidado por área'!B21, $B$5:$B$14)&gt;=1, 'Consolidado por área'!H21, "")</f>
        <v>96</v>
      </c>
      <c r="L21" s="25">
        <f>IF(SUMIF($A$5:$A$14, 'Consolidado por área'!B21, $B$5:$B$14)&gt;=1, 'Consolidado por área'!L21, "")</f>
        <v>46304.404328703706</v>
      </c>
    </row>
    <row r="22">
      <c r="D22" s="5" t="str">
        <f>IF(SUMIF($A$5:$A$14, 'Consolidado por área'!B22, $B$5:$B$14)&gt;=1, 'Consolidado por área'!A22, "")</f>
        <v/>
      </c>
      <c r="E22" s="5" t="str">
        <f>IF(SUMIF($A$5:$A$14, 'Consolidado por área'!B22, $B$5:$B$14)&gt;=1, 'Consolidado por área'!B22, "")</f>
        <v/>
      </c>
      <c r="F22" s="8" t="str">
        <f>IF(SUMIF($A$5:$A$14, 'Consolidado por área'!B22, $B$5:$B$14)&gt;=1, 'Consolidado por área'!C22, "")</f>
        <v/>
      </c>
      <c r="G22" s="8" t="str">
        <f>IF(SUMIF($A$5:$A$14, 'Consolidado por área'!B22, $B$5:$B$14)&gt;=1, 'Consolidado por área'!D22, "")</f>
        <v/>
      </c>
      <c r="H22" s="8" t="str">
        <f>IF(SUMIF($A$5:$A$14, 'Consolidado por área'!B22, $B$5:$B$14)&gt;=1, 'Consolidado por área'!E22, "")</f>
        <v/>
      </c>
      <c r="I22" s="9" t="str">
        <f>IF(SUMIF($A$5:$A$14, 'Consolidado por área'!B22, $B$5:$B$14)&gt;=1, 'Consolidado por área'!F22, "")</f>
        <v/>
      </c>
      <c r="J22" s="4" t="str">
        <f>IF(SUMIF($A$5:$A$14, 'Consolidado por área'!B22, $B$5:$B$14)&gt;=1, 'Consolidado por área'!G22, "")</f>
        <v/>
      </c>
      <c r="K22" s="7" t="str">
        <f>IF(SUMIF($A$5:$A$14, 'Consolidado por área'!B22, $B$5:$B$14)&gt;=1, 'Consolidado por área'!H22, "")</f>
        <v/>
      </c>
      <c r="L22" s="25" t="str">
        <f>IF(SUMIF($A$5:$A$14, 'Consolidado por área'!B22, $B$5:$B$14)&gt;=1, 'Consolidado por área'!L22, "")</f>
        <v/>
      </c>
    </row>
    <row r="23">
      <c r="D23" s="5" t="str">
        <f>IF(SUMIF($A$5:$A$14, 'Consolidado por área'!B23, $B$5:$B$14)&gt;=1, 'Consolidado por área'!A23, "")</f>
        <v/>
      </c>
      <c r="E23" s="5" t="str">
        <f>IF(SUMIF($A$5:$A$14, 'Consolidado por área'!B23, $B$5:$B$14)&gt;=1, 'Consolidado por área'!B23, "")</f>
        <v/>
      </c>
      <c r="F23" s="8" t="str">
        <f>IF(SUMIF($A$5:$A$14, 'Consolidado por área'!B23, $B$5:$B$14)&gt;=1, 'Consolidado por área'!C23, "")</f>
        <v/>
      </c>
      <c r="G23" s="8" t="str">
        <f>IF(SUMIF($A$5:$A$14, 'Consolidado por área'!B23, $B$5:$B$14)&gt;=1, 'Consolidado por área'!D23, "")</f>
        <v/>
      </c>
      <c r="H23" s="8" t="str">
        <f>IF(SUMIF($A$5:$A$14, 'Consolidado por área'!B23, $B$5:$B$14)&gt;=1, 'Consolidado por área'!E23, "")</f>
        <v/>
      </c>
      <c r="I23" s="9" t="str">
        <f>IF(SUMIF($A$5:$A$14, 'Consolidado por área'!B23, $B$5:$B$14)&gt;=1, 'Consolidado por área'!F23, "")</f>
        <v/>
      </c>
      <c r="J23" s="4" t="str">
        <f>IF(SUMIF($A$5:$A$14, 'Consolidado por área'!B23, $B$5:$B$14)&gt;=1, 'Consolidado por área'!G23, "")</f>
        <v/>
      </c>
      <c r="K23" s="7" t="str">
        <f>IF(SUMIF($A$5:$A$14, 'Consolidado por área'!B23, $B$5:$B$14)&gt;=1, 'Consolidado por área'!H23, "")</f>
        <v/>
      </c>
      <c r="L23" s="25" t="str">
        <f>IF(SUMIF($A$5:$A$14, 'Consolidado por área'!B23, $B$5:$B$14)&gt;=1, 'Consolidado por área'!L23, "")</f>
        <v/>
      </c>
    </row>
    <row r="24">
      <c r="D24" s="5" t="str">
        <f>IF(SUMIF($A$5:$A$14, 'Consolidado por área'!B24, $B$5:$B$14)&gt;=1, 'Consolidado por área'!A24, "")</f>
        <v>DEPARTAMENTO DE CUSTODIA DE GARANTÍA Y VALORES</v>
      </c>
      <c r="E24" s="5" t="str">
        <f>IF(SUMIF($A$5:$A$14, 'Consolidado por área'!B24, $B$5:$B$14)&gt;=1, 'Consolidado por área'!B24, "")</f>
        <v>Gerencia Administrativa</v>
      </c>
      <c r="F24" s="8">
        <f>IF(SUMIF($A$5:$A$14, 'Consolidado por área'!B24, $B$5:$B$14)&gt;=1, 'Consolidado por área'!C24, "")</f>
        <v>6</v>
      </c>
      <c r="G24" s="8">
        <f>IF(SUMIF($A$5:$A$14, 'Consolidado por área'!B24, $B$5:$B$14)&gt;=1, 'Consolidado por área'!D24, "")</f>
        <v>6</v>
      </c>
      <c r="H24" s="8">
        <f>IF(SUMIF($A$5:$A$14, 'Consolidado por área'!B24, $B$5:$B$14)&gt;=1, 'Consolidado por área'!E24, "")</f>
        <v>0</v>
      </c>
      <c r="I24" s="9">
        <f>IF(SUMIF($A$5:$A$14, 'Consolidado por área'!B24, $B$5:$B$14)&gt;=1, 'Consolidado por área'!F24, "")</f>
        <v>1</v>
      </c>
      <c r="J24" s="4" t="str">
        <f>IF(SUMIF($A$5:$A$14, 'Consolidado por área'!B24, $B$5:$B$14)&gt;=1, 'Consolidado por área'!G24, "")</f>
        <v>Completo</v>
      </c>
      <c r="K24" s="7">
        <f>IF(SUMIF($A$5:$A$14, 'Consolidado por área'!B24, $B$5:$B$14)&gt;=1, 'Consolidado por área'!H24, "")</f>
        <v>100</v>
      </c>
      <c r="L24" s="25">
        <f>IF(SUMIF($A$5:$A$14, 'Consolidado por área'!B24, $B$5:$B$14)&gt;=1, 'Consolidado por área'!L24, "")</f>
        <v>46304.70379629629</v>
      </c>
    </row>
    <row r="25">
      <c r="D25" s="5" t="str">
        <f>IF(SUMIF($A$5:$A$14, 'Consolidado por área'!B25, $B$5:$B$14)&gt;=1, 'Consolidado por área'!A25, "")</f>
        <v/>
      </c>
      <c r="E25" s="5" t="str">
        <f>IF(SUMIF($A$5:$A$14, 'Consolidado por área'!B25, $B$5:$B$14)&gt;=1, 'Consolidado por área'!B25, "")</f>
        <v/>
      </c>
      <c r="F25" s="8" t="str">
        <f>IF(SUMIF($A$5:$A$14, 'Consolidado por área'!B25, $B$5:$B$14)&gt;=1, 'Consolidado por área'!C25, "")</f>
        <v/>
      </c>
      <c r="G25" s="8" t="str">
        <f>IF(SUMIF($A$5:$A$14, 'Consolidado por área'!B25, $B$5:$B$14)&gt;=1, 'Consolidado por área'!D25, "")</f>
        <v/>
      </c>
      <c r="H25" s="8" t="str">
        <f>IF(SUMIF($A$5:$A$14, 'Consolidado por área'!B25, $B$5:$B$14)&gt;=1, 'Consolidado por área'!E25, "")</f>
        <v/>
      </c>
      <c r="I25" s="9" t="str">
        <f>IF(SUMIF($A$5:$A$14, 'Consolidado por área'!B25, $B$5:$B$14)&gt;=1, 'Consolidado por área'!F25, "")</f>
        <v/>
      </c>
      <c r="J25" s="4" t="str">
        <f>IF(SUMIF($A$5:$A$14, 'Consolidado por área'!B25, $B$5:$B$14)&gt;=1, 'Consolidado por área'!G25, "")</f>
        <v/>
      </c>
      <c r="K25" s="7" t="str">
        <f>IF(SUMIF($A$5:$A$14, 'Consolidado por área'!B25, $B$5:$B$14)&gt;=1, 'Consolidado por área'!H25, "")</f>
        <v/>
      </c>
      <c r="L25" s="25" t="str">
        <f>IF(SUMIF($A$5:$A$14, 'Consolidado por área'!B25, $B$5:$B$14)&gt;=1, 'Consolidado por área'!L25, "")</f>
        <v/>
      </c>
    </row>
    <row r="26">
      <c r="D26" s="5" t="str">
        <f>IF(SUMIF($A$5:$A$14, 'Consolidado por área'!B26, $B$5:$B$14)&gt;=1, 'Consolidado por área'!A26, "")</f>
        <v/>
      </c>
      <c r="E26" s="5" t="str">
        <f>IF(SUMIF($A$5:$A$14, 'Consolidado por área'!B26, $B$5:$B$14)&gt;=1, 'Consolidado por área'!B26, "")</f>
        <v/>
      </c>
      <c r="F26" s="8" t="str">
        <f>IF(SUMIF($A$5:$A$14, 'Consolidado por área'!B26, $B$5:$B$14)&gt;=1, 'Consolidado por área'!C26, "")</f>
        <v/>
      </c>
      <c r="G26" s="8" t="str">
        <f>IF(SUMIF($A$5:$A$14, 'Consolidado por área'!B26, $B$5:$B$14)&gt;=1, 'Consolidado por área'!D26, "")</f>
        <v/>
      </c>
      <c r="H26" s="8" t="str">
        <f>IF(SUMIF($A$5:$A$14, 'Consolidado por área'!B26, $B$5:$B$14)&gt;=1, 'Consolidado por área'!E26, "")</f>
        <v/>
      </c>
      <c r="I26" s="9" t="str">
        <f>IF(SUMIF($A$5:$A$14, 'Consolidado por área'!B26, $B$5:$B$14)&gt;=1, 'Consolidado por área'!F26, "")</f>
        <v/>
      </c>
      <c r="J26" s="4" t="str">
        <f>IF(SUMIF($A$5:$A$14, 'Consolidado por área'!B26, $B$5:$B$14)&gt;=1, 'Consolidado por área'!G26, "")</f>
        <v/>
      </c>
      <c r="K26" s="7" t="str">
        <f>IF(SUMIF($A$5:$A$14, 'Consolidado por área'!B26, $B$5:$B$14)&gt;=1, 'Consolidado por área'!H26, "")</f>
        <v/>
      </c>
      <c r="L26" s="25" t="str">
        <f>IF(SUMIF($A$5:$A$14, 'Consolidado por área'!B26, $B$5:$B$14)&gt;=1, 'Consolidado por área'!L26, "")</f>
        <v/>
      </c>
    </row>
    <row r="27">
      <c r="D27" s="5" t="str">
        <f>IF(SUMIF($A$5:$A$14, 'Consolidado por área'!B27, $B$5:$B$14)&gt;=1, 'Consolidado por área'!A27, "")</f>
        <v/>
      </c>
      <c r="E27" s="5" t="str">
        <f>IF(SUMIF($A$5:$A$14, 'Consolidado por área'!B27, $B$5:$B$14)&gt;=1, 'Consolidado por área'!B27, "")</f>
        <v/>
      </c>
      <c r="F27" s="8" t="str">
        <f>IF(SUMIF($A$5:$A$14, 'Consolidado por área'!B27, $B$5:$B$14)&gt;=1, 'Consolidado por área'!C27, "")</f>
        <v/>
      </c>
      <c r="G27" s="8" t="str">
        <f>IF(SUMIF($A$5:$A$14, 'Consolidado por área'!B27, $B$5:$B$14)&gt;=1, 'Consolidado por área'!D27, "")</f>
        <v/>
      </c>
      <c r="H27" s="8" t="str">
        <f>IF(SUMIF($A$5:$A$14, 'Consolidado por área'!B27, $B$5:$B$14)&gt;=1, 'Consolidado por área'!E27, "")</f>
        <v/>
      </c>
      <c r="I27" s="9" t="str">
        <f>IF(SUMIF($A$5:$A$14, 'Consolidado por área'!B27, $B$5:$B$14)&gt;=1, 'Consolidado por área'!F27, "")</f>
        <v/>
      </c>
      <c r="J27" s="4" t="str">
        <f>IF(SUMIF($A$5:$A$14, 'Consolidado por área'!B27, $B$5:$B$14)&gt;=1, 'Consolidado por área'!G27, "")</f>
        <v/>
      </c>
      <c r="K27" s="7" t="str">
        <f>IF(SUMIF($A$5:$A$14, 'Consolidado por área'!B27, $B$5:$B$14)&gt;=1, 'Consolidado por área'!H27, "")</f>
        <v/>
      </c>
      <c r="L27" s="25" t="str">
        <f>IF(SUMIF($A$5:$A$14, 'Consolidado por área'!B27, $B$5:$B$14)&gt;=1, 'Consolidado por área'!L27, "")</f>
        <v/>
      </c>
    </row>
    <row r="28">
      <c r="D28" s="5" t="str">
        <f>IF(SUMIF($A$5:$A$14, 'Consolidado por área'!B28, $B$5:$B$14)&gt;=1, 'Consolidado por área'!A28, "")</f>
        <v/>
      </c>
      <c r="E28" s="5" t="str">
        <f>IF(SUMIF($A$5:$A$14, 'Consolidado por área'!B28, $B$5:$B$14)&gt;=1, 'Consolidado por área'!B28, "")</f>
        <v/>
      </c>
      <c r="F28" s="8" t="str">
        <f>IF(SUMIF($A$5:$A$14, 'Consolidado por área'!B28, $B$5:$B$14)&gt;=1, 'Consolidado por área'!C28, "")</f>
        <v/>
      </c>
      <c r="G28" s="8" t="str">
        <f>IF(SUMIF($A$5:$A$14, 'Consolidado por área'!B28, $B$5:$B$14)&gt;=1, 'Consolidado por área'!D28, "")</f>
        <v/>
      </c>
      <c r="H28" s="8" t="str">
        <f>IF(SUMIF($A$5:$A$14, 'Consolidado por área'!B28, $B$5:$B$14)&gt;=1, 'Consolidado por área'!E28, "")</f>
        <v/>
      </c>
      <c r="I28" s="9" t="str">
        <f>IF(SUMIF($A$5:$A$14, 'Consolidado por área'!B28, $B$5:$B$14)&gt;=1, 'Consolidado por área'!F28, "")</f>
        <v/>
      </c>
      <c r="J28" s="4" t="str">
        <f>IF(SUMIF($A$5:$A$14, 'Consolidado por área'!B28, $B$5:$B$14)&gt;=1, 'Consolidado por área'!G28, "")</f>
        <v/>
      </c>
      <c r="K28" s="7" t="str">
        <f>IF(SUMIF($A$5:$A$14, 'Consolidado por área'!B28, $B$5:$B$14)&gt;=1, 'Consolidado por área'!H28, "")</f>
        <v/>
      </c>
      <c r="L28" s="25" t="str">
        <f>IF(SUMIF($A$5:$A$14, 'Consolidado por área'!B28, $B$5:$B$14)&gt;=1, 'Consolidado por área'!L28, "")</f>
        <v/>
      </c>
    </row>
    <row r="29">
      <c r="D29" s="5" t="str">
        <f>IF(SUMIF($A$5:$A$14, 'Consolidado por área'!B29, $B$5:$B$14)&gt;=1, 'Consolidado por área'!A29, "")</f>
        <v/>
      </c>
      <c r="E29" s="5" t="str">
        <f>IF(SUMIF($A$5:$A$14, 'Consolidado por área'!B29, $B$5:$B$14)&gt;=1, 'Consolidado por área'!B29, "")</f>
        <v/>
      </c>
      <c r="F29" s="8" t="str">
        <f>IF(SUMIF($A$5:$A$14, 'Consolidado por área'!B29, $B$5:$B$14)&gt;=1, 'Consolidado por área'!C29, "")</f>
        <v/>
      </c>
      <c r="G29" s="8" t="str">
        <f>IF(SUMIF($A$5:$A$14, 'Consolidado por área'!B29, $B$5:$B$14)&gt;=1, 'Consolidado por área'!D29, "")</f>
        <v/>
      </c>
      <c r="H29" s="8" t="str">
        <f>IF(SUMIF($A$5:$A$14, 'Consolidado por área'!B29, $B$5:$B$14)&gt;=1, 'Consolidado por área'!E29, "")</f>
        <v/>
      </c>
      <c r="I29" s="9" t="str">
        <f>IF(SUMIF($A$5:$A$14, 'Consolidado por área'!B29, $B$5:$B$14)&gt;=1, 'Consolidado por área'!F29, "")</f>
        <v/>
      </c>
      <c r="J29" s="4" t="str">
        <f>IF(SUMIF($A$5:$A$14, 'Consolidado por área'!B29, $B$5:$B$14)&gt;=1, 'Consolidado por área'!G29, "")</f>
        <v/>
      </c>
      <c r="K29" s="7" t="str">
        <f>IF(SUMIF($A$5:$A$14, 'Consolidado por área'!B29, $B$5:$B$14)&gt;=1, 'Consolidado por área'!H29, "")</f>
        <v/>
      </c>
      <c r="L29" s="25" t="str">
        <f>IF(SUMIF($A$5:$A$14, 'Consolidado por área'!B29, $B$5:$B$14)&gt;=1, 'Consolidado por área'!L29, "")</f>
        <v/>
      </c>
    </row>
    <row r="30">
      <c r="D30" s="5" t="str">
        <f>IF(SUMIF($A$5:$A$14, 'Consolidado por área'!B30, $B$5:$B$14)&gt;=1, 'Consolidado por área'!A30, "")</f>
        <v/>
      </c>
      <c r="E30" s="5" t="str">
        <f>IF(SUMIF($A$5:$A$14, 'Consolidado por área'!B30, $B$5:$B$14)&gt;=1, 'Consolidado por área'!B30, "")</f>
        <v/>
      </c>
      <c r="F30" s="8" t="str">
        <f>IF(SUMIF($A$5:$A$14, 'Consolidado por área'!B30, $B$5:$B$14)&gt;=1, 'Consolidado por área'!C30, "")</f>
        <v/>
      </c>
      <c r="G30" s="8" t="str">
        <f>IF(SUMIF($A$5:$A$14, 'Consolidado por área'!B30, $B$5:$B$14)&gt;=1, 'Consolidado por área'!D30, "")</f>
        <v/>
      </c>
      <c r="H30" s="8" t="str">
        <f>IF(SUMIF($A$5:$A$14, 'Consolidado por área'!B30, $B$5:$B$14)&gt;=1, 'Consolidado por área'!E30, "")</f>
        <v/>
      </c>
      <c r="I30" s="9" t="str">
        <f>IF(SUMIF($A$5:$A$14, 'Consolidado por área'!B30, $B$5:$B$14)&gt;=1, 'Consolidado por área'!F30, "")</f>
        <v/>
      </c>
      <c r="J30" s="4" t="str">
        <f>IF(SUMIF($A$5:$A$14, 'Consolidado por área'!B30, $B$5:$B$14)&gt;=1, 'Consolidado por área'!G30, "")</f>
        <v/>
      </c>
      <c r="K30" s="7" t="str">
        <f>IF(SUMIF($A$5:$A$14, 'Consolidado por área'!B30, $B$5:$B$14)&gt;=1, 'Consolidado por área'!H30, "")</f>
        <v/>
      </c>
      <c r="L30" s="25" t="str">
        <f>IF(SUMIF($A$5:$A$14, 'Consolidado por área'!B30, $B$5:$B$14)&gt;=1, 'Consolidado por área'!L30, "")</f>
        <v/>
      </c>
    </row>
    <row r="31">
      <c r="D31" s="5" t="str">
        <f>IF(SUMIF($A$5:$A$14, 'Consolidado por área'!B31, $B$5:$B$14)&gt;=1, 'Consolidado por área'!A31, "")</f>
        <v>DEPARTAMENTO DE SEGURIDAD</v>
      </c>
      <c r="E31" s="5" t="str">
        <f>IF(SUMIF($A$5:$A$14, 'Consolidado por área'!B31, $B$5:$B$14)&gt;=1, 'Consolidado por área'!B31, "")</f>
        <v>Gerencia Administrativa</v>
      </c>
      <c r="F31" s="8">
        <f>IF(SUMIF($A$5:$A$14, 'Consolidado por área'!B31, $B$5:$B$14)&gt;=1, 'Consolidado por área'!C31, "")</f>
        <v>2</v>
      </c>
      <c r="G31" s="8">
        <f>IF(SUMIF($A$5:$A$14, 'Consolidado por área'!B31, $B$5:$B$14)&gt;=1, 'Consolidado por área'!D31, "")</f>
        <v>2</v>
      </c>
      <c r="H31" s="8">
        <f>IF(SUMIF($A$5:$A$14, 'Consolidado por área'!B31, $B$5:$B$14)&gt;=1, 'Consolidado por área'!E31, "")</f>
        <v>0</v>
      </c>
      <c r="I31" s="9">
        <f>IF(SUMIF($A$5:$A$14, 'Consolidado por área'!B31, $B$5:$B$14)&gt;=1, 'Consolidado por área'!F31, "")</f>
        <v>1</v>
      </c>
      <c r="J31" s="4" t="str">
        <f>IF(SUMIF($A$5:$A$14, 'Consolidado por área'!B31, $B$5:$B$14)&gt;=1, 'Consolidado por área'!G31, "")</f>
        <v>Completo</v>
      </c>
      <c r="K31" s="7">
        <f>IF(SUMIF($A$5:$A$14, 'Consolidado por área'!B31, $B$5:$B$14)&gt;=1, 'Consolidado por área'!H31, "")</f>
        <v>95</v>
      </c>
      <c r="L31" s="25">
        <f>IF(SUMIF($A$5:$A$14, 'Consolidado por área'!B31, $B$5:$B$14)&gt;=1, 'Consolidado por área'!L31, "")</f>
        <v>46296.46072916667</v>
      </c>
    </row>
    <row r="32">
      <c r="D32" s="5" t="str">
        <f>IF(SUMIF($A$5:$A$14, 'Consolidado por área'!B32, $B$5:$B$14)&gt;=1, 'Consolidado por área'!A32, "")</f>
        <v/>
      </c>
      <c r="E32" s="5" t="str">
        <f>IF(SUMIF($A$5:$A$14, 'Consolidado por área'!B32, $B$5:$B$14)&gt;=1, 'Consolidado por área'!B32, "")</f>
        <v/>
      </c>
      <c r="F32" s="8" t="str">
        <f>IF(SUMIF($A$5:$A$14, 'Consolidado por área'!B32, $B$5:$B$14)&gt;=1, 'Consolidado por área'!C32, "")</f>
        <v/>
      </c>
      <c r="G32" s="8" t="str">
        <f>IF(SUMIF($A$5:$A$14, 'Consolidado por área'!B32, $B$5:$B$14)&gt;=1, 'Consolidado por área'!D32, "")</f>
        <v/>
      </c>
      <c r="H32" s="8" t="str">
        <f>IF(SUMIF($A$5:$A$14, 'Consolidado por área'!B32, $B$5:$B$14)&gt;=1, 'Consolidado por área'!E32, "")</f>
        <v/>
      </c>
      <c r="I32" s="9" t="str">
        <f>IF(SUMIF($A$5:$A$14, 'Consolidado por área'!B32, $B$5:$B$14)&gt;=1, 'Consolidado por área'!F32, "")</f>
        <v/>
      </c>
      <c r="J32" s="4" t="str">
        <f>IF(SUMIF($A$5:$A$14, 'Consolidado por área'!B32, $B$5:$B$14)&gt;=1, 'Consolidado por área'!G32, "")</f>
        <v/>
      </c>
      <c r="K32" s="7" t="str">
        <f>IF(SUMIF($A$5:$A$14, 'Consolidado por área'!B32, $B$5:$B$14)&gt;=1, 'Consolidado por área'!H32, "")</f>
        <v/>
      </c>
      <c r="L32" s="25" t="str">
        <f>IF(SUMIF($A$5:$A$14, 'Consolidado por área'!B32, $B$5:$B$14)&gt;=1, 'Consolidado por área'!L32, "")</f>
        <v/>
      </c>
    </row>
    <row r="33">
      <c r="D33" s="5" t="str">
        <f>IF(SUMIF($A$5:$A$14, 'Consolidado por área'!B33, $B$5:$B$14)&gt;=1, 'Consolidado por área'!A33, "")</f>
        <v>DEPARTAMENTO DE SERVICIOS GENERALES</v>
      </c>
      <c r="E33" s="5" t="str">
        <f>IF(SUMIF($A$5:$A$14, 'Consolidado por área'!B33, $B$5:$B$14)&gt;=1, 'Consolidado por área'!B33, "")</f>
        <v>Gerencia Administrativa</v>
      </c>
      <c r="F33" s="8">
        <f>IF(SUMIF($A$5:$A$14, 'Consolidado por área'!B33, $B$5:$B$14)&gt;=1, 'Consolidado por área'!C33, "")</f>
        <v>17</v>
      </c>
      <c r="G33" s="8">
        <f>IF(SUMIF($A$5:$A$14, 'Consolidado por área'!B33, $B$5:$B$14)&gt;=1, 'Consolidado por área'!D33, "")</f>
        <v>16</v>
      </c>
      <c r="H33" s="8">
        <f>IF(SUMIF($A$5:$A$14, 'Consolidado por área'!B33, $B$5:$B$14)&gt;=1, 'Consolidado por área'!E33, "")</f>
        <v>1</v>
      </c>
      <c r="I33" s="9">
        <f>IF(SUMIF($A$5:$A$14, 'Consolidado por área'!B33, $B$5:$B$14)&gt;=1, 'Consolidado por área'!F33, "")</f>
        <v>0.941176470588235</v>
      </c>
      <c r="J33" s="4" t="str">
        <f>IF(SUMIF($A$5:$A$14, 'Consolidado por área'!B33, $B$5:$B$14)&gt;=1, 'Consolidado por área'!G33, "")</f>
        <v>Pendiente</v>
      </c>
      <c r="K33" s="7">
        <f>IF(SUMIF($A$5:$A$14, 'Consolidado por área'!B33, $B$5:$B$14)&gt;=1, 'Consolidado por área'!H33, "")</f>
        <v>85.625</v>
      </c>
      <c r="L33" s="25">
        <f>IF(SUMIF($A$5:$A$14, 'Consolidado por área'!B33, $B$5:$B$14)&gt;=1, 'Consolidado por área'!L33, "")</f>
        <v>46304.520787037036</v>
      </c>
    </row>
    <row r="34">
      <c r="D34" s="5" t="str">
        <f>IF(SUMIF($A$5:$A$14, 'Consolidado por área'!B34, $B$5:$B$14)&gt;=1, 'Consolidado por área'!A34, "")</f>
        <v/>
      </c>
      <c r="E34" s="5" t="str">
        <f>IF(SUMIF($A$5:$A$14, 'Consolidado por área'!B34, $B$5:$B$14)&gt;=1, 'Consolidado por área'!B34, "")</f>
        <v/>
      </c>
      <c r="F34" s="8" t="str">
        <f>IF(SUMIF($A$5:$A$14, 'Consolidado por área'!B34, $B$5:$B$14)&gt;=1, 'Consolidado por área'!C34, "")</f>
        <v/>
      </c>
      <c r="G34" s="8" t="str">
        <f>IF(SUMIF($A$5:$A$14, 'Consolidado por área'!B34, $B$5:$B$14)&gt;=1, 'Consolidado por área'!D34, "")</f>
        <v/>
      </c>
      <c r="H34" s="8" t="str">
        <f>IF(SUMIF($A$5:$A$14, 'Consolidado por área'!B34, $B$5:$B$14)&gt;=1, 'Consolidado por área'!E34, "")</f>
        <v/>
      </c>
      <c r="I34" s="9" t="str">
        <f>IF(SUMIF($A$5:$A$14, 'Consolidado por área'!B34, $B$5:$B$14)&gt;=1, 'Consolidado por área'!F34, "")</f>
        <v/>
      </c>
      <c r="J34" s="4" t="str">
        <f>IF(SUMIF($A$5:$A$14, 'Consolidado por área'!B34, $B$5:$B$14)&gt;=1, 'Consolidado por área'!G34, "")</f>
        <v/>
      </c>
      <c r="K34" s="7" t="str">
        <f>IF(SUMIF($A$5:$A$14, 'Consolidado por área'!B34, $B$5:$B$14)&gt;=1, 'Consolidado por área'!H34, "")</f>
        <v/>
      </c>
      <c r="L34" s="25" t="str">
        <f>IF(SUMIF($A$5:$A$14, 'Consolidado por área'!B34, $B$5:$B$14)&gt;=1, 'Consolidado por área'!L34, "")</f>
        <v/>
      </c>
    </row>
    <row r="35">
      <c r="D35" s="5" t="str">
        <f>IF(SUMIF($A$5:$A$14, 'Consolidado por área'!B35, $B$5:$B$14)&gt;=1, 'Consolidado por área'!A35, "")</f>
        <v>DEPARTAMENTO DE TALENTO HUMANO</v>
      </c>
      <c r="E35" s="5" t="str">
        <f>IF(SUMIF($A$5:$A$14, 'Consolidado por área'!B35, $B$5:$B$14)&gt;=1, 'Consolidado por área'!B35, "")</f>
        <v>Gerencia Administrativa</v>
      </c>
      <c r="F35" s="8">
        <f>IF(SUMIF($A$5:$A$14, 'Consolidado por área'!B35, $B$5:$B$14)&gt;=1, 'Consolidado por área'!C35, "")</f>
        <v>3</v>
      </c>
      <c r="G35" s="8">
        <f>IF(SUMIF($A$5:$A$14, 'Consolidado por área'!B35, $B$5:$B$14)&gt;=1, 'Consolidado por área'!D35, "")</f>
        <v>2</v>
      </c>
      <c r="H35" s="8">
        <f>IF(SUMIF($A$5:$A$14, 'Consolidado por área'!B35, $B$5:$B$14)&gt;=1, 'Consolidado por área'!E35, "")</f>
        <v>1</v>
      </c>
      <c r="I35" s="9">
        <f>IF(SUMIF($A$5:$A$14, 'Consolidado por área'!B35, $B$5:$B$14)&gt;=1, 'Consolidado por área'!F35, "")</f>
        <v>0.666666666666667</v>
      </c>
      <c r="J35" s="4" t="str">
        <f>IF(SUMIF($A$5:$A$14, 'Consolidado por área'!B35, $B$5:$B$14)&gt;=1, 'Consolidado por área'!G35, "")</f>
        <v>Pendiente</v>
      </c>
      <c r="K35" s="7">
        <f>IF(SUMIF($A$5:$A$14, 'Consolidado por área'!B35, $B$5:$B$14)&gt;=1, 'Consolidado por área'!H35, "")</f>
        <v>95</v>
      </c>
      <c r="L35" s="25">
        <f>IF(SUMIF($A$5:$A$14, 'Consolidado por área'!B35, $B$5:$B$14)&gt;=1, 'Consolidado por área'!L35, "")</f>
        <v>46304.52142361111</v>
      </c>
    </row>
    <row r="36">
      <c r="D36" s="5" t="str">
        <f>IF(SUMIF($A$5:$A$14, 'Consolidado por área'!B36, $B$5:$B$14)&gt;=1, 'Consolidado por área'!A36, "")</f>
        <v/>
      </c>
      <c r="E36" s="5" t="str">
        <f>IF(SUMIF($A$5:$A$14, 'Consolidado por área'!B36, $B$5:$B$14)&gt;=1, 'Consolidado por área'!B36, "")</f>
        <v/>
      </c>
      <c r="F36" s="8" t="str">
        <f>IF(SUMIF($A$5:$A$14, 'Consolidado por área'!B36, $B$5:$B$14)&gt;=1, 'Consolidado por área'!C36, "")</f>
        <v/>
      </c>
      <c r="G36" s="8" t="str">
        <f>IF(SUMIF($A$5:$A$14, 'Consolidado por área'!B36, $B$5:$B$14)&gt;=1, 'Consolidado por área'!D36, "")</f>
        <v/>
      </c>
      <c r="H36" s="8" t="str">
        <f>IF(SUMIF($A$5:$A$14, 'Consolidado por área'!B36, $B$5:$B$14)&gt;=1, 'Consolidado por área'!E36, "")</f>
        <v/>
      </c>
      <c r="I36" s="9" t="str">
        <f>IF(SUMIF($A$5:$A$14, 'Consolidado por área'!B36, $B$5:$B$14)&gt;=1, 'Consolidado por área'!F36, "")</f>
        <v/>
      </c>
      <c r="J36" s="4" t="str">
        <f>IF(SUMIF($A$5:$A$14, 'Consolidado por área'!B36, $B$5:$B$14)&gt;=1, 'Consolidado por área'!G36, "")</f>
        <v/>
      </c>
      <c r="K36" s="7" t="str">
        <f>IF(SUMIF($A$5:$A$14, 'Consolidado por área'!B36, $B$5:$B$14)&gt;=1, 'Consolidado por área'!H36, "")</f>
        <v/>
      </c>
      <c r="L36" s="25" t="str">
        <f>IF(SUMIF($A$5:$A$14, 'Consolidado por área'!B36, $B$5:$B$14)&gt;=1, 'Consolidado por área'!L36, "")</f>
        <v/>
      </c>
    </row>
    <row r="37">
      <c r="D37" s="5" t="str">
        <f>IF(SUMIF($A$5:$A$14, 'Consolidado por área'!B37, $B$5:$B$14)&gt;=1, 'Consolidado por área'!A37, "")</f>
        <v/>
      </c>
      <c r="E37" s="5" t="str">
        <f>IF(SUMIF($A$5:$A$14, 'Consolidado por área'!B37, $B$5:$B$14)&gt;=1, 'Consolidado por área'!B37, "")</f>
        <v/>
      </c>
      <c r="F37" s="8" t="str">
        <f>IF(SUMIF($A$5:$A$14, 'Consolidado por área'!B37, $B$5:$B$14)&gt;=1, 'Consolidado por área'!C37, "")</f>
        <v/>
      </c>
      <c r="G37" s="8" t="str">
        <f>IF(SUMIF($A$5:$A$14, 'Consolidado por área'!B37, $B$5:$B$14)&gt;=1, 'Consolidado por área'!D37, "")</f>
        <v/>
      </c>
      <c r="H37" s="8" t="str">
        <f>IF(SUMIF($A$5:$A$14, 'Consolidado por área'!B37, $B$5:$B$14)&gt;=1, 'Consolidado por área'!E37, "")</f>
        <v/>
      </c>
      <c r="I37" s="9" t="str">
        <f>IF(SUMIF($A$5:$A$14, 'Consolidado por área'!B37, $B$5:$B$14)&gt;=1, 'Consolidado por área'!F37, "")</f>
        <v/>
      </c>
      <c r="J37" s="4" t="str">
        <f>IF(SUMIF($A$5:$A$14, 'Consolidado por área'!B37, $B$5:$B$14)&gt;=1, 'Consolidado por área'!G37, "")</f>
        <v/>
      </c>
      <c r="K37" s="7" t="str">
        <f>IF(SUMIF($A$5:$A$14, 'Consolidado por área'!B37, $B$5:$B$14)&gt;=1, 'Consolidado por área'!H37, "")</f>
        <v/>
      </c>
      <c r="L37" s="25" t="str">
        <f>IF(SUMIF($A$5:$A$14, 'Consolidado por área'!B37, $B$5:$B$14)&gt;=1, 'Consolidado por área'!L37, "")</f>
        <v/>
      </c>
    </row>
    <row r="38">
      <c r="D38" s="5" t="str">
        <f>IF(SUMIF($A$5:$A$14, 'Consolidado por área'!B38, $B$5:$B$14)&gt;=1, 'Consolidado por área'!A38, "")</f>
        <v>GERENCIA  ADMINISTRATIVA</v>
      </c>
      <c r="E38" s="5" t="str">
        <f>IF(SUMIF($A$5:$A$14, 'Consolidado por área'!B38, $B$5:$B$14)&gt;=1, 'Consolidado por área'!B38, "")</f>
        <v>Gerencia Administrativa</v>
      </c>
      <c r="F38" s="8">
        <f>IF(SUMIF($A$5:$A$14, 'Consolidado por área'!B38, $B$5:$B$14)&gt;=1, 'Consolidado por área'!C38, "")</f>
        <v>2</v>
      </c>
      <c r="G38" s="8">
        <f>IF(SUMIF($A$5:$A$14, 'Consolidado por área'!B38, $B$5:$B$14)&gt;=1, 'Consolidado por área'!D38, "")</f>
        <v>1</v>
      </c>
      <c r="H38" s="8">
        <f>IF(SUMIF($A$5:$A$14, 'Consolidado por área'!B38, $B$5:$B$14)&gt;=1, 'Consolidado por área'!E38, "")</f>
        <v>1</v>
      </c>
      <c r="I38" s="9">
        <f>IF(SUMIF($A$5:$A$14, 'Consolidado por área'!B38, $B$5:$B$14)&gt;=1, 'Consolidado por área'!F38, "")</f>
        <v>0.5</v>
      </c>
      <c r="J38" s="4" t="str">
        <f>IF(SUMIF($A$5:$A$14, 'Consolidado por área'!B38, $B$5:$B$14)&gt;=1, 'Consolidado por área'!G38, "")</f>
        <v>Pendiente</v>
      </c>
      <c r="K38" s="7">
        <f>IF(SUMIF($A$5:$A$14, 'Consolidado por área'!B38, $B$5:$B$14)&gt;=1, 'Consolidado por área'!H38, "")</f>
        <v>100</v>
      </c>
      <c r="L38" s="25">
        <f>IF(SUMIF($A$5:$A$14, 'Consolidado por área'!B38, $B$5:$B$14)&gt;=1, 'Consolidado por área'!L38, "")</f>
        <v>46297.63836805556</v>
      </c>
    </row>
    <row r="39">
      <c r="D39" s="5" t="str">
        <f>IF(SUMIF($A$5:$A$14, 'Consolidado por área'!B39, $B$5:$B$14)&gt;=1, 'Consolidado por área'!A39, "")</f>
        <v/>
      </c>
      <c r="E39" s="5" t="str">
        <f>IF(SUMIF($A$5:$A$14, 'Consolidado por área'!B39, $B$5:$B$14)&gt;=1, 'Consolidado por área'!B39, "")</f>
        <v/>
      </c>
      <c r="F39" s="8" t="str">
        <f>IF(SUMIF($A$5:$A$14, 'Consolidado por área'!B39, $B$5:$B$14)&gt;=1, 'Consolidado por área'!C39, "")</f>
        <v/>
      </c>
      <c r="G39" s="8" t="str">
        <f>IF(SUMIF($A$5:$A$14, 'Consolidado por área'!B39, $B$5:$B$14)&gt;=1, 'Consolidado por área'!D39, "")</f>
        <v/>
      </c>
      <c r="H39" s="8" t="str">
        <f>IF(SUMIF($A$5:$A$14, 'Consolidado por área'!B39, $B$5:$B$14)&gt;=1, 'Consolidado por área'!E39, "")</f>
        <v/>
      </c>
      <c r="I39" s="9" t="str">
        <f>IF(SUMIF($A$5:$A$14, 'Consolidado por área'!B39, $B$5:$B$14)&gt;=1, 'Consolidado por área'!F39, "")</f>
        <v/>
      </c>
      <c r="J39" s="4" t="str">
        <f>IF(SUMIF($A$5:$A$14, 'Consolidado por área'!B39, $B$5:$B$14)&gt;=1, 'Consolidado por área'!G39, "")</f>
        <v/>
      </c>
      <c r="K39" s="7" t="str">
        <f>IF(SUMIF($A$5:$A$14, 'Consolidado por área'!B39, $B$5:$B$14)&gt;=1, 'Consolidado por área'!H39, "")</f>
        <v/>
      </c>
      <c r="L39" s="25" t="str">
        <f>IF(SUMIF($A$5:$A$14, 'Consolidado por área'!B39, $B$5:$B$14)&gt;=1, 'Consolidado por área'!L39, "")</f>
        <v/>
      </c>
    </row>
    <row r="40">
      <c r="D40" s="5" t="str">
        <f>IF(SUMIF($A$5:$A$14, 'Consolidado por área'!B40, $B$5:$B$14)&gt;=1, 'Consolidado por área'!A40, "")</f>
        <v/>
      </c>
      <c r="E40" s="5" t="str">
        <f>IF(SUMIF($A$5:$A$14, 'Consolidado por área'!B40, $B$5:$B$14)&gt;=1, 'Consolidado por área'!B40, "")</f>
        <v/>
      </c>
      <c r="F40" s="8" t="str">
        <f>IF(SUMIF($A$5:$A$14, 'Consolidado por área'!B40, $B$5:$B$14)&gt;=1, 'Consolidado por área'!C40, "")</f>
        <v/>
      </c>
      <c r="G40" s="8" t="str">
        <f>IF(SUMIF($A$5:$A$14, 'Consolidado por área'!B40, $B$5:$B$14)&gt;=1, 'Consolidado por área'!D40, "")</f>
        <v/>
      </c>
      <c r="H40" s="8" t="str">
        <f>IF(SUMIF($A$5:$A$14, 'Consolidado por área'!B40, $B$5:$B$14)&gt;=1, 'Consolidado por área'!E40, "")</f>
        <v/>
      </c>
      <c r="I40" s="9" t="str">
        <f>IF(SUMIF($A$5:$A$14, 'Consolidado por área'!B40, $B$5:$B$14)&gt;=1, 'Consolidado por área'!F40, "")</f>
        <v/>
      </c>
      <c r="J40" s="4" t="str">
        <f>IF(SUMIF($A$5:$A$14, 'Consolidado por área'!B40, $B$5:$B$14)&gt;=1, 'Consolidado por área'!G40, "")</f>
        <v/>
      </c>
      <c r="K40" s="7" t="str">
        <f>IF(SUMIF($A$5:$A$14, 'Consolidado por área'!B40, $B$5:$B$14)&gt;=1, 'Consolidado por área'!H40, "")</f>
        <v/>
      </c>
      <c r="L40" s="25" t="str">
        <f>IF(SUMIF($A$5:$A$14, 'Consolidado por área'!B40, $B$5:$B$14)&gt;=1, 'Consolidado por área'!L40, "")</f>
        <v/>
      </c>
    </row>
    <row r="41">
      <c r="D41" s="5" t="str">
        <f>IF(SUMIF($A$5:$A$14, 'Consolidado por área'!B41, $B$5:$B$14)&gt;=1, 'Consolidado por área'!A41, "")</f>
        <v/>
      </c>
      <c r="E41" s="5" t="str">
        <f>IF(SUMIF($A$5:$A$14, 'Consolidado por área'!B41, $B$5:$B$14)&gt;=1, 'Consolidado por área'!B41, "")</f>
        <v/>
      </c>
      <c r="F41" s="8" t="str">
        <f>IF(SUMIF($A$5:$A$14, 'Consolidado por área'!B41, $B$5:$B$14)&gt;=1, 'Consolidado por área'!C41, "")</f>
        <v/>
      </c>
      <c r="G41" s="8" t="str">
        <f>IF(SUMIF($A$5:$A$14, 'Consolidado por área'!B41, $B$5:$B$14)&gt;=1, 'Consolidado por área'!D41, "")</f>
        <v/>
      </c>
      <c r="H41" s="8" t="str">
        <f>IF(SUMIF($A$5:$A$14, 'Consolidado por área'!B41, $B$5:$B$14)&gt;=1, 'Consolidado por área'!E41, "")</f>
        <v/>
      </c>
      <c r="I41" s="9" t="str">
        <f>IF(SUMIF($A$5:$A$14, 'Consolidado por área'!B41, $B$5:$B$14)&gt;=1, 'Consolidado por área'!F41, "")</f>
        <v/>
      </c>
      <c r="J41" s="4" t="str">
        <f>IF(SUMIF($A$5:$A$14, 'Consolidado por área'!B41, $B$5:$B$14)&gt;=1, 'Consolidado por área'!G41, "")</f>
        <v/>
      </c>
      <c r="K41" s="7" t="str">
        <f>IF(SUMIF($A$5:$A$14, 'Consolidado por área'!B41, $B$5:$B$14)&gt;=1, 'Consolidado por área'!H41, "")</f>
        <v/>
      </c>
      <c r="L41" s="25" t="str">
        <f>IF(SUMIF($A$5:$A$14, 'Consolidado por área'!B41, $B$5:$B$14)&gt;=1, 'Consolidado por área'!L41, "")</f>
        <v/>
      </c>
    </row>
    <row r="42">
      <c r="D42" s="5" t="str">
        <f>IF(SUMIF($A$5:$A$14, 'Consolidado por área'!B42, $B$5:$B$14)&gt;=1, 'Consolidado por área'!A42, "")</f>
        <v/>
      </c>
      <c r="E42" s="5" t="str">
        <f>IF(SUMIF($A$5:$A$14, 'Consolidado por área'!B42, $B$5:$B$14)&gt;=1, 'Consolidado por área'!B42, "")</f>
        <v/>
      </c>
      <c r="F42" s="8" t="str">
        <f>IF(SUMIF($A$5:$A$14, 'Consolidado por área'!B42, $B$5:$B$14)&gt;=1, 'Consolidado por área'!C42, "")</f>
        <v/>
      </c>
      <c r="G42" s="8" t="str">
        <f>IF(SUMIF($A$5:$A$14, 'Consolidado por área'!B42, $B$5:$B$14)&gt;=1, 'Consolidado por área'!D42, "")</f>
        <v/>
      </c>
      <c r="H42" s="8" t="str">
        <f>IF(SUMIF($A$5:$A$14, 'Consolidado por área'!B42, $B$5:$B$14)&gt;=1, 'Consolidado por área'!E42, "")</f>
        <v/>
      </c>
      <c r="I42" s="9" t="str">
        <f>IF(SUMIF($A$5:$A$14, 'Consolidado por área'!B42, $B$5:$B$14)&gt;=1, 'Consolidado por área'!F42, "")</f>
        <v/>
      </c>
      <c r="J42" s="4" t="str">
        <f>IF(SUMIF($A$5:$A$14, 'Consolidado por área'!B42, $B$5:$B$14)&gt;=1, 'Consolidado por área'!G42, "")</f>
        <v/>
      </c>
      <c r="K42" s="7" t="str">
        <f>IF(SUMIF($A$5:$A$14, 'Consolidado por área'!B42, $B$5:$B$14)&gt;=1, 'Consolidado por área'!H42, "")</f>
        <v/>
      </c>
      <c r="L42" s="25" t="str">
        <f>IF(SUMIF($A$5:$A$14, 'Consolidado por área'!B42, $B$5:$B$14)&gt;=1, 'Consolidado por área'!L42, "")</f>
        <v/>
      </c>
    </row>
    <row r="43">
      <c r="D43" s="5" t="str">
        <f>IF(SUMIF($A$5:$A$14, 'Consolidado por área'!B43, $B$5:$B$14)&gt;=1, 'Consolidado por área'!A43, "")</f>
        <v/>
      </c>
      <c r="E43" s="5" t="str">
        <f>IF(SUMIF($A$5:$A$14, 'Consolidado por área'!B43, $B$5:$B$14)&gt;=1, 'Consolidado por área'!B43, "")</f>
        <v/>
      </c>
      <c r="F43" s="8" t="str">
        <f>IF(SUMIF($A$5:$A$14, 'Consolidado por área'!B43, $B$5:$B$14)&gt;=1, 'Consolidado por área'!C43, "")</f>
        <v/>
      </c>
      <c r="G43" s="8" t="str">
        <f>IF(SUMIF($A$5:$A$14, 'Consolidado por área'!B43, $B$5:$B$14)&gt;=1, 'Consolidado por área'!D43, "")</f>
        <v/>
      </c>
      <c r="H43" s="8" t="str">
        <f>IF(SUMIF($A$5:$A$14, 'Consolidado por área'!B43, $B$5:$B$14)&gt;=1, 'Consolidado por área'!E43, "")</f>
        <v/>
      </c>
      <c r="I43" s="9" t="str">
        <f>IF(SUMIF($A$5:$A$14, 'Consolidado por área'!B43, $B$5:$B$14)&gt;=1, 'Consolidado por área'!F43, "")</f>
        <v/>
      </c>
      <c r="J43" s="4" t="str">
        <f>IF(SUMIF($A$5:$A$14, 'Consolidado por área'!B43, $B$5:$B$14)&gt;=1, 'Consolidado por área'!G43, "")</f>
        <v/>
      </c>
      <c r="K43" s="7" t="str">
        <f>IF(SUMIF($A$5:$A$14, 'Consolidado por área'!B43, $B$5:$B$14)&gt;=1, 'Consolidado por área'!H43, "")</f>
        <v/>
      </c>
      <c r="L43" s="25" t="str">
        <f>IF(SUMIF($A$5:$A$14, 'Consolidado por área'!B43, $B$5:$B$14)&gt;=1, 'Consolidado por área'!L43, "")</f>
        <v/>
      </c>
    </row>
    <row r="44">
      <c r="D44" s="5" t="str">
        <f>IF(SUMIF($A$5:$A$14, 'Consolidado por área'!B44, $B$5:$B$14)&gt;=1, 'Consolidado por área'!A44, "")</f>
        <v/>
      </c>
      <c r="E44" s="5" t="str">
        <f>IF(SUMIF($A$5:$A$14, 'Consolidado por área'!B44, $B$5:$B$14)&gt;=1, 'Consolidado por área'!B44, "")</f>
        <v/>
      </c>
      <c r="F44" s="8" t="str">
        <f>IF(SUMIF($A$5:$A$14, 'Consolidado por área'!B44, $B$5:$B$14)&gt;=1, 'Consolidado por área'!C44, "")</f>
        <v/>
      </c>
      <c r="G44" s="8" t="str">
        <f>IF(SUMIF($A$5:$A$14, 'Consolidado por área'!B44, $B$5:$B$14)&gt;=1, 'Consolidado por área'!D44, "")</f>
        <v/>
      </c>
      <c r="H44" s="8" t="str">
        <f>IF(SUMIF($A$5:$A$14, 'Consolidado por área'!B44, $B$5:$B$14)&gt;=1, 'Consolidado por área'!E44, "")</f>
        <v/>
      </c>
      <c r="I44" s="9" t="str">
        <f>IF(SUMIF($A$5:$A$14, 'Consolidado por área'!B44, $B$5:$B$14)&gt;=1, 'Consolidado por área'!F44, "")</f>
        <v/>
      </c>
      <c r="J44" s="4" t="str">
        <f>IF(SUMIF($A$5:$A$14, 'Consolidado por área'!B44, $B$5:$B$14)&gt;=1, 'Consolidado por área'!G44, "")</f>
        <v/>
      </c>
      <c r="K44" s="7" t="str">
        <f>IF(SUMIF($A$5:$A$14, 'Consolidado por área'!B44, $B$5:$B$14)&gt;=1, 'Consolidado por área'!H44, "")</f>
        <v/>
      </c>
      <c r="L44" s="25" t="str">
        <f>IF(SUMIF($A$5:$A$14, 'Consolidado por área'!B44, $B$5:$B$14)&gt;=1, 'Consolidado por área'!L44, "")</f>
        <v/>
      </c>
    </row>
    <row r="45">
      <c r="D45" s="5" t="str">
        <f>IF(SUMIF($A$5:$A$14, 'Consolidado por área'!B45, $B$5:$B$14)&gt;=1, 'Consolidado por área'!A45, "")</f>
        <v/>
      </c>
      <c r="E45" s="5" t="str">
        <f>IF(SUMIF($A$5:$A$14, 'Consolidado por área'!B45, $B$5:$B$14)&gt;=1, 'Consolidado por área'!B45, "")</f>
        <v/>
      </c>
      <c r="F45" s="8" t="str">
        <f>IF(SUMIF($A$5:$A$14, 'Consolidado por área'!B45, $B$5:$B$14)&gt;=1, 'Consolidado por área'!C45, "")</f>
        <v/>
      </c>
      <c r="G45" s="8" t="str">
        <f>IF(SUMIF($A$5:$A$14, 'Consolidado por área'!B45, $B$5:$B$14)&gt;=1, 'Consolidado por área'!D45, "")</f>
        <v/>
      </c>
      <c r="H45" s="8" t="str">
        <f>IF(SUMIF($A$5:$A$14, 'Consolidado por área'!B45, $B$5:$B$14)&gt;=1, 'Consolidado por área'!E45, "")</f>
        <v/>
      </c>
      <c r="I45" s="9" t="str">
        <f>IF(SUMIF($A$5:$A$14, 'Consolidado por área'!B45, $B$5:$B$14)&gt;=1, 'Consolidado por área'!F45, "")</f>
        <v/>
      </c>
      <c r="J45" s="4" t="str">
        <f>IF(SUMIF($A$5:$A$14, 'Consolidado por área'!B45, $B$5:$B$14)&gt;=1, 'Consolidado por área'!G45, "")</f>
        <v/>
      </c>
      <c r="K45" s="7" t="str">
        <f>IF(SUMIF($A$5:$A$14, 'Consolidado por área'!B45, $B$5:$B$14)&gt;=1, 'Consolidado por área'!H45, "")</f>
        <v/>
      </c>
      <c r="L45" s="25" t="str">
        <f>IF(SUMIF($A$5:$A$14, 'Consolidado por área'!B45, $B$5:$B$14)&gt;=1, 'Consolidado por área'!L45, "")</f>
        <v/>
      </c>
    </row>
    <row r="46">
      <c r="D46" s="5" t="str">
        <f>IF(SUMIF($A$5:$A$14, 'Consolidado por área'!B46, $B$5:$B$14)&gt;=1, 'Consolidado por área'!A46, "")</f>
        <v/>
      </c>
      <c r="E46" s="5" t="str">
        <f>IF(SUMIF($A$5:$A$14, 'Consolidado por área'!B46, $B$5:$B$14)&gt;=1, 'Consolidado por área'!B46, "")</f>
        <v/>
      </c>
      <c r="F46" s="8" t="str">
        <f>IF(SUMIF($A$5:$A$14, 'Consolidado por área'!B46, $B$5:$B$14)&gt;=1, 'Consolidado por área'!C46, "")</f>
        <v/>
      </c>
      <c r="G46" s="8" t="str">
        <f>IF(SUMIF($A$5:$A$14, 'Consolidado por área'!B46, $B$5:$B$14)&gt;=1, 'Consolidado por área'!D46, "")</f>
        <v/>
      </c>
      <c r="H46" s="8" t="str">
        <f>IF(SUMIF($A$5:$A$14, 'Consolidado por área'!B46, $B$5:$B$14)&gt;=1, 'Consolidado por área'!E46, "")</f>
        <v/>
      </c>
      <c r="I46" s="9" t="str">
        <f>IF(SUMIF($A$5:$A$14, 'Consolidado por área'!B46, $B$5:$B$14)&gt;=1, 'Consolidado por área'!F46, "")</f>
        <v/>
      </c>
      <c r="J46" s="4" t="str">
        <f>IF(SUMIF($A$5:$A$14, 'Consolidado por área'!B46, $B$5:$B$14)&gt;=1, 'Consolidado por área'!G46, "")</f>
        <v/>
      </c>
      <c r="K46" s="7" t="str">
        <f>IF(SUMIF($A$5:$A$14, 'Consolidado por área'!B46, $B$5:$B$14)&gt;=1, 'Consolidado por área'!H46, "")</f>
        <v/>
      </c>
      <c r="L46" s="25" t="str">
        <f>IF(SUMIF($A$5:$A$14, 'Consolidado por área'!B46, $B$5:$B$14)&gt;=1, 'Consolidado por área'!L46, "")</f>
        <v/>
      </c>
    </row>
    <row r="47">
      <c r="D47" s="5" t="str">
        <f>IF(SUMIF($A$5:$A$14, 'Consolidado por área'!B47, $B$5:$B$14)&gt;=1, 'Consolidado por área'!A47, "")</f>
        <v/>
      </c>
      <c r="E47" s="5" t="str">
        <f>IF(SUMIF($A$5:$A$14, 'Consolidado por área'!B47, $B$5:$B$14)&gt;=1, 'Consolidado por área'!B47, "")</f>
        <v/>
      </c>
      <c r="F47" s="8" t="str">
        <f>IF(SUMIF($A$5:$A$14, 'Consolidado por área'!B47, $B$5:$B$14)&gt;=1, 'Consolidado por área'!C47, "")</f>
        <v/>
      </c>
      <c r="G47" s="8" t="str">
        <f>IF(SUMIF($A$5:$A$14, 'Consolidado por área'!B47, $B$5:$B$14)&gt;=1, 'Consolidado por área'!D47, "")</f>
        <v/>
      </c>
      <c r="H47" s="8" t="str">
        <f>IF(SUMIF($A$5:$A$14, 'Consolidado por área'!B47, $B$5:$B$14)&gt;=1, 'Consolidado por área'!E47, "")</f>
        <v/>
      </c>
      <c r="I47" s="9" t="str">
        <f>IF(SUMIF($A$5:$A$14, 'Consolidado por área'!B47, $B$5:$B$14)&gt;=1, 'Consolidado por área'!F47, "")</f>
        <v/>
      </c>
      <c r="J47" s="4" t="str">
        <f>IF(SUMIF($A$5:$A$14, 'Consolidado por área'!B47, $B$5:$B$14)&gt;=1, 'Consolidado por área'!G47, "")</f>
        <v/>
      </c>
      <c r="K47" s="7" t="str">
        <f>IF(SUMIF($A$5:$A$14, 'Consolidado por área'!B47, $B$5:$B$14)&gt;=1, 'Consolidado por área'!H47, "")</f>
        <v/>
      </c>
      <c r="L47" s="25" t="str">
        <f>IF(SUMIF($A$5:$A$14, 'Consolidado por área'!B47, $B$5:$B$14)&gt;=1, 'Consolidado por área'!L47, 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2" customWidth="1" min="2" max="2"/>
    <col width="12" customWidth="1" min="3" max="3"/>
    <col width="47" customWidth="1" min="4" max="4"/>
    <col width="12" customWidth="1" min="5" max="5"/>
    <col width="12" customWidth="1" min="6" max="6"/>
    <col width="25" customWidth="1" min="7" max="7"/>
    <col width="12" customWidth="1" min="8" max="8"/>
    <col width="12" customWidth="1" min="9" max="9"/>
    <col width="20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</cols>
  <sheetData>
    <row r="1">
      <c r="A1" s="1" t="inlineStr">
        <is>
          <t>DASHBOARD EJECUTIVO DE CUMPLIMIENTO (POR GERENCIA)</t>
        </is>
      </c>
      <c r="D1" s="12" t="n"/>
      <c r="E1" s="12" t="n"/>
      <c r="F1" s="12" t="n"/>
    </row>
    <row r="2">
      <c r="A2" s="2" t="inlineStr">
        <is>
          <t>Resumen gerencial de avance institucional y por gerencia</t>
        </is>
      </c>
      <c r="D2" s="12" t="n"/>
      <c r="E2" s="12" t="n"/>
      <c r="F2" s="12" t="n"/>
    </row>
    <row r="4">
      <c r="A4" s="13" t="inlineStr">
        <is>
          <t>TOTAL PERSONAL ESPERADO</t>
        </is>
      </c>
      <c r="D4" s="14" t="inlineStr">
        <is>
          <t>TOTAL COMPLETADOS</t>
        </is>
      </c>
      <c r="E4" s="19" t="n"/>
      <c r="F4" s="12" t="n"/>
      <c r="G4" s="13" t="inlineStr">
        <is>
          <t>% CUMPLIMIENTO GLOBAL</t>
        </is>
      </c>
      <c r="J4" s="13" t="inlineStr">
        <is>
          <t>TOTAL PENDIENTES</t>
        </is>
      </c>
      <c r="N4" t="inlineStr">
        <is>
          <t>Estado</t>
        </is>
      </c>
      <c r="O4" t="inlineStr">
        <is>
          <t>Cantidad</t>
        </is>
      </c>
    </row>
    <row r="5">
      <c r="A5" s="15">
        <f>SUM('Consolidado por Gerencia'!$B$5:$B$14)</f>
        <v>291</v>
      </c>
      <c r="D5" s="16">
        <f>SUM('Consolidado por Gerencia'!$C$5:$C$14)</f>
        <v>154</v>
      </c>
      <c r="E5" s="20" t="n"/>
      <c r="F5" s="12" t="n"/>
      <c r="G5" s="17">
        <f>D5/A5</f>
        <v>0.529209621993127</v>
      </c>
      <c r="J5" s="15">
        <f>A5-D5</f>
        <v>137</v>
      </c>
      <c r="N5" t="inlineStr">
        <is>
          <t>Completados</t>
        </is>
      </c>
      <c r="O5">
        <f>D5</f>
        <v>154</v>
      </c>
    </row>
    <row r="6">
      <c r="D6" s="21" t="n"/>
      <c r="E6" s="22" t="n"/>
      <c r="N6" t="inlineStr">
        <is>
          <t>Pendientes</t>
        </is>
      </c>
      <c r="O6">
        <f>J5</f>
        <v>137</v>
      </c>
    </row>
    <row r="7">
      <c r="D7" s="12" t="n"/>
      <c r="E7" s="12" t="n"/>
      <c r="F7" s="12" t="n"/>
    </row>
    <row r="8">
      <c r="D8" s="12" t="n"/>
      <c r="E8" s="12" t="n"/>
      <c r="F8" s="12" t="n"/>
    </row>
    <row r="10">
      <c r="D10" s="12" t="n"/>
      <c r="E10" s="12" t="n"/>
      <c r="F10" s="12" t="n"/>
    </row>
    <row r="11">
      <c r="D11" s="12" t="n"/>
      <c r="E11" s="12" t="n"/>
      <c r="F11" s="12" t="n"/>
    </row>
  </sheetData>
  <mergeCells count="8">
    <mergeCell ref="A4:B4"/>
    <mergeCell ref="G4:H4"/>
    <mergeCell ref="J4:K4"/>
    <mergeCell ref="D5:E6"/>
    <mergeCell ref="A5:B6"/>
    <mergeCell ref="G5:H6"/>
    <mergeCell ref="D4:E4"/>
    <mergeCell ref="J5:K6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1"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DASHBOARD — CUMPLIMIENTO POR DEPARTAMENTO / AGENCIA</t>
        </is>
      </c>
    </row>
    <row r="2">
      <c r="A2" s="2" t="inlineStr">
        <is>
          <t>Gráfica detallada de completados y pendientes por cada área institucional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3"/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MERALYS CHAVEZ RODRIGUEZ </t>
        </is>
      </c>
      <c r="B5" s="4" t="inlineStr">
        <is>
          <t>330</t>
        </is>
      </c>
      <c r="C5" s="5" t="inlineStr">
        <is>
          <t>AUDITOR INTERNO</t>
        </is>
      </c>
      <c r="D5" s="5" t="inlineStr">
        <is>
          <t>DEPARTAMENTO DE AUDITORIA INTERNA</t>
        </is>
      </c>
      <c r="E5" s="5" t="inlineStr">
        <is>
          <t>Auditoría Interna</t>
        </is>
      </c>
    </row>
    <row r="6">
      <c r="A6" s="5" t="inlineStr">
        <is>
          <t xml:space="preserve">NELSON DANILO BENITEZ MENDEZ </t>
        </is>
      </c>
      <c r="B6" s="4" t="inlineStr">
        <is>
          <t>534</t>
        </is>
      </c>
      <c r="C6" s="5" t="inlineStr">
        <is>
          <t>AUDITOR DE SISTEMAS</t>
        </is>
      </c>
      <c r="D6" s="5" t="inlineStr">
        <is>
          <t>DEPARTAMENTO DE AUDITORIA INTERNA</t>
        </is>
      </c>
      <c r="E6" s="5" t="inlineStr">
        <is>
          <t>Auditoría Interna</t>
        </is>
      </c>
    </row>
    <row r="7">
      <c r="A7" s="5" t="inlineStr">
        <is>
          <t xml:space="preserve">MAURICIO ANTONIO RAMIREZ PEREZ </t>
        </is>
      </c>
      <c r="B7" s="4" t="inlineStr">
        <is>
          <t>436</t>
        </is>
      </c>
      <c r="C7" s="5" t="inlineStr">
        <is>
          <t>AUXILIAR DE MANTENIMIENTO</t>
        </is>
      </c>
      <c r="D7" s="5" t="inlineStr">
        <is>
          <t>DEPARTAMENTO DE SERVICIOS GENERALES</t>
        </is>
      </c>
      <c r="E7" s="5" t="inlineStr">
        <is>
          <t>Gerencia Administrativa</t>
        </is>
      </c>
    </row>
    <row r="8">
      <c r="A8" s="5" t="inlineStr">
        <is>
          <t xml:space="preserve">DORA ALICIA CASTILLO </t>
        </is>
      </c>
      <c r="B8" s="4" t="inlineStr">
        <is>
          <t>65</t>
        </is>
      </c>
      <c r="C8" s="5" t="inlineStr">
        <is>
          <t>JEFE DE TALENTO HUMANO</t>
        </is>
      </c>
      <c r="D8" s="5" t="inlineStr">
        <is>
          <t>DEPARTAMENTO DE TALENTO HUMANO</t>
        </is>
      </c>
      <c r="E8" s="5" t="inlineStr">
        <is>
          <t>Gerencia Administrativa</t>
        </is>
      </c>
    </row>
    <row r="9">
      <c r="A9" s="5" t="inlineStr">
        <is>
          <t>MARTA LILLIAN VIGIL QUIJANO</t>
        </is>
      </c>
      <c r="B9" s="4" t="inlineStr">
        <is>
          <t>45</t>
        </is>
      </c>
      <c r="C9" s="5" t="inlineStr">
        <is>
          <t>ASISTENTE ADMINISTRATIVO DE GERENCIA  ADMINISTRATIVA</t>
        </is>
      </c>
      <c r="D9" s="5" t="inlineStr">
        <is>
          <t>GERENCIA  ADMINISTRATIVA</t>
        </is>
      </c>
      <c r="E9" s="5" t="inlineStr">
        <is>
          <t>Gerencia Administrativa</t>
        </is>
      </c>
    </row>
    <row r="10">
      <c r="A10" s="5" t="inlineStr">
        <is>
          <t xml:space="preserve">ANTONIO ALEXANDER  ALFARO ARGUETA </t>
        </is>
      </c>
      <c r="B10" s="4" t="inlineStr">
        <is>
          <t>669</t>
        </is>
      </c>
      <c r="C10" s="5" t="inlineStr">
        <is>
          <t>EJECUTIVO DE NEGOCIOS</t>
        </is>
      </c>
      <c r="D10" s="5" t="inlineStr">
        <is>
          <t>DEPARTAMENTO COMERCIAL DE TARJETA DE CREDITO Y DEBITO</t>
        </is>
      </c>
      <c r="E10" s="5" t="inlineStr">
        <is>
          <t>Gerencia General</t>
        </is>
      </c>
    </row>
    <row r="11">
      <c r="A11" s="5" t="inlineStr">
        <is>
          <t xml:space="preserve">GABRIEL FRANCISCO MOLINA DIAZ </t>
        </is>
      </c>
      <c r="B11" s="4" t="inlineStr">
        <is>
          <t>858</t>
        </is>
      </c>
      <c r="C11" s="5" t="inlineStr">
        <is>
          <t>EJECUTIVO DE NEGOCIOS</t>
        </is>
      </c>
      <c r="D11" s="5" t="inlineStr">
        <is>
          <t>DEPARTAMENTO COMERCIAL DE TARJETA DE CREDITO Y DEBITO</t>
        </is>
      </c>
      <c r="E11" s="5" t="inlineStr">
        <is>
          <t>Gerencia General</t>
        </is>
      </c>
    </row>
    <row r="12">
      <c r="A12" s="5" t="inlineStr">
        <is>
          <t xml:space="preserve">JOSE ALEXANDER ABREGO </t>
        </is>
      </c>
      <c r="B12" s="4" t="inlineStr">
        <is>
          <t>655</t>
        </is>
      </c>
      <c r="C12" s="5" t="inlineStr">
        <is>
          <t>EJECUTIVO DE NEGOCIOS</t>
        </is>
      </c>
      <c r="D12" s="5" t="inlineStr">
        <is>
          <t>DEPARTAMENTO COMERCIAL DE TARJETA DE CREDITO Y DEBITO</t>
        </is>
      </c>
      <c r="E12" s="5" t="inlineStr">
        <is>
          <t>Gerencia General</t>
        </is>
      </c>
    </row>
    <row r="13">
      <c r="A13" s="5" t="inlineStr">
        <is>
          <t xml:space="preserve">LUIS ALBERTO MEJIA DELGADO </t>
        </is>
      </c>
      <c r="B13" s="4" t="inlineStr">
        <is>
          <t>835</t>
        </is>
      </c>
      <c r="C13" s="5" t="inlineStr">
        <is>
          <t>EJECUTIVO DE NEGOCIOS</t>
        </is>
      </c>
      <c r="D13" s="5" t="inlineStr">
        <is>
          <t>DEPARTAMENTO COMERCIAL DE TARJETA DE CREDITO Y DEBITO</t>
        </is>
      </c>
      <c r="E13" s="5" t="inlineStr">
        <is>
          <t>Gerencia General</t>
        </is>
      </c>
    </row>
    <row r="14">
      <c r="A14" s="5" t="inlineStr">
        <is>
          <t xml:space="preserve">NELSON ULISES CAMPOS FLORES </t>
        </is>
      </c>
      <c r="B14" s="4" t="inlineStr">
        <is>
          <t>977</t>
        </is>
      </c>
      <c r="C14" s="5" t="inlineStr">
        <is>
          <t>GERENTE GENERAL</t>
        </is>
      </c>
      <c r="D14" s="5" t="inlineStr">
        <is>
          <t>GERENCIA GENERAL</t>
        </is>
      </c>
      <c r="E14" s="5" t="inlineStr">
        <is>
          <t>Gerencia General</t>
        </is>
      </c>
    </row>
    <row r="15">
      <c r="A15" s="5" t="inlineStr">
        <is>
          <t xml:space="preserve">ANDREA RAQUEL MONTOYA ALARCON </t>
        </is>
      </c>
      <c r="B15" s="4" t="inlineStr">
        <is>
          <t>814</t>
        </is>
      </c>
      <c r="C15" s="5" t="inlineStr">
        <is>
          <t>AUXILIAR JURIDICO DE ESCRITURACION</t>
        </is>
      </c>
      <c r="D15" s="5" t="inlineStr">
        <is>
          <t>DEPARTAMENTO LEGAL</t>
        </is>
      </c>
      <c r="E15" s="5" t="inlineStr">
        <is>
          <t>Gerencia Legal y Cumplimiento Normativo</t>
        </is>
      </c>
    </row>
    <row r="16">
      <c r="A16" s="5" t="inlineStr">
        <is>
          <t xml:space="preserve">CARLOS RENE CASTILLO GAMEZ </t>
        </is>
      </c>
      <c r="B16" s="4" t="inlineStr">
        <is>
          <t>592</t>
        </is>
      </c>
      <c r="C16" s="5" t="inlineStr">
        <is>
          <t>ASISTENTE TECNICO LEGAL</t>
        </is>
      </c>
      <c r="D16" s="5" t="inlineStr">
        <is>
          <t>DEPARTAMENTO LEGAL</t>
        </is>
      </c>
      <c r="E16" s="5" t="inlineStr">
        <is>
          <t>Gerencia Legal y Cumplimiento Normativo</t>
        </is>
      </c>
    </row>
    <row r="17">
      <c r="A17" s="5" t="inlineStr">
        <is>
          <t xml:space="preserve">CHRISTIAN ENRIQUE CAMPOS PRIVADO </t>
        </is>
      </c>
      <c r="B17" s="4" t="inlineStr">
        <is>
          <t>905</t>
        </is>
      </c>
      <c r="C17" s="5" t="inlineStr">
        <is>
          <t>ASISTENTE TECNICO LEGAL</t>
        </is>
      </c>
      <c r="D17" s="5" t="inlineStr">
        <is>
          <t>DEPARTAMENTO LEGAL</t>
        </is>
      </c>
      <c r="E17" s="5" t="inlineStr">
        <is>
          <t>Gerencia Legal y Cumplimiento Normativo</t>
        </is>
      </c>
    </row>
    <row r="18">
      <c r="A18" s="5" t="inlineStr">
        <is>
          <t xml:space="preserve">DANIELA MARIA FUENTES MEDINA </t>
        </is>
      </c>
      <c r="B18" s="4" t="inlineStr">
        <is>
          <t>843</t>
        </is>
      </c>
      <c r="C18" s="5" t="inlineStr">
        <is>
          <t>AUXILIAR JURIDICO DE CONTRATACION</t>
        </is>
      </c>
      <c r="D18" s="5" t="inlineStr">
        <is>
          <t>DEPARTAMENTO LEGAL</t>
        </is>
      </c>
      <c r="E18" s="5" t="inlineStr">
        <is>
          <t>Gerencia Legal y Cumplimiento Normativo</t>
        </is>
      </c>
    </row>
    <row r="19">
      <c r="A19" s="5" t="inlineStr">
        <is>
          <t xml:space="preserve">JUAN JOSE CAÑAS COMAYAGUA </t>
        </is>
      </c>
      <c r="B19" s="4" t="inlineStr">
        <is>
          <t>442</t>
        </is>
      </c>
      <c r="C19" s="5" t="inlineStr">
        <is>
          <t>JEFE DE DEPARTAMENTO LEGAL</t>
        </is>
      </c>
      <c r="D19" s="5" t="inlineStr">
        <is>
          <t>DEPARTAMENTO LEGAL</t>
        </is>
      </c>
      <c r="E19" s="5" t="inlineStr">
        <is>
          <t>Gerencia Legal y Cumplimiento Normativo</t>
        </is>
      </c>
    </row>
    <row r="20">
      <c r="A20" s="5" t="inlineStr">
        <is>
          <t xml:space="preserve">NICOLLE ALEXANDRA MARINERO GALLARDO </t>
        </is>
      </c>
      <c r="B20" s="4" t="inlineStr">
        <is>
          <t>831</t>
        </is>
      </c>
      <c r="C20" s="5" t="inlineStr">
        <is>
          <t>AUXILIAR JURIDICO NOTARIAL</t>
        </is>
      </c>
      <c r="D20" s="5" t="inlineStr">
        <is>
          <t>DEPARTAMENTO LEGAL</t>
        </is>
      </c>
      <c r="E20" s="5" t="inlineStr">
        <is>
          <t>Gerencia Legal y Cumplimiento Normativo</t>
        </is>
      </c>
    </row>
    <row r="21">
      <c r="A21" s="5" t="inlineStr">
        <is>
          <t xml:space="preserve">CLAUDIA MARLENE CABRERA SANCHEZ </t>
        </is>
      </c>
      <c r="B21" s="4" t="inlineStr">
        <is>
          <t>235</t>
        </is>
      </c>
      <c r="C21" s="5" t="inlineStr">
        <is>
          <t>SUPERVISOR DE CONTABILIDAD</t>
        </is>
      </c>
      <c r="D21" s="5" t="inlineStr">
        <is>
          <t>DEPARTAMENTO DE CONTABILIDAD</t>
        </is>
      </c>
      <c r="E21" s="5" t="inlineStr">
        <is>
          <t>Gerencia de Finanzas y Planificación</t>
        </is>
      </c>
    </row>
    <row r="22">
      <c r="A22" s="5" t="inlineStr">
        <is>
          <t>JENNIFER MARCELA MORALES  TORRES</t>
        </is>
      </c>
      <c r="B22" s="4" t="inlineStr">
        <is>
          <t>749</t>
        </is>
      </c>
      <c r="C22" s="5" t="inlineStr">
        <is>
          <t>CONTADOR BANCARIO</t>
        </is>
      </c>
      <c r="D22" s="5" t="inlineStr">
        <is>
          <t>DEPARTAMENTO DE CONTABILIDAD</t>
        </is>
      </c>
      <c r="E22" s="5" t="inlineStr">
        <is>
          <t>Gerencia de Finanzas y Planificación</t>
        </is>
      </c>
    </row>
    <row r="23">
      <c r="A23" s="5" t="inlineStr">
        <is>
          <t xml:space="preserve">JORDAN ALEXANDER FLORES HERRERA </t>
        </is>
      </c>
      <c r="B23" s="4" t="inlineStr">
        <is>
          <t>916</t>
        </is>
      </c>
      <c r="C23" s="5" t="inlineStr">
        <is>
          <t>AUXILIAR CONTABLE DE DIGITALIZACION</t>
        </is>
      </c>
      <c r="D23" s="5" t="inlineStr">
        <is>
          <t>DEPARTAMENTO DE CONTABILIDAD</t>
        </is>
      </c>
      <c r="E23" s="5" t="inlineStr">
        <is>
          <t>Gerencia de Finanzas y Planificación</t>
        </is>
      </c>
    </row>
    <row r="24">
      <c r="A24" s="5" t="inlineStr">
        <is>
          <t xml:space="preserve">MILAGRO TRINIDAD ROMERO MONTERROSA </t>
        </is>
      </c>
      <c r="B24" s="4" t="inlineStr">
        <is>
          <t>571</t>
        </is>
      </c>
      <c r="C24" s="5" t="inlineStr">
        <is>
          <t>ASISTENTE TECNICO DE IMPUESTOS</t>
        </is>
      </c>
      <c r="D24" s="5" t="inlineStr">
        <is>
          <t>DEPARTAMENTO DE CONTABILIDAD</t>
        </is>
      </c>
      <c r="E24" s="5" t="inlineStr">
        <is>
          <t>Gerencia de Finanzas y Planificación</t>
        </is>
      </c>
    </row>
    <row r="25">
      <c r="A25" s="5" t="inlineStr">
        <is>
          <t xml:space="preserve">RUBIA ESTELA LEIVA SIBRIAN </t>
        </is>
      </c>
      <c r="B25" s="4" t="inlineStr">
        <is>
          <t>70</t>
        </is>
      </c>
      <c r="C25" s="5" t="inlineStr">
        <is>
          <t>ASISTENTE TECNICO DE PAGOS</t>
        </is>
      </c>
      <c r="D25" s="5" t="inlineStr">
        <is>
          <t>DEPARTAMENTO DE CONTABILIDAD</t>
        </is>
      </c>
      <c r="E25" s="5" t="inlineStr">
        <is>
          <t>Gerencia de Finanzas y Planificación</t>
        </is>
      </c>
    </row>
    <row r="26">
      <c r="A26" s="5" t="inlineStr">
        <is>
          <t xml:space="preserve">THELMA JUDITH QUINTANILLA VALLE </t>
        </is>
      </c>
      <c r="B26" s="4" t="inlineStr">
        <is>
          <t>374</t>
        </is>
      </c>
      <c r="C26" s="5" t="inlineStr">
        <is>
          <t>AUXILIAR CONTABLE DE DIGITALIZACION</t>
        </is>
      </c>
      <c r="D26" s="5" t="inlineStr">
        <is>
          <t>DEPARTAMENTO DE CONTABILIDAD</t>
        </is>
      </c>
      <c r="E26" s="5" t="inlineStr">
        <is>
          <t>Gerencia de Finanzas y Planificación</t>
        </is>
      </c>
    </row>
    <row r="27">
      <c r="A27" s="5" t="inlineStr">
        <is>
          <t xml:space="preserve">EFRAIN ANTONIO  AYALA LOPEZ  </t>
        </is>
      </c>
      <c r="B27" s="4" t="inlineStr">
        <is>
          <t>946</t>
        </is>
      </c>
      <c r="C27" s="5" t="inlineStr">
        <is>
          <t>JEFE DE PLANIFICACION Y ANALISIS</t>
        </is>
      </c>
      <c r="D27" s="5" t="inlineStr">
        <is>
          <t>DEPARTAMENTO DE PLANIFICACIÓN Y ANALISIS</t>
        </is>
      </c>
      <c r="E27" s="5" t="inlineStr">
        <is>
          <t>Gerencia de Finanzas y Planificación</t>
        </is>
      </c>
    </row>
    <row r="28">
      <c r="A28" s="5" t="inlineStr">
        <is>
          <t xml:space="preserve">ESTER ALEYDA GODOY CAMPOS </t>
        </is>
      </c>
      <c r="B28" s="4" t="inlineStr">
        <is>
          <t>191</t>
        </is>
      </c>
      <c r="C28" s="5" t="inlineStr">
        <is>
          <t>ASISTENTE TECNICO DE PLANIFICACION</t>
        </is>
      </c>
      <c r="D28" s="5" t="inlineStr">
        <is>
          <t>DEPARTAMENTO DE PLANIFICACIÓN Y ANALISIS</t>
        </is>
      </c>
      <c r="E28" s="5" t="inlineStr">
        <is>
          <t>Gerencia de Finanzas y Planificación</t>
        </is>
      </c>
    </row>
    <row r="29">
      <c r="A29" s="5" t="inlineStr">
        <is>
          <t xml:space="preserve">RAFAEL ANDRES MARAVILLA GUERRA </t>
        </is>
      </c>
      <c r="B29" s="4" t="inlineStr">
        <is>
          <t>839</t>
        </is>
      </c>
      <c r="C29" s="5" t="inlineStr">
        <is>
          <t>ASISTENTE DE ANALISIS Y NORMATIVAS</t>
        </is>
      </c>
      <c r="D29" s="5" t="inlineStr">
        <is>
          <t>DEPARTAMENTO DE PLANIFICACIÓN Y ANALISIS</t>
        </is>
      </c>
      <c r="E29" s="5" t="inlineStr">
        <is>
          <t>Gerencia de Finanzas y Planificación</t>
        </is>
      </c>
    </row>
    <row r="30">
      <c r="A30" s="5" t="inlineStr">
        <is>
          <t xml:space="preserve">PAULA MARIA CALDERON PEREZ </t>
        </is>
      </c>
      <c r="B30" s="4" t="inlineStr">
        <is>
          <t>942</t>
        </is>
      </c>
      <c r="C30" s="5" t="inlineStr">
        <is>
          <t>ASISTENTE DE GERENCIA DE FINANZAS</t>
        </is>
      </c>
      <c r="D30" s="5" t="inlineStr">
        <is>
          <t>GERENCIA DE FINANZAS Y PLANIFICACIÓN</t>
        </is>
      </c>
      <c r="E30" s="5" t="inlineStr">
        <is>
          <t>Gerencia de Finanzas y Planificación</t>
        </is>
      </c>
    </row>
    <row r="31">
      <c r="A31" s="5" t="inlineStr">
        <is>
          <t xml:space="preserve">ALAN RODRIGO BENITEZ RODRIGUEZ </t>
        </is>
      </c>
      <c r="B31" s="4" t="inlineStr">
        <is>
          <t>981</t>
        </is>
      </c>
      <c r="C31" s="5" t="inlineStr">
        <is>
          <t>PASANTE</t>
        </is>
      </c>
      <c r="D31" s="5" t="inlineStr">
        <is>
          <t>DEPARTAMENTO DE ATENCION A ASOCIADO Y CLIENTE</t>
        </is>
      </c>
      <c r="E31" s="5" t="inlineStr">
        <is>
          <t>Gerencia de Negocios</t>
        </is>
      </c>
    </row>
    <row r="32">
      <c r="A32" s="5" t="inlineStr">
        <is>
          <t xml:space="preserve">EMERSON ULISES BELTRAN CORTEZ </t>
        </is>
      </c>
      <c r="B32" s="4" t="inlineStr">
        <is>
          <t>887</t>
        </is>
      </c>
      <c r="C32" s="5" t="inlineStr">
        <is>
          <t>AUXILIAR DE ATENCION A  ASOCIADOS</t>
        </is>
      </c>
      <c r="D32" s="5" t="inlineStr">
        <is>
          <t>DEPARTAMENTO DE ATENCION A ASOCIADO Y CLIENTE</t>
        </is>
      </c>
      <c r="E32" s="5" t="inlineStr">
        <is>
          <t>Gerencia de Negocios</t>
        </is>
      </c>
    </row>
    <row r="33">
      <c r="A33" s="5" t="inlineStr">
        <is>
          <t xml:space="preserve">FABIOLA ELIZABETH TICAS GOMEZ  </t>
        </is>
      </c>
      <c r="B33" s="4" t="inlineStr">
        <is>
          <t>945</t>
        </is>
      </c>
      <c r="C33" s="5" t="inlineStr">
        <is>
          <t>RECEPCIONISTA</t>
        </is>
      </c>
      <c r="D33" s="5" t="inlineStr">
        <is>
          <t>DEPARTAMENTO DE ATENCION A ASOCIADO Y CLIENTE</t>
        </is>
      </c>
      <c r="E33" s="5" t="inlineStr">
        <is>
          <t>Gerencia de Negocios</t>
        </is>
      </c>
    </row>
    <row r="34">
      <c r="A34" s="5" t="inlineStr">
        <is>
          <t>KARLA PATRICIA  ROBLES  CORTEZ</t>
        </is>
      </c>
      <c r="B34" s="4" t="inlineStr">
        <is>
          <t>744</t>
        </is>
      </c>
      <c r="C34" s="5" t="inlineStr">
        <is>
          <t>ASISTENTE TECNICO DE AFILIACION</t>
        </is>
      </c>
      <c r="D34" s="5" t="inlineStr">
        <is>
          <t>DEPARTAMENTO DE ATENCION A ASOCIADO Y CLIENTE</t>
        </is>
      </c>
      <c r="E34" s="5" t="inlineStr">
        <is>
          <t>Gerencia de Negocios</t>
        </is>
      </c>
    </row>
    <row r="35">
      <c r="A35" s="5" t="inlineStr">
        <is>
          <t>ANA ESTER ERAZO ORTIZ</t>
        </is>
      </c>
      <c r="B35" s="4" t="inlineStr">
        <is>
          <t>207</t>
        </is>
      </c>
      <c r="C35" s="5" t="inlineStr">
        <is>
          <t>ANALISTA DE CREDITOS</t>
        </is>
      </c>
      <c r="D35" s="5" t="inlineStr">
        <is>
          <t xml:space="preserve">DEPARTAMENTO DE CREDITOS </t>
        </is>
      </c>
      <c r="E35" s="5" t="inlineStr">
        <is>
          <t>Gerencia de Negocios</t>
        </is>
      </c>
    </row>
    <row r="36">
      <c r="A36" s="5" t="inlineStr">
        <is>
          <t xml:space="preserve">KARLA VANESSA GARCIA OLIVA </t>
        </is>
      </c>
      <c r="B36" s="4" t="inlineStr">
        <is>
          <t>809</t>
        </is>
      </c>
      <c r="C36" s="5" t="inlineStr">
        <is>
          <t>ANALISTA DE CREDITOS</t>
        </is>
      </c>
      <c r="D36" s="5" t="inlineStr">
        <is>
          <t xml:space="preserve">DEPARTAMENTO DE CREDITOS </t>
        </is>
      </c>
      <c r="E36" s="5" t="inlineStr">
        <is>
          <t>Gerencia de Negocios</t>
        </is>
      </c>
    </row>
    <row r="37">
      <c r="A37" s="5" t="inlineStr">
        <is>
          <t>MABEL GERALDINE RAMIREZ PORTILLO</t>
        </is>
      </c>
      <c r="B37" s="4" t="inlineStr">
        <is>
          <t>377</t>
        </is>
      </c>
      <c r="C37" s="5" t="inlineStr">
        <is>
          <t>SUPERVISOR DE ANALISTAS DE CREDITOS</t>
        </is>
      </c>
      <c r="D37" s="5" t="inlineStr">
        <is>
          <t xml:space="preserve">DEPARTAMENTO DE CREDITOS </t>
        </is>
      </c>
      <c r="E37" s="5" t="inlineStr">
        <is>
          <t>Gerencia de Negocios</t>
        </is>
      </c>
    </row>
    <row r="38">
      <c r="A38" s="5" t="inlineStr">
        <is>
          <t xml:space="preserve">MARIA LILIAN MENJIVAR GUARDADO </t>
        </is>
      </c>
      <c r="B38" s="4" t="inlineStr">
        <is>
          <t>979</t>
        </is>
      </c>
      <c r="C38" s="5" t="inlineStr">
        <is>
          <t>ANALISTA DE CREDITOS</t>
        </is>
      </c>
      <c r="D38" s="5" t="inlineStr">
        <is>
          <t xml:space="preserve">DEPARTAMENTO DE CREDITOS </t>
        </is>
      </c>
      <c r="E38" s="5" t="inlineStr">
        <is>
          <t>Gerencia de Negocios</t>
        </is>
      </c>
    </row>
    <row r="39">
      <c r="A39" s="5" t="inlineStr">
        <is>
          <t xml:space="preserve">MARIO LEONEL CANDRAY FLORES </t>
        </is>
      </c>
      <c r="B39" s="4" t="inlineStr">
        <is>
          <t>939</t>
        </is>
      </c>
      <c r="C39" s="5" t="inlineStr">
        <is>
          <t>ANALISTA DE CREDITOS</t>
        </is>
      </c>
      <c r="D39" s="5" t="inlineStr">
        <is>
          <t xml:space="preserve">DEPARTAMENTO DE CREDITOS </t>
        </is>
      </c>
      <c r="E39" s="5" t="inlineStr">
        <is>
          <t>Gerencia de Negocios</t>
        </is>
      </c>
    </row>
    <row r="40">
      <c r="A40" s="5" t="inlineStr">
        <is>
          <t xml:space="preserve">YANETH  HERNANDEZ YANES </t>
        </is>
      </c>
      <c r="B40" s="4" t="inlineStr">
        <is>
          <t>730</t>
        </is>
      </c>
      <c r="C40" s="5" t="inlineStr">
        <is>
          <t>JEFE DE CREDITOS</t>
        </is>
      </c>
      <c r="D40" s="5" t="inlineStr">
        <is>
          <t xml:space="preserve">DEPARTAMENTO DE CREDITOS </t>
        </is>
      </c>
      <c r="E40" s="5" t="inlineStr">
        <is>
          <t>Gerencia de Negocios</t>
        </is>
      </c>
    </row>
    <row r="41">
      <c r="A41" s="5" t="inlineStr">
        <is>
          <t xml:space="preserve">CARLOS EDUARDO SERVELLON PEREZ </t>
        </is>
      </c>
      <c r="B41" s="4" t="inlineStr">
        <is>
          <t>919</t>
        </is>
      </c>
      <c r="C41" s="5" t="inlineStr">
        <is>
          <t>AUXILIAR DE EDUCACION Y RESPONSABILIDAD SOCIAL</t>
        </is>
      </c>
      <c r="D41" s="5" t="inlineStr">
        <is>
          <t>DEPARTAMENTO DE EDUCACION Y RESPONSABILIDAD SOCIAL</t>
        </is>
      </c>
      <c r="E41" s="5" t="inlineStr">
        <is>
          <t>Gerencia de Negocios</t>
        </is>
      </c>
    </row>
    <row r="42">
      <c r="A42" s="5" t="inlineStr">
        <is>
          <t>ZULEYMA ALEJANDRA VASQUEZ  MARIN</t>
        </is>
      </c>
      <c r="B42" s="4" t="inlineStr">
        <is>
          <t>847</t>
        </is>
      </c>
      <c r="C42" s="5" t="inlineStr">
        <is>
          <t>JEFE DE EDUCACION Y RESPONSABILIDAD SOCIAL</t>
        </is>
      </c>
      <c r="D42" s="5" t="inlineStr">
        <is>
          <t>DEPARTAMENTO DE EDUCACION Y RESPONSABILIDAD SOCIAL</t>
        </is>
      </c>
      <c r="E42" s="5" t="inlineStr">
        <is>
          <t>Gerencia de Negocios</t>
        </is>
      </c>
    </row>
    <row r="43">
      <c r="A43" s="5" t="inlineStr">
        <is>
          <t>CARMEN MARIA GUTIERREZ ESTRADA</t>
        </is>
      </c>
      <c r="B43" s="4" t="inlineStr">
        <is>
          <t>591</t>
        </is>
      </c>
      <c r="C43" s="5" t="inlineStr">
        <is>
          <t>JEFE DE MERCADEO</t>
        </is>
      </c>
      <c r="D43" s="5" t="inlineStr">
        <is>
          <t xml:space="preserve">DEPARTAMENTO DE MERCADEO </t>
        </is>
      </c>
      <c r="E43" s="5" t="inlineStr">
        <is>
          <t>Gerencia de Negocios</t>
        </is>
      </c>
    </row>
    <row r="44">
      <c r="A44" s="5" t="inlineStr">
        <is>
          <t xml:space="preserve">GERARDO ALEXANDER  MARTINEZ RIVERA </t>
        </is>
      </c>
      <c r="B44" s="4" t="inlineStr">
        <is>
          <t>897</t>
        </is>
      </c>
      <c r="C44" s="5" t="inlineStr">
        <is>
          <t>ANALISTA DE COMUNICACIONES</t>
        </is>
      </c>
      <c r="D44" s="5" t="inlineStr">
        <is>
          <t xml:space="preserve">DEPARTAMENTO DE MERCADEO </t>
        </is>
      </c>
      <c r="E44" s="5" t="inlineStr">
        <is>
          <t>Gerencia de Negocios</t>
        </is>
      </c>
    </row>
    <row r="45">
      <c r="A45" s="5" t="inlineStr">
        <is>
          <t>IVONNE LISSETH DE JESUS RODRIGUEZ   FLORES</t>
        </is>
      </c>
      <c r="B45" s="4" t="inlineStr">
        <is>
          <t>219</t>
        </is>
      </c>
      <c r="C45" s="5" t="inlineStr">
        <is>
          <t>ASISTENTE TELEMARKETING</t>
        </is>
      </c>
      <c r="D45" s="5" t="inlineStr">
        <is>
          <t xml:space="preserve">DEPARTAMENTO DE MERCADEO </t>
        </is>
      </c>
      <c r="E45" s="5" t="inlineStr">
        <is>
          <t>Gerencia de Negocios</t>
        </is>
      </c>
    </row>
    <row r="46">
      <c r="A46" s="5" t="inlineStr">
        <is>
          <t xml:space="preserve">JOSE CARLOS IRENEO HERNANDEZ RODRIGUEZ </t>
        </is>
      </c>
      <c r="B46" s="4" t="inlineStr">
        <is>
          <t>361</t>
        </is>
      </c>
      <c r="C46" s="5" t="inlineStr">
        <is>
          <t>ASISTENTE TECNICO DE MERCADEO</t>
        </is>
      </c>
      <c r="D46" s="5" t="inlineStr">
        <is>
          <t xml:space="preserve">DEPARTAMENTO DE MERCADEO </t>
        </is>
      </c>
      <c r="E46" s="5" t="inlineStr">
        <is>
          <t>Gerencia de Negocios</t>
        </is>
      </c>
    </row>
    <row r="47">
      <c r="A47" s="5" t="inlineStr">
        <is>
          <t xml:space="preserve">LUIS FAUSTONY VASQUEZ CIENFUEGOS </t>
        </is>
      </c>
      <c r="B47" s="4" t="inlineStr">
        <is>
          <t>723</t>
        </is>
      </c>
      <c r="C47" s="5" t="inlineStr">
        <is>
          <t>GESTOR DE DOCUMENTOS</t>
        </is>
      </c>
      <c r="D47" s="5" t="inlineStr">
        <is>
          <t xml:space="preserve">DEPARTAMENTO DE MERCADEO </t>
        </is>
      </c>
      <c r="E47" s="5" t="inlineStr">
        <is>
          <t>Gerencia de Negocios</t>
        </is>
      </c>
    </row>
    <row r="48">
      <c r="A48" s="5" t="inlineStr">
        <is>
          <t xml:space="preserve">MARIA ALEJANDRA BATRES ALVARADO </t>
        </is>
      </c>
      <c r="B48" s="4" t="inlineStr">
        <is>
          <t>895</t>
        </is>
      </c>
      <c r="C48" s="5" t="inlineStr">
        <is>
          <t>DISEÑADOR  GRAFICO</t>
        </is>
      </c>
      <c r="D48" s="5" t="inlineStr">
        <is>
          <t xml:space="preserve">DEPARTAMENTO DE MERCADEO </t>
        </is>
      </c>
      <c r="E48" s="5" t="inlineStr">
        <is>
          <t>Gerencia de Negocios</t>
        </is>
      </c>
    </row>
    <row r="49">
      <c r="A49" s="5" t="inlineStr">
        <is>
          <t xml:space="preserve">CARLOS ALEXANDER ROMERO ROMERO </t>
        </is>
      </c>
      <c r="B49" s="4" t="inlineStr">
        <is>
          <t>639</t>
        </is>
      </c>
      <c r="C49" s="5" t="inlineStr">
        <is>
          <t>GESTOR DE CARTERA DE SEGUROS</t>
        </is>
      </c>
      <c r="D49" s="5" t="inlineStr">
        <is>
          <t xml:space="preserve">DEPARTAMENTO DE SEGUROS </t>
        </is>
      </c>
      <c r="E49" s="5" t="inlineStr">
        <is>
          <t>Gerencia de Negocios</t>
        </is>
      </c>
    </row>
    <row r="50">
      <c r="A50" s="5" t="inlineStr">
        <is>
          <t>CLAUDIA MARISOL MADRID BARRIENTOS</t>
        </is>
      </c>
      <c r="B50" s="4" t="inlineStr">
        <is>
          <t>544</t>
        </is>
      </c>
      <c r="C50" s="5" t="inlineStr">
        <is>
          <t>GESTOR DE  RECLAMOS Y SUSCRIPCIONES</t>
        </is>
      </c>
      <c r="D50" s="5" t="inlineStr">
        <is>
          <t xml:space="preserve">DEPARTAMENTO DE SEGUROS </t>
        </is>
      </c>
      <c r="E50" s="5" t="inlineStr">
        <is>
          <t>Gerencia de Negocios</t>
        </is>
      </c>
    </row>
    <row r="51">
      <c r="A51" s="5" t="inlineStr">
        <is>
          <t xml:space="preserve">ERIKA VANESSA ALEMAN MIJANGO </t>
        </is>
      </c>
      <c r="B51" s="4" t="inlineStr">
        <is>
          <t>802</t>
        </is>
      </c>
      <c r="C51" s="5" t="inlineStr">
        <is>
          <t>EJECUTIVO DE VENTA DE SEGUROS</t>
        </is>
      </c>
      <c r="D51" s="5" t="inlineStr">
        <is>
          <t xml:space="preserve">DEPARTAMENTO DE SEGUROS </t>
        </is>
      </c>
      <c r="E51" s="5" t="inlineStr">
        <is>
          <t>Gerencia de Negocios</t>
        </is>
      </c>
    </row>
    <row r="52">
      <c r="A52" s="5" t="inlineStr">
        <is>
          <t xml:space="preserve">JENNYFER AYLIN ESCOBAR ZAMORA </t>
        </is>
      </c>
      <c r="B52" s="4" t="inlineStr">
        <is>
          <t>792</t>
        </is>
      </c>
      <c r="C52" s="5" t="inlineStr">
        <is>
          <t>COORDINADOR COMERCIAL DE SEGUROS</t>
        </is>
      </c>
      <c r="D52" s="5" t="inlineStr">
        <is>
          <t xml:space="preserve">DEPARTAMENTO DE SEGUROS </t>
        </is>
      </c>
      <c r="E52" s="5" t="inlineStr">
        <is>
          <t>Gerencia de Negocios</t>
        </is>
      </c>
    </row>
    <row r="53">
      <c r="A53" s="5" t="inlineStr">
        <is>
          <t xml:space="preserve">JUANA HAZEL GARCIA COREAS </t>
        </is>
      </c>
      <c r="B53" s="4" t="inlineStr">
        <is>
          <t>805</t>
        </is>
      </c>
      <c r="C53" s="5" t="inlineStr">
        <is>
          <t>EJECUTIVO DE VENTA DE SEGUROS</t>
        </is>
      </c>
      <c r="D53" s="5" t="inlineStr">
        <is>
          <t xml:space="preserve">DEPARTAMENTO DE SEGUROS </t>
        </is>
      </c>
      <c r="E53" s="5" t="inlineStr">
        <is>
          <t>Gerencia de Negocios</t>
        </is>
      </c>
    </row>
    <row r="54">
      <c r="A54" s="5" t="inlineStr">
        <is>
          <t xml:space="preserve">LISSETTE MARICELA SANCHEZ MOLINA </t>
        </is>
      </c>
      <c r="B54" s="4" t="inlineStr">
        <is>
          <t>643</t>
        </is>
      </c>
      <c r="C54" s="5" t="inlineStr">
        <is>
          <t>ASISTENTE DE SEGUROS</t>
        </is>
      </c>
      <c r="D54" s="5" t="inlineStr">
        <is>
          <t xml:space="preserve">DEPARTAMENTO DE SEGUROS </t>
        </is>
      </c>
      <c r="E54" s="5" t="inlineStr">
        <is>
          <t>Gerencia de Negocios</t>
        </is>
      </c>
    </row>
    <row r="55">
      <c r="A55" s="5" t="inlineStr">
        <is>
          <t xml:space="preserve">ALBA BEATRIZ MELENDEZ PRUDENCIO </t>
        </is>
      </c>
      <c r="B55" s="4" t="inlineStr">
        <is>
          <t>885</t>
        </is>
      </c>
      <c r="C55" s="5" t="inlineStr">
        <is>
          <t>ASISTENTE DE RECUPERACION JUDICIAL Y CARTERA CASTIGADA</t>
        </is>
      </c>
      <c r="D55" s="5" t="inlineStr">
        <is>
          <t>DEPARTAMENTO DE SOLUCIONES FINANCIERAS</t>
        </is>
      </c>
      <c r="E55" s="5" t="inlineStr">
        <is>
          <t>Gerencia de Negocios</t>
        </is>
      </c>
    </row>
    <row r="56">
      <c r="A56" s="5" t="inlineStr">
        <is>
          <t xml:space="preserve">ANA GRISELDA SIGÜENZA MARTINEZ </t>
        </is>
      </c>
      <c r="B56" s="4" t="inlineStr">
        <is>
          <t>528</t>
        </is>
      </c>
      <c r="C56" s="5" t="inlineStr">
        <is>
          <t>AUXILIAR DE DEPARTAMENTO DE SOLUCIONES FINANCIERAS</t>
        </is>
      </c>
      <c r="D56" s="5" t="inlineStr">
        <is>
          <t>DEPARTAMENTO DE SOLUCIONES FINANCIERAS</t>
        </is>
      </c>
      <c r="E56" s="5" t="inlineStr">
        <is>
          <t>Gerencia de Negocios</t>
        </is>
      </c>
    </row>
    <row r="57">
      <c r="A57" s="5" t="inlineStr">
        <is>
          <t xml:space="preserve">JUAN PABLO HENRIQUEZ RAMIREZ </t>
        </is>
      </c>
      <c r="B57" s="4" t="inlineStr">
        <is>
          <t>573</t>
        </is>
      </c>
      <c r="C57" s="5" t="inlineStr">
        <is>
          <t>EJECUTIVO DE SOLUCIONES FINANCIERAS</t>
        </is>
      </c>
      <c r="D57" s="5" t="inlineStr">
        <is>
          <t>DEPARTAMENTO DE SOLUCIONES FINANCIERAS</t>
        </is>
      </c>
      <c r="E57" s="5" t="inlineStr">
        <is>
          <t>Gerencia de Negocios</t>
        </is>
      </c>
    </row>
    <row r="58">
      <c r="A58" s="5" t="inlineStr">
        <is>
          <t>ROSA ELIZABETH RIVAS AGUILUZ</t>
        </is>
      </c>
      <c r="B58" s="4" t="inlineStr">
        <is>
          <t>182</t>
        </is>
      </c>
      <c r="C58" s="5" t="inlineStr">
        <is>
          <t>EJECUTIVO DE SOLUCIONES FINANCIERAS</t>
        </is>
      </c>
      <c r="D58" s="5" t="inlineStr">
        <is>
          <t>DEPARTAMENTO DE SOLUCIONES FINANCIERAS</t>
        </is>
      </c>
      <c r="E58" s="5" t="inlineStr">
        <is>
          <t>Gerencia de Negocios</t>
        </is>
      </c>
    </row>
    <row r="59">
      <c r="A59" s="5" t="inlineStr">
        <is>
          <t xml:space="preserve">SANDRA GUADALUPE ROQUE SANCHEZ </t>
        </is>
      </c>
      <c r="B59" s="4" t="inlineStr">
        <is>
          <t>298</t>
        </is>
      </c>
      <c r="C59" s="5" t="inlineStr">
        <is>
          <t>EJECUTIVO DE SOLUCIONES FINANCIERAS</t>
        </is>
      </c>
      <c r="D59" s="5" t="inlineStr">
        <is>
          <t>DEPARTAMENTO DE SOLUCIONES FINANCIERAS</t>
        </is>
      </c>
      <c r="E59" s="5" t="inlineStr">
        <is>
          <t>Gerencia de Negocios</t>
        </is>
      </c>
    </row>
    <row r="60">
      <c r="A60" s="5" t="inlineStr">
        <is>
          <t xml:space="preserve">XOCHILT VERONICA NOUBLEAU </t>
        </is>
      </c>
      <c r="B60" s="4" t="inlineStr">
        <is>
          <t>263</t>
        </is>
      </c>
      <c r="C60" s="5" t="inlineStr">
        <is>
          <t>EJECUTIVO DE SOLUCIONES FINANCIERAS</t>
        </is>
      </c>
      <c r="D60" s="5" t="inlineStr">
        <is>
          <t>DEPARTAMENTO DE SOLUCIONES FINANCIERAS</t>
        </is>
      </c>
      <c r="E60" s="5" t="inlineStr">
        <is>
          <t>Gerencia de Negocios</t>
        </is>
      </c>
    </row>
    <row r="61">
      <c r="A61" s="5" t="inlineStr">
        <is>
          <t xml:space="preserve">YENIS MARILU ESCOBAR SORTO </t>
        </is>
      </c>
      <c r="B61" s="4" t="inlineStr">
        <is>
          <t>34</t>
        </is>
      </c>
      <c r="C61" s="5" t="inlineStr">
        <is>
          <t>EJECUTIVO DE SOLUCIONES FINANCIERAS</t>
        </is>
      </c>
      <c r="D61" s="5" t="inlineStr">
        <is>
          <t>DEPARTAMENTO DE SOLUCIONES FINANCIERAS</t>
        </is>
      </c>
      <c r="E61" s="5" t="inlineStr">
        <is>
          <t>Gerencia de Negocios</t>
        </is>
      </c>
    </row>
    <row r="62">
      <c r="A62" s="5" t="inlineStr">
        <is>
          <t xml:space="preserve">JOSE HUMBERTO BARILLAS BURGOS </t>
        </is>
      </c>
      <c r="B62" s="4" t="inlineStr">
        <is>
          <t>741</t>
        </is>
      </c>
      <c r="C62" s="5" t="inlineStr">
        <is>
          <t>GERENTE DE NEGOCIOS</t>
        </is>
      </c>
      <c r="D62" s="5" t="inlineStr">
        <is>
          <t>GERENCIA DE NEGOCIOS</t>
        </is>
      </c>
      <c r="E62" s="5" t="inlineStr">
        <is>
          <t>Gerencia de Negocios</t>
        </is>
      </c>
    </row>
    <row r="63">
      <c r="A63" s="5" t="inlineStr">
        <is>
          <t xml:space="preserve">JUAN CARLOS AGUILAR ASCENCIO </t>
        </is>
      </c>
      <c r="B63" s="4" t="inlineStr">
        <is>
          <t>581</t>
        </is>
      </c>
      <c r="C63" s="5" t="inlineStr">
        <is>
          <t>CAJERO MOVIL</t>
        </is>
      </c>
      <c r="D63" s="5" t="inlineStr">
        <is>
          <t xml:space="preserve">SUB GERENCIA DE CANALES </t>
        </is>
      </c>
      <c r="E63" s="5" t="inlineStr">
        <is>
          <t>Gerencia de Negocios</t>
        </is>
      </c>
    </row>
    <row r="64">
      <c r="A64" s="5" t="inlineStr">
        <is>
          <t xml:space="preserve">LUIS FERNANDO MORAN GARCIA </t>
        </is>
      </c>
      <c r="B64" s="4" t="inlineStr">
        <is>
          <t>651</t>
        </is>
      </c>
      <c r="C64" s="5" t="inlineStr">
        <is>
          <t>JEFE MOVIL DE AGENCIAS</t>
        </is>
      </c>
      <c r="D64" s="5" t="inlineStr">
        <is>
          <t xml:space="preserve">SUB GERENCIA DE CANALES </t>
        </is>
      </c>
      <c r="E64" s="5" t="inlineStr">
        <is>
          <t>Gerencia de Negocios</t>
        </is>
      </c>
    </row>
    <row r="65">
      <c r="A65" s="5" t="inlineStr">
        <is>
          <t xml:space="preserve">REBECA ABIGAIL VEGA FLORES </t>
        </is>
      </c>
      <c r="B65" s="4" t="inlineStr">
        <is>
          <t>854</t>
        </is>
      </c>
      <c r="C65" s="5" t="inlineStr">
        <is>
          <t>CAJERO MOVIL</t>
        </is>
      </c>
      <c r="D65" s="5" t="inlineStr">
        <is>
          <t xml:space="preserve">SUB GERENCIA DE CANALES </t>
        </is>
      </c>
      <c r="E65" s="5" t="inlineStr">
        <is>
          <t>Gerencia de Negocios</t>
        </is>
      </c>
    </row>
    <row r="66">
      <c r="A66" s="5" t="inlineStr">
        <is>
          <t xml:space="preserve">SAMUEL ALBERTO SALGUERO RODRIGUEZ </t>
        </is>
      </c>
      <c r="B66" s="4" t="inlineStr">
        <is>
          <t>968</t>
        </is>
      </c>
      <c r="C66" s="5" t="inlineStr">
        <is>
          <t>CAJERO MOVIL</t>
        </is>
      </c>
      <c r="D66" s="5" t="inlineStr">
        <is>
          <t xml:space="preserve">SUB GERENCIA DE CANALES </t>
        </is>
      </c>
      <c r="E66" s="5" t="inlineStr">
        <is>
          <t>Gerencia de Negocios</t>
        </is>
      </c>
    </row>
    <row r="67">
      <c r="A67" s="5" t="inlineStr">
        <is>
          <t xml:space="preserve">SANDRA VERONICA ACEVEDO BELTRAN </t>
        </is>
      </c>
      <c r="B67" s="4" t="inlineStr">
        <is>
          <t>713</t>
        </is>
      </c>
      <c r="C67" s="5" t="inlineStr">
        <is>
          <t xml:space="preserve">ASISTENTE PARA CORRESPONSALES FINANCIEROS </t>
        </is>
      </c>
      <c r="D67" s="5" t="inlineStr">
        <is>
          <t xml:space="preserve">SUB GERENCIA DE CANALES </t>
        </is>
      </c>
      <c r="E67" s="5" t="inlineStr">
        <is>
          <t>Gerencia de Negocios</t>
        </is>
      </c>
    </row>
    <row r="68">
      <c r="A68" s="5" t="inlineStr">
        <is>
          <t xml:space="preserve">ANGELA GABRIELA  REYES MOLINA </t>
        </is>
      </c>
      <c r="B68" s="4" t="inlineStr">
        <is>
          <t>956</t>
        </is>
      </c>
      <c r="C68" s="5" t="inlineStr">
        <is>
          <t>CAJERO</t>
        </is>
      </c>
      <c r="D68" s="5" t="inlineStr">
        <is>
          <t xml:space="preserve">AGENCIA CENTRAL  </t>
        </is>
      </c>
      <c r="E68" s="5" t="inlineStr">
        <is>
          <t>Gerencia de Negocios (Agencias)</t>
        </is>
      </c>
    </row>
    <row r="69">
      <c r="A69" s="5" t="inlineStr">
        <is>
          <t xml:space="preserve">BLANCA ARACELY MORENO HERNANDEZ </t>
        </is>
      </c>
      <c r="B69" s="4" t="inlineStr">
        <is>
          <t>385</t>
        </is>
      </c>
      <c r="C69" s="5" t="inlineStr">
        <is>
          <t>AUXILIAR DE OPERACIONES Y ATENCION EN  AGENCIA</t>
        </is>
      </c>
      <c r="D69" s="5" t="inlineStr">
        <is>
          <t xml:space="preserve">AGENCIA CENTRAL  </t>
        </is>
      </c>
      <c r="E69" s="5" t="inlineStr">
        <is>
          <t>Gerencia de Negocios (Agencias)</t>
        </is>
      </c>
    </row>
    <row r="70">
      <c r="A70" s="5" t="inlineStr">
        <is>
          <t xml:space="preserve">CAROLINA ELIZABETH RAMIREZ PONCE </t>
        </is>
      </c>
      <c r="B70" s="4" t="inlineStr">
        <is>
          <t>33</t>
        </is>
      </c>
      <c r="C70" s="5" t="inlineStr">
        <is>
          <t>SUBJEFE DE  AGENCIA</t>
        </is>
      </c>
      <c r="D70" s="5" t="inlineStr">
        <is>
          <t xml:space="preserve">AGENCIA CENTRAL  </t>
        </is>
      </c>
      <c r="E70" s="5" t="inlineStr">
        <is>
          <t>Gerencia de Negocios (Agencias)</t>
        </is>
      </c>
    </row>
    <row r="71">
      <c r="A71" s="5" t="inlineStr">
        <is>
          <t xml:space="preserve">ELSY GUADALUPE COREA AGUILUZ </t>
        </is>
      </c>
      <c r="B71" s="4" t="inlineStr">
        <is>
          <t>253</t>
        </is>
      </c>
      <c r="C71" s="5" t="inlineStr">
        <is>
          <t>EJECUTIVO DE NEGOCIOS</t>
        </is>
      </c>
      <c r="D71" s="5" t="inlineStr">
        <is>
          <t xml:space="preserve">AGENCIA CENTRAL  </t>
        </is>
      </c>
      <c r="E71" s="5" t="inlineStr">
        <is>
          <t>Gerencia de Negocios (Agencias)</t>
        </is>
      </c>
    </row>
    <row r="72">
      <c r="A72" s="5" t="inlineStr">
        <is>
          <t xml:space="preserve">ESTHER ABIGAIL FLORES GRANDE </t>
        </is>
      </c>
      <c r="B72" s="4" t="inlineStr">
        <is>
          <t>857</t>
        </is>
      </c>
      <c r="C72" s="5" t="inlineStr">
        <is>
          <t>AUXILIAR DE OPERACIONES Y ATENCION EN  AGENCIA</t>
        </is>
      </c>
      <c r="D72" s="5" t="inlineStr">
        <is>
          <t xml:space="preserve">AGENCIA CENTRAL  </t>
        </is>
      </c>
      <c r="E72" s="5" t="inlineStr">
        <is>
          <t>Gerencia de Negocios (Agencias)</t>
        </is>
      </c>
    </row>
    <row r="73">
      <c r="A73" s="5" t="inlineStr">
        <is>
          <t>GRISELDA DEL CARMEN DOMINGUEZ MERINO</t>
        </is>
      </c>
      <c r="B73" s="4" t="inlineStr">
        <is>
          <t>49</t>
        </is>
      </c>
      <c r="C73" s="5" t="inlineStr">
        <is>
          <t>EJECUTIVO DE NEGOCIOS</t>
        </is>
      </c>
      <c r="D73" s="5" t="inlineStr">
        <is>
          <t xml:space="preserve">AGENCIA CENTRAL  </t>
        </is>
      </c>
      <c r="E73" s="5" t="inlineStr">
        <is>
          <t>Gerencia de Negocios (Agencias)</t>
        </is>
      </c>
    </row>
    <row r="74">
      <c r="A74" s="5" t="inlineStr">
        <is>
          <t xml:space="preserve">JAZMIN ABIGAIL VASQUEZ AVELAR </t>
        </is>
      </c>
      <c r="B74" s="4" t="inlineStr">
        <is>
          <t>848</t>
        </is>
      </c>
      <c r="C74" s="5" t="inlineStr">
        <is>
          <t>CAJERO</t>
        </is>
      </c>
      <c r="D74" s="5" t="inlineStr">
        <is>
          <t xml:space="preserve">AGENCIA CENTRAL  </t>
        </is>
      </c>
      <c r="E74" s="5" t="inlineStr">
        <is>
          <t>Gerencia de Negocios (Agencias)</t>
        </is>
      </c>
    </row>
    <row r="75">
      <c r="A75" s="5" t="inlineStr">
        <is>
          <t xml:space="preserve">JOHANA PATRICIA LUNA RAMOS </t>
        </is>
      </c>
      <c r="B75" s="4" t="inlineStr">
        <is>
          <t>739</t>
        </is>
      </c>
      <c r="C75" s="5" t="inlineStr">
        <is>
          <t>CAJERO</t>
        </is>
      </c>
      <c r="D75" s="5" t="inlineStr">
        <is>
          <t xml:space="preserve">AGENCIA CENTRAL  </t>
        </is>
      </c>
      <c r="E75" s="5" t="inlineStr">
        <is>
          <t>Gerencia de Negocios (Agencias)</t>
        </is>
      </c>
    </row>
    <row r="76">
      <c r="A76" s="5" t="inlineStr">
        <is>
          <t xml:space="preserve">KARLA MERCEDES DELEON DELGADO </t>
        </is>
      </c>
      <c r="B76" s="4" t="inlineStr">
        <is>
          <t>440</t>
        </is>
      </c>
      <c r="C76" s="5" t="inlineStr">
        <is>
          <t xml:space="preserve">JEFE DE AGENCIA  </t>
        </is>
      </c>
      <c r="D76" s="5" t="inlineStr">
        <is>
          <t xml:space="preserve">AGENCIA CENTRAL  </t>
        </is>
      </c>
      <c r="E76" s="5" t="inlineStr">
        <is>
          <t>Gerencia de Negocios (Agencias)</t>
        </is>
      </c>
    </row>
    <row r="77">
      <c r="A77" s="5" t="inlineStr">
        <is>
          <t xml:space="preserve">KATHERINE MICHELLE LOPEZ LOPEZ </t>
        </is>
      </c>
      <c r="B77" s="4" t="inlineStr">
        <is>
          <t>768</t>
        </is>
      </c>
      <c r="C77" s="5" t="inlineStr">
        <is>
          <t>AUXILIAR DE OPERACIONES Y ATENCION EN  AGENCIA</t>
        </is>
      </c>
      <c r="D77" s="5" t="inlineStr">
        <is>
          <t xml:space="preserve">AGENCIA CENTRAL  </t>
        </is>
      </c>
      <c r="E77" s="5" t="inlineStr">
        <is>
          <t>Gerencia de Negocios (Agencias)</t>
        </is>
      </c>
    </row>
    <row r="78">
      <c r="A78" s="5" t="inlineStr">
        <is>
          <t xml:space="preserve">LEIDY VANESSA GUZMAN SERVELLON  </t>
        </is>
      </c>
      <c r="B78" s="4" t="inlineStr">
        <is>
          <t>974</t>
        </is>
      </c>
      <c r="C78" s="5" t="inlineStr">
        <is>
          <t>CAJERO</t>
        </is>
      </c>
      <c r="D78" s="5" t="inlineStr">
        <is>
          <t xml:space="preserve">AGENCIA CENTRAL  </t>
        </is>
      </c>
      <c r="E78" s="5" t="inlineStr">
        <is>
          <t>Gerencia de Negocios (Agencias)</t>
        </is>
      </c>
    </row>
    <row r="79">
      <c r="A79" s="5" t="inlineStr">
        <is>
          <t xml:space="preserve">LETICIA ESMERALDA ROSA </t>
        </is>
      </c>
      <c r="B79" s="4" t="inlineStr">
        <is>
          <t>234</t>
        </is>
      </c>
      <c r="C79" s="5" t="inlineStr">
        <is>
          <t>EJECUTIVO DE NEGOCIOS</t>
        </is>
      </c>
      <c r="D79" s="5" t="inlineStr">
        <is>
          <t xml:space="preserve">AGENCIA CENTRAL  </t>
        </is>
      </c>
      <c r="E79" s="5" t="inlineStr">
        <is>
          <t>Gerencia de Negocios (Agencias)</t>
        </is>
      </c>
    </row>
    <row r="80">
      <c r="A80" s="5" t="inlineStr">
        <is>
          <t xml:space="preserve">DORIS ELISA HERNANDEZ </t>
        </is>
      </c>
      <c r="B80" s="4" t="inlineStr">
        <is>
          <t>466</t>
        </is>
      </c>
      <c r="C80" s="5" t="inlineStr">
        <is>
          <t>SERVICIOS VARIOS</t>
        </is>
      </c>
      <c r="D80" s="5" t="inlineStr">
        <is>
          <t xml:space="preserve">AGENCIA COLEGIO MEDICO </t>
        </is>
      </c>
      <c r="E80" s="5" t="inlineStr">
        <is>
          <t>Gerencia de Negocios (Agencias)</t>
        </is>
      </c>
    </row>
    <row r="81">
      <c r="A81" s="5" t="inlineStr">
        <is>
          <t>FLOR IMELDA VILLALOBOS ARDON</t>
        </is>
      </c>
      <c r="B81" s="4" t="inlineStr">
        <is>
          <t>26</t>
        </is>
      </c>
      <c r="C81" s="5" t="inlineStr">
        <is>
          <t>EJECUTIVO DE NEGOCIOS</t>
        </is>
      </c>
      <c r="D81" s="5" t="inlineStr">
        <is>
          <t xml:space="preserve">AGENCIA COLEGIO MEDICO </t>
        </is>
      </c>
      <c r="E81" s="5" t="inlineStr">
        <is>
          <t>Gerencia de Negocios (Agencias)</t>
        </is>
      </c>
    </row>
    <row r="82">
      <c r="A82" s="5" t="inlineStr">
        <is>
          <t xml:space="preserve">GABRIELA CONCEPCION GARCIA GUTIERREZ </t>
        </is>
      </c>
      <c r="B82" s="4" t="inlineStr">
        <is>
          <t>975</t>
        </is>
      </c>
      <c r="C82" s="5" t="inlineStr">
        <is>
          <t>AUXILIAR DE ATENCION AL ASOCIADO EN AGENCIA</t>
        </is>
      </c>
      <c r="D82" s="5" t="inlineStr">
        <is>
          <t xml:space="preserve">AGENCIA COLEGIO MEDICO </t>
        </is>
      </c>
      <c r="E82" s="5" t="inlineStr">
        <is>
          <t>Gerencia de Negocios (Agencias)</t>
        </is>
      </c>
    </row>
    <row r="83">
      <c r="A83" s="5" t="inlineStr">
        <is>
          <t xml:space="preserve">JACQUELINE ADRIANA CHAVEZ SARAVIA </t>
        </is>
      </c>
      <c r="B83" s="4" t="inlineStr">
        <is>
          <t>811</t>
        </is>
      </c>
      <c r="C83" s="5" t="inlineStr">
        <is>
          <t>CAJERO</t>
        </is>
      </c>
      <c r="D83" s="5" t="inlineStr">
        <is>
          <t xml:space="preserve">AGENCIA COLEGIO MEDICO </t>
        </is>
      </c>
      <c r="E83" s="5" t="inlineStr">
        <is>
          <t>Gerencia de Negocios (Agencias)</t>
        </is>
      </c>
    </row>
    <row r="84">
      <c r="A84" s="5" t="inlineStr">
        <is>
          <t xml:space="preserve">JAQUELIN JAZMIN ROMERO FLORES </t>
        </is>
      </c>
      <c r="B84" s="4" t="inlineStr">
        <is>
          <t>971</t>
        </is>
      </c>
      <c r="C84" s="5" t="inlineStr">
        <is>
          <t>CAJERO</t>
        </is>
      </c>
      <c r="D84" s="5" t="inlineStr">
        <is>
          <t xml:space="preserve">AGENCIA COLEGIO MEDICO </t>
        </is>
      </c>
      <c r="E84" s="5" t="inlineStr">
        <is>
          <t>Gerencia de Negocios (Agencias)</t>
        </is>
      </c>
    </row>
    <row r="85">
      <c r="A85" s="5" t="inlineStr">
        <is>
          <t xml:space="preserve">MARTHA ESPERANZA VALTEZ GARCIA </t>
        </is>
      </c>
      <c r="B85" s="4" t="inlineStr">
        <is>
          <t>536</t>
        </is>
      </c>
      <c r="C85" s="5" t="inlineStr">
        <is>
          <t>CAJERO</t>
        </is>
      </c>
      <c r="D85" s="5" t="inlineStr">
        <is>
          <t xml:space="preserve">AGENCIA COLEGIO MEDICO </t>
        </is>
      </c>
      <c r="E85" s="5" t="inlineStr">
        <is>
          <t>Gerencia de Negocios (Agencias)</t>
        </is>
      </c>
    </row>
    <row r="86">
      <c r="A86" s="5" t="inlineStr">
        <is>
          <t xml:space="preserve">MERCI ANTONIA CERON MEJIA </t>
        </is>
      </c>
      <c r="B86" s="4" t="inlineStr">
        <is>
          <t>190</t>
        </is>
      </c>
      <c r="C86" s="5" t="inlineStr">
        <is>
          <t>EJECUTIVO DE NEGOCIOS</t>
        </is>
      </c>
      <c r="D86" s="5" t="inlineStr">
        <is>
          <t xml:space="preserve">AGENCIA COLEGIO MEDICO </t>
        </is>
      </c>
      <c r="E86" s="5" t="inlineStr">
        <is>
          <t>Gerencia de Negocios (Agencias)</t>
        </is>
      </c>
    </row>
    <row r="87">
      <c r="A87" s="5" t="inlineStr">
        <is>
          <t xml:space="preserve">WILBER ERNESTO DIAZ GONZALEZ </t>
        </is>
      </c>
      <c r="B87" s="4" t="inlineStr">
        <is>
          <t>890</t>
        </is>
      </c>
      <c r="C87" s="5" t="inlineStr">
        <is>
          <t>CAJERO</t>
        </is>
      </c>
      <c r="D87" s="5" t="inlineStr">
        <is>
          <t xml:space="preserve">AGENCIA COLEGIO MEDICO </t>
        </is>
      </c>
      <c r="E87" s="5" t="inlineStr">
        <is>
          <t>Gerencia de Negocios (Agencias)</t>
        </is>
      </c>
    </row>
    <row r="88">
      <c r="A88" s="5" t="inlineStr">
        <is>
          <t>YANIRA ELIZABETH ORTEGA MIRANDA</t>
        </is>
      </c>
      <c r="B88" s="4" t="inlineStr">
        <is>
          <t>29</t>
        </is>
      </c>
      <c r="C88" s="5" t="inlineStr">
        <is>
          <t>SUBJEFE DE  AGENCIA</t>
        </is>
      </c>
      <c r="D88" s="5" t="inlineStr">
        <is>
          <t xml:space="preserve">AGENCIA COLEGIO MEDICO </t>
        </is>
      </c>
      <c r="E88" s="5" t="inlineStr">
        <is>
          <t>Gerencia de Negocios (Agencias)</t>
        </is>
      </c>
    </row>
    <row r="89">
      <c r="A89" s="5" t="inlineStr">
        <is>
          <t xml:space="preserve">ALFREDO ARMANDO RAMOS ESCOBAR </t>
        </is>
      </c>
      <c r="B89" s="4" t="inlineStr">
        <is>
          <t>674</t>
        </is>
      </c>
      <c r="C89" s="5" t="inlineStr">
        <is>
          <t>CAJERO</t>
        </is>
      </c>
      <c r="D89" s="5" t="inlineStr">
        <is>
          <t xml:space="preserve">AGENCIA COLONIA MEDICA  </t>
        </is>
      </c>
      <c r="E89" s="5" t="inlineStr">
        <is>
          <t>Gerencia de Negocios (Agencias)</t>
        </is>
      </c>
    </row>
    <row r="90">
      <c r="A90" s="5" t="inlineStr">
        <is>
          <t>ANA MARGARITA SERRANO RUBIO</t>
        </is>
      </c>
      <c r="B90" s="4" t="inlineStr">
        <is>
          <t>19</t>
        </is>
      </c>
      <c r="C90" s="5" t="inlineStr">
        <is>
          <t>CAJERO</t>
        </is>
      </c>
      <c r="D90" s="5" t="inlineStr">
        <is>
          <t xml:space="preserve">AGENCIA COLONIA MEDICA  </t>
        </is>
      </c>
      <c r="E90" s="5" t="inlineStr">
        <is>
          <t>Gerencia de Negocios (Agencias)</t>
        </is>
      </c>
    </row>
    <row r="91">
      <c r="A91" s="5" t="inlineStr">
        <is>
          <t xml:space="preserve">FLOR DE MARIA ROSALES SORTO </t>
        </is>
      </c>
      <c r="B91" s="4" t="inlineStr">
        <is>
          <t>873</t>
        </is>
      </c>
      <c r="C91" s="5" t="inlineStr">
        <is>
          <t>CAJERO</t>
        </is>
      </c>
      <c r="D91" s="5" t="inlineStr">
        <is>
          <t xml:space="preserve">AGENCIA COLONIA MEDICA  </t>
        </is>
      </c>
      <c r="E91" s="5" t="inlineStr">
        <is>
          <t>Gerencia de Negocios (Agencias)</t>
        </is>
      </c>
    </row>
    <row r="92">
      <c r="A92" s="5" t="inlineStr">
        <is>
          <t xml:space="preserve">FLOR DEL CARMEN GONZALEZ HERNANDEZ </t>
        </is>
      </c>
      <c r="B92" s="4" t="inlineStr">
        <is>
          <t>913</t>
        </is>
      </c>
      <c r="C92" s="5" t="inlineStr">
        <is>
          <t>SERVICIOS VARIOS</t>
        </is>
      </c>
      <c r="D92" s="5" t="inlineStr">
        <is>
          <t xml:space="preserve">AGENCIA COLONIA MEDICA  </t>
        </is>
      </c>
      <c r="E92" s="5" t="inlineStr">
        <is>
          <t>Gerencia de Negocios (Agencias)</t>
        </is>
      </c>
    </row>
    <row r="93">
      <c r="A93" s="5" t="inlineStr">
        <is>
          <t xml:space="preserve">INGRID PAOLA  CORADO HERNANDEZ </t>
        </is>
      </c>
      <c r="B93" s="4" t="inlineStr">
        <is>
          <t>722</t>
        </is>
      </c>
      <c r="C93" s="5" t="inlineStr">
        <is>
          <t>CAJERO</t>
        </is>
      </c>
      <c r="D93" s="5" t="inlineStr">
        <is>
          <t xml:space="preserve">AGENCIA COLONIA MEDICA  </t>
        </is>
      </c>
      <c r="E93" s="5" t="inlineStr">
        <is>
          <t>Gerencia de Negocios (Agencias)</t>
        </is>
      </c>
    </row>
    <row r="94">
      <c r="A94" s="5" t="inlineStr">
        <is>
          <t xml:space="preserve">JACQUELINE GUADALUPE CEA ALVARADO </t>
        </is>
      </c>
      <c r="B94" s="4" t="inlineStr">
        <is>
          <t>933</t>
        </is>
      </c>
      <c r="C94" s="5" t="inlineStr">
        <is>
          <t>EJECUTIVO DE NEGOCIOS</t>
        </is>
      </c>
      <c r="D94" s="5" t="inlineStr">
        <is>
          <t xml:space="preserve">AGENCIA COLONIA MEDICA  </t>
        </is>
      </c>
      <c r="E94" s="5" t="inlineStr">
        <is>
          <t>Gerencia de Negocios (Agencias)</t>
        </is>
      </c>
    </row>
    <row r="95">
      <c r="A95" s="5" t="inlineStr">
        <is>
          <t xml:space="preserve">JULIO ENRIQUE  CAMPOS ANDRADE </t>
        </is>
      </c>
      <c r="B95" s="4" t="inlineStr">
        <is>
          <t>624</t>
        </is>
      </c>
      <c r="C95" s="5" t="inlineStr">
        <is>
          <t>EJECUTIVO DE NEGOCIOS</t>
        </is>
      </c>
      <c r="D95" s="5" t="inlineStr">
        <is>
          <t xml:space="preserve">AGENCIA COLONIA MEDICA  </t>
        </is>
      </c>
      <c r="E95" s="5" t="inlineStr">
        <is>
          <t>Gerencia de Negocios (Agencias)</t>
        </is>
      </c>
    </row>
    <row r="96">
      <c r="A96" s="5" t="inlineStr">
        <is>
          <t xml:space="preserve">JULIO RAFAEL FLORES HENRIQUEZ </t>
        </is>
      </c>
      <c r="B96" s="4" t="inlineStr">
        <is>
          <t>179</t>
        </is>
      </c>
      <c r="C96" s="5" t="inlineStr">
        <is>
          <t xml:space="preserve">JEFE DE AGENCIA  </t>
        </is>
      </c>
      <c r="D96" s="5" t="inlineStr">
        <is>
          <t xml:space="preserve">AGENCIA COLONIA MEDICA  </t>
        </is>
      </c>
      <c r="E96" s="5" t="inlineStr">
        <is>
          <t>Gerencia de Negocios (Agencias)</t>
        </is>
      </c>
    </row>
    <row r="97">
      <c r="A97" s="5" t="inlineStr">
        <is>
          <t xml:space="preserve">STEFFANY MARIELOS MIRO HERNANDEZ </t>
        </is>
      </c>
      <c r="B97" s="4" t="inlineStr">
        <is>
          <t>855</t>
        </is>
      </c>
      <c r="C97" s="5" t="inlineStr">
        <is>
          <t>CAJERO</t>
        </is>
      </c>
      <c r="D97" s="5" t="inlineStr">
        <is>
          <t xml:space="preserve">AGENCIA COLONIA MEDICA  </t>
        </is>
      </c>
      <c r="E97" s="5" t="inlineStr">
        <is>
          <t>Gerencia de Negocios (Agencias)</t>
        </is>
      </c>
    </row>
    <row r="98">
      <c r="A98" s="5" t="inlineStr">
        <is>
          <t xml:space="preserve">YESENIA LISSETH BARAHONA VALLE </t>
        </is>
      </c>
      <c r="B98" s="4" t="inlineStr">
        <is>
          <t>891</t>
        </is>
      </c>
      <c r="C98" s="5" t="inlineStr">
        <is>
          <t>AUXILIAR DE ATENCION AL ASOCIADO EN AGENCIA</t>
        </is>
      </c>
      <c r="D98" s="5" t="inlineStr">
        <is>
          <t xml:space="preserve">AGENCIA COLONIA MEDICA  </t>
        </is>
      </c>
      <c r="E98" s="5" t="inlineStr">
        <is>
          <t>Gerencia de Negocios (Agencias)</t>
        </is>
      </c>
    </row>
    <row r="99">
      <c r="A99" s="5" t="inlineStr">
        <is>
          <t>YHANA MILET  VALLE  HERNANDEZ</t>
        </is>
      </c>
      <c r="B99" s="4" t="inlineStr">
        <is>
          <t>735</t>
        </is>
      </c>
      <c r="C99" s="5" t="inlineStr">
        <is>
          <t>CAJERO</t>
        </is>
      </c>
      <c r="D99" s="5" t="inlineStr">
        <is>
          <t xml:space="preserve">AGENCIA COLONIA MEDICA  </t>
        </is>
      </c>
      <c r="E99" s="5" t="inlineStr">
        <is>
          <t>Gerencia de Negocios (Agencias)</t>
        </is>
      </c>
    </row>
    <row r="100">
      <c r="A100" s="5" t="inlineStr">
        <is>
          <t>CLELIA DESIREE CAMPOS COSS</t>
        </is>
      </c>
      <c r="B100" s="4" t="inlineStr">
        <is>
          <t>657</t>
        </is>
      </c>
      <c r="C100" s="5" t="inlineStr">
        <is>
          <t>SERVICIOS VARIOS</t>
        </is>
      </c>
      <c r="D100" s="5" t="inlineStr">
        <is>
          <t xml:space="preserve">AGENCIA MERLIOT  </t>
        </is>
      </c>
      <c r="E100" s="5" t="inlineStr">
        <is>
          <t>Gerencia de Negocios (Agencias)</t>
        </is>
      </c>
    </row>
    <row r="101">
      <c r="A101" s="5" t="inlineStr">
        <is>
          <t xml:space="preserve">ERIKA IVETH MANCIA HERNANDEZ </t>
        </is>
      </c>
      <c r="B101" s="4" t="inlineStr">
        <is>
          <t>955</t>
        </is>
      </c>
      <c r="C101" s="5" t="inlineStr">
        <is>
          <t>CAJERO</t>
        </is>
      </c>
      <c r="D101" s="5" t="inlineStr">
        <is>
          <t xml:space="preserve">AGENCIA PLAZA MUNDO  </t>
        </is>
      </c>
      <c r="E101" s="5" t="inlineStr">
        <is>
          <t>Gerencia de Negocios (Agencias)</t>
        </is>
      </c>
    </row>
    <row r="102">
      <c r="A102" s="5" t="inlineStr">
        <is>
          <t xml:space="preserve">GABRIELA JEANNETTE BOLAÑOS HERRERA </t>
        </is>
      </c>
      <c r="B102" s="4" t="inlineStr">
        <is>
          <t>616</t>
        </is>
      </c>
      <c r="C102" s="5" t="inlineStr">
        <is>
          <t>EJECUTIVA DE SEGUROS</t>
        </is>
      </c>
      <c r="D102" s="5" t="inlineStr">
        <is>
          <t xml:space="preserve">AGENCIA PLAZA MUNDO  </t>
        </is>
      </c>
      <c r="E102" s="5" t="inlineStr">
        <is>
          <t>Gerencia de Negocios (Agencias)</t>
        </is>
      </c>
    </row>
    <row r="103">
      <c r="A103" s="5" t="inlineStr">
        <is>
          <t xml:space="preserve">NANCY CAROLINA FUENTES SORTO </t>
        </is>
      </c>
      <c r="B103" s="4" t="inlineStr">
        <is>
          <t>675</t>
        </is>
      </c>
      <c r="C103" s="5" t="inlineStr">
        <is>
          <t>CAJERO</t>
        </is>
      </c>
      <c r="D103" s="5" t="inlineStr">
        <is>
          <t xml:space="preserve">AGENCIA PLAZA MUNDO  </t>
        </is>
      </c>
      <c r="E103" s="5" t="inlineStr">
        <is>
          <t>Gerencia de Negocios (Agencias)</t>
        </is>
      </c>
    </row>
    <row r="104">
      <c r="A104" s="5" t="inlineStr">
        <is>
          <t xml:space="preserve">NORMA ARACELY GUILLEN </t>
        </is>
      </c>
      <c r="B104" s="4" t="inlineStr">
        <is>
          <t>331</t>
        </is>
      </c>
      <c r="C104" s="5" t="inlineStr">
        <is>
          <t>SUBJEFE DE  AGENCIA</t>
        </is>
      </c>
      <c r="D104" s="5" t="inlineStr">
        <is>
          <t xml:space="preserve">AGENCIA PLAZA MUNDO  </t>
        </is>
      </c>
      <c r="E104" s="5" t="inlineStr">
        <is>
          <t>Gerencia de Negocios (Agencias)</t>
        </is>
      </c>
    </row>
    <row r="105">
      <c r="A105" s="5" t="inlineStr">
        <is>
          <t xml:space="preserve">PAOLA JEANNETTE ROMERO HERNANDEZ  </t>
        </is>
      </c>
      <c r="B105" s="4" t="inlineStr">
        <is>
          <t>876</t>
        </is>
      </c>
      <c r="C105" s="5" t="inlineStr">
        <is>
          <t>CAJERO</t>
        </is>
      </c>
      <c r="D105" s="5" t="inlineStr">
        <is>
          <t xml:space="preserve">AGENCIA PLAZA MUNDO  </t>
        </is>
      </c>
      <c r="E105" s="5" t="inlineStr">
        <is>
          <t>Gerencia de Negocios (Agencias)</t>
        </is>
      </c>
    </row>
    <row r="106">
      <c r="A106" s="5" t="inlineStr">
        <is>
          <t xml:space="preserve">ROSARIO DEL CARMEN PEREZ LOPEZ </t>
        </is>
      </c>
      <c r="B106" s="4" t="inlineStr">
        <is>
          <t>535</t>
        </is>
      </c>
      <c r="C106" s="5" t="inlineStr">
        <is>
          <t xml:space="preserve">JEFE DE AGENCIA  </t>
        </is>
      </c>
      <c r="D106" s="5" t="inlineStr">
        <is>
          <t xml:space="preserve">AGENCIA PLAZA MUNDO  </t>
        </is>
      </c>
      <c r="E106" s="5" t="inlineStr">
        <is>
          <t>Gerencia de Negocios (Agencias)</t>
        </is>
      </c>
    </row>
    <row r="107">
      <c r="A107" s="5" t="inlineStr">
        <is>
          <t xml:space="preserve">WALTER ALBERTO BARAHONA DIAZ </t>
        </is>
      </c>
      <c r="B107" s="4" t="inlineStr">
        <is>
          <t>748</t>
        </is>
      </c>
      <c r="C107" s="5" t="inlineStr">
        <is>
          <t>CAJERO</t>
        </is>
      </c>
      <c r="D107" s="5" t="inlineStr">
        <is>
          <t xml:space="preserve">AGENCIA PLAZA MUNDO  </t>
        </is>
      </c>
      <c r="E107" s="5" t="inlineStr">
        <is>
          <t>Gerencia de Negocios (Agencias)</t>
        </is>
      </c>
    </row>
    <row r="108">
      <c r="A108" s="5" t="inlineStr">
        <is>
          <t xml:space="preserve">ZOILA AYDEE LARIOS  </t>
        </is>
      </c>
      <c r="B108" s="4" t="inlineStr">
        <is>
          <t>59</t>
        </is>
      </c>
      <c r="C108" s="5" t="inlineStr">
        <is>
          <t>SERVICIOS VARIOS</t>
        </is>
      </c>
      <c r="D108" s="5" t="inlineStr">
        <is>
          <t xml:space="preserve">AGENCIA PLAZA MUNDO  </t>
        </is>
      </c>
      <c r="E108" s="5" t="inlineStr">
        <is>
          <t>Gerencia de Negocios (Agencias)</t>
        </is>
      </c>
    </row>
    <row r="109">
      <c r="A109" s="5" t="inlineStr">
        <is>
          <t xml:space="preserve">SANDRA MARINA  BERRIOS SANTOS </t>
        </is>
      </c>
      <c r="B109" s="4" t="inlineStr">
        <is>
          <t>861</t>
        </is>
      </c>
      <c r="C109" s="5" t="inlineStr">
        <is>
          <t>CAJERO</t>
        </is>
      </c>
      <c r="D109" s="5" t="inlineStr">
        <is>
          <t xml:space="preserve">AGENCIA SAN  MIGUEL  </t>
        </is>
      </c>
      <c r="E109" s="5" t="inlineStr">
        <is>
          <t>Gerencia de Negocios (Agencias)</t>
        </is>
      </c>
    </row>
    <row r="110">
      <c r="A110" s="5" t="inlineStr">
        <is>
          <t xml:space="preserve">ANA MARIA GIRON </t>
        </is>
      </c>
      <c r="B110" s="4" t="inlineStr">
        <is>
          <t>168</t>
        </is>
      </c>
      <c r="C110" s="5" t="inlineStr">
        <is>
          <t>EJECUTIVO DE NEGOCIOS</t>
        </is>
      </c>
      <c r="D110" s="5" t="inlineStr">
        <is>
          <t xml:space="preserve">AGENCIA SANTA  ANA  </t>
        </is>
      </c>
      <c r="E110" s="5" t="inlineStr">
        <is>
          <t>Gerencia de Negocios (Agencias)</t>
        </is>
      </c>
    </row>
    <row r="111">
      <c r="A111" s="5" t="inlineStr">
        <is>
          <t xml:space="preserve">ANDREA YAMILETH ESCOBAR CHICA </t>
        </is>
      </c>
      <c r="B111" s="4" t="inlineStr">
        <is>
          <t>818</t>
        </is>
      </c>
      <c r="C111" s="5" t="inlineStr">
        <is>
          <t>CAJERO</t>
        </is>
      </c>
      <c r="D111" s="5" t="inlineStr">
        <is>
          <t xml:space="preserve">AGENCIA SANTA  ANA  </t>
        </is>
      </c>
      <c r="E111" s="5" t="inlineStr">
        <is>
          <t>Gerencia de Negocios (Agencias)</t>
        </is>
      </c>
    </row>
    <row r="112">
      <c r="A112" s="5" t="inlineStr">
        <is>
          <t xml:space="preserve">GLENDA MARAYA SALAZAR GONZALEZ </t>
        </is>
      </c>
      <c r="B112" s="4" t="inlineStr">
        <is>
          <t>295</t>
        </is>
      </c>
      <c r="C112" s="5" t="inlineStr">
        <is>
          <t xml:space="preserve">JEFE DE AGENCIA  </t>
        </is>
      </c>
      <c r="D112" s="5" t="inlineStr">
        <is>
          <t xml:space="preserve">AGENCIA SANTA  ANA  </t>
        </is>
      </c>
      <c r="E112" s="5" t="inlineStr">
        <is>
          <t>Gerencia de Negocios (Agencias)</t>
        </is>
      </c>
    </row>
    <row r="113">
      <c r="A113" s="5" t="inlineStr">
        <is>
          <t xml:space="preserve">IRVIN ADEMIR PERAZA MOLINA </t>
        </is>
      </c>
      <c r="B113" s="4" t="inlineStr">
        <is>
          <t>747</t>
        </is>
      </c>
      <c r="C113" s="5" t="inlineStr">
        <is>
          <t>EJECUTIVO DE SEGUROS</t>
        </is>
      </c>
      <c r="D113" s="5" t="inlineStr">
        <is>
          <t xml:space="preserve">AGENCIA SANTA  ANA  </t>
        </is>
      </c>
      <c r="E113" s="5" t="inlineStr">
        <is>
          <t>Gerencia de Negocios (Agencias)</t>
        </is>
      </c>
    </row>
    <row r="114">
      <c r="A114" s="5" t="inlineStr">
        <is>
          <t xml:space="preserve">JEANNETTE ANGELINNE HERNANDEZ MEJIA </t>
        </is>
      </c>
      <c r="B114" s="4" t="inlineStr">
        <is>
          <t>312</t>
        </is>
      </c>
      <c r="C114" s="5" t="inlineStr">
        <is>
          <t>SUBJEFE DE  AGENCIA</t>
        </is>
      </c>
      <c r="D114" s="5" t="inlineStr">
        <is>
          <t xml:space="preserve">AGENCIA SANTA  ANA  </t>
        </is>
      </c>
      <c r="E114" s="5" t="inlineStr">
        <is>
          <t>Gerencia de Negocios (Agencias)</t>
        </is>
      </c>
    </row>
    <row r="115">
      <c r="A115" s="5" t="inlineStr">
        <is>
          <t xml:space="preserve">JOSE CRISTOBAL LOPEZ ESQUIVEL </t>
        </is>
      </c>
      <c r="B115" s="4" t="inlineStr">
        <is>
          <t>910</t>
        </is>
      </c>
      <c r="C115" s="5" t="inlineStr">
        <is>
          <t>MENSAJERO</t>
        </is>
      </c>
      <c r="D115" s="5" t="inlineStr">
        <is>
          <t xml:space="preserve">AGENCIA SANTA  ANA  </t>
        </is>
      </c>
      <c r="E115" s="5" t="inlineStr">
        <is>
          <t>Gerencia de Negocios (Agencias)</t>
        </is>
      </c>
    </row>
    <row r="116">
      <c r="A116" s="5" t="inlineStr">
        <is>
          <t xml:space="preserve">LUIS GERARDO DUEÑAS VALLE </t>
        </is>
      </c>
      <c r="B116" s="4" t="inlineStr">
        <is>
          <t>954</t>
        </is>
      </c>
      <c r="C116" s="5" t="inlineStr">
        <is>
          <t>CAJERO</t>
        </is>
      </c>
      <c r="D116" s="5" t="inlineStr">
        <is>
          <t xml:space="preserve">AGENCIA SANTA  ANA  </t>
        </is>
      </c>
      <c r="E116" s="5" t="inlineStr">
        <is>
          <t>Gerencia de Negocios (Agencias)</t>
        </is>
      </c>
    </row>
    <row r="117">
      <c r="A117" s="5" t="inlineStr">
        <is>
          <t xml:space="preserve">SOFIA AZMINIA MENA ARGUETA </t>
        </is>
      </c>
      <c r="B117" s="4" t="inlineStr">
        <is>
          <t>840</t>
        </is>
      </c>
      <c r="C117" s="5" t="inlineStr">
        <is>
          <t>CAJERO</t>
        </is>
      </c>
      <c r="D117" s="5" t="inlineStr">
        <is>
          <t xml:space="preserve">AGENCIA SANTA  ANA  </t>
        </is>
      </c>
      <c r="E117" s="5" t="inlineStr">
        <is>
          <t>Gerencia de Negocios (Agencias)</t>
        </is>
      </c>
    </row>
    <row r="118">
      <c r="A118" s="5" t="inlineStr">
        <is>
          <t xml:space="preserve">JESSICA YAMILETH LEIVA VASQUEZ </t>
        </is>
      </c>
      <c r="B118" s="4" t="inlineStr">
        <is>
          <t>575</t>
        </is>
      </c>
      <c r="C118" s="5" t="inlineStr">
        <is>
          <t>EJECUTIVA DE SEGUROS</t>
        </is>
      </c>
      <c r="D118" s="5" t="inlineStr">
        <is>
          <t xml:space="preserve">AGENCIA SONSONATE  </t>
        </is>
      </c>
      <c r="E118" s="5" t="inlineStr">
        <is>
          <t>Gerencia de Negocios (Agencias)</t>
        </is>
      </c>
    </row>
    <row r="119">
      <c r="A119" s="5" t="inlineStr">
        <is>
          <t xml:space="preserve">JOSE ALEXANDER TORRES PEREZ </t>
        </is>
      </c>
      <c r="B119" s="4" t="inlineStr">
        <is>
          <t>448</t>
        </is>
      </c>
      <c r="C119" s="5" t="inlineStr">
        <is>
          <t>MENSAJERO</t>
        </is>
      </c>
      <c r="D119" s="5" t="inlineStr">
        <is>
          <t xml:space="preserve">AGENCIA SONSONATE  </t>
        </is>
      </c>
      <c r="E119" s="5" t="inlineStr">
        <is>
          <t>Gerencia de Negocios (Agencias)</t>
        </is>
      </c>
    </row>
    <row r="120">
      <c r="A120" s="5" t="inlineStr">
        <is>
          <t xml:space="preserve">JOSUE ALEXANDER PEREZ HENRIQUEZ </t>
        </is>
      </c>
      <c r="B120" s="4" t="inlineStr">
        <is>
          <t>559</t>
        </is>
      </c>
      <c r="C120" s="5" t="inlineStr">
        <is>
          <t>EJECUTIVO DE NEGOCIOS</t>
        </is>
      </c>
      <c r="D120" s="5" t="inlineStr">
        <is>
          <t xml:space="preserve">AGENCIA SONSONATE  </t>
        </is>
      </c>
      <c r="E120" s="5" t="inlineStr">
        <is>
          <t>Gerencia de Negocios (Agencias)</t>
        </is>
      </c>
    </row>
    <row r="121">
      <c r="A121" s="5" t="inlineStr">
        <is>
          <t xml:space="preserve">KARLA MARCELA  ESCOBAR TRIGUEROS </t>
        </is>
      </c>
      <c r="B121" s="4" t="inlineStr">
        <is>
          <t>849</t>
        </is>
      </c>
      <c r="C121" s="5" t="inlineStr">
        <is>
          <t>CAJERO</t>
        </is>
      </c>
      <c r="D121" s="5" t="inlineStr">
        <is>
          <t xml:space="preserve">AGENCIA SONSONATE  </t>
        </is>
      </c>
      <c r="E121" s="5" t="inlineStr">
        <is>
          <t>Gerencia de Negocios (Agencias)</t>
        </is>
      </c>
    </row>
    <row r="122">
      <c r="A122" s="5" t="inlineStr">
        <is>
          <t>MARIA ANGELICA ESCOBAR RENDEROS</t>
        </is>
      </c>
      <c r="B122" s="4" t="inlineStr">
        <is>
          <t>287</t>
        </is>
      </c>
      <c r="C122" s="5" t="inlineStr">
        <is>
          <t xml:space="preserve">JEFE DE AGENCIA  </t>
        </is>
      </c>
      <c r="D122" s="5" t="inlineStr">
        <is>
          <t xml:space="preserve">AGENCIA SONSONATE  </t>
        </is>
      </c>
      <c r="E122" s="5" t="inlineStr">
        <is>
          <t>Gerencia de Negocios (Agencias)</t>
        </is>
      </c>
    </row>
    <row r="123">
      <c r="A123" s="5" t="inlineStr">
        <is>
          <t xml:space="preserve">MIGUEL ANGEL LEON MENA </t>
        </is>
      </c>
      <c r="B123" s="4" t="inlineStr">
        <is>
          <t>755</t>
        </is>
      </c>
      <c r="C123" s="5" t="inlineStr">
        <is>
          <t>CAJERO</t>
        </is>
      </c>
      <c r="D123" s="5" t="inlineStr">
        <is>
          <t xml:space="preserve">AGENCIA SONSONATE  </t>
        </is>
      </c>
      <c r="E123" s="5" t="inlineStr">
        <is>
          <t>Gerencia de Negocios (Agencias)</t>
        </is>
      </c>
    </row>
    <row r="124">
      <c r="A124" s="5" t="inlineStr">
        <is>
          <t xml:space="preserve">XIOMARA BEATRIZ MARTINEZ SERMEÑO </t>
        </is>
      </c>
      <c r="B124" s="4" t="inlineStr">
        <is>
          <t>526</t>
        </is>
      </c>
      <c r="C124" s="5" t="inlineStr">
        <is>
          <t>SUBJEFE DE  AGENCIA</t>
        </is>
      </c>
      <c r="D124" s="5" t="inlineStr">
        <is>
          <t xml:space="preserve">AGENCIA SONSONATE  </t>
        </is>
      </c>
      <c r="E124" s="5" t="inlineStr">
        <is>
          <t>Gerencia de Negocios (Agencias)</t>
        </is>
      </c>
    </row>
    <row r="125">
      <c r="A125" s="5" t="inlineStr">
        <is>
          <t xml:space="preserve">EDUARDO JOSE GAMEZ VILLATORO </t>
        </is>
      </c>
      <c r="B125" s="4" t="inlineStr">
        <is>
          <t>970</t>
        </is>
      </c>
      <c r="C125" s="5" t="inlineStr">
        <is>
          <t>CAJERO</t>
        </is>
      </c>
      <c r="D125" s="5" t="inlineStr">
        <is>
          <t xml:space="preserve">AGENCIA USULUTAN  </t>
        </is>
      </c>
      <c r="E125" s="5" t="inlineStr">
        <is>
          <t>Gerencia de Negocios (Agencias)</t>
        </is>
      </c>
    </row>
    <row r="126">
      <c r="A126" s="5" t="inlineStr">
        <is>
          <t xml:space="preserve">LUIS MANUEL VALENCIA GUERRERO </t>
        </is>
      </c>
      <c r="B126" s="4" t="inlineStr">
        <is>
          <t>917</t>
        </is>
      </c>
      <c r="C126" s="5" t="inlineStr">
        <is>
          <t>SUBJEFE DE  AGENCIA</t>
        </is>
      </c>
      <c r="D126" s="5" t="inlineStr">
        <is>
          <t xml:space="preserve">AGENCIA USULUTAN  </t>
        </is>
      </c>
      <c r="E126" s="5" t="inlineStr">
        <is>
          <t>Gerencia de Negocios (Agencias)</t>
        </is>
      </c>
    </row>
    <row r="127">
      <c r="A127" s="5" t="inlineStr">
        <is>
          <t xml:space="preserve">MELVIN ELISEO HERNANDEZ MACHADO </t>
        </is>
      </c>
      <c r="B127" s="4" t="inlineStr">
        <is>
          <t>951</t>
        </is>
      </c>
      <c r="C127" s="5" t="inlineStr">
        <is>
          <t>EJECUTIVO DE NEGOCIOS</t>
        </is>
      </c>
      <c r="D127" s="5" t="inlineStr">
        <is>
          <t xml:space="preserve">AGENCIA USULUTAN  </t>
        </is>
      </c>
      <c r="E127" s="5" t="inlineStr">
        <is>
          <t>Gerencia de Negocios (Agencias)</t>
        </is>
      </c>
    </row>
    <row r="128">
      <c r="A128" s="5" t="inlineStr">
        <is>
          <t xml:space="preserve">GEMA YESENIA VILLALOBOS HERNANDEZ </t>
        </is>
      </c>
      <c r="B128" s="4" t="inlineStr">
        <is>
          <t>477</t>
        </is>
      </c>
      <c r="C128" s="5" t="inlineStr">
        <is>
          <t>ANALISTA DE CARTERAS</t>
        </is>
      </c>
      <c r="D128" s="5" t="inlineStr">
        <is>
          <t>ADMINISTRACIÓN DE CARTERAS</t>
        </is>
      </c>
      <c r="E128" s="5" t="inlineStr">
        <is>
          <t>Gerencia de Operaciones</t>
        </is>
      </c>
    </row>
    <row r="129">
      <c r="A129" s="5" t="inlineStr">
        <is>
          <t xml:space="preserve">RICARDO JOSUE CACAO ROVELO </t>
        </is>
      </c>
      <c r="B129" s="4" t="inlineStr">
        <is>
          <t>732</t>
        </is>
      </c>
      <c r="C129" s="5" t="inlineStr">
        <is>
          <t>ANALISTA DE CARTERAS</t>
        </is>
      </c>
      <c r="D129" s="5" t="inlineStr">
        <is>
          <t>ADMINISTRACIÓN DE CARTERAS</t>
        </is>
      </c>
      <c r="E129" s="5" t="inlineStr">
        <is>
          <t>Gerencia de Operaciones</t>
        </is>
      </c>
    </row>
    <row r="130">
      <c r="A130" s="5" t="inlineStr">
        <is>
          <t>YANETH MARLENY LANDAVERDE MORALES</t>
        </is>
      </c>
      <c r="B130" s="4" t="inlineStr">
        <is>
          <t>16</t>
        </is>
      </c>
      <c r="C130" s="5" t="inlineStr">
        <is>
          <t>JEFE DE ADMINISTRACION DE CARTERA</t>
        </is>
      </c>
      <c r="D130" s="5" t="inlineStr">
        <is>
          <t>ADMINISTRACIÓN DE CARTERAS</t>
        </is>
      </c>
      <c r="E130" s="5" t="inlineStr">
        <is>
          <t>Gerencia de Operaciones</t>
        </is>
      </c>
    </row>
    <row r="131">
      <c r="A131" s="5" t="inlineStr">
        <is>
          <t xml:space="preserve">MARIO ANTONIO NAVARRO PINEDA </t>
        </is>
      </c>
      <c r="B131" s="4" t="inlineStr">
        <is>
          <t>284</t>
        </is>
      </c>
      <c r="C131" s="5" t="inlineStr">
        <is>
          <t>JEFE DE DEPOSITOS</t>
        </is>
      </c>
      <c r="D131" s="5" t="inlineStr">
        <is>
          <t>DEPARTAMENTO DE DEPOSITOS</t>
        </is>
      </c>
      <c r="E131" s="5" t="inlineStr">
        <is>
          <t>Gerencia de Operaciones</t>
        </is>
      </c>
    </row>
    <row r="132">
      <c r="A132" s="5" t="inlineStr">
        <is>
          <t xml:space="preserve">ANA BEATRIZ QUINTEROS AVELAR </t>
        </is>
      </c>
      <c r="B132" s="4" t="inlineStr">
        <is>
          <t>725</t>
        </is>
      </c>
      <c r="C132" s="5" t="inlineStr">
        <is>
          <t>ASISTENTE TECNICO DE OPERACIONES DE TARJETAS</t>
        </is>
      </c>
      <c r="D132" s="5" t="inlineStr">
        <is>
          <t>DEPARTAMENTO DE TARJETA DE CREDITO Y DEBITO</t>
        </is>
      </c>
      <c r="E132" s="5" t="inlineStr">
        <is>
          <t>Gerencia de Operaciones</t>
        </is>
      </c>
    </row>
    <row r="133">
      <c r="A133" s="5" t="inlineStr">
        <is>
          <t xml:space="preserve">CLAUDIA CAROLINA HERNANDEZ DE PAZ </t>
        </is>
      </c>
      <c r="B133" s="4" t="inlineStr">
        <is>
          <t>389</t>
        </is>
      </c>
      <c r="C133" s="5" t="inlineStr">
        <is>
          <t>ASISTENTE TECNICO DE INTERCAMBIO DE TARJETAS</t>
        </is>
      </c>
      <c r="D133" s="5" t="inlineStr">
        <is>
          <t>DEPARTAMENTO DE TARJETA DE CREDITO Y DEBITO</t>
        </is>
      </c>
      <c r="E133" s="5" t="inlineStr">
        <is>
          <t>Gerencia de Operaciones</t>
        </is>
      </c>
    </row>
    <row r="134">
      <c r="A134" s="5" t="inlineStr">
        <is>
          <t xml:space="preserve">GEOVANNI LIZAMA PORTILLO </t>
        </is>
      </c>
      <c r="B134" s="4" t="inlineStr">
        <is>
          <t>399</t>
        </is>
      </c>
      <c r="C134" s="5" t="inlineStr">
        <is>
          <t>JEFE DE TARJETA  DE CREDITO Y DEBITO</t>
        </is>
      </c>
      <c r="D134" s="5" t="inlineStr">
        <is>
          <t>DEPARTAMENTO DE TARJETA DE CREDITO Y DEBITO</t>
        </is>
      </c>
      <c r="E134" s="5" t="inlineStr">
        <is>
          <t>Gerencia de Operaciones</t>
        </is>
      </c>
    </row>
    <row r="135">
      <c r="A135" s="5" t="inlineStr">
        <is>
          <t xml:space="preserve">ROQUE RAFAEL REYES ESPINAL </t>
        </is>
      </c>
      <c r="B135" s="4" t="inlineStr">
        <is>
          <t>41</t>
        </is>
      </c>
      <c r="C135" s="5" t="inlineStr">
        <is>
          <t>GERENTE DE OPERACIONES</t>
        </is>
      </c>
      <c r="D135" s="5" t="inlineStr">
        <is>
          <t>GERENCIA DE OPERACIONES</t>
        </is>
      </c>
      <c r="E135" s="5" t="inlineStr">
        <is>
          <t>Gerencia de Operaciones</t>
        </is>
      </c>
    </row>
    <row r="136">
      <c r="A136" s="5" t="inlineStr">
        <is>
          <t>ALEJANDRA VERONICA CENTENO  LOPEZ</t>
        </is>
      </c>
      <c r="B136" s="4" t="inlineStr">
        <is>
          <t>899</t>
        </is>
      </c>
      <c r="C136" s="5" t="inlineStr">
        <is>
          <t xml:space="preserve">ANALISTA PROGRAMADOR </t>
        </is>
      </c>
      <c r="D136" s="5" t="inlineStr">
        <is>
          <t>DEPARTAMENTO DE ANALISIS Y PROGRAMACIÓN</t>
        </is>
      </c>
      <c r="E136" s="5" t="inlineStr">
        <is>
          <t>Gerencia de Sistemas</t>
        </is>
      </c>
    </row>
    <row r="137">
      <c r="A137" s="5" t="inlineStr">
        <is>
          <t xml:space="preserve">CLAUDIA MARGARITA CAMPOS GONZÁLEZ </t>
        </is>
      </c>
      <c r="B137" s="4" t="inlineStr">
        <is>
          <t>410</t>
        </is>
      </c>
      <c r="C137" s="5" t="inlineStr">
        <is>
          <t>JEFE DE ANALISIS Y PROGRAMACION</t>
        </is>
      </c>
      <c r="D137" s="5" t="inlineStr">
        <is>
          <t>DEPARTAMENTO DE ANALISIS Y PROGRAMACIÓN</t>
        </is>
      </c>
      <c r="E137" s="5" t="inlineStr">
        <is>
          <t>Gerencia de Sistemas</t>
        </is>
      </c>
    </row>
    <row r="138">
      <c r="A138" s="5" t="inlineStr">
        <is>
          <t xml:space="preserve">JEAN HARRY MIRANDA ARAUJO </t>
        </is>
      </c>
      <c r="B138" s="4" t="inlineStr">
        <is>
          <t>752</t>
        </is>
      </c>
      <c r="C138" s="5" t="inlineStr">
        <is>
          <t xml:space="preserve">ANALISTA PROGRAMADOR </t>
        </is>
      </c>
      <c r="D138" s="5" t="inlineStr">
        <is>
          <t>DEPARTAMENTO DE ANALISIS Y PROGRAMACIÓN</t>
        </is>
      </c>
      <c r="E138" s="5" t="inlineStr">
        <is>
          <t>Gerencia de Sistemas</t>
        </is>
      </c>
    </row>
    <row r="139">
      <c r="A139" s="5" t="inlineStr">
        <is>
          <t xml:space="preserve">HUGO MARVIN SERRANO SARAVIA </t>
        </is>
      </c>
      <c r="B139" s="4" t="inlineStr">
        <is>
          <t>90</t>
        </is>
      </c>
      <c r="C139" s="5" t="inlineStr">
        <is>
          <t>OPERADOR DE SISTEMAS</t>
        </is>
      </c>
      <c r="D139" s="5" t="inlineStr">
        <is>
          <t>DEPARTAMENTO DE OPERACIONES Y SOPORTE TECNICO</t>
        </is>
      </c>
      <c r="E139" s="5" t="inlineStr">
        <is>
          <t>Gerencia de Sistemas</t>
        </is>
      </c>
    </row>
    <row r="140">
      <c r="A140" s="5" t="inlineStr">
        <is>
          <t xml:space="preserve">ALEX VIRGILIO  AGUILAR ARIAS  </t>
        </is>
      </c>
      <c r="B140" s="4" t="inlineStr">
        <is>
          <t>878</t>
        </is>
      </c>
      <c r="C140" s="5" t="inlineStr">
        <is>
          <t>GERENTE DE SISTEMAS</t>
        </is>
      </c>
      <c r="D140" s="5" t="inlineStr">
        <is>
          <t>GERENCIA DE SISTEMAS</t>
        </is>
      </c>
      <c r="E140" s="5" t="inlineStr">
        <is>
          <t>Gerencia de Sistemas</t>
        </is>
      </c>
    </row>
    <row r="141">
      <c r="A141" s="5" t="inlineStr">
        <is>
          <t xml:space="preserve">FLOR MARISELA TORRES VELASQUEZ </t>
        </is>
      </c>
      <c r="B141" s="4" t="inlineStr">
        <is>
          <t>393</t>
        </is>
      </c>
      <c r="C141" s="5" t="inlineStr">
        <is>
          <t>LIDER DE PROYECTOS TECNOLOGICOS</t>
        </is>
      </c>
      <c r="D141" s="5" t="inlineStr">
        <is>
          <t>GERENCIA DE SISTEMAS</t>
        </is>
      </c>
      <c r="E141" s="5" t="inlineStr">
        <is>
          <t>Gerencia de Sistemas</t>
        </is>
      </c>
    </row>
    <row r="142"/>
    <row r="143"/>
    <row r="144"/>
    <row r="145"/>
    <row r="146"/>
    <row r="147"/>
    <row r="148"/>
    <row r="14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2026-10-10T16:09:05Z</dcterms:modified>
</cp:coreProperties>
</file>