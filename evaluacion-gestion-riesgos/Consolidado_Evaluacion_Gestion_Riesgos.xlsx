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partamentos" sheetId="9" state="visible" r:id="rId9"/>
    <sheet xmlns:r="http://schemas.openxmlformats.org/officeDocument/2006/relationships" name="Estado por Colaborador" sheetId="10" state="visible" r:id="rId10"/>
    <sheet xmlns:r="http://schemas.openxmlformats.org/officeDocument/2006/relationships" name="Top 3 Departamentos" sheetId="11" state="visible" r:id="rId11"/>
    <sheet xmlns:r="http://schemas.openxmlformats.org/officeDocument/2006/relationships" name="Top 3 inicio" sheetId="12" state="visible" r:id="rId12"/>
    <sheet xmlns:r="http://schemas.openxmlformats.org/officeDocument/2006/relationships" name="Top 3 finalización" sheetId="13" state="visible" r:id="rId13"/>
    <sheet xmlns:r="http://schemas.openxmlformats.org/officeDocument/2006/relationships" name="Top 3 calificación" sheetId="14" state="visible" r:id="rId14"/>
    <sheet xmlns:r="http://schemas.openxmlformats.org/officeDocument/2006/relationships" name="Listado de Pendientes" sheetId="15" state="visible" r:id="rId15"/>
    <sheet xmlns:r="http://schemas.openxmlformats.org/officeDocument/2006/relationships" name="Listado de Completados" sheetId="16" state="visible" r:id="rId16"/>
    <sheet xmlns:r="http://schemas.openxmlformats.org/officeDocument/2006/relationships" name="Historial de Intentos" sheetId="17" state="visible" r:id="rId17"/>
    <sheet xmlns:r="http://schemas.openxmlformats.org/officeDocument/2006/relationships" name="Cálculos" sheetId="18" state="hidden" r:id="rId18"/>
  </sheets>
  <definedNames>
    <definedName name="_xlnm._FilterDatabase" localSheetId="1" hidden="1">'Base Oficial'!$A$4:$G$1000</definedName>
    <definedName name="_xlnm._FilterDatabase" localSheetId="3" hidden="1">'Detalle individual'!$A$4:$L$1000</definedName>
    <definedName name="_xlnm._FilterDatabase" localSheetId="14" hidden="1">'Listado de Pendientes'!$A$4:$E$1000</definedName>
    <definedName name="_xlnm._FilterDatabase" localSheetId="15" hidden="1">'Listado de Completados'!$A$4:$H$1000</definedName>
    <definedName name="_xlnm._FilterDatabase" localSheetId="16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  <xf numFmtId="0" fontId="28" fillId="0" borderId="61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2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9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9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9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9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9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</sheetData>
  <mergeCells count="6">
    <mergeCell ref="B16:C16"/>
    <mergeCell ref="B25:C25"/>
    <mergeCell ref="B3:C3"/>
    <mergeCell ref="B22:C22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</row>
    <row r="298">
      <c r="A298" s="98" t="n"/>
      <c r="B298" s="5" t="n"/>
      <c r="C298" s="4" t="n"/>
      <c r="D298" s="5" t="n"/>
      <c r="E298" s="5" t="n"/>
      <c r="F298" s="5" t="n"/>
      <c r="G298" s="5" t="n"/>
    </row>
    <row r="299">
      <c r="A299" s="98" t="n"/>
      <c r="B299" s="5" t="n"/>
      <c r="C299" s="4" t="n"/>
      <c r="D299" s="5" t="n"/>
      <c r="E299" s="5" t="n"/>
      <c r="F299" s="5" t="n"/>
      <c r="G299" s="5" t="n"/>
    </row>
    <row r="300">
      <c r="A300" s="98" t="n"/>
      <c r="B300" s="5" t="n"/>
      <c r="C300" s="4" t="n"/>
      <c r="D300" s="5" t="n"/>
      <c r="E300" s="5" t="n"/>
      <c r="F300" s="5" t="n"/>
      <c r="G300" s="5" t="n"/>
    </row>
    <row r="301">
      <c r="A301" s="98" t="n"/>
      <c r="B301" s="5" t="n"/>
      <c r="C301" s="4" t="n"/>
      <c r="D301" s="5" t="n"/>
      <c r="E301" s="5" t="n"/>
      <c r="F301" s="5" t="n"/>
      <c r="G301" s="5" t="n"/>
    </row>
    <row r="302">
      <c r="A302" s="98" t="n"/>
      <c r="B302" s="5" t="n"/>
      <c r="C302" s="4" t="n"/>
      <c r="D302" s="5" t="n"/>
      <c r="E302" s="5" t="n"/>
      <c r="F302" s="5" t="n"/>
      <c r="G302" s="5" t="n"/>
    </row>
    <row r="303">
      <c r="A303" s="98" t="n"/>
      <c r="B303" s="5" t="n"/>
      <c r="C303" s="4" t="n"/>
      <c r="D303" s="5" t="n"/>
      <c r="E303" s="5" t="n"/>
      <c r="F303" s="5" t="n"/>
      <c r="G303" s="5" t="n"/>
    </row>
    <row r="304">
      <c r="A304" s="98" t="n"/>
      <c r="B304" s="5" t="n"/>
      <c r="C304" s="4" t="n"/>
      <c r="D304" s="5" t="n"/>
      <c r="E304" s="5" t="n"/>
      <c r="F304" s="5" t="n"/>
      <c r="G304" s="5" t="n"/>
    </row>
    <row r="305">
      <c r="A305" s="98" t="n"/>
      <c r="B305" s="5" t="n"/>
      <c r="C305" s="4" t="n"/>
      <c r="D305" s="5" t="n"/>
      <c r="E305" s="5" t="n"/>
      <c r="F305" s="5" t="n"/>
      <c r="G305" s="5" t="n"/>
    </row>
    <row r="306">
      <c r="A306" s="98" t="n"/>
      <c r="B306" s="5" t="n"/>
      <c r="C306" s="4" t="n"/>
      <c r="D306" s="5" t="n"/>
      <c r="E306" s="5" t="n"/>
      <c r="F306" s="5" t="n"/>
      <c r="G306" s="5" t="n"/>
    </row>
    <row r="307">
      <c r="A307" s="98" t="n"/>
      <c r="B307" s="5" t="n"/>
      <c r="C307" s="4" t="n"/>
      <c r="D307" s="5" t="n"/>
      <c r="E307" s="5" t="n"/>
      <c r="F307" s="5" t="n"/>
      <c r="G307" s="5" t="n"/>
    </row>
    <row r="308">
      <c r="A308" s="98" t="n"/>
      <c r="B308" s="5" t="n"/>
      <c r="C308" s="4" t="n"/>
      <c r="D308" s="5" t="n"/>
      <c r="E308" s="5" t="n"/>
      <c r="F308" s="5" t="n"/>
      <c r="G308" s="5" t="n"/>
    </row>
    <row r="309">
      <c r="A309" s="98" t="n"/>
      <c r="B309" s="5" t="n"/>
      <c r="C309" s="4" t="n"/>
      <c r="D309" s="5" t="n"/>
      <c r="E309" s="5" t="n"/>
      <c r="F309" s="5" t="n"/>
      <c r="G309" s="5" t="n"/>
    </row>
    <row r="310">
      <c r="A310" s="98" t="n"/>
      <c r="B310" s="5" t="n"/>
      <c r="C310" s="4" t="n"/>
      <c r="D310" s="5" t="n"/>
      <c r="E310" s="5" t="n"/>
      <c r="F310" s="5" t="n"/>
      <c r="G310" s="5" t="n"/>
    </row>
    <row r="311">
      <c r="A311" s="98" t="n"/>
      <c r="B311" s="5" t="n"/>
      <c r="C311" s="4" t="n"/>
      <c r="D311" s="5" t="n"/>
      <c r="E311" s="5" t="n"/>
      <c r="F311" s="5" t="n"/>
      <c r="G311" s="5" t="n"/>
    </row>
    <row r="312">
      <c r="A312" s="98" t="n"/>
      <c r="B312" s="5" t="n"/>
      <c r="C312" s="4" t="n"/>
      <c r="D312" s="5" t="n"/>
      <c r="E312" s="5" t="n"/>
      <c r="F312" s="5" t="n"/>
      <c r="G312" s="5" t="n"/>
    </row>
    <row r="313">
      <c r="A313" s="98" t="n"/>
      <c r="B313" s="5" t="n"/>
      <c r="C313" s="4" t="n"/>
      <c r="D313" s="5" t="n"/>
      <c r="E313" s="5" t="n"/>
      <c r="F313" s="5" t="n"/>
      <c r="G313" s="5" t="n"/>
    </row>
    <row r="314">
      <c r="A314" s="98" t="n"/>
      <c r="B314" s="5" t="n"/>
      <c r="C314" s="4" t="n"/>
      <c r="D314" s="5" t="n"/>
      <c r="E314" s="5" t="n"/>
      <c r="F314" s="5" t="n"/>
      <c r="G314" s="5" t="n"/>
    </row>
    <row r="315">
      <c r="A315" s="98" t="n"/>
      <c r="B315" s="5" t="n"/>
      <c r="C315" s="4" t="n"/>
      <c r="D315" s="5" t="n"/>
      <c r="E315" s="5" t="n"/>
      <c r="F315" s="5" t="n"/>
      <c r="G315" s="5" t="n"/>
    </row>
    <row r="316">
      <c r="A316" s="98" t="n"/>
      <c r="B316" s="5" t="n"/>
      <c r="C316" s="4" t="n"/>
      <c r="D316" s="5" t="n"/>
      <c r="E316" s="5" t="n"/>
      <c r="F316" s="5" t="n"/>
      <c r="G316" s="5" t="n"/>
    </row>
    <row r="317">
      <c r="A317" s="98" t="n"/>
      <c r="B317" s="5" t="n"/>
      <c r="C317" s="4" t="n"/>
      <c r="D317" s="5" t="n"/>
      <c r="E317" s="5" t="n"/>
      <c r="F317" s="5" t="n"/>
      <c r="G317" s="5" t="n"/>
    </row>
    <row r="318">
      <c r="A318" s="98" t="n"/>
      <c r="B318" s="5" t="n"/>
      <c r="C318" s="4" t="n"/>
      <c r="D318" s="5" t="n"/>
      <c r="E318" s="5" t="n"/>
      <c r="F318" s="5" t="n"/>
      <c r="G318" s="5" t="n"/>
    </row>
    <row r="319">
      <c r="A319" s="98" t="n"/>
      <c r="B319" s="5" t="n"/>
      <c r="C319" s="4" t="n"/>
      <c r="D319" s="5" t="n"/>
      <c r="E319" s="5" t="n"/>
      <c r="F319" s="5" t="n"/>
      <c r="G319" s="5" t="n"/>
    </row>
    <row r="320">
      <c r="A320" s="98" t="n"/>
      <c r="B320" s="5" t="n"/>
      <c r="C320" s="4" t="n"/>
      <c r="D320" s="5" t="n"/>
      <c r="E320" s="5" t="n"/>
      <c r="F320" s="5" t="n"/>
      <c r="G320" s="5" t="n"/>
    </row>
    <row r="321">
      <c r="A321" s="98" t="n"/>
      <c r="B321" s="5" t="n"/>
      <c r="C321" s="4" t="n"/>
      <c r="D321" s="5" t="n"/>
      <c r="E321" s="5" t="n"/>
      <c r="F321" s="5" t="n"/>
      <c r="G321" s="5" t="n"/>
    </row>
    <row r="322">
      <c r="A322" s="98" t="n"/>
      <c r="B322" s="5" t="n"/>
      <c r="C322" s="4" t="n"/>
      <c r="D322" s="5" t="n"/>
      <c r="E322" s="5" t="n"/>
      <c r="F322" s="5" t="n"/>
      <c r="G322" s="5" t="n"/>
    </row>
    <row r="323">
      <c r="A323" s="98" t="n"/>
      <c r="B323" s="5" t="n"/>
      <c r="C323" s="4" t="n"/>
      <c r="D323" s="5" t="n"/>
      <c r="E323" s="5" t="n"/>
      <c r="F323" s="5" t="n"/>
      <c r="G323" s="5" t="n"/>
    </row>
    <row r="324">
      <c r="A324" s="98" t="n"/>
      <c r="B324" s="5" t="n"/>
      <c r="C324" s="4" t="n"/>
      <c r="D324" s="5" t="n"/>
      <c r="E324" s="5" t="n"/>
      <c r="F324" s="5" t="n"/>
      <c r="G324" s="5" t="n"/>
    </row>
    <row r="325">
      <c r="A325" s="98" t="n"/>
      <c r="B325" s="5" t="n"/>
      <c r="C325" s="4" t="n"/>
      <c r="D325" s="5" t="n"/>
      <c r="E325" s="5" t="n"/>
      <c r="F325" s="5" t="n"/>
      <c r="G325" s="5" t="n"/>
    </row>
    <row r="326">
      <c r="A326" s="98" t="n"/>
      <c r="B326" s="5" t="n"/>
      <c r="C326" s="4" t="n"/>
      <c r="D326" s="5" t="n"/>
      <c r="E326" s="5" t="n"/>
      <c r="F326" s="5" t="n"/>
      <c r="G326" s="5" t="n"/>
    </row>
    <row r="327">
      <c r="A327" s="98" t="n"/>
      <c r="B327" s="5" t="n"/>
      <c r="C327" s="4" t="n"/>
      <c r="D327" s="5" t="n"/>
      <c r="E327" s="5" t="n"/>
      <c r="F327" s="5" t="n"/>
      <c r="G327" s="5" t="n"/>
    </row>
    <row r="328">
      <c r="A328" s="98" t="n"/>
      <c r="B328" s="5" t="n"/>
      <c r="C328" s="4" t="n"/>
      <c r="D328" s="5" t="n"/>
      <c r="E328" s="5" t="n"/>
      <c r="F328" s="5" t="n"/>
      <c r="G328" s="5" t="n"/>
    </row>
    <row r="329">
      <c r="A329" s="98" t="n"/>
      <c r="B329" s="5" t="n"/>
      <c r="C329" s="4" t="n"/>
      <c r="D329" s="5" t="n"/>
      <c r="E329" s="5" t="n"/>
      <c r="F329" s="5" t="n"/>
      <c r="G329" s="5" t="n"/>
    </row>
    <row r="330">
      <c r="A330" s="98" t="n"/>
      <c r="B330" s="5" t="n"/>
      <c r="C330" s="4" t="n"/>
      <c r="D330" s="5" t="n"/>
      <c r="E330" s="5" t="n"/>
      <c r="F330" s="5" t="n"/>
      <c r="G330" s="5" t="n"/>
    </row>
    <row r="331">
      <c r="A331" s="98" t="n"/>
      <c r="B331" s="5" t="n"/>
      <c r="C331" s="4" t="n"/>
      <c r="D331" s="5" t="n"/>
      <c r="E331" s="5" t="n"/>
      <c r="F331" s="5" t="n"/>
      <c r="G331" s="5" t="n"/>
    </row>
    <row r="332">
      <c r="A332" s="98" t="n"/>
      <c r="B332" s="5" t="n"/>
      <c r="C332" s="4" t="n"/>
      <c r="D332" s="5" t="n"/>
      <c r="E332" s="5" t="n"/>
      <c r="F332" s="5" t="n"/>
      <c r="G332" s="5" t="n"/>
    </row>
    <row r="333">
      <c r="A333" s="98" t="n"/>
      <c r="B333" s="5" t="n"/>
      <c r="C333" s="4" t="n"/>
      <c r="D333" s="5" t="n"/>
      <c r="E333" s="5" t="n"/>
      <c r="F333" s="5" t="n"/>
      <c r="G333" s="5" t="n"/>
    </row>
    <row r="334">
      <c r="A334" s="98" t="n"/>
      <c r="B334" s="5" t="n"/>
      <c r="C334" s="4" t="n"/>
      <c r="D334" s="5" t="n"/>
      <c r="E334" s="5" t="n"/>
      <c r="F334" s="5" t="n"/>
      <c r="G334" s="5" t="n"/>
    </row>
    <row r="335">
      <c r="A335" s="98" t="n"/>
      <c r="B335" s="5" t="n"/>
      <c r="C335" s="4" t="n"/>
      <c r="D335" s="5" t="n"/>
      <c r="E335" s="5" t="n"/>
      <c r="F335" s="5" t="n"/>
      <c r="G335" s="5" t="n"/>
    </row>
    <row r="336">
      <c r="A336" s="98" t="n"/>
      <c r="B336" s="5" t="n"/>
      <c r="C336" s="4" t="n"/>
      <c r="D336" s="5" t="n"/>
      <c r="E336" s="5" t="n"/>
      <c r="F336" s="5" t="n"/>
      <c r="G336" s="5" t="n"/>
    </row>
    <row r="337">
      <c r="A337" s="98" t="n"/>
      <c r="B337" s="5" t="n"/>
      <c r="C337" s="4" t="n"/>
      <c r="D337" s="5" t="n"/>
      <c r="E337" s="5" t="n"/>
      <c r="F337" s="5" t="n"/>
      <c r="G337" s="5" t="n"/>
    </row>
    <row r="338">
      <c r="A338" s="98" t="n"/>
      <c r="B338" s="5" t="n"/>
      <c r="C338" s="4" t="n"/>
      <c r="D338" s="5" t="n"/>
      <c r="E338" s="5" t="n"/>
      <c r="F338" s="5" t="n"/>
      <c r="G338" s="5" t="n"/>
    </row>
    <row r="339">
      <c r="A339" s="98" t="n"/>
      <c r="B339" s="5" t="n"/>
      <c r="C339" s="4" t="n"/>
      <c r="D339" s="5" t="n"/>
      <c r="E339" s="5" t="n"/>
      <c r="F339" s="5" t="n"/>
      <c r="G339" s="5" t="n"/>
    </row>
    <row r="340">
      <c r="A340" s="98" t="n"/>
      <c r="B340" s="5" t="n"/>
      <c r="C340" s="4" t="n"/>
      <c r="D340" s="5" t="n"/>
      <c r="E340" s="5" t="n"/>
      <c r="F340" s="5" t="n"/>
      <c r="G340" s="5" t="n"/>
    </row>
    <row r="341">
      <c r="A341" s="98" t="n"/>
      <c r="B341" s="5" t="n"/>
      <c r="C341" s="4" t="n"/>
      <c r="D341" s="5" t="n"/>
      <c r="E341" s="5" t="n"/>
      <c r="F341" s="5" t="n"/>
      <c r="G341" s="5" t="n"/>
    </row>
    <row r="342">
      <c r="A342" s="98" t="n"/>
      <c r="B342" s="5" t="n"/>
      <c r="C342" s="4" t="n"/>
      <c r="D342" s="5" t="n"/>
      <c r="E342" s="5" t="n"/>
      <c r="F342" s="5" t="n"/>
      <c r="G342" s="5" t="n"/>
    </row>
    <row r="343">
      <c r="A343" s="98" t="n"/>
      <c r="B343" s="5" t="n"/>
      <c r="C343" s="4" t="n"/>
      <c r="D343" s="5" t="n"/>
      <c r="E343" s="5" t="n"/>
      <c r="F343" s="5" t="n"/>
      <c r="G343" s="5" t="n"/>
    </row>
    <row r="344">
      <c r="A344" s="98" t="n"/>
      <c r="B344" s="5" t="n"/>
      <c r="C344" s="4" t="n"/>
      <c r="D344" s="5" t="n"/>
      <c r="E344" s="5" t="n"/>
      <c r="F344" s="5" t="n"/>
      <c r="G344" s="5" t="n"/>
    </row>
    <row r="345">
      <c r="A345" s="98" t="n"/>
      <c r="B345" s="5" t="n"/>
      <c r="C345" s="4" t="n"/>
      <c r="D345" s="5" t="n"/>
      <c r="E345" s="5" t="n"/>
      <c r="F345" s="5" t="n"/>
      <c r="G345" s="5" t="n"/>
    </row>
    <row r="346">
      <c r="A346" s="98" t="n"/>
      <c r="B346" s="5" t="n"/>
      <c r="C346" s="4" t="n"/>
      <c r="D346" s="5" t="n"/>
      <c r="E346" s="5" t="n"/>
      <c r="F346" s="5" t="n"/>
      <c r="G346" s="5" t="n"/>
    </row>
    <row r="347">
      <c r="A347" s="98" t="n"/>
      <c r="B347" s="5" t="n"/>
      <c r="C347" s="4" t="n"/>
      <c r="D347" s="5" t="n"/>
      <c r="E347" s="5" t="n"/>
      <c r="F347" s="5" t="n"/>
      <c r="G347" s="5" t="n"/>
    </row>
    <row r="348">
      <c r="A348" s="98" t="n"/>
      <c r="B348" s="5" t="n"/>
      <c r="C348" s="4" t="n"/>
      <c r="D348" s="5" t="n"/>
      <c r="E348" s="5" t="n"/>
      <c r="F348" s="5" t="n"/>
      <c r="G348" s="5" t="n"/>
    </row>
    <row r="349">
      <c r="A349" s="98" t="n"/>
      <c r="B349" s="5" t="n"/>
      <c r="C349" s="4" t="n"/>
      <c r="D349" s="5" t="n"/>
      <c r="E349" s="5" t="n"/>
      <c r="F349" s="5" t="n"/>
      <c r="G349" s="5" t="n"/>
    </row>
    <row r="350">
      <c r="A350" s="98" t="n"/>
      <c r="B350" s="5" t="n"/>
      <c r="C350" s="4" t="n"/>
      <c r="D350" s="5" t="n"/>
      <c r="E350" s="5" t="n"/>
      <c r="F350" s="5" t="n"/>
      <c r="G350" s="5" t="n"/>
    </row>
    <row r="351">
      <c r="A351" s="98" t="n"/>
      <c r="B351" s="5" t="n"/>
      <c r="C351" s="4" t="n"/>
      <c r="D351" s="5" t="n"/>
      <c r="E351" s="5" t="n"/>
      <c r="F351" s="5" t="n"/>
      <c r="G351" s="5" t="n"/>
    </row>
    <row r="352">
      <c r="A352" s="98" t="n"/>
      <c r="B352" s="5" t="n"/>
      <c r="C352" s="4" t="n"/>
      <c r="D352" s="5" t="n"/>
      <c r="E352" s="5" t="n"/>
      <c r="F352" s="5" t="n"/>
      <c r="G352" s="5" t="n"/>
    </row>
    <row r="353">
      <c r="A353" s="98" t="n"/>
      <c r="B353" s="5" t="n"/>
      <c r="C353" s="4" t="n"/>
      <c r="D353" s="5" t="n"/>
      <c r="E353" s="5" t="n"/>
      <c r="F353" s="5" t="n"/>
      <c r="G353" s="5" t="n"/>
    </row>
    <row r="354">
      <c r="A354" s="98" t="n"/>
      <c r="B354" s="5" t="n"/>
      <c r="C354" s="4" t="n"/>
      <c r="D354" s="5" t="n"/>
      <c r="E354" s="5" t="n"/>
      <c r="F354" s="5" t="n"/>
      <c r="G354" s="5" t="n"/>
    </row>
    <row r="355">
      <c r="A355" s="98" t="n"/>
      <c r="B355" s="5" t="n"/>
      <c r="C355" s="4" t="n"/>
      <c r="D355" s="5" t="n"/>
      <c r="E355" s="5" t="n"/>
      <c r="F355" s="5" t="n"/>
      <c r="G355" s="5" t="n"/>
    </row>
    <row r="356">
      <c r="A356" s="98" t="n"/>
      <c r="B356" s="5" t="n"/>
      <c r="C356" s="4" t="n"/>
      <c r="D356" s="5" t="n"/>
      <c r="E356" s="5" t="n"/>
      <c r="F356" s="5" t="n"/>
      <c r="G356" s="5" t="n"/>
    </row>
    <row r="357">
      <c r="A357" s="98" t="n"/>
      <c r="B357" s="5" t="n"/>
      <c r="C357" s="4" t="n"/>
      <c r="D357" s="5" t="n"/>
      <c r="E357" s="5" t="n"/>
      <c r="F357" s="5" t="n"/>
      <c r="G357" s="5" t="n"/>
    </row>
    <row r="358">
      <c r="A358" s="98" t="n"/>
      <c r="B358" s="5" t="n"/>
      <c r="C358" s="4" t="n"/>
      <c r="D358" s="5" t="n"/>
      <c r="E358" s="5" t="n"/>
      <c r="F358" s="5" t="n"/>
      <c r="G358" s="5" t="n"/>
    </row>
    <row r="359">
      <c r="A359" s="98" t="n"/>
      <c r="B359" s="5" t="n"/>
      <c r="C359" s="4" t="n"/>
      <c r="D359" s="5" t="n"/>
      <c r="E359" s="5" t="n"/>
      <c r="F359" s="5" t="n"/>
      <c r="G359" s="5" t="n"/>
    </row>
    <row r="360">
      <c r="A360" s="98" t="n"/>
      <c r="B360" s="5" t="n"/>
      <c r="C360" s="4" t="n"/>
      <c r="D360" s="5" t="n"/>
      <c r="E360" s="5" t="n"/>
      <c r="F360" s="5" t="n"/>
      <c r="G360" s="5" t="n"/>
    </row>
    <row r="361">
      <c r="A361" s="98" t="n"/>
      <c r="B361" s="5" t="n"/>
      <c r="C361" s="4" t="n"/>
      <c r="D361" s="5" t="n"/>
      <c r="E361" s="5" t="n"/>
      <c r="F361" s="5" t="n"/>
      <c r="G361" s="5" t="n"/>
    </row>
    <row r="362">
      <c r="A362" s="98" t="n"/>
      <c r="B362" s="5" t="n"/>
      <c r="C362" s="4" t="n"/>
      <c r="D362" s="5" t="n"/>
      <c r="E362" s="5" t="n"/>
      <c r="F362" s="5" t="n"/>
      <c r="G362" s="5" t="n"/>
    </row>
    <row r="363">
      <c r="A363" s="98" t="n"/>
      <c r="B363" s="5" t="n"/>
      <c r="C363" s="4" t="n"/>
      <c r="D363" s="5" t="n"/>
      <c r="E363" s="5" t="n"/>
      <c r="F363" s="5" t="n"/>
      <c r="G363" s="5" t="n"/>
    </row>
    <row r="364">
      <c r="A364" s="98" t="n"/>
      <c r="B364" s="5" t="n"/>
      <c r="C364" s="4" t="n"/>
      <c r="D364" s="5" t="n"/>
      <c r="E364" s="5" t="n"/>
      <c r="F364" s="5" t="n"/>
      <c r="G364" s="5" t="n"/>
    </row>
    <row r="365">
      <c r="A365" s="98" t="n"/>
      <c r="B365" s="5" t="n"/>
      <c r="C365" s="4" t="n"/>
      <c r="D365" s="5" t="n"/>
      <c r="E365" s="5" t="n"/>
      <c r="F365" s="5" t="n"/>
      <c r="G365" s="5" t="n"/>
    </row>
    <row r="366">
      <c r="A366" s="98" t="n"/>
      <c r="B366" s="5" t="n"/>
      <c r="C366" s="4" t="n"/>
      <c r="D366" s="5" t="n"/>
      <c r="E366" s="5" t="n"/>
      <c r="F366" s="5" t="n"/>
      <c r="G366" s="5" t="n"/>
    </row>
    <row r="367">
      <c r="A367" s="98" t="n"/>
      <c r="B367" s="5" t="n"/>
      <c r="C367" s="4" t="n"/>
      <c r="D367" s="5" t="n"/>
      <c r="E367" s="5" t="n"/>
      <c r="F367" s="5" t="n"/>
      <c r="G367" s="5" t="n"/>
    </row>
    <row r="368">
      <c r="A368" s="98" t="n"/>
      <c r="B368" s="5" t="n"/>
      <c r="C368" s="4" t="n"/>
      <c r="D368" s="5" t="n"/>
      <c r="E368" s="5" t="n"/>
      <c r="F368" s="5" t="n"/>
      <c r="G368" s="5" t="n"/>
    </row>
    <row r="369">
      <c r="A369" s="98" t="n"/>
      <c r="B369" s="5" t="n"/>
      <c r="C369" s="4" t="n"/>
      <c r="D369" s="5" t="n"/>
      <c r="E369" s="5" t="n"/>
      <c r="F369" s="5" t="n"/>
      <c r="G369" s="5" t="n"/>
    </row>
    <row r="370">
      <c r="A370" s="98" t="n"/>
      <c r="B370" s="5" t="n"/>
      <c r="C370" s="4" t="n"/>
      <c r="D370" s="5" t="n"/>
      <c r="E370" s="5" t="n"/>
      <c r="F370" s="5" t="n"/>
      <c r="G370" s="5" t="n"/>
    </row>
    <row r="371">
      <c r="A371" s="98" t="n"/>
      <c r="B371" s="5" t="n"/>
      <c r="C371" s="4" t="n"/>
      <c r="D371" s="5" t="n"/>
      <c r="E371" s="5" t="n"/>
      <c r="F371" s="5" t="n"/>
      <c r="G371" s="5" t="n"/>
    </row>
    <row r="372">
      <c r="A372" s="98" t="n"/>
      <c r="B372" s="5" t="n"/>
      <c r="C372" s="4" t="n"/>
      <c r="D372" s="5" t="n"/>
      <c r="E372" s="5" t="n"/>
      <c r="F372" s="5" t="n"/>
      <c r="G372" s="5" t="n"/>
    </row>
    <row r="373">
      <c r="A373" s="98" t="n"/>
      <c r="B373" s="5" t="n"/>
      <c r="C373" s="4" t="n"/>
      <c r="D373" s="5" t="n"/>
      <c r="E373" s="5" t="n"/>
      <c r="F373" s="5" t="n"/>
      <c r="G373" s="5" t="n"/>
    </row>
    <row r="374">
      <c r="A374" s="98" t="n"/>
      <c r="B374" s="5" t="n"/>
      <c r="C374" s="4" t="n"/>
      <c r="D374" s="5" t="n"/>
      <c r="E374" s="5" t="n"/>
      <c r="F374" s="5" t="n"/>
      <c r="G374" s="5" t="n"/>
    </row>
    <row r="375">
      <c r="A375" s="98" t="n"/>
      <c r="B375" s="5" t="n"/>
      <c r="C375" s="4" t="n"/>
      <c r="D375" s="5" t="n"/>
      <c r="E375" s="5" t="n"/>
      <c r="F375" s="5" t="n"/>
      <c r="G375" s="5" t="n"/>
    </row>
    <row r="376">
      <c r="A376" s="98" t="n"/>
      <c r="B376" s="5" t="n"/>
      <c r="C376" s="4" t="n"/>
      <c r="D376" s="5" t="n"/>
      <c r="E376" s="5" t="n"/>
      <c r="F376" s="5" t="n"/>
      <c r="G376" s="5" t="n"/>
    </row>
    <row r="377">
      <c r="A377" s="98" t="n"/>
      <c r="B377" s="5" t="n"/>
      <c r="C377" s="4" t="n"/>
      <c r="D377" s="5" t="n"/>
      <c r="E377" s="5" t="n"/>
      <c r="F377" s="5" t="n"/>
      <c r="G377" s="5" t="n"/>
    </row>
    <row r="378">
      <c r="A378" s="98" t="n"/>
      <c r="B378" s="5" t="n"/>
      <c r="C378" s="4" t="n"/>
      <c r="D378" s="5" t="n"/>
      <c r="E378" s="5" t="n"/>
      <c r="F378" s="5" t="n"/>
      <c r="G378" s="5" t="n"/>
    </row>
    <row r="379">
      <c r="A379" s="98" t="n"/>
      <c r="B379" s="5" t="n"/>
      <c r="C379" s="4" t="n"/>
      <c r="D379" s="5" t="n"/>
      <c r="E379" s="5" t="n"/>
      <c r="F379" s="5" t="n"/>
      <c r="G379" s="5" t="n"/>
    </row>
    <row r="380">
      <c r="A380" s="98" t="n"/>
      <c r="B380" s="5" t="n"/>
      <c r="C380" s="4" t="n"/>
      <c r="D380" s="5" t="n"/>
      <c r="E380" s="5" t="n"/>
      <c r="F380" s="5" t="n"/>
      <c r="G380" s="5" t="n"/>
    </row>
    <row r="381">
      <c r="A381" s="98" t="n"/>
      <c r="B381" s="5" t="n"/>
      <c r="C381" s="4" t="n"/>
      <c r="D381" s="5" t="n"/>
      <c r="E381" s="5" t="n"/>
      <c r="F381" s="5" t="n"/>
      <c r="G381" s="5" t="n"/>
    </row>
    <row r="382">
      <c r="A382" s="98" t="n"/>
      <c r="B382" s="5" t="n"/>
      <c r="C382" s="4" t="n"/>
      <c r="D382" s="5" t="n"/>
      <c r="E382" s="5" t="n"/>
      <c r="F382" s="5" t="n"/>
      <c r="G382" s="5" t="n"/>
    </row>
    <row r="383">
      <c r="A383" s="98" t="n"/>
      <c r="B383" s="5" t="n"/>
      <c r="C383" s="4" t="n"/>
      <c r="D383" s="5" t="n"/>
      <c r="E383" s="5" t="n"/>
      <c r="F383" s="5" t="n"/>
      <c r="G383" s="5" t="n"/>
    </row>
    <row r="384">
      <c r="A384" s="98" t="n"/>
      <c r="B384" s="5" t="n"/>
      <c r="C384" s="4" t="n"/>
      <c r="D384" s="5" t="n"/>
      <c r="E384" s="5" t="n"/>
      <c r="F384" s="5" t="n"/>
      <c r="G384" s="5" t="n"/>
    </row>
    <row r="385">
      <c r="A385" s="98" t="n"/>
      <c r="B385" s="5" t="n"/>
      <c r="C385" s="4" t="n"/>
      <c r="D385" s="5" t="n"/>
      <c r="E385" s="5" t="n"/>
      <c r="F385" s="5" t="n"/>
      <c r="G385" s="5" t="n"/>
    </row>
    <row r="386">
      <c r="A386" s="98" t="n"/>
      <c r="B386" s="5" t="n"/>
      <c r="C386" s="4" t="n"/>
      <c r="D386" s="5" t="n"/>
      <c r="E386" s="5" t="n"/>
      <c r="F386" s="5" t="n"/>
      <c r="G386" s="5" t="n"/>
    </row>
    <row r="387">
      <c r="A387" s="98" t="n"/>
      <c r="B387" s="5" t="n"/>
      <c r="C387" s="4" t="n"/>
      <c r="D387" s="5" t="n"/>
      <c r="E387" s="5" t="n"/>
      <c r="F387" s="5" t="n"/>
      <c r="G387" s="5" t="n"/>
    </row>
    <row r="388">
      <c r="A388" s="98" t="n"/>
      <c r="B388" s="5" t="n"/>
      <c r="C388" s="4" t="n"/>
      <c r="D388" s="5" t="n"/>
      <c r="E388" s="5" t="n"/>
      <c r="F388" s="5" t="n"/>
      <c r="G388" s="5" t="n"/>
    </row>
    <row r="389">
      <c r="A389" s="98" t="n"/>
      <c r="B389" s="5" t="n"/>
      <c r="C389" s="4" t="n"/>
      <c r="D389" s="5" t="n"/>
      <c r="E389" s="5" t="n"/>
      <c r="F389" s="5" t="n"/>
      <c r="G389" s="5" t="n"/>
    </row>
    <row r="390">
      <c r="A390" s="98" t="n"/>
      <c r="B390" s="5" t="n"/>
      <c r="C390" s="4" t="n"/>
      <c r="D390" s="5" t="n"/>
      <c r="E390" s="5" t="n"/>
      <c r="F390" s="5" t="n"/>
      <c r="G390" s="5" t="n"/>
    </row>
    <row r="391">
      <c r="A391" s="98" t="n"/>
      <c r="B391" s="5" t="n"/>
      <c r="C391" s="4" t="n"/>
      <c r="D391" s="5" t="n"/>
      <c r="E391" s="5" t="n"/>
      <c r="F391" s="5" t="n"/>
      <c r="G391" s="5" t="n"/>
    </row>
    <row r="392">
      <c r="A392" s="98" t="n"/>
      <c r="B392" s="5" t="n"/>
      <c r="C392" s="4" t="n"/>
      <c r="D392" s="5" t="n"/>
      <c r="E392" s="5" t="n"/>
      <c r="F392" s="5" t="n"/>
      <c r="G392" s="5" t="n"/>
    </row>
    <row r="393">
      <c r="A393" s="98" t="n"/>
      <c r="B393" s="5" t="n"/>
      <c r="C393" s="4" t="n"/>
      <c r="D393" s="5" t="n"/>
      <c r="E393" s="5" t="n"/>
      <c r="F393" s="5" t="n"/>
      <c r="G393" s="5" t="n"/>
    </row>
    <row r="394">
      <c r="A394" s="98" t="n"/>
      <c r="B394" s="5" t="n"/>
      <c r="C394" s="4" t="n"/>
      <c r="D394" s="5" t="n"/>
      <c r="E394" s="5" t="n"/>
      <c r="F394" s="5" t="n"/>
      <c r="G394" s="5" t="n"/>
    </row>
    <row r="395">
      <c r="A395" s="98" t="n"/>
      <c r="B395" s="5" t="n"/>
      <c r="C395" s="4" t="n"/>
      <c r="D395" s="5" t="n"/>
      <c r="E395" s="5" t="n"/>
      <c r="F395" s="5" t="n"/>
      <c r="G395" s="5" t="n"/>
    </row>
    <row r="396">
      <c r="A396" s="98" t="n"/>
      <c r="B396" s="5" t="n"/>
      <c r="C396" s="4" t="n"/>
      <c r="D396" s="5" t="n"/>
      <c r="E396" s="5" t="n"/>
      <c r="F396" s="5" t="n"/>
      <c r="G396" s="5" t="n"/>
    </row>
    <row r="397">
      <c r="A397" s="98" t="n"/>
      <c r="B397" s="5" t="n"/>
      <c r="C397" s="4" t="n"/>
      <c r="D397" s="5" t="n"/>
      <c r="E397" s="5" t="n"/>
      <c r="F397" s="5" t="n"/>
      <c r="G397" s="5" t="n"/>
    </row>
    <row r="398">
      <c r="A398" s="98" t="n"/>
      <c r="B398" s="5" t="n"/>
      <c r="C398" s="4" t="n"/>
      <c r="D398" s="5" t="n"/>
      <c r="E398" s="5" t="n"/>
      <c r="F398" s="5" t="n"/>
      <c r="G398" s="5" t="n"/>
    </row>
    <row r="399">
      <c r="A399" s="98" t="n"/>
      <c r="B399" s="5" t="n"/>
      <c r="C399" s="4" t="n"/>
      <c r="D399" s="5" t="n"/>
      <c r="E399" s="5" t="n"/>
      <c r="F399" s="5" t="n"/>
      <c r="G399" s="5" t="n"/>
    </row>
    <row r="400">
      <c r="A400" s="98" t="n"/>
      <c r="B400" s="5" t="n"/>
      <c r="C400" s="4" t="n"/>
      <c r="D400" s="5" t="n"/>
      <c r="E400" s="5" t="n"/>
      <c r="F400" s="5" t="n"/>
      <c r="G400" s="5" t="n"/>
    </row>
    <row r="401">
      <c r="A401" s="98" t="n"/>
      <c r="B401" s="5" t="n"/>
      <c r="C401" s="4" t="n"/>
      <c r="D401" s="5" t="n"/>
      <c r="E401" s="5" t="n"/>
      <c r="F401" s="5" t="n"/>
      <c r="G401" s="5" t="n"/>
    </row>
    <row r="402">
      <c r="A402" s="98" t="n"/>
      <c r="B402" s="5" t="n"/>
      <c r="C402" s="4" t="n"/>
      <c r="D402" s="5" t="n"/>
      <c r="E402" s="5" t="n"/>
      <c r="F402" s="5" t="n"/>
      <c r="G402" s="5" t="n"/>
    </row>
    <row r="403">
      <c r="A403" s="98" t="n"/>
      <c r="B403" s="5" t="n"/>
      <c r="C403" s="4" t="n"/>
      <c r="D403" s="5" t="n"/>
      <c r="E403" s="5" t="n"/>
      <c r="F403" s="5" t="n"/>
      <c r="G403" s="5" t="n"/>
    </row>
    <row r="404">
      <c r="A404" s="98" t="n"/>
      <c r="B404" s="5" t="n"/>
      <c r="C404" s="4" t="n"/>
      <c r="D404" s="5" t="n"/>
      <c r="E404" s="5" t="n"/>
      <c r="F404" s="5" t="n"/>
      <c r="G404" s="5" t="n"/>
    </row>
    <row r="405">
      <c r="A405" s="98" t="n"/>
      <c r="B405" s="5" t="n"/>
      <c r="C405" s="4" t="n"/>
      <c r="D405" s="5" t="n"/>
      <c r="E405" s="5" t="n"/>
      <c r="F405" s="5" t="n"/>
      <c r="G405" s="5" t="n"/>
    </row>
    <row r="406">
      <c r="A406" s="98" t="n"/>
      <c r="B406" s="5" t="n"/>
      <c r="C406" s="4" t="n"/>
      <c r="D406" s="5" t="n"/>
      <c r="E406" s="5" t="n"/>
      <c r="F406" s="5" t="n"/>
      <c r="G406" s="5" t="n"/>
    </row>
    <row r="407">
      <c r="A407" s="98" t="n"/>
      <c r="B407" s="5" t="n"/>
      <c r="C407" s="4" t="n"/>
      <c r="D407" s="5" t="n"/>
      <c r="E407" s="5" t="n"/>
      <c r="F407" s="5" t="n"/>
      <c r="G407" s="5" t="n"/>
    </row>
    <row r="408">
      <c r="A408" s="98" t="n"/>
      <c r="B408" s="5" t="n"/>
      <c r="C408" s="4" t="n"/>
      <c r="D408" s="5" t="n"/>
      <c r="E408" s="5" t="n"/>
      <c r="F408" s="5" t="n"/>
      <c r="G408" s="5" t="n"/>
    </row>
    <row r="409">
      <c r="A409" s="98" t="n"/>
      <c r="B409" s="5" t="n"/>
      <c r="C409" s="4" t="n"/>
      <c r="D409" s="5" t="n"/>
      <c r="E409" s="5" t="n"/>
      <c r="F409" s="5" t="n"/>
      <c r="G409" s="5" t="n"/>
    </row>
    <row r="410">
      <c r="A410" s="98" t="n"/>
      <c r="B410" s="5" t="n"/>
      <c r="C410" s="4" t="n"/>
      <c r="D410" s="5" t="n"/>
      <c r="E410" s="5" t="n"/>
      <c r="F410" s="5" t="n"/>
      <c r="G410" s="5" t="n"/>
    </row>
    <row r="411">
      <c r="A411" s="98" t="n"/>
      <c r="B411" s="5" t="n"/>
      <c r="C411" s="4" t="n"/>
      <c r="D411" s="5" t="n"/>
      <c r="E411" s="5" t="n"/>
      <c r="F411" s="5" t="n"/>
      <c r="G411" s="5" t="n"/>
    </row>
    <row r="412">
      <c r="A412" s="98" t="n"/>
      <c r="B412" s="5" t="n"/>
      <c r="C412" s="4" t="n"/>
      <c r="D412" s="5" t="n"/>
      <c r="E412" s="5" t="n"/>
      <c r="F412" s="5" t="n"/>
      <c r="G412" s="5" t="n"/>
    </row>
    <row r="413">
      <c r="A413" s="98" t="n"/>
      <c r="B413" s="5" t="n"/>
      <c r="C413" s="4" t="n"/>
      <c r="D413" s="5" t="n"/>
      <c r="E413" s="5" t="n"/>
      <c r="F413" s="5" t="n"/>
      <c r="G413" s="5" t="n"/>
    </row>
    <row r="414">
      <c r="A414" s="98" t="n"/>
      <c r="B414" s="5" t="n"/>
      <c r="C414" s="4" t="n"/>
      <c r="D414" s="5" t="n"/>
      <c r="E414" s="5" t="n"/>
      <c r="F414" s="5" t="n"/>
      <c r="G414" s="5" t="n"/>
    </row>
    <row r="415">
      <c r="A415" s="98" t="n"/>
      <c r="B415" s="5" t="n"/>
      <c r="C415" s="4" t="n"/>
      <c r="D415" s="5" t="n"/>
      <c r="E415" s="5" t="n"/>
      <c r="F415" s="5" t="n"/>
      <c r="G415" s="5" t="n"/>
    </row>
    <row r="416">
      <c r="A416" s="98" t="n"/>
      <c r="B416" s="5" t="n"/>
      <c r="C416" s="4" t="n"/>
      <c r="D416" s="5" t="n"/>
      <c r="E416" s="5" t="n"/>
      <c r="F416" s="5" t="n"/>
      <c r="G416" s="5" t="n"/>
    </row>
    <row r="417">
      <c r="A417" s="98" t="n"/>
      <c r="B417" s="5" t="n"/>
      <c r="C417" s="4" t="n"/>
      <c r="D417" s="5" t="n"/>
      <c r="E417" s="5" t="n"/>
      <c r="F417" s="5" t="n"/>
      <c r="G417" s="5" t="n"/>
    </row>
    <row r="418">
      <c r="A418" s="98" t="n"/>
      <c r="B418" s="5" t="n"/>
      <c r="C418" s="4" t="n"/>
      <c r="D418" s="5" t="n"/>
      <c r="E418" s="5" t="n"/>
      <c r="F418" s="5" t="n"/>
      <c r="G418" s="5" t="n"/>
    </row>
    <row r="419">
      <c r="A419" s="98" t="n"/>
      <c r="B419" s="5" t="n"/>
      <c r="C419" s="4" t="n"/>
      <c r="D419" s="5" t="n"/>
      <c r="E419" s="5" t="n"/>
      <c r="F419" s="5" t="n"/>
      <c r="G419" s="5" t="n"/>
    </row>
    <row r="420">
      <c r="A420" s="98" t="n"/>
      <c r="B420" s="5" t="n"/>
      <c r="C420" s="4" t="n"/>
      <c r="D420" s="5" t="n"/>
      <c r="E420" s="5" t="n"/>
      <c r="F420" s="5" t="n"/>
      <c r="G420" s="5" t="n"/>
    </row>
    <row r="421">
      <c r="A421" s="98" t="n"/>
      <c r="B421" s="5" t="n"/>
      <c r="C421" s="4" t="n"/>
      <c r="D421" s="5" t="n"/>
      <c r="E421" s="5" t="n"/>
      <c r="F421" s="5" t="n"/>
      <c r="G421" s="5" t="n"/>
    </row>
    <row r="422">
      <c r="A422" s="98" t="n"/>
      <c r="B422" s="5" t="n"/>
      <c r="C422" s="4" t="n"/>
      <c r="D422" s="5" t="n"/>
      <c r="E422" s="5" t="n"/>
      <c r="F422" s="5" t="n"/>
      <c r="G422" s="5" t="n"/>
    </row>
    <row r="423">
      <c r="A423" s="98" t="n"/>
      <c r="B423" s="5" t="n"/>
      <c r="C423" s="4" t="n"/>
      <c r="D423" s="5" t="n"/>
      <c r="E423" s="5" t="n"/>
      <c r="F423" s="5" t="n"/>
      <c r="G423" s="5" t="n"/>
    </row>
    <row r="424">
      <c r="A424" s="98" t="n"/>
      <c r="B424" s="5" t="n"/>
      <c r="C424" s="4" t="n"/>
      <c r="D424" s="5" t="n"/>
      <c r="E424" s="5" t="n"/>
      <c r="F424" s="5" t="n"/>
      <c r="G424" s="5" t="n"/>
    </row>
    <row r="425">
      <c r="A425" s="98" t="n"/>
      <c r="B425" s="5" t="n"/>
      <c r="C425" s="4" t="n"/>
      <c r="D425" s="5" t="n"/>
      <c r="E425" s="5" t="n"/>
      <c r="F425" s="5" t="n"/>
      <c r="G425" s="5" t="n"/>
    </row>
    <row r="426">
      <c r="A426" s="98" t="n"/>
      <c r="B426" s="5" t="n"/>
      <c r="C426" s="4" t="n"/>
      <c r="D426" s="5" t="n"/>
      <c r="E426" s="5" t="n"/>
      <c r="F426" s="5" t="n"/>
      <c r="G426" s="5" t="n"/>
    </row>
    <row r="427">
      <c r="A427" s="98" t="n"/>
      <c r="B427" s="5" t="n"/>
      <c r="C427" s="4" t="n"/>
      <c r="D427" s="5" t="n"/>
      <c r="E427" s="5" t="n"/>
      <c r="F427" s="5" t="n"/>
      <c r="G427" s="5" t="n"/>
    </row>
    <row r="428">
      <c r="A428" s="98" t="n"/>
      <c r="B428" s="5" t="n"/>
      <c r="C428" s="4" t="n"/>
      <c r="D428" s="5" t="n"/>
      <c r="E428" s="5" t="n"/>
      <c r="F428" s="5" t="n"/>
      <c r="G428" s="5" t="n"/>
    </row>
    <row r="429">
      <c r="A429" s="98" t="n"/>
      <c r="B429" s="5" t="n"/>
      <c r="C429" s="4" t="n"/>
      <c r="D429" s="5" t="n"/>
      <c r="E429" s="5" t="n"/>
      <c r="F429" s="5" t="n"/>
      <c r="G429" s="5" t="n"/>
    </row>
    <row r="430">
      <c r="A430" s="98" t="n"/>
      <c r="B430" s="5" t="n"/>
      <c r="C430" s="4" t="n"/>
      <c r="D430" s="5" t="n"/>
      <c r="E430" s="5" t="n"/>
      <c r="F430" s="5" t="n"/>
      <c r="G430" s="5" t="n"/>
    </row>
    <row r="431">
      <c r="A431" s="98" t="n"/>
      <c r="B431" s="5" t="n"/>
      <c r="C431" s="4" t="n"/>
      <c r="D431" s="5" t="n"/>
      <c r="E431" s="5" t="n"/>
      <c r="F431" s="5" t="n"/>
      <c r="G431" s="5" t="n"/>
    </row>
    <row r="432">
      <c r="A432" s="98" t="n"/>
      <c r="B432" s="5" t="n"/>
      <c r="C432" s="4" t="n"/>
      <c r="D432" s="5" t="n"/>
      <c r="E432" s="5" t="n"/>
      <c r="F432" s="5" t="n"/>
      <c r="G432" s="5" t="n"/>
    </row>
    <row r="433">
      <c r="A433" s="98" t="n"/>
      <c r="B433" s="5" t="n"/>
      <c r="C433" s="4" t="n"/>
      <c r="D433" s="5" t="n"/>
      <c r="E433" s="5" t="n"/>
      <c r="F433" s="5" t="n"/>
      <c r="G433" s="5" t="n"/>
    </row>
    <row r="434">
      <c r="A434" s="98" t="n"/>
      <c r="B434" s="5" t="n"/>
      <c r="C434" s="4" t="n"/>
      <c r="D434" s="5" t="n"/>
      <c r="E434" s="5" t="n"/>
      <c r="F434" s="5" t="n"/>
      <c r="G434" s="5" t="n"/>
    </row>
    <row r="435">
      <c r="A435" s="98" t="n"/>
      <c r="B435" s="5" t="n"/>
      <c r="C435" s="4" t="n"/>
      <c r="D435" s="5" t="n"/>
      <c r="E435" s="5" t="n"/>
      <c r="F435" s="5" t="n"/>
      <c r="G435" s="5" t="n"/>
    </row>
    <row r="436">
      <c r="A436" s="98" t="n"/>
      <c r="B436" s="5" t="n"/>
      <c r="C436" s="4" t="n"/>
      <c r="D436" s="5" t="n"/>
      <c r="E436" s="5" t="n"/>
      <c r="F436" s="5" t="n"/>
      <c r="G436" s="5" t="n"/>
    </row>
    <row r="437">
      <c r="A437" s="98" t="n"/>
      <c r="B437" s="5" t="n"/>
      <c r="C437" s="4" t="n"/>
      <c r="D437" s="5" t="n"/>
      <c r="E437" s="5" t="n"/>
      <c r="F437" s="5" t="n"/>
      <c r="G437" s="5" t="n"/>
    </row>
    <row r="438">
      <c r="A438" s="98" t="n"/>
      <c r="B438" s="5" t="n"/>
      <c r="C438" s="4" t="n"/>
      <c r="D438" s="5" t="n"/>
      <c r="E438" s="5" t="n"/>
      <c r="F438" s="5" t="n"/>
      <c r="G438" s="5" t="n"/>
    </row>
    <row r="439">
      <c r="A439" s="98" t="n"/>
      <c r="B439" s="5" t="n"/>
      <c r="C439" s="4" t="n"/>
      <c r="D439" s="5" t="n"/>
      <c r="E439" s="5" t="n"/>
      <c r="F439" s="5" t="n"/>
      <c r="G439" s="5" t="n"/>
    </row>
    <row r="440">
      <c r="A440" s="98" t="n"/>
      <c r="B440" s="5" t="n"/>
      <c r="C440" s="4" t="n"/>
      <c r="D440" s="5" t="n"/>
      <c r="E440" s="5" t="n"/>
      <c r="F440" s="5" t="n"/>
      <c r="G440" s="5" t="n"/>
    </row>
    <row r="441">
      <c r="A441" s="98" t="n"/>
      <c r="B441" s="5" t="n"/>
      <c r="C441" s="4" t="n"/>
      <c r="D441" s="5" t="n"/>
      <c r="E441" s="5" t="n"/>
      <c r="F441" s="5" t="n"/>
      <c r="G441" s="5" t="n"/>
    </row>
    <row r="442">
      <c r="A442" s="98" t="n"/>
      <c r="B442" s="5" t="n"/>
      <c r="C442" s="4" t="n"/>
      <c r="D442" s="5" t="n"/>
      <c r="E442" s="5" t="n"/>
      <c r="F442" s="5" t="n"/>
      <c r="G442" s="5" t="n"/>
    </row>
    <row r="443">
      <c r="A443" s="98" t="n"/>
      <c r="B443" s="5" t="n"/>
      <c r="C443" s="4" t="n"/>
      <c r="D443" s="5" t="n"/>
      <c r="E443" s="5" t="n"/>
      <c r="F443" s="5" t="n"/>
      <c r="G443" s="5" t="n"/>
    </row>
    <row r="444">
      <c r="A444" s="98" t="n"/>
      <c r="B444" s="5" t="n"/>
      <c r="C444" s="4" t="n"/>
      <c r="D444" s="5" t="n"/>
      <c r="E444" s="5" t="n"/>
      <c r="F444" s="5" t="n"/>
      <c r="G444" s="5" t="n"/>
    </row>
    <row r="445">
      <c r="A445" s="98" t="n"/>
      <c r="B445" s="5" t="n"/>
      <c r="C445" s="4" t="n"/>
      <c r="D445" s="5" t="n"/>
      <c r="E445" s="5" t="n"/>
      <c r="F445" s="5" t="n"/>
      <c r="G445" s="5" t="n"/>
    </row>
    <row r="446">
      <c r="A446" s="98" t="n"/>
      <c r="B446" s="5" t="n"/>
      <c r="C446" s="4" t="n"/>
      <c r="D446" s="5" t="n"/>
      <c r="E446" s="5" t="n"/>
      <c r="F446" s="5" t="n"/>
      <c r="G446" s="5" t="n"/>
    </row>
    <row r="447">
      <c r="A447" s="98" t="n"/>
      <c r="B447" s="5" t="n"/>
      <c r="C447" s="4" t="n"/>
      <c r="D447" s="5" t="n"/>
      <c r="E447" s="5" t="n"/>
      <c r="F447" s="5" t="n"/>
      <c r="G447" s="5" t="n"/>
    </row>
    <row r="448">
      <c r="A448" s="98" t="n"/>
      <c r="B448" s="5" t="n"/>
      <c r="C448" s="4" t="n"/>
      <c r="D448" s="5" t="n"/>
      <c r="E448" s="5" t="n"/>
      <c r="F448" s="5" t="n"/>
      <c r="G448" s="5" t="n"/>
    </row>
    <row r="449">
      <c r="A449" s="98" t="n"/>
      <c r="B449" s="5" t="n"/>
      <c r="C449" s="4" t="n"/>
      <c r="D449" s="5" t="n"/>
      <c r="E449" s="5" t="n"/>
      <c r="F449" s="5" t="n"/>
      <c r="G449" s="5" t="n"/>
    </row>
    <row r="450">
      <c r="A450" s="98" t="n"/>
      <c r="B450" s="5" t="n"/>
      <c r="C450" s="4" t="n"/>
      <c r="D450" s="5" t="n"/>
      <c r="E450" s="5" t="n"/>
      <c r="F450" s="5" t="n"/>
      <c r="G450" s="5" t="n"/>
    </row>
    <row r="451">
      <c r="A451" s="98" t="n"/>
      <c r="B451" s="5" t="n"/>
      <c r="C451" s="4" t="n"/>
      <c r="D451" s="5" t="n"/>
      <c r="E451" s="5" t="n"/>
      <c r="F451" s="5" t="n"/>
      <c r="G451" s="5" t="n"/>
    </row>
    <row r="452">
      <c r="A452" s="98" t="n"/>
      <c r="B452" s="5" t="n"/>
      <c r="C452" s="4" t="n"/>
      <c r="D452" s="5" t="n"/>
      <c r="E452" s="5" t="n"/>
      <c r="F452" s="5" t="n"/>
      <c r="G452" s="5" t="n"/>
    </row>
    <row r="453">
      <c r="A453" s="98" t="n"/>
      <c r="B453" s="5" t="n"/>
      <c r="C453" s="4" t="n"/>
      <c r="D453" s="5" t="n"/>
      <c r="E453" s="5" t="n"/>
      <c r="F453" s="5" t="n"/>
      <c r="G453" s="5" t="n"/>
    </row>
    <row r="454">
      <c r="A454" s="98" t="n"/>
      <c r="B454" s="5" t="n"/>
      <c r="C454" s="4" t="n"/>
      <c r="D454" s="5" t="n"/>
      <c r="E454" s="5" t="n"/>
      <c r="F454" s="5" t="n"/>
      <c r="G454" s="5" t="n"/>
    </row>
    <row r="455">
      <c r="A455" s="98" t="n"/>
      <c r="B455" s="5" t="n"/>
      <c r="C455" s="4" t="n"/>
      <c r="D455" s="5" t="n"/>
      <c r="E455" s="5" t="n"/>
      <c r="F455" s="5" t="n"/>
      <c r="G455" s="5" t="n"/>
    </row>
    <row r="456">
      <c r="A456" s="98" t="n"/>
      <c r="B456" s="5" t="n"/>
      <c r="C456" s="4" t="n"/>
      <c r="D456" s="5" t="n"/>
      <c r="E456" s="5" t="n"/>
      <c r="F456" s="5" t="n"/>
      <c r="G456" s="5" t="n"/>
    </row>
    <row r="457">
      <c r="A457" s="98" t="n"/>
      <c r="B457" s="5" t="n"/>
      <c r="C457" s="4" t="n"/>
      <c r="D457" s="5" t="n"/>
      <c r="E457" s="5" t="n"/>
      <c r="F457" s="5" t="n"/>
      <c r="G457" s="5" t="n"/>
    </row>
    <row r="458">
      <c r="A458" s="98" t="n"/>
      <c r="B458" s="5" t="n"/>
      <c r="C458" s="4" t="n"/>
      <c r="D458" s="5" t="n"/>
      <c r="E458" s="5" t="n"/>
      <c r="F458" s="5" t="n"/>
      <c r="G458" s="5" t="n"/>
    </row>
    <row r="459">
      <c r="A459" s="98" t="n"/>
      <c r="B459" s="5" t="n"/>
      <c r="C459" s="4" t="n"/>
      <c r="D459" s="5" t="n"/>
      <c r="E459" s="5" t="n"/>
      <c r="F459" s="5" t="n"/>
      <c r="G459" s="5" t="n"/>
    </row>
    <row r="460">
      <c r="A460" s="98" t="n"/>
      <c r="B460" s="5" t="n"/>
      <c r="C460" s="4" t="n"/>
      <c r="D460" s="5" t="n"/>
      <c r="E460" s="5" t="n"/>
      <c r="F460" s="5" t="n"/>
      <c r="G460" s="5" t="n"/>
    </row>
    <row r="461">
      <c r="A461" s="98" t="n"/>
      <c r="B461" s="5" t="n"/>
      <c r="C461" s="4" t="n"/>
      <c r="D461" s="5" t="n"/>
      <c r="E461" s="5" t="n"/>
      <c r="F461" s="5" t="n"/>
      <c r="G461" s="5" t="n"/>
    </row>
    <row r="462">
      <c r="A462" s="98" t="n"/>
      <c r="B462" s="5" t="n"/>
      <c r="C462" s="4" t="n"/>
      <c r="D462" s="5" t="n"/>
      <c r="E462" s="5" t="n"/>
      <c r="F462" s="5" t="n"/>
      <c r="G462" s="5" t="n"/>
    </row>
    <row r="463">
      <c r="A463" s="98" t="n"/>
      <c r="B463" s="5" t="n"/>
      <c r="C463" s="4" t="n"/>
      <c r="D463" s="5" t="n"/>
      <c r="E463" s="5" t="n"/>
      <c r="F463" s="5" t="n"/>
      <c r="G463" s="5" t="n"/>
    </row>
    <row r="464">
      <c r="A464" s="98" t="n"/>
      <c r="B464" s="5" t="n"/>
      <c r="C464" s="4" t="n"/>
      <c r="D464" s="5" t="n"/>
      <c r="E464" s="5" t="n"/>
      <c r="F464" s="5" t="n"/>
      <c r="G464" s="5" t="n"/>
    </row>
    <row r="465">
      <c r="A465" s="98" t="n"/>
      <c r="B465" s="5" t="n"/>
      <c r="C465" s="4" t="n"/>
      <c r="D465" s="5" t="n"/>
      <c r="E465" s="5" t="n"/>
      <c r="F465" s="5" t="n"/>
      <c r="G465" s="5" t="n"/>
    </row>
    <row r="466">
      <c r="A466" s="98" t="n"/>
      <c r="B466" s="5" t="n"/>
      <c r="C466" s="4" t="n"/>
      <c r="D466" s="5" t="n"/>
      <c r="E466" s="5" t="n"/>
      <c r="F466" s="5" t="n"/>
      <c r="G466" s="5" t="n"/>
    </row>
    <row r="467">
      <c r="A467" s="98" t="n"/>
      <c r="B467" s="5" t="n"/>
      <c r="C467" s="4" t="n"/>
      <c r="D467" s="5" t="n"/>
      <c r="E467" s="5" t="n"/>
      <c r="F467" s="5" t="n"/>
      <c r="G467" s="5" t="n"/>
    </row>
    <row r="468">
      <c r="A468" s="98" t="n"/>
      <c r="B468" s="5" t="n"/>
      <c r="C468" s="4" t="n"/>
      <c r="D468" s="5" t="n"/>
      <c r="E468" s="5" t="n"/>
      <c r="F468" s="5" t="n"/>
      <c r="G468" s="5" t="n"/>
    </row>
    <row r="469">
      <c r="A469" s="98" t="n"/>
      <c r="B469" s="5" t="n"/>
      <c r="C469" s="4" t="n"/>
      <c r="D469" s="5" t="n"/>
      <c r="E469" s="5" t="n"/>
      <c r="F469" s="5" t="n"/>
      <c r="G469" s="5" t="n"/>
    </row>
    <row r="470">
      <c r="A470" s="98" t="n"/>
      <c r="B470" s="5" t="n"/>
      <c r="C470" s="4" t="n"/>
      <c r="D470" s="5" t="n"/>
      <c r="E470" s="5" t="n"/>
      <c r="F470" s="5" t="n"/>
      <c r="G470" s="5" t="n"/>
    </row>
    <row r="471">
      <c r="A471" s="98" t="n"/>
      <c r="B471" s="5" t="n"/>
      <c r="C471" s="4" t="n"/>
      <c r="D471" s="5" t="n"/>
      <c r="E471" s="5" t="n"/>
      <c r="F471" s="5" t="n"/>
      <c r="G471" s="5" t="n"/>
    </row>
    <row r="472">
      <c r="A472" s="98" t="n"/>
      <c r="B472" s="5" t="n"/>
      <c r="C472" s="4" t="n"/>
      <c r="D472" s="5" t="n"/>
      <c r="E472" s="5" t="n"/>
      <c r="F472" s="5" t="n"/>
      <c r="G472" s="5" t="n"/>
    </row>
    <row r="473">
      <c r="A473" s="98" t="n"/>
      <c r="B473" s="5" t="n"/>
      <c r="C473" s="4" t="n"/>
      <c r="D473" s="5" t="n"/>
      <c r="E473" s="5" t="n"/>
      <c r="F473" s="5" t="n"/>
      <c r="G473" s="5" t="n"/>
    </row>
    <row r="474">
      <c r="A474" s="98" t="n"/>
      <c r="B474" s="5" t="n"/>
      <c r="C474" s="4" t="n"/>
      <c r="D474" s="5" t="n"/>
      <c r="E474" s="5" t="n"/>
      <c r="F474" s="5" t="n"/>
      <c r="G474" s="5" t="n"/>
    </row>
    <row r="475">
      <c r="A475" s="98" t="n"/>
      <c r="B475" s="5" t="n"/>
      <c r="C475" s="4" t="n"/>
      <c r="D475" s="5" t="n"/>
      <c r="E475" s="5" t="n"/>
      <c r="F475" s="5" t="n"/>
      <c r="G475" s="5" t="n"/>
    </row>
    <row r="476">
      <c r="A476" s="98" t="n"/>
      <c r="B476" s="5" t="n"/>
      <c r="C476" s="4" t="n"/>
      <c r="D476" s="5" t="n"/>
      <c r="E476" s="5" t="n"/>
      <c r="F476" s="5" t="n"/>
      <c r="G476" s="5" t="n"/>
    </row>
    <row r="477">
      <c r="A477" s="98" t="n"/>
      <c r="B477" s="5" t="n"/>
      <c r="C477" s="4" t="n"/>
      <c r="D477" s="5" t="n"/>
      <c r="E477" s="5" t="n"/>
      <c r="F477" s="5" t="n"/>
      <c r="G477" s="5" t="n"/>
    </row>
    <row r="478">
      <c r="A478" s="98" t="n"/>
      <c r="B478" s="5" t="n"/>
      <c r="C478" s="4" t="n"/>
      <c r="D478" s="5" t="n"/>
      <c r="E478" s="5" t="n"/>
      <c r="F478" s="5" t="n"/>
      <c r="G478" s="5" t="n"/>
    </row>
    <row r="479">
      <c r="A479" s="98" t="n"/>
      <c r="B479" s="5" t="n"/>
      <c r="C479" s="4" t="n"/>
      <c r="D479" s="5" t="n"/>
      <c r="E479" s="5" t="n"/>
      <c r="F479" s="5" t="n"/>
      <c r="G479" s="5" t="n"/>
    </row>
    <row r="480">
      <c r="A480" s="98" t="n"/>
      <c r="B480" s="5" t="n"/>
      <c r="C480" s="4" t="n"/>
      <c r="D480" s="5" t="n"/>
      <c r="E480" s="5" t="n"/>
      <c r="F480" s="5" t="n"/>
      <c r="G480" s="5" t="n"/>
    </row>
    <row r="481">
      <c r="A481" s="98" t="n"/>
      <c r="B481" s="5" t="n"/>
      <c r="C481" s="4" t="n"/>
      <c r="D481" s="5" t="n"/>
      <c r="E481" s="5" t="n"/>
      <c r="F481" s="5" t="n"/>
      <c r="G481" s="5" t="n"/>
    </row>
    <row r="482">
      <c r="A482" s="98" t="n"/>
      <c r="B482" s="5" t="n"/>
      <c r="C482" s="4" t="n"/>
      <c r="D482" s="5" t="n"/>
      <c r="E482" s="5" t="n"/>
      <c r="F482" s="5" t="n"/>
      <c r="G482" s="5" t="n"/>
    </row>
    <row r="483">
      <c r="A483" s="98" t="n"/>
      <c r="B483" s="5" t="n"/>
      <c r="C483" s="4" t="n"/>
      <c r="D483" s="5" t="n"/>
      <c r="E483" s="5" t="n"/>
      <c r="F483" s="5" t="n"/>
      <c r="G483" s="5" t="n"/>
    </row>
    <row r="484">
      <c r="A484" s="98" t="n"/>
      <c r="B484" s="5" t="n"/>
      <c r="C484" s="4" t="n"/>
      <c r="D484" s="5" t="n"/>
      <c r="E484" s="5" t="n"/>
      <c r="F484" s="5" t="n"/>
      <c r="G484" s="5" t="n"/>
    </row>
    <row r="485">
      <c r="A485" s="98" t="n"/>
      <c r="B485" s="5" t="n"/>
      <c r="C485" s="4" t="n"/>
      <c r="D485" s="5" t="n"/>
      <c r="E485" s="5" t="n"/>
      <c r="F485" s="5" t="n"/>
      <c r="G485" s="5" t="n"/>
    </row>
    <row r="486">
      <c r="A486" s="98" t="n"/>
      <c r="B486" s="5" t="n"/>
      <c r="C486" s="4" t="n"/>
      <c r="D486" s="5" t="n"/>
      <c r="E486" s="5" t="n"/>
      <c r="F486" s="5" t="n"/>
      <c r="G486" s="5" t="n"/>
    </row>
    <row r="487">
      <c r="A487" s="98" t="n"/>
      <c r="B487" s="5" t="n"/>
      <c r="C487" s="4" t="n"/>
      <c r="D487" s="5" t="n"/>
      <c r="E487" s="5" t="n"/>
      <c r="F487" s="5" t="n"/>
      <c r="G487" s="5" t="n"/>
    </row>
    <row r="488">
      <c r="A488" s="98" t="n"/>
      <c r="B488" s="5" t="n"/>
      <c r="C488" s="4" t="n"/>
      <c r="D488" s="5" t="n"/>
      <c r="E488" s="5" t="n"/>
      <c r="F488" s="5" t="n"/>
      <c r="G488" s="5" t="n"/>
    </row>
    <row r="489">
      <c r="A489" s="98" t="n"/>
      <c r="B489" s="5" t="n"/>
      <c r="C489" s="4" t="n"/>
      <c r="D489" s="5" t="n"/>
      <c r="E489" s="5" t="n"/>
      <c r="F489" s="5" t="n"/>
      <c r="G489" s="5" t="n"/>
    </row>
    <row r="490">
      <c r="A490" s="98" t="n"/>
      <c r="B490" s="5" t="n"/>
      <c r="C490" s="4" t="n"/>
      <c r="D490" s="5" t="n"/>
      <c r="E490" s="5" t="n"/>
      <c r="F490" s="5" t="n"/>
      <c r="G490" s="5" t="n"/>
    </row>
    <row r="491">
      <c r="A491" s="98" t="n"/>
      <c r="B491" s="5" t="n"/>
      <c r="C491" s="4" t="n"/>
      <c r="D491" s="5" t="n"/>
      <c r="E491" s="5" t="n"/>
      <c r="F491" s="5" t="n"/>
      <c r="G491" s="5" t="n"/>
    </row>
    <row r="492">
      <c r="A492" s="98" t="n"/>
      <c r="B492" s="5" t="n"/>
      <c r="C492" s="4" t="n"/>
      <c r="D492" s="5" t="n"/>
      <c r="E492" s="5" t="n"/>
      <c r="F492" s="5" t="n"/>
      <c r="G492" s="5" t="n"/>
    </row>
    <row r="493">
      <c r="A493" s="98" t="n"/>
      <c r="B493" s="5" t="n"/>
      <c r="C493" s="4" t="n"/>
      <c r="D493" s="5" t="n"/>
      <c r="E493" s="5" t="n"/>
      <c r="F493" s="5" t="n"/>
      <c r="G493" s="5" t="n"/>
    </row>
    <row r="494">
      <c r="A494" s="98" t="n"/>
      <c r="B494" s="5" t="n"/>
      <c r="C494" s="4" t="n"/>
      <c r="D494" s="5" t="n"/>
      <c r="E494" s="5" t="n"/>
      <c r="F494" s="5" t="n"/>
      <c r="G494" s="5" t="n"/>
    </row>
    <row r="495">
      <c r="A495" s="98" t="n"/>
      <c r="B495" s="5" t="n"/>
      <c r="C495" s="4" t="n"/>
      <c r="D495" s="5" t="n"/>
      <c r="E495" s="5" t="n"/>
      <c r="F495" s="5" t="n"/>
      <c r="G495" s="5" t="n"/>
    </row>
    <row r="496">
      <c r="A496" s="98" t="n"/>
      <c r="B496" s="5" t="n"/>
      <c r="C496" s="4" t="n"/>
      <c r="D496" s="5" t="n"/>
      <c r="E496" s="5" t="n"/>
      <c r="F496" s="5" t="n"/>
      <c r="G496" s="5" t="n"/>
    </row>
    <row r="497">
      <c r="A497" s="98" t="n"/>
      <c r="B497" s="5" t="n"/>
      <c r="C497" s="4" t="n"/>
      <c r="D497" s="5" t="n"/>
      <c r="E497" s="5" t="n"/>
      <c r="F497" s="5" t="n"/>
      <c r="G497" s="5" t="n"/>
    </row>
    <row r="498">
      <c r="A498" s="98" t="n"/>
      <c r="B498" s="5" t="n"/>
      <c r="C498" s="4" t="n"/>
      <c r="D498" s="5" t="n"/>
      <c r="E498" s="5" t="n"/>
      <c r="F498" s="5" t="n"/>
      <c r="G498" s="5" t="n"/>
    </row>
    <row r="499">
      <c r="A499" s="98" t="n"/>
      <c r="B499" s="5" t="n"/>
      <c r="C499" s="4" t="n"/>
      <c r="D499" s="5" t="n"/>
      <c r="E499" s="5" t="n"/>
      <c r="F499" s="5" t="n"/>
      <c r="G499" s="5" t="n"/>
    </row>
    <row r="500">
      <c r="A500" s="98" t="n"/>
      <c r="B500" s="5" t="n"/>
      <c r="C500" s="4" t="n"/>
      <c r="D500" s="5" t="n"/>
      <c r="E500" s="5" t="n"/>
      <c r="F500" s="5" t="n"/>
      <c r="G500" s="5" t="n"/>
    </row>
    <row r="501">
      <c r="A501" s="98" t="n"/>
      <c r="B501" s="5" t="n"/>
      <c r="C501" s="4" t="n"/>
      <c r="D501" s="5" t="n"/>
      <c r="E501" s="5" t="n"/>
      <c r="F501" s="5" t="n"/>
      <c r="G501" s="5" t="n"/>
    </row>
    <row r="502">
      <c r="A502" s="98" t="n"/>
      <c r="B502" s="5" t="n"/>
      <c r="C502" s="4" t="n"/>
      <c r="D502" s="5" t="n"/>
      <c r="E502" s="5" t="n"/>
      <c r="F502" s="5" t="n"/>
      <c r="G502" s="5" t="n"/>
    </row>
    <row r="503">
      <c r="A503" s="98" t="n"/>
      <c r="B503" s="5" t="n"/>
      <c r="C503" s="4" t="n"/>
      <c r="D503" s="5" t="n"/>
      <c r="E503" s="5" t="n"/>
      <c r="F503" s="5" t="n"/>
      <c r="G503" s="5" t="n"/>
    </row>
    <row r="504">
      <c r="A504" s="98" t="n"/>
      <c r="B504" s="5" t="n"/>
      <c r="C504" s="4" t="n"/>
      <c r="D504" s="5" t="n"/>
      <c r="E504" s="5" t="n"/>
      <c r="F504" s="5" t="n"/>
      <c r="G504" s="5" t="n"/>
    </row>
    <row r="505">
      <c r="A505" s="98" t="n"/>
      <c r="B505" s="5" t="n"/>
      <c r="C505" s="4" t="n"/>
      <c r="D505" s="5" t="n"/>
      <c r="E505" s="5" t="n"/>
      <c r="F505" s="5" t="n"/>
      <c r="G505" s="5" t="n"/>
    </row>
    <row r="506">
      <c r="A506" s="98" t="n"/>
      <c r="B506" s="5" t="n"/>
      <c r="C506" s="4" t="n"/>
      <c r="D506" s="5" t="n"/>
      <c r="E506" s="5" t="n"/>
      <c r="F506" s="5" t="n"/>
      <c r="G506" s="5" t="n"/>
    </row>
    <row r="507">
      <c r="A507" s="98" t="n"/>
      <c r="B507" s="5" t="n"/>
      <c r="C507" s="4" t="n"/>
      <c r="D507" s="5" t="n"/>
      <c r="E507" s="5" t="n"/>
      <c r="F507" s="5" t="n"/>
      <c r="G507" s="5" t="n"/>
    </row>
    <row r="508">
      <c r="A508" s="98" t="n"/>
      <c r="B508" s="5" t="n"/>
      <c r="C508" s="4" t="n"/>
      <c r="D508" s="5" t="n"/>
      <c r="E508" s="5" t="n"/>
      <c r="F508" s="5" t="n"/>
      <c r="G508" s="5" t="n"/>
    </row>
    <row r="509">
      <c r="A509" s="98" t="n"/>
      <c r="B509" s="5" t="n"/>
      <c r="C509" s="4" t="n"/>
      <c r="D509" s="5" t="n"/>
      <c r="E509" s="5" t="n"/>
      <c r="F509" s="5" t="n"/>
      <c r="G509" s="5" t="n"/>
    </row>
    <row r="510">
      <c r="A510" s="98" t="n"/>
      <c r="B510" s="5" t="n"/>
      <c r="C510" s="4" t="n"/>
      <c r="D510" s="5" t="n"/>
      <c r="E510" s="5" t="n"/>
      <c r="F510" s="5" t="n"/>
      <c r="G510" s="5" t="n"/>
    </row>
    <row r="511">
      <c r="A511" s="98" t="n"/>
      <c r="B511" s="5" t="n"/>
      <c r="C511" s="4" t="n"/>
      <c r="D511" s="5" t="n"/>
      <c r="E511" s="5" t="n"/>
      <c r="F511" s="5" t="n"/>
      <c r="G511" s="5" t="n"/>
    </row>
    <row r="512">
      <c r="A512" s="98" t="n"/>
      <c r="B512" s="5" t="n"/>
      <c r="C512" s="4" t="n"/>
      <c r="D512" s="5" t="n"/>
      <c r="E512" s="5" t="n"/>
      <c r="F512" s="5" t="n"/>
      <c r="G512" s="5" t="n"/>
    </row>
    <row r="513">
      <c r="A513" s="98" t="n"/>
      <c r="B513" s="5" t="n"/>
      <c r="C513" s="4" t="n"/>
      <c r="D513" s="5" t="n"/>
      <c r="E513" s="5" t="n"/>
      <c r="F513" s="5" t="n"/>
      <c r="G513" s="5" t="n"/>
    </row>
    <row r="514">
      <c r="A514" s="98" t="n"/>
      <c r="B514" s="5" t="n"/>
      <c r="C514" s="4" t="n"/>
      <c r="D514" s="5" t="n"/>
      <c r="E514" s="5" t="n"/>
      <c r="F514" s="5" t="n"/>
      <c r="G514" s="5" t="n"/>
    </row>
    <row r="515">
      <c r="A515" s="98" t="n"/>
      <c r="B515" s="5" t="n"/>
      <c r="C515" s="4" t="n"/>
      <c r="D515" s="5" t="n"/>
      <c r="E515" s="5" t="n"/>
      <c r="F515" s="5" t="n"/>
      <c r="G515" s="5" t="n"/>
    </row>
    <row r="516">
      <c r="A516" s="98" t="n"/>
      <c r="B516" s="5" t="n"/>
      <c r="C516" s="4" t="n"/>
      <c r="D516" s="5" t="n"/>
      <c r="E516" s="5" t="n"/>
      <c r="F516" s="5" t="n"/>
      <c r="G516" s="5" t="n"/>
    </row>
    <row r="517">
      <c r="A517" s="98" t="n"/>
      <c r="B517" s="5" t="n"/>
      <c r="C517" s="4" t="n"/>
      <c r="D517" s="5" t="n"/>
      <c r="E517" s="5" t="n"/>
      <c r="F517" s="5" t="n"/>
      <c r="G517" s="5" t="n"/>
    </row>
    <row r="518">
      <c r="A518" s="98" t="n"/>
      <c r="B518" s="5" t="n"/>
      <c r="C518" s="4" t="n"/>
      <c r="D518" s="5" t="n"/>
      <c r="E518" s="5" t="n"/>
      <c r="F518" s="5" t="n"/>
      <c r="G518" s="5" t="n"/>
    </row>
    <row r="519">
      <c r="A519" s="98" t="n"/>
      <c r="B519" s="5" t="n"/>
      <c r="C519" s="4" t="n"/>
      <c r="D519" s="5" t="n"/>
      <c r="E519" s="5" t="n"/>
      <c r="F519" s="5" t="n"/>
      <c r="G519" s="5" t="n"/>
    </row>
    <row r="520">
      <c r="A520" s="98" t="n"/>
      <c r="B520" s="5" t="n"/>
      <c r="C520" s="4" t="n"/>
      <c r="D520" s="5" t="n"/>
      <c r="E520" s="5" t="n"/>
      <c r="F520" s="5" t="n"/>
      <c r="G520" s="5" t="n"/>
    </row>
    <row r="521">
      <c r="A521" s="98" t="n"/>
      <c r="B521" s="5" t="n"/>
      <c r="C521" s="4" t="n"/>
      <c r="D521" s="5" t="n"/>
      <c r="E521" s="5" t="n"/>
      <c r="F521" s="5" t="n"/>
      <c r="G521" s="5" t="n"/>
    </row>
    <row r="522">
      <c r="A522" s="98" t="n"/>
      <c r="B522" s="5" t="n"/>
      <c r="C522" s="4" t="n"/>
      <c r="D522" s="5" t="n"/>
      <c r="E522" s="5" t="n"/>
      <c r="F522" s="5" t="n"/>
      <c r="G522" s="5" t="n"/>
    </row>
    <row r="523">
      <c r="A523" s="98" t="n"/>
      <c r="B523" s="5" t="n"/>
      <c r="C523" s="4" t="n"/>
      <c r="D523" s="5" t="n"/>
      <c r="E523" s="5" t="n"/>
      <c r="F523" s="5" t="n"/>
      <c r="G523" s="5" t="n"/>
    </row>
    <row r="524">
      <c r="A524" s="98" t="n"/>
      <c r="B524" s="5" t="n"/>
      <c r="C524" s="4" t="n"/>
      <c r="D524" s="5" t="n"/>
      <c r="E524" s="5" t="n"/>
      <c r="F524" s="5" t="n"/>
      <c r="G524" s="5" t="n"/>
    </row>
    <row r="525">
      <c r="A525" s="98" t="n"/>
      <c r="B525" s="5" t="n"/>
      <c r="C525" s="4" t="n"/>
      <c r="D525" s="5" t="n"/>
      <c r="E525" s="5" t="n"/>
      <c r="F525" s="5" t="n"/>
      <c r="G525" s="5" t="n"/>
    </row>
    <row r="526">
      <c r="A526" s="98" t="n"/>
      <c r="B526" s="5" t="n"/>
      <c r="C526" s="4" t="n"/>
      <c r="D526" s="5" t="n"/>
      <c r="E526" s="5" t="n"/>
      <c r="F526" s="5" t="n"/>
      <c r="G526" s="5" t="n"/>
    </row>
    <row r="527">
      <c r="A527" s="98" t="n"/>
      <c r="B527" s="5" t="n"/>
      <c r="C527" s="4" t="n"/>
      <c r="D527" s="5" t="n"/>
      <c r="E527" s="5" t="n"/>
      <c r="F527" s="5" t="n"/>
      <c r="G527" s="5" t="n"/>
    </row>
    <row r="528">
      <c r="A528" s="98" t="n"/>
      <c r="B528" s="5" t="n"/>
      <c r="C528" s="4" t="n"/>
      <c r="D528" s="5" t="n"/>
      <c r="E528" s="5" t="n"/>
      <c r="F528" s="5" t="n"/>
      <c r="G528" s="5" t="n"/>
    </row>
    <row r="529">
      <c r="A529" s="98" t="n"/>
      <c r="B529" s="5" t="n"/>
      <c r="C529" s="4" t="n"/>
      <c r="D529" s="5" t="n"/>
      <c r="E529" s="5" t="n"/>
      <c r="F529" s="5" t="n"/>
      <c r="G529" s="5" t="n"/>
    </row>
    <row r="530">
      <c r="A530" s="98" t="n"/>
      <c r="B530" s="5" t="n"/>
      <c r="C530" s="4" t="n"/>
      <c r="D530" s="5" t="n"/>
      <c r="E530" s="5" t="n"/>
      <c r="F530" s="5" t="n"/>
      <c r="G530" s="5" t="n"/>
    </row>
    <row r="531">
      <c r="A531" s="98" t="n"/>
      <c r="B531" s="5" t="n"/>
      <c r="C531" s="4" t="n"/>
      <c r="D531" s="5" t="n"/>
      <c r="E531" s="5" t="n"/>
      <c r="F531" s="5" t="n"/>
      <c r="G531" s="5" t="n"/>
    </row>
    <row r="532">
      <c r="A532" s="98" t="n"/>
      <c r="B532" s="5" t="n"/>
      <c r="C532" s="4" t="n"/>
      <c r="D532" s="5" t="n"/>
      <c r="E532" s="5" t="n"/>
      <c r="F532" s="5" t="n"/>
      <c r="G532" s="5" t="n"/>
    </row>
    <row r="533">
      <c r="A533" s="98" t="n"/>
      <c r="B533" s="5" t="n"/>
      <c r="C533" s="4" t="n"/>
      <c r="D533" s="5" t="n"/>
      <c r="E533" s="5" t="n"/>
      <c r="F533" s="5" t="n"/>
      <c r="G533" s="5" t="n"/>
    </row>
    <row r="534">
      <c r="A534" s="98" t="n"/>
      <c r="B534" s="5" t="n"/>
      <c r="C534" s="4" t="n"/>
      <c r="D534" s="5" t="n"/>
      <c r="E534" s="5" t="n"/>
      <c r="F534" s="5" t="n"/>
      <c r="G534" s="5" t="n"/>
    </row>
    <row r="535">
      <c r="A535" s="98" t="n"/>
      <c r="B535" s="5" t="n"/>
      <c r="C535" s="4" t="n"/>
      <c r="D535" s="5" t="n"/>
      <c r="E535" s="5" t="n"/>
      <c r="F535" s="5" t="n"/>
      <c r="G535" s="5" t="n"/>
    </row>
    <row r="536">
      <c r="A536" s="98" t="n"/>
      <c r="B536" s="5" t="n"/>
      <c r="C536" s="4" t="n"/>
      <c r="D536" s="5" t="n"/>
      <c r="E536" s="5" t="n"/>
      <c r="F536" s="5" t="n"/>
      <c r="G536" s="5" t="n"/>
    </row>
    <row r="537">
      <c r="A537" s="98" t="n"/>
      <c r="B537" s="5" t="n"/>
      <c r="C537" s="4" t="n"/>
      <c r="D537" s="5" t="n"/>
      <c r="E537" s="5" t="n"/>
      <c r="F537" s="5" t="n"/>
      <c r="G537" s="5" t="n"/>
    </row>
    <row r="538">
      <c r="A538" s="98" t="n"/>
      <c r="B538" s="5" t="n"/>
      <c r="C538" s="4" t="n"/>
      <c r="D538" s="5" t="n"/>
      <c r="E538" s="5" t="n"/>
      <c r="F538" s="5" t="n"/>
      <c r="G538" s="5" t="n"/>
    </row>
    <row r="539">
      <c r="A539" s="98" t="n"/>
      <c r="B539" s="5" t="n"/>
      <c r="C539" s="4" t="n"/>
      <c r="D539" s="5" t="n"/>
      <c r="E539" s="5" t="n"/>
      <c r="F539" s="5" t="n"/>
      <c r="G539" s="5" t="n"/>
    </row>
    <row r="540">
      <c r="A540" s="98" t="n"/>
      <c r="B540" s="5" t="n"/>
      <c r="C540" s="4" t="n"/>
      <c r="D540" s="5" t="n"/>
      <c r="E540" s="5" t="n"/>
      <c r="F540" s="5" t="n"/>
      <c r="G540" s="5" t="n"/>
    </row>
    <row r="541">
      <c r="A541" s="98" t="n"/>
      <c r="B541" s="5" t="n"/>
      <c r="C541" s="4" t="n"/>
      <c r="D541" s="5" t="n"/>
      <c r="E541" s="5" t="n"/>
      <c r="F541" s="5" t="n"/>
      <c r="G541" s="5" t="n"/>
    </row>
    <row r="542">
      <c r="A542" s="98" t="n"/>
      <c r="B542" s="5" t="n"/>
      <c r="C542" s="4" t="n"/>
      <c r="D542" s="5" t="n"/>
      <c r="E542" s="5" t="n"/>
      <c r="F542" s="5" t="n"/>
      <c r="G542" s="5" t="n"/>
    </row>
    <row r="543">
      <c r="A543" s="98" t="n"/>
      <c r="B543" s="5" t="n"/>
      <c r="C543" s="4" t="n"/>
      <c r="D543" s="5" t="n"/>
      <c r="E543" s="5" t="n"/>
      <c r="F543" s="5" t="n"/>
      <c r="G543" s="5" t="n"/>
    </row>
    <row r="544">
      <c r="A544" s="98" t="n"/>
      <c r="B544" s="5" t="n"/>
      <c r="C544" s="4" t="n"/>
      <c r="D544" s="5" t="n"/>
      <c r="E544" s="5" t="n"/>
      <c r="F544" s="5" t="n"/>
      <c r="G544" s="5" t="n"/>
    </row>
    <row r="545">
      <c r="A545" s="98" t="n"/>
      <c r="B545" s="5" t="n"/>
      <c r="C545" s="4" t="n"/>
      <c r="D545" s="5" t="n"/>
      <c r="E545" s="5" t="n"/>
      <c r="F545" s="5" t="n"/>
      <c r="G545" s="5" t="n"/>
    </row>
    <row r="546">
      <c r="A546" s="98" t="n"/>
      <c r="B546" s="5" t="n"/>
      <c r="C546" s="4" t="n"/>
      <c r="D546" s="5" t="n"/>
      <c r="E546" s="5" t="n"/>
      <c r="F546" s="5" t="n"/>
      <c r="G546" s="5" t="n"/>
    </row>
    <row r="547">
      <c r="A547" s="98" t="n"/>
      <c r="B547" s="5" t="n"/>
      <c r="C547" s="4" t="n"/>
      <c r="D547" s="5" t="n"/>
      <c r="E547" s="5" t="n"/>
      <c r="F547" s="5" t="n"/>
      <c r="G547" s="5" t="n"/>
    </row>
    <row r="548">
      <c r="A548" s="98" t="n"/>
      <c r="B548" s="5" t="n"/>
      <c r="C548" s="4" t="n"/>
      <c r="D548" s="5" t="n"/>
      <c r="E548" s="5" t="n"/>
      <c r="F548" s="5" t="n"/>
      <c r="G548" s="5" t="n"/>
    </row>
    <row r="549">
      <c r="A549" s="98" t="n"/>
      <c r="B549" s="5" t="n"/>
      <c r="C549" s="4" t="n"/>
      <c r="D549" s="5" t="n"/>
      <c r="E549" s="5" t="n"/>
      <c r="F549" s="5" t="n"/>
      <c r="G549" s="5" t="n"/>
    </row>
    <row r="550">
      <c r="A550" s="98" t="n"/>
      <c r="B550" s="5" t="n"/>
      <c r="C550" s="4" t="n"/>
      <c r="D550" s="5" t="n"/>
      <c r="E550" s="5" t="n"/>
      <c r="F550" s="5" t="n"/>
      <c r="G550" s="5" t="n"/>
    </row>
    <row r="551">
      <c r="A551" s="98" t="n"/>
      <c r="B551" s="5" t="n"/>
      <c r="C551" s="4" t="n"/>
      <c r="D551" s="5" t="n"/>
      <c r="E551" s="5" t="n"/>
      <c r="F551" s="5" t="n"/>
      <c r="G551" s="5" t="n"/>
    </row>
    <row r="552">
      <c r="A552" s="98" t="n"/>
      <c r="B552" s="5" t="n"/>
      <c r="C552" s="4" t="n"/>
      <c r="D552" s="5" t="n"/>
      <c r="E552" s="5" t="n"/>
      <c r="F552" s="5" t="n"/>
      <c r="G552" s="5" t="n"/>
    </row>
    <row r="553">
      <c r="A553" s="98" t="n"/>
      <c r="B553" s="5" t="n"/>
      <c r="C553" s="4" t="n"/>
      <c r="D553" s="5" t="n"/>
      <c r="E553" s="5" t="n"/>
      <c r="F553" s="5" t="n"/>
      <c r="G553" s="5" t="n"/>
    </row>
    <row r="554">
      <c r="A554" s="98" t="n"/>
      <c r="B554" s="5" t="n"/>
      <c r="C554" s="4" t="n"/>
      <c r="D554" s="5" t="n"/>
      <c r="E554" s="5" t="n"/>
      <c r="F554" s="5" t="n"/>
      <c r="G554" s="5" t="n"/>
    </row>
    <row r="555">
      <c r="A555" s="98" t="n"/>
      <c r="B555" s="5" t="n"/>
      <c r="C555" s="4" t="n"/>
      <c r="D555" s="5" t="n"/>
      <c r="E555" s="5" t="n"/>
      <c r="F555" s="5" t="n"/>
      <c r="G555" s="5" t="n"/>
    </row>
    <row r="556">
      <c r="A556" s="98" t="n"/>
      <c r="B556" s="5" t="n"/>
      <c r="C556" s="4" t="n"/>
      <c r="D556" s="5" t="n"/>
      <c r="E556" s="5" t="n"/>
      <c r="F556" s="5" t="n"/>
      <c r="G556" s="5" t="n"/>
    </row>
    <row r="557">
      <c r="A557" s="98" t="n"/>
      <c r="B557" s="5" t="n"/>
      <c r="C557" s="4" t="n"/>
      <c r="D557" s="5" t="n"/>
      <c r="E557" s="5" t="n"/>
      <c r="F557" s="5" t="n"/>
      <c r="G557" s="5" t="n"/>
    </row>
    <row r="558">
      <c r="A558" s="98" t="n"/>
      <c r="B558" s="5" t="n"/>
      <c r="C558" s="4" t="n"/>
      <c r="D558" s="5" t="n"/>
      <c r="E558" s="5" t="n"/>
      <c r="F558" s="5" t="n"/>
      <c r="G558" s="5" t="n"/>
    </row>
    <row r="559">
      <c r="A559" s="98" t="n"/>
      <c r="B559" s="5" t="n"/>
      <c r="C559" s="4" t="n"/>
      <c r="D559" s="5" t="n"/>
      <c r="E559" s="5" t="n"/>
      <c r="F559" s="5" t="n"/>
      <c r="G559" s="5" t="n"/>
    </row>
    <row r="560">
      <c r="A560" s="98" t="n"/>
      <c r="B560" s="5" t="n"/>
      <c r="C560" s="4" t="n"/>
      <c r="D560" s="5" t="n"/>
      <c r="E560" s="5" t="n"/>
      <c r="F560" s="5" t="n"/>
      <c r="G560" s="5" t="n"/>
    </row>
    <row r="561">
      <c r="A561" s="98" t="n"/>
      <c r="B561" s="5" t="n"/>
      <c r="C561" s="4" t="n"/>
      <c r="D561" s="5" t="n"/>
      <c r="E561" s="5" t="n"/>
      <c r="F561" s="5" t="n"/>
      <c r="G561" s="5" t="n"/>
    </row>
    <row r="562">
      <c r="A562" s="98" t="n"/>
      <c r="B562" s="5" t="n"/>
      <c r="C562" s="4" t="n"/>
      <c r="D562" s="5" t="n"/>
      <c r="E562" s="5" t="n"/>
      <c r="F562" s="5" t="n"/>
      <c r="G562" s="5" t="n"/>
    </row>
    <row r="563">
      <c r="A563" s="98" t="n"/>
      <c r="B563" s="5" t="n"/>
      <c r="C563" s="4" t="n"/>
      <c r="D563" s="5" t="n"/>
      <c r="E563" s="5" t="n"/>
      <c r="F563" s="5" t="n"/>
      <c r="G563" s="5" t="n"/>
    </row>
    <row r="564">
      <c r="A564" s="98" t="n"/>
      <c r="B564" s="5" t="n"/>
      <c r="C564" s="4" t="n"/>
      <c r="D564" s="5" t="n"/>
      <c r="E564" s="5" t="n"/>
      <c r="F564" s="5" t="n"/>
      <c r="G564" s="5" t="n"/>
    </row>
    <row r="565">
      <c r="A565" s="98" t="n"/>
      <c r="B565" s="5" t="n"/>
      <c r="C565" s="4" t="n"/>
      <c r="D565" s="5" t="n"/>
      <c r="E565" s="5" t="n"/>
      <c r="F565" s="5" t="n"/>
      <c r="G565" s="5" t="n"/>
    </row>
    <row r="566">
      <c r="A566" s="98" t="n"/>
      <c r="B566" s="5" t="n"/>
      <c r="C566" s="4" t="n"/>
      <c r="D566" s="5" t="n"/>
      <c r="E566" s="5" t="n"/>
      <c r="F566" s="5" t="n"/>
      <c r="G566" s="5" t="n"/>
    </row>
    <row r="567">
      <c r="A567" s="98" t="n"/>
      <c r="B567" s="5" t="n"/>
      <c r="C567" s="4" t="n"/>
      <c r="D567" s="5" t="n"/>
      <c r="E567" s="5" t="n"/>
      <c r="F567" s="5" t="n"/>
      <c r="G567" s="5" t="n"/>
    </row>
    <row r="568">
      <c r="A568" s="98" t="n"/>
      <c r="B568" s="5" t="n"/>
      <c r="C568" s="4" t="n"/>
      <c r="D568" s="5" t="n"/>
      <c r="E568" s="5" t="n"/>
      <c r="F568" s="5" t="n"/>
      <c r="G568" s="5" t="n"/>
    </row>
    <row r="569">
      <c r="A569" s="98" t="n"/>
      <c r="B569" s="5" t="n"/>
      <c r="C569" s="4" t="n"/>
      <c r="D569" s="5" t="n"/>
      <c r="E569" s="5" t="n"/>
      <c r="F569" s="5" t="n"/>
      <c r="G569" s="5" t="n"/>
    </row>
    <row r="570">
      <c r="A570" s="98" t="n"/>
      <c r="B570" s="5" t="n"/>
      <c r="C570" s="4" t="n"/>
      <c r="D570" s="5" t="n"/>
      <c r="E570" s="5" t="n"/>
      <c r="F570" s="5" t="n"/>
      <c r="G570" s="5" t="n"/>
    </row>
    <row r="571">
      <c r="A571" s="98" t="n"/>
      <c r="B571" s="5" t="n"/>
      <c r="C571" s="4" t="n"/>
      <c r="D571" s="5" t="n"/>
      <c r="E571" s="5" t="n"/>
      <c r="F571" s="5" t="n"/>
      <c r="G571" s="5" t="n"/>
    </row>
    <row r="572">
      <c r="A572" s="98" t="n"/>
      <c r="B572" s="5" t="n"/>
      <c r="C572" s="4" t="n"/>
      <c r="D572" s="5" t="n"/>
      <c r="E572" s="5" t="n"/>
      <c r="F572" s="5" t="n"/>
      <c r="G572" s="5" t="n"/>
    </row>
    <row r="573">
      <c r="A573" s="98" t="n"/>
      <c r="B573" s="5" t="n"/>
      <c r="C573" s="4" t="n"/>
      <c r="D573" s="5" t="n"/>
      <c r="E573" s="5" t="n"/>
      <c r="F573" s="5" t="n"/>
      <c r="G573" s="5" t="n"/>
    </row>
    <row r="574">
      <c r="A574" s="98" t="n"/>
      <c r="B574" s="5" t="n"/>
      <c r="C574" s="4" t="n"/>
      <c r="D574" s="5" t="n"/>
      <c r="E574" s="5" t="n"/>
      <c r="F574" s="5" t="n"/>
      <c r="G574" s="5" t="n"/>
    </row>
    <row r="575">
      <c r="A575" s="98" t="n"/>
      <c r="B575" s="5" t="n"/>
      <c r="C575" s="4" t="n"/>
      <c r="D575" s="5" t="n"/>
      <c r="E575" s="5" t="n"/>
      <c r="F575" s="5" t="n"/>
      <c r="G575" s="5" t="n"/>
    </row>
    <row r="576">
      <c r="A576" s="98" t="n"/>
      <c r="B576" s="5" t="n"/>
      <c r="C576" s="4" t="n"/>
      <c r="D576" s="5" t="n"/>
      <c r="E576" s="5" t="n"/>
      <c r="F576" s="5" t="n"/>
      <c r="G576" s="5" t="n"/>
    </row>
    <row r="577">
      <c r="A577" s="98" t="n"/>
      <c r="B577" s="5" t="n"/>
      <c r="C577" s="4" t="n"/>
      <c r="D577" s="5" t="n"/>
      <c r="E577" s="5" t="n"/>
      <c r="F577" s="5" t="n"/>
      <c r="G577" s="5" t="n"/>
    </row>
    <row r="578">
      <c r="A578" s="98" t="n"/>
      <c r="B578" s="5" t="n"/>
      <c r="C578" s="4" t="n"/>
      <c r="D578" s="5" t="n"/>
      <c r="E578" s="5" t="n"/>
      <c r="F578" s="5" t="n"/>
      <c r="G578" s="5" t="n"/>
    </row>
    <row r="579">
      <c r="A579" s="98" t="n"/>
      <c r="B579" s="5" t="n"/>
      <c r="C579" s="4" t="n"/>
      <c r="D579" s="5" t="n"/>
      <c r="E579" s="5" t="n"/>
      <c r="F579" s="5" t="n"/>
      <c r="G579" s="5" t="n"/>
    </row>
    <row r="580">
      <c r="A580" s="98" t="n"/>
      <c r="B580" s="5" t="n"/>
      <c r="C580" s="4" t="n"/>
      <c r="D580" s="5" t="n"/>
      <c r="E580" s="5" t="n"/>
      <c r="F580" s="5" t="n"/>
      <c r="G580" s="5" t="n"/>
    </row>
    <row r="581">
      <c r="A581" s="98" t="n"/>
      <c r="B581" s="5" t="n"/>
      <c r="C581" s="4" t="n"/>
      <c r="D581" s="5" t="n"/>
      <c r="E581" s="5" t="n"/>
      <c r="F581" s="5" t="n"/>
      <c r="G581" s="5" t="n"/>
    </row>
    <row r="582">
      <c r="A582" s="98" t="n"/>
      <c r="B582" s="5" t="n"/>
      <c r="C582" s="4" t="n"/>
      <c r="D582" s="5" t="n"/>
      <c r="E582" s="5" t="n"/>
      <c r="F582" s="5" t="n"/>
      <c r="G582" s="5" t="n"/>
    </row>
    <row r="583">
      <c r="A583" s="98" t="n"/>
      <c r="B583" s="5" t="n"/>
      <c r="C583" s="4" t="n"/>
      <c r="D583" s="5" t="n"/>
      <c r="E583" s="5" t="n"/>
      <c r="F583" s="5" t="n"/>
      <c r="G583" s="5" t="n"/>
    </row>
    <row r="584">
      <c r="A584" s="98" t="n"/>
      <c r="B584" s="5" t="n"/>
      <c r="C584" s="4" t="n"/>
      <c r="D584" s="5" t="n"/>
      <c r="E584" s="5" t="n"/>
      <c r="F584" s="5" t="n"/>
      <c r="G584" s="5" t="n"/>
    </row>
    <row r="585">
      <c r="A585" s="98" t="n"/>
      <c r="B585" s="5" t="n"/>
      <c r="C585" s="4" t="n"/>
      <c r="D585" s="5" t="n"/>
      <c r="E585" s="5" t="n"/>
      <c r="F585" s="5" t="n"/>
      <c r="G585" s="5" t="n"/>
    </row>
    <row r="586">
      <c r="A586" s="98" t="n"/>
      <c r="B586" s="5" t="n"/>
      <c r="C586" s="4" t="n"/>
      <c r="D586" s="5" t="n"/>
      <c r="E586" s="5" t="n"/>
      <c r="F586" s="5" t="n"/>
      <c r="G586" s="5" t="n"/>
    </row>
    <row r="587">
      <c r="A587" s="98" t="n"/>
      <c r="B587" s="5" t="n"/>
      <c r="C587" s="4" t="n"/>
      <c r="D587" s="5" t="n"/>
      <c r="E587" s="5" t="n"/>
      <c r="F587" s="5" t="n"/>
      <c r="G587" s="5" t="n"/>
    </row>
    <row r="588">
      <c r="A588" s="98" t="n"/>
      <c r="B588" s="5" t="n"/>
      <c r="C588" s="4" t="n"/>
      <c r="D588" s="5" t="n"/>
      <c r="E588" s="5" t="n"/>
      <c r="F588" s="5" t="n"/>
      <c r="G588" s="5" t="n"/>
    </row>
    <row r="589">
      <c r="A589" s="98" t="n"/>
      <c r="B589" s="5" t="n"/>
      <c r="C589" s="4" t="n"/>
      <c r="D589" s="5" t="n"/>
      <c r="E589" s="5" t="n"/>
      <c r="F589" s="5" t="n"/>
      <c r="G589" s="5" t="n"/>
    </row>
    <row r="590">
      <c r="A590" s="98" t="n"/>
      <c r="B590" s="5" t="n"/>
      <c r="C590" s="4" t="n"/>
      <c r="D590" s="5" t="n"/>
      <c r="E590" s="5" t="n"/>
      <c r="F590" s="5" t="n"/>
      <c r="G590" s="5" t="n"/>
    </row>
    <row r="591">
      <c r="A591" s="98" t="n"/>
      <c r="B591" s="5" t="n"/>
      <c r="C591" s="4" t="n"/>
      <c r="D591" s="5" t="n"/>
      <c r="E591" s="5" t="n"/>
      <c r="F591" s="5" t="n"/>
      <c r="G591" s="5" t="n"/>
    </row>
    <row r="592">
      <c r="A592" s="98" t="n"/>
      <c r="B592" s="5" t="n"/>
      <c r="C592" s="4" t="n"/>
      <c r="D592" s="5" t="n"/>
      <c r="E592" s="5" t="n"/>
      <c r="F592" s="5" t="n"/>
      <c r="G592" s="5" t="n"/>
    </row>
    <row r="593">
      <c r="A593" s="98" t="n"/>
      <c r="B593" s="5" t="n"/>
      <c r="C593" s="4" t="n"/>
      <c r="D593" s="5" t="n"/>
      <c r="E593" s="5" t="n"/>
      <c r="F593" s="5" t="n"/>
      <c r="G593" s="5" t="n"/>
    </row>
    <row r="594">
      <c r="A594" s="98" t="n"/>
      <c r="B594" s="5" t="n"/>
      <c r="C594" s="4" t="n"/>
      <c r="D594" s="5" t="n"/>
      <c r="E594" s="5" t="n"/>
      <c r="F594" s="5" t="n"/>
      <c r="G594" s="5" t="n"/>
    </row>
    <row r="595">
      <c r="A595" s="98" t="n"/>
      <c r="B595" s="5" t="n"/>
      <c r="C595" s="4" t="n"/>
      <c r="D595" s="5" t="n"/>
      <c r="E595" s="5" t="n"/>
      <c r="F595" s="5" t="n"/>
      <c r="G595" s="5" t="n"/>
    </row>
    <row r="596">
      <c r="A596" s="98" t="n"/>
      <c r="B596" s="5" t="n"/>
      <c r="C596" s="4" t="n"/>
      <c r="D596" s="5" t="n"/>
      <c r="E596" s="5" t="n"/>
      <c r="F596" s="5" t="n"/>
      <c r="G596" s="5" t="n"/>
    </row>
    <row r="597">
      <c r="A597" s="98" t="n"/>
      <c r="B597" s="5" t="n"/>
      <c r="C597" s="4" t="n"/>
      <c r="D597" s="5" t="n"/>
      <c r="E597" s="5" t="n"/>
      <c r="F597" s="5" t="n"/>
      <c r="G597" s="5" t="n"/>
    </row>
    <row r="598">
      <c r="A598" s="98" t="n"/>
      <c r="B598" s="5" t="n"/>
      <c r="C598" s="4" t="n"/>
      <c r="D598" s="5" t="n"/>
      <c r="E598" s="5" t="n"/>
      <c r="F598" s="5" t="n"/>
      <c r="G598" s="5" t="n"/>
    </row>
    <row r="599">
      <c r="A599" s="98" t="n"/>
      <c r="B599" s="5" t="n"/>
      <c r="C599" s="4" t="n"/>
      <c r="D599" s="5" t="n"/>
      <c r="E599" s="5" t="n"/>
      <c r="F599" s="5" t="n"/>
      <c r="G599" s="5" t="n"/>
    </row>
    <row r="600">
      <c r="A600" s="98" t="n"/>
      <c r="B600" s="5" t="n"/>
      <c r="C600" s="4" t="n"/>
      <c r="D600" s="5" t="n"/>
      <c r="E600" s="5" t="n"/>
      <c r="F600" s="5" t="n"/>
      <c r="G600" s="5" t="n"/>
    </row>
    <row r="601">
      <c r="A601" s="98" t="n"/>
      <c r="B601" s="5" t="n"/>
      <c r="C601" s="4" t="n"/>
      <c r="D601" s="5" t="n"/>
      <c r="E601" s="5" t="n"/>
      <c r="F601" s="5" t="n"/>
      <c r="G601" s="5" t="n"/>
    </row>
    <row r="602">
      <c r="A602" s="98" t="n"/>
      <c r="B602" s="5" t="n"/>
      <c r="C602" s="4" t="n"/>
      <c r="D602" s="5" t="n"/>
      <c r="E602" s="5" t="n"/>
      <c r="F602" s="5" t="n"/>
      <c r="G602" s="5" t="n"/>
    </row>
    <row r="603">
      <c r="A603" s="98" t="n"/>
      <c r="B603" s="5" t="n"/>
      <c r="C603" s="4" t="n"/>
      <c r="D603" s="5" t="n"/>
      <c r="E603" s="5" t="n"/>
      <c r="F603" s="5" t="n"/>
      <c r="G603" s="5" t="n"/>
    </row>
    <row r="604">
      <c r="A604" s="98" t="n"/>
      <c r="B604" s="5" t="n"/>
      <c r="C604" s="4" t="n"/>
      <c r="D604" s="5" t="n"/>
      <c r="E604" s="5" t="n"/>
      <c r="F604" s="5" t="n"/>
      <c r="G604" s="5" t="n"/>
    </row>
    <row r="605">
      <c r="A605" s="98" t="n"/>
      <c r="B605" s="5" t="n"/>
      <c r="C605" s="4" t="n"/>
      <c r="D605" s="5" t="n"/>
      <c r="E605" s="5" t="n"/>
      <c r="F605" s="5" t="n"/>
      <c r="G605" s="5" t="n"/>
    </row>
    <row r="606">
      <c r="A606" s="98" t="n"/>
      <c r="B606" s="5" t="n"/>
      <c r="C606" s="4" t="n"/>
      <c r="D606" s="5" t="n"/>
      <c r="E606" s="5" t="n"/>
      <c r="F606" s="5" t="n"/>
      <c r="G606" s="5" t="n"/>
    </row>
    <row r="607">
      <c r="A607" s="98" t="n"/>
      <c r="B607" s="5" t="n"/>
      <c r="C607" s="4" t="n"/>
      <c r="D607" s="5" t="n"/>
      <c r="E607" s="5" t="n"/>
      <c r="F607" s="5" t="n"/>
      <c r="G607" s="5" t="n"/>
    </row>
    <row r="608">
      <c r="A608" s="98" t="n"/>
      <c r="B608" s="5" t="n"/>
      <c r="C608" s="4" t="n"/>
      <c r="D608" s="5" t="n"/>
      <c r="E608" s="5" t="n"/>
      <c r="F608" s="5" t="n"/>
      <c r="G608" s="5" t="n"/>
    </row>
    <row r="609">
      <c r="A609" s="98" t="n"/>
      <c r="B609" s="5" t="n"/>
      <c r="C609" s="4" t="n"/>
      <c r="D609" s="5" t="n"/>
      <c r="E609" s="5" t="n"/>
      <c r="F609" s="5" t="n"/>
      <c r="G609" s="5" t="n"/>
    </row>
    <row r="610">
      <c r="A610" s="98" t="n"/>
      <c r="B610" s="5" t="n"/>
      <c r="C610" s="4" t="n"/>
      <c r="D610" s="5" t="n"/>
      <c r="E610" s="5" t="n"/>
      <c r="F610" s="5" t="n"/>
      <c r="G610" s="5" t="n"/>
    </row>
    <row r="611">
      <c r="A611" s="98" t="n"/>
      <c r="B611" s="5" t="n"/>
      <c r="C611" s="4" t="n"/>
      <c r="D611" s="5" t="n"/>
      <c r="E611" s="5" t="n"/>
      <c r="F611" s="5" t="n"/>
      <c r="G611" s="5" t="n"/>
    </row>
    <row r="612">
      <c r="A612" s="98" t="n"/>
      <c r="B612" s="5" t="n"/>
      <c r="C612" s="4" t="n"/>
      <c r="D612" s="5" t="n"/>
      <c r="E612" s="5" t="n"/>
      <c r="F612" s="5" t="n"/>
      <c r="G612" s="5" t="n"/>
    </row>
    <row r="613">
      <c r="A613" s="98" t="n"/>
      <c r="B613" s="5" t="n"/>
      <c r="C613" s="4" t="n"/>
      <c r="D613" s="5" t="n"/>
      <c r="E613" s="5" t="n"/>
      <c r="F613" s="5" t="n"/>
      <c r="G613" s="5" t="n"/>
    </row>
    <row r="614">
      <c r="A614" s="98" t="n"/>
      <c r="B614" s="5" t="n"/>
      <c r="C614" s="4" t="n"/>
      <c r="D614" s="5" t="n"/>
      <c r="E614" s="5" t="n"/>
      <c r="F614" s="5" t="n"/>
      <c r="G614" s="5" t="n"/>
    </row>
    <row r="615">
      <c r="A615" s="98" t="n"/>
      <c r="B615" s="5" t="n"/>
      <c r="C615" s="4" t="n"/>
      <c r="D615" s="5" t="n"/>
      <c r="E615" s="5" t="n"/>
      <c r="F615" s="5" t="n"/>
      <c r="G615" s="5" t="n"/>
    </row>
    <row r="616">
      <c r="A616" s="98" t="n"/>
      <c r="B616" s="5" t="n"/>
      <c r="C616" s="4" t="n"/>
      <c r="D616" s="5" t="n"/>
      <c r="E616" s="5" t="n"/>
      <c r="F616" s="5" t="n"/>
      <c r="G616" s="5" t="n"/>
    </row>
    <row r="617">
      <c r="A617" s="98" t="n"/>
      <c r="B617" s="5" t="n"/>
      <c r="C617" s="4" t="n"/>
      <c r="D617" s="5" t="n"/>
      <c r="E617" s="5" t="n"/>
      <c r="F617" s="5" t="n"/>
      <c r="G617" s="5" t="n"/>
    </row>
    <row r="618">
      <c r="A618" s="98" t="n"/>
      <c r="B618" s="5" t="n"/>
      <c r="C618" s="4" t="n"/>
      <c r="D618" s="5" t="n"/>
      <c r="E618" s="5" t="n"/>
      <c r="F618" s="5" t="n"/>
      <c r="G618" s="5" t="n"/>
    </row>
    <row r="619">
      <c r="A619" s="98" t="n"/>
      <c r="B619" s="5" t="n"/>
      <c r="C619" s="4" t="n"/>
      <c r="D619" s="5" t="n"/>
      <c r="E619" s="5" t="n"/>
      <c r="F619" s="5" t="n"/>
      <c r="G619" s="5" t="n"/>
    </row>
    <row r="620">
      <c r="A620" s="98" t="n"/>
      <c r="B620" s="5" t="n"/>
      <c r="C620" s="4" t="n"/>
      <c r="D620" s="5" t="n"/>
      <c r="E620" s="5" t="n"/>
      <c r="F620" s="5" t="n"/>
      <c r="G620" s="5" t="n"/>
    </row>
    <row r="621">
      <c r="A621" s="98" t="n"/>
      <c r="B621" s="5" t="n"/>
      <c r="C621" s="4" t="n"/>
      <c r="D621" s="5" t="n"/>
      <c r="E621" s="5" t="n"/>
      <c r="F621" s="5" t="n"/>
      <c r="G621" s="5" t="n"/>
    </row>
    <row r="622">
      <c r="A622" s="98" t="n"/>
      <c r="B622" s="5" t="n"/>
      <c r="C622" s="4" t="n"/>
      <c r="D622" s="5" t="n"/>
      <c r="E622" s="5" t="n"/>
      <c r="F622" s="5" t="n"/>
      <c r="G622" s="5" t="n"/>
    </row>
    <row r="623">
      <c r="A623" s="98" t="n"/>
      <c r="B623" s="5" t="n"/>
      <c r="C623" s="4" t="n"/>
      <c r="D623" s="5" t="n"/>
      <c r="E623" s="5" t="n"/>
      <c r="F623" s="5" t="n"/>
      <c r="G623" s="5" t="n"/>
    </row>
    <row r="624">
      <c r="A624" s="98" t="n"/>
      <c r="B624" s="5" t="n"/>
      <c r="C624" s="4" t="n"/>
      <c r="D624" s="5" t="n"/>
      <c r="E624" s="5" t="n"/>
      <c r="F624" s="5" t="n"/>
      <c r="G624" s="5" t="n"/>
    </row>
    <row r="625">
      <c r="A625" s="98" t="n"/>
      <c r="B625" s="5" t="n"/>
      <c r="C625" s="4" t="n"/>
      <c r="D625" s="5" t="n"/>
      <c r="E625" s="5" t="n"/>
      <c r="F625" s="5" t="n"/>
      <c r="G625" s="5" t="n"/>
    </row>
    <row r="626">
      <c r="A626" s="98" t="n"/>
      <c r="B626" s="5" t="n"/>
      <c r="C626" s="4" t="n"/>
      <c r="D626" s="5" t="n"/>
      <c r="E626" s="5" t="n"/>
      <c r="F626" s="5" t="n"/>
      <c r="G626" s="5" t="n"/>
    </row>
    <row r="627">
      <c r="A627" s="98" t="n"/>
      <c r="B627" s="5" t="n"/>
      <c r="C627" s="4" t="n"/>
      <c r="D627" s="5" t="n"/>
      <c r="E627" s="5" t="n"/>
      <c r="F627" s="5" t="n"/>
      <c r="G627" s="5" t="n"/>
    </row>
    <row r="628">
      <c r="A628" s="98" t="n"/>
      <c r="B628" s="5" t="n"/>
      <c r="C628" s="4" t="n"/>
      <c r="D628" s="5" t="n"/>
      <c r="E628" s="5" t="n"/>
      <c r="F628" s="5" t="n"/>
      <c r="G628" s="5" t="n"/>
    </row>
    <row r="629">
      <c r="A629" s="98" t="n"/>
      <c r="B629" s="5" t="n"/>
      <c r="C629" s="4" t="n"/>
      <c r="D629" s="5" t="n"/>
      <c r="E629" s="5" t="n"/>
      <c r="F629" s="5" t="n"/>
      <c r="G629" s="5" t="n"/>
    </row>
    <row r="630">
      <c r="A630" s="98" t="n"/>
      <c r="B630" s="5" t="n"/>
      <c r="C630" s="4" t="n"/>
      <c r="D630" s="5" t="n"/>
      <c r="E630" s="5" t="n"/>
      <c r="F630" s="5" t="n"/>
      <c r="G630" s="5" t="n"/>
    </row>
    <row r="631">
      <c r="A631" s="98" t="n"/>
      <c r="B631" s="5" t="n"/>
      <c r="C631" s="4" t="n"/>
      <c r="D631" s="5" t="n"/>
      <c r="E631" s="5" t="n"/>
      <c r="F631" s="5" t="n"/>
      <c r="G631" s="5" t="n"/>
    </row>
    <row r="632">
      <c r="A632" s="98" t="n"/>
      <c r="B632" s="5" t="n"/>
      <c r="C632" s="4" t="n"/>
      <c r="D632" s="5" t="n"/>
      <c r="E632" s="5" t="n"/>
      <c r="F632" s="5" t="n"/>
      <c r="G632" s="5" t="n"/>
    </row>
    <row r="633">
      <c r="A633" s="98" t="n"/>
      <c r="B633" s="5" t="n"/>
      <c r="C633" s="4" t="n"/>
      <c r="D633" s="5" t="n"/>
      <c r="E633" s="5" t="n"/>
      <c r="F633" s="5" t="n"/>
      <c r="G633" s="5" t="n"/>
    </row>
    <row r="634">
      <c r="A634" s="98" t="n"/>
      <c r="B634" s="5" t="n"/>
      <c r="C634" s="4" t="n"/>
      <c r="D634" s="5" t="n"/>
      <c r="E634" s="5" t="n"/>
      <c r="F634" s="5" t="n"/>
      <c r="G634" s="5" t="n"/>
    </row>
    <row r="635">
      <c r="A635" s="98" t="n"/>
      <c r="B635" s="5" t="n"/>
      <c r="C635" s="4" t="n"/>
      <c r="D635" s="5" t="n"/>
      <c r="E635" s="5" t="n"/>
      <c r="F635" s="5" t="n"/>
      <c r="G635" s="5" t="n"/>
    </row>
    <row r="636">
      <c r="A636" s="98" t="n"/>
      <c r="B636" s="5" t="n"/>
      <c r="C636" s="4" t="n"/>
      <c r="D636" s="5" t="n"/>
      <c r="E636" s="5" t="n"/>
      <c r="F636" s="5" t="n"/>
      <c r="G636" s="5" t="n"/>
    </row>
    <row r="637">
      <c r="A637" s="98" t="n"/>
      <c r="B637" s="5" t="n"/>
      <c r="C637" s="4" t="n"/>
      <c r="D637" s="5" t="n"/>
      <c r="E637" s="5" t="n"/>
      <c r="F637" s="5" t="n"/>
      <c r="G637" s="5" t="n"/>
    </row>
    <row r="638">
      <c r="A638" s="98" t="n"/>
      <c r="B638" s="5" t="n"/>
      <c r="C638" s="4" t="n"/>
      <c r="D638" s="5" t="n"/>
      <c r="E638" s="5" t="n"/>
      <c r="F638" s="5" t="n"/>
      <c r="G638" s="5" t="n"/>
    </row>
    <row r="639">
      <c r="A639" s="98" t="n"/>
      <c r="B639" s="5" t="n"/>
      <c r="C639" s="4" t="n"/>
      <c r="D639" s="5" t="n"/>
      <c r="E639" s="5" t="n"/>
      <c r="F639" s="5" t="n"/>
      <c r="G639" s="5" t="n"/>
    </row>
    <row r="640">
      <c r="A640" s="98" t="n"/>
      <c r="B640" s="5" t="n"/>
      <c r="C640" s="4" t="n"/>
      <c r="D640" s="5" t="n"/>
      <c r="E640" s="5" t="n"/>
      <c r="F640" s="5" t="n"/>
      <c r="G640" s="5" t="n"/>
    </row>
    <row r="641">
      <c r="A641" s="98" t="n"/>
      <c r="B641" s="5" t="n"/>
      <c r="C641" s="4" t="n"/>
      <c r="D641" s="5" t="n"/>
      <c r="E641" s="5" t="n"/>
      <c r="F641" s="5" t="n"/>
      <c r="G641" s="5" t="n"/>
    </row>
    <row r="642">
      <c r="A642" s="98" t="n"/>
      <c r="B642" s="5" t="n"/>
      <c r="C642" s="4" t="n"/>
      <c r="D642" s="5" t="n"/>
      <c r="E642" s="5" t="n"/>
      <c r="F642" s="5" t="n"/>
      <c r="G642" s="5" t="n"/>
    </row>
    <row r="643">
      <c r="A643" s="98" t="n"/>
      <c r="B643" s="5" t="n"/>
      <c r="C643" s="4" t="n"/>
      <c r="D643" s="5" t="n"/>
      <c r="E643" s="5" t="n"/>
      <c r="F643" s="5" t="n"/>
      <c r="G643" s="5" t="n"/>
    </row>
    <row r="644">
      <c r="A644" s="98" t="n"/>
      <c r="B644" s="5" t="n"/>
      <c r="C644" s="4" t="n"/>
      <c r="D644" s="5" t="n"/>
      <c r="E644" s="5" t="n"/>
      <c r="F644" s="5" t="n"/>
      <c r="G644" s="5" t="n"/>
    </row>
    <row r="645">
      <c r="A645" s="98" t="n"/>
      <c r="B645" s="5" t="n"/>
      <c r="C645" s="4" t="n"/>
      <c r="D645" s="5" t="n"/>
      <c r="E645" s="5" t="n"/>
      <c r="F645" s="5" t="n"/>
      <c r="G645" s="5" t="n"/>
    </row>
    <row r="646">
      <c r="A646" s="98" t="n"/>
      <c r="B646" s="5" t="n"/>
      <c r="C646" s="4" t="n"/>
      <c r="D646" s="5" t="n"/>
      <c r="E646" s="5" t="n"/>
      <c r="F646" s="5" t="n"/>
      <c r="G646" s="5" t="n"/>
    </row>
    <row r="647">
      <c r="A647" s="98" t="n"/>
      <c r="B647" s="5" t="n"/>
      <c r="C647" s="4" t="n"/>
      <c r="D647" s="5" t="n"/>
      <c r="E647" s="5" t="n"/>
      <c r="F647" s="5" t="n"/>
      <c r="G647" s="5" t="n"/>
    </row>
    <row r="648">
      <c r="A648" s="98" t="n"/>
      <c r="B648" s="5" t="n"/>
      <c r="C648" s="4" t="n"/>
      <c r="D648" s="5" t="n"/>
      <c r="E648" s="5" t="n"/>
      <c r="F648" s="5" t="n"/>
      <c r="G648" s="5" t="n"/>
    </row>
    <row r="649">
      <c r="A649" s="98" t="n"/>
      <c r="B649" s="5" t="n"/>
      <c r="C649" s="4" t="n"/>
      <c r="D649" s="5" t="n"/>
      <c r="E649" s="5" t="n"/>
      <c r="F649" s="5" t="n"/>
      <c r="G649" s="5" t="n"/>
    </row>
    <row r="650">
      <c r="A650" s="98" t="n"/>
      <c r="B650" s="5" t="n"/>
      <c r="C650" s="4" t="n"/>
      <c r="D650" s="5" t="n"/>
      <c r="E650" s="5" t="n"/>
      <c r="F650" s="5" t="n"/>
      <c r="G650" s="5" t="n"/>
    </row>
    <row r="651">
      <c r="A651" s="98" t="n"/>
      <c r="B651" s="5" t="n"/>
      <c r="C651" s="4" t="n"/>
      <c r="D651" s="5" t="n"/>
      <c r="E651" s="5" t="n"/>
      <c r="F651" s="5" t="n"/>
      <c r="G651" s="5" t="n"/>
    </row>
    <row r="652">
      <c r="A652" s="98" t="n"/>
      <c r="B652" s="5" t="n"/>
      <c r="C652" s="4" t="n"/>
      <c r="D652" s="5" t="n"/>
      <c r="E652" s="5" t="n"/>
      <c r="F652" s="5" t="n"/>
      <c r="G652" s="5" t="n"/>
    </row>
    <row r="653">
      <c r="A653" s="98" t="n"/>
      <c r="B653" s="5" t="n"/>
      <c r="C653" s="4" t="n"/>
      <c r="D653" s="5" t="n"/>
      <c r="E653" s="5" t="n"/>
      <c r="F653" s="5" t="n"/>
      <c r="G653" s="5" t="n"/>
    </row>
    <row r="654">
      <c r="A654" s="98" t="n"/>
      <c r="B654" s="5" t="n"/>
      <c r="C654" s="4" t="n"/>
      <c r="D654" s="5" t="n"/>
      <c r="E654" s="5" t="n"/>
      <c r="F654" s="5" t="n"/>
      <c r="G654" s="5" t="n"/>
    </row>
    <row r="655">
      <c r="A655" s="98" t="n"/>
      <c r="B655" s="5" t="n"/>
      <c r="C655" s="4" t="n"/>
      <c r="D655" s="5" t="n"/>
      <c r="E655" s="5" t="n"/>
      <c r="F655" s="5" t="n"/>
      <c r="G655" s="5" t="n"/>
    </row>
    <row r="656">
      <c r="A656" s="98" t="n"/>
      <c r="B656" s="5" t="n"/>
      <c r="C656" s="4" t="n"/>
      <c r="D656" s="5" t="n"/>
      <c r="E656" s="5" t="n"/>
      <c r="F656" s="5" t="n"/>
      <c r="G656" s="5" t="n"/>
    </row>
    <row r="657">
      <c r="A657" s="98" t="n"/>
      <c r="B657" s="5" t="n"/>
      <c r="C657" s="4" t="n"/>
      <c r="D657" s="5" t="n"/>
      <c r="E657" s="5" t="n"/>
      <c r="F657" s="5" t="n"/>
      <c r="G657" s="5" t="n"/>
    </row>
    <row r="658">
      <c r="A658" s="98" t="n"/>
      <c r="B658" s="5" t="n"/>
      <c r="C658" s="4" t="n"/>
      <c r="D658" s="5" t="n"/>
      <c r="E658" s="5" t="n"/>
      <c r="F658" s="5" t="n"/>
      <c r="G658" s="5" t="n"/>
    </row>
    <row r="659">
      <c r="A659" s="98" t="n"/>
      <c r="B659" s="5" t="n"/>
      <c r="C659" s="4" t="n"/>
      <c r="D659" s="5" t="n"/>
      <c r="E659" s="5" t="n"/>
      <c r="F659" s="5" t="n"/>
      <c r="G659" s="5" t="n"/>
    </row>
    <row r="660">
      <c r="A660" s="98" t="n"/>
      <c r="B660" s="5" t="n"/>
      <c r="C660" s="4" t="n"/>
      <c r="D660" s="5" t="n"/>
      <c r="E660" s="5" t="n"/>
      <c r="F660" s="5" t="n"/>
      <c r="G660" s="5" t="n"/>
    </row>
    <row r="661">
      <c r="A661" s="98" t="n"/>
      <c r="B661" s="5" t="n"/>
      <c r="C661" s="4" t="n"/>
      <c r="D661" s="5" t="n"/>
      <c r="E661" s="5" t="n"/>
      <c r="F661" s="5" t="n"/>
      <c r="G661" s="5" t="n"/>
    </row>
    <row r="662">
      <c r="A662" s="98" t="n"/>
      <c r="B662" s="5" t="n"/>
      <c r="C662" s="4" t="n"/>
      <c r="D662" s="5" t="n"/>
      <c r="E662" s="5" t="n"/>
      <c r="F662" s="5" t="n"/>
      <c r="G662" s="5" t="n"/>
    </row>
    <row r="663">
      <c r="A663" s="98" t="n"/>
      <c r="B663" s="5" t="n"/>
      <c r="C663" s="4" t="n"/>
      <c r="D663" s="5" t="n"/>
      <c r="E663" s="5" t="n"/>
      <c r="F663" s="5" t="n"/>
      <c r="G663" s="5" t="n"/>
    </row>
    <row r="664">
      <c r="A664" s="98" t="n"/>
      <c r="B664" s="5" t="n"/>
      <c r="C664" s="4" t="n"/>
      <c r="D664" s="5" t="n"/>
      <c r="E664" s="5" t="n"/>
      <c r="F664" s="5" t="n"/>
      <c r="G664" s="5" t="n"/>
    </row>
    <row r="665">
      <c r="A665" s="98" t="n"/>
      <c r="B665" s="5" t="n"/>
      <c r="C665" s="4" t="n"/>
      <c r="D665" s="5" t="n"/>
      <c r="E665" s="5" t="n"/>
      <c r="F665" s="5" t="n"/>
      <c r="G665" s="5" t="n"/>
    </row>
    <row r="666">
      <c r="A666" s="98" t="n"/>
      <c r="B666" s="5" t="n"/>
      <c r="C666" s="4" t="n"/>
      <c r="D666" s="5" t="n"/>
      <c r="E666" s="5" t="n"/>
      <c r="F666" s="5" t="n"/>
      <c r="G666" s="5" t="n"/>
    </row>
    <row r="667">
      <c r="A667" s="98" t="n"/>
      <c r="B667" s="5" t="n"/>
      <c r="C667" s="4" t="n"/>
      <c r="D667" s="5" t="n"/>
      <c r="E667" s="5" t="n"/>
      <c r="F667" s="5" t="n"/>
      <c r="G667" s="5" t="n"/>
    </row>
    <row r="668">
      <c r="A668" s="98" t="n"/>
      <c r="B668" s="5" t="n"/>
      <c r="C668" s="4" t="n"/>
      <c r="D668" s="5" t="n"/>
      <c r="E668" s="5" t="n"/>
      <c r="F668" s="5" t="n"/>
      <c r="G668" s="5" t="n"/>
    </row>
    <row r="669">
      <c r="A669" s="98" t="n"/>
      <c r="B669" s="5" t="n"/>
      <c r="C669" s="4" t="n"/>
      <c r="D669" s="5" t="n"/>
      <c r="E669" s="5" t="n"/>
      <c r="F669" s="5" t="n"/>
      <c r="G669" s="5" t="n"/>
    </row>
    <row r="670">
      <c r="A670" s="98" t="n"/>
      <c r="B670" s="5" t="n"/>
      <c r="C670" s="4" t="n"/>
      <c r="D670" s="5" t="n"/>
      <c r="E670" s="5" t="n"/>
      <c r="F670" s="5" t="n"/>
      <c r="G670" s="5" t="n"/>
    </row>
    <row r="671">
      <c r="A671" s="98" t="n"/>
      <c r="B671" s="5" t="n"/>
      <c r="C671" s="4" t="n"/>
      <c r="D671" s="5" t="n"/>
      <c r="E671" s="5" t="n"/>
      <c r="F671" s="5" t="n"/>
      <c r="G671" s="5" t="n"/>
    </row>
    <row r="672">
      <c r="A672" s="98" t="n"/>
      <c r="B672" s="5" t="n"/>
      <c r="C672" s="4" t="n"/>
      <c r="D672" s="5" t="n"/>
      <c r="E672" s="5" t="n"/>
      <c r="F672" s="5" t="n"/>
      <c r="G672" s="5" t="n"/>
    </row>
    <row r="673">
      <c r="A673" s="98" t="n"/>
      <c r="B673" s="5" t="n"/>
      <c r="C673" s="4" t="n"/>
      <c r="D673" s="5" t="n"/>
      <c r="E673" s="5" t="n"/>
      <c r="F673" s="5" t="n"/>
      <c r="G673" s="5" t="n"/>
    </row>
    <row r="674">
      <c r="A674" s="98" t="n"/>
      <c r="B674" s="5" t="n"/>
      <c r="C674" s="4" t="n"/>
      <c r="D674" s="5" t="n"/>
      <c r="E674" s="5" t="n"/>
      <c r="F674" s="5" t="n"/>
      <c r="G674" s="5" t="n"/>
    </row>
    <row r="675">
      <c r="A675" s="98" t="n"/>
      <c r="B675" s="5" t="n"/>
      <c r="C675" s="4" t="n"/>
      <c r="D675" s="5" t="n"/>
      <c r="E675" s="5" t="n"/>
      <c r="F675" s="5" t="n"/>
      <c r="G675" s="5" t="n"/>
    </row>
    <row r="676">
      <c r="A676" s="98" t="n"/>
      <c r="B676" s="5" t="n"/>
      <c r="C676" s="4" t="n"/>
      <c r="D676" s="5" t="n"/>
      <c r="E676" s="5" t="n"/>
      <c r="F676" s="5" t="n"/>
      <c r="G676" s="5" t="n"/>
    </row>
    <row r="677">
      <c r="A677" s="98" t="n"/>
      <c r="B677" s="5" t="n"/>
      <c r="C677" s="4" t="n"/>
      <c r="D677" s="5" t="n"/>
      <c r="E677" s="5" t="n"/>
      <c r="F677" s="5" t="n"/>
      <c r="G677" s="5" t="n"/>
    </row>
    <row r="678">
      <c r="A678" s="98" t="n"/>
      <c r="B678" s="5" t="n"/>
      <c r="C678" s="4" t="n"/>
      <c r="D678" s="5" t="n"/>
      <c r="E678" s="5" t="n"/>
      <c r="F678" s="5" t="n"/>
      <c r="G678" s="5" t="n"/>
    </row>
    <row r="679">
      <c r="A679" s="98" t="n"/>
      <c r="B679" s="5" t="n"/>
      <c r="C679" s="4" t="n"/>
      <c r="D679" s="5" t="n"/>
      <c r="E679" s="5" t="n"/>
      <c r="F679" s="5" t="n"/>
      <c r="G679" s="5" t="n"/>
    </row>
    <row r="680">
      <c r="A680" s="98" t="n"/>
      <c r="B680" s="5" t="n"/>
      <c r="C680" s="4" t="n"/>
      <c r="D680" s="5" t="n"/>
      <c r="E680" s="5" t="n"/>
      <c r="F680" s="5" t="n"/>
      <c r="G680" s="5" t="n"/>
    </row>
    <row r="681">
      <c r="A681" s="98" t="n"/>
      <c r="B681" s="5" t="n"/>
      <c r="C681" s="4" t="n"/>
      <c r="D681" s="5" t="n"/>
      <c r="E681" s="5" t="n"/>
      <c r="F681" s="5" t="n"/>
      <c r="G681" s="5" t="n"/>
    </row>
    <row r="682">
      <c r="A682" s="98" t="n"/>
      <c r="B682" s="5" t="n"/>
      <c r="C682" s="4" t="n"/>
      <c r="D682" s="5" t="n"/>
      <c r="E682" s="5" t="n"/>
      <c r="F682" s="5" t="n"/>
      <c r="G682" s="5" t="n"/>
    </row>
    <row r="683">
      <c r="A683" s="98" t="n"/>
      <c r="B683" s="5" t="n"/>
      <c r="C683" s="4" t="n"/>
      <c r="D683" s="5" t="n"/>
      <c r="E683" s="5" t="n"/>
      <c r="F683" s="5" t="n"/>
      <c r="G683" s="5" t="n"/>
    </row>
    <row r="684">
      <c r="A684" s="98" t="n"/>
      <c r="B684" s="5" t="n"/>
      <c r="C684" s="4" t="n"/>
      <c r="D684" s="5" t="n"/>
      <c r="E684" s="5" t="n"/>
      <c r="F684" s="5" t="n"/>
      <c r="G684" s="5" t="n"/>
    </row>
    <row r="685">
      <c r="A685" s="98" t="n"/>
      <c r="B685" s="5" t="n"/>
      <c r="C685" s="4" t="n"/>
      <c r="D685" s="5" t="n"/>
      <c r="E685" s="5" t="n"/>
      <c r="F685" s="5" t="n"/>
      <c r="G685" s="5" t="n"/>
    </row>
    <row r="686">
      <c r="A686" s="98" t="n"/>
      <c r="B686" s="5" t="n"/>
      <c r="C686" s="4" t="n"/>
      <c r="D686" s="5" t="n"/>
      <c r="E686" s="5" t="n"/>
      <c r="F686" s="5" t="n"/>
      <c r="G686" s="5" t="n"/>
    </row>
    <row r="687">
      <c r="A687" s="98" t="n"/>
      <c r="B687" s="5" t="n"/>
      <c r="C687" s="4" t="n"/>
      <c r="D687" s="5" t="n"/>
      <c r="E687" s="5" t="n"/>
      <c r="F687" s="5" t="n"/>
      <c r="G687" s="5" t="n"/>
    </row>
    <row r="688">
      <c r="A688" s="98" t="n"/>
      <c r="B688" s="5" t="n"/>
      <c r="C688" s="4" t="n"/>
      <c r="D688" s="5" t="n"/>
      <c r="E688" s="5" t="n"/>
      <c r="F688" s="5" t="n"/>
      <c r="G688" s="5" t="n"/>
    </row>
    <row r="689">
      <c r="A689" s="98" t="n"/>
      <c r="B689" s="5" t="n"/>
      <c r="C689" s="4" t="n"/>
      <c r="D689" s="5" t="n"/>
      <c r="E689" s="5" t="n"/>
      <c r="F689" s="5" t="n"/>
      <c r="G689" s="5" t="n"/>
    </row>
    <row r="690">
      <c r="A690" s="98" t="n"/>
      <c r="B690" s="5" t="n"/>
      <c r="C690" s="4" t="n"/>
      <c r="D690" s="5" t="n"/>
      <c r="E690" s="5" t="n"/>
      <c r="F690" s="5" t="n"/>
      <c r="G690" s="5" t="n"/>
    </row>
    <row r="691">
      <c r="A691" s="98" t="n"/>
      <c r="B691" s="5" t="n"/>
      <c r="C691" s="4" t="n"/>
      <c r="D691" s="5" t="n"/>
      <c r="E691" s="5" t="n"/>
      <c r="F691" s="5" t="n"/>
      <c r="G691" s="5" t="n"/>
    </row>
    <row r="692">
      <c r="A692" s="98" t="n"/>
      <c r="B692" s="5" t="n"/>
      <c r="C692" s="4" t="n"/>
      <c r="D692" s="5" t="n"/>
      <c r="E692" s="5" t="n"/>
      <c r="F692" s="5" t="n"/>
      <c r="G692" s="5" t="n"/>
    </row>
    <row r="693">
      <c r="A693" s="98" t="n"/>
      <c r="B693" s="5" t="n"/>
      <c r="C693" s="4" t="n"/>
      <c r="D693" s="5" t="n"/>
      <c r="E693" s="5" t="n"/>
      <c r="F693" s="5" t="n"/>
      <c r="G693" s="5" t="n"/>
    </row>
    <row r="694">
      <c r="A694" s="98" t="n"/>
      <c r="B694" s="5" t="n"/>
      <c r="C694" s="4" t="n"/>
      <c r="D694" s="5" t="n"/>
      <c r="E694" s="5" t="n"/>
      <c r="F694" s="5" t="n"/>
      <c r="G694" s="5" t="n"/>
    </row>
    <row r="695">
      <c r="A695" s="98" t="n"/>
      <c r="B695" s="5" t="n"/>
      <c r="C695" s="4" t="n"/>
      <c r="D695" s="5" t="n"/>
      <c r="E695" s="5" t="n"/>
      <c r="F695" s="5" t="n"/>
      <c r="G695" s="5" t="n"/>
    </row>
    <row r="696">
      <c r="A696" s="98" t="n"/>
      <c r="B696" s="5" t="n"/>
      <c r="C696" s="4" t="n"/>
      <c r="D696" s="5" t="n"/>
      <c r="E696" s="5" t="n"/>
      <c r="F696" s="5" t="n"/>
      <c r="G696" s="5" t="n"/>
    </row>
    <row r="697">
      <c r="A697" s="98" t="n"/>
      <c r="B697" s="5" t="n"/>
      <c r="C697" s="4" t="n"/>
      <c r="D697" s="5" t="n"/>
      <c r="E697" s="5" t="n"/>
      <c r="F697" s="5" t="n"/>
      <c r="G697" s="5" t="n"/>
    </row>
    <row r="698">
      <c r="A698" s="98" t="n"/>
      <c r="B698" s="5" t="n"/>
      <c r="C698" s="4" t="n"/>
      <c r="D698" s="5" t="n"/>
      <c r="E698" s="5" t="n"/>
      <c r="F698" s="5" t="n"/>
      <c r="G698" s="5" t="n"/>
    </row>
    <row r="699">
      <c r="A699" s="98" t="n"/>
      <c r="B699" s="5" t="n"/>
      <c r="C699" s="4" t="n"/>
      <c r="D699" s="5" t="n"/>
      <c r="E699" s="5" t="n"/>
      <c r="F699" s="5" t="n"/>
      <c r="G699" s="5" t="n"/>
    </row>
    <row r="700">
      <c r="A700" s="98" t="n"/>
      <c r="B700" s="5" t="n"/>
      <c r="C700" s="4" t="n"/>
      <c r="D700" s="5" t="n"/>
      <c r="E700" s="5" t="n"/>
      <c r="F700" s="5" t="n"/>
      <c r="G700" s="5" t="n"/>
    </row>
    <row r="701">
      <c r="A701" s="98" t="n"/>
      <c r="B701" s="5" t="n"/>
      <c r="C701" s="4" t="n"/>
      <c r="D701" s="5" t="n"/>
      <c r="E701" s="5" t="n"/>
      <c r="F701" s="5" t="n"/>
      <c r="G701" s="5" t="n"/>
    </row>
    <row r="702">
      <c r="A702" s="98" t="n"/>
      <c r="B702" s="5" t="n"/>
      <c r="C702" s="4" t="n"/>
      <c r="D702" s="5" t="n"/>
      <c r="E702" s="5" t="n"/>
      <c r="F702" s="5" t="n"/>
      <c r="G702" s="5" t="n"/>
    </row>
    <row r="703">
      <c r="A703" s="98" t="n"/>
      <c r="B703" s="5" t="n"/>
      <c r="C703" s="4" t="n"/>
      <c r="D703" s="5" t="n"/>
      <c r="E703" s="5" t="n"/>
      <c r="F703" s="5" t="n"/>
      <c r="G703" s="5" t="n"/>
    </row>
    <row r="704">
      <c r="A704" s="98" t="n"/>
      <c r="B704" s="5" t="n"/>
      <c r="C704" s="4" t="n"/>
      <c r="D704" s="5" t="n"/>
      <c r="E704" s="5" t="n"/>
      <c r="F704" s="5" t="n"/>
      <c r="G704" s="5" t="n"/>
    </row>
    <row r="705">
      <c r="A705" s="98" t="n"/>
      <c r="B705" s="5" t="n"/>
      <c r="C705" s="4" t="n"/>
      <c r="D705" s="5" t="n"/>
      <c r="E705" s="5" t="n"/>
      <c r="F705" s="5" t="n"/>
      <c r="G705" s="5" t="n"/>
    </row>
    <row r="706">
      <c r="A706" s="98" t="n"/>
      <c r="B706" s="5" t="n"/>
      <c r="C706" s="4" t="n"/>
      <c r="D706" s="5" t="n"/>
      <c r="E706" s="5" t="n"/>
      <c r="F706" s="5" t="n"/>
      <c r="G706" s="5" t="n"/>
    </row>
    <row r="707">
      <c r="A707" s="98" t="n"/>
      <c r="B707" s="5" t="n"/>
      <c r="C707" s="4" t="n"/>
      <c r="D707" s="5" t="n"/>
      <c r="E707" s="5" t="n"/>
      <c r="F707" s="5" t="n"/>
      <c r="G707" s="5" t="n"/>
    </row>
    <row r="708">
      <c r="A708" s="98" t="n"/>
      <c r="B708" s="5" t="n"/>
      <c r="C708" s="4" t="n"/>
      <c r="D708" s="5" t="n"/>
      <c r="E708" s="5" t="n"/>
      <c r="F708" s="5" t="n"/>
      <c r="G708" s="5" t="n"/>
    </row>
    <row r="709">
      <c r="A709" s="98" t="n"/>
      <c r="B709" s="5" t="n"/>
      <c r="C709" s="4" t="n"/>
      <c r="D709" s="5" t="n"/>
      <c r="E709" s="5" t="n"/>
      <c r="F709" s="5" t="n"/>
      <c r="G709" s="5" t="n"/>
    </row>
    <row r="710">
      <c r="A710" s="98" t="n"/>
      <c r="B710" s="5" t="n"/>
      <c r="C710" s="4" t="n"/>
      <c r="D710" s="5" t="n"/>
      <c r="E710" s="5" t="n"/>
      <c r="F710" s="5" t="n"/>
      <c r="G710" s="5" t="n"/>
    </row>
    <row r="711">
      <c r="A711" s="98" t="n"/>
      <c r="B711" s="5" t="n"/>
      <c r="C711" s="4" t="n"/>
      <c r="D711" s="5" t="n"/>
      <c r="E711" s="5" t="n"/>
      <c r="F711" s="5" t="n"/>
      <c r="G711" s="5" t="n"/>
    </row>
    <row r="712">
      <c r="A712" s="98" t="n"/>
      <c r="B712" s="5" t="n"/>
      <c r="C712" s="4" t="n"/>
      <c r="D712" s="5" t="n"/>
      <c r="E712" s="5" t="n"/>
      <c r="F712" s="5" t="n"/>
      <c r="G712" s="5" t="n"/>
    </row>
    <row r="713">
      <c r="A713" s="98" t="n"/>
      <c r="B713" s="5" t="n"/>
      <c r="C713" s="4" t="n"/>
      <c r="D713" s="5" t="n"/>
      <c r="E713" s="5" t="n"/>
      <c r="F713" s="5" t="n"/>
      <c r="G713" s="5" t="n"/>
    </row>
    <row r="714">
      <c r="A714" s="98" t="n"/>
      <c r="B714" s="5" t="n"/>
      <c r="C714" s="4" t="n"/>
      <c r="D714" s="5" t="n"/>
      <c r="E714" s="5" t="n"/>
      <c r="F714" s="5" t="n"/>
      <c r="G714" s="5" t="n"/>
    </row>
    <row r="715">
      <c r="A715" s="98" t="n"/>
      <c r="B715" s="5" t="n"/>
      <c r="C715" s="4" t="n"/>
      <c r="D715" s="5" t="n"/>
      <c r="E715" s="5" t="n"/>
      <c r="F715" s="5" t="n"/>
      <c r="G715" s="5" t="n"/>
    </row>
    <row r="716">
      <c r="A716" s="98" t="n"/>
      <c r="B716" s="5" t="n"/>
      <c r="C716" s="4" t="n"/>
      <c r="D716" s="5" t="n"/>
      <c r="E716" s="5" t="n"/>
      <c r="F716" s="5" t="n"/>
      <c r="G716" s="5" t="n"/>
    </row>
    <row r="717">
      <c r="A717" s="98" t="n"/>
      <c r="B717" s="5" t="n"/>
      <c r="C717" s="4" t="n"/>
      <c r="D717" s="5" t="n"/>
      <c r="E717" s="5" t="n"/>
      <c r="F717" s="5" t="n"/>
      <c r="G717" s="5" t="n"/>
    </row>
    <row r="718">
      <c r="A718" s="98" t="n"/>
      <c r="B718" s="5" t="n"/>
      <c r="C718" s="4" t="n"/>
      <c r="D718" s="5" t="n"/>
      <c r="E718" s="5" t="n"/>
      <c r="F718" s="5" t="n"/>
      <c r="G718" s="5" t="n"/>
    </row>
    <row r="719">
      <c r="A719" s="98" t="n"/>
      <c r="B719" s="5" t="n"/>
      <c r="C719" s="4" t="n"/>
      <c r="D719" s="5" t="n"/>
      <c r="E719" s="5" t="n"/>
      <c r="F719" s="5" t="n"/>
      <c r="G719" s="5" t="n"/>
    </row>
    <row r="720">
      <c r="A720" s="98" t="n"/>
      <c r="B720" s="5" t="n"/>
      <c r="C720" s="4" t="n"/>
      <c r="D720" s="5" t="n"/>
      <c r="E720" s="5" t="n"/>
      <c r="F720" s="5" t="n"/>
      <c r="G720" s="5" t="n"/>
    </row>
    <row r="721">
      <c r="A721" s="98" t="n"/>
      <c r="B721" s="5" t="n"/>
      <c r="C721" s="4" t="n"/>
      <c r="D721" s="5" t="n"/>
      <c r="E721" s="5" t="n"/>
      <c r="F721" s="5" t="n"/>
      <c r="G721" s="5" t="n"/>
    </row>
    <row r="722">
      <c r="A722" s="98" t="n"/>
      <c r="B722" s="5" t="n"/>
      <c r="C722" s="4" t="n"/>
      <c r="D722" s="5" t="n"/>
      <c r="E722" s="5" t="n"/>
      <c r="F722" s="5" t="n"/>
      <c r="G722" s="5" t="n"/>
    </row>
    <row r="723">
      <c r="A723" s="98" t="n"/>
      <c r="B723" s="5" t="n"/>
      <c r="C723" s="4" t="n"/>
      <c r="D723" s="5" t="n"/>
      <c r="E723" s="5" t="n"/>
      <c r="F723" s="5" t="n"/>
      <c r="G723" s="5" t="n"/>
    </row>
    <row r="724">
      <c r="A724" s="98" t="n"/>
      <c r="B724" s="5" t="n"/>
      <c r="C724" s="4" t="n"/>
      <c r="D724" s="5" t="n"/>
      <c r="E724" s="5" t="n"/>
      <c r="F724" s="5" t="n"/>
      <c r="G724" s="5" t="n"/>
    </row>
    <row r="725">
      <c r="A725" s="98" t="n"/>
      <c r="B725" s="5" t="n"/>
      <c r="C725" s="4" t="n"/>
      <c r="D725" s="5" t="n"/>
      <c r="E725" s="5" t="n"/>
      <c r="F725" s="5" t="n"/>
      <c r="G725" s="5" t="n"/>
    </row>
    <row r="726">
      <c r="A726" s="98" t="n"/>
      <c r="B726" s="5" t="n"/>
      <c r="C726" s="4" t="n"/>
      <c r="D726" s="5" t="n"/>
      <c r="E726" s="5" t="n"/>
      <c r="F726" s="5" t="n"/>
      <c r="G726" s="5" t="n"/>
    </row>
    <row r="727">
      <c r="A727" s="98" t="n"/>
      <c r="B727" s="5" t="n"/>
      <c r="C727" s="4" t="n"/>
      <c r="D727" s="5" t="n"/>
      <c r="E727" s="5" t="n"/>
      <c r="F727" s="5" t="n"/>
      <c r="G727" s="5" t="n"/>
    </row>
    <row r="728">
      <c r="A728" s="98" t="n"/>
      <c r="B728" s="5" t="n"/>
      <c r="C728" s="4" t="n"/>
      <c r="D728" s="5" t="n"/>
      <c r="E728" s="5" t="n"/>
      <c r="F728" s="5" t="n"/>
      <c r="G728" s="5" t="n"/>
    </row>
    <row r="729">
      <c r="A729" s="98" t="n"/>
      <c r="B729" s="5" t="n"/>
      <c r="C729" s="4" t="n"/>
      <c r="D729" s="5" t="n"/>
      <c r="E729" s="5" t="n"/>
      <c r="F729" s="5" t="n"/>
      <c r="G729" s="5" t="n"/>
    </row>
    <row r="730">
      <c r="A730" s="98" t="n"/>
      <c r="B730" s="5" t="n"/>
      <c r="C730" s="4" t="n"/>
      <c r="D730" s="5" t="n"/>
      <c r="E730" s="5" t="n"/>
      <c r="F730" s="5" t="n"/>
      <c r="G730" s="5" t="n"/>
    </row>
    <row r="731">
      <c r="A731" s="98" t="n"/>
      <c r="B731" s="5" t="n"/>
      <c r="C731" s="4" t="n"/>
      <c r="D731" s="5" t="n"/>
      <c r="E731" s="5" t="n"/>
      <c r="F731" s="5" t="n"/>
      <c r="G731" s="5" t="n"/>
    </row>
    <row r="732">
      <c r="A732" s="98" t="n"/>
      <c r="B732" s="5" t="n"/>
      <c r="C732" s="4" t="n"/>
      <c r="D732" s="5" t="n"/>
      <c r="E732" s="5" t="n"/>
      <c r="F732" s="5" t="n"/>
      <c r="G732" s="5" t="n"/>
    </row>
    <row r="733">
      <c r="A733" s="98" t="n"/>
      <c r="B733" s="5" t="n"/>
      <c r="C733" s="4" t="n"/>
      <c r="D733" s="5" t="n"/>
      <c r="E733" s="5" t="n"/>
      <c r="F733" s="5" t="n"/>
      <c r="G733" s="5" t="n"/>
    </row>
    <row r="734">
      <c r="A734" s="98" t="n"/>
      <c r="B734" s="5" t="n"/>
      <c r="C734" s="4" t="n"/>
      <c r="D734" s="5" t="n"/>
      <c r="E734" s="5" t="n"/>
      <c r="F734" s="5" t="n"/>
      <c r="G734" s="5" t="n"/>
    </row>
    <row r="735">
      <c r="A735" s="98" t="n"/>
      <c r="B735" s="5" t="n"/>
      <c r="C735" s="4" t="n"/>
      <c r="D735" s="5" t="n"/>
      <c r="E735" s="5" t="n"/>
      <c r="F735" s="5" t="n"/>
      <c r="G735" s="5" t="n"/>
    </row>
    <row r="736">
      <c r="A736" s="98" t="n"/>
      <c r="B736" s="5" t="n"/>
      <c r="C736" s="4" t="n"/>
      <c r="D736" s="5" t="n"/>
      <c r="E736" s="5" t="n"/>
      <c r="F736" s="5" t="n"/>
      <c r="G736" s="5" t="n"/>
    </row>
    <row r="737">
      <c r="A737" s="98" t="n"/>
      <c r="B737" s="5" t="n"/>
      <c r="C737" s="4" t="n"/>
      <c r="D737" s="5" t="n"/>
      <c r="E737" s="5" t="n"/>
      <c r="F737" s="5" t="n"/>
      <c r="G737" s="5" t="n"/>
    </row>
    <row r="738">
      <c r="A738" s="98" t="n"/>
      <c r="B738" s="5" t="n"/>
      <c r="C738" s="4" t="n"/>
      <c r="D738" s="5" t="n"/>
      <c r="E738" s="5" t="n"/>
      <c r="F738" s="5" t="n"/>
      <c r="G738" s="5" t="n"/>
    </row>
    <row r="739">
      <c r="A739" s="98" t="n"/>
      <c r="B739" s="5" t="n"/>
      <c r="C739" s="4" t="n"/>
      <c r="D739" s="5" t="n"/>
      <c r="E739" s="5" t="n"/>
      <c r="F739" s="5" t="n"/>
      <c r="G739" s="5" t="n"/>
    </row>
    <row r="740">
      <c r="A740" s="98" t="n"/>
      <c r="B740" s="5" t="n"/>
      <c r="C740" s="4" t="n"/>
      <c r="D740" s="5" t="n"/>
      <c r="E740" s="5" t="n"/>
      <c r="F740" s="5" t="n"/>
      <c r="G740" s="5" t="n"/>
    </row>
    <row r="741">
      <c r="A741" s="98" t="n"/>
      <c r="B741" s="5" t="n"/>
      <c r="C741" s="4" t="n"/>
      <c r="D741" s="5" t="n"/>
      <c r="E741" s="5" t="n"/>
      <c r="F741" s="5" t="n"/>
      <c r="G741" s="5" t="n"/>
    </row>
    <row r="742">
      <c r="A742" s="98" t="n"/>
      <c r="B742" s="5" t="n"/>
      <c r="C742" s="4" t="n"/>
      <c r="D742" s="5" t="n"/>
      <c r="E742" s="5" t="n"/>
      <c r="F742" s="5" t="n"/>
      <c r="G742" s="5" t="n"/>
    </row>
    <row r="743">
      <c r="A743" s="98" t="n"/>
      <c r="B743" s="5" t="n"/>
      <c r="C743" s="4" t="n"/>
      <c r="D743" s="5" t="n"/>
      <c r="E743" s="5" t="n"/>
      <c r="F743" s="5" t="n"/>
      <c r="G743" s="5" t="n"/>
    </row>
    <row r="744">
      <c r="A744" s="98" t="n"/>
      <c r="B744" s="5" t="n"/>
      <c r="C744" s="4" t="n"/>
      <c r="D744" s="5" t="n"/>
      <c r="E744" s="5" t="n"/>
      <c r="F744" s="5" t="n"/>
      <c r="G744" s="5" t="n"/>
    </row>
    <row r="745">
      <c r="A745" s="98" t="n"/>
      <c r="B745" s="5" t="n"/>
      <c r="C745" s="4" t="n"/>
      <c r="D745" s="5" t="n"/>
      <c r="E745" s="5" t="n"/>
      <c r="F745" s="5" t="n"/>
      <c r="G745" s="5" t="n"/>
    </row>
    <row r="746">
      <c r="A746" s="98" t="n"/>
      <c r="B746" s="5" t="n"/>
      <c r="C746" s="4" t="n"/>
      <c r="D746" s="5" t="n"/>
      <c r="E746" s="5" t="n"/>
      <c r="F746" s="5" t="n"/>
      <c r="G746" s="5" t="n"/>
    </row>
    <row r="747">
      <c r="A747" s="98" t="n"/>
      <c r="B747" s="5" t="n"/>
      <c r="C747" s="4" t="n"/>
      <c r="D747" s="5" t="n"/>
      <c r="E747" s="5" t="n"/>
      <c r="F747" s="5" t="n"/>
      <c r="G747" s="5" t="n"/>
    </row>
    <row r="748">
      <c r="A748" s="98" t="n"/>
      <c r="B748" s="5" t="n"/>
      <c r="C748" s="4" t="n"/>
      <c r="D748" s="5" t="n"/>
      <c r="E748" s="5" t="n"/>
      <c r="F748" s="5" t="n"/>
      <c r="G748" s="5" t="n"/>
    </row>
    <row r="749">
      <c r="A749" s="98" t="n"/>
      <c r="B749" s="5" t="n"/>
      <c r="C749" s="4" t="n"/>
      <c r="D749" s="5" t="n"/>
      <c r="E749" s="5" t="n"/>
      <c r="F749" s="5" t="n"/>
      <c r="G749" s="5" t="n"/>
    </row>
    <row r="750">
      <c r="A750" s="98" t="n"/>
      <c r="B750" s="5" t="n"/>
      <c r="C750" s="4" t="n"/>
      <c r="D750" s="5" t="n"/>
      <c r="E750" s="5" t="n"/>
      <c r="F750" s="5" t="n"/>
      <c r="G750" s="5" t="n"/>
    </row>
    <row r="751">
      <c r="A751" s="98" t="n"/>
      <c r="B751" s="5" t="n"/>
      <c r="C751" s="4" t="n"/>
      <c r="D751" s="5" t="n"/>
      <c r="E751" s="5" t="n"/>
      <c r="F751" s="5" t="n"/>
      <c r="G751" s="5" t="n"/>
    </row>
    <row r="752">
      <c r="A752" s="98" t="n"/>
      <c r="B752" s="5" t="n"/>
      <c r="C752" s="4" t="n"/>
      <c r="D752" s="5" t="n"/>
      <c r="E752" s="5" t="n"/>
      <c r="F752" s="5" t="n"/>
      <c r="G752" s="5" t="n"/>
    </row>
    <row r="753">
      <c r="A753" s="98" t="n"/>
      <c r="B753" s="5" t="n"/>
      <c r="C753" s="4" t="n"/>
      <c r="D753" s="5" t="n"/>
      <c r="E753" s="5" t="n"/>
      <c r="F753" s="5" t="n"/>
      <c r="G753" s="5" t="n"/>
    </row>
    <row r="754">
      <c r="A754" s="98" t="n"/>
      <c r="B754" s="5" t="n"/>
      <c r="C754" s="4" t="n"/>
      <c r="D754" s="5" t="n"/>
      <c r="E754" s="5" t="n"/>
      <c r="F754" s="5" t="n"/>
      <c r="G754" s="5" t="n"/>
    </row>
    <row r="755">
      <c r="A755" s="98" t="n"/>
      <c r="B755" s="5" t="n"/>
      <c r="C755" s="4" t="n"/>
      <c r="D755" s="5" t="n"/>
      <c r="E755" s="5" t="n"/>
      <c r="F755" s="5" t="n"/>
      <c r="G755" s="5" t="n"/>
    </row>
    <row r="756">
      <c r="A756" s="98" t="n"/>
      <c r="B756" s="5" t="n"/>
      <c r="C756" s="4" t="n"/>
      <c r="D756" s="5" t="n"/>
      <c r="E756" s="5" t="n"/>
      <c r="F756" s="5" t="n"/>
      <c r="G756" s="5" t="n"/>
    </row>
    <row r="757">
      <c r="A757" s="98" t="n"/>
      <c r="B757" s="5" t="n"/>
      <c r="C757" s="4" t="n"/>
      <c r="D757" s="5" t="n"/>
      <c r="E757" s="5" t="n"/>
      <c r="F757" s="5" t="n"/>
      <c r="G757" s="5" t="n"/>
    </row>
    <row r="758">
      <c r="A758" s="98" t="n"/>
      <c r="B758" s="5" t="n"/>
      <c r="C758" s="4" t="n"/>
      <c r="D758" s="5" t="n"/>
      <c r="E758" s="5" t="n"/>
      <c r="F758" s="5" t="n"/>
      <c r="G758" s="5" t="n"/>
    </row>
    <row r="759">
      <c r="A759" s="98" t="n"/>
      <c r="B759" s="5" t="n"/>
      <c r="C759" s="4" t="n"/>
      <c r="D759" s="5" t="n"/>
      <c r="E759" s="5" t="n"/>
      <c r="F759" s="5" t="n"/>
      <c r="G759" s="5" t="n"/>
    </row>
    <row r="760">
      <c r="A760" s="98" t="n"/>
      <c r="B760" s="5" t="n"/>
      <c r="C760" s="4" t="n"/>
      <c r="D760" s="5" t="n"/>
      <c r="E760" s="5" t="n"/>
      <c r="F760" s="5" t="n"/>
      <c r="G760" s="5" t="n"/>
    </row>
    <row r="761">
      <c r="A761" s="98" t="n"/>
      <c r="B761" s="5" t="n"/>
      <c r="C761" s="4" t="n"/>
      <c r="D761" s="5" t="n"/>
      <c r="E761" s="5" t="n"/>
      <c r="F761" s="5" t="n"/>
      <c r="G761" s="5" t="n"/>
    </row>
    <row r="762">
      <c r="A762" s="98" t="n"/>
      <c r="B762" s="5" t="n"/>
      <c r="C762" s="4" t="n"/>
      <c r="D762" s="5" t="n"/>
      <c r="E762" s="5" t="n"/>
      <c r="F762" s="5" t="n"/>
      <c r="G762" s="5" t="n"/>
    </row>
    <row r="763">
      <c r="A763" s="98" t="n"/>
      <c r="B763" s="5" t="n"/>
      <c r="C763" s="4" t="n"/>
      <c r="D763" s="5" t="n"/>
      <c r="E763" s="5" t="n"/>
      <c r="F763" s="5" t="n"/>
      <c r="G763" s="5" t="n"/>
    </row>
    <row r="764">
      <c r="A764" s="98" t="n"/>
      <c r="B764" s="5" t="n"/>
      <c r="C764" s="4" t="n"/>
      <c r="D764" s="5" t="n"/>
      <c r="E764" s="5" t="n"/>
      <c r="F764" s="5" t="n"/>
      <c r="G764" s="5" t="n"/>
    </row>
    <row r="765">
      <c r="A765" s="98" t="n"/>
      <c r="B765" s="5" t="n"/>
      <c r="C765" s="4" t="n"/>
      <c r="D765" s="5" t="n"/>
      <c r="E765" s="5" t="n"/>
      <c r="F765" s="5" t="n"/>
      <c r="G765" s="5" t="n"/>
    </row>
    <row r="766">
      <c r="A766" s="98" t="n"/>
      <c r="B766" s="5" t="n"/>
      <c r="C766" s="4" t="n"/>
      <c r="D766" s="5" t="n"/>
      <c r="E766" s="5" t="n"/>
      <c r="F766" s="5" t="n"/>
      <c r="G766" s="5" t="n"/>
    </row>
    <row r="767">
      <c r="A767" s="98" t="n"/>
      <c r="B767" s="5" t="n"/>
      <c r="C767" s="4" t="n"/>
      <c r="D767" s="5" t="n"/>
      <c r="E767" s="5" t="n"/>
      <c r="F767" s="5" t="n"/>
      <c r="G767" s="5" t="n"/>
    </row>
    <row r="768">
      <c r="A768" s="98" t="n"/>
      <c r="B768" s="5" t="n"/>
      <c r="C768" s="4" t="n"/>
      <c r="D768" s="5" t="n"/>
      <c r="E768" s="5" t="n"/>
      <c r="F768" s="5" t="n"/>
      <c r="G768" s="5" t="n"/>
    </row>
    <row r="769">
      <c r="A769" s="98" t="n"/>
      <c r="B769" s="5" t="n"/>
      <c r="C769" s="4" t="n"/>
      <c r="D769" s="5" t="n"/>
      <c r="E769" s="5" t="n"/>
      <c r="F769" s="5" t="n"/>
      <c r="G769" s="5" t="n"/>
    </row>
    <row r="770">
      <c r="A770" s="98" t="n"/>
      <c r="B770" s="5" t="n"/>
      <c r="C770" s="4" t="n"/>
      <c r="D770" s="5" t="n"/>
      <c r="E770" s="5" t="n"/>
      <c r="F770" s="5" t="n"/>
      <c r="G770" s="5" t="n"/>
    </row>
    <row r="771">
      <c r="A771" s="98" t="n"/>
      <c r="B771" s="5" t="n"/>
      <c r="C771" s="4" t="n"/>
      <c r="D771" s="5" t="n"/>
      <c r="E771" s="5" t="n"/>
      <c r="F771" s="5" t="n"/>
      <c r="G771" s="5" t="n"/>
    </row>
    <row r="772">
      <c r="A772" s="98" t="n"/>
      <c r="B772" s="5" t="n"/>
      <c r="C772" s="4" t="n"/>
      <c r="D772" s="5" t="n"/>
      <c r="E772" s="5" t="n"/>
      <c r="F772" s="5" t="n"/>
      <c r="G772" s="5" t="n"/>
    </row>
    <row r="773">
      <c r="A773" s="98" t="n"/>
      <c r="B773" s="5" t="n"/>
      <c r="C773" s="4" t="n"/>
      <c r="D773" s="5" t="n"/>
      <c r="E773" s="5" t="n"/>
      <c r="F773" s="5" t="n"/>
      <c r="G773" s="5" t="n"/>
    </row>
    <row r="774">
      <c r="A774" s="98" t="n"/>
      <c r="B774" s="5" t="n"/>
      <c r="C774" s="4" t="n"/>
      <c r="D774" s="5" t="n"/>
      <c r="E774" s="5" t="n"/>
      <c r="F774" s="5" t="n"/>
      <c r="G774" s="5" t="n"/>
    </row>
    <row r="775">
      <c r="A775" s="98" t="n"/>
      <c r="B775" s="5" t="n"/>
      <c r="C775" s="4" t="n"/>
      <c r="D775" s="5" t="n"/>
      <c r="E775" s="5" t="n"/>
      <c r="F775" s="5" t="n"/>
      <c r="G775" s="5" t="n"/>
    </row>
    <row r="776">
      <c r="A776" s="98" t="n"/>
      <c r="B776" s="5" t="n"/>
      <c r="C776" s="4" t="n"/>
      <c r="D776" s="5" t="n"/>
      <c r="E776" s="5" t="n"/>
      <c r="F776" s="5" t="n"/>
      <c r="G776" s="5" t="n"/>
    </row>
    <row r="777">
      <c r="A777" s="98" t="n"/>
      <c r="B777" s="5" t="n"/>
      <c r="C777" s="4" t="n"/>
      <c r="D777" s="5" t="n"/>
      <c r="E777" s="5" t="n"/>
      <c r="F777" s="5" t="n"/>
      <c r="G777" s="5" t="n"/>
    </row>
    <row r="778">
      <c r="A778" s="98" t="n"/>
      <c r="B778" s="5" t="n"/>
      <c r="C778" s="4" t="n"/>
      <c r="D778" s="5" t="n"/>
      <c r="E778" s="5" t="n"/>
      <c r="F778" s="5" t="n"/>
      <c r="G778" s="5" t="n"/>
    </row>
    <row r="779">
      <c r="A779" s="98" t="n"/>
      <c r="B779" s="5" t="n"/>
      <c r="C779" s="4" t="n"/>
      <c r="D779" s="5" t="n"/>
      <c r="E779" s="5" t="n"/>
      <c r="F779" s="5" t="n"/>
      <c r="G779" s="5" t="n"/>
    </row>
    <row r="780">
      <c r="A780" s="98" t="n"/>
      <c r="B780" s="5" t="n"/>
      <c r="C780" s="4" t="n"/>
      <c r="D780" s="5" t="n"/>
      <c r="E780" s="5" t="n"/>
      <c r="F780" s="5" t="n"/>
      <c r="G780" s="5" t="n"/>
    </row>
    <row r="781">
      <c r="A781" s="98" t="n"/>
      <c r="B781" s="5" t="n"/>
      <c r="C781" s="4" t="n"/>
      <c r="D781" s="5" t="n"/>
      <c r="E781" s="5" t="n"/>
      <c r="F781" s="5" t="n"/>
      <c r="G781" s="5" t="n"/>
    </row>
    <row r="782">
      <c r="A782" s="98" t="n"/>
      <c r="B782" s="5" t="n"/>
      <c r="C782" s="4" t="n"/>
      <c r="D782" s="5" t="n"/>
      <c r="E782" s="5" t="n"/>
      <c r="F782" s="5" t="n"/>
      <c r="G782" s="5" t="n"/>
    </row>
    <row r="783">
      <c r="A783" s="98" t="n"/>
      <c r="B783" s="5" t="n"/>
      <c r="C783" s="4" t="n"/>
      <c r="D783" s="5" t="n"/>
      <c r="E783" s="5" t="n"/>
      <c r="F783" s="5" t="n"/>
      <c r="G783" s="5" t="n"/>
    </row>
    <row r="784">
      <c r="A784" s="98" t="n"/>
      <c r="B784" s="5" t="n"/>
      <c r="C784" s="4" t="n"/>
      <c r="D784" s="5" t="n"/>
      <c r="E784" s="5" t="n"/>
      <c r="F784" s="5" t="n"/>
      <c r="G784" s="5" t="n"/>
    </row>
    <row r="785">
      <c r="A785" s="98" t="n"/>
      <c r="B785" s="5" t="n"/>
      <c r="C785" s="4" t="n"/>
      <c r="D785" s="5" t="n"/>
      <c r="E785" s="5" t="n"/>
      <c r="F785" s="5" t="n"/>
      <c r="G785" s="5" t="n"/>
    </row>
    <row r="786">
      <c r="A786" s="98" t="n"/>
      <c r="B786" s="5" t="n"/>
      <c r="C786" s="4" t="n"/>
      <c r="D786" s="5" t="n"/>
      <c r="E786" s="5" t="n"/>
      <c r="F786" s="5" t="n"/>
      <c r="G786" s="5" t="n"/>
    </row>
    <row r="787">
      <c r="A787" s="98" t="n"/>
      <c r="B787" s="5" t="n"/>
      <c r="C787" s="4" t="n"/>
      <c r="D787" s="5" t="n"/>
      <c r="E787" s="5" t="n"/>
      <c r="F787" s="5" t="n"/>
      <c r="G787" s="5" t="n"/>
    </row>
    <row r="788">
      <c r="A788" s="98" t="n"/>
      <c r="B788" s="5" t="n"/>
      <c r="C788" s="4" t="n"/>
      <c r="D788" s="5" t="n"/>
      <c r="E788" s="5" t="n"/>
      <c r="F788" s="5" t="n"/>
      <c r="G788" s="5" t="n"/>
    </row>
    <row r="789">
      <c r="A789" s="98" t="n"/>
      <c r="B789" s="5" t="n"/>
      <c r="C789" s="4" t="n"/>
      <c r="D789" s="5" t="n"/>
      <c r="E789" s="5" t="n"/>
      <c r="F789" s="5" t="n"/>
      <c r="G789" s="5" t="n"/>
    </row>
    <row r="790">
      <c r="A790" s="98" t="n"/>
      <c r="B790" s="5" t="n"/>
      <c r="C790" s="4" t="n"/>
      <c r="D790" s="5" t="n"/>
      <c r="E790" s="5" t="n"/>
      <c r="F790" s="5" t="n"/>
      <c r="G790" s="5" t="n"/>
    </row>
    <row r="791">
      <c r="A791" s="98" t="n"/>
      <c r="B791" s="5" t="n"/>
      <c r="C791" s="4" t="n"/>
      <c r="D791" s="5" t="n"/>
      <c r="E791" s="5" t="n"/>
      <c r="F791" s="5" t="n"/>
      <c r="G791" s="5" t="n"/>
    </row>
    <row r="792">
      <c r="A792" s="98" t="n"/>
      <c r="B792" s="5" t="n"/>
      <c r="C792" s="4" t="n"/>
      <c r="D792" s="5" t="n"/>
      <c r="E792" s="5" t="n"/>
      <c r="F792" s="5" t="n"/>
      <c r="G792" s="5" t="n"/>
    </row>
    <row r="793">
      <c r="A793" s="98" t="n"/>
      <c r="B793" s="5" t="n"/>
      <c r="C793" s="4" t="n"/>
      <c r="D793" s="5" t="n"/>
      <c r="E793" s="5" t="n"/>
      <c r="F793" s="5" t="n"/>
      <c r="G793" s="5" t="n"/>
    </row>
    <row r="794">
      <c r="A794" s="98" t="n"/>
      <c r="B794" s="5" t="n"/>
      <c r="C794" s="4" t="n"/>
      <c r="D794" s="5" t="n"/>
      <c r="E794" s="5" t="n"/>
      <c r="F794" s="5" t="n"/>
      <c r="G794" s="5" t="n"/>
    </row>
    <row r="795">
      <c r="A795" s="98" t="n"/>
      <c r="B795" s="5" t="n"/>
      <c r="C795" s="4" t="n"/>
      <c r="D795" s="5" t="n"/>
      <c r="E795" s="5" t="n"/>
      <c r="F795" s="5" t="n"/>
      <c r="G795" s="5" t="n"/>
    </row>
    <row r="796">
      <c r="A796" s="98" t="n"/>
      <c r="B796" s="5" t="n"/>
      <c r="C796" s="4" t="n"/>
      <c r="D796" s="5" t="n"/>
      <c r="E796" s="5" t="n"/>
      <c r="F796" s="5" t="n"/>
      <c r="G796" s="5" t="n"/>
    </row>
    <row r="797">
      <c r="A797" s="98" t="n"/>
      <c r="B797" s="5" t="n"/>
      <c r="C797" s="4" t="n"/>
      <c r="D797" s="5" t="n"/>
      <c r="E797" s="5" t="n"/>
      <c r="F797" s="5" t="n"/>
      <c r="G797" s="5" t="n"/>
    </row>
    <row r="798">
      <c r="A798" s="98" t="n"/>
      <c r="B798" s="5" t="n"/>
      <c r="C798" s="4" t="n"/>
      <c r="D798" s="5" t="n"/>
      <c r="E798" s="5" t="n"/>
      <c r="F798" s="5" t="n"/>
      <c r="G798" s="5" t="n"/>
    </row>
    <row r="799">
      <c r="A799" s="98" t="n"/>
      <c r="B799" s="5" t="n"/>
      <c r="C799" s="4" t="n"/>
      <c r="D799" s="5" t="n"/>
      <c r="E799" s="5" t="n"/>
      <c r="F799" s="5" t="n"/>
      <c r="G799" s="5" t="n"/>
    </row>
    <row r="800">
      <c r="A800" s="98" t="n"/>
      <c r="B800" s="5" t="n"/>
      <c r="C800" s="4" t="n"/>
      <c r="D800" s="5" t="n"/>
      <c r="E800" s="5" t="n"/>
      <c r="F800" s="5" t="n"/>
      <c r="G800" s="5" t="n"/>
    </row>
    <row r="801">
      <c r="A801" s="98" t="n"/>
      <c r="B801" s="5" t="n"/>
      <c r="C801" s="4" t="n"/>
      <c r="D801" s="5" t="n"/>
      <c r="E801" s="5" t="n"/>
      <c r="F801" s="5" t="n"/>
      <c r="G801" s="5" t="n"/>
    </row>
    <row r="802">
      <c r="A802" s="98" t="n"/>
      <c r="B802" s="5" t="n"/>
      <c r="C802" s="4" t="n"/>
      <c r="D802" s="5" t="n"/>
      <c r="E802" s="5" t="n"/>
      <c r="F802" s="5" t="n"/>
      <c r="G802" s="5" t="n"/>
    </row>
    <row r="803">
      <c r="A803" s="98" t="n"/>
      <c r="B803" s="5" t="n"/>
      <c r="C803" s="4" t="n"/>
      <c r="D803" s="5" t="n"/>
      <c r="E803" s="5" t="n"/>
      <c r="F803" s="5" t="n"/>
      <c r="G803" s="5" t="n"/>
    </row>
    <row r="804">
      <c r="A804" s="98" t="n"/>
      <c r="B804" s="5" t="n"/>
      <c r="C804" s="4" t="n"/>
      <c r="D804" s="5" t="n"/>
      <c r="E804" s="5" t="n"/>
      <c r="F804" s="5" t="n"/>
      <c r="G804" s="5" t="n"/>
    </row>
    <row r="805">
      <c r="A805" s="98" t="n"/>
      <c r="B805" s="5" t="n"/>
      <c r="C805" s="4" t="n"/>
      <c r="D805" s="5" t="n"/>
      <c r="E805" s="5" t="n"/>
      <c r="F805" s="5" t="n"/>
      <c r="G805" s="5" t="n"/>
    </row>
    <row r="806">
      <c r="A806" s="98" t="n"/>
      <c r="B806" s="5" t="n"/>
      <c r="C806" s="4" t="n"/>
      <c r="D806" s="5" t="n"/>
      <c r="E806" s="5" t="n"/>
      <c r="F806" s="5" t="n"/>
      <c r="G806" s="5" t="n"/>
    </row>
    <row r="807">
      <c r="A807" s="98" t="n"/>
      <c r="B807" s="5" t="n"/>
      <c r="C807" s="4" t="n"/>
      <c r="D807" s="5" t="n"/>
      <c r="E807" s="5" t="n"/>
      <c r="F807" s="5" t="n"/>
      <c r="G807" s="5" t="n"/>
    </row>
    <row r="808">
      <c r="A808" s="98" t="n"/>
      <c r="B808" s="5" t="n"/>
      <c r="C808" s="4" t="n"/>
      <c r="D808" s="5" t="n"/>
      <c r="E808" s="5" t="n"/>
      <c r="F808" s="5" t="n"/>
      <c r="G808" s="5" t="n"/>
    </row>
    <row r="809">
      <c r="A809" s="98" t="n"/>
      <c r="B809" s="5" t="n"/>
      <c r="C809" s="4" t="n"/>
      <c r="D809" s="5" t="n"/>
      <c r="E809" s="5" t="n"/>
      <c r="F809" s="5" t="n"/>
      <c r="G809" s="5" t="n"/>
    </row>
    <row r="810">
      <c r="A810" s="98" t="n"/>
      <c r="B810" s="5" t="n"/>
      <c r="C810" s="4" t="n"/>
      <c r="D810" s="5" t="n"/>
      <c r="E810" s="5" t="n"/>
      <c r="F810" s="5" t="n"/>
      <c r="G810" s="5" t="n"/>
    </row>
    <row r="811">
      <c r="A811" s="98" t="n"/>
      <c r="B811" s="5" t="n"/>
      <c r="C811" s="4" t="n"/>
      <c r="D811" s="5" t="n"/>
      <c r="E811" s="5" t="n"/>
      <c r="F811" s="5" t="n"/>
      <c r="G811" s="5" t="n"/>
    </row>
    <row r="812">
      <c r="A812" s="98" t="n"/>
      <c r="B812" s="5" t="n"/>
      <c r="C812" s="4" t="n"/>
      <c r="D812" s="5" t="n"/>
      <c r="E812" s="5" t="n"/>
      <c r="F812" s="5" t="n"/>
      <c r="G812" s="5" t="n"/>
    </row>
    <row r="813">
      <c r="A813" s="98" t="n"/>
      <c r="B813" s="5" t="n"/>
      <c r="C813" s="4" t="n"/>
      <c r="D813" s="5" t="n"/>
      <c r="E813" s="5" t="n"/>
      <c r="F813" s="5" t="n"/>
      <c r="G813" s="5" t="n"/>
    </row>
    <row r="814">
      <c r="A814" s="98" t="n"/>
      <c r="B814" s="5" t="n"/>
      <c r="C814" s="4" t="n"/>
      <c r="D814" s="5" t="n"/>
      <c r="E814" s="5" t="n"/>
      <c r="F814" s="5" t="n"/>
      <c r="G814" s="5" t="n"/>
    </row>
    <row r="815">
      <c r="A815" s="98" t="n"/>
      <c r="B815" s="5" t="n"/>
      <c r="C815" s="4" t="n"/>
      <c r="D815" s="5" t="n"/>
      <c r="E815" s="5" t="n"/>
      <c r="F815" s="5" t="n"/>
      <c r="G815" s="5" t="n"/>
    </row>
    <row r="816">
      <c r="A816" s="98" t="n"/>
      <c r="B816" s="5" t="n"/>
      <c r="C816" s="4" t="n"/>
      <c r="D816" s="5" t="n"/>
      <c r="E816" s="5" t="n"/>
      <c r="F816" s="5" t="n"/>
      <c r="G816" s="5" t="n"/>
    </row>
    <row r="817">
      <c r="A817" s="98" t="n"/>
      <c r="B817" s="5" t="n"/>
      <c r="C817" s="4" t="n"/>
      <c r="D817" s="5" t="n"/>
      <c r="E817" s="5" t="n"/>
      <c r="F817" s="5" t="n"/>
      <c r="G817" s="5" t="n"/>
    </row>
    <row r="818">
      <c r="A818" s="98" t="n"/>
      <c r="B818" s="5" t="n"/>
      <c r="C818" s="4" t="n"/>
      <c r="D818" s="5" t="n"/>
      <c r="E818" s="5" t="n"/>
      <c r="F818" s="5" t="n"/>
      <c r="G818" s="5" t="n"/>
    </row>
    <row r="819">
      <c r="A819" s="98" t="n"/>
      <c r="B819" s="5" t="n"/>
      <c r="C819" s="4" t="n"/>
      <c r="D819" s="5" t="n"/>
      <c r="E819" s="5" t="n"/>
      <c r="F819" s="5" t="n"/>
      <c r="G819" s="5" t="n"/>
    </row>
    <row r="820">
      <c r="A820" s="98" t="n"/>
      <c r="B820" s="5" t="n"/>
      <c r="C820" s="4" t="n"/>
      <c r="D820" s="5" t="n"/>
      <c r="E820" s="5" t="n"/>
      <c r="F820" s="5" t="n"/>
      <c r="G820" s="5" t="n"/>
    </row>
    <row r="821">
      <c r="A821" s="98" t="n"/>
      <c r="B821" s="5" t="n"/>
      <c r="C821" s="4" t="n"/>
      <c r="D821" s="5" t="n"/>
      <c r="E821" s="5" t="n"/>
      <c r="F821" s="5" t="n"/>
      <c r="G821" s="5" t="n"/>
    </row>
    <row r="822">
      <c r="A822" s="98" t="n"/>
      <c r="B822" s="5" t="n"/>
      <c r="C822" s="4" t="n"/>
      <c r="D822" s="5" t="n"/>
      <c r="E822" s="5" t="n"/>
      <c r="F822" s="5" t="n"/>
      <c r="G822" s="5" t="n"/>
    </row>
    <row r="823">
      <c r="A823" s="98" t="n"/>
      <c r="B823" s="5" t="n"/>
      <c r="C823" s="4" t="n"/>
      <c r="D823" s="5" t="n"/>
      <c r="E823" s="5" t="n"/>
      <c r="F823" s="5" t="n"/>
      <c r="G823" s="5" t="n"/>
    </row>
    <row r="824">
      <c r="A824" s="98" t="n"/>
      <c r="B824" s="5" t="n"/>
      <c r="C824" s="4" t="n"/>
      <c r="D824" s="5" t="n"/>
      <c r="E824" s="5" t="n"/>
      <c r="F824" s="5" t="n"/>
      <c r="G824" s="5" t="n"/>
    </row>
    <row r="825">
      <c r="A825" s="98" t="n"/>
      <c r="B825" s="5" t="n"/>
      <c r="C825" s="4" t="n"/>
      <c r="D825" s="5" t="n"/>
      <c r="E825" s="5" t="n"/>
      <c r="F825" s="5" t="n"/>
      <c r="G825" s="5" t="n"/>
    </row>
    <row r="826">
      <c r="A826" s="98" t="n"/>
      <c r="B826" s="5" t="n"/>
      <c r="C826" s="4" t="n"/>
      <c r="D826" s="5" t="n"/>
      <c r="E826" s="5" t="n"/>
      <c r="F826" s="5" t="n"/>
      <c r="G826" s="5" t="n"/>
    </row>
    <row r="827">
      <c r="A827" s="98" t="n"/>
      <c r="B827" s="5" t="n"/>
      <c r="C827" s="4" t="n"/>
      <c r="D827" s="5" t="n"/>
      <c r="E827" s="5" t="n"/>
      <c r="F827" s="5" t="n"/>
      <c r="G827" s="5" t="n"/>
    </row>
    <row r="828">
      <c r="A828" s="98" t="n"/>
      <c r="B828" s="5" t="n"/>
      <c r="C828" s="4" t="n"/>
      <c r="D828" s="5" t="n"/>
      <c r="E828" s="5" t="n"/>
      <c r="F828" s="5" t="n"/>
      <c r="G828" s="5" t="n"/>
    </row>
    <row r="829">
      <c r="A829" s="98" t="n"/>
      <c r="B829" s="5" t="n"/>
      <c r="C829" s="4" t="n"/>
      <c r="D829" s="5" t="n"/>
      <c r="E829" s="5" t="n"/>
      <c r="F829" s="5" t="n"/>
      <c r="G829" s="5" t="n"/>
    </row>
    <row r="830">
      <c r="A830" s="98" t="n"/>
      <c r="B830" s="5" t="n"/>
      <c r="C830" s="4" t="n"/>
      <c r="D830" s="5" t="n"/>
      <c r="E830" s="5" t="n"/>
      <c r="F830" s="5" t="n"/>
      <c r="G830" s="5" t="n"/>
    </row>
    <row r="831">
      <c r="A831" s="98" t="n"/>
      <c r="B831" s="5" t="n"/>
      <c r="C831" s="4" t="n"/>
      <c r="D831" s="5" t="n"/>
      <c r="E831" s="5" t="n"/>
      <c r="F831" s="5" t="n"/>
      <c r="G831" s="5" t="n"/>
    </row>
    <row r="832">
      <c r="A832" s="98" t="n"/>
      <c r="B832" s="5" t="n"/>
      <c r="C832" s="4" t="n"/>
      <c r="D832" s="5" t="n"/>
      <c r="E832" s="5" t="n"/>
      <c r="F832" s="5" t="n"/>
      <c r="G832" s="5" t="n"/>
    </row>
    <row r="833">
      <c r="A833" s="98" t="n"/>
      <c r="B833" s="5" t="n"/>
      <c r="C833" s="4" t="n"/>
      <c r="D833" s="5" t="n"/>
      <c r="E833" s="5" t="n"/>
      <c r="F833" s="5" t="n"/>
      <c r="G833" s="5" t="n"/>
    </row>
    <row r="834">
      <c r="A834" s="98" t="n"/>
      <c r="B834" s="5" t="n"/>
      <c r="C834" s="4" t="n"/>
      <c r="D834" s="5" t="n"/>
      <c r="E834" s="5" t="n"/>
      <c r="F834" s="5" t="n"/>
      <c r="G834" s="5" t="n"/>
    </row>
    <row r="835">
      <c r="A835" s="98" t="n"/>
      <c r="B835" s="5" t="n"/>
      <c r="C835" s="4" t="n"/>
      <c r="D835" s="5" t="n"/>
      <c r="E835" s="5" t="n"/>
      <c r="F835" s="5" t="n"/>
      <c r="G835" s="5" t="n"/>
    </row>
    <row r="836">
      <c r="A836" s="98" t="n"/>
      <c r="B836" s="5" t="n"/>
      <c r="C836" s="4" t="n"/>
      <c r="D836" s="5" t="n"/>
      <c r="E836" s="5" t="n"/>
      <c r="F836" s="5" t="n"/>
      <c r="G836" s="5" t="n"/>
    </row>
    <row r="837">
      <c r="A837" s="98" t="n"/>
      <c r="B837" s="5" t="n"/>
      <c r="C837" s="4" t="n"/>
      <c r="D837" s="5" t="n"/>
      <c r="E837" s="5" t="n"/>
      <c r="F837" s="5" t="n"/>
      <c r="G837" s="5" t="n"/>
    </row>
    <row r="838">
      <c r="A838" s="98" t="n"/>
      <c r="B838" s="5" t="n"/>
      <c r="C838" s="4" t="n"/>
      <c r="D838" s="5" t="n"/>
      <c r="E838" s="5" t="n"/>
      <c r="F838" s="5" t="n"/>
      <c r="G838" s="5" t="n"/>
    </row>
    <row r="839">
      <c r="A839" s="98" t="n"/>
      <c r="B839" s="5" t="n"/>
      <c r="C839" s="4" t="n"/>
      <c r="D839" s="5" t="n"/>
      <c r="E839" s="5" t="n"/>
      <c r="F839" s="5" t="n"/>
      <c r="G839" s="5" t="n"/>
    </row>
    <row r="840">
      <c r="A840" s="98" t="n"/>
      <c r="B840" s="5" t="n"/>
      <c r="C840" s="4" t="n"/>
      <c r="D840" s="5" t="n"/>
      <c r="E840" s="5" t="n"/>
      <c r="F840" s="5" t="n"/>
      <c r="G840" s="5" t="n"/>
    </row>
    <row r="841">
      <c r="A841" s="98" t="n"/>
      <c r="B841" s="5" t="n"/>
      <c r="C841" s="4" t="n"/>
      <c r="D841" s="5" t="n"/>
      <c r="E841" s="5" t="n"/>
      <c r="F841" s="5" t="n"/>
      <c r="G841" s="5" t="n"/>
    </row>
    <row r="842">
      <c r="A842" s="98" t="n"/>
      <c r="B842" s="5" t="n"/>
      <c r="C842" s="4" t="n"/>
      <c r="D842" s="5" t="n"/>
      <c r="E842" s="5" t="n"/>
      <c r="F842" s="5" t="n"/>
      <c r="G842" s="5" t="n"/>
    </row>
    <row r="843">
      <c r="A843" s="98" t="n"/>
      <c r="B843" s="5" t="n"/>
      <c r="C843" s="4" t="n"/>
      <c r="D843" s="5" t="n"/>
      <c r="E843" s="5" t="n"/>
      <c r="F843" s="5" t="n"/>
      <c r="G843" s="5" t="n"/>
    </row>
    <row r="844">
      <c r="A844" s="98" t="n"/>
      <c r="B844" s="5" t="n"/>
      <c r="C844" s="4" t="n"/>
      <c r="D844" s="5" t="n"/>
      <c r="E844" s="5" t="n"/>
      <c r="F844" s="5" t="n"/>
      <c r="G844" s="5" t="n"/>
    </row>
    <row r="845">
      <c r="A845" s="98" t="n"/>
      <c r="B845" s="5" t="n"/>
      <c r="C845" s="4" t="n"/>
      <c r="D845" s="5" t="n"/>
      <c r="E845" s="5" t="n"/>
      <c r="F845" s="5" t="n"/>
      <c r="G845" s="5" t="n"/>
    </row>
    <row r="846">
      <c r="A846" s="98" t="n"/>
      <c r="B846" s="5" t="n"/>
      <c r="C846" s="4" t="n"/>
      <c r="D846" s="5" t="n"/>
      <c r="E846" s="5" t="n"/>
      <c r="F846" s="5" t="n"/>
      <c r="G846" s="5" t="n"/>
    </row>
    <row r="847">
      <c r="A847" s="98" t="n"/>
      <c r="B847" s="5" t="n"/>
      <c r="C847" s="4" t="n"/>
      <c r="D847" s="5" t="n"/>
      <c r="E847" s="5" t="n"/>
      <c r="F847" s="5" t="n"/>
      <c r="G847" s="5" t="n"/>
    </row>
    <row r="848">
      <c r="A848" s="98" t="n"/>
      <c r="B848" s="5" t="n"/>
      <c r="C848" s="4" t="n"/>
      <c r="D848" s="5" t="n"/>
      <c r="E848" s="5" t="n"/>
      <c r="F848" s="5" t="n"/>
      <c r="G848" s="5" t="n"/>
    </row>
    <row r="849">
      <c r="A849" s="98" t="n"/>
      <c r="B849" s="5" t="n"/>
      <c r="C849" s="4" t="n"/>
      <c r="D849" s="5" t="n"/>
      <c r="E849" s="5" t="n"/>
      <c r="F849" s="5" t="n"/>
      <c r="G849" s="5" t="n"/>
    </row>
    <row r="850">
      <c r="A850" s="98" t="n"/>
      <c r="B850" s="5" t="n"/>
      <c r="C850" s="4" t="n"/>
      <c r="D850" s="5" t="n"/>
      <c r="E850" s="5" t="n"/>
      <c r="F850" s="5" t="n"/>
      <c r="G850" s="5" t="n"/>
    </row>
    <row r="851">
      <c r="A851" s="98" t="n"/>
      <c r="B851" s="5" t="n"/>
      <c r="C851" s="4" t="n"/>
      <c r="D851" s="5" t="n"/>
      <c r="E851" s="5" t="n"/>
      <c r="F851" s="5" t="n"/>
      <c r="G851" s="5" t="n"/>
    </row>
    <row r="852">
      <c r="A852" s="98" t="n"/>
      <c r="B852" s="5" t="n"/>
      <c r="C852" s="4" t="n"/>
      <c r="D852" s="5" t="n"/>
      <c r="E852" s="5" t="n"/>
      <c r="F852" s="5" t="n"/>
      <c r="G852" s="5" t="n"/>
    </row>
    <row r="853">
      <c r="A853" s="98" t="n"/>
      <c r="B853" s="5" t="n"/>
      <c r="C853" s="4" t="n"/>
      <c r="D853" s="5" t="n"/>
      <c r="E853" s="5" t="n"/>
      <c r="F853" s="5" t="n"/>
      <c r="G853" s="5" t="n"/>
    </row>
    <row r="854">
      <c r="A854" s="98" t="n"/>
      <c r="B854" s="5" t="n"/>
      <c r="C854" s="4" t="n"/>
      <c r="D854" s="5" t="n"/>
      <c r="E854" s="5" t="n"/>
      <c r="F854" s="5" t="n"/>
      <c r="G854" s="5" t="n"/>
    </row>
    <row r="855">
      <c r="A855" s="98" t="n"/>
      <c r="B855" s="5" t="n"/>
      <c r="C855" s="4" t="n"/>
      <c r="D855" s="5" t="n"/>
      <c r="E855" s="5" t="n"/>
      <c r="F855" s="5" t="n"/>
      <c r="G855" s="5" t="n"/>
    </row>
    <row r="856">
      <c r="A856" s="98" t="n"/>
      <c r="B856" s="5" t="n"/>
      <c r="C856" s="4" t="n"/>
      <c r="D856" s="5" t="n"/>
      <c r="E856" s="5" t="n"/>
      <c r="F856" s="5" t="n"/>
      <c r="G856" s="5" t="n"/>
    </row>
    <row r="857">
      <c r="A857" s="98" t="n"/>
      <c r="B857" s="5" t="n"/>
      <c r="C857" s="4" t="n"/>
      <c r="D857" s="5" t="n"/>
      <c r="E857" s="5" t="n"/>
      <c r="F857" s="5" t="n"/>
      <c r="G857" s="5" t="n"/>
    </row>
    <row r="858">
      <c r="A858" s="98" t="n"/>
      <c r="B858" s="5" t="n"/>
      <c r="C858" s="4" t="n"/>
      <c r="D858" s="5" t="n"/>
      <c r="E858" s="5" t="n"/>
      <c r="F858" s="5" t="n"/>
      <c r="G858" s="5" t="n"/>
    </row>
    <row r="859">
      <c r="A859" s="98" t="n"/>
      <c r="B859" s="5" t="n"/>
      <c r="C859" s="4" t="n"/>
      <c r="D859" s="5" t="n"/>
      <c r="E859" s="5" t="n"/>
      <c r="F859" s="5" t="n"/>
      <c r="G859" s="5" t="n"/>
    </row>
    <row r="860">
      <c r="A860" s="98" t="n"/>
      <c r="B860" s="5" t="n"/>
      <c r="C860" s="4" t="n"/>
      <c r="D860" s="5" t="n"/>
      <c r="E860" s="5" t="n"/>
      <c r="F860" s="5" t="n"/>
      <c r="G860" s="5" t="n"/>
    </row>
    <row r="861">
      <c r="A861" s="98" t="n"/>
      <c r="B861" s="5" t="n"/>
      <c r="C861" s="4" t="n"/>
      <c r="D861" s="5" t="n"/>
      <c r="E861" s="5" t="n"/>
      <c r="F861" s="5" t="n"/>
      <c r="G861" s="5" t="n"/>
    </row>
    <row r="862">
      <c r="A862" s="98" t="n"/>
      <c r="B862" s="5" t="n"/>
      <c r="C862" s="4" t="n"/>
      <c r="D862" s="5" t="n"/>
      <c r="E862" s="5" t="n"/>
      <c r="F862" s="5" t="n"/>
      <c r="G862" s="5" t="n"/>
    </row>
    <row r="863">
      <c r="A863" s="98" t="n"/>
      <c r="B863" s="5" t="n"/>
      <c r="C863" s="4" t="n"/>
      <c r="D863" s="5" t="n"/>
      <c r="E863" s="5" t="n"/>
      <c r="F863" s="5" t="n"/>
      <c r="G863" s="5" t="n"/>
    </row>
    <row r="864">
      <c r="A864" s="98" t="n"/>
      <c r="B864" s="5" t="n"/>
      <c r="C864" s="4" t="n"/>
      <c r="D864" s="5" t="n"/>
      <c r="E864" s="5" t="n"/>
      <c r="F864" s="5" t="n"/>
      <c r="G864" s="5" t="n"/>
    </row>
    <row r="865">
      <c r="A865" s="98" t="n"/>
      <c r="B865" s="5" t="n"/>
      <c r="C865" s="4" t="n"/>
      <c r="D865" s="5" t="n"/>
      <c r="E865" s="5" t="n"/>
      <c r="F865" s="5" t="n"/>
      <c r="G865" s="5" t="n"/>
    </row>
    <row r="866">
      <c r="A866" s="98" t="n"/>
      <c r="B866" s="5" t="n"/>
      <c r="C866" s="4" t="n"/>
      <c r="D866" s="5" t="n"/>
      <c r="E866" s="5" t="n"/>
      <c r="F866" s="5" t="n"/>
      <c r="G866" s="5" t="n"/>
    </row>
    <row r="867">
      <c r="A867" s="98" t="n"/>
      <c r="B867" s="5" t="n"/>
      <c r="C867" s="4" t="n"/>
      <c r="D867" s="5" t="n"/>
      <c r="E867" s="5" t="n"/>
      <c r="F867" s="5" t="n"/>
      <c r="G867" s="5" t="n"/>
    </row>
    <row r="868">
      <c r="A868" s="98" t="n"/>
      <c r="B868" s="5" t="n"/>
      <c r="C868" s="4" t="n"/>
      <c r="D868" s="5" t="n"/>
      <c r="E868" s="5" t="n"/>
      <c r="F868" s="5" t="n"/>
      <c r="G868" s="5" t="n"/>
    </row>
    <row r="869">
      <c r="A869" s="98" t="n"/>
      <c r="B869" s="5" t="n"/>
      <c r="C869" s="4" t="n"/>
      <c r="D869" s="5" t="n"/>
      <c r="E869" s="5" t="n"/>
      <c r="F869" s="5" t="n"/>
      <c r="G869" s="5" t="n"/>
    </row>
    <row r="870">
      <c r="A870" s="98" t="n"/>
      <c r="B870" s="5" t="n"/>
      <c r="C870" s="4" t="n"/>
      <c r="D870" s="5" t="n"/>
      <c r="E870" s="5" t="n"/>
      <c r="F870" s="5" t="n"/>
      <c r="G870" s="5" t="n"/>
    </row>
    <row r="871">
      <c r="A871" s="98" t="n"/>
      <c r="B871" s="5" t="n"/>
      <c r="C871" s="4" t="n"/>
      <c r="D871" s="5" t="n"/>
      <c r="E871" s="5" t="n"/>
      <c r="F871" s="5" t="n"/>
      <c r="G871" s="5" t="n"/>
    </row>
    <row r="872">
      <c r="A872" s="98" t="n"/>
      <c r="B872" s="5" t="n"/>
      <c r="C872" s="4" t="n"/>
      <c r="D872" s="5" t="n"/>
      <c r="E872" s="5" t="n"/>
      <c r="F872" s="5" t="n"/>
      <c r="G872" s="5" t="n"/>
    </row>
    <row r="873">
      <c r="A873" s="98" t="n"/>
      <c r="B873" s="5" t="n"/>
      <c r="C873" s="4" t="n"/>
      <c r="D873" s="5" t="n"/>
      <c r="E873" s="5" t="n"/>
      <c r="F873" s="5" t="n"/>
      <c r="G873" s="5" t="n"/>
    </row>
    <row r="874">
      <c r="A874" s="98" t="n"/>
      <c r="B874" s="5" t="n"/>
      <c r="C874" s="4" t="n"/>
      <c r="D874" s="5" t="n"/>
      <c r="E874" s="5" t="n"/>
      <c r="F874" s="5" t="n"/>
      <c r="G874" s="5" t="n"/>
    </row>
    <row r="875">
      <c r="A875" s="98" t="n"/>
      <c r="B875" s="5" t="n"/>
      <c r="C875" s="4" t="n"/>
      <c r="D875" s="5" t="n"/>
      <c r="E875" s="5" t="n"/>
      <c r="F875" s="5" t="n"/>
      <c r="G875" s="5" t="n"/>
    </row>
    <row r="876">
      <c r="A876" s="98" t="n"/>
      <c r="B876" s="5" t="n"/>
      <c r="C876" s="4" t="n"/>
      <c r="D876" s="5" t="n"/>
      <c r="E876" s="5" t="n"/>
      <c r="F876" s="5" t="n"/>
      <c r="G876" s="5" t="n"/>
    </row>
    <row r="877">
      <c r="A877" s="98" t="n"/>
      <c r="B877" s="5" t="n"/>
      <c r="C877" s="4" t="n"/>
      <c r="D877" s="5" t="n"/>
      <c r="E877" s="5" t="n"/>
      <c r="F877" s="5" t="n"/>
      <c r="G877" s="5" t="n"/>
    </row>
    <row r="878">
      <c r="A878" s="98" t="n"/>
      <c r="B878" s="5" t="n"/>
      <c r="C878" s="4" t="n"/>
      <c r="D878" s="5" t="n"/>
      <c r="E878" s="5" t="n"/>
      <c r="F878" s="5" t="n"/>
      <c r="G878" s="5" t="n"/>
    </row>
    <row r="879">
      <c r="A879" s="98" t="n"/>
      <c r="B879" s="5" t="n"/>
      <c r="C879" s="4" t="n"/>
      <c r="D879" s="5" t="n"/>
      <c r="E879" s="5" t="n"/>
      <c r="F879" s="5" t="n"/>
      <c r="G879" s="5" t="n"/>
    </row>
    <row r="880">
      <c r="A880" s="98" t="n"/>
      <c r="B880" s="5" t="n"/>
      <c r="C880" s="4" t="n"/>
      <c r="D880" s="5" t="n"/>
      <c r="E880" s="5" t="n"/>
      <c r="F880" s="5" t="n"/>
      <c r="G880" s="5" t="n"/>
    </row>
    <row r="881">
      <c r="A881" s="98" t="n"/>
      <c r="B881" s="5" t="n"/>
      <c r="C881" s="4" t="n"/>
      <c r="D881" s="5" t="n"/>
      <c r="E881" s="5" t="n"/>
      <c r="F881" s="5" t="n"/>
      <c r="G881" s="5" t="n"/>
    </row>
    <row r="882">
      <c r="A882" s="98" t="n"/>
      <c r="B882" s="5" t="n"/>
      <c r="C882" s="4" t="n"/>
      <c r="D882" s="5" t="n"/>
      <c r="E882" s="5" t="n"/>
      <c r="F882" s="5" t="n"/>
      <c r="G882" s="5" t="n"/>
    </row>
    <row r="883">
      <c r="A883" s="98" t="n"/>
      <c r="B883" s="5" t="n"/>
      <c r="C883" s="4" t="n"/>
      <c r="D883" s="5" t="n"/>
      <c r="E883" s="5" t="n"/>
      <c r="F883" s="5" t="n"/>
      <c r="G883" s="5" t="n"/>
    </row>
    <row r="884">
      <c r="A884" s="98" t="n"/>
      <c r="B884" s="5" t="n"/>
      <c r="C884" s="4" t="n"/>
      <c r="D884" s="5" t="n"/>
      <c r="E884" s="5" t="n"/>
      <c r="F884" s="5" t="n"/>
      <c r="G884" s="5" t="n"/>
    </row>
    <row r="885">
      <c r="A885" s="98" t="n"/>
      <c r="B885" s="5" t="n"/>
      <c r="C885" s="4" t="n"/>
      <c r="D885" s="5" t="n"/>
      <c r="E885" s="5" t="n"/>
      <c r="F885" s="5" t="n"/>
      <c r="G885" s="5" t="n"/>
    </row>
    <row r="886">
      <c r="A886" s="98" t="n"/>
      <c r="B886" s="5" t="n"/>
      <c r="C886" s="4" t="n"/>
      <c r="D886" s="5" t="n"/>
      <c r="E886" s="5" t="n"/>
      <c r="F886" s="5" t="n"/>
      <c r="G886" s="5" t="n"/>
    </row>
    <row r="887">
      <c r="A887" s="98" t="n"/>
      <c r="B887" s="5" t="n"/>
      <c r="C887" s="4" t="n"/>
      <c r="D887" s="5" t="n"/>
      <c r="E887" s="5" t="n"/>
      <c r="F887" s="5" t="n"/>
      <c r="G887" s="5" t="n"/>
    </row>
    <row r="888">
      <c r="A888" s="98" t="n"/>
      <c r="B888" s="5" t="n"/>
      <c r="C888" s="4" t="n"/>
      <c r="D888" s="5" t="n"/>
      <c r="E888" s="5" t="n"/>
      <c r="F888" s="5" t="n"/>
      <c r="G888" s="5" t="n"/>
    </row>
    <row r="889">
      <c r="A889" s="98" t="n"/>
      <c r="B889" s="5" t="n"/>
      <c r="C889" s="4" t="n"/>
      <c r="D889" s="5" t="n"/>
      <c r="E889" s="5" t="n"/>
      <c r="F889" s="5" t="n"/>
      <c r="G889" s="5" t="n"/>
    </row>
    <row r="890">
      <c r="A890" s="98" t="n"/>
      <c r="B890" s="5" t="n"/>
      <c r="C890" s="4" t="n"/>
      <c r="D890" s="5" t="n"/>
      <c r="E890" s="5" t="n"/>
      <c r="F890" s="5" t="n"/>
      <c r="G890" s="5" t="n"/>
    </row>
    <row r="891">
      <c r="A891" s="98" t="n"/>
      <c r="B891" s="5" t="n"/>
      <c r="C891" s="4" t="n"/>
      <c r="D891" s="5" t="n"/>
      <c r="E891" s="5" t="n"/>
      <c r="F891" s="5" t="n"/>
      <c r="G891" s="5" t="n"/>
    </row>
    <row r="892">
      <c r="A892" s="98" t="n"/>
      <c r="B892" s="5" t="n"/>
      <c r="C892" s="4" t="n"/>
      <c r="D892" s="5" t="n"/>
      <c r="E892" s="5" t="n"/>
      <c r="F892" s="5" t="n"/>
      <c r="G892" s="5" t="n"/>
    </row>
    <row r="893">
      <c r="A893" s="98" t="n"/>
      <c r="B893" s="5" t="n"/>
      <c r="C893" s="4" t="n"/>
      <c r="D893" s="5" t="n"/>
      <c r="E893" s="5" t="n"/>
      <c r="F893" s="5" t="n"/>
      <c r="G893" s="5" t="n"/>
    </row>
    <row r="894">
      <c r="A894" s="98" t="n"/>
      <c r="B894" s="5" t="n"/>
      <c r="C894" s="4" t="n"/>
      <c r="D894" s="5" t="n"/>
      <c r="E894" s="5" t="n"/>
      <c r="F894" s="5" t="n"/>
      <c r="G894" s="5" t="n"/>
    </row>
    <row r="895">
      <c r="A895" s="98" t="n"/>
      <c r="B895" s="5" t="n"/>
      <c r="C895" s="4" t="n"/>
      <c r="D895" s="5" t="n"/>
      <c r="E895" s="5" t="n"/>
      <c r="F895" s="5" t="n"/>
      <c r="G895" s="5" t="n"/>
    </row>
    <row r="896">
      <c r="A896" s="98" t="n"/>
      <c r="B896" s="5" t="n"/>
      <c r="C896" s="4" t="n"/>
      <c r="D896" s="5" t="n"/>
      <c r="E896" s="5" t="n"/>
      <c r="F896" s="5" t="n"/>
      <c r="G896" s="5" t="n"/>
    </row>
    <row r="897">
      <c r="A897" s="98" t="n"/>
      <c r="B897" s="5" t="n"/>
      <c r="C897" s="4" t="n"/>
      <c r="D897" s="5" t="n"/>
      <c r="E897" s="5" t="n"/>
      <c r="F897" s="5" t="n"/>
      <c r="G897" s="5" t="n"/>
    </row>
    <row r="898">
      <c r="A898" s="98" t="n"/>
      <c r="B898" s="5" t="n"/>
      <c r="C898" s="4" t="n"/>
      <c r="D898" s="5" t="n"/>
      <c r="E898" s="5" t="n"/>
      <c r="F898" s="5" t="n"/>
      <c r="G898" s="5" t="n"/>
    </row>
    <row r="899">
      <c r="A899" s="98" t="n"/>
      <c r="B899" s="5" t="n"/>
      <c r="C899" s="4" t="n"/>
      <c r="D899" s="5" t="n"/>
      <c r="E899" s="5" t="n"/>
      <c r="F899" s="5" t="n"/>
      <c r="G899" s="5" t="n"/>
    </row>
    <row r="900">
      <c r="A900" s="98" t="n"/>
      <c r="B900" s="5" t="n"/>
      <c r="C900" s="4" t="n"/>
      <c r="D900" s="5" t="n"/>
      <c r="E900" s="5" t="n"/>
      <c r="F900" s="5" t="n"/>
      <c r="G900" s="5" t="n"/>
    </row>
    <row r="901">
      <c r="A901" s="98" t="n"/>
      <c r="B901" s="5" t="n"/>
      <c r="C901" s="4" t="n"/>
      <c r="D901" s="5" t="n"/>
      <c r="E901" s="5" t="n"/>
      <c r="F901" s="5" t="n"/>
      <c r="G901" s="5" t="n"/>
    </row>
    <row r="902">
      <c r="A902" s="98" t="n"/>
      <c r="B902" s="5" t="n"/>
      <c r="C902" s="4" t="n"/>
      <c r="D902" s="5" t="n"/>
      <c r="E902" s="5" t="n"/>
      <c r="F902" s="5" t="n"/>
      <c r="G902" s="5" t="n"/>
    </row>
    <row r="903">
      <c r="A903" s="98" t="n"/>
      <c r="B903" s="5" t="n"/>
      <c r="C903" s="4" t="n"/>
      <c r="D903" s="5" t="n"/>
      <c r="E903" s="5" t="n"/>
      <c r="F903" s="5" t="n"/>
      <c r="G903" s="5" t="n"/>
    </row>
    <row r="904">
      <c r="A904" s="98" t="n"/>
      <c r="B904" s="5" t="n"/>
      <c r="C904" s="4" t="n"/>
      <c r="D904" s="5" t="n"/>
      <c r="E904" s="5" t="n"/>
      <c r="F904" s="5" t="n"/>
      <c r="G904" s="5" t="n"/>
    </row>
    <row r="905">
      <c r="A905" s="98" t="n"/>
      <c r="B905" s="5" t="n"/>
      <c r="C905" s="4" t="n"/>
      <c r="D905" s="5" t="n"/>
      <c r="E905" s="5" t="n"/>
      <c r="F905" s="5" t="n"/>
      <c r="G905" s="5" t="n"/>
    </row>
    <row r="906">
      <c r="A906" s="98" t="n"/>
      <c r="B906" s="5" t="n"/>
      <c r="C906" s="4" t="n"/>
      <c r="D906" s="5" t="n"/>
      <c r="E906" s="5" t="n"/>
      <c r="F906" s="5" t="n"/>
      <c r="G906" s="5" t="n"/>
    </row>
    <row r="907">
      <c r="A907" s="98" t="n"/>
      <c r="B907" s="5" t="n"/>
      <c r="C907" s="4" t="n"/>
      <c r="D907" s="5" t="n"/>
      <c r="E907" s="5" t="n"/>
      <c r="F907" s="5" t="n"/>
      <c r="G907" s="5" t="n"/>
    </row>
    <row r="908">
      <c r="A908" s="98" t="n"/>
      <c r="B908" s="5" t="n"/>
      <c r="C908" s="4" t="n"/>
      <c r="D908" s="5" t="n"/>
      <c r="E908" s="5" t="n"/>
      <c r="F908" s="5" t="n"/>
      <c r="G908" s="5" t="n"/>
    </row>
    <row r="909">
      <c r="A909" s="98" t="n"/>
      <c r="B909" s="5" t="n"/>
      <c r="C909" s="4" t="n"/>
      <c r="D909" s="5" t="n"/>
      <c r="E909" s="5" t="n"/>
      <c r="F909" s="5" t="n"/>
      <c r="G909" s="5" t="n"/>
    </row>
    <row r="910">
      <c r="A910" s="98" t="n"/>
      <c r="B910" s="5" t="n"/>
      <c r="C910" s="4" t="n"/>
      <c r="D910" s="5" t="n"/>
      <c r="E910" s="5" t="n"/>
      <c r="F910" s="5" t="n"/>
      <c r="G910" s="5" t="n"/>
    </row>
    <row r="911">
      <c r="A911" s="98" t="n"/>
      <c r="B911" s="5" t="n"/>
      <c r="C911" s="4" t="n"/>
      <c r="D911" s="5" t="n"/>
      <c r="E911" s="5" t="n"/>
      <c r="F911" s="5" t="n"/>
      <c r="G911" s="5" t="n"/>
    </row>
    <row r="912">
      <c r="A912" s="98" t="n"/>
      <c r="B912" s="5" t="n"/>
      <c r="C912" s="4" t="n"/>
      <c r="D912" s="5" t="n"/>
      <c r="E912" s="5" t="n"/>
      <c r="F912" s="5" t="n"/>
      <c r="G912" s="5" t="n"/>
    </row>
    <row r="913">
      <c r="A913" s="98" t="n"/>
      <c r="B913" s="5" t="n"/>
      <c r="C913" s="4" t="n"/>
      <c r="D913" s="5" t="n"/>
      <c r="E913" s="5" t="n"/>
      <c r="F913" s="5" t="n"/>
      <c r="G913" s="5" t="n"/>
    </row>
    <row r="914">
      <c r="A914" s="98" t="n"/>
      <c r="B914" s="5" t="n"/>
      <c r="C914" s="4" t="n"/>
      <c r="D914" s="5" t="n"/>
      <c r="E914" s="5" t="n"/>
      <c r="F914" s="5" t="n"/>
      <c r="G914" s="5" t="n"/>
    </row>
    <row r="915">
      <c r="A915" s="98" t="n"/>
      <c r="B915" s="5" t="n"/>
      <c r="C915" s="4" t="n"/>
      <c r="D915" s="5" t="n"/>
      <c r="E915" s="5" t="n"/>
      <c r="F915" s="5" t="n"/>
      <c r="G915" s="5" t="n"/>
    </row>
    <row r="916">
      <c r="A916" s="98" t="n"/>
      <c r="B916" s="5" t="n"/>
      <c r="C916" s="4" t="n"/>
      <c r="D916" s="5" t="n"/>
      <c r="E916" s="5" t="n"/>
      <c r="F916" s="5" t="n"/>
      <c r="G916" s="5" t="n"/>
    </row>
    <row r="917">
      <c r="A917" s="98" t="n"/>
      <c r="B917" s="5" t="n"/>
      <c r="C917" s="4" t="n"/>
      <c r="D917" s="5" t="n"/>
      <c r="E917" s="5" t="n"/>
      <c r="F917" s="5" t="n"/>
      <c r="G917" s="5" t="n"/>
    </row>
    <row r="918">
      <c r="A918" s="98" t="n"/>
      <c r="B918" s="5" t="n"/>
      <c r="C918" s="4" t="n"/>
      <c r="D918" s="5" t="n"/>
      <c r="E918" s="5" t="n"/>
      <c r="F918" s="5" t="n"/>
      <c r="G918" s="5" t="n"/>
    </row>
    <row r="919">
      <c r="A919" s="98" t="n"/>
      <c r="B919" s="5" t="n"/>
      <c r="C919" s="4" t="n"/>
      <c r="D919" s="5" t="n"/>
      <c r="E919" s="5" t="n"/>
      <c r="F919" s="5" t="n"/>
      <c r="G919" s="5" t="n"/>
    </row>
    <row r="920">
      <c r="A920" s="98" t="n"/>
      <c r="B920" s="5" t="n"/>
      <c r="C920" s="4" t="n"/>
      <c r="D920" s="5" t="n"/>
      <c r="E920" s="5" t="n"/>
      <c r="F920" s="5" t="n"/>
      <c r="G920" s="5" t="n"/>
    </row>
    <row r="921">
      <c r="A921" s="98" t="n"/>
      <c r="B921" s="5" t="n"/>
      <c r="C921" s="4" t="n"/>
      <c r="D921" s="5" t="n"/>
      <c r="E921" s="5" t="n"/>
      <c r="F921" s="5" t="n"/>
      <c r="G921" s="5" t="n"/>
    </row>
    <row r="922">
      <c r="A922" s="98" t="n"/>
      <c r="B922" s="5" t="n"/>
      <c r="C922" s="4" t="n"/>
      <c r="D922" s="5" t="n"/>
      <c r="E922" s="5" t="n"/>
      <c r="F922" s="5" t="n"/>
      <c r="G922" s="5" t="n"/>
    </row>
    <row r="923">
      <c r="A923" s="98" t="n"/>
      <c r="B923" s="5" t="n"/>
      <c r="C923" s="4" t="n"/>
      <c r="D923" s="5" t="n"/>
      <c r="E923" s="5" t="n"/>
      <c r="F923" s="5" t="n"/>
      <c r="G923" s="5" t="n"/>
    </row>
    <row r="924">
      <c r="A924" s="98" t="n"/>
      <c r="B924" s="5" t="n"/>
      <c r="C924" s="4" t="n"/>
      <c r="D924" s="5" t="n"/>
      <c r="E924" s="5" t="n"/>
      <c r="F924" s="5" t="n"/>
      <c r="G924" s="5" t="n"/>
    </row>
    <row r="925">
      <c r="A925" s="98" t="n"/>
      <c r="B925" s="5" t="n"/>
      <c r="C925" s="4" t="n"/>
      <c r="D925" s="5" t="n"/>
      <c r="E925" s="5" t="n"/>
      <c r="F925" s="5" t="n"/>
      <c r="G925" s="5" t="n"/>
    </row>
    <row r="926">
      <c r="A926" s="98" t="n"/>
      <c r="B926" s="5" t="n"/>
      <c r="C926" s="4" t="n"/>
      <c r="D926" s="5" t="n"/>
      <c r="E926" s="5" t="n"/>
      <c r="F926" s="5" t="n"/>
      <c r="G926" s="5" t="n"/>
    </row>
    <row r="927">
      <c r="A927" s="98" t="n"/>
      <c r="B927" s="5" t="n"/>
      <c r="C927" s="4" t="n"/>
      <c r="D927" s="5" t="n"/>
      <c r="E927" s="5" t="n"/>
      <c r="F927" s="5" t="n"/>
      <c r="G927" s="5" t="n"/>
    </row>
    <row r="928">
      <c r="A928" s="98" t="n"/>
      <c r="B928" s="5" t="n"/>
      <c r="C928" s="4" t="n"/>
      <c r="D928" s="5" t="n"/>
      <c r="E928" s="5" t="n"/>
      <c r="F928" s="5" t="n"/>
      <c r="G928" s="5" t="n"/>
    </row>
    <row r="929">
      <c r="A929" s="98" t="n"/>
      <c r="B929" s="5" t="n"/>
      <c r="C929" s="4" t="n"/>
      <c r="D929" s="5" t="n"/>
      <c r="E929" s="5" t="n"/>
      <c r="F929" s="5" t="n"/>
      <c r="G929" s="5" t="n"/>
    </row>
    <row r="930">
      <c r="A930" s="98" t="n"/>
      <c r="B930" s="5" t="n"/>
      <c r="C930" s="4" t="n"/>
      <c r="D930" s="5" t="n"/>
      <c r="E930" s="5" t="n"/>
      <c r="F930" s="5" t="n"/>
      <c r="G930" s="5" t="n"/>
    </row>
    <row r="931">
      <c r="A931" s="98" t="n"/>
      <c r="B931" s="5" t="n"/>
      <c r="C931" s="4" t="n"/>
      <c r="D931" s="5" t="n"/>
      <c r="E931" s="5" t="n"/>
      <c r="F931" s="5" t="n"/>
      <c r="G931" s="5" t="n"/>
    </row>
    <row r="932">
      <c r="A932" s="98" t="n"/>
      <c r="B932" s="5" t="n"/>
      <c r="C932" s="4" t="n"/>
      <c r="D932" s="5" t="n"/>
      <c r="E932" s="5" t="n"/>
      <c r="F932" s="5" t="n"/>
      <c r="G932" s="5" t="n"/>
    </row>
    <row r="933">
      <c r="A933" s="98" t="n"/>
      <c r="B933" s="5" t="n"/>
      <c r="C933" s="4" t="n"/>
      <c r="D933" s="5" t="n"/>
      <c r="E933" s="5" t="n"/>
      <c r="F933" s="5" t="n"/>
      <c r="G933" s="5" t="n"/>
    </row>
    <row r="934">
      <c r="A934" s="98" t="n"/>
      <c r="B934" s="5" t="n"/>
      <c r="C934" s="4" t="n"/>
      <c r="D934" s="5" t="n"/>
      <c r="E934" s="5" t="n"/>
      <c r="F934" s="5" t="n"/>
      <c r="G934" s="5" t="n"/>
    </row>
    <row r="935">
      <c r="A935" s="98" t="n"/>
      <c r="B935" s="5" t="n"/>
      <c r="C935" s="4" t="n"/>
      <c r="D935" s="5" t="n"/>
      <c r="E935" s="5" t="n"/>
      <c r="F935" s="5" t="n"/>
      <c r="G935" s="5" t="n"/>
    </row>
    <row r="936">
      <c r="A936" s="98" t="n"/>
      <c r="B936" s="5" t="n"/>
      <c r="C936" s="4" t="n"/>
      <c r="D936" s="5" t="n"/>
      <c r="E936" s="5" t="n"/>
      <c r="F936" s="5" t="n"/>
      <c r="G936" s="5" t="n"/>
    </row>
    <row r="937">
      <c r="A937" s="98" t="n"/>
      <c r="B937" s="5" t="n"/>
      <c r="C937" s="4" t="n"/>
      <c r="D937" s="5" t="n"/>
      <c r="E937" s="5" t="n"/>
      <c r="F937" s="5" t="n"/>
      <c r="G937" s="5" t="n"/>
    </row>
    <row r="938">
      <c r="A938" s="98" t="n"/>
      <c r="B938" s="5" t="n"/>
      <c r="C938" s="4" t="n"/>
      <c r="D938" s="5" t="n"/>
      <c r="E938" s="5" t="n"/>
      <c r="F938" s="5" t="n"/>
      <c r="G938" s="5" t="n"/>
    </row>
    <row r="939">
      <c r="A939" s="98" t="n"/>
      <c r="B939" s="5" t="n"/>
      <c r="C939" s="4" t="n"/>
      <c r="D939" s="5" t="n"/>
      <c r="E939" s="5" t="n"/>
      <c r="F939" s="5" t="n"/>
      <c r="G939" s="5" t="n"/>
    </row>
    <row r="940">
      <c r="A940" s="98" t="n"/>
      <c r="B940" s="5" t="n"/>
      <c r="C940" s="4" t="n"/>
      <c r="D940" s="5" t="n"/>
      <c r="E940" s="5" t="n"/>
      <c r="F940" s="5" t="n"/>
      <c r="G940" s="5" t="n"/>
    </row>
    <row r="941">
      <c r="A941" s="98" t="n"/>
      <c r="B941" s="5" t="n"/>
      <c r="C941" s="4" t="n"/>
      <c r="D941" s="5" t="n"/>
      <c r="E941" s="5" t="n"/>
      <c r="F941" s="5" t="n"/>
      <c r="G941" s="5" t="n"/>
    </row>
    <row r="942">
      <c r="A942" s="98" t="n"/>
      <c r="B942" s="5" t="n"/>
      <c r="C942" s="4" t="n"/>
      <c r="D942" s="5" t="n"/>
      <c r="E942" s="5" t="n"/>
      <c r="F942" s="5" t="n"/>
      <c r="G942" s="5" t="n"/>
    </row>
    <row r="943">
      <c r="A943" s="98" t="n"/>
      <c r="B943" s="5" t="n"/>
      <c r="C943" s="4" t="n"/>
      <c r="D943" s="5" t="n"/>
      <c r="E943" s="5" t="n"/>
      <c r="F943" s="5" t="n"/>
      <c r="G943" s="5" t="n"/>
    </row>
    <row r="944">
      <c r="A944" s="98" t="n"/>
      <c r="B944" s="5" t="n"/>
      <c r="C944" s="4" t="n"/>
      <c r="D944" s="5" t="n"/>
      <c r="E944" s="5" t="n"/>
      <c r="F944" s="5" t="n"/>
      <c r="G944" s="5" t="n"/>
    </row>
    <row r="945">
      <c r="A945" s="98" t="n"/>
      <c r="B945" s="5" t="n"/>
      <c r="C945" s="4" t="n"/>
      <c r="D945" s="5" t="n"/>
      <c r="E945" s="5" t="n"/>
      <c r="F945" s="5" t="n"/>
      <c r="G945" s="5" t="n"/>
    </row>
    <row r="946">
      <c r="A946" s="98" t="n"/>
      <c r="B946" s="5" t="n"/>
      <c r="C946" s="4" t="n"/>
      <c r="D946" s="5" t="n"/>
      <c r="E946" s="5" t="n"/>
      <c r="F946" s="5" t="n"/>
      <c r="G946" s="5" t="n"/>
    </row>
    <row r="947">
      <c r="A947" s="98" t="n"/>
      <c r="B947" s="5" t="n"/>
      <c r="C947" s="4" t="n"/>
      <c r="D947" s="5" t="n"/>
      <c r="E947" s="5" t="n"/>
      <c r="F947" s="5" t="n"/>
      <c r="G947" s="5" t="n"/>
    </row>
    <row r="948">
      <c r="A948" s="98" t="n"/>
      <c r="B948" s="5" t="n"/>
      <c r="C948" s="4" t="n"/>
      <c r="D948" s="5" t="n"/>
      <c r="E948" s="5" t="n"/>
      <c r="F948" s="5" t="n"/>
      <c r="G948" s="5" t="n"/>
    </row>
    <row r="949">
      <c r="A949" s="98" t="n"/>
      <c r="B949" s="5" t="n"/>
      <c r="C949" s="4" t="n"/>
      <c r="D949" s="5" t="n"/>
      <c r="E949" s="5" t="n"/>
      <c r="F949" s="5" t="n"/>
      <c r="G949" s="5" t="n"/>
    </row>
    <row r="950">
      <c r="A950" s="98" t="n"/>
      <c r="B950" s="5" t="n"/>
      <c r="C950" s="4" t="n"/>
      <c r="D950" s="5" t="n"/>
      <c r="E950" s="5" t="n"/>
      <c r="F950" s="5" t="n"/>
      <c r="G950" s="5" t="n"/>
    </row>
    <row r="951">
      <c r="A951" s="98" t="n"/>
      <c r="B951" s="5" t="n"/>
      <c r="C951" s="4" t="n"/>
      <c r="D951" s="5" t="n"/>
      <c r="E951" s="5" t="n"/>
      <c r="F951" s="5" t="n"/>
      <c r="G951" s="5" t="n"/>
    </row>
    <row r="952">
      <c r="A952" s="98" t="n"/>
      <c r="B952" s="5" t="n"/>
      <c r="C952" s="4" t="n"/>
      <c r="D952" s="5" t="n"/>
      <c r="E952" s="5" t="n"/>
      <c r="F952" s="5" t="n"/>
      <c r="G952" s="5" t="n"/>
    </row>
    <row r="953">
      <c r="A953" s="98" t="n"/>
      <c r="B953" s="5" t="n"/>
      <c r="C953" s="4" t="n"/>
      <c r="D953" s="5" t="n"/>
      <c r="E953" s="5" t="n"/>
      <c r="F953" s="5" t="n"/>
      <c r="G953" s="5" t="n"/>
    </row>
    <row r="954">
      <c r="A954" s="98" t="n"/>
      <c r="B954" s="5" t="n"/>
      <c r="C954" s="4" t="n"/>
      <c r="D954" s="5" t="n"/>
      <c r="E954" s="5" t="n"/>
      <c r="F954" s="5" t="n"/>
      <c r="G954" s="5" t="n"/>
    </row>
    <row r="955">
      <c r="A955" s="98" t="n"/>
      <c r="B955" s="5" t="n"/>
      <c r="C955" s="4" t="n"/>
      <c r="D955" s="5" t="n"/>
      <c r="E955" s="5" t="n"/>
      <c r="F955" s="5" t="n"/>
      <c r="G955" s="5" t="n"/>
    </row>
    <row r="956">
      <c r="A956" s="98" t="n"/>
      <c r="B956" s="5" t="n"/>
      <c r="C956" s="4" t="n"/>
      <c r="D956" s="5" t="n"/>
      <c r="E956" s="5" t="n"/>
      <c r="F956" s="5" t="n"/>
      <c r="G956" s="5" t="n"/>
    </row>
    <row r="957">
      <c r="A957" s="98" t="n"/>
      <c r="B957" s="5" t="n"/>
      <c r="C957" s="4" t="n"/>
      <c r="D957" s="5" t="n"/>
      <c r="E957" s="5" t="n"/>
      <c r="F957" s="5" t="n"/>
      <c r="G957" s="5" t="n"/>
    </row>
    <row r="958">
      <c r="A958" s="98" t="n"/>
      <c r="B958" s="5" t="n"/>
      <c r="C958" s="4" t="n"/>
      <c r="D958" s="5" t="n"/>
      <c r="E958" s="5" t="n"/>
      <c r="F958" s="5" t="n"/>
      <c r="G958" s="5" t="n"/>
    </row>
    <row r="959">
      <c r="A959" s="98" t="n"/>
      <c r="B959" s="5" t="n"/>
      <c r="C959" s="4" t="n"/>
      <c r="D959" s="5" t="n"/>
      <c r="E959" s="5" t="n"/>
      <c r="F959" s="5" t="n"/>
      <c r="G959" s="5" t="n"/>
    </row>
    <row r="960">
      <c r="A960" s="98" t="n"/>
      <c r="B960" s="5" t="n"/>
      <c r="C960" s="4" t="n"/>
      <c r="D960" s="5" t="n"/>
      <c r="E960" s="5" t="n"/>
      <c r="F960" s="5" t="n"/>
      <c r="G960" s="5" t="n"/>
    </row>
    <row r="961">
      <c r="A961" s="98" t="n"/>
      <c r="B961" s="5" t="n"/>
      <c r="C961" s="4" t="n"/>
      <c r="D961" s="5" t="n"/>
      <c r="E961" s="5" t="n"/>
      <c r="F961" s="5" t="n"/>
      <c r="G961" s="5" t="n"/>
    </row>
    <row r="962">
      <c r="A962" s="98" t="n"/>
      <c r="B962" s="5" t="n"/>
      <c r="C962" s="4" t="n"/>
      <c r="D962" s="5" t="n"/>
      <c r="E962" s="5" t="n"/>
      <c r="F962" s="5" t="n"/>
      <c r="G962" s="5" t="n"/>
    </row>
    <row r="963">
      <c r="A963" s="98" t="n"/>
      <c r="B963" s="5" t="n"/>
      <c r="C963" s="4" t="n"/>
      <c r="D963" s="5" t="n"/>
      <c r="E963" s="5" t="n"/>
      <c r="F963" s="5" t="n"/>
      <c r="G963" s="5" t="n"/>
    </row>
    <row r="964">
      <c r="A964" s="98" t="n"/>
      <c r="B964" s="5" t="n"/>
      <c r="C964" s="4" t="n"/>
      <c r="D964" s="5" t="n"/>
      <c r="E964" s="5" t="n"/>
      <c r="F964" s="5" t="n"/>
      <c r="G964" s="5" t="n"/>
    </row>
    <row r="965">
      <c r="A965" s="98" t="n"/>
      <c r="B965" s="5" t="n"/>
      <c r="C965" s="4" t="n"/>
      <c r="D965" s="5" t="n"/>
      <c r="E965" s="5" t="n"/>
      <c r="F965" s="5" t="n"/>
      <c r="G965" s="5" t="n"/>
    </row>
    <row r="966">
      <c r="A966" s="98" t="n"/>
      <c r="B966" s="5" t="n"/>
      <c r="C966" s="4" t="n"/>
      <c r="D966" s="5" t="n"/>
      <c r="E966" s="5" t="n"/>
      <c r="F966" s="5" t="n"/>
      <c r="G966" s="5" t="n"/>
    </row>
    <row r="967">
      <c r="A967" s="98" t="n"/>
      <c r="B967" s="5" t="n"/>
      <c r="C967" s="4" t="n"/>
      <c r="D967" s="5" t="n"/>
      <c r="E967" s="5" t="n"/>
      <c r="F967" s="5" t="n"/>
      <c r="G967" s="5" t="n"/>
    </row>
    <row r="968">
      <c r="A968" s="98" t="n"/>
      <c r="B968" s="5" t="n"/>
      <c r="C968" s="4" t="n"/>
      <c r="D968" s="5" t="n"/>
      <c r="E968" s="5" t="n"/>
      <c r="F968" s="5" t="n"/>
      <c r="G968" s="5" t="n"/>
    </row>
    <row r="969">
      <c r="A969" s="98" t="n"/>
      <c r="B969" s="5" t="n"/>
      <c r="C969" s="4" t="n"/>
      <c r="D969" s="5" t="n"/>
      <c r="E969" s="5" t="n"/>
      <c r="F969" s="5" t="n"/>
      <c r="G969" s="5" t="n"/>
    </row>
    <row r="970">
      <c r="A970" s="98" t="n"/>
      <c r="B970" s="5" t="n"/>
      <c r="C970" s="4" t="n"/>
      <c r="D970" s="5" t="n"/>
      <c r="E970" s="5" t="n"/>
      <c r="F970" s="5" t="n"/>
      <c r="G970" s="5" t="n"/>
    </row>
    <row r="971">
      <c r="A971" s="98" t="n"/>
      <c r="B971" s="5" t="n"/>
      <c r="C971" s="4" t="n"/>
      <c r="D971" s="5" t="n"/>
      <c r="E971" s="5" t="n"/>
      <c r="F971" s="5" t="n"/>
      <c r="G971" s="5" t="n"/>
    </row>
    <row r="972">
      <c r="A972" s="98" t="n"/>
      <c r="B972" s="5" t="n"/>
      <c r="C972" s="4" t="n"/>
      <c r="D972" s="5" t="n"/>
      <c r="E972" s="5" t="n"/>
      <c r="F972" s="5" t="n"/>
      <c r="G972" s="5" t="n"/>
    </row>
    <row r="973">
      <c r="A973" s="98" t="n"/>
      <c r="B973" s="5" t="n"/>
      <c r="C973" s="4" t="n"/>
      <c r="D973" s="5" t="n"/>
      <c r="E973" s="5" t="n"/>
      <c r="F973" s="5" t="n"/>
      <c r="G973" s="5" t="n"/>
    </row>
    <row r="974">
      <c r="A974" s="98" t="n"/>
      <c r="B974" s="5" t="n"/>
      <c r="C974" s="4" t="n"/>
      <c r="D974" s="5" t="n"/>
      <c r="E974" s="5" t="n"/>
      <c r="F974" s="5" t="n"/>
      <c r="G974" s="5" t="n"/>
    </row>
    <row r="975">
      <c r="A975" s="98" t="n"/>
      <c r="B975" s="5" t="n"/>
      <c r="C975" s="4" t="n"/>
      <c r="D975" s="5" t="n"/>
      <c r="E975" s="5" t="n"/>
      <c r="F975" s="5" t="n"/>
      <c r="G975" s="5" t="n"/>
    </row>
    <row r="976">
      <c r="A976" s="98" t="n"/>
      <c r="B976" s="5" t="n"/>
      <c r="C976" s="4" t="n"/>
      <c r="D976" s="5" t="n"/>
      <c r="E976" s="5" t="n"/>
      <c r="F976" s="5" t="n"/>
      <c r="G976" s="5" t="n"/>
    </row>
    <row r="977">
      <c r="A977" s="98" t="n"/>
      <c r="B977" s="5" t="n"/>
      <c r="C977" s="4" t="n"/>
      <c r="D977" s="5" t="n"/>
      <c r="E977" s="5" t="n"/>
      <c r="F977" s="5" t="n"/>
      <c r="G977" s="5" t="n"/>
    </row>
    <row r="978">
      <c r="A978" s="98" t="n"/>
      <c r="B978" s="5" t="n"/>
      <c r="C978" s="4" t="n"/>
      <c r="D978" s="5" t="n"/>
      <c r="E978" s="5" t="n"/>
      <c r="F978" s="5" t="n"/>
      <c r="G978" s="5" t="n"/>
    </row>
    <row r="979">
      <c r="A979" s="98" t="n"/>
      <c r="B979" s="5" t="n"/>
      <c r="C979" s="4" t="n"/>
      <c r="D979" s="5" t="n"/>
      <c r="E979" s="5" t="n"/>
      <c r="F979" s="5" t="n"/>
      <c r="G979" s="5" t="n"/>
    </row>
    <row r="980">
      <c r="A980" s="98" t="n"/>
      <c r="B980" s="5" t="n"/>
      <c r="C980" s="4" t="n"/>
      <c r="D980" s="5" t="n"/>
      <c r="E980" s="5" t="n"/>
      <c r="F980" s="5" t="n"/>
      <c r="G980" s="5" t="n"/>
    </row>
    <row r="981">
      <c r="A981" s="98" t="n"/>
      <c r="B981" s="5" t="n"/>
      <c r="C981" s="4" t="n"/>
      <c r="D981" s="5" t="n"/>
      <c r="E981" s="5" t="n"/>
      <c r="F981" s="5" t="n"/>
      <c r="G981" s="5" t="n"/>
    </row>
    <row r="982">
      <c r="A982" s="98" t="n"/>
      <c r="B982" s="5" t="n"/>
      <c r="C982" s="4" t="n"/>
      <c r="D982" s="5" t="n"/>
      <c r="E982" s="5" t="n"/>
      <c r="F982" s="5" t="n"/>
      <c r="G982" s="5" t="n"/>
    </row>
    <row r="983">
      <c r="A983" s="98" t="n"/>
      <c r="B983" s="5" t="n"/>
      <c r="C983" s="4" t="n"/>
      <c r="D983" s="5" t="n"/>
      <c r="E983" s="5" t="n"/>
      <c r="F983" s="5" t="n"/>
      <c r="G983" s="5" t="n"/>
    </row>
    <row r="984">
      <c r="A984" s="98" t="n"/>
      <c r="B984" s="5" t="n"/>
      <c r="C984" s="4" t="n"/>
      <c r="D984" s="5" t="n"/>
      <c r="E984" s="5" t="n"/>
      <c r="F984" s="5" t="n"/>
      <c r="G984" s="5" t="n"/>
    </row>
    <row r="985">
      <c r="A985" s="98" t="n"/>
      <c r="B985" s="5" t="n"/>
      <c r="C985" s="4" t="n"/>
      <c r="D985" s="5" t="n"/>
      <c r="E985" s="5" t="n"/>
      <c r="F985" s="5" t="n"/>
      <c r="G985" s="5" t="n"/>
    </row>
    <row r="986">
      <c r="A986" s="98" t="n"/>
      <c r="B986" s="5" t="n"/>
      <c r="C986" s="4" t="n"/>
      <c r="D986" s="5" t="n"/>
      <c r="E986" s="5" t="n"/>
      <c r="F986" s="5" t="n"/>
      <c r="G986" s="5" t="n"/>
    </row>
    <row r="987">
      <c r="A987" s="98" t="n"/>
      <c r="B987" s="5" t="n"/>
      <c r="C987" s="4" t="n"/>
      <c r="D987" s="5" t="n"/>
      <c r="E987" s="5" t="n"/>
      <c r="F987" s="5" t="n"/>
      <c r="G987" s="5" t="n"/>
    </row>
    <row r="988">
      <c r="A988" s="98" t="n"/>
      <c r="B988" s="5" t="n"/>
      <c r="C988" s="4" t="n"/>
      <c r="D988" s="5" t="n"/>
      <c r="E988" s="5" t="n"/>
      <c r="F988" s="5" t="n"/>
      <c r="G988" s="5" t="n"/>
    </row>
    <row r="989">
      <c r="A989" s="98" t="n"/>
      <c r="B989" s="5" t="n"/>
      <c r="C989" s="4" t="n"/>
      <c r="D989" s="5" t="n"/>
      <c r="E989" s="5" t="n"/>
      <c r="F989" s="5" t="n"/>
      <c r="G989" s="5" t="n"/>
    </row>
    <row r="990">
      <c r="A990" s="98" t="n"/>
      <c r="B990" s="5" t="n"/>
      <c r="C990" s="4" t="n"/>
      <c r="D990" s="5" t="n"/>
      <c r="E990" s="5" t="n"/>
      <c r="F990" s="5" t="n"/>
      <c r="G990" s="5" t="n"/>
    </row>
    <row r="991">
      <c r="A991" s="98" t="n"/>
      <c r="B991" s="5" t="n"/>
      <c r="C991" s="4" t="n"/>
      <c r="D991" s="5" t="n"/>
      <c r="E991" s="5" t="n"/>
      <c r="F991" s="5" t="n"/>
      <c r="G991" s="5" t="n"/>
    </row>
    <row r="992">
      <c r="A992" s="98" t="n"/>
      <c r="B992" s="5" t="n"/>
      <c r="C992" s="4" t="n"/>
      <c r="D992" s="5" t="n"/>
      <c r="E992" s="5" t="n"/>
      <c r="F992" s="5" t="n"/>
      <c r="G992" s="5" t="n"/>
    </row>
    <row r="993">
      <c r="A993" s="98" t="n"/>
      <c r="B993" s="5" t="n"/>
      <c r="C993" s="4" t="n"/>
      <c r="D993" s="5" t="n"/>
      <c r="E993" s="5" t="n"/>
      <c r="F993" s="5" t="n"/>
      <c r="G993" s="5" t="n"/>
    </row>
    <row r="994">
      <c r="A994" s="98" t="n"/>
      <c r="B994" s="5" t="n"/>
      <c r="C994" s="4" t="n"/>
      <c r="D994" s="5" t="n"/>
      <c r="E994" s="5" t="n"/>
      <c r="F994" s="5" t="n"/>
      <c r="G994" s="5" t="n"/>
    </row>
    <row r="995">
      <c r="A995" s="98" t="n"/>
      <c r="B995" s="5" t="n"/>
      <c r="C995" s="4" t="n"/>
      <c r="D995" s="5" t="n"/>
      <c r="E995" s="5" t="n"/>
      <c r="F995" s="5" t="n"/>
      <c r="G995" s="5" t="n"/>
    </row>
    <row r="996">
      <c r="A996" s="98" t="n"/>
      <c r="B996" s="5" t="n"/>
      <c r="C996" s="4" t="n"/>
      <c r="D996" s="5" t="n"/>
      <c r="E996" s="5" t="n"/>
      <c r="F996" s="5" t="n"/>
      <c r="G996" s="5" t="n"/>
    </row>
    <row r="997">
      <c r="A997" s="98" t="n"/>
      <c r="B997" s="5" t="n"/>
      <c r="C997" s="4" t="n"/>
      <c r="D997" s="5" t="n"/>
      <c r="E997" s="5" t="n"/>
      <c r="F997" s="5" t="n"/>
      <c r="G997" s="5" t="n"/>
    </row>
    <row r="998">
      <c r="A998" s="98" t="n"/>
      <c r="B998" s="5" t="n"/>
      <c r="C998" s="4" t="n"/>
      <c r="D998" s="5" t="n"/>
      <c r="E998" s="5" t="n"/>
      <c r="F998" s="5" t="n"/>
      <c r="G998" s="5" t="n"/>
    </row>
    <row r="999">
      <c r="A999" s="98" t="n"/>
      <c r="B999" s="5" t="n"/>
      <c r="C999" s="4" t="n"/>
      <c r="D999" s="5" t="n"/>
      <c r="E999" s="5" t="n"/>
      <c r="F999" s="5" t="n"/>
      <c r="G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</row>
  </sheetData>
  <autoFilter ref="A4:G1000"/>
  <dataValidations count="2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98" t="inlineStr">
        <is>
          <t>713</t>
        </is>
      </c>
      <c r="D244" s="25" t="n">
        <v>46309.67064814815</v>
      </c>
      <c r="E244" s="25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98" t="inlineStr">
        <is>
          <t>70</t>
        </is>
      </c>
      <c r="D245" s="25" t="n">
        <v>46309.704375</v>
      </c>
      <c r="E245" s="25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98" t="inlineStr">
        <is>
          <t>847</t>
        </is>
      </c>
      <c r="D246" s="25" t="n">
        <v>46309.73905092593</v>
      </c>
      <c r="E246" s="25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NELSON ULISES CAMPOS FLORES</t>
        </is>
      </c>
      <c r="B247" s="5" t="inlineStr">
        <is>
          <t>GERENCIA GENERAL</t>
        </is>
      </c>
      <c r="C247" s="98" t="inlineStr">
        <is>
          <t>977</t>
        </is>
      </c>
      <c r="D247" s="25" t="n"/>
      <c r="E247" s="25" t="n"/>
      <c r="F247" s="7" t="str">
        <f>IF(OR(D247="",E247=""),"",(E247-D247)*1440)</f>
        <v/>
      </c>
      <c r="G247" s="6" t="n"/>
      <c r="H247" s="6" t="inlineStr">
        <is>
          <t>REGISTRO MANUAL: examen realizado (confirmado por la administración; sin nota ni fecha en la plataforma)</t>
        </is>
      </c>
      <c r="I247" t="str">
        <f>IF(C247="","",C247&amp;"|"&amp;G247)</f>
        <v>977|</v>
      </c>
    </row>
    <row r="248">
      <c r="A248" s="5" t="n"/>
      <c r="B248" s="5" t="n"/>
      <c r="C248" s="98" t="n"/>
      <c r="D248" s="25" t="n"/>
      <c r="E248" s="25" t="n"/>
      <c r="F248" s="7" t="str">
        <f>IF(OR(D248="",E248=""),"",(E248-D248)*1440)</f>
        <v/>
      </c>
      <c r="G248" s="6" t="n"/>
      <c r="H248" s="6" t="n"/>
      <c r="I248" t="str">
        <f>IF(C248="","",C248&amp;"|"&amp;G248)</f>
        <v/>
      </c>
    </row>
    <row r="249">
      <c r="A249" s="5" t="n"/>
      <c r="B249" s="5" t="n"/>
      <c r="C249" s="98" t="n"/>
      <c r="D249" s="25" t="n"/>
      <c r="E249" s="25" t="n"/>
      <c r="F249" s="7" t="str">
        <f>IF(OR(D249="",E249=""),"",(E249-D249)*1440)</f>
        <v/>
      </c>
      <c r="G249" s="6" t="n"/>
      <c r="H249" s="6" t="n"/>
      <c r="I249" t="str">
        <f>IF(C249="","",C249&amp;"|"&amp;G249)</f>
        <v/>
      </c>
    </row>
    <row r="250">
      <c r="A250" s="5" t="n"/>
      <c r="B250" s="5" t="n"/>
      <c r="C250" s="98" t="n"/>
      <c r="D250" s="25" t="n"/>
      <c r="E250" s="25" t="n"/>
      <c r="F250" s="7" t="str">
        <f>IF(OR(D250="",E250=""),"",(E250-D250)*1440)</f>
        <v/>
      </c>
      <c r="G250" s="6" t="n"/>
      <c r="H250" s="6" t="n"/>
      <c r="I250" t="str">
        <f>IF(C250="","",C250&amp;"|"&amp;G250)</f>
        <v/>
      </c>
    </row>
    <row r="251">
      <c r="A251" s="5" t="n"/>
      <c r="B251" s="5" t="n"/>
      <c r="C251" s="98" t="n"/>
      <c r="D251" s="25" t="n"/>
      <c r="E251" s="25" t="n"/>
      <c r="F251" s="7" t="str">
        <f>IF(OR(D251="",E251=""),"",(E251-D251)*1440)</f>
        <v/>
      </c>
      <c r="G251" s="6" t="n"/>
      <c r="H251" s="6" t="n"/>
      <c r="I251" t="str">
        <f>IF(C251="","",C251&amp;"|"&amp;G251)</f>
        <v/>
      </c>
    </row>
    <row r="252">
      <c r="A252" s="5" t="n"/>
      <c r="B252" s="5" t="n"/>
      <c r="C252" s="98" t="n"/>
      <c r="D252" s="25" t="n"/>
      <c r="E252" s="25" t="n"/>
      <c r="F252" s="7" t="str">
        <f>IF(OR(D252="",E252=""),"",(E252-D252)*1440)</f>
        <v/>
      </c>
      <c r="G252" s="6" t="n"/>
      <c r="H252" s="6" t="n"/>
      <c r="I252" t="str">
        <f>IF(C252="","",C252&amp;"|"&amp;G252)</f>
        <v/>
      </c>
    </row>
    <row r="253">
      <c r="A253" s="5" t="n"/>
      <c r="B253" s="5" t="n"/>
      <c r="C253" s="98" t="n"/>
      <c r="D253" s="25" t="n"/>
      <c r="E253" s="25" t="n"/>
      <c r="F253" s="7" t="str">
        <f>IF(OR(D253="",E253=""),"",(E253-D253)*1440)</f>
        <v/>
      </c>
      <c r="G253" s="6" t="n"/>
      <c r="H253" s="6" t="n"/>
      <c r="I253" t="str">
        <f>IF(C253="","",C253&amp;"|"&amp;G253)</f>
        <v/>
      </c>
    </row>
    <row r="254">
      <c r="A254" s="5" t="n"/>
      <c r="B254" s="5" t="n"/>
      <c r="C254" s="98" t="n"/>
      <c r="D254" s="25" t="n"/>
      <c r="E254" s="25" t="n"/>
      <c r="F254" s="7" t="str">
        <f>IF(OR(D254="",E254=""),"",(E254-D254)*1440)</f>
        <v/>
      </c>
      <c r="G254" s="6" t="n"/>
      <c r="H254" s="6" t="n"/>
      <c r="I254" t="str">
        <f>IF(C254="","",C254&amp;"|"&amp;G254)</f>
        <v/>
      </c>
    </row>
    <row r="255">
      <c r="A255" s="5" t="n"/>
      <c r="B255" s="5" t="n"/>
      <c r="C255" s="98" t="n"/>
      <c r="D255" s="25" t="n"/>
      <c r="E255" s="25" t="n"/>
      <c r="F255" s="7" t="str">
        <f>IF(OR(D255="",E255=""),"",(E255-D255)*1440)</f>
        <v/>
      </c>
      <c r="G255" s="6" t="n"/>
      <c r="H255" s="6" t="n"/>
      <c r="I255" t="str">
        <f>IF(C255="","",C255&amp;"|"&amp;G255)</f>
        <v/>
      </c>
    </row>
    <row r="256">
      <c r="A256" s="5" t="n"/>
      <c r="B256" s="5" t="n"/>
      <c r="C256" s="98" t="n"/>
      <c r="D256" s="25" t="n"/>
      <c r="E256" s="25" t="n"/>
      <c r="F256" s="7" t="str">
        <f>IF(OR(D256="",E256=""),"",(E256-D256)*1440)</f>
        <v/>
      </c>
      <c r="G256" s="6" t="n"/>
      <c r="H256" s="6" t="n"/>
      <c r="I256" t="str">
        <f>IF(C256="","",C256&amp;"|"&amp;G256)</f>
        <v/>
      </c>
    </row>
    <row r="257">
      <c r="A257" s="5" t="n"/>
      <c r="B257" s="5" t="n"/>
      <c r="C257" s="98" t="n"/>
      <c r="D257" s="25" t="n"/>
      <c r="E257" s="25" t="n"/>
      <c r="F257" s="7" t="str">
        <f>IF(OR(D257="",E257=""),"",(E257-D257)*1440)</f>
        <v/>
      </c>
      <c r="G257" s="6" t="n"/>
      <c r="H257" s="6" t="n"/>
      <c r="I257" t="str">
        <f>IF(C257="","",C257&amp;"|"&amp;G257)</f>
        <v/>
      </c>
    </row>
    <row r="258">
      <c r="A258" s="5" t="n"/>
      <c r="B258" s="5" t="n"/>
      <c r="C258" s="98" t="n"/>
      <c r="D258" s="25" t="n"/>
      <c r="E258" s="25" t="n"/>
      <c r="F258" s="7" t="str">
        <f>IF(OR(D258="",E258=""),"",(E258-D258)*1440)</f>
        <v/>
      </c>
      <c r="G258" s="6" t="n"/>
      <c r="H258" s="6" t="n"/>
      <c r="I258" t="str">
        <f>IF(C258="","",C258&amp;"|"&amp;G258)</f>
        <v/>
      </c>
    </row>
    <row r="259">
      <c r="A259" s="5" t="n"/>
      <c r="B259" s="5" t="n"/>
      <c r="C259" s="98" t="n"/>
      <c r="D259" s="25" t="n"/>
      <c r="E259" s="25" t="n"/>
      <c r="F259" s="7" t="str">
        <f>IF(OR(D259="",E259=""),"",(E259-D259)*1440)</f>
        <v/>
      </c>
      <c r="G259" s="6" t="n"/>
      <c r="H259" s="6" t="n"/>
      <c r="I259" t="str">
        <f>IF(C259="","",C259&amp;"|"&amp;G259)</f>
        <v/>
      </c>
    </row>
    <row r="260">
      <c r="A260" s="5" t="n"/>
      <c r="B260" s="5" t="n"/>
      <c r="C260" s="98" t="n"/>
      <c r="D260" s="25" t="n"/>
      <c r="E260" s="25" t="n"/>
      <c r="F260" s="7" t="str">
        <f>IF(OR(D260="",E260=""),"",(E260-D260)*1440)</f>
        <v/>
      </c>
      <c r="G260" s="6" t="n"/>
      <c r="H260" s="6" t="n"/>
      <c r="I260" t="str">
        <f>IF(C260="","",C260&amp;"|"&amp;G260)</f>
        <v/>
      </c>
    </row>
    <row r="261">
      <c r="A261" s="5" t="n"/>
      <c r="B261" s="5" t="n"/>
      <c r="C261" s="98" t="n"/>
      <c r="D261" s="25" t="n"/>
      <c r="E261" s="25" t="n"/>
      <c r="F261" s="7" t="str">
        <f>IF(OR(D261="",E261=""),"",(E261-D261)*1440)</f>
        <v/>
      </c>
      <c r="G261" s="6" t="n"/>
      <c r="H261" s="6" t="n"/>
      <c r="I261" t="str">
        <f>IF(C261="","",C261&amp;"|"&amp;G261)</f>
        <v/>
      </c>
    </row>
    <row r="262">
      <c r="A262" s="5" t="n"/>
      <c r="B262" s="5" t="n"/>
      <c r="C262" s="98" t="n"/>
      <c r="D262" s="25" t="n"/>
      <c r="E262" s="25" t="n"/>
      <c r="F262" s="7" t="str">
        <f>IF(OR(D262="",E262=""),"",(E262-D262)*1440)</f>
        <v/>
      </c>
      <c r="G262" s="6" t="n"/>
      <c r="H262" s="6" t="n"/>
      <c r="I262" t="str">
        <f>IF(C262="","",C262&amp;"|"&amp;G262)</f>
        <v/>
      </c>
    </row>
    <row r="263">
      <c r="A263" s="5" t="n"/>
      <c r="B263" s="5" t="n"/>
      <c r="C263" s="98" t="n"/>
      <c r="D263" s="25" t="n"/>
      <c r="E263" s="25" t="n"/>
      <c r="F263" s="7" t="str">
        <f>IF(OR(D263="",E263=""),"",(E263-D263)*1440)</f>
        <v/>
      </c>
      <c r="G263" s="6" t="n"/>
      <c r="H263" s="6" t="n"/>
      <c r="I263" t="str">
        <f>IF(C263="","",C263&amp;"|"&amp;G263)</f>
        <v/>
      </c>
    </row>
    <row r="264">
      <c r="A264" s="5" t="n"/>
      <c r="B264" s="5" t="n"/>
      <c r="C264" s="98" t="n"/>
      <c r="D264" s="25" t="n"/>
      <c r="E264" s="25" t="n"/>
      <c r="F264" s="7" t="str">
        <f>IF(OR(D264="",E264=""),"",(E264-D264)*1440)</f>
        <v/>
      </c>
      <c r="G264" s="6" t="n"/>
      <c r="H264" s="6" t="n"/>
      <c r="I264" t="str">
        <f>IF(C264="","",C264&amp;"|"&amp;G264)</f>
        <v/>
      </c>
    </row>
    <row r="265">
      <c r="A265" s="5" t="n"/>
      <c r="B265" s="5" t="n"/>
      <c r="C265" s="98" t="n"/>
      <c r="D265" s="25" t="n"/>
      <c r="E265" s="25" t="n"/>
      <c r="F265" s="7" t="str">
        <f>IF(OR(D265="",E265=""),"",(E265-D265)*1440)</f>
        <v/>
      </c>
      <c r="G265" s="6" t="n"/>
      <c r="H265" s="6" t="n"/>
      <c r="I265" t="str">
        <f>IF(C265="","",C265&amp;"|"&amp;G265)</f>
        <v/>
      </c>
    </row>
    <row r="266">
      <c r="A266" s="5" t="n"/>
      <c r="B266" s="5" t="n"/>
      <c r="C266" s="98" t="n"/>
      <c r="D266" s="25" t="n"/>
      <c r="E266" s="25" t="n"/>
      <c r="F266" s="7" t="str">
        <f>IF(OR(D266="",E266=""),"",(E266-D266)*1440)</f>
        <v/>
      </c>
      <c r="G266" s="6" t="n"/>
      <c r="H266" s="6" t="n"/>
      <c r="I266" t="str">
        <f>IF(C266="","",C266&amp;"|"&amp;G266)</f>
        <v/>
      </c>
    </row>
    <row r="267">
      <c r="A267" s="5" t="n"/>
      <c r="B267" s="5" t="n"/>
      <c r="C267" s="98" t="n"/>
      <c r="D267" s="25" t="n"/>
      <c r="E267" s="25" t="n"/>
      <c r="F267" s="7" t="str">
        <f>IF(OR(D267="",E267=""),"",(E267-D267)*1440)</f>
        <v/>
      </c>
      <c r="G267" s="6" t="n"/>
      <c r="H267" s="6" t="n"/>
      <c r="I267" t="str">
        <f>IF(C267="","",C267&amp;"|"&amp;G267)</f>
        <v/>
      </c>
    </row>
    <row r="268">
      <c r="A268" s="5" t="n"/>
      <c r="B268" s="5" t="n"/>
      <c r="C268" s="98" t="n"/>
      <c r="D268" s="25" t="n"/>
      <c r="E268" s="25" t="n"/>
      <c r="F268" s="7" t="str">
        <f>IF(OR(D268="",E268=""),"",(E268-D268)*1440)</f>
        <v/>
      </c>
      <c r="G268" s="6" t="n"/>
      <c r="H268" s="6" t="n"/>
      <c r="I268" t="str">
        <f>IF(C268="","",C268&amp;"|"&amp;G268)</f>
        <v/>
      </c>
    </row>
    <row r="269">
      <c r="A269" s="5" t="n"/>
      <c r="B269" s="5" t="n"/>
      <c r="C269" s="98" t="n"/>
      <c r="D269" s="25" t="n"/>
      <c r="E269" s="25" t="n"/>
      <c r="F269" s="7" t="str">
        <f>IF(OR(D269="",E269=""),"",(E269-D269)*1440)</f>
        <v/>
      </c>
      <c r="G269" s="6" t="n"/>
      <c r="H269" s="6" t="n"/>
      <c r="I269" t="str">
        <f>IF(C269="","",C269&amp;"|"&amp;G269)</f>
        <v/>
      </c>
    </row>
    <row r="270">
      <c r="A270" s="5" t="n"/>
      <c r="B270" s="5" t="n"/>
      <c r="C270" s="98" t="n"/>
      <c r="D270" s="25" t="n"/>
      <c r="E270" s="25" t="n"/>
      <c r="F270" s="7" t="str">
        <f>IF(OR(D270="",E270=""),"",(E270-D270)*1440)</f>
        <v/>
      </c>
      <c r="G270" s="6" t="n"/>
      <c r="H270" s="6" t="n"/>
      <c r="I270" t="str">
        <f>IF(C270="","",C270&amp;"|"&amp;G270)</f>
        <v/>
      </c>
    </row>
    <row r="271">
      <c r="A271" s="5" t="n"/>
      <c r="B271" s="5" t="n"/>
      <c r="C271" s="98" t="n"/>
      <c r="D271" s="25" t="n"/>
      <c r="E271" s="25" t="n"/>
      <c r="F271" s="7" t="str">
        <f>IF(OR(D271="",E271=""),"",(E271-D271)*1440)</f>
        <v/>
      </c>
      <c r="G271" s="6" t="n"/>
      <c r="H271" s="6" t="n"/>
      <c r="I271" t="str">
        <f>IF(C271="","",C271&amp;"|"&amp;G271)</f>
        <v/>
      </c>
    </row>
    <row r="272">
      <c r="A272" s="5" t="n"/>
      <c r="B272" s="5" t="n"/>
      <c r="C272" s="98" t="n"/>
      <c r="D272" s="25" t="n"/>
      <c r="E272" s="25" t="n"/>
      <c r="F272" s="7" t="str">
        <f>IF(OR(D272="",E272=""),"",(E272-D272)*1440)</f>
        <v/>
      </c>
      <c r="G272" s="6" t="n"/>
      <c r="H272" s="6" t="n"/>
      <c r="I272" t="str">
        <f>IF(C272="","",C272&amp;"|"&amp;G272)</f>
        <v/>
      </c>
    </row>
    <row r="273">
      <c r="A273" s="5" t="n"/>
      <c r="B273" s="5" t="n"/>
      <c r="C273" s="98" t="n"/>
      <c r="D273" s="25" t="n"/>
      <c r="E273" s="25" t="n"/>
      <c r="F273" s="7" t="str">
        <f>IF(OR(D273="",E273=""),"",(E273-D273)*1440)</f>
        <v/>
      </c>
      <c r="G273" s="6" t="n"/>
      <c r="H273" s="6" t="n"/>
      <c r="I273" t="str">
        <f>IF(C273="","",C273&amp;"|"&amp;G273)</f>
        <v/>
      </c>
    </row>
    <row r="274">
      <c r="A274" s="5" t="n"/>
      <c r="B274" s="5" t="n"/>
      <c r="C274" s="98" t="n"/>
      <c r="D274" s="25" t="n"/>
      <c r="E274" s="25" t="n"/>
      <c r="F274" s="7" t="str">
        <f>IF(OR(D274="",E274=""),"",(E274-D274)*1440)</f>
        <v/>
      </c>
      <c r="G274" s="6" t="n"/>
      <c r="H274" s="6" t="n"/>
      <c r="I274" t="str">
        <f>IF(C274="","",C274&amp;"|"&amp;G274)</f>
        <v/>
      </c>
    </row>
    <row r="275">
      <c r="A275" s="5" t="n"/>
      <c r="B275" s="5" t="n"/>
      <c r="C275" s="98" t="n"/>
      <c r="D275" s="25" t="n"/>
      <c r="E275" s="25" t="n"/>
      <c r="F275" s="7" t="str">
        <f>IF(OR(D275="",E275=""),"",(E275-D275)*1440)</f>
        <v/>
      </c>
      <c r="G275" s="6" t="n"/>
      <c r="H275" s="6" t="n"/>
      <c r="I275" t="str">
        <f>IF(C275="","",C275&amp;"|"&amp;G275)</f>
        <v/>
      </c>
    </row>
    <row r="276">
      <c r="A276" s="5" t="n"/>
      <c r="B276" s="5" t="n"/>
      <c r="C276" s="98" t="n"/>
      <c r="D276" s="25" t="n"/>
      <c r="E276" s="25" t="n"/>
      <c r="F276" s="7" t="str">
        <f>IF(OR(D276="",E276=""),"",(E276-D276)*1440)</f>
        <v/>
      </c>
      <c r="G276" s="6" t="n"/>
      <c r="H276" s="6" t="n"/>
      <c r="I276" t="str">
        <f>IF(C276="","",C276&amp;"|"&amp;G276)</f>
        <v/>
      </c>
    </row>
    <row r="277">
      <c r="A277" s="5" t="n"/>
      <c r="B277" s="5" t="n"/>
      <c r="C277" s="98" t="n"/>
      <c r="D277" s="25" t="n"/>
      <c r="E277" s="25" t="n"/>
      <c r="F277" s="7" t="str">
        <f>IF(OR(D277="",E277=""),"",(E277-D277)*1440)</f>
        <v/>
      </c>
      <c r="G277" s="6" t="n"/>
      <c r="H277" s="6" t="n"/>
      <c r="I277" t="str">
        <f>IF(C277="","",C277&amp;"|"&amp;G277)</f>
        <v/>
      </c>
    </row>
    <row r="278">
      <c r="A278" s="5" t="n"/>
      <c r="B278" s="5" t="n"/>
      <c r="C278" s="98" t="n"/>
      <c r="D278" s="25" t="n"/>
      <c r="E278" s="25" t="n"/>
      <c r="F278" s="7" t="str">
        <f>IF(OR(D278="",E278=""),"",(E278-D278)*1440)</f>
        <v/>
      </c>
      <c r="G278" s="6" t="n"/>
      <c r="H278" s="6" t="n"/>
      <c r="I278" t="str">
        <f>IF(C278="","",C278&amp;"|"&amp;G278)</f>
        <v/>
      </c>
    </row>
    <row r="279">
      <c r="A279" s="5" t="n"/>
      <c r="B279" s="5" t="n"/>
      <c r="C279" s="98" t="n"/>
      <c r="D279" s="25" t="n"/>
      <c r="E279" s="25" t="n"/>
      <c r="F279" s="7" t="str">
        <f>IF(OR(D279="",E279=""),"",(E279-D279)*1440)</f>
        <v/>
      </c>
      <c r="G279" s="6" t="n"/>
      <c r="H279" s="6" t="n"/>
      <c r="I279" t="str">
        <f>IF(C279="","",C279&amp;"|"&amp;G279)</f>
        <v/>
      </c>
    </row>
    <row r="280">
      <c r="A280" s="5" t="n"/>
      <c r="B280" s="5" t="n"/>
      <c r="C280" s="98" t="n"/>
      <c r="D280" s="25" t="n"/>
      <c r="E280" s="25" t="n"/>
      <c r="F280" s="7" t="str">
        <f>IF(OR(D280="",E280=""),"",(E280-D280)*1440)</f>
        <v/>
      </c>
      <c r="G280" s="6" t="n"/>
      <c r="H280" s="6" t="n"/>
      <c r="I280" t="str">
        <f>IF(C280="","",C280&amp;"|"&amp;G280)</f>
        <v/>
      </c>
    </row>
    <row r="281">
      <c r="A281" s="5" t="n"/>
      <c r="B281" s="5" t="n"/>
      <c r="C281" s="98" t="n"/>
      <c r="D281" s="25" t="n"/>
      <c r="E281" s="25" t="n"/>
      <c r="F281" s="7" t="str">
        <f>IF(OR(D281="",E281=""),"",(E281-D281)*1440)</f>
        <v/>
      </c>
      <c r="G281" s="6" t="n"/>
      <c r="H281" s="6" t="n"/>
      <c r="I281" t="str">
        <f>IF(C281="","",C281&amp;"|"&amp;G281)</f>
        <v/>
      </c>
    </row>
    <row r="282">
      <c r="A282" s="5" t="n"/>
      <c r="B282" s="5" t="n"/>
      <c r="C282" s="98" t="n"/>
      <c r="D282" s="25" t="n"/>
      <c r="E282" s="25" t="n"/>
      <c r="F282" s="7" t="str">
        <f>IF(OR(D282="",E282=""),"",(E282-D282)*1440)</f>
        <v/>
      </c>
      <c r="G282" s="6" t="n"/>
      <c r="H282" s="6" t="n"/>
      <c r="I282" t="str">
        <f>IF(C282="","",C282&amp;"|"&amp;G282)</f>
        <v/>
      </c>
    </row>
    <row r="283">
      <c r="A283" s="5" t="n"/>
      <c r="B283" s="5" t="n"/>
      <c r="C283" s="98" t="n"/>
      <c r="D283" s="25" t="n"/>
      <c r="E283" s="25" t="n"/>
      <c r="F283" s="7" t="str">
        <f>IF(OR(D283="",E283=""),"",(E283-D283)*1440)</f>
        <v/>
      </c>
      <c r="G283" s="6" t="n"/>
      <c r="H283" s="6" t="n"/>
      <c r="I283" t="str">
        <f>IF(C283="","",C283&amp;"|"&amp;G283)</f>
        <v/>
      </c>
    </row>
    <row r="284">
      <c r="A284" s="5" t="n"/>
      <c r="B284" s="5" t="n"/>
      <c r="C284" s="98" t="n"/>
      <c r="D284" s="25" t="n"/>
      <c r="E284" s="25" t="n"/>
      <c r="F284" s="7" t="str">
        <f>IF(OR(D284="",E284=""),"",(E284-D284)*1440)</f>
        <v/>
      </c>
      <c r="G284" s="6" t="n"/>
      <c r="H284" s="6" t="n"/>
      <c r="I284" t="str">
        <f>IF(C284="","",C284&amp;"|"&amp;G284)</f>
        <v/>
      </c>
    </row>
    <row r="285">
      <c r="A285" s="5" t="n"/>
      <c r="B285" s="5" t="n"/>
      <c r="C285" s="98" t="n"/>
      <c r="D285" s="25" t="n"/>
      <c r="E285" s="25" t="n"/>
      <c r="F285" s="7" t="str">
        <f>IF(OR(D285="",E285=""),"",(E285-D285)*1440)</f>
        <v/>
      </c>
      <c r="G285" s="6" t="n"/>
      <c r="H285" s="6" t="n"/>
      <c r="I285" t="str">
        <f>IF(C285="","",C285&amp;"|"&amp;G285)</f>
        <v/>
      </c>
    </row>
    <row r="286">
      <c r="A286" s="5" t="n"/>
      <c r="B286" s="5" t="n"/>
      <c r="C286" s="98" t="n"/>
      <c r="D286" s="25" t="n"/>
      <c r="E286" s="25" t="n"/>
      <c r="F286" s="7" t="str">
        <f>IF(OR(D286="",E286=""),"",(E286-D286)*1440)</f>
        <v/>
      </c>
      <c r="G286" s="6" t="n"/>
      <c r="H286" s="6" t="n"/>
      <c r="I286" t="str">
        <f>IF(C286="","",C286&amp;"|"&amp;G286)</f>
        <v/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"Pendiente"))</f>
        <v>Completado</v>
      </c>
      <c r="G5" s="27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27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26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95">
        <f>IF($A5="","",COUNTIF('Base Exámenes'!$C$5:$C$1000, A5))</f>
        <v>1</v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"Pendiente"))</f>
        <v>Completado</v>
      </c>
      <c r="G6" s="27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27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26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95">
        <f>IF($A6="","",COUNTIF('Base Exámenes'!$C$5:$C$1000, A6))</f>
        <v>1</v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"Pendiente"))</f>
        <v>Pendiente</v>
      </c>
      <c r="G7" s="27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27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26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95">
        <f>IF($A7="","",COUNTIF('Base Exámenes'!$C$5:$C$1000, A7))</f>
        <v>0</v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"Pendiente"))</f>
        <v>Completado</v>
      </c>
      <c r="G8" s="27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27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26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95">
        <f>IF($A8="","",COUNTIF('Base Exámenes'!$C$5:$C$1000, A8))</f>
        <v>1</v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"Pendiente"))</f>
        <v>Pendiente</v>
      </c>
      <c r="G9" s="27" t="str">
        <f>IF(F9="Completado", IFERROR(IF(INDEX('Base Exámenes'!$D$5:$D$1000, MATCH(A9&amp;"|"&amp;J9, 'Base Exámenes'!$I$5:$I$1000, 0))="", "", INDEX('Base Exámenes'!$D$5:$D$1000, MATCH(A9&amp;"|"&amp;J9, 'Base Exámenes'!$I$5:$I$1000, 0))), ""), "")</f>
        <v/>
      </c>
      <c r="H9" s="27" t="str">
        <f>IF(F9="Completado", IFERROR(IF(INDEX('Base Exámenes'!$E$5:$E$1000, MATCH(A9&amp;"|"&amp;J9, 'Base Exámenes'!$I$5:$I$1000, 0))="", "", INDEX('Base Exámenes'!$E$5:$E$1000, MATCH(A9&amp;"|"&amp;J9, 'Base Exámenes'!$I$5:$I$1000, 0))), ""), "")</f>
        <v/>
      </c>
      <c r="I9" s="26" t="str">
        <f>IF(F9="Completado", IFERROR(IF(INDEX('Base Exámenes'!$F$5:$F$1000, MATCH(A9&amp;"|"&amp;J9, 'Base Exámenes'!$I$5:$I$1000, 0))="", "", INDEX('Base Exámenes'!$F$5:$F$1000, MATCH(A9&amp;"|"&amp;J9, 'Base Exámenes'!$I$5:$I$1000, 0))), ""), "")</f>
        <v/>
      </c>
      <c r="J9" s="6" t="str">
        <f>IF(F9="Completado", IF(COUNTIFS('Base Exámenes'!$C$5:$C$1000, A9, 'Base Exámenes'!$G$5:$G$1000, "&lt;&gt;")=0, "", _xlfn.MAXIFS('Base Exámenes'!$G$5:$G$1000, 'Base Exámenes'!$C$5:$C$1000, A9)), "")</f>
        <v/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/>
      </c>
      <c r="L9" s="95">
        <f>IF($A9="","",COUNTIF('Base Exámenes'!$C$5:$C$1000, A9))</f>
        <v>0</v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"Pendiente"))</f>
        <v>Completado</v>
      </c>
      <c r="G10" s="27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27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26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95">
        <f>IF($A10="","",COUNTIF('Base Exámenes'!$C$5:$C$1000, A10))</f>
        <v>1</v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"Pendiente"))</f>
        <v>Pendiente</v>
      </c>
      <c r="G11" s="27" t="str">
        <f>IF(F11="Completado", IFERROR(IF(INDEX('Base Exámenes'!$D$5:$D$1000, MATCH(A11&amp;"|"&amp;J11, 'Base Exámenes'!$I$5:$I$1000, 0))="", "", INDEX('Base Exámenes'!$D$5:$D$1000, MATCH(A11&amp;"|"&amp;J11, 'Base Exámenes'!$I$5:$I$1000, 0))), ""), "")</f>
        <v/>
      </c>
      <c r="H11" s="27" t="str">
        <f>IF(F11="Completado", IFERROR(IF(INDEX('Base Exámenes'!$E$5:$E$1000, MATCH(A11&amp;"|"&amp;J11, 'Base Exámenes'!$I$5:$I$1000, 0))="", "", INDEX('Base Exámenes'!$E$5:$E$1000, MATCH(A11&amp;"|"&amp;J11, 'Base Exámenes'!$I$5:$I$1000, 0))), ""), "")</f>
        <v/>
      </c>
      <c r="I11" s="26" t="str">
        <f>IF(F11="Completado", IFERROR(IF(INDEX('Base Exámenes'!$F$5:$F$1000, MATCH(A11&amp;"|"&amp;J11, 'Base Exámenes'!$I$5:$I$1000, 0))="", "", INDEX('Base Exámenes'!$F$5:$F$1000, MATCH(A11&amp;"|"&amp;J11, 'Base Exámenes'!$I$5:$I$1000, 0))), ""), "")</f>
        <v/>
      </c>
      <c r="J11" s="6" t="str">
        <f>IF(F11="Completado", IF(COUNTIFS('Base Exámenes'!$C$5:$C$1000, A11, 'Base Exámenes'!$G$5:$G$1000, "&lt;&gt;")=0, "", _xlfn.MAXIFS('Base Exámenes'!$G$5:$G$1000, 'Base Exámenes'!$C$5:$C$1000, A11)), "")</f>
        <v/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/>
      </c>
      <c r="L11" s="95">
        <f>IF($A11="","",COUNTIF('Base Exámenes'!$C$5:$C$1000, A11))</f>
        <v>0</v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"Pendiente"))</f>
        <v>Completado</v>
      </c>
      <c r="G12" s="27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27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26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95">
        <f>IF($A12="","",COUNTIF('Base Exámenes'!$C$5:$C$1000, A12))</f>
        <v>1</v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"Pendiente"))</f>
        <v>Completado</v>
      </c>
      <c r="G13" s="27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27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26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95">
        <f>IF($A13="","",COUNTIF('Base Exámenes'!$C$5:$C$1000, A13))</f>
        <v>1</v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"Pendiente"))</f>
        <v>Completado</v>
      </c>
      <c r="G14" s="27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27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26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95">
        <f>IF($A14="","",COUNTIF('Base Exámenes'!$C$5:$C$1000, A14))</f>
        <v>1</v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"Pendiente"))</f>
        <v>Completado</v>
      </c>
      <c r="G15" s="27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27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26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95">
        <f>IF($A15="","",COUNTIF('Base Exámenes'!$C$5:$C$1000, A15))</f>
        <v>1</v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"Pendiente"))</f>
        <v>Completado</v>
      </c>
      <c r="G16" s="27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27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26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95">
        <f>IF($A16="","",COUNTIF('Base Exámenes'!$C$5:$C$1000, A16))</f>
        <v>1</v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"Pendiente"))</f>
        <v>Completado</v>
      </c>
      <c r="G17" s="27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27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26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95">
        <f>IF($A17="","",COUNTIF('Base Exámenes'!$C$5:$C$1000, A17))</f>
        <v>1</v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"Pendiente"))</f>
        <v>Completado</v>
      </c>
      <c r="G18" s="27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27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26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95">
        <f>IF($A18="","",COUNTIF('Base Exámenes'!$C$5:$C$1000, A18))</f>
        <v>1</v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"Pendiente"))</f>
        <v>Completado</v>
      </c>
      <c r="G19" s="27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27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26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95">
        <f>IF($A19="","",COUNTIF('Base Exámenes'!$C$5:$C$1000, A19))</f>
        <v>1</v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"Pendiente"))</f>
        <v>Completado</v>
      </c>
      <c r="G20" s="27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27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26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95">
        <f>IF($A20="","",COUNTIF('Base Exámenes'!$C$5:$C$1000, A20))</f>
        <v>1</v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"Pendiente"))</f>
        <v>Completado</v>
      </c>
      <c r="G21" s="27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27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26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95">
        <f>IF($A21="","",COUNTIF('Base Exámenes'!$C$5:$C$1000, A21))</f>
        <v>1</v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"Pendiente"))</f>
        <v>Completado</v>
      </c>
      <c r="G22" s="27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27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26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95">
        <f>IF($A22="","",COUNTIF('Base Exámenes'!$C$5:$C$1000, A22))</f>
        <v>1</v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"Pendiente"))</f>
        <v>Completado</v>
      </c>
      <c r="G23" s="27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27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26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95">
        <f>IF($A23="","",COUNTIF('Base Exámenes'!$C$5:$C$1000, A23))</f>
        <v>1</v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"Pendiente"))</f>
        <v>Completado</v>
      </c>
      <c r="G24" s="27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27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26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95">
        <f>IF($A24="","",COUNTIF('Base Exámenes'!$C$5:$C$1000, A24))</f>
        <v>1</v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"Pendiente"))</f>
        <v>Completado</v>
      </c>
      <c r="G25" s="27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27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26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95">
        <f>IF($A25="","",COUNTIF('Base Exámenes'!$C$5:$C$1000, A25))</f>
        <v>1</v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"Pendiente"))</f>
        <v>Completado</v>
      </c>
      <c r="G26" s="27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27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26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95">
        <f>IF($A26="","",COUNTIF('Base Exámenes'!$C$5:$C$1000, A26))</f>
        <v>1</v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"Pendiente"))</f>
        <v>Completado</v>
      </c>
      <c r="G27" s="27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27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26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95">
        <f>IF($A27="","",COUNTIF('Base Exámenes'!$C$5:$C$1000, A27))</f>
        <v>1</v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"Pendiente"))</f>
        <v>Completado</v>
      </c>
      <c r="G28" s="27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27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26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95">
        <f>IF($A28="","",COUNTIF('Base Exámenes'!$C$5:$C$1000, A28))</f>
        <v>1</v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"Pendiente"))</f>
        <v>Completado</v>
      </c>
      <c r="G29" s="27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27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26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95">
        <f>IF($A29="","",COUNTIF('Base Exámenes'!$C$5:$C$1000, A29))</f>
        <v>1</v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"Pendiente"))</f>
        <v>Completado</v>
      </c>
      <c r="G30" s="27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27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26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95">
        <f>IF($A30="","",COUNTIF('Base Exámenes'!$C$5:$C$1000, A30))</f>
        <v>2</v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"Pendiente"))</f>
        <v>Completado</v>
      </c>
      <c r="G31" s="27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27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26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95">
        <f>IF($A31="","",COUNTIF('Base Exámenes'!$C$5:$C$1000, A31))</f>
        <v>1</v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"Pendiente"))</f>
        <v>Completado</v>
      </c>
      <c r="G32" s="27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27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26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95">
        <f>IF($A32="","",COUNTIF('Base Exámenes'!$C$5:$C$1000, A32))</f>
        <v>1</v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"Pendiente"))</f>
        <v>Completado</v>
      </c>
      <c r="G33" s="27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27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26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95">
        <f>IF($A33="","",COUNTIF('Base Exámenes'!$C$5:$C$1000, A33))</f>
        <v>1</v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"Pendiente"))</f>
        <v>Completado</v>
      </c>
      <c r="G34" s="27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27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26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95">
        <f>IF($A34="","",COUNTIF('Base Exámenes'!$C$5:$C$1000, A34))</f>
        <v>1</v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"Pendiente"))</f>
        <v>Completado</v>
      </c>
      <c r="G35" s="27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27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26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95">
        <f>IF($A35="","",COUNTIF('Base Exámenes'!$C$5:$C$1000, A35))</f>
        <v>1</v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"Pendiente"))</f>
        <v>Completado</v>
      </c>
      <c r="G36" s="27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27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26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95">
        <f>IF($A36="","",COUNTIF('Base Exámenes'!$C$5:$C$1000, A36))</f>
        <v>1</v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"Pendiente"))</f>
        <v>Completado</v>
      </c>
      <c r="G37" s="27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27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26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95">
        <f>IF($A37="","",COUNTIF('Base Exámenes'!$C$5:$C$1000, A37))</f>
        <v>2</v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"Pendiente"))</f>
        <v>Completado</v>
      </c>
      <c r="G38" s="27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27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26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95">
        <f>IF($A38="","",COUNTIF('Base Exámenes'!$C$5:$C$1000, A38))</f>
        <v>1</v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"Pendiente"))</f>
        <v>Completado</v>
      </c>
      <c r="G39" s="27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27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26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95">
        <f>IF($A39="","",COUNTIF('Base Exámenes'!$C$5:$C$1000, A39))</f>
        <v>1</v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"Pendiente"))</f>
        <v>Completado</v>
      </c>
      <c r="G40" s="27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27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26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95">
        <f>IF($A40="","",COUNTIF('Base Exámenes'!$C$5:$C$1000, A40))</f>
        <v>1</v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"Pendiente"))</f>
        <v>Completado</v>
      </c>
      <c r="G41" s="27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27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26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95">
        <f>IF($A41="","",COUNTIF('Base Exámenes'!$C$5:$C$1000, A41))</f>
        <v>1</v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"Pendiente"))</f>
        <v>Completado</v>
      </c>
      <c r="G42" s="27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27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26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95">
        <f>IF($A42="","",COUNTIF('Base Exámenes'!$C$5:$C$1000, A42))</f>
        <v>1</v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"Pendiente"))</f>
        <v>Completado</v>
      </c>
      <c r="G43" s="27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27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26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95">
        <f>IF($A43="","",COUNTIF('Base Exámenes'!$C$5:$C$1000, A43))</f>
        <v>1</v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"Pendiente"))</f>
        <v>Completado</v>
      </c>
      <c r="G44" s="27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27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26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95">
        <f>IF($A44="","",COUNTIF('Base Exámenes'!$C$5:$C$1000, A44))</f>
        <v>1</v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"Pendiente"))</f>
        <v>Completado</v>
      </c>
      <c r="G45" s="27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27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26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95">
        <f>IF($A45="","",COUNTIF('Base Exámenes'!$C$5:$C$1000, A45))</f>
        <v>1</v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"Pendiente"))</f>
        <v>Completado</v>
      </c>
      <c r="G46" s="27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27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26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95">
        <f>IF($A46="","",COUNTIF('Base Exámenes'!$C$5:$C$1000, A46))</f>
        <v>1</v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"Pendiente"))</f>
        <v>Completado</v>
      </c>
      <c r="G47" s="27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27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26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95">
        <f>IF($A47="","",COUNTIF('Base Exámenes'!$C$5:$C$1000, A47))</f>
        <v>1</v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"Pendiente"))</f>
        <v>Completado</v>
      </c>
      <c r="G48" s="27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27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26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95">
        <f>IF($A48="","",COUNTIF('Base Exámenes'!$C$5:$C$1000, A48))</f>
        <v>1</v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"Pendiente"))</f>
        <v>Pendiente</v>
      </c>
      <c r="G49" s="27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27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26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95">
        <f>IF($A49="","",COUNTIF('Base Exámenes'!$C$5:$C$1000, A49))</f>
        <v>0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"Pendiente"))</f>
        <v>Completado</v>
      </c>
      <c r="G50" s="27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27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26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95">
        <f>IF($A50="","",COUNTIF('Base Exámenes'!$C$5:$C$1000, A50))</f>
        <v>1</v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"Pendiente"))</f>
        <v>Completado</v>
      </c>
      <c r="G51" s="27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27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26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95">
        <f>IF($A51="","",COUNTIF('Base Exámenes'!$C$5:$C$1000, A51))</f>
        <v>1</v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"Pendiente"))</f>
        <v>Completado</v>
      </c>
      <c r="G52" s="27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27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26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95">
        <f>IF($A52="","",COUNTIF('Base Exámenes'!$C$5:$C$1000, A52))</f>
        <v>1</v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"Pendiente"))</f>
        <v>Completado</v>
      </c>
      <c r="G53" s="27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27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26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95">
        <f>IF($A53="","",COUNTIF('Base Exámenes'!$C$5:$C$1000, A53))</f>
        <v>1</v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"Pendiente"))</f>
        <v>Completado</v>
      </c>
      <c r="G54" s="27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27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26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95">
        <f>IF($A54="","",COUNTIF('Base Exámenes'!$C$5:$C$1000, A54))</f>
        <v>1</v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"Pendiente"))</f>
        <v>Completado</v>
      </c>
      <c r="G55" s="27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27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26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95">
        <f>IF($A55="","",COUNTIF('Base Exámenes'!$C$5:$C$1000, A55))</f>
        <v>1</v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"Pendiente"))</f>
        <v>Completado</v>
      </c>
      <c r="G56" s="27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27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26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95">
        <f>IF($A56="","",COUNTIF('Base Exámenes'!$C$5:$C$1000, A56))</f>
        <v>1</v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"Pendiente"))</f>
        <v>Completado</v>
      </c>
      <c r="G57" s="27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27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26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95">
        <f>IF($A57="","",COUNTIF('Base Exámenes'!$C$5:$C$1000, A57))</f>
        <v>1</v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"Pendiente"))</f>
        <v>Pendiente</v>
      </c>
      <c r="G58" s="27" t="str">
        <f>IF(F58="Completado", IFERROR(IF(INDEX('Base Exámenes'!$D$5:$D$1000, MATCH(A58&amp;"|"&amp;J58, 'Base Exámenes'!$I$5:$I$1000, 0))="", "", INDEX('Base Exámenes'!$D$5:$D$1000, MATCH(A58&amp;"|"&amp;J58, 'Base Exámenes'!$I$5:$I$1000, 0))), ""), "")</f>
        <v/>
      </c>
      <c r="H58" s="27" t="str">
        <f>IF(F58="Completado", IFERROR(IF(INDEX('Base Exámenes'!$E$5:$E$1000, MATCH(A58&amp;"|"&amp;J58, 'Base Exámenes'!$I$5:$I$1000, 0))="", "", INDEX('Base Exámenes'!$E$5:$E$1000, MATCH(A58&amp;"|"&amp;J58, 'Base Exámenes'!$I$5:$I$1000, 0))), ""), "")</f>
        <v/>
      </c>
      <c r="I58" s="26" t="str">
        <f>IF(F58="Completado", IFERROR(IF(INDEX('Base Exámenes'!$F$5:$F$1000, MATCH(A58&amp;"|"&amp;J58, 'Base Exámenes'!$I$5:$I$1000, 0))="", "", INDEX('Base Exámenes'!$F$5:$F$1000, MATCH(A58&amp;"|"&amp;J58, 'Base Exámenes'!$I$5:$I$1000, 0))), ""), "")</f>
        <v/>
      </c>
      <c r="J58" s="6" t="str">
        <f>IF(F58="Completado", IF(COUNTIFS('Base Exámenes'!$C$5:$C$1000, A58, 'Base Exámenes'!$G$5:$G$1000, "&lt;&gt;")=0, "", _xlfn.MAXIFS('Base Exámenes'!$G$5:$G$1000, 'Base Exámenes'!$C$5:$C$1000, A58)), "")</f>
        <v/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/>
      </c>
      <c r="L58" s="95">
        <f>IF($A58="","",COUNTIF('Base Exámenes'!$C$5:$C$1000, A58))</f>
        <v>0</v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"Pendiente"))</f>
        <v>Completado</v>
      </c>
      <c r="G59" s="27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27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26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95">
        <f>IF($A59="","",COUNTIF('Base Exámenes'!$C$5:$C$1000, A59))</f>
        <v>1</v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"Pendiente"))</f>
        <v>Completado</v>
      </c>
      <c r="G60" s="27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27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26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95">
        <f>IF($A60="","",COUNTIF('Base Exámenes'!$C$5:$C$1000, A60))</f>
        <v>1</v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"Pendiente"))</f>
        <v>Completado</v>
      </c>
      <c r="G61" s="27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27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26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95">
        <f>IF($A61="","",COUNTIF('Base Exámenes'!$C$5:$C$1000, A61))</f>
        <v>1</v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"Pendiente"))</f>
        <v>Completado</v>
      </c>
      <c r="G62" s="27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27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26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95">
        <f>IF($A62="","",COUNTIF('Base Exámenes'!$C$5:$C$1000, A62))</f>
        <v>1</v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"Pendiente"))</f>
        <v>Completado</v>
      </c>
      <c r="G63" s="27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27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26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95">
        <f>IF($A63="","",COUNTIF('Base Exámenes'!$C$5:$C$1000, A63))</f>
        <v>1</v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"Pendiente"))</f>
        <v>Completado</v>
      </c>
      <c r="G64" s="27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27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26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95">
        <f>IF($A64="","",COUNTIF('Base Exámenes'!$C$5:$C$1000, A64))</f>
        <v>1</v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"Pendiente"))</f>
        <v>Completado</v>
      </c>
      <c r="G65" s="27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27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26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95">
        <f>IF($A65="","",COUNTIF('Base Exámenes'!$C$5:$C$1000, A65))</f>
        <v>1</v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"Pendiente"))</f>
        <v>Completado</v>
      </c>
      <c r="G66" s="27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27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26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95">
        <f>IF($A66="","",COUNTIF('Base Exámenes'!$C$5:$C$1000, A66))</f>
        <v>1</v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"Pendiente"))</f>
        <v>Completado</v>
      </c>
      <c r="G67" s="27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27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26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95">
        <f>IF($A67="","",COUNTIF('Base Exámenes'!$C$5:$C$1000, A67))</f>
        <v>1</v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"Pendiente"))</f>
        <v>Pendiente</v>
      </c>
      <c r="G68" s="27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27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26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95">
        <f>IF($A68="","",COUNTIF('Base Exámenes'!$C$5:$C$1000, A68))</f>
        <v>0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"Pendiente"))</f>
        <v>Pendiente</v>
      </c>
      <c r="G69" s="27" t="str">
        <f>IF(F69="Completado", IFERROR(IF(INDEX('Base Exámenes'!$D$5:$D$1000, MATCH(A69&amp;"|"&amp;J69, 'Base Exámenes'!$I$5:$I$1000, 0))="", "", INDEX('Base Exámenes'!$D$5:$D$1000, MATCH(A69&amp;"|"&amp;J69, 'Base Exámenes'!$I$5:$I$1000, 0))), ""), "")</f>
        <v/>
      </c>
      <c r="H69" s="27" t="str">
        <f>IF(F69="Completado", IFERROR(IF(INDEX('Base Exámenes'!$E$5:$E$1000, MATCH(A69&amp;"|"&amp;J69, 'Base Exámenes'!$I$5:$I$1000, 0))="", "", INDEX('Base Exámenes'!$E$5:$E$1000, MATCH(A69&amp;"|"&amp;J69, 'Base Exámenes'!$I$5:$I$1000, 0))), ""), "")</f>
        <v/>
      </c>
      <c r="I69" s="26" t="str">
        <f>IF(F69="Completado", IFERROR(IF(INDEX('Base Exámenes'!$F$5:$F$1000, MATCH(A69&amp;"|"&amp;J69, 'Base Exámenes'!$I$5:$I$1000, 0))="", "", INDEX('Base Exámenes'!$F$5:$F$1000, MATCH(A69&amp;"|"&amp;J69, 'Base Exámenes'!$I$5:$I$1000, 0))), ""), "")</f>
        <v/>
      </c>
      <c r="J69" s="6" t="str">
        <f>IF(F69="Completado", IF(COUNTIFS('Base Exámenes'!$C$5:$C$1000, A69, 'Base Exámenes'!$G$5:$G$1000, "&lt;&gt;")=0, "", _xlfn.MAXIFS('Base Exámenes'!$G$5:$G$1000, 'Base Exámenes'!$C$5:$C$1000, A69)), "")</f>
        <v/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/>
      </c>
      <c r="L69" s="95">
        <f>IF($A69="","",COUNTIF('Base Exámenes'!$C$5:$C$1000, A69))</f>
        <v>0</v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"Pendiente"))</f>
        <v>Pendiente</v>
      </c>
      <c r="G70" s="27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27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26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95">
        <f>IF($A70="","",COUNTIF('Base Exámenes'!$C$5:$C$1000, A70))</f>
        <v>0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"Pendiente"))</f>
        <v>Completado</v>
      </c>
      <c r="G71" s="27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27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26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95">
        <f>IF($A71="","",COUNTIF('Base Exámenes'!$C$5:$C$1000, A71))</f>
        <v>1</v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"Pendiente"))</f>
        <v>Completado</v>
      </c>
      <c r="G72" s="27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27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26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95">
        <f>IF($A72="","",COUNTIF('Base Exámenes'!$C$5:$C$1000, A72))</f>
        <v>1</v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"Pendiente"))</f>
        <v>Completado</v>
      </c>
      <c r="G73" s="27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27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26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95">
        <f>IF($A73="","",COUNTIF('Base Exámenes'!$C$5:$C$1000, A73))</f>
        <v>1</v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"Pendiente"))</f>
        <v>Completado</v>
      </c>
      <c r="G74" s="27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27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26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95">
        <f>IF($A74="","",COUNTIF('Base Exámenes'!$C$5:$C$1000, A74))</f>
        <v>1</v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"Pendiente"))</f>
        <v>Completado</v>
      </c>
      <c r="G75" s="27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27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26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95">
        <f>IF($A75="","",COUNTIF('Base Exámenes'!$C$5:$C$1000, A75))</f>
        <v>1</v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"Pendiente"))</f>
        <v>Completado</v>
      </c>
      <c r="G76" s="27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27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26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95">
        <f>IF($A76="","",COUNTIF('Base Exámenes'!$C$5:$C$1000, A76))</f>
        <v>1</v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"Pendiente"))</f>
        <v>Completado</v>
      </c>
      <c r="G77" s="27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27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26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95">
        <f>IF($A77="","",COUNTIF('Base Exámenes'!$C$5:$C$1000, A77))</f>
        <v>1</v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"Pendiente"))</f>
        <v>Completado</v>
      </c>
      <c r="G78" s="27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27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26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95">
        <f>IF($A78="","",COUNTIF('Base Exámenes'!$C$5:$C$1000, A78))</f>
        <v>1</v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"Pendiente"))</f>
        <v>Completado</v>
      </c>
      <c r="G79" s="27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27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26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95">
        <f>IF($A79="","",COUNTIF('Base Exámenes'!$C$5:$C$1000, A79))</f>
        <v>1</v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"Pendiente"))</f>
        <v>Completado</v>
      </c>
      <c r="G80" s="27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27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26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95">
        <f>IF($A80="","",COUNTIF('Base Exámenes'!$C$5:$C$1000, A80))</f>
        <v>1</v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"Pendiente"))</f>
        <v>Completado</v>
      </c>
      <c r="G81" s="27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27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26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95">
        <f>IF($A81="","",COUNTIF('Base Exámenes'!$C$5:$C$1000, A81))</f>
        <v>1</v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"Pendiente"))</f>
        <v>Pendiente</v>
      </c>
      <c r="G82" s="27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27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26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95">
        <f>IF($A82="","",COUNTIF('Base Exámenes'!$C$5:$C$1000, A82))</f>
        <v>0</v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"Pendiente"))</f>
        <v>Completado</v>
      </c>
      <c r="G83" s="27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27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26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95">
        <f>IF($A83="","",COUNTIF('Base Exámenes'!$C$5:$C$1000, A83))</f>
        <v>1</v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"Pendiente"))</f>
        <v>Completado</v>
      </c>
      <c r="G84" s="27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27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26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95">
        <f>IF($A84="","",COUNTIF('Base Exámenes'!$C$5:$C$1000, A84))</f>
        <v>1</v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"Pendiente"))</f>
        <v>Completado</v>
      </c>
      <c r="G85" s="27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27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26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95">
        <f>IF($A85="","",COUNTIF('Base Exámenes'!$C$5:$C$1000, A85))</f>
        <v>1</v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"Pendiente"))</f>
        <v>Pendiente</v>
      </c>
      <c r="G86" s="27" t="str">
        <f>IF(F86="Completado", IFERROR(IF(INDEX('Base Exámenes'!$D$5:$D$1000, MATCH(A86&amp;"|"&amp;J86, 'Base Exámenes'!$I$5:$I$1000, 0))="", "", INDEX('Base Exámenes'!$D$5:$D$1000, MATCH(A86&amp;"|"&amp;J86, 'Base Exámenes'!$I$5:$I$1000, 0))), ""), "")</f>
        <v/>
      </c>
      <c r="H86" s="27" t="str">
        <f>IF(F86="Completado", IFERROR(IF(INDEX('Base Exámenes'!$E$5:$E$1000, MATCH(A86&amp;"|"&amp;J86, 'Base Exámenes'!$I$5:$I$1000, 0))="", "", INDEX('Base Exámenes'!$E$5:$E$1000, MATCH(A86&amp;"|"&amp;J86, 'Base Exámenes'!$I$5:$I$1000, 0))), ""), "")</f>
        <v/>
      </c>
      <c r="I86" s="26" t="str">
        <f>IF(F86="Completado", IFERROR(IF(INDEX('Base Exámenes'!$F$5:$F$1000, MATCH(A86&amp;"|"&amp;J86, 'Base Exámenes'!$I$5:$I$1000, 0))="", "", INDEX('Base Exámenes'!$F$5:$F$1000, MATCH(A86&amp;"|"&amp;J86, 'Base Exámenes'!$I$5:$I$1000, 0))), ""), "")</f>
        <v/>
      </c>
      <c r="J86" s="6" t="str">
        <f>IF(F86="Completado", IF(COUNTIFS('Base Exámenes'!$C$5:$C$1000, A86, 'Base Exámenes'!$G$5:$G$1000, "&lt;&gt;")=0, "", _xlfn.MAXIFS('Base Exámenes'!$G$5:$G$1000, 'Base Exámenes'!$C$5:$C$1000, A86)), "")</f>
        <v/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/>
      </c>
      <c r="L86" s="95">
        <f>IF($A86="","",COUNTIF('Base Exámenes'!$C$5:$C$1000, A86))</f>
        <v>0</v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"Pendiente"))</f>
        <v>Completado</v>
      </c>
      <c r="G87" s="27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27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26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95">
        <f>IF($A87="","",COUNTIF('Base Exámenes'!$C$5:$C$1000, A87))</f>
        <v>1</v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"Pendiente"))</f>
        <v>Completado</v>
      </c>
      <c r="G88" s="27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27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26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95">
        <f>IF($A88="","",COUNTIF('Base Exámenes'!$C$5:$C$1000, A88))</f>
        <v>1</v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"Pendiente"))</f>
        <v>Pendiente</v>
      </c>
      <c r="G89" s="27" t="str">
        <f>IF(F89="Completado", IFERROR(IF(INDEX('Base Exámenes'!$D$5:$D$1000, MATCH(A89&amp;"|"&amp;J89, 'Base Exámenes'!$I$5:$I$1000, 0))="", "", INDEX('Base Exámenes'!$D$5:$D$1000, MATCH(A89&amp;"|"&amp;J89, 'Base Exámenes'!$I$5:$I$1000, 0))), ""), "")</f>
        <v/>
      </c>
      <c r="H89" s="27" t="str">
        <f>IF(F89="Completado", IFERROR(IF(INDEX('Base Exámenes'!$E$5:$E$1000, MATCH(A89&amp;"|"&amp;J89, 'Base Exámenes'!$I$5:$I$1000, 0))="", "", INDEX('Base Exámenes'!$E$5:$E$1000, MATCH(A89&amp;"|"&amp;J89, 'Base Exámenes'!$I$5:$I$1000, 0))), ""), "")</f>
        <v/>
      </c>
      <c r="I89" s="26" t="str">
        <f>IF(F89="Completado", IFERROR(IF(INDEX('Base Exámenes'!$F$5:$F$1000, MATCH(A89&amp;"|"&amp;J89, 'Base Exámenes'!$I$5:$I$1000, 0))="", "", INDEX('Base Exámenes'!$F$5:$F$1000, MATCH(A89&amp;"|"&amp;J89, 'Base Exámenes'!$I$5:$I$1000, 0))), ""), "")</f>
        <v/>
      </c>
      <c r="J89" s="6" t="str">
        <f>IF(F89="Completado", IF(COUNTIFS('Base Exámenes'!$C$5:$C$1000, A89, 'Base Exámenes'!$G$5:$G$1000, "&lt;&gt;")=0, "", _xlfn.MAXIFS('Base Exámenes'!$G$5:$G$1000, 'Base Exámenes'!$C$5:$C$1000, A89)), "")</f>
        <v/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/>
      </c>
      <c r="L89" s="95">
        <f>IF($A89="","",COUNTIF('Base Exámenes'!$C$5:$C$1000, A89))</f>
        <v>0</v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"Pendiente"))</f>
        <v>Completado</v>
      </c>
      <c r="G90" s="27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27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26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95">
        <f>IF($A90="","",COUNTIF('Base Exámenes'!$C$5:$C$1000, A90))</f>
        <v>1</v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"Pendiente"))</f>
        <v>Completado</v>
      </c>
      <c r="G91" s="27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27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26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95">
        <f>IF($A91="","",COUNTIF('Base Exámenes'!$C$5:$C$1000, A91))</f>
        <v>1</v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"Pendiente"))</f>
        <v>Completado</v>
      </c>
      <c r="G92" s="27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27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26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95">
        <f>IF($A92="","",COUNTIF('Base Exámenes'!$C$5:$C$1000, A92))</f>
        <v>1</v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"Pendiente"))</f>
        <v>Completado</v>
      </c>
      <c r="G93" s="27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27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26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95">
        <f>IF($A93="","",COUNTIF('Base Exámenes'!$C$5:$C$1000, A93))</f>
        <v>1</v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"Pendiente"))</f>
        <v>Completado</v>
      </c>
      <c r="G94" s="27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27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26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95">
        <f>IF($A94="","",COUNTIF('Base Exámenes'!$C$5:$C$1000, A94))</f>
        <v>1</v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"Pendiente"))</f>
        <v>Completado</v>
      </c>
      <c r="G95" s="27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27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26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95">
        <f>IF($A95="","",COUNTIF('Base Exámenes'!$C$5:$C$1000, A95))</f>
        <v>1</v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"Pendiente"))</f>
        <v>Completado</v>
      </c>
      <c r="G96" s="27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27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26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95">
        <f>IF($A96="","",COUNTIF('Base Exámenes'!$C$5:$C$1000, A96))</f>
        <v>1</v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"Pendiente"))</f>
        <v>Completado</v>
      </c>
      <c r="G97" s="27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27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26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95">
        <f>IF($A97="","",COUNTIF('Base Exámenes'!$C$5:$C$1000, A97))</f>
        <v>1</v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"Pendiente"))</f>
        <v>Completado</v>
      </c>
      <c r="G98" s="27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27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26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95">
        <f>IF($A98="","",COUNTIF('Base Exámenes'!$C$5:$C$1000, A98))</f>
        <v>1</v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"Pendiente"))</f>
        <v>Pendiente</v>
      </c>
      <c r="G99" s="27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27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26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95">
        <f>IF($A99="","",COUNTIF('Base Exámenes'!$C$5:$C$1000, A99))</f>
        <v>0</v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"Pendiente"))</f>
        <v>Completado</v>
      </c>
      <c r="G100" s="27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27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26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95">
        <f>IF($A100="","",COUNTIF('Base Exámenes'!$C$5:$C$1000, A100))</f>
        <v>1</v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"Pendiente"))</f>
        <v>Completado</v>
      </c>
      <c r="G101" s="27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27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26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95">
        <f>IF($A101="","",COUNTIF('Base Exámenes'!$C$5:$C$1000, A101))</f>
        <v>1</v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"Pendiente"))</f>
        <v>Completado</v>
      </c>
      <c r="G102" s="27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27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26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95">
        <f>IF($A102="","",COUNTIF('Base Exámenes'!$C$5:$C$1000, A102))</f>
        <v>1</v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"Pendiente"))</f>
        <v>Completado</v>
      </c>
      <c r="G103" s="27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27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26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95">
        <f>IF($A103="","",COUNTIF('Base Exámenes'!$C$5:$C$1000, A103))</f>
        <v>1</v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"Pendiente"))</f>
        <v>Pendiente</v>
      </c>
      <c r="G104" s="27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27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26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95">
        <f>IF($A104="","",COUNTIF('Base Exámenes'!$C$5:$C$1000, A104))</f>
        <v>0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"Pendiente"))</f>
        <v>Completado</v>
      </c>
      <c r="G105" s="27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27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26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95">
        <f>IF($A105="","",COUNTIF('Base Exámenes'!$C$5:$C$1000, A105))</f>
        <v>1</v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"Pendiente"))</f>
        <v>Completado</v>
      </c>
      <c r="G106" s="27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27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26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95">
        <f>IF($A106="","",COUNTIF('Base Exámenes'!$C$5:$C$1000, A106))</f>
        <v>1</v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"Pendiente"))</f>
        <v>Completado</v>
      </c>
      <c r="G107" s="27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27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26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95">
        <f>IF($A107="","",COUNTIF('Base Exámenes'!$C$5:$C$1000, A107))</f>
        <v>1</v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"Pendiente"))</f>
        <v>Completado</v>
      </c>
      <c r="G108" s="27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27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26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95">
        <f>IF($A108="","",COUNTIF('Base Exámenes'!$C$5:$C$1000, A108))</f>
        <v>1</v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"Pendiente"))</f>
        <v>Completado</v>
      </c>
      <c r="G109" s="27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27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26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95">
        <f>IF($A109="","",COUNTIF('Base Exámenes'!$C$5:$C$1000, A109))</f>
        <v>1</v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"Pendiente"))</f>
        <v>Completado</v>
      </c>
      <c r="G110" s="27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27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26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95">
        <f>IF($A110="","",COUNTIF('Base Exámenes'!$C$5:$C$1000, A110))</f>
        <v>1</v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"Pendiente"))</f>
        <v>Completado</v>
      </c>
      <c r="G111" s="27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27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26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95">
        <f>IF($A111="","",COUNTIF('Base Exámenes'!$C$5:$C$1000, A111))</f>
        <v>1</v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"Pendiente"))</f>
        <v>Completado</v>
      </c>
      <c r="G112" s="27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27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26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95">
        <f>IF($A112="","",COUNTIF('Base Exámenes'!$C$5:$C$1000, A112))</f>
        <v>1</v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"Pendiente"))</f>
        <v>Completado</v>
      </c>
      <c r="G113" s="27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27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26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95">
        <f>IF($A113="","",COUNTIF('Base Exámenes'!$C$5:$C$1000, A113))</f>
        <v>1</v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"Pendiente"))</f>
        <v>Completado</v>
      </c>
      <c r="G114" s="27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27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26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95">
        <f>IF($A114="","",COUNTIF('Base Exámenes'!$C$5:$C$1000, A114))</f>
        <v>1</v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"Pendiente"))</f>
        <v>Completado</v>
      </c>
      <c r="G115" s="27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27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26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95">
        <f>IF($A115="","",COUNTIF('Base Exámenes'!$C$5:$C$1000, A115))</f>
        <v>1</v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"Pendiente"))</f>
        <v>Completado</v>
      </c>
      <c r="G116" s="27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27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26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95">
        <f>IF($A116="","",COUNTIF('Base Exámenes'!$C$5:$C$1000, A116))</f>
        <v>1</v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"Pendiente"))</f>
        <v>Completado</v>
      </c>
      <c r="G117" s="27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27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26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95">
        <f>IF($A117="","",COUNTIF('Base Exámenes'!$C$5:$C$1000, A117))</f>
        <v>1</v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"Pendiente"))</f>
        <v>Completado</v>
      </c>
      <c r="G118" s="27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27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26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95">
        <f>IF($A118="","",COUNTIF('Base Exámenes'!$C$5:$C$1000, A118))</f>
        <v>1</v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"Pendiente"))</f>
        <v>Completado</v>
      </c>
      <c r="G119" s="27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27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26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95">
        <f>IF($A119="","",COUNTIF('Base Exámenes'!$C$5:$C$1000, A119))</f>
        <v>1</v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"Pendiente"))</f>
        <v>Completado</v>
      </c>
      <c r="G120" s="27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27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26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95">
        <f>IF($A120="","",COUNTIF('Base Exámenes'!$C$5:$C$1000, A120))</f>
        <v>1</v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"Pendiente"))</f>
        <v>Pendiente</v>
      </c>
      <c r="G121" s="27" t="str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/>
      </c>
      <c r="H121" s="27" t="str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/>
      </c>
      <c r="I121" s="26" t="str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/>
      </c>
      <c r="J121" s="6" t="str">
        <f>IF(F121="Completado", IF(COUNTIFS('Base Exámenes'!$C$5:$C$1000, A121, 'Base Exámenes'!$G$5:$G$1000, "&lt;&gt;")=0, "", _xlfn.MAXIFS('Base Exámenes'!$G$5:$G$1000, 'Base Exámenes'!$C$5:$C$1000, A121)), "")</f>
        <v/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/>
      </c>
      <c r="L121" s="95">
        <f>IF($A121="","",COUNTIF('Base Exámenes'!$C$5:$C$1000, A121))</f>
        <v>0</v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"Pendiente"))</f>
        <v>Completado</v>
      </c>
      <c r="G122" s="27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27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26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95">
        <f>IF($A122="","",COUNTIF('Base Exámenes'!$C$5:$C$1000, A122))</f>
        <v>1</v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"Pendiente"))</f>
        <v>Completado</v>
      </c>
      <c r="G123" s="27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27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26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95">
        <f>IF($A123="","",COUNTIF('Base Exámenes'!$C$5:$C$1000, A123))</f>
        <v>1</v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"Pendiente"))</f>
        <v>Completado</v>
      </c>
      <c r="G124" s="27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27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26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95">
        <f>IF($A124="","",COUNTIF('Base Exámenes'!$C$5:$C$1000, A124))</f>
        <v>1</v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"Pendiente"))</f>
        <v>Completado</v>
      </c>
      <c r="G125" s="27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27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26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95">
        <f>IF($A125="","",COUNTIF('Base Exámenes'!$C$5:$C$1000, A125))</f>
        <v>1</v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"Pendiente"))</f>
        <v>Completado</v>
      </c>
      <c r="G126" s="27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27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26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95">
        <f>IF($A126="","",COUNTIF('Base Exámenes'!$C$5:$C$1000, A126))</f>
        <v>1</v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"Pendiente"))</f>
        <v>Completado</v>
      </c>
      <c r="G127" s="27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27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26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95">
        <f>IF($A127="","",COUNTIF('Base Exámenes'!$C$5:$C$1000, A127))</f>
        <v>1</v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"Pendiente"))</f>
        <v>Completado</v>
      </c>
      <c r="G128" s="27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27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26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95">
        <f>IF($A128="","",COUNTIF('Base Exámenes'!$C$5:$C$1000, A128))</f>
        <v>1</v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"Pendiente"))</f>
        <v>Completado</v>
      </c>
      <c r="G129" s="27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27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26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95">
        <f>IF($A129="","",COUNTIF('Base Exámenes'!$C$5:$C$1000, A129))</f>
        <v>1</v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"Pendiente"))</f>
        <v>Completado</v>
      </c>
      <c r="G130" s="27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27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26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95">
        <f>IF($A130="","",COUNTIF('Base Exámenes'!$C$5:$C$1000, A130))</f>
        <v>1</v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"Pendiente"))</f>
        <v>Completado</v>
      </c>
      <c r="G131" s="27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27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26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95">
        <f>IF($A131="","",COUNTIF('Base Exámenes'!$C$5:$C$1000, A131))</f>
        <v>1</v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"Pendiente"))</f>
        <v>Completado</v>
      </c>
      <c r="G132" s="27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27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26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95">
        <f>IF($A132="","",COUNTIF('Base Exámenes'!$C$5:$C$1000, A132))</f>
        <v>1</v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"Pendiente"))</f>
        <v>Completado</v>
      </c>
      <c r="G133" s="27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27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26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95">
        <f>IF($A133="","",COUNTIF('Base Exámenes'!$C$5:$C$1000, A133))</f>
        <v>1</v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"Pendiente"))</f>
        <v>Completado</v>
      </c>
      <c r="G134" s="27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27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26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95">
        <f>IF($A134="","",COUNTIF('Base Exámenes'!$C$5:$C$1000, A134))</f>
        <v>1</v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"Pendiente"))</f>
        <v>Completado</v>
      </c>
      <c r="G135" s="27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27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26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95">
        <f>IF($A135="","",COUNTIF('Base Exámenes'!$C$5:$C$1000, A135))</f>
        <v>1</v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"Pendiente"))</f>
        <v>Completado</v>
      </c>
      <c r="G136" s="27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27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26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95">
        <f>IF($A136="","",COUNTIF('Base Exámenes'!$C$5:$C$1000, A136))</f>
        <v>1</v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"Pendiente"))</f>
        <v>Completado</v>
      </c>
      <c r="G137" s="27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27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26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95">
        <f>IF($A137="","",COUNTIF('Base Exámenes'!$C$5:$C$1000, A137))</f>
        <v>2</v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"Pendiente"))</f>
        <v>Completado</v>
      </c>
      <c r="G138" s="27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27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26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95">
        <f>IF($A138="","",COUNTIF('Base Exámenes'!$C$5:$C$1000, A138))</f>
        <v>1</v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"Pendiente"))</f>
        <v>Completado</v>
      </c>
      <c r="G139" s="27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27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26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95">
        <f>IF($A139="","",COUNTIF('Base Exámenes'!$C$5:$C$1000, A139))</f>
        <v>1</v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"Pendiente"))</f>
        <v>Completado</v>
      </c>
      <c r="G140" s="27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27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26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95">
        <f>IF($A140="","",COUNTIF('Base Exámenes'!$C$5:$C$1000, A140))</f>
        <v>1</v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"Pendiente"))</f>
        <v>Completado</v>
      </c>
      <c r="G141" s="27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27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26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95">
        <f>IF($A141="","",COUNTIF('Base Exámenes'!$C$5:$C$1000, A141))</f>
        <v>1</v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"Pendiente"))</f>
        <v>Completado</v>
      </c>
      <c r="G142" s="27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27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26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95">
        <f>IF($A142="","",COUNTIF('Base Exámenes'!$C$5:$C$1000, A142))</f>
        <v>1</v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"Pendiente"))</f>
        <v>Completado</v>
      </c>
      <c r="G143" s="27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27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26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95">
        <f>IF($A143="","",COUNTIF('Base Exámenes'!$C$5:$C$1000, A143))</f>
        <v>1</v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"Pendiente"))</f>
        <v>Pendiente</v>
      </c>
      <c r="G144" s="27" t="str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/>
      </c>
      <c r="H144" s="27" t="str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/>
      </c>
      <c r="I144" s="26" t="str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/>
      </c>
      <c r="J144" s="6" t="str">
        <f>IF(F144="Completado", IF(COUNTIFS('Base Exámenes'!$C$5:$C$1000, A144, 'Base Exámenes'!$G$5:$G$1000, "&lt;&gt;")=0, "", _xlfn.MAXIFS('Base Exámenes'!$G$5:$G$1000, 'Base Exámenes'!$C$5:$C$1000, A144)), "")</f>
        <v/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/>
      </c>
      <c r="L144" s="95">
        <f>IF($A144="","",COUNTIF('Base Exámenes'!$C$5:$C$1000, A144))</f>
        <v>0</v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"Pendiente"))</f>
        <v>Completado</v>
      </c>
      <c r="G145" s="27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27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26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95">
        <f>IF($A145="","",COUNTIF('Base Exámenes'!$C$5:$C$1000, A145))</f>
        <v>1</v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"Pendiente"))</f>
        <v>Pendiente</v>
      </c>
      <c r="G146" s="27" t="str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/>
      </c>
      <c r="H146" s="27" t="str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/>
      </c>
      <c r="I146" s="26" t="str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/>
      </c>
      <c r="J146" s="6" t="str">
        <f>IF(F146="Completado", IF(COUNTIFS('Base Exámenes'!$C$5:$C$1000, A146, 'Base Exámenes'!$G$5:$G$1000, "&lt;&gt;")=0, "", _xlfn.MAXIFS('Base Exámenes'!$G$5:$G$1000, 'Base Exámenes'!$C$5:$C$1000, A146)), "")</f>
        <v/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/>
      </c>
      <c r="L146" s="95">
        <f>IF($A146="","",COUNTIF('Base Exámenes'!$C$5:$C$1000, A146))</f>
        <v>0</v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"Pendiente"))</f>
        <v>Pendiente</v>
      </c>
      <c r="G147" s="27" t="str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/>
      </c>
      <c r="H147" s="27" t="str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/>
      </c>
      <c r="I147" s="26" t="str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/>
      </c>
      <c r="J147" s="6" t="str">
        <f>IF(F147="Completado", IF(COUNTIFS('Base Exámenes'!$C$5:$C$1000, A147, 'Base Exámenes'!$G$5:$G$1000, "&lt;&gt;")=0, "", _xlfn.MAXIFS('Base Exámenes'!$G$5:$G$1000, 'Base Exámenes'!$C$5:$C$1000, A147)), "")</f>
        <v/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/>
      </c>
      <c r="L147" s="95">
        <f>IF($A147="","",COUNTIF('Base Exámenes'!$C$5:$C$1000, A147))</f>
        <v>0</v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"Pendiente"))</f>
        <v>Pendiente</v>
      </c>
      <c r="G148" s="27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27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26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95">
        <f>IF($A148="","",COUNTIF('Base Exámenes'!$C$5:$C$1000, A148))</f>
        <v>0</v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"Pendiente"))</f>
        <v>Pendiente</v>
      </c>
      <c r="G149" s="27" t="str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/>
      </c>
      <c r="H149" s="27" t="str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/>
      </c>
      <c r="I149" s="26" t="str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/>
      </c>
      <c r="J149" s="6" t="str">
        <f>IF(F149="Completado", IF(COUNTIFS('Base Exámenes'!$C$5:$C$1000, A149, 'Base Exámenes'!$G$5:$G$1000, "&lt;&gt;")=0, "", _xlfn.MAXIFS('Base Exámenes'!$G$5:$G$1000, 'Base Exámenes'!$C$5:$C$1000, A149)), "")</f>
        <v/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/>
      </c>
      <c r="L149" s="95">
        <f>IF($A149="","",COUNTIF('Base Exámenes'!$C$5:$C$1000, A149))</f>
        <v>0</v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"Pendiente"))</f>
        <v>Pendiente</v>
      </c>
      <c r="G150" s="27" t="str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/>
      </c>
      <c r="H150" s="27" t="str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/>
      </c>
      <c r="I150" s="26" t="str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/>
      </c>
      <c r="J150" s="6" t="str">
        <f>IF(F150="Completado", IF(COUNTIFS('Base Exámenes'!$C$5:$C$1000, A150, 'Base Exámenes'!$G$5:$G$1000, "&lt;&gt;")=0, "", _xlfn.MAXIFS('Base Exámenes'!$G$5:$G$1000, 'Base Exámenes'!$C$5:$C$1000, A150)), "")</f>
        <v/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/>
      </c>
      <c r="L150" s="95">
        <f>IF($A150="","",COUNTIF('Base Exámenes'!$C$5:$C$1000, A150))</f>
        <v>0</v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"Pendiente"))</f>
        <v>Completado</v>
      </c>
      <c r="G151" s="27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27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26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95">
        <f>IF($A151="","",COUNTIF('Base Exámenes'!$C$5:$C$1000, A151))</f>
        <v>1</v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"Pendiente"))</f>
        <v>Completado</v>
      </c>
      <c r="G152" s="27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27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26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95">
        <f>IF($A152="","",COUNTIF('Base Exámenes'!$C$5:$C$1000, A152))</f>
        <v>1</v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"Pendiente"))</f>
        <v>Completado</v>
      </c>
      <c r="G153" s="27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27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26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95">
        <f>IF($A153="","",COUNTIF('Base Exámenes'!$C$5:$C$1000, A153))</f>
        <v>1</v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"Pendiente"))</f>
        <v>Completado</v>
      </c>
      <c r="G154" s="27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27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26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95">
        <f>IF($A154="","",COUNTIF('Base Exámenes'!$C$5:$C$1000, A154))</f>
        <v>1</v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"Pendiente"))</f>
        <v>Completado</v>
      </c>
      <c r="G155" s="27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27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26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95">
        <f>IF($A155="","",COUNTIF('Base Exámenes'!$C$5:$C$1000, A155))</f>
        <v>1</v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"Pendiente"))</f>
        <v>Completado</v>
      </c>
      <c r="G156" s="27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27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26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95">
        <f>IF($A156="","",COUNTIF('Base Exámenes'!$C$5:$C$1000, A156))</f>
        <v>1</v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"Pendiente"))</f>
        <v>Completado</v>
      </c>
      <c r="G157" s="27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27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26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95">
        <f>IF($A157="","",COUNTIF('Base Exámenes'!$C$5:$C$1000, A157))</f>
        <v>1</v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"Pendiente"))</f>
        <v>Completado</v>
      </c>
      <c r="G158" s="27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27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26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95">
        <f>IF($A158="","",COUNTIF('Base Exámenes'!$C$5:$C$1000, A158))</f>
        <v>1</v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"Pendiente"))</f>
        <v>Completado</v>
      </c>
      <c r="G159" s="27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27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26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95">
        <f>IF($A159="","",COUNTIF('Base Exámenes'!$C$5:$C$1000, A159))</f>
        <v>1</v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"Pendiente"))</f>
        <v>Completado</v>
      </c>
      <c r="G160" s="27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27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26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95">
        <f>IF($A160="","",COUNTIF('Base Exámenes'!$C$5:$C$1000, A160))</f>
        <v>1</v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"Pendiente"))</f>
        <v>Completado</v>
      </c>
      <c r="G161" s="27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27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26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95">
        <f>IF($A161="","",COUNTIF('Base Exámenes'!$C$5:$C$1000, A161))</f>
        <v>1</v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"Pendiente"))</f>
        <v>Completado</v>
      </c>
      <c r="G162" s="27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27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26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95">
        <f>IF($A162="","",COUNTIF('Base Exámenes'!$C$5:$C$1000, A162))</f>
        <v>1</v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"Pendiente"))</f>
        <v>Completado</v>
      </c>
      <c r="G163" s="27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27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26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95">
        <f>IF($A163="","",COUNTIF('Base Exámenes'!$C$5:$C$1000, A163))</f>
        <v>1</v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"Pendiente"))</f>
        <v>Completado</v>
      </c>
      <c r="G164" s="27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27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26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95">
        <f>IF($A164="","",COUNTIF('Base Exámenes'!$C$5:$C$1000, A164))</f>
        <v>1</v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"Pendiente"))</f>
        <v>Completado</v>
      </c>
      <c r="G165" s="27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27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26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95">
        <f>IF($A165="","",COUNTIF('Base Exámenes'!$C$5:$C$1000, A165))</f>
        <v>1</v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"Pendiente"))</f>
        <v>Completado</v>
      </c>
      <c r="G166" s="27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27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26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95">
        <f>IF($A166="","",COUNTIF('Base Exámenes'!$C$5:$C$1000, A166))</f>
        <v>1</v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"Pendiente"))</f>
        <v>Completado</v>
      </c>
      <c r="G167" s="27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27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26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95">
        <f>IF($A167="","",COUNTIF('Base Exámenes'!$C$5:$C$1000, A167))</f>
        <v>1</v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"Pendiente"))</f>
        <v>Completado</v>
      </c>
      <c r="G168" s="27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27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26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95">
        <f>IF($A168="","",COUNTIF('Base Exámenes'!$C$5:$C$1000, A168))</f>
        <v>1</v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"Pendiente"))</f>
        <v>Completado</v>
      </c>
      <c r="G169" s="27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27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26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95">
        <f>IF($A169="","",COUNTIF('Base Exámenes'!$C$5:$C$1000, A169))</f>
        <v>1</v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"Pendiente"))</f>
        <v>Completado</v>
      </c>
      <c r="G170" s="27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27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26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95">
        <f>IF($A170="","",COUNTIF('Base Exámenes'!$C$5:$C$1000, A170))</f>
        <v>1</v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"Pendiente"))</f>
        <v>Completado</v>
      </c>
      <c r="G171" s="27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27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26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95">
        <f>IF($A171="","",COUNTIF('Base Exámenes'!$C$5:$C$1000, A171))</f>
        <v>1</v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"Pendiente"))</f>
        <v>Pendiente</v>
      </c>
      <c r="G172" s="27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27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26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95">
        <f>IF($A172="","",COUNTIF('Base Exámenes'!$C$5:$C$1000, A172))</f>
        <v>0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"Pendiente"))</f>
        <v>Completado</v>
      </c>
      <c r="G173" s="27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27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26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95">
        <f>IF($A173="","",COUNTIF('Base Exámenes'!$C$5:$C$1000, A173))</f>
        <v>1</v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"Pendiente"))</f>
        <v>Completado</v>
      </c>
      <c r="G174" s="27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27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26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95">
        <f>IF($A174="","",COUNTIF('Base Exámenes'!$C$5:$C$1000, A174))</f>
        <v>1</v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"Pendiente"))</f>
        <v>Completado</v>
      </c>
      <c r="G175" s="27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27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26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95">
        <f>IF($A175="","",COUNTIF('Base Exámenes'!$C$5:$C$1000, A175))</f>
        <v>2</v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"Pendiente"))</f>
        <v>Completado</v>
      </c>
      <c r="G176" s="27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27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26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95">
        <f>IF($A176="","",COUNTIF('Base Exámenes'!$C$5:$C$1000, A176))</f>
        <v>1</v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"Pendiente"))</f>
        <v>Completado</v>
      </c>
      <c r="G177" s="27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27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26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95">
        <f>IF($A177="","",COUNTIF('Base Exámenes'!$C$5:$C$1000, A177))</f>
        <v>1</v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"Pendiente"))</f>
        <v>Completado</v>
      </c>
      <c r="G178" s="27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27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26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95">
        <f>IF($A178="","",COUNTIF('Base Exámenes'!$C$5:$C$1000, A178))</f>
        <v>1</v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"Pendiente"))</f>
        <v>Completado</v>
      </c>
      <c r="G179" s="27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27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26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95">
        <f>IF($A179="","",COUNTIF('Base Exámenes'!$C$5:$C$1000, A179))</f>
        <v>1</v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"Pendiente"))</f>
        <v>Completado</v>
      </c>
      <c r="G180" s="27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27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26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95">
        <f>IF($A180="","",COUNTIF('Base Exámenes'!$C$5:$C$1000, A180))</f>
        <v>1</v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"Pendiente"))</f>
        <v>Completado</v>
      </c>
      <c r="G181" s="27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27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26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95">
        <f>IF($A181="","",COUNTIF('Base Exámenes'!$C$5:$C$1000, A181))</f>
        <v>1</v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"Pendiente"))</f>
        <v>Pendiente</v>
      </c>
      <c r="G182" s="27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27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26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95">
        <f>IF($A182="","",COUNTIF('Base Exámenes'!$C$5:$C$1000, A182))</f>
        <v>0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"Pendiente"))</f>
        <v>Completado</v>
      </c>
      <c r="G183" s="27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27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26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95">
        <f>IF($A183="","",COUNTIF('Base Exámenes'!$C$5:$C$1000, A183))</f>
        <v>1</v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"Pendiente"))</f>
        <v>Completado</v>
      </c>
      <c r="G184" s="27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27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26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95">
        <f>IF($A184="","",COUNTIF('Base Exámenes'!$C$5:$C$1000, A184))</f>
        <v>1</v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"Pendiente"))</f>
        <v>Completado</v>
      </c>
      <c r="G185" s="27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27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26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95">
        <f>IF($A185="","",COUNTIF('Base Exámenes'!$C$5:$C$1000, A185))</f>
        <v>1</v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"Pendiente"))</f>
        <v>Completado</v>
      </c>
      <c r="G186" s="27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27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26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95">
        <f>IF($A186="","",COUNTIF('Base Exámenes'!$C$5:$C$1000, A186))</f>
        <v>1</v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"Pendiente"))</f>
        <v>Completado</v>
      </c>
      <c r="G187" s="27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27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26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95">
        <f>IF($A187="","",COUNTIF('Base Exámenes'!$C$5:$C$1000, A187))</f>
        <v>1</v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"Pendiente"))</f>
        <v>Completado</v>
      </c>
      <c r="G188" s="27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27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26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95">
        <f>IF($A188="","",COUNTIF('Base Exámenes'!$C$5:$C$1000, A188))</f>
        <v>1</v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"Pendiente"))</f>
        <v>Completado</v>
      </c>
      <c r="G189" s="27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27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26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95">
        <f>IF($A189="","",COUNTIF('Base Exámenes'!$C$5:$C$1000, A189))</f>
        <v>1</v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"Pendiente"))</f>
        <v>Completado</v>
      </c>
      <c r="G190" s="27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27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26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95">
        <f>IF($A190="","",COUNTIF('Base Exámenes'!$C$5:$C$1000, A190))</f>
        <v>1</v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"Pendiente"))</f>
        <v>Completado</v>
      </c>
      <c r="G191" s="27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27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26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95">
        <f>IF($A191="","",COUNTIF('Base Exámenes'!$C$5:$C$1000, A191))</f>
        <v>1</v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"Pendiente"))</f>
        <v>Pendiente</v>
      </c>
      <c r="G192" s="27" t="str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/>
      </c>
      <c r="H192" s="27" t="str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/>
      </c>
      <c r="I192" s="26" t="str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/>
      </c>
      <c r="J192" s="6" t="str">
        <f>IF(F192="Completado", IF(COUNTIFS('Base Exámenes'!$C$5:$C$1000, A192, 'Base Exámenes'!$G$5:$G$1000, "&lt;&gt;")=0, "", _xlfn.MAXIFS('Base Exámenes'!$G$5:$G$1000, 'Base Exámenes'!$C$5:$C$1000, A192)), "")</f>
        <v/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/>
      </c>
      <c r="L192" s="95">
        <f>IF($A192="","",COUNTIF('Base Exámenes'!$C$5:$C$1000, A192))</f>
        <v>0</v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"Pendiente"))</f>
        <v>Pendiente</v>
      </c>
      <c r="G193" s="27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27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26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95">
        <f>IF($A193="","",COUNTIF('Base Exámenes'!$C$5:$C$1000, A193))</f>
        <v>0</v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"Pendiente"))</f>
        <v>Pendiente</v>
      </c>
      <c r="G194" s="27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27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26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95">
        <f>IF($A194="","",COUNTIF('Base Exámenes'!$C$5:$C$1000, A194))</f>
        <v>0</v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"Pendiente"))</f>
        <v>Pendiente</v>
      </c>
      <c r="G195" s="27" t="str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/>
      </c>
      <c r="H195" s="27" t="str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/>
      </c>
      <c r="I195" s="26" t="str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/>
      </c>
      <c r="J195" s="6" t="str">
        <f>IF(F195="Completado", IF(COUNTIFS('Base Exámenes'!$C$5:$C$1000, A195, 'Base Exámenes'!$G$5:$G$1000, "&lt;&gt;")=0, "", _xlfn.MAXIFS('Base Exámenes'!$G$5:$G$1000, 'Base Exámenes'!$C$5:$C$1000, A195)), "")</f>
        <v/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/>
      </c>
      <c r="L195" s="95">
        <f>IF($A195="","",COUNTIF('Base Exámenes'!$C$5:$C$1000, A195))</f>
        <v>0</v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"Pendiente"))</f>
        <v>Pendiente</v>
      </c>
      <c r="G196" s="27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27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26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95">
        <f>IF($A196="","",COUNTIF('Base Exámenes'!$C$5:$C$1000, A196))</f>
        <v>0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"Pendiente"))</f>
        <v>Completado</v>
      </c>
      <c r="G197" s="27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27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26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95">
        <f>IF($A197="","",COUNTIF('Base Exámenes'!$C$5:$C$1000, A197))</f>
        <v>1</v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"Pendiente"))</f>
        <v>Pendiente</v>
      </c>
      <c r="G198" s="27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27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26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95">
        <f>IF($A198="","",COUNTIF('Base Exámenes'!$C$5:$C$1000, A198))</f>
        <v>0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"Pendiente"))</f>
        <v>Completado</v>
      </c>
      <c r="G199" s="27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27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26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95">
        <f>IF($A199="","",COUNTIF('Base Exámenes'!$C$5:$C$1000, A199))</f>
        <v>1</v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"Pendiente"))</f>
        <v>Pendiente</v>
      </c>
      <c r="G200" s="27" t="str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/>
      </c>
      <c r="H200" s="27" t="str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/>
      </c>
      <c r="I200" s="26" t="str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/>
      </c>
      <c r="J200" s="6" t="str">
        <f>IF(F200="Completado", IF(COUNTIFS('Base Exámenes'!$C$5:$C$1000, A200, 'Base Exámenes'!$G$5:$G$1000, "&lt;&gt;")=0, "", _xlfn.MAXIFS('Base Exámenes'!$G$5:$G$1000, 'Base Exámenes'!$C$5:$C$1000, A200)), "")</f>
        <v/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/>
      </c>
      <c r="L200" s="95">
        <f>IF($A200="","",COUNTIF('Base Exámenes'!$C$5:$C$1000, A200))</f>
        <v>0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"Pendiente"))</f>
        <v>Pendiente</v>
      </c>
      <c r="G201" s="27" t="str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/>
      </c>
      <c r="H201" s="27" t="str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/>
      </c>
      <c r="I201" s="26" t="str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/>
      </c>
      <c r="J201" s="6" t="str">
        <f>IF(F201="Completado", IF(COUNTIFS('Base Exámenes'!$C$5:$C$1000, A201, 'Base Exámenes'!$G$5:$G$1000, "&lt;&gt;")=0, "", _xlfn.MAXIFS('Base Exámenes'!$G$5:$G$1000, 'Base Exámenes'!$C$5:$C$1000, A201)), "")</f>
        <v/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/>
      </c>
      <c r="L201" s="95">
        <f>IF($A201="","",COUNTIF('Base Exámenes'!$C$5:$C$1000, A201))</f>
        <v>0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"Pendiente"))</f>
        <v>Pendiente</v>
      </c>
      <c r="G202" s="27" t="str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/>
      </c>
      <c r="H202" s="27" t="str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/>
      </c>
      <c r="I202" s="26" t="str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/>
      </c>
      <c r="J202" s="6" t="str">
        <f>IF(F202="Completado", IF(COUNTIFS('Base Exámenes'!$C$5:$C$1000, A202, 'Base Exámenes'!$G$5:$G$1000, "&lt;&gt;")=0, "", _xlfn.MAXIFS('Base Exámenes'!$G$5:$G$1000, 'Base Exámenes'!$C$5:$C$1000, A202)), "")</f>
        <v/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/>
      </c>
      <c r="L202" s="95">
        <f>IF($A202="","",COUNTIF('Base Exámenes'!$C$5:$C$1000, A202))</f>
        <v>0</v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"Pendiente"))</f>
        <v>Completado</v>
      </c>
      <c r="G203" s="27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27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26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95">
        <f>IF($A203="","",COUNTIF('Base Exámenes'!$C$5:$C$1000, A203))</f>
        <v>1</v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"Pendiente"))</f>
        <v>Completado</v>
      </c>
      <c r="G204" s="27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27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26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95">
        <f>IF($A204="","",COUNTIF('Base Exámenes'!$C$5:$C$1000, A204))</f>
        <v>1</v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"Pendiente"))</f>
        <v>Completado</v>
      </c>
      <c r="G205" s="27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27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26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95">
        <f>IF($A205="","",COUNTIF('Base Exámenes'!$C$5:$C$1000, A205))</f>
        <v>1</v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"Pendiente"))</f>
        <v>Completado</v>
      </c>
      <c r="G206" s="27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27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26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95">
        <f>IF($A206="","",COUNTIF('Base Exámenes'!$C$5:$C$1000, A206))</f>
        <v>1</v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"Pendiente"))</f>
        <v>Pendiente</v>
      </c>
      <c r="G207" s="27" t="str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/>
      </c>
      <c r="H207" s="27" t="str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/>
      </c>
      <c r="I207" s="26" t="str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/>
      </c>
      <c r="J207" s="6" t="str">
        <f>IF(F207="Completado", IF(COUNTIFS('Base Exámenes'!$C$5:$C$1000, A207, 'Base Exámenes'!$G$5:$G$1000, "&lt;&gt;")=0, "", _xlfn.MAXIFS('Base Exámenes'!$G$5:$G$1000, 'Base Exámenes'!$C$5:$C$1000, A207)), "")</f>
        <v/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/>
      </c>
      <c r="L207" s="95">
        <f>IF($A207="","",COUNTIF('Base Exámenes'!$C$5:$C$1000, A207))</f>
        <v>0</v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"Pendiente"))</f>
        <v>Completado</v>
      </c>
      <c r="G208" s="27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27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26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95">
        <f>IF($A208="","",COUNTIF('Base Exámenes'!$C$5:$C$1000, A208))</f>
        <v>1</v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"Pendiente"))</f>
        <v>Pendiente</v>
      </c>
      <c r="G209" s="27" t="str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/>
      </c>
      <c r="H209" s="27" t="str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/>
      </c>
      <c r="I209" s="26" t="str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/>
      </c>
      <c r="J209" s="6" t="str">
        <f>IF(F209="Completado", IF(COUNTIFS('Base Exámenes'!$C$5:$C$1000, A209, 'Base Exámenes'!$G$5:$G$1000, "&lt;&gt;")=0, "", _xlfn.MAXIFS('Base Exámenes'!$G$5:$G$1000, 'Base Exámenes'!$C$5:$C$1000, A209)), "")</f>
        <v/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/>
      </c>
      <c r="L209" s="95">
        <f>IF($A209="","",COUNTIF('Base Exámenes'!$C$5:$C$1000, A209))</f>
        <v>0</v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"Pendiente"))</f>
        <v>Completado</v>
      </c>
      <c r="G210" s="27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27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26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95">
        <f>IF($A210="","",COUNTIF('Base Exámenes'!$C$5:$C$1000, A210))</f>
        <v>1</v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"Pendiente"))</f>
        <v>Completado</v>
      </c>
      <c r="G211" s="27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27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26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95">
        <f>IF($A211="","",COUNTIF('Base Exámenes'!$C$5:$C$1000, A211))</f>
        <v>1</v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"Pendiente"))</f>
        <v>Completado</v>
      </c>
      <c r="G212" s="27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27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26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95">
        <f>IF($A212="","",COUNTIF('Base Exámenes'!$C$5:$C$1000, A212))</f>
        <v>1</v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"Pendiente"))</f>
        <v>Pendiente</v>
      </c>
      <c r="G213" s="27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27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26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95">
        <f>IF($A213="","",COUNTIF('Base Exámenes'!$C$5:$C$1000, A213))</f>
        <v>0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"Pendiente"))</f>
        <v>Completado</v>
      </c>
      <c r="G214" s="27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27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26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95">
        <f>IF($A214="","",COUNTIF('Base Exámenes'!$C$5:$C$1000, A214))</f>
        <v>1</v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"Pendiente"))</f>
        <v>Completado</v>
      </c>
      <c r="G215" s="27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27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26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95">
        <f>IF($A215="","",COUNTIF('Base Exámenes'!$C$5:$C$1000, A215))</f>
        <v>1</v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"Pendiente"))</f>
        <v>Completado</v>
      </c>
      <c r="G216" s="27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27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26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95">
        <f>IF($A216="","",COUNTIF('Base Exámenes'!$C$5:$C$1000, A216))</f>
        <v>1</v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"Pendiente"))</f>
        <v>Completado</v>
      </c>
      <c r="G217" s="27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27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26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95">
        <f>IF($A217="","",COUNTIF('Base Exámenes'!$C$5:$C$1000, A217))</f>
        <v>1</v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"Pendiente"))</f>
        <v>Completado</v>
      </c>
      <c r="G218" s="27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27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26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95">
        <f>IF($A218="","",COUNTIF('Base Exámenes'!$C$5:$C$1000, A218))</f>
        <v>1</v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"Pendiente"))</f>
        <v>Completado</v>
      </c>
      <c r="G219" s="27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27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26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95">
        <f>IF($A219="","",COUNTIF('Base Exámenes'!$C$5:$C$1000, A219))</f>
        <v>1</v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"Pendiente"))</f>
        <v>Completado</v>
      </c>
      <c r="G220" s="27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27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26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95">
        <f>IF($A220="","",COUNTIF('Base Exámenes'!$C$5:$C$1000, A220))</f>
        <v>1</v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"Pendiente"))</f>
        <v>Completado</v>
      </c>
      <c r="G221" s="27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27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26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95">
        <f>IF($A221="","",COUNTIF('Base Exámenes'!$C$5:$C$1000, A221))</f>
        <v>1</v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"Pendiente"))</f>
        <v>Completado</v>
      </c>
      <c r="G222" s="27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27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26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95">
        <f>IF($A222="","",COUNTIF('Base Exámenes'!$C$5:$C$1000, A222))</f>
        <v>1</v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"Pendiente"))</f>
        <v>Completado</v>
      </c>
      <c r="G223" s="27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27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26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95">
        <f>IF($A223="","",COUNTIF('Base Exámenes'!$C$5:$C$1000, A223))</f>
        <v>1</v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"Pendiente"))</f>
        <v>Completado</v>
      </c>
      <c r="G224" s="27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27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26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95">
        <f>IF($A224="","",COUNTIF('Base Exámenes'!$C$5:$C$1000, A224))</f>
        <v>1</v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"Pendiente"))</f>
        <v>Completado</v>
      </c>
      <c r="G225" s="27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27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26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95">
        <f>IF($A225="","",COUNTIF('Base Exámenes'!$C$5:$C$1000, A225))</f>
        <v>2</v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"Pendiente"))</f>
        <v>Completado</v>
      </c>
      <c r="G226" s="27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27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26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95">
        <f>IF($A226="","",COUNTIF('Base Exámenes'!$C$5:$C$1000, A226))</f>
        <v>1</v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"Pendiente"))</f>
        <v>Completado</v>
      </c>
      <c r="G227" s="27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27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26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95">
        <f>IF($A227="","",COUNTIF('Base Exámenes'!$C$5:$C$1000, A227))</f>
        <v>1</v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"Pendiente"))</f>
        <v>Pendiente</v>
      </c>
      <c r="G228" s="27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27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26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95">
        <f>IF($A228="","",COUNTIF('Base Exámenes'!$C$5:$C$1000, A228))</f>
        <v>0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"Pendiente"))</f>
        <v>Pendiente</v>
      </c>
      <c r="G229" s="27" t="str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/>
      </c>
      <c r="H229" s="27" t="str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/>
      </c>
      <c r="I229" s="26" t="str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/>
      </c>
      <c r="J229" s="6" t="str">
        <f>IF(F229="Completado", IF(COUNTIFS('Base Exámenes'!$C$5:$C$1000, A229, 'Base Exámenes'!$G$5:$G$1000, "&lt;&gt;")=0, "", _xlfn.MAXIFS('Base Exámenes'!$G$5:$G$1000, 'Base Exámenes'!$C$5:$C$1000, A229)), "")</f>
        <v/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/>
      </c>
      <c r="L229" s="95">
        <f>IF($A229="","",COUNTIF('Base Exámenes'!$C$5:$C$1000, A229))</f>
        <v>0</v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"Pendiente"))</f>
        <v>Completado</v>
      </c>
      <c r="G230" s="27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27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26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95">
        <f>IF($A230="","",COUNTIF('Base Exámenes'!$C$5:$C$1000, A230))</f>
        <v>1</v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"Pendiente"))</f>
        <v>Completado</v>
      </c>
      <c r="G231" s="27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27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26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95">
        <f>IF($A231="","",COUNTIF('Base Exámenes'!$C$5:$C$1000, A231))</f>
        <v>1</v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"Pendiente"))</f>
        <v>Pendiente</v>
      </c>
      <c r="G232" s="27" t="str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/>
      </c>
      <c r="H232" s="27" t="str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/>
      </c>
      <c r="I232" s="26" t="str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/>
      </c>
      <c r="J232" s="6" t="str">
        <f>IF(F232="Completado", IF(COUNTIFS('Base Exámenes'!$C$5:$C$1000, A232, 'Base Exámenes'!$G$5:$G$1000, "&lt;&gt;")=0, "", _xlfn.MAXIFS('Base Exámenes'!$G$5:$G$1000, 'Base Exámenes'!$C$5:$C$1000, A232)), "")</f>
        <v/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/>
      </c>
      <c r="L232" s="95">
        <f>IF($A232="","",COUNTIF('Base Exámenes'!$C$5:$C$1000, A232))</f>
        <v>0</v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"Pendiente"))</f>
        <v>Completado</v>
      </c>
      <c r="G233" s="27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27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26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95">
        <f>IF($A233="","",COUNTIF('Base Exámenes'!$C$5:$C$1000, A233))</f>
        <v>1</v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"Pendiente"))</f>
        <v>Pendiente</v>
      </c>
      <c r="G234" s="27" t="str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/>
      </c>
      <c r="H234" s="27" t="str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/>
      </c>
      <c r="I234" s="26" t="str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/>
      </c>
      <c r="J234" s="6" t="str">
        <f>IF(F234="Completado", IF(COUNTIFS('Base Exámenes'!$C$5:$C$1000, A234, 'Base Exámenes'!$G$5:$G$1000, "&lt;&gt;")=0, "", _xlfn.MAXIFS('Base Exámenes'!$G$5:$G$1000, 'Base Exámenes'!$C$5:$C$1000, A234)), "")</f>
        <v/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/>
      </c>
      <c r="L234" s="95">
        <f>IF($A234="","",COUNTIF('Base Exámenes'!$C$5:$C$1000, A234))</f>
        <v>0</v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"Pendiente"))</f>
        <v>Pendiente</v>
      </c>
      <c r="G235" s="27" t="str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/>
      </c>
      <c r="H235" s="27" t="str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/>
      </c>
      <c r="I235" s="26" t="str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/>
      </c>
      <c r="J235" s="6" t="str">
        <f>IF(F235="Completado", IF(COUNTIFS('Base Exámenes'!$C$5:$C$1000, A235, 'Base Exámenes'!$G$5:$G$1000, "&lt;&gt;")=0, "", _xlfn.MAXIFS('Base Exámenes'!$G$5:$G$1000, 'Base Exámenes'!$C$5:$C$1000, A235)), "")</f>
        <v/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/>
      </c>
      <c r="L235" s="95">
        <f>IF($A235="","",COUNTIF('Base Exámenes'!$C$5:$C$1000, A235))</f>
        <v>0</v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"Pendiente"))</f>
        <v>Completado</v>
      </c>
      <c r="G236" s="27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27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26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95">
        <f>IF($A236="","",COUNTIF('Base Exámenes'!$C$5:$C$1000, A236))</f>
        <v>1</v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"Pendiente"))</f>
        <v>Pendiente</v>
      </c>
      <c r="G237" s="27" t="str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/>
      </c>
      <c r="H237" s="27" t="str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/>
      </c>
      <c r="I237" s="26" t="str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/>
      </c>
      <c r="J237" s="6" t="str">
        <f>IF(F237="Completado", IF(COUNTIFS('Base Exámenes'!$C$5:$C$1000, A237, 'Base Exámenes'!$G$5:$G$1000, "&lt;&gt;")=0, "", _xlfn.MAXIFS('Base Exámenes'!$G$5:$G$1000, 'Base Exámenes'!$C$5:$C$1000, A237)), "")</f>
        <v/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/>
      </c>
      <c r="L237" s="95">
        <f>IF($A237="","",COUNTIF('Base Exámenes'!$C$5:$C$1000, A237))</f>
        <v>0</v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"Pendiente"))</f>
        <v>Pendiente</v>
      </c>
      <c r="G238" s="27" t="str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/>
      </c>
      <c r="H238" s="27" t="str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/>
      </c>
      <c r="I238" s="26" t="str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/>
      </c>
      <c r="J238" s="6" t="str">
        <f>IF(F238="Completado", IF(COUNTIFS('Base Exámenes'!$C$5:$C$1000, A238, 'Base Exámenes'!$G$5:$G$1000, "&lt;&gt;")=0, "", _xlfn.MAXIFS('Base Exámenes'!$G$5:$G$1000, 'Base Exámenes'!$C$5:$C$1000, A238)), "")</f>
        <v/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/>
      </c>
      <c r="L238" s="95">
        <f>IF($A238="","",COUNTIF('Base Exámenes'!$C$5:$C$1000, A238))</f>
        <v>0</v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"Pendiente"))</f>
        <v>Pendiente</v>
      </c>
      <c r="G239" s="27" t="str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/>
      </c>
      <c r="H239" s="27" t="str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/>
      </c>
      <c r="I239" s="26" t="str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/>
      </c>
      <c r="J239" s="6" t="str">
        <f>IF(F239="Completado", IF(COUNTIFS('Base Exámenes'!$C$5:$C$1000, A239, 'Base Exámenes'!$G$5:$G$1000, "&lt;&gt;")=0, "", _xlfn.MAXIFS('Base Exámenes'!$G$5:$G$1000, 'Base Exámenes'!$C$5:$C$1000, A239)), "")</f>
        <v/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/>
      </c>
      <c r="L239" s="95">
        <f>IF($A239="","",COUNTIF('Base Exámenes'!$C$5:$C$1000, A239))</f>
        <v>0</v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"Pendiente"))</f>
        <v>Pendiente</v>
      </c>
      <c r="G240" s="27" t="str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/>
      </c>
      <c r="H240" s="27" t="str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/>
      </c>
      <c r="I240" s="26" t="str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/>
      </c>
      <c r="J240" s="6" t="str">
        <f>IF(F240="Completado", IF(COUNTIFS('Base Exámenes'!$C$5:$C$1000, A240, 'Base Exámenes'!$G$5:$G$1000, "&lt;&gt;")=0, "", _xlfn.MAXIFS('Base Exámenes'!$G$5:$G$1000, 'Base Exámenes'!$C$5:$C$1000, A240)), "")</f>
        <v/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/>
      </c>
      <c r="L240" s="95">
        <f>IF($A240="","",COUNTIF('Base Exámenes'!$C$5:$C$1000, A240))</f>
        <v>0</v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"Pendiente"))</f>
        <v>Pendiente</v>
      </c>
      <c r="G241" s="27" t="str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/>
      </c>
      <c r="H241" s="27" t="str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/>
      </c>
      <c r="I241" s="26" t="str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/>
      </c>
      <c r="J241" s="6" t="str">
        <f>IF(F241="Completado", IF(COUNTIFS('Base Exámenes'!$C$5:$C$1000, A241, 'Base Exámenes'!$G$5:$G$1000, "&lt;&gt;")=0, "", _xlfn.MAXIFS('Base Exámenes'!$G$5:$G$1000, 'Base Exámenes'!$C$5:$C$1000, A241)), "")</f>
        <v/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/>
      </c>
      <c r="L241" s="95">
        <f>IF($A241="","",COUNTIF('Base Exámenes'!$C$5:$C$1000, A241))</f>
        <v>0</v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"Pendiente"))</f>
        <v>Completado</v>
      </c>
      <c r="G242" s="27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27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26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95">
        <f>IF($A242="","",COUNTIF('Base Exámenes'!$C$5:$C$1000, A242))</f>
        <v>1</v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"Pendiente"))</f>
        <v>Pendiente</v>
      </c>
      <c r="G243" s="27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27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26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95">
        <f>IF($A243="","",COUNTIF('Base Exámenes'!$C$5:$C$1000, A243))</f>
        <v>0</v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"Pendiente"))</f>
        <v>Completado</v>
      </c>
      <c r="G244" s="27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27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26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95">
        <f>IF($A244="","",COUNTIF('Base Exámenes'!$C$5:$C$1000, A244))</f>
        <v>1</v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"Pendiente"))</f>
        <v>Completado</v>
      </c>
      <c r="G245" s="27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27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26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95">
        <f>IF($A245="","",COUNTIF('Base Exámenes'!$C$5:$C$1000, A245))</f>
        <v>1</v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"Pendiente"))</f>
        <v>Completado</v>
      </c>
      <c r="G246" s="27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27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26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95">
        <f>IF($A246="","",COUNTIF('Base Exámenes'!$C$5:$C$1000, A246))</f>
        <v>1</v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"Pendiente"))</f>
        <v>Pendiente</v>
      </c>
      <c r="G247" s="27" t="str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/>
      </c>
      <c r="H247" s="27" t="str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/>
      </c>
      <c r="I247" s="26" t="str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/>
      </c>
      <c r="J247" s="6" t="str">
        <f>IF(F247="Completado", IF(COUNTIFS('Base Exámenes'!$C$5:$C$1000, A247, 'Base Exámenes'!$G$5:$G$1000, "&lt;&gt;")=0, "", _xlfn.MAXIFS('Base Exámenes'!$G$5:$G$1000, 'Base Exámenes'!$C$5:$C$1000, A247)), "")</f>
        <v/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/>
      </c>
      <c r="L247" s="95">
        <f>IF($A247="","",COUNTIF('Base Exámenes'!$C$5:$C$1000, A247))</f>
        <v>0</v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"Pendiente"))</f>
        <v>Completado</v>
      </c>
      <c r="G248" s="27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27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26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95">
        <f>IF($A248="","",COUNTIF('Base Exámenes'!$C$5:$C$1000, A248))</f>
        <v>1</v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"Pendiente"))</f>
        <v>Completado</v>
      </c>
      <c r="G249" s="27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27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26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95">
        <f>IF($A249="","",COUNTIF('Base Exámenes'!$C$5:$C$1000, A249))</f>
        <v>1</v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"Pendiente"))</f>
        <v>Completado</v>
      </c>
      <c r="G250" s="27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27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26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95">
        <f>IF($A250="","",COUNTIF('Base Exámenes'!$C$5:$C$1000, A250))</f>
        <v>1</v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"Pendiente"))</f>
        <v>Completado</v>
      </c>
      <c r="G251" s="27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27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26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95">
        <f>IF($A251="","",COUNTIF('Base Exámenes'!$C$5:$C$1000, A251))</f>
        <v>1</v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"Pendiente"))</f>
        <v>Completado</v>
      </c>
      <c r="G252" s="27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27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26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95">
        <f>IF($A252="","",COUNTIF('Base Exámenes'!$C$5:$C$1000, A252))</f>
        <v>1</v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"Pendiente"))</f>
        <v>Completado</v>
      </c>
      <c r="G253" s="27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27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26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95">
        <f>IF($A253="","",COUNTIF('Base Exámenes'!$C$5:$C$1000, A253))</f>
        <v>1</v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"Pendiente"))</f>
        <v>Completado</v>
      </c>
      <c r="G254" s="27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27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26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95">
        <f>IF($A254="","",COUNTIF('Base Exámenes'!$C$5:$C$1000, A254))</f>
        <v>1</v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"Pendiente"))</f>
        <v>Completado</v>
      </c>
      <c r="G255" s="27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27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26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95">
        <f>IF($A255="","",COUNTIF('Base Exámenes'!$C$5:$C$1000, A255))</f>
        <v>1</v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"Pendiente"))</f>
        <v>Completado</v>
      </c>
      <c r="G256" s="27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27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26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95">
        <f>IF($A256="","",COUNTIF('Base Exámenes'!$C$5:$C$1000, A256))</f>
        <v>1</v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"Pendiente"))</f>
        <v>Pendiente</v>
      </c>
      <c r="G257" s="27" t="str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/>
      </c>
      <c r="H257" s="27" t="str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/>
      </c>
      <c r="I257" s="26" t="str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/>
      </c>
      <c r="J257" s="6" t="str">
        <f>IF(F257="Completado", IF(COUNTIFS('Base Exámenes'!$C$5:$C$1000, A257, 'Base Exámenes'!$G$5:$G$1000, "&lt;&gt;")=0, "", _xlfn.MAXIFS('Base Exámenes'!$G$5:$G$1000, 'Base Exámenes'!$C$5:$C$1000, A257)), "")</f>
        <v/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/>
      </c>
      <c r="L257" s="95">
        <f>IF($A257="","",COUNTIF('Base Exámenes'!$C$5:$C$1000, A257))</f>
        <v>0</v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"Pendiente"))</f>
        <v>Completado</v>
      </c>
      <c r="G258" s="27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27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26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95">
        <f>IF($A258="","",COUNTIF('Base Exámenes'!$C$5:$C$1000, A258))</f>
        <v>1</v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"Pendiente"))</f>
        <v>Completado</v>
      </c>
      <c r="G259" s="27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27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26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95">
        <f>IF($A259="","",COUNTIF('Base Exámenes'!$C$5:$C$1000, A259))</f>
        <v>1</v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"Pendiente"))</f>
        <v>Completado</v>
      </c>
      <c r="G260" s="27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27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26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95">
        <f>IF($A260="","",COUNTIF('Base Exámenes'!$C$5:$C$1000, A260))</f>
        <v>1</v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"Pendiente"))</f>
        <v>Completado</v>
      </c>
      <c r="G261" s="27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27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26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95">
        <f>IF($A261="","",COUNTIF('Base Exámenes'!$C$5:$C$1000, A261))</f>
        <v>1</v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"Pendiente"))</f>
        <v>Pendiente</v>
      </c>
      <c r="G262" s="27" t="str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/>
      </c>
      <c r="H262" s="27" t="str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/>
      </c>
      <c r="I262" s="26" t="str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/>
      </c>
      <c r="J262" s="6" t="str">
        <f>IF(F262="Completado", IF(COUNTIFS('Base Exámenes'!$C$5:$C$1000, A262, 'Base Exámenes'!$G$5:$G$1000, "&lt;&gt;")=0, "", _xlfn.MAXIFS('Base Exámenes'!$G$5:$G$1000, 'Base Exámenes'!$C$5:$C$1000, A262)), "")</f>
        <v/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/>
      </c>
      <c r="L262" s="95">
        <f>IF($A262="","",COUNTIF('Base Exámenes'!$C$5:$C$1000, A262))</f>
        <v>0</v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"Pendiente"))</f>
        <v>Pendiente</v>
      </c>
      <c r="G263" s="27" t="str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/>
      </c>
      <c r="H263" s="27" t="str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/>
      </c>
      <c r="I263" s="26" t="str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/>
      </c>
      <c r="J263" s="6" t="str">
        <f>IF(F263="Completado", IF(COUNTIFS('Base Exámenes'!$C$5:$C$1000, A263, 'Base Exámenes'!$G$5:$G$1000, "&lt;&gt;")=0, "", _xlfn.MAXIFS('Base Exámenes'!$G$5:$G$1000, 'Base Exámenes'!$C$5:$C$1000, A263)), "")</f>
        <v/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/>
      </c>
      <c r="L263" s="95">
        <f>IF($A263="","",COUNTIF('Base Exámenes'!$C$5:$C$1000, A263))</f>
        <v>0</v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"Pendiente"))</f>
        <v>Completado</v>
      </c>
      <c r="G264" s="27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27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26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95">
        <f>IF($A264="","",COUNTIF('Base Exámenes'!$C$5:$C$1000, A264))</f>
        <v>1</v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"Pendiente"))</f>
        <v>Completado</v>
      </c>
      <c r="G265" s="27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27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26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95">
        <f>IF($A265="","",COUNTIF('Base Exámenes'!$C$5:$C$1000, A265))</f>
        <v>1</v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"Pendiente"))</f>
        <v>Pendiente</v>
      </c>
      <c r="G266" s="27" t="str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/>
      </c>
      <c r="H266" s="27" t="str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/>
      </c>
      <c r="I266" s="26" t="str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/>
      </c>
      <c r="J266" s="6" t="str">
        <f>IF(F266="Completado", IF(COUNTIFS('Base Exámenes'!$C$5:$C$1000, A266, 'Base Exámenes'!$G$5:$G$1000, "&lt;&gt;")=0, "", _xlfn.MAXIFS('Base Exámenes'!$G$5:$G$1000, 'Base Exámenes'!$C$5:$C$1000, A266)), "")</f>
        <v/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/>
      </c>
      <c r="L266" s="95">
        <f>IF($A266="","",COUNTIF('Base Exámenes'!$C$5:$C$1000, A266))</f>
        <v>0</v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"Pendiente"))</f>
        <v>Completado</v>
      </c>
      <c r="G267" s="27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27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26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95">
        <f>IF($A267="","",COUNTIF('Base Exámenes'!$C$5:$C$1000, A267))</f>
        <v>1</v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"Pendiente"))</f>
        <v>Pendiente</v>
      </c>
      <c r="G268" s="27" t="str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/>
      </c>
      <c r="H268" s="27" t="str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/>
      </c>
      <c r="I268" s="26" t="str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/>
      </c>
      <c r="J268" s="6" t="str">
        <f>IF(F268="Completado", IF(COUNTIFS('Base Exámenes'!$C$5:$C$1000, A268, 'Base Exámenes'!$G$5:$G$1000, "&lt;&gt;")=0, "", _xlfn.MAXIFS('Base Exámenes'!$G$5:$G$1000, 'Base Exámenes'!$C$5:$C$1000, A268)), "")</f>
        <v/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/>
      </c>
      <c r="L268" s="95">
        <f>IF($A268="","",COUNTIF('Base Exámenes'!$C$5:$C$1000, A268))</f>
        <v>0</v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"Pendiente"))</f>
        <v>Pendiente</v>
      </c>
      <c r="G269" s="27" t="str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/>
      </c>
      <c r="H269" s="27" t="str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/>
      </c>
      <c r="I269" s="26" t="str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/>
      </c>
      <c r="J269" s="6" t="str">
        <f>IF(F269="Completado", IF(COUNTIFS('Base Exámenes'!$C$5:$C$1000, A269, 'Base Exámenes'!$G$5:$G$1000, "&lt;&gt;")=0, "", _xlfn.MAXIFS('Base Exámenes'!$G$5:$G$1000, 'Base Exámenes'!$C$5:$C$1000, A269)), "")</f>
        <v/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/>
      </c>
      <c r="L269" s="95">
        <f>IF($A269="","",COUNTIF('Base Exámenes'!$C$5:$C$1000, A269))</f>
        <v>0</v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"Pendiente"))</f>
        <v>Pendiente</v>
      </c>
      <c r="G270" s="27" t="str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/>
      </c>
      <c r="H270" s="27" t="str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/>
      </c>
      <c r="I270" s="26" t="str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/>
      </c>
      <c r="J270" s="6" t="str">
        <f>IF(F270="Completado", IF(COUNTIFS('Base Exámenes'!$C$5:$C$1000, A270, 'Base Exámenes'!$G$5:$G$1000, "&lt;&gt;")=0, "", _xlfn.MAXIFS('Base Exámenes'!$G$5:$G$1000, 'Base Exámenes'!$C$5:$C$1000, A270)), "")</f>
        <v/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/>
      </c>
      <c r="L270" s="95">
        <f>IF($A270="","",COUNTIF('Base Exámenes'!$C$5:$C$1000, A270))</f>
        <v>0</v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"Pendiente"))</f>
        <v>Pendiente</v>
      </c>
      <c r="G271" s="27" t="str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/>
      </c>
      <c r="H271" s="27" t="str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/>
      </c>
      <c r="I271" s="26" t="str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/>
      </c>
      <c r="J271" s="6" t="str">
        <f>IF(F271="Completado", IF(COUNTIFS('Base Exámenes'!$C$5:$C$1000, A271, 'Base Exámenes'!$G$5:$G$1000, "&lt;&gt;")=0, "", _xlfn.MAXIFS('Base Exámenes'!$G$5:$G$1000, 'Base Exámenes'!$C$5:$C$1000, A271)), "")</f>
        <v/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/>
      </c>
      <c r="L271" s="95">
        <f>IF($A271="","",COUNTIF('Base Exámenes'!$C$5:$C$1000, A271))</f>
        <v>0</v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"Pendiente"))</f>
        <v>Pendiente</v>
      </c>
      <c r="G272" s="27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27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26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95">
        <f>IF($A272="","",COUNTIF('Base Exámenes'!$C$5:$C$1000, A272))</f>
        <v>0</v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"Pendiente"))</f>
        <v>Pendiente</v>
      </c>
      <c r="G273" s="27" t="str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/>
      </c>
      <c r="H273" s="27" t="str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/>
      </c>
      <c r="I273" s="26" t="str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/>
      </c>
      <c r="J273" s="6" t="str">
        <f>IF(F273="Completado", IF(COUNTIFS('Base Exámenes'!$C$5:$C$1000, A273, 'Base Exámenes'!$G$5:$G$1000, "&lt;&gt;")=0, "", _xlfn.MAXIFS('Base Exámenes'!$G$5:$G$1000, 'Base Exámenes'!$C$5:$C$1000, A273)), "")</f>
        <v/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/>
      </c>
      <c r="L273" s="95">
        <f>IF($A273="","",COUNTIF('Base Exámenes'!$C$5:$C$1000, A273))</f>
        <v>0</v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"Pendiente"))</f>
        <v>Completado</v>
      </c>
      <c r="G274" s="27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27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26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95">
        <f>IF($A274="","",COUNTIF('Base Exámenes'!$C$5:$C$1000, A274))</f>
        <v>1</v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"Pendiente"))</f>
        <v>Completado</v>
      </c>
      <c r="G275" s="27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27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26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95">
        <f>IF($A275="","",COUNTIF('Base Exámenes'!$C$5:$C$1000, A275))</f>
        <v>1</v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"Pendiente"))</f>
        <v>Completado</v>
      </c>
      <c r="G276" s="27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27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26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95">
        <f>IF($A276="","",COUNTIF('Base Exámenes'!$C$5:$C$1000, A276))</f>
        <v>1</v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"Pendiente"))</f>
        <v>Completado</v>
      </c>
      <c r="G277" s="27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27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26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95">
        <f>IF($A277="","",COUNTIF('Base Exámenes'!$C$5:$C$1000, A277))</f>
        <v>1</v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"Pendiente"))</f>
        <v>Completado</v>
      </c>
      <c r="G278" s="27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27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26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95">
        <f>IF($A278="","",COUNTIF('Base Exámenes'!$C$5:$C$1000, A278))</f>
        <v>1</v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"Pendiente"))</f>
        <v>Completado</v>
      </c>
      <c r="G279" s="27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27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26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95">
        <f>IF($A279="","",COUNTIF('Base Exámenes'!$C$5:$C$1000, A279))</f>
        <v>1</v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"Pendiente"))</f>
        <v>Completado</v>
      </c>
      <c r="G280" s="27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27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26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95">
        <f>IF($A280="","",COUNTIF('Base Exámenes'!$C$5:$C$1000, A280))</f>
        <v>1</v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"Pendiente"))</f>
        <v>Completado</v>
      </c>
      <c r="G281" s="27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27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26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95">
        <f>IF($A281="","",COUNTIF('Base Exámenes'!$C$5:$C$1000, A281))</f>
        <v>2</v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"Pendiente"))</f>
        <v>Completado</v>
      </c>
      <c r="G282" s="27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27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26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95">
        <f>IF($A282="","",COUNTIF('Base Exámenes'!$C$5:$C$1000, A282))</f>
        <v>1</v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"Pendiente"))</f>
        <v>Completado</v>
      </c>
      <c r="G283" s="27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27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26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95">
        <f>IF($A283="","",COUNTIF('Base Exámenes'!$C$5:$C$1000, A283))</f>
        <v>1</v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"Pendiente"))</f>
        <v>Completado</v>
      </c>
      <c r="G284" s="27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27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26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95">
        <f>IF($A284="","",COUNTIF('Base Exámenes'!$C$5:$C$1000, A284))</f>
        <v>1</v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"Pendiente"))</f>
        <v>Completado</v>
      </c>
      <c r="G285" s="27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27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26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95">
        <f>IF($A285="","",COUNTIF('Base Exámenes'!$C$5:$C$1000, A285))</f>
        <v>1</v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"Pendiente"))</f>
        <v>Completado</v>
      </c>
      <c r="G286" s="27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27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26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95">
        <f>IF($A286="","",COUNTIF('Base Exámenes'!$C$5:$C$1000, A286))</f>
        <v>1</v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"Pendiente"))</f>
        <v>Completado</v>
      </c>
      <c r="G287" s="27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27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26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95">
        <f>IF($A287="","",COUNTIF('Base Exámenes'!$C$5:$C$1000, A287))</f>
        <v>1</v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"Pendiente"))</f>
        <v>Completado</v>
      </c>
      <c r="G288" s="27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27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26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95">
        <f>IF($A288="","",COUNTIF('Base Exámenes'!$C$5:$C$1000, A288))</f>
        <v>1</v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"Pendiente"))</f>
        <v>Completado</v>
      </c>
      <c r="G289" s="27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27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26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95">
        <f>IF($A289="","",COUNTIF('Base Exámenes'!$C$5:$C$1000, A289))</f>
        <v>1</v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"Pendiente"))</f>
        <v>Completado</v>
      </c>
      <c r="G290" s="27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27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26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95">
        <f>IF($A290="","",COUNTIF('Base Exámenes'!$C$5:$C$1000, A290))</f>
        <v>1</v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"Pendiente"))</f>
        <v>Completado</v>
      </c>
      <c r="G291" s="27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27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26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95">
        <f>IF($A291="","",COUNTIF('Base Exámenes'!$C$5:$C$1000, A291))</f>
        <v>1</v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"Pendiente"))</f>
        <v>Completado</v>
      </c>
      <c r="G292" s="27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27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26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95">
        <f>IF($A292="","",COUNTIF('Base Exámenes'!$C$5:$C$1000, A292))</f>
        <v>1</v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"Pendiente"))</f>
        <v>Completado</v>
      </c>
      <c r="G293" s="27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27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26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95">
        <f>IF($A293="","",COUNTIF('Base Exámenes'!$C$5:$C$1000, A293))</f>
        <v>1</v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"Pendiente"))</f>
        <v>Completado</v>
      </c>
      <c r="G294" s="27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27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26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95">
        <f>IF($A294="","",COUNTIF('Base Exámenes'!$C$5:$C$1000, A294))</f>
        <v>1</v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"Pendiente"))</f>
        <v>Completado</v>
      </c>
      <c r="G295" s="27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27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26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95">
        <f>IF($A295="","",COUNTIF('Base Exámenes'!$C$5:$C$1000, A295))</f>
        <v>1</v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"Pendiente"))</f>
        <v>Completado</v>
      </c>
      <c r="G296" s="27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27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26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95">
        <f>IF($A296="","",COUNTIF('Base Exámenes'!$C$5:$C$1000, A296))</f>
        <v>1</v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"Pendiente"))</f>
        <v>Completado</v>
      </c>
      <c r="G297" s="27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27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26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95">
        <f>IF($A297="","",COUNTIF('Base Exámenes'!$C$5:$C$1000, A297))</f>
        <v>1</v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"Pendiente"))</f>
        <v/>
      </c>
      <c r="G298" s="27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27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26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95" t="str">
        <f>IF($A298="","",COUNTIF('Base Exámenes'!$C$5:$C$1000, A298))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"Pendiente"))</f>
        <v/>
      </c>
      <c r="G299" s="27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27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26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95" t="str">
        <f>IF($A299="","",COUNTIF('Base Exámenes'!$C$5:$C$1000, A299))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"Pendiente"))</f>
        <v/>
      </c>
      <c r="G300" s="27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27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26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95" t="str">
        <f>IF($A300="","",COUNTIF('Base Exámenes'!$C$5:$C$1000, A300))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"Pendiente"))</f>
        <v/>
      </c>
      <c r="G301" s="27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27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26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95" t="str">
        <f>IF($A301="","",COUNTIF('Base Exámenes'!$C$5:$C$1000, A301))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"Pendiente"))</f>
        <v/>
      </c>
      <c r="G302" s="27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27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26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95" t="str">
        <f>IF($A302="","",COUNTIF('Base Exámenes'!$C$5:$C$1000, A302))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"Pendiente"))</f>
        <v/>
      </c>
      <c r="G303" s="27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27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26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95" t="str">
        <f>IF($A303="","",COUNTIF('Base Exámenes'!$C$5:$C$1000, A303))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"Pendiente"))</f>
        <v/>
      </c>
      <c r="G304" s="27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27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26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95" t="str">
        <f>IF($A304="","",COUNTIF('Base Exámenes'!$C$5:$C$1000, A304))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"Pendiente"))</f>
        <v/>
      </c>
      <c r="G305" s="27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27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26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95" t="str">
        <f>IF($A305="","",COUNTIF('Base Exámenes'!$C$5:$C$1000, A305))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"Pendiente"))</f>
        <v/>
      </c>
      <c r="G306" s="27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27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26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95" t="str">
        <f>IF($A306="","",COUNTIF('Base Exámenes'!$C$5:$C$1000, A306))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"Pendiente"))</f>
        <v/>
      </c>
      <c r="G307" s="27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27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26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95" t="str">
        <f>IF($A307="","",COUNTIF('Base Exámenes'!$C$5:$C$1000, A307))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"Pendiente"))</f>
        <v/>
      </c>
      <c r="G308" s="27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27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26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95" t="str">
        <f>IF($A308="","",COUNTIF('Base Exámenes'!$C$5:$C$1000, A308))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"Pendiente"))</f>
        <v/>
      </c>
      <c r="G309" s="27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27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26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95" t="str">
        <f>IF($A309="","",COUNTIF('Base Exámenes'!$C$5:$C$1000, A309))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"Pendiente"))</f>
        <v/>
      </c>
      <c r="G310" s="27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27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26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95" t="str">
        <f>IF($A310="","",COUNTIF('Base Exámenes'!$C$5:$C$1000, A310))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"Pendiente"))</f>
        <v/>
      </c>
      <c r="G311" s="27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27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26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95" t="str">
        <f>IF($A311="","",COUNTIF('Base Exámenes'!$C$5:$C$1000, A311))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"Pendiente"))</f>
        <v/>
      </c>
      <c r="G312" s="27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27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26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95" t="str">
        <f>IF($A312="","",COUNTIF('Base Exámenes'!$C$5:$C$1000, A312))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"Pendiente"))</f>
        <v/>
      </c>
      <c r="G313" s="27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27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26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95" t="str">
        <f>IF($A313="","",COUNTIF('Base Exámenes'!$C$5:$C$1000, A313))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"Pendiente"))</f>
        <v/>
      </c>
      <c r="G314" s="27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27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26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95" t="str">
        <f>IF($A314="","",COUNTIF('Base Exámenes'!$C$5:$C$1000, A314))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"Pendiente"))</f>
        <v/>
      </c>
      <c r="G315" s="27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27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26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95" t="str">
        <f>IF($A315="","",COUNTIF('Base Exámenes'!$C$5:$C$1000, A315))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"Pendiente"))</f>
        <v/>
      </c>
      <c r="G316" s="27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27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26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95" t="str">
        <f>IF($A316="","",COUNTIF('Base Exámenes'!$C$5:$C$1000, A316))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"Pendiente"))</f>
        <v/>
      </c>
      <c r="G317" s="27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27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26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95" t="str">
        <f>IF($A317="","",COUNTIF('Base Exámenes'!$C$5:$C$1000, A317))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"Pendiente"))</f>
        <v/>
      </c>
      <c r="G318" s="27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27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26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95" t="str">
        <f>IF($A318="","",COUNTIF('Base Exámenes'!$C$5:$C$1000, A318))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"Pendiente"))</f>
        <v/>
      </c>
      <c r="G319" s="27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27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26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95" t="str">
        <f>IF($A319="","",COUNTIF('Base Exámenes'!$C$5:$C$1000, A319))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"Pendiente"))</f>
        <v/>
      </c>
      <c r="G320" s="27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27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26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95" t="str">
        <f>IF($A320="","",COUNTIF('Base Exámenes'!$C$5:$C$1000, A320))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"Pendiente"))</f>
        <v/>
      </c>
      <c r="G321" s="27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27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26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95" t="str">
        <f>IF($A321="","",COUNTIF('Base Exámenes'!$C$5:$C$1000, A321))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"Pendiente"))</f>
        <v/>
      </c>
      <c r="G322" s="27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27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26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95" t="str">
        <f>IF($A322="","",COUNTIF('Base Exámenes'!$C$5:$C$1000, A322))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"Pendiente"))</f>
        <v/>
      </c>
      <c r="G323" s="27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27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26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95" t="str">
        <f>IF($A323="","",COUNTIF('Base Exámenes'!$C$5:$C$1000, A323))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"Pendiente"))</f>
        <v/>
      </c>
      <c r="G324" s="27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27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26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95" t="str">
        <f>IF($A324="","",COUNTIF('Base Exámenes'!$C$5:$C$1000, A324))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"Pendiente"))</f>
        <v/>
      </c>
      <c r="G325" s="27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27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26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95" t="str">
        <f>IF($A325="","",COUNTIF('Base Exámenes'!$C$5:$C$1000, A325))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"Pendiente"))</f>
        <v/>
      </c>
      <c r="G326" s="27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27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26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95" t="str">
        <f>IF($A326="","",COUNTIF('Base Exámenes'!$C$5:$C$1000, A326))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"Pendiente"))</f>
        <v/>
      </c>
      <c r="G327" s="27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27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26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95" t="str">
        <f>IF($A327="","",COUNTIF('Base Exámenes'!$C$5:$C$1000, A327))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"Pendiente"))</f>
        <v/>
      </c>
      <c r="G328" s="27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27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26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95" t="str">
        <f>IF($A328="","",COUNTIF('Base Exámenes'!$C$5:$C$1000, A328))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"Pendiente"))</f>
        <v/>
      </c>
      <c r="G329" s="27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27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26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95" t="str">
        <f>IF($A329="","",COUNTIF('Base Exámenes'!$C$5:$C$1000, A329))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"Pendiente"))</f>
        <v/>
      </c>
      <c r="G330" s="27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27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26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95" t="str">
        <f>IF($A330="","",COUNTIF('Base Exámenes'!$C$5:$C$1000, A330))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"Pendiente"))</f>
        <v/>
      </c>
      <c r="G331" s="27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27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26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95" t="str">
        <f>IF($A331="","",COUNTIF('Base Exámenes'!$C$5:$C$1000, A331))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"Pendiente"))</f>
        <v/>
      </c>
      <c r="G332" s="27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27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26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95" t="str">
        <f>IF($A332="","",COUNTIF('Base Exámenes'!$C$5:$C$1000, A332))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"Pendiente"))</f>
        <v/>
      </c>
      <c r="G333" s="27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27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26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95" t="str">
        <f>IF($A333="","",COUNTIF('Base Exámenes'!$C$5:$C$1000, A333))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"Pendiente"))</f>
        <v/>
      </c>
      <c r="G334" s="27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27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26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95" t="str">
        <f>IF($A334="","",COUNTIF('Base Exámenes'!$C$5:$C$1000, A334))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"Pendiente"))</f>
        <v/>
      </c>
      <c r="G335" s="27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27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26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95" t="str">
        <f>IF($A335="","",COUNTIF('Base Exámenes'!$C$5:$C$1000, A335))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"Pendiente"))</f>
        <v/>
      </c>
      <c r="G336" s="27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27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26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95" t="str">
        <f>IF($A336="","",COUNTIF('Base Exámenes'!$C$5:$C$1000, A336))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"Pendiente"))</f>
        <v/>
      </c>
      <c r="G337" s="27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27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26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95" t="str">
        <f>IF($A337="","",COUNTIF('Base Exámenes'!$C$5:$C$1000, A337))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"Pendiente"))</f>
        <v/>
      </c>
      <c r="G338" s="27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27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26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95" t="str">
        <f>IF($A338="","",COUNTIF('Base Exámenes'!$C$5:$C$1000, A338))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"Pendiente"))</f>
        <v/>
      </c>
      <c r="G339" s="27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27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26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95" t="str">
        <f>IF($A339="","",COUNTIF('Base Exámenes'!$C$5:$C$1000, A339))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"Pendiente"))</f>
        <v/>
      </c>
      <c r="G340" s="27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27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26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95" t="str">
        <f>IF($A340="","",COUNTIF('Base Exámenes'!$C$5:$C$1000, A340))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"Pendiente"))</f>
        <v/>
      </c>
      <c r="G341" s="27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27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26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95" t="str">
        <f>IF($A341="","",COUNTIF('Base Exámenes'!$C$5:$C$1000, A341))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"Pendiente"))</f>
        <v/>
      </c>
      <c r="G342" s="27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27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26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95" t="str">
        <f>IF($A342="","",COUNTIF('Base Exámenes'!$C$5:$C$1000, A342))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"Pendiente"))</f>
        <v/>
      </c>
      <c r="G343" s="27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27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26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95" t="str">
        <f>IF($A343="","",COUNTIF('Base Exámenes'!$C$5:$C$1000, A343))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"Pendiente"))</f>
        <v/>
      </c>
      <c r="G344" s="27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27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26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95" t="str">
        <f>IF($A344="","",COUNTIF('Base Exámenes'!$C$5:$C$1000, A344))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"Pendiente"))</f>
        <v/>
      </c>
      <c r="G345" s="27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27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26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95" t="str">
        <f>IF($A345="","",COUNTIF('Base Exámenes'!$C$5:$C$1000, A345))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"Pendiente"))</f>
        <v/>
      </c>
      <c r="G346" s="27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27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26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95" t="str">
        <f>IF($A346="","",COUNTIF('Base Exámenes'!$C$5:$C$1000, A346))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"Pendiente"))</f>
        <v/>
      </c>
      <c r="G347" s="27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27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26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95" t="str">
        <f>IF($A347="","",COUNTIF('Base Exámenes'!$C$5:$C$1000, A347))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"Pendiente"))</f>
        <v/>
      </c>
      <c r="G348" s="27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27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26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95" t="str">
        <f>IF($A348="","",COUNTIF('Base Exámenes'!$C$5:$C$1000, A348))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"Pendiente"))</f>
        <v/>
      </c>
      <c r="G349" s="27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27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26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95" t="str">
        <f>IF($A349="","",COUNTIF('Base Exámenes'!$C$5:$C$1000, A349))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"Pendiente"))</f>
        <v/>
      </c>
      <c r="G350" s="27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27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26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95" t="str">
        <f>IF($A350="","",COUNTIF('Base Exámenes'!$C$5:$C$1000, A350))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"Pendiente"))</f>
        <v/>
      </c>
      <c r="G351" s="27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27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26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95" t="str">
        <f>IF($A351="","",COUNTIF('Base Exámenes'!$C$5:$C$1000, A351))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"Pendiente"))</f>
        <v/>
      </c>
      <c r="G352" s="27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27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26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95" t="str">
        <f>IF($A352="","",COUNTIF('Base Exámenes'!$C$5:$C$1000, A352))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"Pendiente"))</f>
        <v/>
      </c>
      <c r="G353" s="27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27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26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95" t="str">
        <f>IF($A353="","",COUNTIF('Base Exámenes'!$C$5:$C$1000, A353))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"Pendiente"))</f>
        <v/>
      </c>
      <c r="G354" s="27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27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26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95" t="str">
        <f>IF($A354="","",COUNTIF('Base Exámenes'!$C$5:$C$1000, A354))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"Pendiente"))</f>
        <v/>
      </c>
      <c r="G355" s="27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27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26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95" t="str">
        <f>IF($A355="","",COUNTIF('Base Exámenes'!$C$5:$C$1000, A355))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"Pendiente"))</f>
        <v/>
      </c>
      <c r="G356" s="27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27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26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95" t="str">
        <f>IF($A356="","",COUNTIF('Base Exámenes'!$C$5:$C$1000, A356))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"Pendiente"))</f>
        <v/>
      </c>
      <c r="G357" s="27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27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26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95" t="str">
        <f>IF($A357="","",COUNTIF('Base Exámenes'!$C$5:$C$1000, A357))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"Pendiente"))</f>
        <v/>
      </c>
      <c r="G358" s="27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27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26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95" t="str">
        <f>IF($A358="","",COUNTIF('Base Exámenes'!$C$5:$C$1000, A358))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"Pendiente"))</f>
        <v/>
      </c>
      <c r="G359" s="27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27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26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95" t="str">
        <f>IF($A359="","",COUNTIF('Base Exámenes'!$C$5:$C$1000, A359))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"Pendiente"))</f>
        <v/>
      </c>
      <c r="G360" s="27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27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26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95" t="str">
        <f>IF($A360="","",COUNTIF('Base Exámenes'!$C$5:$C$1000, A360))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"Pendiente"))</f>
        <v/>
      </c>
      <c r="G361" s="27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27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26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95" t="str">
        <f>IF($A361="","",COUNTIF('Base Exámenes'!$C$5:$C$1000, A361))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"Pendiente"))</f>
        <v/>
      </c>
      <c r="G362" s="27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27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26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95" t="str">
        <f>IF($A362="","",COUNTIF('Base Exámenes'!$C$5:$C$1000, A362))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"Pendiente"))</f>
        <v/>
      </c>
      <c r="G363" s="27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27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26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95" t="str">
        <f>IF($A363="","",COUNTIF('Base Exámenes'!$C$5:$C$1000, A363))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"Pendiente"))</f>
        <v/>
      </c>
      <c r="G364" s="27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27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26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95" t="str">
        <f>IF($A364="","",COUNTIF('Base Exámenes'!$C$5:$C$1000, A364))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"Pendiente"))</f>
        <v/>
      </c>
      <c r="G365" s="27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27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26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95" t="str">
        <f>IF($A365="","",COUNTIF('Base Exámenes'!$C$5:$C$1000, A365))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"Pendiente"))</f>
        <v/>
      </c>
      <c r="G366" s="27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27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26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95" t="str">
        <f>IF($A366="","",COUNTIF('Base Exámenes'!$C$5:$C$1000, A366))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"Pendiente"))</f>
        <v/>
      </c>
      <c r="G367" s="27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27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26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95" t="str">
        <f>IF($A367="","",COUNTIF('Base Exámenes'!$C$5:$C$1000, A367))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"Pendiente"))</f>
        <v/>
      </c>
      <c r="G368" s="27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27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26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95" t="str">
        <f>IF($A368="","",COUNTIF('Base Exámenes'!$C$5:$C$1000, A368))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"Pendiente"))</f>
        <v/>
      </c>
      <c r="G369" s="27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27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26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95" t="str">
        <f>IF($A369="","",COUNTIF('Base Exámenes'!$C$5:$C$1000, A369))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"Pendiente"))</f>
        <v/>
      </c>
      <c r="G370" s="27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27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26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95" t="str">
        <f>IF($A370="","",COUNTIF('Base Exámenes'!$C$5:$C$1000, A370))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"Pendiente"))</f>
        <v/>
      </c>
      <c r="G371" s="27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27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26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95" t="str">
        <f>IF($A371="","",COUNTIF('Base Exámenes'!$C$5:$C$1000, A371))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"Pendiente"))</f>
        <v/>
      </c>
      <c r="G372" s="27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27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26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95" t="str">
        <f>IF($A372="","",COUNTIF('Base Exámenes'!$C$5:$C$1000, A372))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"Pendiente"))</f>
        <v/>
      </c>
      <c r="G373" s="27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27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26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95" t="str">
        <f>IF($A373="","",COUNTIF('Base Exámenes'!$C$5:$C$1000, A373))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"Pendiente"))</f>
        <v/>
      </c>
      <c r="G374" s="27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27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26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95" t="str">
        <f>IF($A374="","",COUNTIF('Base Exámenes'!$C$5:$C$1000, A374))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"Pendiente"))</f>
        <v/>
      </c>
      <c r="G375" s="27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27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26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95" t="str">
        <f>IF($A375="","",COUNTIF('Base Exámenes'!$C$5:$C$1000, A375))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"Pendiente"))</f>
        <v/>
      </c>
      <c r="G376" s="27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27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26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95" t="str">
        <f>IF($A376="","",COUNTIF('Base Exámenes'!$C$5:$C$1000, A376))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"Pendiente"))</f>
        <v/>
      </c>
      <c r="G377" s="27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27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26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95" t="str">
        <f>IF($A377="","",COUNTIF('Base Exámenes'!$C$5:$C$1000, A377))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"Pendiente"))</f>
        <v/>
      </c>
      <c r="G378" s="27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27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26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95" t="str">
        <f>IF($A378="","",COUNTIF('Base Exámenes'!$C$5:$C$1000, A378))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"Pendiente"))</f>
        <v/>
      </c>
      <c r="G379" s="27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27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26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95" t="str">
        <f>IF($A379="","",COUNTIF('Base Exámenes'!$C$5:$C$1000, A379))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"Pendiente"))</f>
        <v/>
      </c>
      <c r="G380" s="27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27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26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95" t="str">
        <f>IF($A380="","",COUNTIF('Base Exámenes'!$C$5:$C$1000, A380))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"Pendiente"))</f>
        <v/>
      </c>
      <c r="G381" s="27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27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26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95" t="str">
        <f>IF($A381="","",COUNTIF('Base Exámenes'!$C$5:$C$1000, A381))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"Pendiente"))</f>
        <v/>
      </c>
      <c r="G382" s="27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27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26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95" t="str">
        <f>IF($A382="","",COUNTIF('Base Exámenes'!$C$5:$C$1000, A382))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"Pendiente"))</f>
        <v/>
      </c>
      <c r="G383" s="27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27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26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95" t="str">
        <f>IF($A383="","",COUNTIF('Base Exámenes'!$C$5:$C$1000, A383))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"Pendiente"))</f>
        <v/>
      </c>
      <c r="G384" s="27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27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26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95" t="str">
        <f>IF($A384="","",COUNTIF('Base Exámenes'!$C$5:$C$1000, A384))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"Pendiente"))</f>
        <v/>
      </c>
      <c r="G385" s="27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27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26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95" t="str">
        <f>IF($A385="","",COUNTIF('Base Exámenes'!$C$5:$C$1000, A385))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"Pendiente"))</f>
        <v/>
      </c>
      <c r="G386" s="27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27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26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95" t="str">
        <f>IF($A386="","",COUNTIF('Base Exámenes'!$C$5:$C$1000, A386))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"Pendiente"))</f>
        <v/>
      </c>
      <c r="G387" s="27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27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26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95" t="str">
        <f>IF($A387="","",COUNTIF('Base Exámenes'!$C$5:$C$1000, A387))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"Pendiente"))</f>
        <v/>
      </c>
      <c r="G388" s="27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27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26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95" t="str">
        <f>IF($A388="","",COUNTIF('Base Exámenes'!$C$5:$C$1000, A388))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"Pendiente"))</f>
        <v/>
      </c>
      <c r="G389" s="27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27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26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95" t="str">
        <f>IF($A389="","",COUNTIF('Base Exámenes'!$C$5:$C$1000, A389))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"Pendiente"))</f>
        <v/>
      </c>
      <c r="G390" s="27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27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26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95" t="str">
        <f>IF($A390="","",COUNTIF('Base Exámenes'!$C$5:$C$1000, A390))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"Pendiente"))</f>
        <v/>
      </c>
      <c r="G391" s="27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27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26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95" t="str">
        <f>IF($A391="","",COUNTIF('Base Exámenes'!$C$5:$C$1000, A391))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"Pendiente"))</f>
        <v/>
      </c>
      <c r="G392" s="27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27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26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95" t="str">
        <f>IF($A392="","",COUNTIF('Base Exámenes'!$C$5:$C$1000, A392))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"Pendiente"))</f>
        <v/>
      </c>
      <c r="G393" s="27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27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26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95" t="str">
        <f>IF($A393="","",COUNTIF('Base Exámenes'!$C$5:$C$1000, A393))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"Pendiente"))</f>
        <v/>
      </c>
      <c r="G394" s="27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27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26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95" t="str">
        <f>IF($A394="","",COUNTIF('Base Exámenes'!$C$5:$C$1000, A394))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"Pendiente"))</f>
        <v/>
      </c>
      <c r="G395" s="27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27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26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95" t="str">
        <f>IF($A395="","",COUNTIF('Base Exámenes'!$C$5:$C$1000, A395))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"Pendiente"))</f>
        <v/>
      </c>
      <c r="G396" s="27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27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26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95" t="str">
        <f>IF($A396="","",COUNTIF('Base Exámenes'!$C$5:$C$1000, A396))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"Pendiente"))</f>
        <v/>
      </c>
      <c r="G397" s="27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27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26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95" t="str">
        <f>IF($A397="","",COUNTIF('Base Exámenes'!$C$5:$C$1000, A397))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"Pendiente"))</f>
        <v/>
      </c>
      <c r="G398" s="27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27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26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95" t="str">
        <f>IF($A398="","",COUNTIF('Base Exámenes'!$C$5:$C$1000, A398))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"Pendiente"))</f>
        <v/>
      </c>
      <c r="G399" s="27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27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26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95" t="str">
        <f>IF($A399="","",COUNTIF('Base Exámenes'!$C$5:$C$1000, A399))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"Pendiente"))</f>
        <v/>
      </c>
      <c r="G400" s="27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27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26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95" t="str">
        <f>IF($A400="","",COUNTIF('Base Exámenes'!$C$5:$C$1000, A400))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"Pendiente"))</f>
        <v/>
      </c>
      <c r="G401" s="27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27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26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95" t="str">
        <f>IF($A401="","",COUNTIF('Base Exámenes'!$C$5:$C$1000, A401))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"Pendiente"))</f>
        <v/>
      </c>
      <c r="G402" s="27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27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26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95" t="str">
        <f>IF($A402="","",COUNTIF('Base Exámenes'!$C$5:$C$1000, A402))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"Pendiente"))</f>
        <v/>
      </c>
      <c r="G403" s="27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27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26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95" t="str">
        <f>IF($A403="","",COUNTIF('Base Exámenes'!$C$5:$C$1000, A403))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"Pendiente"))</f>
        <v/>
      </c>
      <c r="G404" s="27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27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26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95" t="str">
        <f>IF($A404="","",COUNTIF('Base Exámenes'!$C$5:$C$1000, A404))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"Pendiente"))</f>
        <v/>
      </c>
      <c r="G405" s="27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27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26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95" t="str">
        <f>IF($A405="","",COUNTIF('Base Exámenes'!$C$5:$C$1000, A405))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"Pendiente"))</f>
        <v/>
      </c>
      <c r="G406" s="27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27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26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95" t="str">
        <f>IF($A406="","",COUNTIF('Base Exámenes'!$C$5:$C$1000, A406))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"Pendiente"))</f>
        <v/>
      </c>
      <c r="G407" s="27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27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26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95" t="str">
        <f>IF($A407="","",COUNTIF('Base Exámenes'!$C$5:$C$1000, A407))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"Pendiente"))</f>
        <v/>
      </c>
      <c r="G408" s="27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27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26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95" t="str">
        <f>IF($A408="","",COUNTIF('Base Exámenes'!$C$5:$C$1000, A408))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"Pendiente"))</f>
        <v/>
      </c>
      <c r="G409" s="27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27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26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95" t="str">
        <f>IF($A409="","",COUNTIF('Base Exámenes'!$C$5:$C$1000, A409))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"Pendiente"))</f>
        <v/>
      </c>
      <c r="G410" s="27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27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26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95" t="str">
        <f>IF($A410="","",COUNTIF('Base Exámenes'!$C$5:$C$1000, A410))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"Pendiente"))</f>
        <v/>
      </c>
      <c r="G411" s="27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27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26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95" t="str">
        <f>IF($A411="","",COUNTIF('Base Exámenes'!$C$5:$C$1000, A411))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"Pendiente"))</f>
        <v/>
      </c>
      <c r="G412" s="27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27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26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95" t="str">
        <f>IF($A412="","",COUNTIF('Base Exámenes'!$C$5:$C$1000, A412))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"Pendiente"))</f>
        <v/>
      </c>
      <c r="G413" s="27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27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26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95" t="str">
        <f>IF($A413="","",COUNTIF('Base Exámenes'!$C$5:$C$1000, A413))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"Pendiente"))</f>
        <v/>
      </c>
      <c r="G414" s="27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27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26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95" t="str">
        <f>IF($A414="","",COUNTIF('Base Exámenes'!$C$5:$C$1000, A414))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"Pendiente"))</f>
        <v/>
      </c>
      <c r="G415" s="27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27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26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95" t="str">
        <f>IF($A415="","",COUNTIF('Base Exámenes'!$C$5:$C$1000, A415))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"Pendiente"))</f>
        <v/>
      </c>
      <c r="G416" s="27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27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26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95" t="str">
        <f>IF($A416="","",COUNTIF('Base Exámenes'!$C$5:$C$1000, A416))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"Pendiente"))</f>
        <v/>
      </c>
      <c r="G417" s="27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27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26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95" t="str">
        <f>IF($A417="","",COUNTIF('Base Exámenes'!$C$5:$C$1000, A417))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"Pendiente"))</f>
        <v/>
      </c>
      <c r="G418" s="27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27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26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95" t="str">
        <f>IF($A418="","",COUNTIF('Base Exámenes'!$C$5:$C$1000, A418))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"Pendiente"))</f>
        <v/>
      </c>
      <c r="G419" s="27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27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26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95" t="str">
        <f>IF($A419="","",COUNTIF('Base Exámenes'!$C$5:$C$1000, A419))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"Pendiente"))</f>
        <v/>
      </c>
      <c r="G420" s="27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27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26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95" t="str">
        <f>IF($A420="","",COUNTIF('Base Exámenes'!$C$5:$C$1000, A420))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"Pendiente"))</f>
        <v/>
      </c>
      <c r="G421" s="27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27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26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95" t="str">
        <f>IF($A421="","",COUNTIF('Base Exámenes'!$C$5:$C$1000, A421))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"Pendiente"))</f>
        <v/>
      </c>
      <c r="G422" s="27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27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26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95" t="str">
        <f>IF($A422="","",COUNTIF('Base Exámenes'!$C$5:$C$1000, A422))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"Pendiente"))</f>
        <v/>
      </c>
      <c r="G423" s="27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27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26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95" t="str">
        <f>IF($A423="","",COUNTIF('Base Exámenes'!$C$5:$C$1000, A423))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"Pendiente"))</f>
        <v/>
      </c>
      <c r="G424" s="27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27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26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95" t="str">
        <f>IF($A424="","",COUNTIF('Base Exámenes'!$C$5:$C$1000, A424))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"Pendiente"))</f>
        <v/>
      </c>
      <c r="G425" s="27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27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26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95" t="str">
        <f>IF($A425="","",COUNTIF('Base Exámenes'!$C$5:$C$1000, A425))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"Pendiente"))</f>
        <v/>
      </c>
      <c r="G426" s="27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27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26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95" t="str">
        <f>IF($A426="","",COUNTIF('Base Exámenes'!$C$5:$C$1000, A426))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"Pendiente"))</f>
        <v/>
      </c>
      <c r="G427" s="27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27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26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95" t="str">
        <f>IF($A427="","",COUNTIF('Base Exámenes'!$C$5:$C$1000, A427))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"Pendiente"))</f>
        <v/>
      </c>
      <c r="G428" s="27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27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26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95" t="str">
        <f>IF($A428="","",COUNTIF('Base Exámenes'!$C$5:$C$1000, A428))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"Pendiente"))</f>
        <v/>
      </c>
      <c r="G429" s="27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27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26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95" t="str">
        <f>IF($A429="","",COUNTIF('Base Exámenes'!$C$5:$C$1000, A429))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"Pendiente"))</f>
        <v/>
      </c>
      <c r="G430" s="27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27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26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95" t="str">
        <f>IF($A430="","",COUNTIF('Base Exámenes'!$C$5:$C$1000, A430))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"Pendiente"))</f>
        <v/>
      </c>
      <c r="G431" s="27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27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26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95" t="str">
        <f>IF($A431="","",COUNTIF('Base Exámenes'!$C$5:$C$1000, A431))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"Pendiente"))</f>
        <v/>
      </c>
      <c r="G432" s="27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27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26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95" t="str">
        <f>IF($A432="","",COUNTIF('Base Exámenes'!$C$5:$C$1000, A432))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"Pendiente"))</f>
        <v/>
      </c>
      <c r="G433" s="27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27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26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95" t="str">
        <f>IF($A433="","",COUNTIF('Base Exámenes'!$C$5:$C$1000, A433))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"Pendiente"))</f>
        <v/>
      </c>
      <c r="G434" s="27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27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26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95" t="str">
        <f>IF($A434="","",COUNTIF('Base Exámenes'!$C$5:$C$1000, A434))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"Pendiente"))</f>
        <v/>
      </c>
      <c r="G435" s="27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27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26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95" t="str">
        <f>IF($A435="","",COUNTIF('Base Exámenes'!$C$5:$C$1000, A435))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"Pendiente"))</f>
        <v/>
      </c>
      <c r="G436" s="27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27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26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95" t="str">
        <f>IF($A436="","",COUNTIF('Base Exámenes'!$C$5:$C$1000, A436))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"Pendiente"))</f>
        <v/>
      </c>
      <c r="G437" s="27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27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26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95" t="str">
        <f>IF($A437="","",COUNTIF('Base Exámenes'!$C$5:$C$1000, A437))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"Pendiente"))</f>
        <v/>
      </c>
      <c r="G438" s="27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27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26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95" t="str">
        <f>IF($A438="","",COUNTIF('Base Exámenes'!$C$5:$C$1000, A438))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"Pendiente"))</f>
        <v/>
      </c>
      <c r="G439" s="27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27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26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95" t="str">
        <f>IF($A439="","",COUNTIF('Base Exámenes'!$C$5:$C$1000, A439))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"Pendiente"))</f>
        <v/>
      </c>
      <c r="G440" s="27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27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26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95" t="str">
        <f>IF($A440="","",COUNTIF('Base Exámenes'!$C$5:$C$1000, A440))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"Pendiente"))</f>
        <v/>
      </c>
      <c r="G441" s="27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27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26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95" t="str">
        <f>IF($A441="","",COUNTIF('Base Exámenes'!$C$5:$C$1000, A441))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"Pendiente"))</f>
        <v/>
      </c>
      <c r="G442" s="27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27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26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95" t="str">
        <f>IF($A442="","",COUNTIF('Base Exámenes'!$C$5:$C$1000, A442))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"Pendiente"))</f>
        <v/>
      </c>
      <c r="G443" s="27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27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26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95" t="str">
        <f>IF($A443="","",COUNTIF('Base Exámenes'!$C$5:$C$1000, A443))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"Pendiente"))</f>
        <v/>
      </c>
      <c r="G444" s="27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27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26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95" t="str">
        <f>IF($A444="","",COUNTIF('Base Exámenes'!$C$5:$C$1000, A444))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"Pendiente"))</f>
        <v/>
      </c>
      <c r="G445" s="27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27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26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95" t="str">
        <f>IF($A445="","",COUNTIF('Base Exámenes'!$C$5:$C$1000, A445))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"Pendiente"))</f>
        <v/>
      </c>
      <c r="G446" s="27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27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26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95" t="str">
        <f>IF($A446="","",COUNTIF('Base Exámenes'!$C$5:$C$1000, A446))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"Pendiente"))</f>
        <v/>
      </c>
      <c r="G447" s="27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27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26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95" t="str">
        <f>IF($A447="","",COUNTIF('Base Exámenes'!$C$5:$C$1000, A447))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"Pendiente"))</f>
        <v/>
      </c>
      <c r="G448" s="27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27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26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95" t="str">
        <f>IF($A448="","",COUNTIF('Base Exámenes'!$C$5:$C$1000, A448))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"Pendiente"))</f>
        <v/>
      </c>
      <c r="G449" s="27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27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26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95" t="str">
        <f>IF($A449="","",COUNTIF('Base Exámenes'!$C$5:$C$1000, A449))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"Pendiente"))</f>
        <v/>
      </c>
      <c r="G450" s="27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27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26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95" t="str">
        <f>IF($A450="","",COUNTIF('Base Exámenes'!$C$5:$C$1000, A450))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"Pendiente"))</f>
        <v/>
      </c>
      <c r="G451" s="27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27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26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95" t="str">
        <f>IF($A451="","",COUNTIF('Base Exámenes'!$C$5:$C$1000, A451))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"Pendiente"))</f>
        <v/>
      </c>
      <c r="G452" s="27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27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26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95" t="str">
        <f>IF($A452="","",COUNTIF('Base Exámenes'!$C$5:$C$1000, A452))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"Pendiente"))</f>
        <v/>
      </c>
      <c r="G453" s="27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27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26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95" t="str">
        <f>IF($A453="","",COUNTIF('Base Exámenes'!$C$5:$C$1000, A453))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"Pendiente"))</f>
        <v/>
      </c>
      <c r="G454" s="27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27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26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95" t="str">
        <f>IF($A454="","",COUNTIF('Base Exámenes'!$C$5:$C$1000, A454))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"Pendiente"))</f>
        <v/>
      </c>
      <c r="G455" s="27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27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26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95" t="str">
        <f>IF($A455="","",COUNTIF('Base Exámenes'!$C$5:$C$1000, A455))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"Pendiente"))</f>
        <v/>
      </c>
      <c r="G456" s="27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27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26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95" t="str">
        <f>IF($A456="","",COUNTIF('Base Exámenes'!$C$5:$C$1000, A456))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"Pendiente"))</f>
        <v/>
      </c>
      <c r="G457" s="27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27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26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95" t="str">
        <f>IF($A457="","",COUNTIF('Base Exámenes'!$C$5:$C$1000, A457))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"Pendiente"))</f>
        <v/>
      </c>
      <c r="G458" s="27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27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26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95" t="str">
        <f>IF($A458="","",COUNTIF('Base Exámenes'!$C$5:$C$1000, A458))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"Pendiente"))</f>
        <v/>
      </c>
      <c r="G459" s="27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27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26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95" t="str">
        <f>IF($A459="","",COUNTIF('Base Exámenes'!$C$5:$C$1000, A459))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"Pendiente"))</f>
        <v/>
      </c>
      <c r="G460" s="27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27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26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95" t="str">
        <f>IF($A460="","",COUNTIF('Base Exámenes'!$C$5:$C$1000, A460))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"Pendiente"))</f>
        <v/>
      </c>
      <c r="G461" s="27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27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26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95" t="str">
        <f>IF($A461="","",COUNTIF('Base Exámenes'!$C$5:$C$1000, A461))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"Pendiente"))</f>
        <v/>
      </c>
      <c r="G462" s="27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27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26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95" t="str">
        <f>IF($A462="","",COUNTIF('Base Exámenes'!$C$5:$C$1000, A462))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"Pendiente"))</f>
        <v/>
      </c>
      <c r="G463" s="27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27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26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95" t="str">
        <f>IF($A463="","",COUNTIF('Base Exámenes'!$C$5:$C$1000, A463))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"Pendiente"))</f>
        <v/>
      </c>
      <c r="G464" s="27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27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26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95" t="str">
        <f>IF($A464="","",COUNTIF('Base Exámenes'!$C$5:$C$1000, A464))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"Pendiente"))</f>
        <v/>
      </c>
      <c r="G465" s="27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27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26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95" t="str">
        <f>IF($A465="","",COUNTIF('Base Exámenes'!$C$5:$C$1000, A465))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"Pendiente"))</f>
        <v/>
      </c>
      <c r="G466" s="27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27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26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95" t="str">
        <f>IF($A466="","",COUNTIF('Base Exámenes'!$C$5:$C$1000, A466))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"Pendiente"))</f>
        <v/>
      </c>
      <c r="G467" s="27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27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26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95" t="str">
        <f>IF($A467="","",COUNTIF('Base Exámenes'!$C$5:$C$1000, A467))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"Pendiente"))</f>
        <v/>
      </c>
      <c r="G468" s="27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27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26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95" t="str">
        <f>IF($A468="","",COUNTIF('Base Exámenes'!$C$5:$C$1000, A468))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"Pendiente"))</f>
        <v/>
      </c>
      <c r="G469" s="27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27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26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95" t="str">
        <f>IF($A469="","",COUNTIF('Base Exámenes'!$C$5:$C$1000, A469))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"Pendiente"))</f>
        <v/>
      </c>
      <c r="G470" s="27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27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26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95" t="str">
        <f>IF($A470="","",COUNTIF('Base Exámenes'!$C$5:$C$1000, A470))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"Pendiente"))</f>
        <v/>
      </c>
      <c r="G471" s="27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27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26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95" t="str">
        <f>IF($A471="","",COUNTIF('Base Exámenes'!$C$5:$C$1000, A471))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"Pendiente"))</f>
        <v/>
      </c>
      <c r="G472" s="27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27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26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95" t="str">
        <f>IF($A472="","",COUNTIF('Base Exámenes'!$C$5:$C$1000, A472))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"Pendiente"))</f>
        <v/>
      </c>
      <c r="G473" s="27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27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26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95" t="str">
        <f>IF($A473="","",COUNTIF('Base Exámenes'!$C$5:$C$1000, A473))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"Pendiente"))</f>
        <v/>
      </c>
      <c r="G474" s="27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27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26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95" t="str">
        <f>IF($A474="","",COUNTIF('Base Exámenes'!$C$5:$C$1000, A474))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"Pendiente"))</f>
        <v/>
      </c>
      <c r="G475" s="27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27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26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95" t="str">
        <f>IF($A475="","",COUNTIF('Base Exámenes'!$C$5:$C$1000, A475))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"Pendiente"))</f>
        <v/>
      </c>
      <c r="G476" s="27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27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26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95" t="str">
        <f>IF($A476="","",COUNTIF('Base Exámenes'!$C$5:$C$1000, A476))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"Pendiente"))</f>
        <v/>
      </c>
      <c r="G477" s="27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27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26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95" t="str">
        <f>IF($A477="","",COUNTIF('Base Exámenes'!$C$5:$C$1000, A477))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"Pendiente"))</f>
        <v/>
      </c>
      <c r="G478" s="27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27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26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95" t="str">
        <f>IF($A478="","",COUNTIF('Base Exámenes'!$C$5:$C$1000, A478))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"Pendiente"))</f>
        <v/>
      </c>
      <c r="G479" s="27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27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26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95" t="str">
        <f>IF($A479="","",COUNTIF('Base Exámenes'!$C$5:$C$1000, A479))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"Pendiente"))</f>
        <v/>
      </c>
      <c r="G480" s="27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27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26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95" t="str">
        <f>IF($A480="","",COUNTIF('Base Exámenes'!$C$5:$C$1000, A480))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"Pendiente"))</f>
        <v/>
      </c>
      <c r="G481" s="27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27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26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95" t="str">
        <f>IF($A481="","",COUNTIF('Base Exámenes'!$C$5:$C$1000, A481))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"Pendiente"))</f>
        <v/>
      </c>
      <c r="G482" s="27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27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26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95" t="str">
        <f>IF($A482="","",COUNTIF('Base Exámenes'!$C$5:$C$1000, A482))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"Pendiente"))</f>
        <v/>
      </c>
      <c r="G483" s="27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27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26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95" t="str">
        <f>IF($A483="","",COUNTIF('Base Exámenes'!$C$5:$C$1000, A483))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"Pendiente"))</f>
        <v/>
      </c>
      <c r="G484" s="27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27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26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95" t="str">
        <f>IF($A484="","",COUNTIF('Base Exámenes'!$C$5:$C$1000, A484))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"Pendiente"))</f>
        <v/>
      </c>
      <c r="G485" s="27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27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26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95" t="str">
        <f>IF($A485="","",COUNTIF('Base Exámenes'!$C$5:$C$1000, A485))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"Pendiente"))</f>
        <v/>
      </c>
      <c r="G486" s="27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27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26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95" t="str">
        <f>IF($A486="","",COUNTIF('Base Exámenes'!$C$5:$C$1000, A486))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"Pendiente"))</f>
        <v/>
      </c>
      <c r="G487" s="27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27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26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95" t="str">
        <f>IF($A487="","",COUNTIF('Base Exámenes'!$C$5:$C$1000, A487))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"Pendiente"))</f>
        <v/>
      </c>
      <c r="G488" s="27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27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26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95" t="str">
        <f>IF($A488="","",COUNTIF('Base Exámenes'!$C$5:$C$1000, A488))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"Pendiente"))</f>
        <v/>
      </c>
      <c r="G489" s="27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27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26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95" t="str">
        <f>IF($A489="","",COUNTIF('Base Exámenes'!$C$5:$C$1000, A489))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"Pendiente"))</f>
        <v/>
      </c>
      <c r="G490" s="27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27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26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95" t="str">
        <f>IF($A490="","",COUNTIF('Base Exámenes'!$C$5:$C$1000, A490))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"Pendiente"))</f>
        <v/>
      </c>
      <c r="G491" s="27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27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26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95" t="str">
        <f>IF($A491="","",COUNTIF('Base Exámenes'!$C$5:$C$1000, A491))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"Pendiente"))</f>
        <v/>
      </c>
      <c r="G492" s="27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27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26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95" t="str">
        <f>IF($A492="","",COUNTIF('Base Exámenes'!$C$5:$C$1000, A492))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"Pendiente"))</f>
        <v/>
      </c>
      <c r="G493" s="27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27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26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95" t="str">
        <f>IF($A493="","",COUNTIF('Base Exámenes'!$C$5:$C$1000, A493))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"Pendiente"))</f>
        <v/>
      </c>
      <c r="G494" s="27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27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26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95" t="str">
        <f>IF($A494="","",COUNTIF('Base Exámenes'!$C$5:$C$1000, A494))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"Pendiente"))</f>
        <v/>
      </c>
      <c r="G495" s="27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27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26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95" t="str">
        <f>IF($A495="","",COUNTIF('Base Exámenes'!$C$5:$C$1000, A495))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"Pendiente"))</f>
        <v/>
      </c>
      <c r="G496" s="27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27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26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95" t="str">
        <f>IF($A496="","",COUNTIF('Base Exámenes'!$C$5:$C$1000, A496))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"Pendiente"))</f>
        <v/>
      </c>
      <c r="G497" s="27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27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26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95" t="str">
        <f>IF($A497="","",COUNTIF('Base Exámenes'!$C$5:$C$1000, A497))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"Pendiente"))</f>
        <v/>
      </c>
      <c r="G498" s="27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27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26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95" t="str">
        <f>IF($A498="","",COUNTIF('Base Exámenes'!$C$5:$C$1000, A498))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"Pendiente"))</f>
        <v/>
      </c>
      <c r="G499" s="27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27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26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95" t="str">
        <f>IF($A499="","",COUNTIF('Base Exámenes'!$C$5:$C$1000, A499))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"Pendiente"))</f>
        <v/>
      </c>
      <c r="G500" s="27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27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26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95" t="str">
        <f>IF($A500="","",COUNTIF('Base Exámenes'!$C$5:$C$1000, A500))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"Pendiente"))</f>
        <v/>
      </c>
      <c r="G501" s="27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27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26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95" t="str">
        <f>IF($A501="","",COUNTIF('Base Exámenes'!$C$5:$C$1000, A501))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"Pendiente"))</f>
        <v/>
      </c>
      <c r="G502" s="27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27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26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95" t="str">
        <f>IF($A502="","",COUNTIF('Base Exámenes'!$C$5:$C$1000, A502))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"Pendiente"))</f>
        <v/>
      </c>
      <c r="G503" s="27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27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26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95" t="str">
        <f>IF($A503="","",COUNTIF('Base Exámenes'!$C$5:$C$1000, A503))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"Pendiente"))</f>
        <v/>
      </c>
      <c r="G504" s="27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27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26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95" t="str">
        <f>IF($A504="","",COUNTIF('Base Exámenes'!$C$5:$C$1000, A504))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"Pendiente"))</f>
        <v/>
      </c>
      <c r="G505" s="27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27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26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95" t="str">
        <f>IF($A505="","",COUNTIF('Base Exámenes'!$C$5:$C$1000, A505))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"Pendiente"))</f>
        <v/>
      </c>
      <c r="G506" s="27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27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26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95" t="str">
        <f>IF($A506="","",COUNTIF('Base Exámenes'!$C$5:$C$1000, A506))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"Pendiente"))</f>
        <v/>
      </c>
      <c r="G507" s="27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27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26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95" t="str">
        <f>IF($A507="","",COUNTIF('Base Exámenes'!$C$5:$C$1000, A507))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"Pendiente"))</f>
        <v/>
      </c>
      <c r="G508" s="27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27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26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95" t="str">
        <f>IF($A508="","",COUNTIF('Base Exámenes'!$C$5:$C$1000, A508))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"Pendiente"))</f>
        <v/>
      </c>
      <c r="G509" s="27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27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26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95" t="str">
        <f>IF($A509="","",COUNTIF('Base Exámenes'!$C$5:$C$1000, A509))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"Pendiente"))</f>
        <v/>
      </c>
      <c r="G510" s="27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27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26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95" t="str">
        <f>IF($A510="","",COUNTIF('Base Exámenes'!$C$5:$C$1000, A510))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"Pendiente"))</f>
        <v/>
      </c>
      <c r="G511" s="27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27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26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95" t="str">
        <f>IF($A511="","",COUNTIF('Base Exámenes'!$C$5:$C$1000, A511))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"Pendiente"))</f>
        <v/>
      </c>
      <c r="G512" s="27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27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26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95" t="str">
        <f>IF($A512="","",COUNTIF('Base Exámenes'!$C$5:$C$1000, A512))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"Pendiente"))</f>
        <v/>
      </c>
      <c r="G513" s="27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27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26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95" t="str">
        <f>IF($A513="","",COUNTIF('Base Exámenes'!$C$5:$C$1000, A513))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"Pendiente"))</f>
        <v/>
      </c>
      <c r="G514" s="27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27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26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95" t="str">
        <f>IF($A514="","",COUNTIF('Base Exámenes'!$C$5:$C$1000, A514))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"Pendiente"))</f>
        <v/>
      </c>
      <c r="G515" s="27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27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26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95" t="str">
        <f>IF($A515="","",COUNTIF('Base Exámenes'!$C$5:$C$1000, A515))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"Pendiente"))</f>
        <v/>
      </c>
      <c r="G516" s="27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27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26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95" t="str">
        <f>IF($A516="","",COUNTIF('Base Exámenes'!$C$5:$C$1000, A516))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"Pendiente"))</f>
        <v/>
      </c>
      <c r="G517" s="27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27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26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95" t="str">
        <f>IF($A517="","",COUNTIF('Base Exámenes'!$C$5:$C$1000, A517))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"Pendiente"))</f>
        <v/>
      </c>
      <c r="G518" s="27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27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26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95" t="str">
        <f>IF($A518="","",COUNTIF('Base Exámenes'!$C$5:$C$1000, A518))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"Pendiente"))</f>
        <v/>
      </c>
      <c r="G519" s="27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27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26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95" t="str">
        <f>IF($A519="","",COUNTIF('Base Exámenes'!$C$5:$C$1000, A519))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"Pendiente"))</f>
        <v/>
      </c>
      <c r="G520" s="27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27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26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95" t="str">
        <f>IF($A520="","",COUNTIF('Base Exámenes'!$C$5:$C$1000, A520))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"Pendiente"))</f>
        <v/>
      </c>
      <c r="G521" s="27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27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26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95" t="str">
        <f>IF($A521="","",COUNTIF('Base Exámenes'!$C$5:$C$1000, A521))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"Pendiente"))</f>
        <v/>
      </c>
      <c r="G522" s="27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27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26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95" t="str">
        <f>IF($A522="","",COUNTIF('Base Exámenes'!$C$5:$C$1000, A522))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"Pendiente"))</f>
        <v/>
      </c>
      <c r="G523" s="27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27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26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95" t="str">
        <f>IF($A523="","",COUNTIF('Base Exámenes'!$C$5:$C$1000, A523))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"Pendiente"))</f>
        <v/>
      </c>
      <c r="G524" s="27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27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26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95" t="str">
        <f>IF($A524="","",COUNTIF('Base Exámenes'!$C$5:$C$1000, A524))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"Pendiente"))</f>
        <v/>
      </c>
      <c r="G525" s="27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27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26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95" t="str">
        <f>IF($A525="","",COUNTIF('Base Exámenes'!$C$5:$C$1000, A525))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"Pendiente"))</f>
        <v/>
      </c>
      <c r="G526" s="27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27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26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95" t="str">
        <f>IF($A526="","",COUNTIF('Base Exámenes'!$C$5:$C$1000, A526))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"Pendiente"))</f>
        <v/>
      </c>
      <c r="G527" s="27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27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26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95" t="str">
        <f>IF($A527="","",COUNTIF('Base Exámenes'!$C$5:$C$1000, A527))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"Pendiente"))</f>
        <v/>
      </c>
      <c r="G528" s="27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27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26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95" t="str">
        <f>IF($A528="","",COUNTIF('Base Exámenes'!$C$5:$C$1000, A528))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"Pendiente"))</f>
        <v/>
      </c>
      <c r="G529" s="27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27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26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95" t="str">
        <f>IF($A529="","",COUNTIF('Base Exámenes'!$C$5:$C$1000, A529))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"Pendiente"))</f>
        <v/>
      </c>
      <c r="G530" s="27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27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26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95" t="str">
        <f>IF($A530="","",COUNTIF('Base Exámenes'!$C$5:$C$1000, A530))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"Pendiente"))</f>
        <v/>
      </c>
      <c r="G531" s="27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27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26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95" t="str">
        <f>IF($A531="","",COUNTIF('Base Exámenes'!$C$5:$C$1000, A531))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"Pendiente"))</f>
        <v/>
      </c>
      <c r="G532" s="27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27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26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95" t="str">
        <f>IF($A532="","",COUNTIF('Base Exámenes'!$C$5:$C$1000, A532))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"Pendiente"))</f>
        <v/>
      </c>
      <c r="G533" s="27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27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26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95" t="str">
        <f>IF($A533="","",COUNTIF('Base Exámenes'!$C$5:$C$1000, A533))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"Pendiente"))</f>
        <v/>
      </c>
      <c r="G534" s="27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27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26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95" t="str">
        <f>IF($A534="","",COUNTIF('Base Exámenes'!$C$5:$C$1000, A534))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"Pendiente"))</f>
        <v/>
      </c>
      <c r="G535" s="27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27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26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95" t="str">
        <f>IF($A535="","",COUNTIF('Base Exámenes'!$C$5:$C$1000, A535))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"Pendiente"))</f>
        <v/>
      </c>
      <c r="G536" s="27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27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26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95" t="str">
        <f>IF($A536="","",COUNTIF('Base Exámenes'!$C$5:$C$1000, A536))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"Pendiente"))</f>
        <v/>
      </c>
      <c r="G537" s="27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27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26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95" t="str">
        <f>IF($A537="","",COUNTIF('Base Exámenes'!$C$5:$C$1000, A537))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"Pendiente"))</f>
        <v/>
      </c>
      <c r="G538" s="27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27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26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95" t="str">
        <f>IF($A538="","",COUNTIF('Base Exámenes'!$C$5:$C$1000, A538))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"Pendiente"))</f>
        <v/>
      </c>
      <c r="G539" s="27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27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26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95" t="str">
        <f>IF($A539="","",COUNTIF('Base Exámenes'!$C$5:$C$1000, A539))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"Pendiente"))</f>
        <v/>
      </c>
      <c r="G540" s="27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27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26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95" t="str">
        <f>IF($A540="","",COUNTIF('Base Exámenes'!$C$5:$C$1000, A540))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"Pendiente"))</f>
        <v/>
      </c>
      <c r="G541" s="27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27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26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95" t="str">
        <f>IF($A541="","",COUNTIF('Base Exámenes'!$C$5:$C$1000, A541))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"Pendiente"))</f>
        <v/>
      </c>
      <c r="G542" s="27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27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26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95" t="str">
        <f>IF($A542="","",COUNTIF('Base Exámenes'!$C$5:$C$1000, A542))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"Pendiente"))</f>
        <v/>
      </c>
      <c r="G543" s="27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27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26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95" t="str">
        <f>IF($A543="","",COUNTIF('Base Exámenes'!$C$5:$C$1000, A543))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"Pendiente"))</f>
        <v/>
      </c>
      <c r="G544" s="27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27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26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95" t="str">
        <f>IF($A544="","",COUNTIF('Base Exámenes'!$C$5:$C$1000, A544))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"Pendiente"))</f>
        <v/>
      </c>
      <c r="G545" s="27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27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26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95" t="str">
        <f>IF($A545="","",COUNTIF('Base Exámenes'!$C$5:$C$1000, A545))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"Pendiente"))</f>
        <v/>
      </c>
      <c r="G546" s="27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27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26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95" t="str">
        <f>IF($A546="","",COUNTIF('Base Exámenes'!$C$5:$C$1000, A546))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"Pendiente"))</f>
        <v/>
      </c>
      <c r="G547" s="27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27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26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95" t="str">
        <f>IF($A547="","",COUNTIF('Base Exámenes'!$C$5:$C$1000, A547))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"Pendiente"))</f>
        <v/>
      </c>
      <c r="G548" s="27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27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26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95" t="str">
        <f>IF($A548="","",COUNTIF('Base Exámenes'!$C$5:$C$1000, A548))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"Pendiente"))</f>
        <v/>
      </c>
      <c r="G549" s="27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27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26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95" t="str">
        <f>IF($A549="","",COUNTIF('Base Exámenes'!$C$5:$C$1000, A549))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"Pendiente"))</f>
        <v/>
      </c>
      <c r="G550" s="27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27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26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95" t="str">
        <f>IF($A550="","",COUNTIF('Base Exámenes'!$C$5:$C$1000, A550))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"Pendiente"))</f>
        <v/>
      </c>
      <c r="G551" s="27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27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26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95" t="str">
        <f>IF($A551="","",COUNTIF('Base Exámenes'!$C$5:$C$1000, A551))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"Pendiente"))</f>
        <v/>
      </c>
      <c r="G552" s="27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27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26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95" t="str">
        <f>IF($A552="","",COUNTIF('Base Exámenes'!$C$5:$C$1000, A552))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"Pendiente"))</f>
        <v/>
      </c>
      <c r="G553" s="27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27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26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95" t="str">
        <f>IF($A553="","",COUNTIF('Base Exámenes'!$C$5:$C$1000, A553))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"Pendiente"))</f>
        <v/>
      </c>
      <c r="G554" s="27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27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26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95" t="str">
        <f>IF($A554="","",COUNTIF('Base Exámenes'!$C$5:$C$1000, A554))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"Pendiente"))</f>
        <v/>
      </c>
      <c r="G555" s="27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27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26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95" t="str">
        <f>IF($A555="","",COUNTIF('Base Exámenes'!$C$5:$C$1000, A555))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"Pendiente"))</f>
        <v/>
      </c>
      <c r="G556" s="27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27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26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95" t="str">
        <f>IF($A556="","",COUNTIF('Base Exámenes'!$C$5:$C$1000, A556))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"Pendiente"))</f>
        <v/>
      </c>
      <c r="G557" s="27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27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26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95" t="str">
        <f>IF($A557="","",COUNTIF('Base Exámenes'!$C$5:$C$1000, A557))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"Pendiente"))</f>
        <v/>
      </c>
      <c r="G558" s="27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27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26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95" t="str">
        <f>IF($A558="","",COUNTIF('Base Exámenes'!$C$5:$C$1000, A558))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"Pendiente"))</f>
        <v/>
      </c>
      <c r="G559" s="27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27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26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95" t="str">
        <f>IF($A559="","",COUNTIF('Base Exámenes'!$C$5:$C$1000, A559))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"Pendiente"))</f>
        <v/>
      </c>
      <c r="G560" s="27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27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26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95" t="str">
        <f>IF($A560="","",COUNTIF('Base Exámenes'!$C$5:$C$1000, A560))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"Pendiente"))</f>
        <v/>
      </c>
      <c r="G561" s="27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27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26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95" t="str">
        <f>IF($A561="","",COUNTIF('Base Exámenes'!$C$5:$C$1000, A561))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"Pendiente"))</f>
        <v/>
      </c>
      <c r="G562" s="27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27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26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95" t="str">
        <f>IF($A562="","",COUNTIF('Base Exámenes'!$C$5:$C$1000, A562))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"Pendiente"))</f>
        <v/>
      </c>
      <c r="G563" s="27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27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26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95" t="str">
        <f>IF($A563="","",COUNTIF('Base Exámenes'!$C$5:$C$1000, A563))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"Pendiente"))</f>
        <v/>
      </c>
      <c r="G564" s="27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27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26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95" t="str">
        <f>IF($A564="","",COUNTIF('Base Exámenes'!$C$5:$C$1000, A564))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"Pendiente"))</f>
        <v/>
      </c>
      <c r="G565" s="27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27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26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95" t="str">
        <f>IF($A565="","",COUNTIF('Base Exámenes'!$C$5:$C$1000, A565))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"Pendiente"))</f>
        <v/>
      </c>
      <c r="G566" s="27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27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26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95" t="str">
        <f>IF($A566="","",COUNTIF('Base Exámenes'!$C$5:$C$1000, A566))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"Pendiente"))</f>
        <v/>
      </c>
      <c r="G567" s="27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27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26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95" t="str">
        <f>IF($A567="","",COUNTIF('Base Exámenes'!$C$5:$C$1000, A567))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"Pendiente"))</f>
        <v/>
      </c>
      <c r="G568" s="27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27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26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95" t="str">
        <f>IF($A568="","",COUNTIF('Base Exámenes'!$C$5:$C$1000, A568))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"Pendiente"))</f>
        <v/>
      </c>
      <c r="G569" s="27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27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26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95" t="str">
        <f>IF($A569="","",COUNTIF('Base Exámenes'!$C$5:$C$1000, A569))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"Pendiente"))</f>
        <v/>
      </c>
      <c r="G570" s="27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27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26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95" t="str">
        <f>IF($A570="","",COUNTIF('Base Exámenes'!$C$5:$C$1000, A570))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"Pendiente"))</f>
        <v/>
      </c>
      <c r="G571" s="27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27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26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95" t="str">
        <f>IF($A571="","",COUNTIF('Base Exámenes'!$C$5:$C$1000, A571))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"Pendiente"))</f>
        <v/>
      </c>
      <c r="G572" s="27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27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26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95" t="str">
        <f>IF($A572="","",COUNTIF('Base Exámenes'!$C$5:$C$1000, A572))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"Pendiente"))</f>
        <v/>
      </c>
      <c r="G573" s="27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27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26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95" t="str">
        <f>IF($A573="","",COUNTIF('Base Exámenes'!$C$5:$C$1000, A573))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"Pendiente"))</f>
        <v/>
      </c>
      <c r="G574" s="27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27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26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95" t="str">
        <f>IF($A574="","",COUNTIF('Base Exámenes'!$C$5:$C$1000, A574))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"Pendiente"))</f>
        <v/>
      </c>
      <c r="G575" s="27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27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26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95" t="str">
        <f>IF($A575="","",COUNTIF('Base Exámenes'!$C$5:$C$1000, A575))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"Pendiente"))</f>
        <v/>
      </c>
      <c r="G576" s="27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27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26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95" t="str">
        <f>IF($A576="","",COUNTIF('Base Exámenes'!$C$5:$C$1000, A576))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"Pendiente"))</f>
        <v/>
      </c>
      <c r="G577" s="27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27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26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95" t="str">
        <f>IF($A577="","",COUNTIF('Base Exámenes'!$C$5:$C$1000, A577))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"Pendiente"))</f>
        <v/>
      </c>
      <c r="G578" s="27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27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26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95" t="str">
        <f>IF($A578="","",COUNTIF('Base Exámenes'!$C$5:$C$1000, A578))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"Pendiente"))</f>
        <v/>
      </c>
      <c r="G579" s="27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27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26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95" t="str">
        <f>IF($A579="","",COUNTIF('Base Exámenes'!$C$5:$C$1000, A579))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"Pendiente"))</f>
        <v/>
      </c>
      <c r="G580" s="27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27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26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95" t="str">
        <f>IF($A580="","",COUNTIF('Base Exámenes'!$C$5:$C$1000, A580))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"Pendiente"))</f>
        <v/>
      </c>
      <c r="G581" s="27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27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26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95" t="str">
        <f>IF($A581="","",COUNTIF('Base Exámenes'!$C$5:$C$1000, A581))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"Pendiente"))</f>
        <v/>
      </c>
      <c r="G582" s="27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27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26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95" t="str">
        <f>IF($A582="","",COUNTIF('Base Exámenes'!$C$5:$C$1000, A582))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"Pendiente"))</f>
        <v/>
      </c>
      <c r="G583" s="27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27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26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95" t="str">
        <f>IF($A583="","",COUNTIF('Base Exámenes'!$C$5:$C$1000, A583))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"Pendiente"))</f>
        <v/>
      </c>
      <c r="G584" s="27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27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26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95" t="str">
        <f>IF($A584="","",COUNTIF('Base Exámenes'!$C$5:$C$1000, A584))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"Pendiente"))</f>
        <v/>
      </c>
      <c r="G585" s="27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27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26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95" t="str">
        <f>IF($A585="","",COUNTIF('Base Exámenes'!$C$5:$C$1000, A585))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"Pendiente"))</f>
        <v/>
      </c>
      <c r="G586" s="27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27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26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95" t="str">
        <f>IF($A586="","",COUNTIF('Base Exámenes'!$C$5:$C$1000, A586))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"Pendiente"))</f>
        <v/>
      </c>
      <c r="G587" s="27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27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26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95" t="str">
        <f>IF($A587="","",COUNTIF('Base Exámenes'!$C$5:$C$1000, A587))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"Pendiente"))</f>
        <v/>
      </c>
      <c r="G588" s="27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27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26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95" t="str">
        <f>IF($A588="","",COUNTIF('Base Exámenes'!$C$5:$C$1000, A588))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"Pendiente"))</f>
        <v/>
      </c>
      <c r="G589" s="27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27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26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95" t="str">
        <f>IF($A589="","",COUNTIF('Base Exámenes'!$C$5:$C$1000, A589))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"Pendiente"))</f>
        <v/>
      </c>
      <c r="G590" s="27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27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26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95" t="str">
        <f>IF($A590="","",COUNTIF('Base Exámenes'!$C$5:$C$1000, A590))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"Pendiente"))</f>
        <v/>
      </c>
      <c r="G591" s="27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27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26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95" t="str">
        <f>IF($A591="","",COUNTIF('Base Exámenes'!$C$5:$C$1000, A591))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"Pendiente"))</f>
        <v/>
      </c>
      <c r="G592" s="27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27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26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95" t="str">
        <f>IF($A592="","",COUNTIF('Base Exámenes'!$C$5:$C$1000, A592))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"Pendiente"))</f>
        <v/>
      </c>
      <c r="G593" s="27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27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26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95" t="str">
        <f>IF($A593="","",COUNTIF('Base Exámenes'!$C$5:$C$1000, A593))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"Pendiente"))</f>
        <v/>
      </c>
      <c r="G594" s="27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27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26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95" t="str">
        <f>IF($A594="","",COUNTIF('Base Exámenes'!$C$5:$C$1000, A594))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"Pendiente"))</f>
        <v/>
      </c>
      <c r="G595" s="27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27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26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95" t="str">
        <f>IF($A595="","",COUNTIF('Base Exámenes'!$C$5:$C$1000, A595))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"Pendiente"))</f>
        <v/>
      </c>
      <c r="G596" s="27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27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26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95" t="str">
        <f>IF($A596="","",COUNTIF('Base Exámenes'!$C$5:$C$1000, A596))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"Pendiente"))</f>
        <v/>
      </c>
      <c r="G597" s="27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27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26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95" t="str">
        <f>IF($A597="","",COUNTIF('Base Exámenes'!$C$5:$C$1000, A597))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"Pendiente"))</f>
        <v/>
      </c>
      <c r="G598" s="27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27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26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95" t="str">
        <f>IF($A598="","",COUNTIF('Base Exámenes'!$C$5:$C$1000, A598))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"Pendiente"))</f>
        <v/>
      </c>
      <c r="G599" s="27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27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26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95" t="str">
        <f>IF($A599="","",COUNTIF('Base Exámenes'!$C$5:$C$1000, A599))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"Pendiente"))</f>
        <v/>
      </c>
      <c r="G600" s="27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27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26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95" t="str">
        <f>IF($A600="","",COUNTIF('Base Exámenes'!$C$5:$C$1000, A600))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"Pendiente"))</f>
        <v/>
      </c>
      <c r="G601" s="27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27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26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95" t="str">
        <f>IF($A601="","",COUNTIF('Base Exámenes'!$C$5:$C$1000, A601))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"Pendiente"))</f>
        <v/>
      </c>
      <c r="G602" s="27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27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26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95" t="str">
        <f>IF($A602="","",COUNTIF('Base Exámenes'!$C$5:$C$1000, A602))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"Pendiente"))</f>
        <v/>
      </c>
      <c r="G603" s="27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27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26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95" t="str">
        <f>IF($A603="","",COUNTIF('Base Exámenes'!$C$5:$C$1000, A603))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"Pendiente"))</f>
        <v/>
      </c>
      <c r="G604" s="27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27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26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95" t="str">
        <f>IF($A604="","",COUNTIF('Base Exámenes'!$C$5:$C$1000, A604))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"Pendiente"))</f>
        <v/>
      </c>
      <c r="G605" s="27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27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26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95" t="str">
        <f>IF($A605="","",COUNTIF('Base Exámenes'!$C$5:$C$1000, A605))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"Pendiente"))</f>
        <v/>
      </c>
      <c r="G606" s="27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27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26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95" t="str">
        <f>IF($A606="","",COUNTIF('Base Exámenes'!$C$5:$C$1000, A606))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"Pendiente"))</f>
        <v/>
      </c>
      <c r="G607" s="27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27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26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95" t="str">
        <f>IF($A607="","",COUNTIF('Base Exámenes'!$C$5:$C$1000, A607))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"Pendiente"))</f>
        <v/>
      </c>
      <c r="G608" s="27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27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26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95" t="str">
        <f>IF($A608="","",COUNTIF('Base Exámenes'!$C$5:$C$1000, A608))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"Pendiente"))</f>
        <v/>
      </c>
      <c r="G609" s="27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27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26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95" t="str">
        <f>IF($A609="","",COUNTIF('Base Exámenes'!$C$5:$C$1000, A609))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"Pendiente"))</f>
        <v/>
      </c>
      <c r="G610" s="27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27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26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95" t="str">
        <f>IF($A610="","",COUNTIF('Base Exámenes'!$C$5:$C$1000, A610))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"Pendiente"))</f>
        <v/>
      </c>
      <c r="G611" s="27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27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26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95" t="str">
        <f>IF($A611="","",COUNTIF('Base Exámenes'!$C$5:$C$1000, A611))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"Pendiente"))</f>
        <v/>
      </c>
      <c r="G612" s="27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27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26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95" t="str">
        <f>IF($A612="","",COUNTIF('Base Exámenes'!$C$5:$C$1000, A612))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"Pendiente"))</f>
        <v/>
      </c>
      <c r="G613" s="27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27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26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95" t="str">
        <f>IF($A613="","",COUNTIF('Base Exámenes'!$C$5:$C$1000, A613))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"Pendiente"))</f>
        <v/>
      </c>
      <c r="G614" s="27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27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26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95" t="str">
        <f>IF($A614="","",COUNTIF('Base Exámenes'!$C$5:$C$1000, A614))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"Pendiente"))</f>
        <v/>
      </c>
      <c r="G615" s="27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27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26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95" t="str">
        <f>IF($A615="","",COUNTIF('Base Exámenes'!$C$5:$C$1000, A615))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"Pendiente"))</f>
        <v/>
      </c>
      <c r="G616" s="27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27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26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95" t="str">
        <f>IF($A616="","",COUNTIF('Base Exámenes'!$C$5:$C$1000, A616))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"Pendiente"))</f>
        <v/>
      </c>
      <c r="G617" s="27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27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26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95" t="str">
        <f>IF($A617="","",COUNTIF('Base Exámenes'!$C$5:$C$1000, A617))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"Pendiente"))</f>
        <v/>
      </c>
      <c r="G618" s="27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27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26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95" t="str">
        <f>IF($A618="","",COUNTIF('Base Exámenes'!$C$5:$C$1000, A618))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"Pendiente"))</f>
        <v/>
      </c>
      <c r="G619" s="27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27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26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95" t="str">
        <f>IF($A619="","",COUNTIF('Base Exámenes'!$C$5:$C$1000, A619))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"Pendiente"))</f>
        <v/>
      </c>
      <c r="G620" s="27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27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26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95" t="str">
        <f>IF($A620="","",COUNTIF('Base Exámenes'!$C$5:$C$1000, A620))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"Pendiente"))</f>
        <v/>
      </c>
      <c r="G621" s="27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27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26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95" t="str">
        <f>IF($A621="","",COUNTIF('Base Exámenes'!$C$5:$C$1000, A621))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"Pendiente"))</f>
        <v/>
      </c>
      <c r="G622" s="27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27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26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95" t="str">
        <f>IF($A622="","",COUNTIF('Base Exámenes'!$C$5:$C$1000, A622))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"Pendiente"))</f>
        <v/>
      </c>
      <c r="G623" s="27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27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26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95" t="str">
        <f>IF($A623="","",COUNTIF('Base Exámenes'!$C$5:$C$1000, A623))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"Pendiente"))</f>
        <v/>
      </c>
      <c r="G624" s="27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27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26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95" t="str">
        <f>IF($A624="","",COUNTIF('Base Exámenes'!$C$5:$C$1000, A624))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"Pendiente"))</f>
        <v/>
      </c>
      <c r="G625" s="27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27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26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95" t="str">
        <f>IF($A625="","",COUNTIF('Base Exámenes'!$C$5:$C$1000, A625))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"Pendiente"))</f>
        <v/>
      </c>
      <c r="G626" s="27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27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26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95" t="str">
        <f>IF($A626="","",COUNTIF('Base Exámenes'!$C$5:$C$1000, A626))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"Pendiente"))</f>
        <v/>
      </c>
      <c r="G627" s="27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27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26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95" t="str">
        <f>IF($A627="","",COUNTIF('Base Exámenes'!$C$5:$C$1000, A627))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"Pendiente"))</f>
        <v/>
      </c>
      <c r="G628" s="27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27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26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95" t="str">
        <f>IF($A628="","",COUNTIF('Base Exámenes'!$C$5:$C$1000, A628))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"Pendiente"))</f>
        <v/>
      </c>
      <c r="G629" s="27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27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26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95" t="str">
        <f>IF($A629="","",COUNTIF('Base Exámenes'!$C$5:$C$1000, A629))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"Pendiente"))</f>
        <v/>
      </c>
      <c r="G630" s="27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27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26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95" t="str">
        <f>IF($A630="","",COUNTIF('Base Exámenes'!$C$5:$C$1000, A630))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"Pendiente"))</f>
        <v/>
      </c>
      <c r="G631" s="27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27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26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95" t="str">
        <f>IF($A631="","",COUNTIF('Base Exámenes'!$C$5:$C$1000, A631))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"Pendiente"))</f>
        <v/>
      </c>
      <c r="G632" s="27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27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26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95" t="str">
        <f>IF($A632="","",COUNTIF('Base Exámenes'!$C$5:$C$1000, A632))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"Pendiente"))</f>
        <v/>
      </c>
      <c r="G633" s="27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27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26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95" t="str">
        <f>IF($A633="","",COUNTIF('Base Exámenes'!$C$5:$C$1000, A633))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"Pendiente"))</f>
        <v/>
      </c>
      <c r="G634" s="27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27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26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95" t="str">
        <f>IF($A634="","",COUNTIF('Base Exámenes'!$C$5:$C$1000, A634))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"Pendiente"))</f>
        <v/>
      </c>
      <c r="G635" s="27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27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26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95" t="str">
        <f>IF($A635="","",COUNTIF('Base Exámenes'!$C$5:$C$1000, A635))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"Pendiente"))</f>
        <v/>
      </c>
      <c r="G636" s="27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27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26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95" t="str">
        <f>IF($A636="","",COUNTIF('Base Exámenes'!$C$5:$C$1000, A636))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"Pendiente"))</f>
        <v/>
      </c>
      <c r="G637" s="27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27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26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95" t="str">
        <f>IF($A637="","",COUNTIF('Base Exámenes'!$C$5:$C$1000, A637))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"Pendiente"))</f>
        <v/>
      </c>
      <c r="G638" s="27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27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26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95" t="str">
        <f>IF($A638="","",COUNTIF('Base Exámenes'!$C$5:$C$1000, A638))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"Pendiente"))</f>
        <v/>
      </c>
      <c r="G639" s="27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27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26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95" t="str">
        <f>IF($A639="","",COUNTIF('Base Exámenes'!$C$5:$C$1000, A639))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"Pendiente"))</f>
        <v/>
      </c>
      <c r="G640" s="27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27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26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95" t="str">
        <f>IF($A640="","",COUNTIF('Base Exámenes'!$C$5:$C$1000, A640))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"Pendiente"))</f>
        <v/>
      </c>
      <c r="G641" s="27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27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26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95" t="str">
        <f>IF($A641="","",COUNTIF('Base Exámenes'!$C$5:$C$1000, A641))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"Pendiente"))</f>
        <v/>
      </c>
      <c r="G642" s="27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27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26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95" t="str">
        <f>IF($A642="","",COUNTIF('Base Exámenes'!$C$5:$C$1000, A642))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"Pendiente"))</f>
        <v/>
      </c>
      <c r="G643" s="27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27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26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95" t="str">
        <f>IF($A643="","",COUNTIF('Base Exámenes'!$C$5:$C$1000, A643))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"Pendiente"))</f>
        <v/>
      </c>
      <c r="G644" s="27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27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26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95" t="str">
        <f>IF($A644="","",COUNTIF('Base Exámenes'!$C$5:$C$1000, A644))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"Pendiente"))</f>
        <v/>
      </c>
      <c r="G645" s="27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27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26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95" t="str">
        <f>IF($A645="","",COUNTIF('Base Exámenes'!$C$5:$C$1000, A645))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"Pendiente"))</f>
        <v/>
      </c>
      <c r="G646" s="27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27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26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95" t="str">
        <f>IF($A646="","",COUNTIF('Base Exámenes'!$C$5:$C$1000, A646))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"Pendiente"))</f>
        <v/>
      </c>
      <c r="G647" s="27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27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26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95" t="str">
        <f>IF($A647="","",COUNTIF('Base Exámenes'!$C$5:$C$1000, A647))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"Pendiente"))</f>
        <v/>
      </c>
      <c r="G648" s="27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27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26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95" t="str">
        <f>IF($A648="","",COUNTIF('Base Exámenes'!$C$5:$C$1000, A648))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"Pendiente"))</f>
        <v/>
      </c>
      <c r="G649" s="27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27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26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95" t="str">
        <f>IF($A649="","",COUNTIF('Base Exámenes'!$C$5:$C$1000, A649))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"Pendiente"))</f>
        <v/>
      </c>
      <c r="G650" s="27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27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26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95" t="str">
        <f>IF($A650="","",COUNTIF('Base Exámenes'!$C$5:$C$1000, A650))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"Pendiente"))</f>
        <v/>
      </c>
      <c r="G651" s="27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27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26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95" t="str">
        <f>IF($A651="","",COUNTIF('Base Exámenes'!$C$5:$C$1000, A651))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"Pendiente"))</f>
        <v/>
      </c>
      <c r="G652" s="27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27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26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95" t="str">
        <f>IF($A652="","",COUNTIF('Base Exámenes'!$C$5:$C$1000, A652))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"Pendiente"))</f>
        <v/>
      </c>
      <c r="G653" s="27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27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26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95" t="str">
        <f>IF($A653="","",COUNTIF('Base Exámenes'!$C$5:$C$1000, A653))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"Pendiente"))</f>
        <v/>
      </c>
      <c r="G654" s="27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27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26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95" t="str">
        <f>IF($A654="","",COUNTIF('Base Exámenes'!$C$5:$C$1000, A654))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"Pendiente"))</f>
        <v/>
      </c>
      <c r="G655" s="27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27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26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95" t="str">
        <f>IF($A655="","",COUNTIF('Base Exámenes'!$C$5:$C$1000, A655))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"Pendiente"))</f>
        <v/>
      </c>
      <c r="G656" s="27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27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26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95" t="str">
        <f>IF($A656="","",COUNTIF('Base Exámenes'!$C$5:$C$1000, A656))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"Pendiente"))</f>
        <v/>
      </c>
      <c r="G657" s="27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27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26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95" t="str">
        <f>IF($A657="","",COUNTIF('Base Exámenes'!$C$5:$C$1000, A657))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"Pendiente"))</f>
        <v/>
      </c>
      <c r="G658" s="27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27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26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95" t="str">
        <f>IF($A658="","",COUNTIF('Base Exámenes'!$C$5:$C$1000, A658))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"Pendiente"))</f>
        <v/>
      </c>
      <c r="G659" s="27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27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26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95" t="str">
        <f>IF($A659="","",COUNTIF('Base Exámenes'!$C$5:$C$1000, A659))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"Pendiente"))</f>
        <v/>
      </c>
      <c r="G660" s="27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27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26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95" t="str">
        <f>IF($A660="","",COUNTIF('Base Exámenes'!$C$5:$C$1000, A660))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"Pendiente"))</f>
        <v/>
      </c>
      <c r="G661" s="27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27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26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95" t="str">
        <f>IF($A661="","",COUNTIF('Base Exámenes'!$C$5:$C$1000, A661))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"Pendiente"))</f>
        <v/>
      </c>
      <c r="G662" s="27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27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26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95" t="str">
        <f>IF($A662="","",COUNTIF('Base Exámenes'!$C$5:$C$1000, A662))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"Pendiente"))</f>
        <v/>
      </c>
      <c r="G663" s="27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27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26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95" t="str">
        <f>IF($A663="","",COUNTIF('Base Exámenes'!$C$5:$C$1000, A663))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"Pendiente"))</f>
        <v/>
      </c>
      <c r="G664" s="27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27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26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95" t="str">
        <f>IF($A664="","",COUNTIF('Base Exámenes'!$C$5:$C$1000, A664))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"Pendiente"))</f>
        <v/>
      </c>
      <c r="G665" s="27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27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26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95" t="str">
        <f>IF($A665="","",COUNTIF('Base Exámenes'!$C$5:$C$1000, A665))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"Pendiente"))</f>
        <v/>
      </c>
      <c r="G666" s="27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27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26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95" t="str">
        <f>IF($A666="","",COUNTIF('Base Exámenes'!$C$5:$C$1000, A666))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"Pendiente"))</f>
        <v/>
      </c>
      <c r="G667" s="27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27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26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95" t="str">
        <f>IF($A667="","",COUNTIF('Base Exámenes'!$C$5:$C$1000, A667))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"Pendiente"))</f>
        <v/>
      </c>
      <c r="G668" s="27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27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26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95" t="str">
        <f>IF($A668="","",COUNTIF('Base Exámenes'!$C$5:$C$1000, A668))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"Pendiente"))</f>
        <v/>
      </c>
      <c r="G669" s="27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27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26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95" t="str">
        <f>IF($A669="","",COUNTIF('Base Exámenes'!$C$5:$C$1000, A669))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"Pendiente"))</f>
        <v/>
      </c>
      <c r="G670" s="27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27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26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95" t="str">
        <f>IF($A670="","",COUNTIF('Base Exámenes'!$C$5:$C$1000, A670))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"Pendiente"))</f>
        <v/>
      </c>
      <c r="G671" s="27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27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26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95" t="str">
        <f>IF($A671="","",COUNTIF('Base Exámenes'!$C$5:$C$1000, A671))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"Pendiente"))</f>
        <v/>
      </c>
      <c r="G672" s="27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27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26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95" t="str">
        <f>IF($A672="","",COUNTIF('Base Exámenes'!$C$5:$C$1000, A672))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"Pendiente"))</f>
        <v/>
      </c>
      <c r="G673" s="27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27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26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95" t="str">
        <f>IF($A673="","",COUNTIF('Base Exámenes'!$C$5:$C$1000, A673))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"Pendiente"))</f>
        <v/>
      </c>
      <c r="G674" s="27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27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26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95" t="str">
        <f>IF($A674="","",COUNTIF('Base Exámenes'!$C$5:$C$1000, A674))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"Pendiente"))</f>
        <v/>
      </c>
      <c r="G675" s="27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27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26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95" t="str">
        <f>IF($A675="","",COUNTIF('Base Exámenes'!$C$5:$C$1000, A675))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"Pendiente"))</f>
        <v/>
      </c>
      <c r="G676" s="27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27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26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95" t="str">
        <f>IF($A676="","",COUNTIF('Base Exámenes'!$C$5:$C$1000, A676))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"Pendiente"))</f>
        <v/>
      </c>
      <c r="G677" s="27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27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26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95" t="str">
        <f>IF($A677="","",COUNTIF('Base Exámenes'!$C$5:$C$1000, A677))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"Pendiente"))</f>
        <v/>
      </c>
      <c r="G678" s="27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27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26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95" t="str">
        <f>IF($A678="","",COUNTIF('Base Exámenes'!$C$5:$C$1000, A678))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"Pendiente"))</f>
        <v/>
      </c>
      <c r="G679" s="27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27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26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95" t="str">
        <f>IF($A679="","",COUNTIF('Base Exámenes'!$C$5:$C$1000, A679))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"Pendiente"))</f>
        <v/>
      </c>
      <c r="G680" s="27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27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26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95" t="str">
        <f>IF($A680="","",COUNTIF('Base Exámenes'!$C$5:$C$1000, A680))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"Pendiente"))</f>
        <v/>
      </c>
      <c r="G681" s="27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27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26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95" t="str">
        <f>IF($A681="","",COUNTIF('Base Exámenes'!$C$5:$C$1000, A681))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"Pendiente"))</f>
        <v/>
      </c>
      <c r="G682" s="27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27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26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95" t="str">
        <f>IF($A682="","",COUNTIF('Base Exámenes'!$C$5:$C$1000, A682))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"Pendiente"))</f>
        <v/>
      </c>
      <c r="G683" s="27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27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26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95" t="str">
        <f>IF($A683="","",COUNTIF('Base Exámenes'!$C$5:$C$1000, A683))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"Pendiente"))</f>
        <v/>
      </c>
      <c r="G684" s="27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27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26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95" t="str">
        <f>IF($A684="","",COUNTIF('Base Exámenes'!$C$5:$C$1000, A684))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"Pendiente"))</f>
        <v/>
      </c>
      <c r="G685" s="27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27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26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95" t="str">
        <f>IF($A685="","",COUNTIF('Base Exámenes'!$C$5:$C$1000, A685))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"Pendiente"))</f>
        <v/>
      </c>
      <c r="G686" s="27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27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26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95" t="str">
        <f>IF($A686="","",COUNTIF('Base Exámenes'!$C$5:$C$1000, A686))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"Pendiente"))</f>
        <v/>
      </c>
      <c r="G687" s="27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27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26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95" t="str">
        <f>IF($A687="","",COUNTIF('Base Exámenes'!$C$5:$C$1000, A687))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"Pendiente"))</f>
        <v/>
      </c>
      <c r="G688" s="27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27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26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95" t="str">
        <f>IF($A688="","",COUNTIF('Base Exámenes'!$C$5:$C$1000, A688))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"Pendiente"))</f>
        <v/>
      </c>
      <c r="G689" s="27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27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26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95" t="str">
        <f>IF($A689="","",COUNTIF('Base Exámenes'!$C$5:$C$1000, A689))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"Pendiente"))</f>
        <v/>
      </c>
      <c r="G690" s="27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27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26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95" t="str">
        <f>IF($A690="","",COUNTIF('Base Exámenes'!$C$5:$C$1000, A690))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"Pendiente"))</f>
        <v/>
      </c>
      <c r="G691" s="27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27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26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95" t="str">
        <f>IF($A691="","",COUNTIF('Base Exámenes'!$C$5:$C$1000, A691))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"Pendiente"))</f>
        <v/>
      </c>
      <c r="G692" s="27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27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26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95" t="str">
        <f>IF($A692="","",COUNTIF('Base Exámenes'!$C$5:$C$1000, A692))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"Pendiente"))</f>
        <v/>
      </c>
      <c r="G693" s="27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27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26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95" t="str">
        <f>IF($A693="","",COUNTIF('Base Exámenes'!$C$5:$C$1000, A693))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"Pendiente"))</f>
        <v/>
      </c>
      <c r="G694" s="27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27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26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95" t="str">
        <f>IF($A694="","",COUNTIF('Base Exámenes'!$C$5:$C$1000, A694))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"Pendiente"))</f>
        <v/>
      </c>
      <c r="G695" s="27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27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26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95" t="str">
        <f>IF($A695="","",COUNTIF('Base Exámenes'!$C$5:$C$1000, A695))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"Pendiente"))</f>
        <v/>
      </c>
      <c r="G696" s="27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27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26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95" t="str">
        <f>IF($A696="","",COUNTIF('Base Exámenes'!$C$5:$C$1000, A696))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"Pendiente"))</f>
        <v/>
      </c>
      <c r="G697" s="27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27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26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95" t="str">
        <f>IF($A697="","",COUNTIF('Base Exámenes'!$C$5:$C$1000, A697))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"Pendiente"))</f>
        <v/>
      </c>
      <c r="G698" s="27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27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26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95" t="str">
        <f>IF($A698="","",COUNTIF('Base Exámenes'!$C$5:$C$1000, A698))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"Pendiente"))</f>
        <v/>
      </c>
      <c r="G699" s="27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27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26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95" t="str">
        <f>IF($A699="","",COUNTIF('Base Exámenes'!$C$5:$C$1000, A699))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"Pendiente"))</f>
        <v/>
      </c>
      <c r="G700" s="27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27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26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95" t="str">
        <f>IF($A700="","",COUNTIF('Base Exámenes'!$C$5:$C$1000, A700))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"Pendiente"))</f>
        <v/>
      </c>
      <c r="G701" s="27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27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26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95" t="str">
        <f>IF($A701="","",COUNTIF('Base Exámenes'!$C$5:$C$1000, A701))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"Pendiente"))</f>
        <v/>
      </c>
      <c r="G702" s="27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27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26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95" t="str">
        <f>IF($A702="","",COUNTIF('Base Exámenes'!$C$5:$C$1000, A702))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"Pendiente"))</f>
        <v/>
      </c>
      <c r="G703" s="27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27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26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95" t="str">
        <f>IF($A703="","",COUNTIF('Base Exámenes'!$C$5:$C$1000, A703))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"Pendiente"))</f>
        <v/>
      </c>
      <c r="G704" s="27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27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26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95" t="str">
        <f>IF($A704="","",COUNTIF('Base Exámenes'!$C$5:$C$1000, A704))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"Pendiente"))</f>
        <v/>
      </c>
      <c r="G705" s="27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27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26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95" t="str">
        <f>IF($A705="","",COUNTIF('Base Exámenes'!$C$5:$C$1000, A705))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"Pendiente"))</f>
        <v/>
      </c>
      <c r="G706" s="27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27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26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95" t="str">
        <f>IF($A706="","",COUNTIF('Base Exámenes'!$C$5:$C$1000, A706))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"Pendiente"))</f>
        <v/>
      </c>
      <c r="G707" s="27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27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26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95" t="str">
        <f>IF($A707="","",COUNTIF('Base Exámenes'!$C$5:$C$1000, A707))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"Pendiente"))</f>
        <v/>
      </c>
      <c r="G708" s="27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27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26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95" t="str">
        <f>IF($A708="","",COUNTIF('Base Exámenes'!$C$5:$C$1000, A708))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"Pendiente"))</f>
        <v/>
      </c>
      <c r="G709" s="27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27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26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95" t="str">
        <f>IF($A709="","",COUNTIF('Base Exámenes'!$C$5:$C$1000, A709))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"Pendiente"))</f>
        <v/>
      </c>
      <c r="G710" s="27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27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26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95" t="str">
        <f>IF($A710="","",COUNTIF('Base Exámenes'!$C$5:$C$1000, A710))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"Pendiente"))</f>
        <v/>
      </c>
      <c r="G711" s="27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27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26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95" t="str">
        <f>IF($A711="","",COUNTIF('Base Exámenes'!$C$5:$C$1000, A711))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"Pendiente"))</f>
        <v/>
      </c>
      <c r="G712" s="27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27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26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95" t="str">
        <f>IF($A712="","",COUNTIF('Base Exámenes'!$C$5:$C$1000, A712))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"Pendiente"))</f>
        <v/>
      </c>
      <c r="G713" s="27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27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26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95" t="str">
        <f>IF($A713="","",COUNTIF('Base Exámenes'!$C$5:$C$1000, A713))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"Pendiente"))</f>
        <v/>
      </c>
      <c r="G714" s="27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27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26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95" t="str">
        <f>IF($A714="","",COUNTIF('Base Exámenes'!$C$5:$C$1000, A714))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"Pendiente"))</f>
        <v/>
      </c>
      <c r="G715" s="27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27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26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95" t="str">
        <f>IF($A715="","",COUNTIF('Base Exámenes'!$C$5:$C$1000, A715))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"Pendiente"))</f>
        <v/>
      </c>
      <c r="G716" s="27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27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26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95" t="str">
        <f>IF($A716="","",COUNTIF('Base Exámenes'!$C$5:$C$1000, A716))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"Pendiente"))</f>
        <v/>
      </c>
      <c r="G717" s="27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27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26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95" t="str">
        <f>IF($A717="","",COUNTIF('Base Exámenes'!$C$5:$C$1000, A717))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"Pendiente"))</f>
        <v/>
      </c>
      <c r="G718" s="27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27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26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95" t="str">
        <f>IF($A718="","",COUNTIF('Base Exámenes'!$C$5:$C$1000, A718))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"Pendiente"))</f>
        <v/>
      </c>
      <c r="G719" s="27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27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26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95" t="str">
        <f>IF($A719="","",COUNTIF('Base Exámenes'!$C$5:$C$1000, A719))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"Pendiente"))</f>
        <v/>
      </c>
      <c r="G720" s="27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27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26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95" t="str">
        <f>IF($A720="","",COUNTIF('Base Exámenes'!$C$5:$C$1000, A720))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"Pendiente"))</f>
        <v/>
      </c>
      <c r="G721" s="27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27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26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95" t="str">
        <f>IF($A721="","",COUNTIF('Base Exámenes'!$C$5:$C$1000, A721))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"Pendiente"))</f>
        <v/>
      </c>
      <c r="G722" s="27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27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26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95" t="str">
        <f>IF($A722="","",COUNTIF('Base Exámenes'!$C$5:$C$1000, A722))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"Pendiente"))</f>
        <v/>
      </c>
      <c r="G723" s="27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27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26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95" t="str">
        <f>IF($A723="","",COUNTIF('Base Exámenes'!$C$5:$C$1000, A723))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"Pendiente"))</f>
        <v/>
      </c>
      <c r="G724" s="27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27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26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95" t="str">
        <f>IF($A724="","",COUNTIF('Base Exámenes'!$C$5:$C$1000, A724))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"Pendiente"))</f>
        <v/>
      </c>
      <c r="G725" s="27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27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26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95" t="str">
        <f>IF($A725="","",COUNTIF('Base Exámenes'!$C$5:$C$1000, A725))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"Pendiente"))</f>
        <v/>
      </c>
      <c r="G726" s="27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27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26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95" t="str">
        <f>IF($A726="","",COUNTIF('Base Exámenes'!$C$5:$C$1000, A726))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"Pendiente"))</f>
        <v/>
      </c>
      <c r="G727" s="27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27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26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95" t="str">
        <f>IF($A727="","",COUNTIF('Base Exámenes'!$C$5:$C$1000, A727))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"Pendiente"))</f>
        <v/>
      </c>
      <c r="G728" s="27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27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26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95" t="str">
        <f>IF($A728="","",COUNTIF('Base Exámenes'!$C$5:$C$1000, A728))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"Pendiente"))</f>
        <v/>
      </c>
      <c r="G729" s="27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27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26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95" t="str">
        <f>IF($A729="","",COUNTIF('Base Exámenes'!$C$5:$C$1000, A729))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"Pendiente"))</f>
        <v/>
      </c>
      <c r="G730" s="27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27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26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95" t="str">
        <f>IF($A730="","",COUNTIF('Base Exámenes'!$C$5:$C$1000, A730))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"Pendiente"))</f>
        <v/>
      </c>
      <c r="G731" s="27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27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26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95" t="str">
        <f>IF($A731="","",COUNTIF('Base Exámenes'!$C$5:$C$1000, A731))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"Pendiente"))</f>
        <v/>
      </c>
      <c r="G732" s="27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27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26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95" t="str">
        <f>IF($A732="","",COUNTIF('Base Exámenes'!$C$5:$C$1000, A732))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"Pendiente"))</f>
        <v/>
      </c>
      <c r="G733" s="27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27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26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95" t="str">
        <f>IF($A733="","",COUNTIF('Base Exámenes'!$C$5:$C$1000, A733))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"Pendiente"))</f>
        <v/>
      </c>
      <c r="G734" s="27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27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26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95" t="str">
        <f>IF($A734="","",COUNTIF('Base Exámenes'!$C$5:$C$1000, A734))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"Pendiente"))</f>
        <v/>
      </c>
      <c r="G735" s="27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27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26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95" t="str">
        <f>IF($A735="","",COUNTIF('Base Exámenes'!$C$5:$C$1000, A735))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"Pendiente"))</f>
        <v/>
      </c>
      <c r="G736" s="27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27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26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95" t="str">
        <f>IF($A736="","",COUNTIF('Base Exámenes'!$C$5:$C$1000, A736))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"Pendiente"))</f>
        <v/>
      </c>
      <c r="G737" s="27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27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26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95" t="str">
        <f>IF($A737="","",COUNTIF('Base Exámenes'!$C$5:$C$1000, A737))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"Pendiente"))</f>
        <v/>
      </c>
      <c r="G738" s="27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27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26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95" t="str">
        <f>IF($A738="","",COUNTIF('Base Exámenes'!$C$5:$C$1000, A738))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"Pendiente"))</f>
        <v/>
      </c>
      <c r="G739" s="27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27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26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95" t="str">
        <f>IF($A739="","",COUNTIF('Base Exámenes'!$C$5:$C$1000, A739))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"Pendiente"))</f>
        <v/>
      </c>
      <c r="G740" s="27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27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26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95" t="str">
        <f>IF($A740="","",COUNTIF('Base Exámenes'!$C$5:$C$1000, A740))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"Pendiente"))</f>
        <v/>
      </c>
      <c r="G741" s="27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27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26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95" t="str">
        <f>IF($A741="","",COUNTIF('Base Exámenes'!$C$5:$C$1000, A741))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"Pendiente"))</f>
        <v/>
      </c>
      <c r="G742" s="27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27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26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95" t="str">
        <f>IF($A742="","",COUNTIF('Base Exámenes'!$C$5:$C$1000, A742))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"Pendiente"))</f>
        <v/>
      </c>
      <c r="G743" s="27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27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26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95" t="str">
        <f>IF($A743="","",COUNTIF('Base Exámenes'!$C$5:$C$1000, A743))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"Pendiente"))</f>
        <v/>
      </c>
      <c r="G744" s="27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27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26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95" t="str">
        <f>IF($A744="","",COUNTIF('Base Exámenes'!$C$5:$C$1000, A744))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"Pendiente"))</f>
        <v/>
      </c>
      <c r="G745" s="27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27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26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95" t="str">
        <f>IF($A745="","",COUNTIF('Base Exámenes'!$C$5:$C$1000, A745))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"Pendiente"))</f>
        <v/>
      </c>
      <c r="G746" s="27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27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26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95" t="str">
        <f>IF($A746="","",COUNTIF('Base Exámenes'!$C$5:$C$1000, A746))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"Pendiente"))</f>
        <v/>
      </c>
      <c r="G747" s="27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27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26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95" t="str">
        <f>IF($A747="","",COUNTIF('Base Exámenes'!$C$5:$C$1000, A747))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"Pendiente"))</f>
        <v/>
      </c>
      <c r="G748" s="27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27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26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95" t="str">
        <f>IF($A748="","",COUNTIF('Base Exámenes'!$C$5:$C$1000, A748))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"Pendiente"))</f>
        <v/>
      </c>
      <c r="G749" s="27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27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26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95" t="str">
        <f>IF($A749="","",COUNTIF('Base Exámenes'!$C$5:$C$1000, A749))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"Pendiente"))</f>
        <v/>
      </c>
      <c r="G750" s="27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27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26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95" t="str">
        <f>IF($A750="","",COUNTIF('Base Exámenes'!$C$5:$C$1000, A750))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"Pendiente"))</f>
        <v/>
      </c>
      <c r="G751" s="27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27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26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95" t="str">
        <f>IF($A751="","",COUNTIF('Base Exámenes'!$C$5:$C$1000, A751))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"Pendiente"))</f>
        <v/>
      </c>
      <c r="G752" s="27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27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26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95" t="str">
        <f>IF($A752="","",COUNTIF('Base Exámenes'!$C$5:$C$1000, A752))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"Pendiente"))</f>
        <v/>
      </c>
      <c r="G753" s="27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27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26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95" t="str">
        <f>IF($A753="","",COUNTIF('Base Exámenes'!$C$5:$C$1000, A753))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"Pendiente"))</f>
        <v/>
      </c>
      <c r="G754" s="27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27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26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95" t="str">
        <f>IF($A754="","",COUNTIF('Base Exámenes'!$C$5:$C$1000, A754))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"Pendiente"))</f>
        <v/>
      </c>
      <c r="G755" s="27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27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26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95" t="str">
        <f>IF($A755="","",COUNTIF('Base Exámenes'!$C$5:$C$1000, A755))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"Pendiente"))</f>
        <v/>
      </c>
      <c r="G756" s="27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27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26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95" t="str">
        <f>IF($A756="","",COUNTIF('Base Exámenes'!$C$5:$C$1000, A756))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"Pendiente"))</f>
        <v/>
      </c>
      <c r="G757" s="27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27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26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95" t="str">
        <f>IF($A757="","",COUNTIF('Base Exámenes'!$C$5:$C$1000, A757))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"Pendiente"))</f>
        <v/>
      </c>
      <c r="G758" s="27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27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26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95" t="str">
        <f>IF($A758="","",COUNTIF('Base Exámenes'!$C$5:$C$1000, A758))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"Pendiente"))</f>
        <v/>
      </c>
      <c r="G759" s="27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27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26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95" t="str">
        <f>IF($A759="","",COUNTIF('Base Exámenes'!$C$5:$C$1000, A759))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"Pendiente"))</f>
        <v/>
      </c>
      <c r="G760" s="27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27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26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95" t="str">
        <f>IF($A760="","",COUNTIF('Base Exámenes'!$C$5:$C$1000, A760))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"Pendiente"))</f>
        <v/>
      </c>
      <c r="G761" s="27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27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26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95" t="str">
        <f>IF($A761="","",COUNTIF('Base Exámenes'!$C$5:$C$1000, A761))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"Pendiente"))</f>
        <v/>
      </c>
      <c r="G762" s="27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27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26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95" t="str">
        <f>IF($A762="","",COUNTIF('Base Exámenes'!$C$5:$C$1000, A762))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"Pendiente"))</f>
        <v/>
      </c>
      <c r="G763" s="27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27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26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95" t="str">
        <f>IF($A763="","",COUNTIF('Base Exámenes'!$C$5:$C$1000, A763))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"Pendiente"))</f>
        <v/>
      </c>
      <c r="G764" s="27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27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26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95" t="str">
        <f>IF($A764="","",COUNTIF('Base Exámenes'!$C$5:$C$1000, A764))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"Pendiente"))</f>
        <v/>
      </c>
      <c r="G765" s="27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27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26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95" t="str">
        <f>IF($A765="","",COUNTIF('Base Exámenes'!$C$5:$C$1000, A765))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"Pendiente"))</f>
        <v/>
      </c>
      <c r="G766" s="27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27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26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95" t="str">
        <f>IF($A766="","",COUNTIF('Base Exámenes'!$C$5:$C$1000, A766))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"Pendiente"))</f>
        <v/>
      </c>
      <c r="G767" s="27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27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26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95" t="str">
        <f>IF($A767="","",COUNTIF('Base Exámenes'!$C$5:$C$1000, A767))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"Pendiente"))</f>
        <v/>
      </c>
      <c r="G768" s="27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27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26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95" t="str">
        <f>IF($A768="","",COUNTIF('Base Exámenes'!$C$5:$C$1000, A768))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"Pendiente"))</f>
        <v/>
      </c>
      <c r="G769" s="27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27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26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95" t="str">
        <f>IF($A769="","",COUNTIF('Base Exámenes'!$C$5:$C$1000, A769))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"Pendiente"))</f>
        <v/>
      </c>
      <c r="G770" s="27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27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26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95" t="str">
        <f>IF($A770="","",COUNTIF('Base Exámenes'!$C$5:$C$1000, A770))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"Pendiente"))</f>
        <v/>
      </c>
      <c r="G771" s="27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27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26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95" t="str">
        <f>IF($A771="","",COUNTIF('Base Exámenes'!$C$5:$C$1000, A771))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"Pendiente"))</f>
        <v/>
      </c>
      <c r="G772" s="27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27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26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95" t="str">
        <f>IF($A772="","",COUNTIF('Base Exámenes'!$C$5:$C$1000, A772))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"Pendiente"))</f>
        <v/>
      </c>
      <c r="G773" s="27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27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26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95" t="str">
        <f>IF($A773="","",COUNTIF('Base Exámenes'!$C$5:$C$1000, A773))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"Pendiente"))</f>
        <v/>
      </c>
      <c r="G774" s="27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27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26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95" t="str">
        <f>IF($A774="","",COUNTIF('Base Exámenes'!$C$5:$C$1000, A774))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"Pendiente"))</f>
        <v/>
      </c>
      <c r="G775" s="27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27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26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95" t="str">
        <f>IF($A775="","",COUNTIF('Base Exámenes'!$C$5:$C$1000, A775))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"Pendiente"))</f>
        <v/>
      </c>
      <c r="G776" s="27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27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26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95" t="str">
        <f>IF($A776="","",COUNTIF('Base Exámenes'!$C$5:$C$1000, A776))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"Pendiente"))</f>
        <v/>
      </c>
      <c r="G777" s="27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27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26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95" t="str">
        <f>IF($A777="","",COUNTIF('Base Exámenes'!$C$5:$C$1000, A777))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"Pendiente"))</f>
        <v/>
      </c>
      <c r="G778" s="27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27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26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95" t="str">
        <f>IF($A778="","",COUNTIF('Base Exámenes'!$C$5:$C$1000, A778))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"Pendiente"))</f>
        <v/>
      </c>
      <c r="G779" s="27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27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26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95" t="str">
        <f>IF($A779="","",COUNTIF('Base Exámenes'!$C$5:$C$1000, A779))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"Pendiente"))</f>
        <v/>
      </c>
      <c r="G780" s="27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27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26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95" t="str">
        <f>IF($A780="","",COUNTIF('Base Exámenes'!$C$5:$C$1000, A780))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"Pendiente"))</f>
        <v/>
      </c>
      <c r="G781" s="27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27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26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95" t="str">
        <f>IF($A781="","",COUNTIF('Base Exámenes'!$C$5:$C$1000, A781))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"Pendiente"))</f>
        <v/>
      </c>
      <c r="G782" s="27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27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26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95" t="str">
        <f>IF($A782="","",COUNTIF('Base Exámenes'!$C$5:$C$1000, A782))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"Pendiente"))</f>
        <v/>
      </c>
      <c r="G783" s="27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27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26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95" t="str">
        <f>IF($A783="","",COUNTIF('Base Exámenes'!$C$5:$C$1000, A783))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"Pendiente"))</f>
        <v/>
      </c>
      <c r="G784" s="27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27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26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95" t="str">
        <f>IF($A784="","",COUNTIF('Base Exámenes'!$C$5:$C$1000, A784))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"Pendiente"))</f>
        <v/>
      </c>
      <c r="G785" s="27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27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26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95" t="str">
        <f>IF($A785="","",COUNTIF('Base Exámenes'!$C$5:$C$1000, A785))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"Pendiente"))</f>
        <v/>
      </c>
      <c r="G786" s="27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27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26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95" t="str">
        <f>IF($A786="","",COUNTIF('Base Exámenes'!$C$5:$C$1000, A786))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"Pendiente"))</f>
        <v/>
      </c>
      <c r="G787" s="27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27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26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95" t="str">
        <f>IF($A787="","",COUNTIF('Base Exámenes'!$C$5:$C$1000, A787))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"Pendiente"))</f>
        <v/>
      </c>
      <c r="G788" s="27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27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26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95" t="str">
        <f>IF($A788="","",COUNTIF('Base Exámenes'!$C$5:$C$1000, A788))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"Pendiente"))</f>
        <v/>
      </c>
      <c r="G789" s="27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27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26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95" t="str">
        <f>IF($A789="","",COUNTIF('Base Exámenes'!$C$5:$C$1000, A789))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"Pendiente"))</f>
        <v/>
      </c>
      <c r="G790" s="27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27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26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95" t="str">
        <f>IF($A790="","",COUNTIF('Base Exámenes'!$C$5:$C$1000, A790))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"Pendiente"))</f>
        <v/>
      </c>
      <c r="G791" s="27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27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26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95" t="str">
        <f>IF($A791="","",COUNTIF('Base Exámenes'!$C$5:$C$1000, A791))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"Pendiente"))</f>
        <v/>
      </c>
      <c r="G792" s="27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27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26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95" t="str">
        <f>IF($A792="","",COUNTIF('Base Exámenes'!$C$5:$C$1000, A792))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"Pendiente"))</f>
        <v/>
      </c>
      <c r="G793" s="27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27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26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95" t="str">
        <f>IF($A793="","",COUNTIF('Base Exámenes'!$C$5:$C$1000, A793))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"Pendiente"))</f>
        <v/>
      </c>
      <c r="G794" s="27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27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26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95" t="str">
        <f>IF($A794="","",COUNTIF('Base Exámenes'!$C$5:$C$1000, A794))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"Pendiente"))</f>
        <v/>
      </c>
      <c r="G795" s="27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27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26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95" t="str">
        <f>IF($A795="","",COUNTIF('Base Exámenes'!$C$5:$C$1000, A795))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"Pendiente"))</f>
        <v/>
      </c>
      <c r="G796" s="27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27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26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95" t="str">
        <f>IF($A796="","",COUNTIF('Base Exámenes'!$C$5:$C$1000, A796))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"Pendiente"))</f>
        <v/>
      </c>
      <c r="G797" s="27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27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26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95" t="str">
        <f>IF($A797="","",COUNTIF('Base Exámenes'!$C$5:$C$1000, A797))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"Pendiente"))</f>
        <v/>
      </c>
      <c r="G798" s="27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27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26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95" t="str">
        <f>IF($A798="","",COUNTIF('Base Exámenes'!$C$5:$C$1000, A798))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"Pendiente"))</f>
        <v/>
      </c>
      <c r="G799" s="27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27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26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95" t="str">
        <f>IF($A799="","",COUNTIF('Base Exámenes'!$C$5:$C$1000, A799))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"Pendiente"))</f>
        <v/>
      </c>
      <c r="G800" s="27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27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26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95" t="str">
        <f>IF($A800="","",COUNTIF('Base Exámenes'!$C$5:$C$1000, A800))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"Pendiente"))</f>
        <v/>
      </c>
      <c r="G801" s="27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27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26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95" t="str">
        <f>IF($A801="","",COUNTIF('Base Exámenes'!$C$5:$C$1000, A801))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"Pendiente"))</f>
        <v/>
      </c>
      <c r="G802" s="27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27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26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95" t="str">
        <f>IF($A802="","",COUNTIF('Base Exámenes'!$C$5:$C$1000, A802))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"Pendiente"))</f>
        <v/>
      </c>
      <c r="G803" s="27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27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26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95" t="str">
        <f>IF($A803="","",COUNTIF('Base Exámenes'!$C$5:$C$1000, A803))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"Pendiente"))</f>
        <v/>
      </c>
      <c r="G804" s="27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27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26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95" t="str">
        <f>IF($A804="","",COUNTIF('Base Exámenes'!$C$5:$C$1000, A804))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"Pendiente"))</f>
        <v/>
      </c>
      <c r="G805" s="27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27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26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95" t="str">
        <f>IF($A805="","",COUNTIF('Base Exámenes'!$C$5:$C$1000, A805))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"Pendiente"))</f>
        <v/>
      </c>
      <c r="G806" s="27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27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26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95" t="str">
        <f>IF($A806="","",COUNTIF('Base Exámenes'!$C$5:$C$1000, A806))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"Pendiente"))</f>
        <v/>
      </c>
      <c r="G807" s="27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27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26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95" t="str">
        <f>IF($A807="","",COUNTIF('Base Exámenes'!$C$5:$C$1000, A807))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"Pendiente"))</f>
        <v/>
      </c>
      <c r="G808" s="27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27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26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95" t="str">
        <f>IF($A808="","",COUNTIF('Base Exámenes'!$C$5:$C$1000, A808))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"Pendiente"))</f>
        <v/>
      </c>
      <c r="G809" s="27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27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26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95" t="str">
        <f>IF($A809="","",COUNTIF('Base Exámenes'!$C$5:$C$1000, A809))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"Pendiente"))</f>
        <v/>
      </c>
      <c r="G810" s="27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27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26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95" t="str">
        <f>IF($A810="","",COUNTIF('Base Exámenes'!$C$5:$C$1000, A810))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"Pendiente"))</f>
        <v/>
      </c>
      <c r="G811" s="27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27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26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95" t="str">
        <f>IF($A811="","",COUNTIF('Base Exámenes'!$C$5:$C$1000, A811))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"Pendiente"))</f>
        <v/>
      </c>
      <c r="G812" s="27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27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26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95" t="str">
        <f>IF($A812="","",COUNTIF('Base Exámenes'!$C$5:$C$1000, A812))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"Pendiente"))</f>
        <v/>
      </c>
      <c r="G813" s="27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27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26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95" t="str">
        <f>IF($A813="","",COUNTIF('Base Exámenes'!$C$5:$C$1000, A813))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"Pendiente"))</f>
        <v/>
      </c>
      <c r="G814" s="27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27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26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95" t="str">
        <f>IF($A814="","",COUNTIF('Base Exámenes'!$C$5:$C$1000, A814))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"Pendiente"))</f>
        <v/>
      </c>
      <c r="G815" s="27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27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26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95" t="str">
        <f>IF($A815="","",COUNTIF('Base Exámenes'!$C$5:$C$1000, A815))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"Pendiente"))</f>
        <v/>
      </c>
      <c r="G816" s="27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27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26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95" t="str">
        <f>IF($A816="","",COUNTIF('Base Exámenes'!$C$5:$C$1000, A816))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"Pendiente"))</f>
        <v/>
      </c>
      <c r="G817" s="27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27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26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95" t="str">
        <f>IF($A817="","",COUNTIF('Base Exámenes'!$C$5:$C$1000, A817))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"Pendiente"))</f>
        <v/>
      </c>
      <c r="G818" s="27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27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26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95" t="str">
        <f>IF($A818="","",COUNTIF('Base Exámenes'!$C$5:$C$1000, A818))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"Pendiente"))</f>
        <v/>
      </c>
      <c r="G819" s="27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27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26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95" t="str">
        <f>IF($A819="","",COUNTIF('Base Exámenes'!$C$5:$C$1000, A819))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"Pendiente"))</f>
        <v/>
      </c>
      <c r="G820" s="27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27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26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95" t="str">
        <f>IF($A820="","",COUNTIF('Base Exámenes'!$C$5:$C$1000, A820))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"Pendiente"))</f>
        <v/>
      </c>
      <c r="G821" s="27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27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26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95" t="str">
        <f>IF($A821="","",COUNTIF('Base Exámenes'!$C$5:$C$1000, A821))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"Pendiente"))</f>
        <v/>
      </c>
      <c r="G822" s="27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27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26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95" t="str">
        <f>IF($A822="","",COUNTIF('Base Exámenes'!$C$5:$C$1000, A822))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"Pendiente"))</f>
        <v/>
      </c>
      <c r="G823" s="27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27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26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95" t="str">
        <f>IF($A823="","",COUNTIF('Base Exámenes'!$C$5:$C$1000, A823))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"Pendiente"))</f>
        <v/>
      </c>
      <c r="G824" s="27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27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26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95" t="str">
        <f>IF($A824="","",COUNTIF('Base Exámenes'!$C$5:$C$1000, A824))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"Pendiente"))</f>
        <v/>
      </c>
      <c r="G825" s="27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27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26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95" t="str">
        <f>IF($A825="","",COUNTIF('Base Exámenes'!$C$5:$C$1000, A825))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"Pendiente"))</f>
        <v/>
      </c>
      <c r="G826" s="27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27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26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95" t="str">
        <f>IF($A826="","",COUNTIF('Base Exámenes'!$C$5:$C$1000, A826))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"Pendiente"))</f>
        <v/>
      </c>
      <c r="G827" s="27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27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26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95" t="str">
        <f>IF($A827="","",COUNTIF('Base Exámenes'!$C$5:$C$1000, A827))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"Pendiente"))</f>
        <v/>
      </c>
      <c r="G828" s="27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27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26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95" t="str">
        <f>IF($A828="","",COUNTIF('Base Exámenes'!$C$5:$C$1000, A828))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"Pendiente"))</f>
        <v/>
      </c>
      <c r="G829" s="27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27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26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95" t="str">
        <f>IF($A829="","",COUNTIF('Base Exámenes'!$C$5:$C$1000, A829))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"Pendiente"))</f>
        <v/>
      </c>
      <c r="G830" s="27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27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26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95" t="str">
        <f>IF($A830="","",COUNTIF('Base Exámenes'!$C$5:$C$1000, A830))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"Pendiente"))</f>
        <v/>
      </c>
      <c r="G831" s="27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27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26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95" t="str">
        <f>IF($A831="","",COUNTIF('Base Exámenes'!$C$5:$C$1000, A831))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"Pendiente"))</f>
        <v/>
      </c>
      <c r="G832" s="27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27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26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95" t="str">
        <f>IF($A832="","",COUNTIF('Base Exámenes'!$C$5:$C$1000, A832))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"Pendiente"))</f>
        <v/>
      </c>
      <c r="G833" s="27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27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26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95" t="str">
        <f>IF($A833="","",COUNTIF('Base Exámenes'!$C$5:$C$1000, A833))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"Pendiente"))</f>
        <v/>
      </c>
      <c r="G834" s="27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27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26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95" t="str">
        <f>IF($A834="","",COUNTIF('Base Exámenes'!$C$5:$C$1000, A834))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"Pendiente"))</f>
        <v/>
      </c>
      <c r="G835" s="27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27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26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95" t="str">
        <f>IF($A835="","",COUNTIF('Base Exámenes'!$C$5:$C$1000, A835))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"Pendiente"))</f>
        <v/>
      </c>
      <c r="G836" s="27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27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26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95" t="str">
        <f>IF($A836="","",COUNTIF('Base Exámenes'!$C$5:$C$1000, A836))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"Pendiente"))</f>
        <v/>
      </c>
      <c r="G837" s="27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27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26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95" t="str">
        <f>IF($A837="","",COUNTIF('Base Exámenes'!$C$5:$C$1000, A837))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"Pendiente"))</f>
        <v/>
      </c>
      <c r="G838" s="27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27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26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95" t="str">
        <f>IF($A838="","",COUNTIF('Base Exámenes'!$C$5:$C$1000, A838))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"Pendiente"))</f>
        <v/>
      </c>
      <c r="G839" s="27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27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26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95" t="str">
        <f>IF($A839="","",COUNTIF('Base Exámenes'!$C$5:$C$1000, A839))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"Pendiente"))</f>
        <v/>
      </c>
      <c r="G840" s="27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27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26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95" t="str">
        <f>IF($A840="","",COUNTIF('Base Exámenes'!$C$5:$C$1000, A840))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"Pendiente"))</f>
        <v/>
      </c>
      <c r="G841" s="27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27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26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95" t="str">
        <f>IF($A841="","",COUNTIF('Base Exámenes'!$C$5:$C$1000, A841))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"Pendiente"))</f>
        <v/>
      </c>
      <c r="G842" s="27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27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26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95" t="str">
        <f>IF($A842="","",COUNTIF('Base Exámenes'!$C$5:$C$1000, A842))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"Pendiente"))</f>
        <v/>
      </c>
      <c r="G843" s="27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27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26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95" t="str">
        <f>IF($A843="","",COUNTIF('Base Exámenes'!$C$5:$C$1000, A843))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"Pendiente"))</f>
        <v/>
      </c>
      <c r="G844" s="27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27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26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95" t="str">
        <f>IF($A844="","",COUNTIF('Base Exámenes'!$C$5:$C$1000, A844))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"Pendiente"))</f>
        <v/>
      </c>
      <c r="G845" s="27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27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26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95" t="str">
        <f>IF($A845="","",COUNTIF('Base Exámenes'!$C$5:$C$1000, A845))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"Pendiente"))</f>
        <v/>
      </c>
      <c r="G846" s="27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27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26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95" t="str">
        <f>IF($A846="","",COUNTIF('Base Exámenes'!$C$5:$C$1000, A846))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"Pendiente"))</f>
        <v/>
      </c>
      <c r="G847" s="27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27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26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95" t="str">
        <f>IF($A847="","",COUNTIF('Base Exámenes'!$C$5:$C$1000, A847))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"Pendiente"))</f>
        <v/>
      </c>
      <c r="G848" s="27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27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26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95" t="str">
        <f>IF($A848="","",COUNTIF('Base Exámenes'!$C$5:$C$1000, A848))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"Pendiente"))</f>
        <v/>
      </c>
      <c r="G849" s="27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27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26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95" t="str">
        <f>IF($A849="","",COUNTIF('Base Exámenes'!$C$5:$C$1000, A849))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"Pendiente"))</f>
        <v/>
      </c>
      <c r="G850" s="27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27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26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95" t="str">
        <f>IF($A850="","",COUNTIF('Base Exámenes'!$C$5:$C$1000, A850))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"Pendiente"))</f>
        <v/>
      </c>
      <c r="G851" s="27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27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26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95" t="str">
        <f>IF($A851="","",COUNTIF('Base Exámenes'!$C$5:$C$1000, A851))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"Pendiente"))</f>
        <v/>
      </c>
      <c r="G852" s="27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27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26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95" t="str">
        <f>IF($A852="","",COUNTIF('Base Exámenes'!$C$5:$C$1000, A852))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"Pendiente"))</f>
        <v/>
      </c>
      <c r="G853" s="27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27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26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95" t="str">
        <f>IF($A853="","",COUNTIF('Base Exámenes'!$C$5:$C$1000, A853))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"Pendiente"))</f>
        <v/>
      </c>
      <c r="G854" s="27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27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26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95" t="str">
        <f>IF($A854="","",COUNTIF('Base Exámenes'!$C$5:$C$1000, A854))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"Pendiente"))</f>
        <v/>
      </c>
      <c r="G855" s="27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27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26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95" t="str">
        <f>IF($A855="","",COUNTIF('Base Exámenes'!$C$5:$C$1000, A855))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"Pendiente"))</f>
        <v/>
      </c>
      <c r="G856" s="27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27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26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95" t="str">
        <f>IF($A856="","",COUNTIF('Base Exámenes'!$C$5:$C$1000, A856))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"Pendiente"))</f>
        <v/>
      </c>
      <c r="G857" s="27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27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26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95" t="str">
        <f>IF($A857="","",COUNTIF('Base Exámenes'!$C$5:$C$1000, A857))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"Pendiente"))</f>
        <v/>
      </c>
      <c r="G858" s="27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27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26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95" t="str">
        <f>IF($A858="","",COUNTIF('Base Exámenes'!$C$5:$C$1000, A858))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"Pendiente"))</f>
        <v/>
      </c>
      <c r="G859" s="27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27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26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95" t="str">
        <f>IF($A859="","",COUNTIF('Base Exámenes'!$C$5:$C$1000, A859))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"Pendiente"))</f>
        <v/>
      </c>
      <c r="G860" s="27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27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26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95" t="str">
        <f>IF($A860="","",COUNTIF('Base Exámenes'!$C$5:$C$1000, A860))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"Pendiente"))</f>
        <v/>
      </c>
      <c r="G861" s="27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27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26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95" t="str">
        <f>IF($A861="","",COUNTIF('Base Exámenes'!$C$5:$C$1000, A861))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"Pendiente"))</f>
        <v/>
      </c>
      <c r="G862" s="27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27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26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95" t="str">
        <f>IF($A862="","",COUNTIF('Base Exámenes'!$C$5:$C$1000, A862))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"Pendiente"))</f>
        <v/>
      </c>
      <c r="G863" s="27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27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26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95" t="str">
        <f>IF($A863="","",COUNTIF('Base Exámenes'!$C$5:$C$1000, A863))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"Pendiente"))</f>
        <v/>
      </c>
      <c r="G864" s="27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27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26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95" t="str">
        <f>IF($A864="","",COUNTIF('Base Exámenes'!$C$5:$C$1000, A864))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"Pendiente"))</f>
        <v/>
      </c>
      <c r="G865" s="27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27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26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95" t="str">
        <f>IF($A865="","",COUNTIF('Base Exámenes'!$C$5:$C$1000, A865))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"Pendiente"))</f>
        <v/>
      </c>
      <c r="G866" s="27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27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26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95" t="str">
        <f>IF($A866="","",COUNTIF('Base Exámenes'!$C$5:$C$1000, A866))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"Pendiente"))</f>
        <v/>
      </c>
      <c r="G867" s="27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27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26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95" t="str">
        <f>IF($A867="","",COUNTIF('Base Exámenes'!$C$5:$C$1000, A867))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"Pendiente"))</f>
        <v/>
      </c>
      <c r="G868" s="27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27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26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95" t="str">
        <f>IF($A868="","",COUNTIF('Base Exámenes'!$C$5:$C$1000, A868))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"Pendiente"))</f>
        <v/>
      </c>
      <c r="G869" s="27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27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26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95" t="str">
        <f>IF($A869="","",COUNTIF('Base Exámenes'!$C$5:$C$1000, A869))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"Pendiente"))</f>
        <v/>
      </c>
      <c r="G870" s="27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27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26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95" t="str">
        <f>IF($A870="","",COUNTIF('Base Exámenes'!$C$5:$C$1000, A870))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"Pendiente"))</f>
        <v/>
      </c>
      <c r="G871" s="27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27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26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95" t="str">
        <f>IF($A871="","",COUNTIF('Base Exámenes'!$C$5:$C$1000, A871))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"Pendiente"))</f>
        <v/>
      </c>
      <c r="G872" s="27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27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26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95" t="str">
        <f>IF($A872="","",COUNTIF('Base Exámenes'!$C$5:$C$1000, A872))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"Pendiente"))</f>
        <v/>
      </c>
      <c r="G873" s="27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27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26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95" t="str">
        <f>IF($A873="","",COUNTIF('Base Exámenes'!$C$5:$C$1000, A873))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"Pendiente"))</f>
        <v/>
      </c>
      <c r="G874" s="27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27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26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95" t="str">
        <f>IF($A874="","",COUNTIF('Base Exámenes'!$C$5:$C$1000, A874))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"Pendiente"))</f>
        <v/>
      </c>
      <c r="G875" s="27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27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26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95" t="str">
        <f>IF($A875="","",COUNTIF('Base Exámenes'!$C$5:$C$1000, A875))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"Pendiente"))</f>
        <v/>
      </c>
      <c r="G876" s="27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27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26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95" t="str">
        <f>IF($A876="","",COUNTIF('Base Exámenes'!$C$5:$C$1000, A876))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"Pendiente"))</f>
        <v/>
      </c>
      <c r="G877" s="27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27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26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95" t="str">
        <f>IF($A877="","",COUNTIF('Base Exámenes'!$C$5:$C$1000, A877))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"Pendiente"))</f>
        <v/>
      </c>
      <c r="G878" s="27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27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26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95" t="str">
        <f>IF($A878="","",COUNTIF('Base Exámenes'!$C$5:$C$1000, A878))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"Pendiente"))</f>
        <v/>
      </c>
      <c r="G879" s="27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27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26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95" t="str">
        <f>IF($A879="","",COUNTIF('Base Exámenes'!$C$5:$C$1000, A879))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"Pendiente"))</f>
        <v/>
      </c>
      <c r="G880" s="27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27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26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95" t="str">
        <f>IF($A880="","",COUNTIF('Base Exámenes'!$C$5:$C$1000, A880))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"Pendiente"))</f>
        <v/>
      </c>
      <c r="G881" s="27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27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26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95" t="str">
        <f>IF($A881="","",COUNTIF('Base Exámenes'!$C$5:$C$1000, A881))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"Pendiente"))</f>
        <v/>
      </c>
      <c r="G882" s="27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27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26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95" t="str">
        <f>IF($A882="","",COUNTIF('Base Exámenes'!$C$5:$C$1000, A882))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"Pendiente"))</f>
        <v/>
      </c>
      <c r="G883" s="27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27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26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95" t="str">
        <f>IF($A883="","",COUNTIF('Base Exámenes'!$C$5:$C$1000, A883))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"Pendiente"))</f>
        <v/>
      </c>
      <c r="G884" s="27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27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26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95" t="str">
        <f>IF($A884="","",COUNTIF('Base Exámenes'!$C$5:$C$1000, A884))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"Pendiente"))</f>
        <v/>
      </c>
      <c r="G885" s="27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27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26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95" t="str">
        <f>IF($A885="","",COUNTIF('Base Exámenes'!$C$5:$C$1000, A885))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"Pendiente"))</f>
        <v/>
      </c>
      <c r="G886" s="27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27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26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95" t="str">
        <f>IF($A886="","",COUNTIF('Base Exámenes'!$C$5:$C$1000, A886))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"Pendiente"))</f>
        <v/>
      </c>
      <c r="G887" s="27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27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26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95" t="str">
        <f>IF($A887="","",COUNTIF('Base Exámenes'!$C$5:$C$1000, A887))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"Pendiente"))</f>
        <v/>
      </c>
      <c r="G888" s="27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27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26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95" t="str">
        <f>IF($A888="","",COUNTIF('Base Exámenes'!$C$5:$C$1000, A888))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"Pendiente"))</f>
        <v/>
      </c>
      <c r="G889" s="27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27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26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95" t="str">
        <f>IF($A889="","",COUNTIF('Base Exámenes'!$C$5:$C$1000, A889))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"Pendiente"))</f>
        <v/>
      </c>
      <c r="G890" s="27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27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26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95" t="str">
        <f>IF($A890="","",COUNTIF('Base Exámenes'!$C$5:$C$1000, A890))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"Pendiente"))</f>
        <v/>
      </c>
      <c r="G891" s="27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27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26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95" t="str">
        <f>IF($A891="","",COUNTIF('Base Exámenes'!$C$5:$C$1000, A891))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"Pendiente"))</f>
        <v/>
      </c>
      <c r="G892" s="27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27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26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95" t="str">
        <f>IF($A892="","",COUNTIF('Base Exámenes'!$C$5:$C$1000, A892))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"Pendiente"))</f>
        <v/>
      </c>
      <c r="G893" s="27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27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26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95" t="str">
        <f>IF($A893="","",COUNTIF('Base Exámenes'!$C$5:$C$1000, A893))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"Pendiente"))</f>
        <v/>
      </c>
      <c r="G894" s="27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27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26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95" t="str">
        <f>IF($A894="","",COUNTIF('Base Exámenes'!$C$5:$C$1000, A894))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"Pendiente"))</f>
        <v/>
      </c>
      <c r="G895" s="27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27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26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95" t="str">
        <f>IF($A895="","",COUNTIF('Base Exámenes'!$C$5:$C$1000, A895))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"Pendiente"))</f>
        <v/>
      </c>
      <c r="G896" s="27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27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26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95" t="str">
        <f>IF($A896="","",COUNTIF('Base Exámenes'!$C$5:$C$1000, A896))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"Pendiente"))</f>
        <v/>
      </c>
      <c r="G897" s="27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27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26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95" t="str">
        <f>IF($A897="","",COUNTIF('Base Exámenes'!$C$5:$C$1000, A897))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"Pendiente"))</f>
        <v/>
      </c>
      <c r="G898" s="27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27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26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95" t="str">
        <f>IF($A898="","",COUNTIF('Base Exámenes'!$C$5:$C$1000, A898))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"Pendiente"))</f>
        <v/>
      </c>
      <c r="G899" s="27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27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26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95" t="str">
        <f>IF($A899="","",COUNTIF('Base Exámenes'!$C$5:$C$1000, A899))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"Pendiente"))</f>
        <v/>
      </c>
      <c r="G900" s="27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27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26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95" t="str">
        <f>IF($A900="","",COUNTIF('Base Exámenes'!$C$5:$C$1000, A900))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"Pendiente"))</f>
        <v/>
      </c>
      <c r="G901" s="27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27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26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95" t="str">
        <f>IF($A901="","",COUNTIF('Base Exámenes'!$C$5:$C$1000, A901))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"Pendiente"))</f>
        <v/>
      </c>
      <c r="G902" s="27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27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26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95" t="str">
        <f>IF($A902="","",COUNTIF('Base Exámenes'!$C$5:$C$1000, A902))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"Pendiente"))</f>
        <v/>
      </c>
      <c r="G903" s="27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27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26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95" t="str">
        <f>IF($A903="","",COUNTIF('Base Exámenes'!$C$5:$C$1000, A903))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"Pendiente"))</f>
        <v/>
      </c>
      <c r="G904" s="27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27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26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95" t="str">
        <f>IF($A904="","",COUNTIF('Base Exámenes'!$C$5:$C$1000, A904))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"Pendiente"))</f>
        <v/>
      </c>
      <c r="G905" s="27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27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26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95" t="str">
        <f>IF($A905="","",COUNTIF('Base Exámenes'!$C$5:$C$1000, A905))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"Pendiente"))</f>
        <v/>
      </c>
      <c r="G906" s="27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27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26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95" t="str">
        <f>IF($A906="","",COUNTIF('Base Exámenes'!$C$5:$C$1000, A906))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"Pendiente"))</f>
        <v/>
      </c>
      <c r="G907" s="27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27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26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95" t="str">
        <f>IF($A907="","",COUNTIF('Base Exámenes'!$C$5:$C$1000, A907))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"Pendiente"))</f>
        <v/>
      </c>
      <c r="G908" s="27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27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26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95" t="str">
        <f>IF($A908="","",COUNTIF('Base Exámenes'!$C$5:$C$1000, A908))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"Pendiente"))</f>
        <v/>
      </c>
      <c r="G909" s="27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27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26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95" t="str">
        <f>IF($A909="","",COUNTIF('Base Exámenes'!$C$5:$C$1000, A909))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"Pendiente"))</f>
        <v/>
      </c>
      <c r="G910" s="27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27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26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95" t="str">
        <f>IF($A910="","",COUNTIF('Base Exámenes'!$C$5:$C$1000, A910))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"Pendiente"))</f>
        <v/>
      </c>
      <c r="G911" s="27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27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26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95" t="str">
        <f>IF($A911="","",COUNTIF('Base Exámenes'!$C$5:$C$1000, A911))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"Pendiente"))</f>
        <v/>
      </c>
      <c r="G912" s="27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27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26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95" t="str">
        <f>IF($A912="","",COUNTIF('Base Exámenes'!$C$5:$C$1000, A912))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"Pendiente"))</f>
        <v/>
      </c>
      <c r="G913" s="27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27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26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95" t="str">
        <f>IF($A913="","",COUNTIF('Base Exámenes'!$C$5:$C$1000, A913))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"Pendiente"))</f>
        <v/>
      </c>
      <c r="G914" s="27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27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26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95" t="str">
        <f>IF($A914="","",COUNTIF('Base Exámenes'!$C$5:$C$1000, A914))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"Pendiente"))</f>
        <v/>
      </c>
      <c r="G915" s="27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27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26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95" t="str">
        <f>IF($A915="","",COUNTIF('Base Exámenes'!$C$5:$C$1000, A915))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"Pendiente"))</f>
        <v/>
      </c>
      <c r="G916" s="27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27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26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95" t="str">
        <f>IF($A916="","",COUNTIF('Base Exámenes'!$C$5:$C$1000, A916))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"Pendiente"))</f>
        <v/>
      </c>
      <c r="G917" s="27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27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26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95" t="str">
        <f>IF($A917="","",COUNTIF('Base Exámenes'!$C$5:$C$1000, A917))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"Pendiente"))</f>
        <v/>
      </c>
      <c r="G918" s="27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27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26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95" t="str">
        <f>IF($A918="","",COUNTIF('Base Exámenes'!$C$5:$C$1000, A918))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"Pendiente"))</f>
        <v/>
      </c>
      <c r="G919" s="27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27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26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95" t="str">
        <f>IF($A919="","",COUNTIF('Base Exámenes'!$C$5:$C$1000, A919))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"Pendiente"))</f>
        <v/>
      </c>
      <c r="G920" s="27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27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26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95" t="str">
        <f>IF($A920="","",COUNTIF('Base Exámenes'!$C$5:$C$1000, A920))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"Pendiente"))</f>
        <v/>
      </c>
      <c r="G921" s="27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27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26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95" t="str">
        <f>IF($A921="","",COUNTIF('Base Exámenes'!$C$5:$C$1000, A921))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"Pendiente"))</f>
        <v/>
      </c>
      <c r="G922" s="27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27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26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95" t="str">
        <f>IF($A922="","",COUNTIF('Base Exámenes'!$C$5:$C$1000, A922))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"Pendiente"))</f>
        <v/>
      </c>
      <c r="G923" s="27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27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26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95" t="str">
        <f>IF($A923="","",COUNTIF('Base Exámenes'!$C$5:$C$1000, A923))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"Pendiente"))</f>
        <v/>
      </c>
      <c r="G924" s="27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27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26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95" t="str">
        <f>IF($A924="","",COUNTIF('Base Exámenes'!$C$5:$C$1000, A924))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"Pendiente"))</f>
        <v/>
      </c>
      <c r="G925" s="27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27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26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95" t="str">
        <f>IF($A925="","",COUNTIF('Base Exámenes'!$C$5:$C$1000, A925))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"Pendiente"))</f>
        <v/>
      </c>
      <c r="G926" s="27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27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26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95" t="str">
        <f>IF($A926="","",COUNTIF('Base Exámenes'!$C$5:$C$1000, A926))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"Pendiente"))</f>
        <v/>
      </c>
      <c r="G927" s="27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27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26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95" t="str">
        <f>IF($A927="","",COUNTIF('Base Exámenes'!$C$5:$C$1000, A927))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"Pendiente"))</f>
        <v/>
      </c>
      <c r="G928" s="27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27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26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95" t="str">
        <f>IF($A928="","",COUNTIF('Base Exámenes'!$C$5:$C$1000, A928))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"Pendiente"))</f>
        <v/>
      </c>
      <c r="G929" s="27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27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26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95" t="str">
        <f>IF($A929="","",COUNTIF('Base Exámenes'!$C$5:$C$1000, A929))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"Pendiente"))</f>
        <v/>
      </c>
      <c r="G930" s="27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27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26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95" t="str">
        <f>IF($A930="","",COUNTIF('Base Exámenes'!$C$5:$C$1000, A930))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"Pendiente"))</f>
        <v/>
      </c>
      <c r="G931" s="27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27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26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95" t="str">
        <f>IF($A931="","",COUNTIF('Base Exámenes'!$C$5:$C$1000, A931))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"Pendiente"))</f>
        <v/>
      </c>
      <c r="G932" s="27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27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26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95" t="str">
        <f>IF($A932="","",COUNTIF('Base Exámenes'!$C$5:$C$1000, A932))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"Pendiente"))</f>
        <v/>
      </c>
      <c r="G933" s="27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27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26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95" t="str">
        <f>IF($A933="","",COUNTIF('Base Exámenes'!$C$5:$C$1000, A933))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"Pendiente"))</f>
        <v/>
      </c>
      <c r="G934" s="27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27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26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95" t="str">
        <f>IF($A934="","",COUNTIF('Base Exámenes'!$C$5:$C$1000, A934))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"Pendiente"))</f>
        <v/>
      </c>
      <c r="G935" s="27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27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26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95" t="str">
        <f>IF($A935="","",COUNTIF('Base Exámenes'!$C$5:$C$1000, A935))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"Pendiente"))</f>
        <v/>
      </c>
      <c r="G936" s="27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27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26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95" t="str">
        <f>IF($A936="","",COUNTIF('Base Exámenes'!$C$5:$C$1000, A936))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"Pendiente"))</f>
        <v/>
      </c>
      <c r="G937" s="27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27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26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95" t="str">
        <f>IF($A937="","",COUNTIF('Base Exámenes'!$C$5:$C$1000, A937))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"Pendiente"))</f>
        <v/>
      </c>
      <c r="G938" s="27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27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26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95" t="str">
        <f>IF($A938="","",COUNTIF('Base Exámenes'!$C$5:$C$1000, A938))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"Pendiente"))</f>
        <v/>
      </c>
      <c r="G939" s="27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27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26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95" t="str">
        <f>IF($A939="","",COUNTIF('Base Exámenes'!$C$5:$C$1000, A939))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"Pendiente"))</f>
        <v/>
      </c>
      <c r="G940" s="27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27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26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95" t="str">
        <f>IF($A940="","",COUNTIF('Base Exámenes'!$C$5:$C$1000, A940))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"Pendiente"))</f>
        <v/>
      </c>
      <c r="G941" s="27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27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26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95" t="str">
        <f>IF($A941="","",COUNTIF('Base Exámenes'!$C$5:$C$1000, A941))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"Pendiente"))</f>
        <v/>
      </c>
      <c r="G942" s="27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27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26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95" t="str">
        <f>IF($A942="","",COUNTIF('Base Exámenes'!$C$5:$C$1000, A942))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"Pendiente"))</f>
        <v/>
      </c>
      <c r="G943" s="27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27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26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95" t="str">
        <f>IF($A943="","",COUNTIF('Base Exámenes'!$C$5:$C$1000, A943))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"Pendiente"))</f>
        <v/>
      </c>
      <c r="G944" s="27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27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26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95" t="str">
        <f>IF($A944="","",COUNTIF('Base Exámenes'!$C$5:$C$1000, A944))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"Pendiente"))</f>
        <v/>
      </c>
      <c r="G945" s="27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27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26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95" t="str">
        <f>IF($A945="","",COUNTIF('Base Exámenes'!$C$5:$C$1000, A945))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"Pendiente"))</f>
        <v/>
      </c>
      <c r="G946" s="27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27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26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95" t="str">
        <f>IF($A946="","",COUNTIF('Base Exámenes'!$C$5:$C$1000, A946))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"Pendiente"))</f>
        <v/>
      </c>
      <c r="G947" s="27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27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26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95" t="str">
        <f>IF($A947="","",COUNTIF('Base Exámenes'!$C$5:$C$1000, A947))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"Pendiente"))</f>
        <v/>
      </c>
      <c r="G948" s="27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27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26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95" t="str">
        <f>IF($A948="","",COUNTIF('Base Exámenes'!$C$5:$C$1000, A948))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"Pendiente"))</f>
        <v/>
      </c>
      <c r="G949" s="27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27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26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95" t="str">
        <f>IF($A949="","",COUNTIF('Base Exámenes'!$C$5:$C$1000, A949))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"Pendiente"))</f>
        <v/>
      </c>
      <c r="G950" s="27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27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26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95" t="str">
        <f>IF($A950="","",COUNTIF('Base Exámenes'!$C$5:$C$1000, A950))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"Pendiente"))</f>
        <v/>
      </c>
      <c r="G951" s="27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27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26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95" t="str">
        <f>IF($A951="","",COUNTIF('Base Exámenes'!$C$5:$C$1000, A951))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"Pendiente"))</f>
        <v/>
      </c>
      <c r="G952" s="27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27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26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95" t="str">
        <f>IF($A952="","",COUNTIF('Base Exámenes'!$C$5:$C$1000, A952))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"Pendiente"))</f>
        <v/>
      </c>
      <c r="G953" s="27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27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26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95" t="str">
        <f>IF($A953="","",COUNTIF('Base Exámenes'!$C$5:$C$1000, A953))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"Pendiente"))</f>
        <v/>
      </c>
      <c r="G954" s="27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27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26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95" t="str">
        <f>IF($A954="","",COUNTIF('Base Exámenes'!$C$5:$C$1000, A954))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"Pendiente"))</f>
        <v/>
      </c>
      <c r="G955" s="27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27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26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95" t="str">
        <f>IF($A955="","",COUNTIF('Base Exámenes'!$C$5:$C$1000, A955))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"Pendiente"))</f>
        <v/>
      </c>
      <c r="G956" s="27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27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26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95" t="str">
        <f>IF($A956="","",COUNTIF('Base Exámenes'!$C$5:$C$1000, A956))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"Pendiente"))</f>
        <v/>
      </c>
      <c r="G957" s="27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27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26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95" t="str">
        <f>IF($A957="","",COUNTIF('Base Exámenes'!$C$5:$C$1000, A957))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"Pendiente"))</f>
        <v/>
      </c>
      <c r="G958" s="27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27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26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95" t="str">
        <f>IF($A958="","",COUNTIF('Base Exámenes'!$C$5:$C$1000, A958))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"Pendiente"))</f>
        <v/>
      </c>
      <c r="G959" s="27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27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26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95" t="str">
        <f>IF($A959="","",COUNTIF('Base Exámenes'!$C$5:$C$1000, A959))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"Pendiente"))</f>
        <v/>
      </c>
      <c r="G960" s="27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27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26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95" t="str">
        <f>IF($A960="","",COUNTIF('Base Exámenes'!$C$5:$C$1000, A960))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"Pendiente"))</f>
        <v/>
      </c>
      <c r="G961" s="27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27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26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95" t="str">
        <f>IF($A961="","",COUNTIF('Base Exámenes'!$C$5:$C$1000, A961))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"Pendiente"))</f>
        <v/>
      </c>
      <c r="G962" s="27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27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26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95" t="str">
        <f>IF($A962="","",COUNTIF('Base Exámenes'!$C$5:$C$1000, A962))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"Pendiente"))</f>
        <v/>
      </c>
      <c r="G963" s="27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27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26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95" t="str">
        <f>IF($A963="","",COUNTIF('Base Exámenes'!$C$5:$C$1000, A963))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"Pendiente"))</f>
        <v/>
      </c>
      <c r="G964" s="27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27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26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95" t="str">
        <f>IF($A964="","",COUNTIF('Base Exámenes'!$C$5:$C$1000, A964))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"Pendiente"))</f>
        <v/>
      </c>
      <c r="G965" s="27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27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26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95" t="str">
        <f>IF($A965="","",COUNTIF('Base Exámenes'!$C$5:$C$1000, A965))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"Pendiente"))</f>
        <v/>
      </c>
      <c r="G966" s="27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27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26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95" t="str">
        <f>IF($A966="","",COUNTIF('Base Exámenes'!$C$5:$C$1000, A966))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"Pendiente"))</f>
        <v/>
      </c>
      <c r="G967" s="27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27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26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95" t="str">
        <f>IF($A967="","",COUNTIF('Base Exámenes'!$C$5:$C$1000, A967))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"Pendiente"))</f>
        <v/>
      </c>
      <c r="G968" s="27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27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26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95" t="str">
        <f>IF($A968="","",COUNTIF('Base Exámenes'!$C$5:$C$1000, A968))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"Pendiente"))</f>
        <v/>
      </c>
      <c r="G969" s="27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27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26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95" t="str">
        <f>IF($A969="","",COUNTIF('Base Exámenes'!$C$5:$C$1000, A969))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"Pendiente"))</f>
        <v/>
      </c>
      <c r="G970" s="27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27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26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95" t="str">
        <f>IF($A970="","",COUNTIF('Base Exámenes'!$C$5:$C$1000, A970))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"Pendiente"))</f>
        <v/>
      </c>
      <c r="G971" s="27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27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26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95" t="str">
        <f>IF($A971="","",COUNTIF('Base Exámenes'!$C$5:$C$1000, A971))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"Pendiente"))</f>
        <v/>
      </c>
      <c r="G972" s="27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27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26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95" t="str">
        <f>IF($A972="","",COUNTIF('Base Exámenes'!$C$5:$C$1000, A972))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"Pendiente"))</f>
        <v/>
      </c>
      <c r="G973" s="27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27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26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95" t="str">
        <f>IF($A973="","",COUNTIF('Base Exámenes'!$C$5:$C$1000, A973))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"Pendiente"))</f>
        <v/>
      </c>
      <c r="G974" s="27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27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26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95" t="str">
        <f>IF($A974="","",COUNTIF('Base Exámenes'!$C$5:$C$1000, A974))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"Pendiente"))</f>
        <v/>
      </c>
      <c r="G975" s="27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27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26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95" t="str">
        <f>IF($A975="","",COUNTIF('Base Exámenes'!$C$5:$C$1000, A975))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"Pendiente"))</f>
        <v/>
      </c>
      <c r="G976" s="27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27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26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95" t="str">
        <f>IF($A976="","",COUNTIF('Base Exámenes'!$C$5:$C$1000, A976))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"Pendiente"))</f>
        <v/>
      </c>
      <c r="G977" s="27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27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26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95" t="str">
        <f>IF($A977="","",COUNTIF('Base Exámenes'!$C$5:$C$1000, A977))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"Pendiente"))</f>
        <v/>
      </c>
      <c r="G978" s="27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27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26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95" t="str">
        <f>IF($A978="","",COUNTIF('Base Exámenes'!$C$5:$C$1000, A978))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"Pendiente"))</f>
        <v/>
      </c>
      <c r="G979" s="27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27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26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95" t="str">
        <f>IF($A979="","",COUNTIF('Base Exámenes'!$C$5:$C$1000, A979))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"Pendiente"))</f>
        <v/>
      </c>
      <c r="G980" s="27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27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26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95" t="str">
        <f>IF($A980="","",COUNTIF('Base Exámenes'!$C$5:$C$1000, A980))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"Pendiente"))</f>
        <v/>
      </c>
      <c r="G981" s="27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27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26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95" t="str">
        <f>IF($A981="","",COUNTIF('Base Exámenes'!$C$5:$C$1000, A981))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"Pendiente"))</f>
        <v/>
      </c>
      <c r="G982" s="27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27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26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95" t="str">
        <f>IF($A982="","",COUNTIF('Base Exámenes'!$C$5:$C$1000, A982))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"Pendiente"))</f>
        <v/>
      </c>
      <c r="G983" s="27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27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26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95" t="str">
        <f>IF($A983="","",COUNTIF('Base Exámenes'!$C$5:$C$1000, A983))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"Pendiente"))</f>
        <v/>
      </c>
      <c r="G984" s="27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27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26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95" t="str">
        <f>IF($A984="","",COUNTIF('Base Exámenes'!$C$5:$C$1000, A984))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"Pendiente"))</f>
        <v/>
      </c>
      <c r="G985" s="27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27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26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95" t="str">
        <f>IF($A985="","",COUNTIF('Base Exámenes'!$C$5:$C$1000, A985))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"Pendiente"))</f>
        <v/>
      </c>
      <c r="G986" s="27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27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26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95" t="str">
        <f>IF($A986="","",COUNTIF('Base Exámenes'!$C$5:$C$1000, A986))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"Pendiente"))</f>
        <v/>
      </c>
      <c r="G987" s="27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27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26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95" t="str">
        <f>IF($A987="","",COUNTIF('Base Exámenes'!$C$5:$C$1000, A987))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"Pendiente"))</f>
        <v/>
      </c>
      <c r="G988" s="27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27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26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95" t="str">
        <f>IF($A988="","",COUNTIF('Base Exámenes'!$C$5:$C$1000, A988))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"Pendiente"))</f>
        <v/>
      </c>
      <c r="G989" s="27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27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26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95" t="str">
        <f>IF($A989="","",COUNTIF('Base Exámenes'!$C$5:$C$1000, A989))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"Pendiente"))</f>
        <v/>
      </c>
      <c r="G990" s="27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27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26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95" t="str">
        <f>IF($A990="","",COUNTIF('Base Exámenes'!$C$5:$C$1000, A990))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"Pendiente"))</f>
        <v/>
      </c>
      <c r="G991" s="27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27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26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95" t="str">
        <f>IF($A991="","",COUNTIF('Base Exámenes'!$C$5:$C$1000, A991))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"Pendiente"))</f>
        <v/>
      </c>
      <c r="G992" s="27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27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26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95" t="str">
        <f>IF($A992="","",COUNTIF('Base Exámenes'!$C$5:$C$1000, A992))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"Pendiente"))</f>
        <v/>
      </c>
      <c r="G993" s="27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27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26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95" t="str">
        <f>IF($A993="","",COUNTIF('Base Exámenes'!$C$5:$C$1000, A993))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"Pendiente"))</f>
        <v/>
      </c>
      <c r="G994" s="27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27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26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95" t="str">
        <f>IF($A994="","",COUNTIF('Base Exámenes'!$C$5:$C$1000, A994))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"Pendiente"))</f>
        <v/>
      </c>
      <c r="G995" s="27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27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26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95" t="str">
        <f>IF($A995="","",COUNTIF('Base Exámenes'!$C$5:$C$1000, A995))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"Pendiente"))</f>
        <v/>
      </c>
      <c r="G996" s="27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27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26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95" t="str">
        <f>IF($A996="","",COUNTIF('Base Exámenes'!$C$5:$C$1000, A996))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"Pendiente"))</f>
        <v/>
      </c>
      <c r="G997" s="27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27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26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95" t="str">
        <f>IF($A997="","",COUNTIF('Base Exámenes'!$C$5:$C$1000, A997))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"Pendiente"))</f>
        <v/>
      </c>
      <c r="G998" s="27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27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26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95" t="str">
        <f>IF($A998="","",COUNTIF('Base Exámenes'!$C$5:$C$1000, A998))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"Pendiente"))</f>
        <v/>
      </c>
      <c r="G999" s="27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27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26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95" t="str">
        <f>IF($A999="","",COUNTIF('Base Exámenes'!$C$5:$C$1000, A999))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"Pendiente"))</f>
        <v/>
      </c>
      <c r="G1000" s="27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27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26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95" t="str">
        <f>IF($A1000="","",COUNTIF('Base Exámenes'!$C$5:$C$1000, A1000))</f>
        <v/>
      </c>
    </row>
  </sheetData>
  <autoFilter ref="A4:L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8</v>
      </c>
      <c r="E8" s="8">
        <f>IF($A8="","",C8-D8)</f>
        <v>10</v>
      </c>
      <c r="F8" s="99">
        <f>IF($A8="","",IF(C8&gt;0, D8/C8, 0))</f>
        <v>0.444444444444444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46309.366736111115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14.0333333296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10</v>
      </c>
      <c r="E9" s="8">
        <f>IF($A9="","",C9-D9)</f>
        <v>2</v>
      </c>
      <c r="F9" s="99">
        <f>IF($A9="","",IF(C9&gt;0, D9/C9, 0))</f>
        <v>0.833333333333333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46307.43005787037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9.39666666630333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7</v>
      </c>
      <c r="E10" s="8">
        <f>IF($A10="","",C10-D10)</f>
        <v>9</v>
      </c>
      <c r="F10" s="99">
        <f>IF($A10="","",IF(C10&gt;0, D10/C10, 0))</f>
        <v>0.4375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97.8571428571429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46309.36565972222</v>
      </c>
      <c r="M10" s="7">
        <f>IF($A10="","",IF(D10&gt;0, IFERROR(_xlfn.MINIFS('Detalle individual'!$I$5:$I$1000, 'Detalle individual'!$C$5:$C$1000, A10), ""), ""))</f>
        <v>2.8</v>
      </c>
      <c r="N10" s="7">
        <f>IF($A10="","",IF(D10&gt;0, IFERROR(AVERAGEIFS('Detalle individual'!$I$5:$I$1000, 'Detalle individual'!$C$5:$C$1000, A10), ""), ""))</f>
        <v>36.1880952380952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12</v>
      </c>
      <c r="E11" s="8">
        <f>IF($A11="","",C11-D11)</f>
        <v>1</v>
      </c>
      <c r="F11" s="99">
        <f>IF($A11="","",IF(C11&gt;0, D11/C11, 0))</f>
        <v>0.923076923076923</v>
      </c>
      <c r="G11" s="4" t="str">
        <f>IF($A11="","",IF(AND(C11&gt;0, D11=C11), "Completo", "Pendiente"))</f>
        <v>Pendiente</v>
      </c>
      <c r="H11" s="7">
        <f>IF($A11="","",IF(D11&gt;0, IFERROR(AVERAGEIFS('Detalle individual'!$J$5:$J$1000, 'Detalle individual'!$C$5:$C$1000, A11), ""), ""))</f>
        <v>95.4166666666667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46303.46199074074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9.0125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7</v>
      </c>
      <c r="E12" s="8">
        <f>IF($A12="","",C12-D12)</f>
        <v>1</v>
      </c>
      <c r="F12" s="99">
        <f>IF($A12="","",IF(C12&gt;0, D12/C12, 0))</f>
        <v>0.875</v>
      </c>
      <c r="G12" s="4" t="str">
        <f>IF($A12="","",IF(AND(C12&gt;0, D12=C12), "Completo", "Pendiente"))</f>
        <v>Pendiente</v>
      </c>
      <c r="H12" s="7">
        <f>IF($A12="","",IF(D12&gt;0, IFERROR(AVERAGEIFS('Detalle individual'!$J$5:$J$1000, 'Detalle individual'!$C$5:$C$1000, A12), ""), ""))</f>
        <v>98.5714285714286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46309.408229166664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6.6714285712881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99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4</v>
      </c>
      <c r="E14" s="8">
        <f>IF($A14="","",C14-D14)</f>
        <v>4</v>
      </c>
      <c r="F14" s="99">
        <f>IF($A14="","",IF(C14&gt;0, D14/C14, 0))</f>
        <v>0.5</v>
      </c>
      <c r="G14" s="4" t="str">
        <f>IF($A14="","",IF(AND(C14&gt;0, D14=C14), "Completo", "Pendiente"))</f>
        <v>Pendiente</v>
      </c>
      <c r="H14" s="7">
        <f>IF($A14="","",IF(D14&gt;0, IFERROR(AVERAGEIFS('Detalle individual'!$J$5:$J$1000, 'Detalle individual'!$C$5:$C$1000, A14), ""), ""))</f>
        <v>95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46309.63957175926</v>
      </c>
      <c r="M14" s="7">
        <f>IF($A14="","",IF(D14&gt;0, IFERROR(_xlfn.MINIFS('Detalle individual'!$I$5:$I$1000, 'Detalle individual'!$C$5:$C$1000, A14), ""), ""))</f>
        <v>3.85</v>
      </c>
      <c r="N14" s="7">
        <f>IF($A14="","",IF(D14&gt;0, IFERROR(AVERAGEIFS('Detalle individual'!$I$5:$I$1000, 'Detalle individual'!$C$5:$C$1000, A14), ""), ""))</f>
        <v>9.65416666666667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1</v>
      </c>
      <c r="E15" s="8">
        <f>IF($A15="","",C15-D15)</f>
        <v>6</v>
      </c>
      <c r="F15" s="99">
        <f>IF($A15="","",IF(C15&gt;0, D15/C15, 0))</f>
        <v>0.142857142857143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80</v>
      </c>
      <c r="I15" s="6">
        <f>IF($A15="","",IF(D15&gt;0, IFERROR(_xlfn.MAXIFS('Detalle individual'!$J$5:$J$1000, 'Detalle individual'!$C$5:$C$1000, A15), ""), ""))</f>
        <v>80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46308.456412037034</v>
      </c>
      <c r="M15" s="7">
        <f>IF($A15="","",IF(D15&gt;0, IFERROR(_xlfn.MINIFS('Detalle individual'!$I$5:$I$1000, 'Detalle individual'!$C$5:$C$1000, A15), ""), ""))</f>
        <v>29.1166666666667</v>
      </c>
      <c r="N15" s="7">
        <f>IF($A15="","",IF(D15&gt;0, IFERROR(AVERAGEIFS('Detalle individual'!$I$5:$I$1000, 'Detalle individual'!$C$5:$C$1000, A15), ""), ""))</f>
        <v>29.1166666666667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99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10</v>
      </c>
      <c r="E20" s="8">
        <f>IF($A20="","",C20-D20)</f>
        <v>1</v>
      </c>
      <c r="F20" s="99">
        <f>IF($A20="","",IF(C20&gt;0, D20/C20, 0))</f>
        <v>0.909090909090909</v>
      </c>
      <c r="G20" s="4" t="str">
        <f>IF($A20="","",IF(AND(C20&gt;0, D20=C20), "Completo", "Pendiente"))</f>
        <v>Pendiente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46307.69321759259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16.12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6</v>
      </c>
      <c r="E21" s="8">
        <f>IF($A21="","",C21-D21)</f>
        <v>1</v>
      </c>
      <c r="F21" s="99">
        <f>IF($A21="","",IF(C21&gt;0, D21/C21, 0))</f>
        <v>0.857142857142857</v>
      </c>
      <c r="G21" s="4" t="str">
        <f>IF($A21="","",IF(AND(C21&gt;0, D21=C21), "Completo", "Pendiente"))</f>
        <v>Pendiente</v>
      </c>
      <c r="H21" s="7">
        <f>IF($A21="","",IF(D21&gt;0, IFERROR(AVERAGEIFS('Detalle individual'!$J$5:$J$1000, 'Detalle individual'!$C$5:$C$1000, A21), ""), ""))</f>
        <v>95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46309.409166666665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8.07222221894445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11</v>
      </c>
      <c r="E23" s="8">
        <f>IF($A23="","",C23-D23)</f>
        <v>2</v>
      </c>
      <c r="F23" s="99">
        <f>IF($A23="","",IF(C23&gt;0, D23/C23, 0))</f>
        <v>0.846153846153846</v>
      </c>
      <c r="G23" s="4" t="str">
        <f>IF($A23="","",IF(AND(C23&gt;0, D23=C23), "Completo", "Pendiente"))</f>
        <v>Pendiente</v>
      </c>
      <c r="H23" s="7">
        <f>IF($A23="","",IF(D23&gt;0, IFERROR(AVERAGEIFS('Detalle individual'!$J$5:$J$1000, 'Detalle individual'!$C$5:$C$1000, A23), ""), ""))</f>
        <v>97.7272727272727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46309.709386574075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8.17575757787273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2</v>
      </c>
      <c r="E27" s="8">
        <f>IF($A27="","",C27-D27)</f>
        <v>1</v>
      </c>
      <c r="F27" s="99">
        <f>IF($A27="","",IF(C27&gt;0, D27/C27, 0))</f>
        <v>0.666666666666667</v>
      </c>
      <c r="G27" s="4" t="str">
        <f>IF($A27="","",IF(AND(C27&gt;0, D27=C27), "Completo", "Pendiente"))</f>
        <v>Pendiente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46309.741215277776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19.3083333333333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2</v>
      </c>
      <c r="E28" s="8">
        <f>IF($A28="","",C28-D28)</f>
        <v>5</v>
      </c>
      <c r="F28" s="99">
        <f>IF($A28="","",IF(C28&gt;0, D28/C28, 0))</f>
        <v>0.285714285714286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97.5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95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46308.39677083334</v>
      </c>
      <c r="M28" s="7">
        <f>IF($A28="","",IF(D28&gt;0, IFERROR(_xlfn.MINIFS('Detalle individual'!$I$5:$I$1000, 'Detalle individual'!$C$5:$C$1000, A28), ""), ""))</f>
        <v>15.55</v>
      </c>
      <c r="N28" s="7">
        <f>IF($A28="","",IF(D28&gt;0, IFERROR(AVERAGEIFS('Detalle individual'!$I$5:$I$1000, 'Detalle individual'!$C$5:$C$1000, A28), ""), ""))</f>
        <v>25.85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99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99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99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99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4</v>
      </c>
      <c r="E37" s="8">
        <f>IF($A37="","",C37-D37)</f>
        <v>2</v>
      </c>
      <c r="F37" s="99">
        <f>IF($A37="","",IF(C37&gt;0, D37/C37, 0))</f>
        <v>0.666666666666667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46309.65164351852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8.14583333333333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3</v>
      </c>
      <c r="E41" s="8">
        <f>IF($A41="","",C41-D41)</f>
        <v>1</v>
      </c>
      <c r="F41" s="99">
        <f>IF($A41="","",IF(C41&gt;0, D41/C41, 0))</f>
        <v>0.75</v>
      </c>
      <c r="G41" s="4" t="str">
        <f>IF($A41="","",IF(AND(C41&gt;0, D41=C41), "Completo", "Pendiente"))</f>
        <v>Pendiente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46301.440300925926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8.77777777777778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3</v>
      </c>
      <c r="E43" s="8">
        <f>IF($A43="","",C43-D43)</f>
        <v>1</v>
      </c>
      <c r="F43" s="99">
        <f>IF($A43="","",IF(C43&gt;0, D43/C43, 0))</f>
        <v>0.75</v>
      </c>
      <c r="G43" s="4" t="str">
        <f>IF($A43="","",IF(AND(C43&gt;0, D43=C43), "Completo", "Pendiente"))</f>
        <v>Pendiente</v>
      </c>
      <c r="H43" s="7">
        <f>IF($A43="","",IF(D43&gt;0, IFERROR(AVERAGEIFS('Detalle individual'!$J$5:$J$1000, 'Detalle individual'!$C$5:$C$1000, A43), ""), ""))</f>
        <v>98.3333333333333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46307.48341435185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4.27777777777778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99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99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</row>
    <row r="6">
      <c r="A6" s="5" t="str">
        <f>IF('Cálculos'!$AF6="","",INDEX('Detalle individual'!$D:$D,'Cálculos'!$AF6))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</row>
    <row r="7">
      <c r="A7" s="5" t="str">
        <f>IF('Cálculos'!$AF7="","",INDEX('Detalle individual'!$D:$D,'Cálculos'!$AF7))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33</v>
      </c>
      <c r="D7" s="8">
        <f>IF($A7="","",B7-C7)</f>
        <v>2</v>
      </c>
      <c r="E7" s="99">
        <f>IF($A7="","",IF(B7&gt;0, C7/B7, 0))</f>
        <v>0.942857142857143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94.0909090909091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46309.741215277776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10.7621212115808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15</v>
      </c>
      <c r="D8" s="8">
        <f>IF($A8="","",B8-C8)</f>
        <v>3</v>
      </c>
      <c r="E8" s="99">
        <f>IF($A8="","",IF(B8&gt;0, C8/B8, 0))</f>
        <v>0.833333333333333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98.3333333333333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46309.709386574075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7.34777777932889</v>
      </c>
    </row>
    <row r="9">
      <c r="A9" s="5" t="str">
        <f>IF('Cálculos'!$AF9="","",INDEX('Detalle individual'!$D:$D,'Cálculos'!$AF9))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111</v>
      </c>
      <c r="D9" s="8">
        <f>IF($A9="","",B9-C9)</f>
        <v>43</v>
      </c>
      <c r="E9" s="99">
        <f>IF($A9="","",IF(B9&gt;0, C9/B9, 0))</f>
        <v>0.720779220779221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96.5765765765766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46309.68292824074</v>
      </c>
      <c r="L9" s="7">
        <f>IF($A9="","",IF(C9&gt;0, IFERROR(_xlfn.MINIFS('Detalle individual'!$I$5:$I$1000, 'Detalle individual'!$D$5:$D$1000, A9), ""), ""))</f>
        <v>1.75</v>
      </c>
      <c r="M9" s="7">
        <f>IF($A9="","",IF(C9&gt;0, IFERROR(AVERAGEIFS('Detalle individual'!$I$5:$I$1000, 'Detalle individual'!$D$5:$D$1000, A9), ""), ""))</f>
        <v>12.6806306304706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</row>
    <row r="11">
      <c r="A11" s="5" t="str">
        <f>IF('Cálculos'!$AF11="","",INDEX('Detalle individual'!$D:$D,'Cálculos'!$AF11))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21</v>
      </c>
      <c r="D11" s="8">
        <f>IF($A11="","",B11-C11)</f>
        <v>5</v>
      </c>
      <c r="E11" s="99">
        <f>IF($A11="","",IF(B11&gt;0, C11/B11, 0))</f>
        <v>0.807692307692308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94.2857142857143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46309.65164351852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9.44920634805873</v>
      </c>
    </row>
    <row r="12">
      <c r="A12" s="5" t="str">
        <f>IF('Cálculos'!$AF12="","",INDEX('Detalle individual'!$D:$D,'Cálculos'!$AF12))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20</v>
      </c>
      <c r="D12" s="8">
        <f>IF($A12="","",B12-C12)</f>
        <v>3</v>
      </c>
      <c r="E12" s="99">
        <f>IF($A12="","",IF(B12&gt;0, C12/B12, 0))</f>
        <v>0.869565217391304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46307.69321759259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14.4383333333333</v>
      </c>
    </row>
    <row r="13">
      <c r="A13" s="5" t="str">
        <f>IF('Cálculos'!$AF13="","",INDEX('Detalle individual'!$D:$D,'Cálculos'!$AF13))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99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</row>
    <row r="15">
      <c r="A15" s="5" t="str">
        <f>IF('Cálculos'!$AF15="","",INDEX('Detalle individual'!$D:$D,'Cálculos'!$AF15))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</row>
    <row r="16">
      <c r="A16" s="5" t="str">
        <f>IF('Cálculos'!$AF16="","",INDEX('Detalle individual'!$D:$D,'Cálculos'!$AF16))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</row>
    <row r="17">
      <c r="A17" s="5" t="str">
        <f>IF('Cálculos'!$AF17="","",INDEX('Detalle individual'!$D:$D,'Cálculos'!$AF17))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</row>
    <row r="18">
      <c r="A18" s="5" t="str">
        <f>IF('Cálculos'!$AF18="","",INDEX('Detalle individual'!$D:$D,'Cálculos'!$AF18))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</row>
    <row r="19">
      <c r="A19" s="5" t="str">
        <f>IF('Cálculos'!$AF19="","",INDEX('Detalle individual'!$D:$D,'Cálculos'!$AF19))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</row>
    <row r="20">
      <c r="A20" s="5" t="str">
        <f>IF('Cálculos'!$AF20="","",INDEX('Detalle individual'!$D:$D,'Cálculos'!$AF20))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</row>
    <row r="21">
      <c r="A21" s="5" t="str">
        <f>IF('Cálculos'!$AF21="","",INDEX('Detalle individual'!$D:$D,'Cálculos'!$AF21))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</row>
    <row r="22">
      <c r="A22" s="5" t="str">
        <f>IF('Cálculos'!$AF22="","",INDEX('Detalle individual'!$D:$D,'Cálculos'!$AF22))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</row>
    <row r="23">
      <c r="A23" s="5" t="str">
        <f>IF('Cálculos'!$AF23="","",INDEX('Detalle individual'!$D:$D,'Cálculos'!$AF23))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</row>
    <row r="24">
      <c r="A24" s="5" t="str">
        <f>IF('Cálculos'!$AF24="","",INDEX('Detalle individual'!$D:$D,'Cálculos'!$AF24))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293</v>
      </c>
      <c r="E8" s="48" t="n"/>
      <c r="F8" s="86">
        <f>IF($B$5="Todas las gerencias",SUM('Consolidado por Gerencia'!$C$5:$C$24),SUMIF('Consolidado por Gerencia'!$A$5:$A$24,$B$5,'Consolidado por Gerencia'!$C$5:$C$24))</f>
        <v>237</v>
      </c>
      <c r="H8" s="48" t="n"/>
      <c r="I8" s="87">
        <f>C8-F8</f>
        <v>56</v>
      </c>
      <c r="K8" s="48" t="n"/>
      <c r="L8" s="88">
        <f>IF(C8&gt;0,F8/C8,0)</f>
        <v>0.808873720136519</v>
      </c>
      <c r="N8" s="48" t="n"/>
      <c r="O8" s="91">
        <f>IFERROR(IF($B$5="Todas las gerencias",AVERAGE('Detalle individual'!$J$5:$J$1000),AVERAGEIFS('Detalle individual'!$J$5:$J$1000,'Detalle individual'!$D$5:$D$1000,$B$5)),"-")</f>
        <v>96.6313559322034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DEPARTAMENTO DE CREDITOS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98.4615384615385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LEGAL</v>
      </c>
      <c r="G16" s="64" t="str">
        <f>IF($R16="","",INDEX('Cálculos'!$P:$P,$R16))</f>
        <v>Gerencia Legal y Cumplimiento Normativo</v>
      </c>
      <c r="J16" s="63">
        <f>IF($R16="","",INDEX('Cálculos'!$Q:$Q,$R16))</f>
        <v>8</v>
      </c>
      <c r="K16" s="63">
        <f>IF($R16="","",INDEX('Cálculos'!$M:$M,$R16))</f>
        <v>8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97.5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AGENCIA USULUTAN</v>
      </c>
      <c r="G17" s="64" t="str">
        <f>IF($R17="","",INDEX('Cálculos'!$P:$P,$R17))</f>
        <v>Gerencia de Negocios</v>
      </c>
      <c r="J17" s="63">
        <f>IF($R17="","",INDEX('Cálculos'!$Q:$Q,$R17))</f>
        <v>7</v>
      </c>
      <c r="K17" s="63">
        <f>IF($R17="","",INDEX('Cálculos'!$M:$M,$R17))</f>
        <v>7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100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DEPARTAMENTO DE AUDITORIA INTERNA</v>
      </c>
      <c r="G18" s="64" t="str">
        <f>IF($R18="","",INDEX('Cálculos'!$P:$P,$R18))</f>
        <v>Auditoría Interna</v>
      </c>
      <c r="J18" s="63">
        <f>IF($R18="","",INDEX('Cálculos'!$Q:$Q,$R18))</f>
        <v>7</v>
      </c>
      <c r="K18" s="63">
        <f>IF($R18="","",INDEX('Cálculos'!$M:$M,$R18))</f>
        <v>7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97.1428571428571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OFICIALIA DE CUMPLIMIENTO</v>
      </c>
      <c r="G19" s="64" t="str">
        <f>IF($R19="","",INDEX('Cálculos'!$P:$P,$R19))</f>
        <v>Gerencia de Oficialía de Cumplimiento</v>
      </c>
      <c r="J19" s="63">
        <f>IF($R19="","",INDEX('Cálculos'!$Q:$Q,$R19))</f>
        <v>7</v>
      </c>
      <c r="K19" s="63">
        <f>IF($R19="","",INDEX('Cálculos'!$M:$M,$R19))</f>
        <v>7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SUB GERENCIA DE CANALES</v>
      </c>
      <c r="G20" s="64" t="str">
        <f>IF($R20="","",INDEX('Cálculos'!$P:$P,$R20))</f>
        <v>Gerencia de Negocios</v>
      </c>
      <c r="J20" s="63">
        <f>IF($R20="","",INDEX('Cálculos'!$Q:$Q,$R20))</f>
        <v>7</v>
      </c>
      <c r="K20" s="63">
        <f>IF($R20="","",INDEX('Cálculos'!$M:$M,$R20))</f>
        <v>7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98.5714285714286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DEPARTAMENTO DE CUSTODIA DE GARANTÍA Y VALORES</v>
      </c>
      <c r="G21" s="64" t="str">
        <f>IF($R21="","",INDEX('Cálculos'!$P:$P,$R21))</f>
        <v>Gerencia Administrativa</v>
      </c>
      <c r="J21" s="63">
        <f>IF($R21="","",INDEX('Cálculos'!$Q:$Q,$R21))</f>
        <v>6</v>
      </c>
      <c r="K21" s="63">
        <f>IF($R21="","",INDEX('Cálculos'!$M:$M,$R21))</f>
        <v>6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100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ADMINISTRACION DE RIESGOS</v>
      </c>
      <c r="G22" s="64" t="str">
        <f>IF($R22="","",INDEX('Cálculos'!$P:$P,$R22))</f>
        <v>Gerencia General</v>
      </c>
      <c r="J22" s="63">
        <f>IF($R22="","",INDEX('Cálculos'!$Q:$Q,$R22))</f>
        <v>4</v>
      </c>
      <c r="K22" s="63">
        <f>IF($R22="","",INDEX('Cálculos'!$M:$M,$R22))</f>
        <v>4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100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DEPARTAMENTO DE DEPOSITOS</v>
      </c>
      <c r="G23" s="64" t="str">
        <f>IF($R23="","",INDEX('Cálculos'!$P:$P,$R23))</f>
        <v>Gerencia de Operaciones</v>
      </c>
      <c r="J23" s="63">
        <f>IF($R23="","",INDEX('Cálculos'!$Q:$Q,$R23))</f>
        <v>4</v>
      </c>
      <c r="K23" s="63">
        <f>IF($R23="","",INDEX('Cálculos'!$M:$M,$R23))</f>
        <v>4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98.75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OFICIALIA DE SEGURIDAD DE LA INFORMACION</v>
      </c>
      <c r="G24" s="64" t="str">
        <f>IF($R24="","",INDEX('Cálculos'!$P:$P,$R24))</f>
        <v>Gerencia General</v>
      </c>
      <c r="J24" s="63">
        <f>IF($R24="","",INDEX('Cálculos'!$Q:$Q,$R24))</f>
        <v>4</v>
      </c>
      <c r="K24" s="63">
        <f>IF($R24="","",INDEX('Cálculos'!$M:$M,$R24))</f>
        <v>4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96.25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DEPARTAMENTO DE PROCESOS</v>
      </c>
      <c r="G25" s="64" t="str">
        <f>IF($R25="","",INDEX('Cálculos'!$P:$P,$R25))</f>
        <v>Gerencia General</v>
      </c>
      <c r="J25" s="63">
        <f>IF($R25="","",INDEX('Cálculos'!$Q:$Q,$R25))</f>
        <v>3</v>
      </c>
      <c r="K25" s="63">
        <f>IF($R25="","",INDEX('Cálculos'!$M:$M,$R25))</f>
        <v>3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CLINICA EMPRESARIAL</v>
      </c>
      <c r="G26" s="64" t="str">
        <f>IF($R26="","",INDEX('Cálculos'!$P:$P,$R26))</f>
        <v>Gerencia Administrativa</v>
      </c>
      <c r="J26" s="63">
        <f>IF($R26="","",INDEX('Cálculos'!$Q:$Q,$R26))</f>
        <v>2</v>
      </c>
      <c r="K26" s="63">
        <f>IF($R26="","",INDEX('Cálculos'!$M:$M,$R26))</f>
        <v>2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100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DEPARTAMENTO DE SEGURIDAD</v>
      </c>
      <c r="G27" s="64" t="str">
        <f>IF($R27="","",INDEX('Cálculos'!$P:$P,$R27))</f>
        <v>Gerencia Administrativa</v>
      </c>
      <c r="J27" s="63">
        <f>IF($R27="","",INDEX('Cálculos'!$Q:$Q,$R27))</f>
        <v>2</v>
      </c>
      <c r="K27" s="63">
        <f>IF($R27="","",INDEX('Cálculos'!$M:$M,$R27))</f>
        <v>2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95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GERENCIA ADMINISTRATIVA</v>
      </c>
      <c r="G28" s="64" t="str">
        <f>IF($R28="","",INDEX('Cálculos'!$P:$P,$R28))</f>
        <v>Gerencia Administrativa</v>
      </c>
      <c r="J28" s="63">
        <f>IF($R28="","",INDEX('Cálculos'!$Q:$Q,$R28))</f>
        <v>2</v>
      </c>
      <c r="K28" s="63">
        <f>IF($R28="","",INDEX('Cálculos'!$M:$M,$R28))</f>
        <v>2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GERENCIA DE FINANZAS Y PLANIFICACIÓN</v>
      </c>
      <c r="G29" s="64" t="str">
        <f>IF($R29="","",INDEX('Cálculos'!$P:$P,$R29))</f>
        <v>Gerencia de Finanzas y Planificación</v>
      </c>
      <c r="J29" s="63">
        <f>IF($R29="","",INDEX('Cálculos'!$Q:$Q,$R29))</f>
        <v>2</v>
      </c>
      <c r="K29" s="63">
        <f>IF($R29="","",INDEX('Cálculos'!$M:$M,$R29))</f>
        <v>2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100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GERENCIA GENERAL</v>
      </c>
      <c r="G30" s="64" t="str">
        <f>IF($R30="","",INDEX('Cálculos'!$P:$P,$R30))</f>
        <v>Gerencia General</v>
      </c>
      <c r="J30" s="63">
        <f>IF($R30="","",INDEX('Cálculos'!$Q:$Q,$R30))</f>
        <v>2</v>
      </c>
      <c r="K30" s="63">
        <f>IF($R30="","",INDEX('Cálculos'!$M:$M,$R30))</f>
        <v>2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ADMINISTRACION DE BASE DE DATOS</v>
      </c>
      <c r="G31" s="64" t="str">
        <f>IF($R31="","",INDEX('Cálculos'!$P:$P,$R31))</f>
        <v>Gerencia de Sistemas</v>
      </c>
      <c r="J31" s="63">
        <f>IF($R31="","",INDEX('Cálculos'!$Q:$Q,$R31))</f>
        <v>1</v>
      </c>
      <c r="K31" s="63">
        <f>IF($R31="","",INDEX('Cálculos'!$M:$M,$R31))</f>
        <v>1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95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CONSEJO DE ADMINISTRACION</v>
      </c>
      <c r="G32" s="64" t="str">
        <f>IF($R32="","",INDEX('Cálculos'!$P:$P,$R32))</f>
        <v>Consejo de Administración</v>
      </c>
      <c r="J32" s="63">
        <f>IF($R32="","",INDEX('Cálculos'!$Q:$Q,$R32))</f>
        <v>1</v>
      </c>
      <c r="K32" s="63">
        <f>IF($R32="","",INDEX('Cálculos'!$M:$M,$R32))</f>
        <v>1</v>
      </c>
      <c r="L32" s="63">
        <f>IF($R32="","",INDEX('Cálculos'!$N:$N,$R32))</f>
        <v>0</v>
      </c>
      <c r="M32" s="65">
        <f>IF($R32="","",INDEX('Cálculos'!$R:$R,$R32))</f>
        <v>1</v>
      </c>
      <c r="O32" s="66">
        <f>IF($R32="","",INDEX('Cálculos'!$S:$S,$R32))</f>
        <v>90</v>
      </c>
      <c r="P32" s="63" t="str">
        <f>IF($R32="","",IF(M32&gt;=1,"Completo","Pendiente"))</f>
        <v>Completo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GERENCIA LEGAL Y DE CUMPLIMIENTO NORMATIVO</v>
      </c>
      <c r="G33" s="64" t="str">
        <f>IF($R33="","",INDEX('Cálculos'!$P:$P,$R33))</f>
        <v>Gerencia Legal y Cumplimiento Normativo</v>
      </c>
      <c r="J33" s="63">
        <f>IF($R33="","",INDEX('Cálculos'!$Q:$Q,$R33))</f>
        <v>1</v>
      </c>
      <c r="K33" s="63">
        <f>IF($R33="","",INDEX('Cálculos'!$M:$M,$R33))</f>
        <v>1</v>
      </c>
      <c r="L33" s="63">
        <f>IF($R33="","",INDEX('Cálculos'!$N:$N,$R33))</f>
        <v>0</v>
      </c>
      <c r="M33" s="65">
        <f>IF($R33="","",INDEX('Cálculos'!$R:$R,$R33))</f>
        <v>1</v>
      </c>
      <c r="O33" s="66">
        <f>IF($R33="","",INDEX('Cálculos'!$S:$S,$R33))</f>
        <v>100</v>
      </c>
      <c r="P33" s="63" t="str">
        <f>IF($R33="","",IF(M33&gt;=1,"Completo","Pendiente"))</f>
        <v>Completo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AGENCIA MERLIOT</v>
      </c>
      <c r="G34" s="64" t="str">
        <f>IF($R34="","",INDEX('Cálculos'!$P:$P,$R34))</f>
        <v>Gerencia de Negocios</v>
      </c>
      <c r="J34" s="63">
        <f>IF($R34="","",INDEX('Cálculos'!$Q:$Q,$R34))</f>
        <v>13</v>
      </c>
      <c r="K34" s="63">
        <f>IF($R34="","",INDEX('Cálculos'!$M:$M,$R34))</f>
        <v>12</v>
      </c>
      <c r="L34" s="63">
        <f>IF($R34="","",INDEX('Cálculos'!$N:$N,$R34))</f>
        <v>1</v>
      </c>
      <c r="M34" s="65">
        <f>IF($R34="","",INDEX('Cálculos'!$R:$R,$R34))</f>
        <v>0.923076923076923</v>
      </c>
      <c r="O34" s="66">
        <f>IF($R34="","",INDEX('Cálculos'!$S:$S,$R34))</f>
        <v>95.4166666666667</v>
      </c>
      <c r="P34" s="63" t="str">
        <f>IF($R34="","",IF(M34&gt;=1,"Completo","Pendiente"))</f>
        <v>Pendiente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DEPARTAMENTO DE ANALISIS Y PROGRAMACIÓN</v>
      </c>
      <c r="G35" s="64" t="str">
        <f>IF($R35="","",INDEX('Cálculos'!$P:$P,$R35))</f>
        <v>Gerencia de Sistemas</v>
      </c>
      <c r="J35" s="63">
        <f>IF($R35="","",INDEX('Cálculos'!$Q:$Q,$R35))</f>
        <v>11</v>
      </c>
      <c r="K35" s="63">
        <f>IF($R35="","",INDEX('Cálculos'!$M:$M,$R35))</f>
        <v>10</v>
      </c>
      <c r="L35" s="63">
        <f>IF($R35="","",INDEX('Cálculos'!$N:$N,$R35))</f>
        <v>1</v>
      </c>
      <c r="M35" s="65">
        <f>IF($R35="","",INDEX('Cálculos'!$R:$R,$R35))</f>
        <v>0.909090909090909</v>
      </c>
      <c r="O35" s="66">
        <f>IF($R35="","",INDEX('Cálculos'!$S:$S,$R35))</f>
        <v>100</v>
      </c>
      <c r="P35" s="63" t="str">
        <f>IF($R35="","",IF(M35&gt;=1,"Completo","Pendiente"))</f>
        <v>Pendiente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DEPARTAMENTO DE SEGUROS</v>
      </c>
      <c r="G36" s="64" t="str">
        <f>IF($R36="","",INDEX('Cálculos'!$P:$P,$R36))</f>
        <v>Gerencia de Negocios</v>
      </c>
      <c r="J36" s="63">
        <f>IF($R36="","",INDEX('Cálculos'!$Q:$Q,$R36))</f>
        <v>11</v>
      </c>
      <c r="K36" s="63">
        <f>IF($R36="","",INDEX('Cálculos'!$M:$M,$R36))</f>
        <v>10</v>
      </c>
      <c r="L36" s="63">
        <f>IF($R36="","",INDEX('Cálculos'!$N:$N,$R36))</f>
        <v>1</v>
      </c>
      <c r="M36" s="65">
        <f>IF($R36="","",INDEX('Cálculos'!$R:$R,$R36))</f>
        <v>0.909090909090909</v>
      </c>
      <c r="O36" s="66">
        <f>IF($R36="","",INDEX('Cálculos'!$S:$S,$R36))</f>
        <v>97</v>
      </c>
      <c r="P36" s="63" t="str">
        <f>IF($R36="","",IF(M36&gt;=1,"Completo","Pendiente"))</f>
        <v>Pendiente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DEPARTAMENTO DE SOLUCIONES FINANCIERAS</v>
      </c>
      <c r="G37" s="64" t="str">
        <f>IF($R37="","",INDEX('Cálculos'!$P:$P,$R37))</f>
        <v>Gerencia de Operaciones</v>
      </c>
      <c r="J37" s="63">
        <f>IF($R37="","",INDEX('Cálculos'!$Q:$Q,$R37))</f>
        <v>10</v>
      </c>
      <c r="K37" s="63">
        <f>IF($R37="","",INDEX('Cálculos'!$M:$M,$R37))</f>
        <v>9</v>
      </c>
      <c r="L37" s="63">
        <f>IF($R37="","",INDEX('Cálculos'!$N:$N,$R37))</f>
        <v>1</v>
      </c>
      <c r="M37" s="65">
        <f>IF($R37="","",INDEX('Cálculos'!$R:$R,$R37))</f>
        <v>0.9</v>
      </c>
      <c r="O37" s="66">
        <f>IF($R37="","",INDEX('Cálculos'!$S:$S,$R37))</f>
        <v>87.7777777777778</v>
      </c>
      <c r="P37" s="63" t="str">
        <f>IF($R37="","",IF(M37&gt;=1,"Completo","Pendiente"))</f>
        <v>Pendiente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AGENCIA PLAZA MUNDO</v>
      </c>
      <c r="G38" s="64" t="str">
        <f>IF($R38="","",INDEX('Cálculos'!$P:$P,$R38))</f>
        <v>Gerencia de Negocios</v>
      </c>
      <c r="J38" s="63">
        <f>IF($R38="","",INDEX('Cálculos'!$Q:$Q,$R38))</f>
        <v>8</v>
      </c>
      <c r="K38" s="63">
        <f>IF($R38="","",INDEX('Cálculos'!$M:$M,$R38))</f>
        <v>7</v>
      </c>
      <c r="L38" s="63">
        <f>IF($R38="","",INDEX('Cálculos'!$N:$N,$R38))</f>
        <v>1</v>
      </c>
      <c r="M38" s="65">
        <f>IF($R38="","",INDEX('Cálculos'!$R:$R,$R38))</f>
        <v>0.875</v>
      </c>
      <c r="O38" s="66">
        <f>IF($R38="","",INDEX('Cálculos'!$S:$S,$R38))</f>
        <v>98.5714285714286</v>
      </c>
      <c r="P38" s="63" t="str">
        <f>IF($R38="","",IF(M38&gt;=1,"Completo","Pendiente"))</f>
        <v>Pendiente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AGENCIA SAN MIGUEL</v>
      </c>
      <c r="G39" s="64" t="str">
        <f>IF($R39="","",INDEX('Cálculos'!$P:$P,$R39))</f>
        <v>Gerencia de Negocios</v>
      </c>
      <c r="J39" s="63">
        <f>IF($R39="","",INDEX('Cálculos'!$Q:$Q,$R39))</f>
        <v>8</v>
      </c>
      <c r="K39" s="63">
        <f>IF($R39="","",INDEX('Cálculos'!$M:$M,$R39))</f>
        <v>7</v>
      </c>
      <c r="L39" s="63">
        <f>IF($R39="","",INDEX('Cálculos'!$N:$N,$R39))</f>
        <v>1</v>
      </c>
      <c r="M39" s="65">
        <f>IF($R39="","",INDEX('Cálculos'!$R:$R,$R39))</f>
        <v>0.875</v>
      </c>
      <c r="O39" s="66">
        <f>IF($R39="","",INDEX('Cálculos'!$S:$S,$R39))</f>
        <v>98.5714285714286</v>
      </c>
      <c r="P39" s="63" t="str">
        <f>IF($R39="","",IF(M39&gt;=1,"Completo","Pendiente"))</f>
        <v>Pendiente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DEPARTAMENTO COMERCIAL DE TARJETA DE CREDITO Y DEBITO</v>
      </c>
      <c r="G40" s="64" t="str">
        <f>IF($R40="","",INDEX('Cálculos'!$P:$P,$R40))</f>
        <v>Gerencia de Negocios</v>
      </c>
      <c r="J40" s="63">
        <f>IF($R40="","",INDEX('Cálculos'!$Q:$Q,$R40))</f>
        <v>8</v>
      </c>
      <c r="K40" s="63">
        <f>IF($R40="","",INDEX('Cálculos'!$M:$M,$R40))</f>
        <v>7</v>
      </c>
      <c r="L40" s="63">
        <f>IF($R40="","",INDEX('Cálculos'!$N:$N,$R40))</f>
        <v>1</v>
      </c>
      <c r="M40" s="65">
        <f>IF($R40="","",INDEX('Cálculos'!$R:$R,$R40))</f>
        <v>0.875</v>
      </c>
      <c r="O40" s="66">
        <f>IF($R40="","",INDEX('Cálculos'!$S:$S,$R40))</f>
        <v>86.4285714285714</v>
      </c>
      <c r="P40" s="63" t="str">
        <f>IF($R40="","",IF(M40&gt;=1,"Completo","Pendiente"))</f>
        <v>Pendiente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DEPARTAMENTO DE ATENCION A ASOCIADO Y CLIENTE</v>
      </c>
      <c r="G41" s="64" t="str">
        <f>IF($R41="","",INDEX('Cálculos'!$P:$P,$R41))</f>
        <v>Gerencia de Negocios</v>
      </c>
      <c r="J41" s="63">
        <f>IF($R41="","",INDEX('Cálculos'!$Q:$Q,$R41))</f>
        <v>7</v>
      </c>
      <c r="K41" s="63">
        <f>IF($R41="","",INDEX('Cálculos'!$M:$M,$R41))</f>
        <v>6</v>
      </c>
      <c r="L41" s="63">
        <f>IF($R41="","",INDEX('Cálculos'!$N:$N,$R41))</f>
        <v>1</v>
      </c>
      <c r="M41" s="65">
        <f>IF($R41="","",INDEX('Cálculos'!$R:$R,$R41))</f>
        <v>0.857142857142857</v>
      </c>
      <c r="O41" s="66">
        <f>IF($R41="","",INDEX('Cálculos'!$S:$S,$R41))</f>
        <v>95</v>
      </c>
      <c r="P41" s="63" t="str">
        <f>IF($R41="","",IF(M41&gt;=1,"Completo","Pendiente"))</f>
        <v>Pendiente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DEPARTAMENTO DE OPERACIONES Y SOPORTE TECNICO</v>
      </c>
      <c r="G42" s="64" t="str">
        <f>IF($R42="","",INDEX('Cálculos'!$P:$P,$R42))</f>
        <v>Gerencia de Sistemas</v>
      </c>
      <c r="J42" s="63">
        <f>IF($R42="","",INDEX('Cálculos'!$Q:$Q,$R42))</f>
        <v>7</v>
      </c>
      <c r="K42" s="63">
        <f>IF($R42="","",INDEX('Cálculos'!$M:$M,$R42))</f>
        <v>6</v>
      </c>
      <c r="L42" s="63">
        <f>IF($R42="","",INDEX('Cálculos'!$N:$N,$R42))</f>
        <v>1</v>
      </c>
      <c r="M42" s="65">
        <f>IF($R42="","",INDEX('Cálculos'!$R:$R,$R42))</f>
        <v>0.857142857142857</v>
      </c>
      <c r="O42" s="66">
        <f>IF($R42="","",INDEX('Cálculos'!$S:$S,$R42))</f>
        <v>100</v>
      </c>
      <c r="P42" s="63" t="str">
        <f>IF($R42="","",IF(M42&gt;=1,"Completo","Pendiente"))</f>
        <v>Pendiente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DEPARTAMENTO DE CONTABILIDAD</v>
      </c>
      <c r="G43" s="64" t="str">
        <f>IF($R43="","",INDEX('Cálculos'!$P:$P,$R43))</f>
        <v>Gerencia de Finanzas y Planificación</v>
      </c>
      <c r="J43" s="63">
        <f>IF($R43="","",INDEX('Cálculos'!$Q:$Q,$R43))</f>
        <v>13</v>
      </c>
      <c r="K43" s="63">
        <f>IF($R43="","",INDEX('Cálculos'!$M:$M,$R43))</f>
        <v>11</v>
      </c>
      <c r="L43" s="63">
        <f>IF($R43="","",INDEX('Cálculos'!$N:$N,$R43))</f>
        <v>2</v>
      </c>
      <c r="M43" s="65">
        <f>IF($R43="","",INDEX('Cálculos'!$R:$R,$R43))</f>
        <v>0.846153846153846</v>
      </c>
      <c r="O43" s="66">
        <f>IF($R43="","",INDEX('Cálculos'!$S:$S,$R43))</f>
        <v>97.7272727272727</v>
      </c>
      <c r="P43" s="63" t="str">
        <f>IF($R43="","",IF(M43&gt;=1,"Completo","Pendiente"))</f>
        <v>Pendiente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AGENCIA COLEGIO MEDICO</v>
      </c>
      <c r="G44" s="64" t="str">
        <f>IF($R44="","",INDEX('Cálculos'!$P:$P,$R44))</f>
        <v>Gerencia de Negocios</v>
      </c>
      <c r="J44" s="63">
        <f>IF($R44="","",INDEX('Cálculos'!$Q:$Q,$R44))</f>
        <v>12</v>
      </c>
      <c r="K44" s="63">
        <f>IF($R44="","",INDEX('Cálculos'!$M:$M,$R44))</f>
        <v>10</v>
      </c>
      <c r="L44" s="63">
        <f>IF($R44="","",INDEX('Cálculos'!$N:$N,$R44))</f>
        <v>2</v>
      </c>
      <c r="M44" s="65">
        <f>IF($R44="","",INDEX('Cálculos'!$R:$R,$R44))</f>
        <v>0.833333333333333</v>
      </c>
      <c r="O44" s="66">
        <f>IF($R44="","",INDEX('Cálculos'!$S:$S,$R44))</f>
        <v>97</v>
      </c>
      <c r="P44" s="63" t="str">
        <f>IF($R44="","",IF(M44&gt;=1,"Completo","Pendiente"))</f>
        <v>Pendiente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ADMINISTRACIÓN DE CARTERAS</v>
      </c>
      <c r="G45" s="64" t="str">
        <f>IF($R45="","",INDEX('Cálculos'!$P:$P,$R45))</f>
        <v>Gerencia de Operaciones</v>
      </c>
      <c r="J45" s="63">
        <f>IF($R45="","",INDEX('Cálculos'!$Q:$Q,$R45))</f>
        <v>5</v>
      </c>
      <c r="K45" s="63">
        <f>IF($R45="","",INDEX('Cálculos'!$M:$M,$R45))</f>
        <v>4</v>
      </c>
      <c r="L45" s="63">
        <f>IF($R45="","",INDEX('Cálculos'!$N:$N,$R45))</f>
        <v>1</v>
      </c>
      <c r="M45" s="65">
        <f>IF($R45="","",INDEX('Cálculos'!$R:$R,$R45))</f>
        <v>0.8</v>
      </c>
      <c r="O45" s="66">
        <f>IF($R45="","",INDEX('Cálculos'!$S:$S,$R45))</f>
        <v>100</v>
      </c>
      <c r="P45" s="63" t="str">
        <f>IF($R45="","",IF(M45&gt;=1,"Completo","Pendiente"))</f>
        <v>Pendiente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GERENCIA DE NEGOCIOS</v>
      </c>
      <c r="G46" s="64" t="str">
        <f>IF($R46="","",INDEX('Cálculos'!$P:$P,$R46))</f>
        <v>Gerencia de Negocios</v>
      </c>
      <c r="J46" s="63">
        <f>IF($R46="","",INDEX('Cálculos'!$Q:$Q,$R46))</f>
        <v>4</v>
      </c>
      <c r="K46" s="63">
        <f>IF($R46="","",INDEX('Cálculos'!$M:$M,$R46))</f>
        <v>3</v>
      </c>
      <c r="L46" s="63">
        <f>IF($R46="","",INDEX('Cálculos'!$N:$N,$R46))</f>
        <v>1</v>
      </c>
      <c r="M46" s="65">
        <f>IF($R46="","",INDEX('Cálculos'!$R:$R,$R46))</f>
        <v>0.75</v>
      </c>
      <c r="O46" s="66">
        <f>IF($R46="","",INDEX('Cálculos'!$S:$S,$R46))</f>
        <v>100</v>
      </c>
      <c r="P46" s="63" t="str">
        <f>IF($R46="","",IF(M46&gt;=1,"Completo","Pendiente"))</f>
        <v>Pendiente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GERENCIA DE SISTEMAS</v>
      </c>
      <c r="G47" s="64" t="str">
        <f>IF($R47="","",INDEX('Cálculos'!$P:$P,$R47))</f>
        <v>Gerencia de Sistemas</v>
      </c>
      <c r="J47" s="63">
        <f>IF($R47="","",INDEX('Cálculos'!$Q:$Q,$R47))</f>
        <v>4</v>
      </c>
      <c r="K47" s="63">
        <f>IF($R47="","",INDEX('Cálculos'!$M:$M,$R47))</f>
        <v>3</v>
      </c>
      <c r="L47" s="63">
        <f>IF($R47="","",INDEX('Cálculos'!$N:$N,$R47))</f>
        <v>1</v>
      </c>
      <c r="M47" s="65">
        <f>IF($R47="","",INDEX('Cálculos'!$R:$R,$R47))</f>
        <v>0.75</v>
      </c>
      <c r="O47" s="66">
        <f>IF($R47="","",INDEX('Cálculos'!$S:$S,$R47))</f>
        <v>98.3333333333333</v>
      </c>
      <c r="P47" s="63" t="str">
        <f>IF($R47="","",IF(M47&gt;=1,"Completo","Pendiente"))</f>
        <v>Pendiente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DEPARTAMENTO DE TARJETA DE CREDITO Y DEBITO</v>
      </c>
      <c r="G48" s="64" t="str">
        <f>IF($R48="","",INDEX('Cálculos'!$P:$P,$R48))</f>
        <v>Gerencia de Operaciones</v>
      </c>
      <c r="J48" s="63">
        <f>IF($R48="","",INDEX('Cálculos'!$Q:$Q,$R48))</f>
        <v>6</v>
      </c>
      <c r="K48" s="63">
        <f>IF($R48="","",INDEX('Cálculos'!$M:$M,$R48))</f>
        <v>4</v>
      </c>
      <c r="L48" s="63">
        <f>IF($R48="","",INDEX('Cálculos'!$N:$N,$R48))</f>
        <v>2</v>
      </c>
      <c r="M48" s="65">
        <f>IF($R48="","",INDEX('Cálculos'!$R:$R,$R48))</f>
        <v>0.666666666666667</v>
      </c>
      <c r="O48" s="66">
        <f>IF($R48="","",INDEX('Cálculos'!$S:$S,$R48))</f>
        <v>98.75</v>
      </c>
      <c r="P48" s="63" t="str">
        <f>IF($R48="","",IF(M48&gt;=1,"Completo","Pendiente"))</f>
        <v>Pendiente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DEPARTAMENTO DE EDUCACION Y RESPONSABILIDAD SOCIAL</v>
      </c>
      <c r="G49" s="64" t="str">
        <f>IF($R49="","",INDEX('Cálculos'!$P:$P,$R49))</f>
        <v>Gerencia Administrativa</v>
      </c>
      <c r="J49" s="63">
        <f>IF($R49="","",INDEX('Cálculos'!$Q:$Q,$R49))</f>
        <v>3</v>
      </c>
      <c r="K49" s="63">
        <f>IF($R49="","",INDEX('Cálculos'!$M:$M,$R49))</f>
        <v>2</v>
      </c>
      <c r="L49" s="63">
        <f>IF($R49="","",INDEX('Cálculos'!$N:$N,$R49))</f>
        <v>1</v>
      </c>
      <c r="M49" s="65">
        <f>IF($R49="","",INDEX('Cálculos'!$R:$R,$R49))</f>
        <v>0.666666666666667</v>
      </c>
      <c r="O49" s="66">
        <f>IF($R49="","",INDEX('Cálculos'!$S:$S,$R49))</f>
        <v>100</v>
      </c>
      <c r="P49" s="63" t="str">
        <f>IF($R49="","",IF(M49&gt;=1,"Completo","Pendiente"))</f>
        <v>Pendiente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DEPARTAMENTO DE PLANIFICACIÓN Y ANALISIS</v>
      </c>
      <c r="G50" s="64" t="str">
        <f>IF($R50="","",INDEX('Cálculos'!$P:$P,$R50))</f>
        <v>Gerencia de Finanzas y Planificación</v>
      </c>
      <c r="J50" s="63">
        <f>IF($R50="","",INDEX('Cálculos'!$Q:$Q,$R50))</f>
        <v>3</v>
      </c>
      <c r="K50" s="63">
        <f>IF($R50="","",INDEX('Cálculos'!$M:$M,$R50))</f>
        <v>2</v>
      </c>
      <c r="L50" s="63">
        <f>IF($R50="","",INDEX('Cálculos'!$N:$N,$R50))</f>
        <v>1</v>
      </c>
      <c r="M50" s="65">
        <f>IF($R50="","",INDEX('Cálculos'!$R:$R,$R50))</f>
        <v>0.666666666666667</v>
      </c>
      <c r="O50" s="66">
        <f>IF($R50="","",INDEX('Cálculos'!$S:$S,$R50))</f>
        <v>100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DEPARTAMENTO DE TALENTO HUMANO</v>
      </c>
      <c r="G51" s="64" t="str">
        <f>IF($R51="","",INDEX('Cálculos'!$P:$P,$R51))</f>
        <v>Gerencia Administrativa</v>
      </c>
      <c r="J51" s="63">
        <f>IF($R51="","",INDEX('Cálculos'!$Q:$Q,$R51))</f>
        <v>3</v>
      </c>
      <c r="K51" s="63">
        <f>IF($R51="","",INDEX('Cálculos'!$M:$M,$R51))</f>
        <v>2</v>
      </c>
      <c r="L51" s="63">
        <f>IF($R51="","",INDEX('Cálculos'!$N:$N,$R51))</f>
        <v>1</v>
      </c>
      <c r="M51" s="65">
        <f>IF($R51="","",INDEX('Cálculos'!$R:$R,$R51))</f>
        <v>0.666666666666667</v>
      </c>
      <c r="O51" s="66">
        <f>IF($R51="","",INDEX('Cálculos'!$S:$S,$R51))</f>
        <v>95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AGENCIA SANTA ANA</v>
      </c>
      <c r="G52" s="64" t="str">
        <f>IF($R52="","",INDEX('Cálculos'!$P:$P,$R52))</f>
        <v>Gerencia de Negocios</v>
      </c>
      <c r="J52" s="63">
        <f>IF($R52="","",INDEX('Cálculos'!$Q:$Q,$R52))</f>
        <v>8</v>
      </c>
      <c r="K52" s="63">
        <f>IF($R52="","",INDEX('Cálculos'!$M:$M,$R52))</f>
        <v>4</v>
      </c>
      <c r="L52" s="63">
        <f>IF($R52="","",INDEX('Cálculos'!$N:$N,$R52))</f>
        <v>4</v>
      </c>
      <c r="M52" s="65">
        <f>IF($R52="","",INDEX('Cálculos'!$R:$R,$R52))</f>
        <v>0.5</v>
      </c>
      <c r="O52" s="66">
        <f>IF($R52="","",INDEX('Cálculos'!$S:$S,$R52))</f>
        <v>95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AGENCIA CENTRAL</v>
      </c>
      <c r="G53" s="64" t="str">
        <f>IF($R53="","",INDEX('Cálculos'!$P:$P,$R53))</f>
        <v>Gerencia de Negocios</v>
      </c>
      <c r="J53" s="63">
        <f>IF($R53="","",INDEX('Cálculos'!$Q:$Q,$R53))</f>
        <v>18</v>
      </c>
      <c r="K53" s="63">
        <f>IF($R53="","",INDEX('Cálculos'!$M:$M,$R53))</f>
        <v>8</v>
      </c>
      <c r="L53" s="63">
        <f>IF($R53="","",INDEX('Cálculos'!$N:$N,$R53))</f>
        <v>10</v>
      </c>
      <c r="M53" s="65">
        <f>IF($R53="","",INDEX('Cálculos'!$R:$R,$R53))</f>
        <v>0.444444444444444</v>
      </c>
      <c r="O53" s="66">
        <f>IF($R53="","",INDEX('Cálculos'!$S:$S,$R53))</f>
        <v>96.25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AGENCIA COLONIA MEDICA</v>
      </c>
      <c r="G54" s="64" t="str">
        <f>IF($R54="","",INDEX('Cálculos'!$P:$P,$R54))</f>
        <v>Gerencia de Negocios</v>
      </c>
      <c r="J54" s="63">
        <f>IF($R54="","",INDEX('Cálculos'!$Q:$Q,$R54))</f>
        <v>16</v>
      </c>
      <c r="K54" s="63">
        <f>IF($R54="","",INDEX('Cálculos'!$M:$M,$R54))</f>
        <v>7</v>
      </c>
      <c r="L54" s="63">
        <f>IF($R54="","",INDEX('Cálculos'!$N:$N,$R54))</f>
        <v>9</v>
      </c>
      <c r="M54" s="65">
        <f>IF($R54="","",INDEX('Cálculos'!$R:$R,$R54))</f>
        <v>0.4375</v>
      </c>
      <c r="O54" s="66">
        <f>IF($R54="","",INDEX('Cálculos'!$S:$S,$R54))</f>
        <v>97.8571428571429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DEPARTAMENTO DE MERCADEO</v>
      </c>
      <c r="G55" s="64" t="str">
        <f>IF($R55="","",INDEX('Cálculos'!$P:$P,$R55))</f>
        <v>Gerencia de Negocios</v>
      </c>
      <c r="J55" s="63">
        <f>IF($R55="","",INDEX('Cálculos'!$Q:$Q,$R55))</f>
        <v>7</v>
      </c>
      <c r="K55" s="63">
        <f>IF($R55="","",INDEX('Cálculos'!$M:$M,$R55))</f>
        <v>2</v>
      </c>
      <c r="L55" s="63">
        <f>IF($R55="","",INDEX('Cálculos'!$N:$N,$R55))</f>
        <v>5</v>
      </c>
      <c r="M55" s="65">
        <f>IF($R55="","",INDEX('Cálculos'!$R:$R,$R55))</f>
        <v>0.285714285714286</v>
      </c>
      <c r="O55" s="66">
        <f>IF($R55="","",INDEX('Cálculos'!$S:$S,$R55))</f>
        <v>97.5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AGENCIA SONSONATE</v>
      </c>
      <c r="G56" s="64" t="str">
        <f>IF($R56="","",INDEX('Cálculos'!$P:$P,$R56))</f>
        <v>Gerencia de Negocios</v>
      </c>
      <c r="J56" s="63">
        <f>IF($R56="","",INDEX('Cálculos'!$Q:$Q,$R56))</f>
        <v>7</v>
      </c>
      <c r="K56" s="63">
        <f>IF($R56="","",INDEX('Cálculos'!$M:$M,$R56))</f>
        <v>1</v>
      </c>
      <c r="L56" s="63">
        <f>IF($R56="","",INDEX('Cálculos'!$N:$N,$R56))</f>
        <v>6</v>
      </c>
      <c r="M56" s="65">
        <f>IF($R56="","",INDEX('Cálculos'!$R:$R,$R56))</f>
        <v>0.142857142857143</v>
      </c>
      <c r="O56" s="66">
        <f>IF($R56="","",INDEX('Cálculos'!$S:$S,$R56))</f>
        <v>80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46309.741215277776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293</v>
      </c>
      <c r="D6" s="48" t="n"/>
      <c r="E6" s="86">
        <f>SUM('Consolidado por Gerencia'!$C$5:$C$24)</f>
        <v>237</v>
      </c>
      <c r="G6" s="48" t="n"/>
      <c r="H6" s="87">
        <f>SUM('Consolidado por Gerencia'!$D$5:$D$24)</f>
        <v>56</v>
      </c>
      <c r="J6" s="48" t="n"/>
      <c r="K6" s="88">
        <f>IF(B6&gt;0,E6/B6,0)</f>
        <v>0.808873720136519</v>
      </c>
      <c r="M6" s="48" t="n"/>
      <c r="N6" s="91">
        <f>IFERROR(AVERAGE('Detalle individual'!$J$5:$J$1000),"-")</f>
        <v>96.6313559322034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293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237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COUNTIF(H9:H1004,"Pendiente")</f>
        <v>56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49</v>
      </c>
      <c r="D10" s="64" t="str">
        <f>IF($K10="","",TRIM(INDEX('Detalle individual'!$B:$B,$K10)))</f>
        <v>GRISELDA DEL CARMEN DOMINGUEZ MERINO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192</v>
      </c>
    </row>
    <row r="11">
      <c r="B11" s="63">
        <f>IF($K11="","",3)</f>
        <v>3</v>
      </c>
      <c r="C11" s="63" t="str">
        <f>IF($K11="","",INDEX('Detalle individual'!$A:$A,$K11))</f>
        <v>234</v>
      </c>
      <c r="D11" s="64" t="str">
        <f>IF($K11="","",TRIM(INDEX('Detalle individual'!$B:$B,$K11)))</f>
        <v>LETICIA ESMERALDA ROSA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193</v>
      </c>
    </row>
    <row r="12">
      <c r="B12" s="63">
        <f>IF($K12="","",4)</f>
        <v>4</v>
      </c>
      <c r="C12" s="63" t="str">
        <f>IF($K12="","",INDEX('Detalle individual'!$A:$A,$K12))</f>
        <v>253</v>
      </c>
      <c r="D12" s="64" t="str">
        <f>IF($K12="","",TRIM(INDEX('Detalle individual'!$B:$B,$K12)))</f>
        <v>ELSY GUADALUPE COREA AGUILUZ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194</v>
      </c>
    </row>
    <row r="13">
      <c r="B13" s="63">
        <f>IF($K13="","",5)</f>
        <v>5</v>
      </c>
      <c r="C13" s="63" t="str">
        <f>IF($K13="","",INDEX('Detalle individual'!$A:$A,$K13))</f>
        <v>385</v>
      </c>
      <c r="D13" s="64" t="str">
        <f>IF($K13="","",TRIM(INDEX('Detalle individual'!$B:$B,$K13)))</f>
        <v>BLANCA ARACELY MORENO HERNANDEZ</v>
      </c>
      <c r="E13" s="64" t="str">
        <f>IF($K13="","",TRIM(INDEX('Detalle individual'!$E:$E,$K13)))</f>
        <v>AUXILIAR DE OPERACIONES Y ATENCION EN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195</v>
      </c>
    </row>
    <row r="14">
      <c r="B14" s="63">
        <f>IF($K14="","",6)</f>
        <v>6</v>
      </c>
      <c r="C14" s="63" t="str">
        <f>IF($K14="","",INDEX('Detalle individual'!$A:$A,$K14))</f>
        <v>440</v>
      </c>
      <c r="D14" s="64" t="str">
        <f>IF($K14="","",TRIM(INDEX('Detalle individual'!$B:$B,$K14)))</f>
        <v>KARLA MERCEDES DELEON DELGADO</v>
      </c>
      <c r="E14" s="64" t="str">
        <f>IF($K14="","",TRIM(INDEX('Detalle individual'!$E:$E,$K14)))</f>
        <v>JEFE DE AGENCIA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196</v>
      </c>
    </row>
    <row r="15">
      <c r="B15" s="63">
        <f>IF($K15="","",7)</f>
        <v>7</v>
      </c>
      <c r="C15" s="63" t="str">
        <f>IF($K15="","",INDEX('Detalle individual'!$A:$A,$K15))</f>
        <v>739</v>
      </c>
      <c r="D15" s="64" t="str">
        <f>IF($K15="","",TRIM(INDEX('Detalle individual'!$B:$B,$K15)))</f>
        <v>JOHANA PATRICIA LUNA RAMOS</v>
      </c>
      <c r="E15" s="64" t="str">
        <f>IF($K15="","",TRIM(INDEX('Detalle individual'!$E:$E,$K15)))</f>
        <v>CAJERO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198</v>
      </c>
    </row>
    <row r="16">
      <c r="B16" s="63">
        <f>IF($K16="","",8)</f>
        <v>8</v>
      </c>
      <c r="C16" s="63" t="str">
        <f>IF($K16="","",INDEX('Detalle individual'!$A:$A,$K16))</f>
        <v>768</v>
      </c>
      <c r="D16" s="64" t="str">
        <f>IF($K16="","",TRIM(INDEX('Detalle individual'!$B:$B,$K16)))</f>
        <v>KATHERINE MICHELLE LOPEZ LOPEZ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200</v>
      </c>
    </row>
    <row r="17">
      <c r="B17" s="63">
        <f>IF($K17="","",9)</f>
        <v>9</v>
      </c>
      <c r="C17" s="63" t="str">
        <f>IF($K17="","",INDEX('Detalle individual'!$A:$A,$K17))</f>
        <v>848</v>
      </c>
      <c r="D17" s="64" t="str">
        <f>IF($K17="","",TRIM(INDEX('Detalle individual'!$B:$B,$K17)))</f>
        <v>JAZMIN ABIGAIL VASQUEZ AVELAR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201</v>
      </c>
    </row>
    <row r="18">
      <c r="B18" s="63">
        <f>IF($K18="","",10)</f>
        <v>10</v>
      </c>
      <c r="C18" s="63" t="str">
        <f>IF($K18="","",INDEX('Detalle individual'!$A:$A,$K18))</f>
        <v>857</v>
      </c>
      <c r="D18" s="64" t="str">
        <f>IF($K18="","",TRIM(INDEX('Detalle individual'!$B:$B,$K18)))</f>
        <v>ESTHER ABIGAIL FLORES GRANDE</v>
      </c>
      <c r="E18" s="64" t="str">
        <f>IF($K18="","",TRIM(INDEX('Detalle individual'!$E:$E,$K18)))</f>
        <v>AUXILIAR DE OPERACIONES Y ATENCION EN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IFERROR(MOD(SMALL('Cálculos'!$Z$5:$Z$1000,10),10000),"")</f>
        <v>202</v>
      </c>
    </row>
    <row r="19">
      <c r="B19" s="63">
        <f>IF($K19="","",11)</f>
        <v>11</v>
      </c>
      <c r="C19" s="63" t="str">
        <f>IF($K19="","",INDEX('Detalle individual'!$A:$A,$K19))</f>
        <v>974</v>
      </c>
      <c r="D19" s="64" t="str">
        <f>IF($K19="","",TRIM(INDEX('Detalle individual'!$B:$B,$K19)))</f>
        <v>LEIDY VANESSA GUZMAN SERVELLON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IFERROR(MOD(SMALL('Cálculos'!$Z$5:$Z$1000,11),10000),"")</f>
        <v>207</v>
      </c>
    </row>
    <row r="20">
      <c r="B20" s="63">
        <f>IF($K20="","",12)</f>
        <v>12</v>
      </c>
      <c r="C20" s="63" t="str">
        <f>IF($K20="","",INDEX('Detalle individual'!$A:$A,$K20))</f>
        <v>26</v>
      </c>
      <c r="D20" s="64" t="str">
        <f>IF($K20="","",TRIM(INDEX('Detalle individual'!$B:$B,$K20)))</f>
        <v>FLOR IMELDA VILLALOBOS ARDON</v>
      </c>
      <c r="E20" s="64" t="str">
        <f>IF($K20="","",TRIM(INDEX('Detalle individual'!$E:$E,$K20)))</f>
        <v>EJECUTIVO DE NEGOCIOS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IFERROR(MOD(SMALL('Cálculos'!$Z$5:$Z$1000,12),10000),"")</f>
        <v>209</v>
      </c>
    </row>
    <row r="21">
      <c r="B21" s="63">
        <f>IF($K21="","",13)</f>
        <v>13</v>
      </c>
      <c r="C21" s="63" t="str">
        <f>IF($K21="","",INDEX('Detalle individual'!$A:$A,$K21))</f>
        <v>466</v>
      </c>
      <c r="D21" s="64" t="str">
        <f>IF($K21="","",TRIM(INDEX('Detalle individual'!$B:$B,$K21)))</f>
        <v>DORIS ELISA HERNANDEZ</v>
      </c>
      <c r="E21" s="64" t="str">
        <f>IF($K21="","",TRIM(INDEX('Detalle individual'!$E:$E,$K21)))</f>
        <v>SERVICIOS VARIOS</v>
      </c>
      <c r="F21" s="64" t="str">
        <f>IF($K21="","",TRIM(INDEX('Detalle individual'!$C:$C,$K21)))</f>
        <v>AGENCIA COLEGIO MEDICO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IFERROR(MOD(SMALL('Cálculos'!$Z$5:$Z$1000,13),10000),"")</f>
        <v>213</v>
      </c>
    </row>
    <row r="22">
      <c r="B22" s="63">
        <f>IF($K22="","",14)</f>
        <v>14</v>
      </c>
      <c r="C22" s="63" t="str">
        <f>IF($K22="","",INDEX('Detalle individual'!$A:$A,$K22))</f>
        <v>19</v>
      </c>
      <c r="D22" s="64" t="str">
        <f>IF($K22="","",TRIM(INDEX('Detalle individual'!$B:$B,$K22)))</f>
        <v>ANA MARGARITA SERRANO RUBIO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COLONIA MEDICA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IFERROR(MOD(SMALL('Cálculos'!$Z$5:$Z$1000,14),10000),"")</f>
        <v>257</v>
      </c>
    </row>
    <row r="23">
      <c r="B23" s="63">
        <f>IF($K23="","",15)</f>
        <v>15</v>
      </c>
      <c r="C23" s="63" t="str">
        <f>IF($K23="","",INDEX('Detalle individual'!$A:$A,$K23))</f>
        <v>624</v>
      </c>
      <c r="D23" s="64" t="str">
        <f>IF($K23="","",TRIM(INDEX('Detalle individual'!$B:$B,$K23)))</f>
        <v>JULIO ENRIQUE CAMPOS ANDRADE</v>
      </c>
      <c r="E23" s="64" t="str">
        <f>IF($K23="","",TRIM(INDEX('Detalle individual'!$E:$E,$K23)))</f>
        <v>EJECUTIVO DE NEGOCIOS</v>
      </c>
      <c r="F23" s="64" t="str">
        <f>IF($K23="","",TRIM(INDEX('Detalle individual'!$C:$C,$K23)))</f>
        <v>AGENCIA COLONIA MEDICA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IFERROR(MOD(SMALL('Cálculos'!$Z$5:$Z$1000,15),10000),"")</f>
        <v>262</v>
      </c>
    </row>
    <row r="24">
      <c r="B24" s="63">
        <f>IF($K24="","",16)</f>
        <v>16</v>
      </c>
      <c r="C24" s="63" t="str">
        <f>IF($K24="","",INDEX('Detalle individual'!$A:$A,$K24))</f>
        <v>674</v>
      </c>
      <c r="D24" s="64" t="str">
        <f>IF($K24="","",TRIM(INDEX('Detalle individual'!$B:$B,$K24)))</f>
        <v>ALFREDO ARMANDO RAMOS ESCOBAR</v>
      </c>
      <c r="E24" s="64" t="str">
        <f>IF($K24="","",TRIM(INDEX('Detalle individual'!$E:$E,$K24)))</f>
        <v>CAJERO</v>
      </c>
      <c r="F24" s="64" t="str">
        <f>IF($K24="","",TRIM(INDEX('Detalle individual'!$C:$C,$K24)))</f>
        <v>AGENCIA COLONIA MEDICA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IFERROR(MOD(SMALL('Cálculos'!$Z$5:$Z$1000,16),10000),"")</f>
        <v>263</v>
      </c>
    </row>
    <row r="25">
      <c r="B25" s="63">
        <f>IF($K25="","",17)</f>
        <v>17</v>
      </c>
      <c r="C25" s="63" t="str">
        <f>IF($K25="","",INDEX('Detalle individual'!$A:$A,$K25))</f>
        <v>735</v>
      </c>
      <c r="D25" s="64" t="str">
        <f>IF($K25="","",TRIM(INDEX('Detalle individual'!$B:$B,$K25)))</f>
        <v>YHANA MILET VALLE HERNANDEZ</v>
      </c>
      <c r="E25" s="64" t="str">
        <f>IF($K25="","",TRIM(INDEX('Detalle individual'!$E:$E,$K25)))</f>
        <v>CAJERO</v>
      </c>
      <c r="F25" s="64" t="str">
        <f>IF($K25="","",TRIM(INDEX('Detalle individual'!$C:$C,$K25)))</f>
        <v>AGENCIA COLONIA MEDICA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IFERROR(MOD(SMALL('Cálculos'!$Z$5:$Z$1000,17),10000),"")</f>
        <v>266</v>
      </c>
    </row>
    <row r="26">
      <c r="B26" s="63">
        <f>IF($K26="","",18)</f>
        <v>18</v>
      </c>
      <c r="C26" s="63" t="str">
        <f>IF($K26="","",INDEX('Detalle individual'!$A:$A,$K26))</f>
        <v>855</v>
      </c>
      <c r="D26" s="64" t="str">
        <f>IF($K26="","",TRIM(INDEX('Detalle individual'!$B:$B,$K26)))</f>
        <v>STEFFANY MARIELOS MIRO HERNANDEZ</v>
      </c>
      <c r="E26" s="64" t="str">
        <f>IF($K26="","",TRIM(INDEX('Detalle individual'!$E:$E,$K26)))</f>
        <v>CAJERO</v>
      </c>
      <c r="F26" s="64" t="str">
        <f>IF($K26="","",TRIM(INDEX('Detalle individual'!$C:$C,$K26)))</f>
        <v>AGENCIA COLONIA MEDICA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IFERROR(MOD(SMALL('Cálculos'!$Z$5:$Z$1000,18),10000),"")</f>
        <v>268</v>
      </c>
    </row>
    <row r="27">
      <c r="B27" s="63">
        <f>IF($K27="","",19)</f>
        <v>19</v>
      </c>
      <c r="C27" s="63" t="str">
        <f>IF($K27="","",INDEX('Detalle individual'!$A:$A,$K27))</f>
        <v>873</v>
      </c>
      <c r="D27" s="64" t="str">
        <f>IF($K27="","",TRIM(INDEX('Detalle individual'!$B:$B,$K27)))</f>
        <v>FLOR DE MARIA ROSALES SORTO</v>
      </c>
      <c r="E27" s="64" t="str">
        <f>IF($K27="","",TRIM(INDEX('Detalle individual'!$E:$E,$K27)))</f>
        <v>CAJERO</v>
      </c>
      <c r="F27" s="64" t="str">
        <f>IF($K27="","",TRIM(INDEX('Detalle individual'!$C:$C,$K27)))</f>
        <v>AGENCIA COLONIA MEDICA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IFERROR(MOD(SMALL('Cálculos'!$Z$5:$Z$1000,19),10000),"")</f>
        <v>269</v>
      </c>
    </row>
    <row r="28">
      <c r="B28" s="63">
        <f>IF($K28="","",20)</f>
        <v>20</v>
      </c>
      <c r="C28" s="63" t="str">
        <f>IF($K28="","",INDEX('Detalle individual'!$A:$A,$K28))</f>
        <v>891</v>
      </c>
      <c r="D28" s="64" t="str">
        <f>IF($K28="","",TRIM(INDEX('Detalle individual'!$B:$B,$K28)))</f>
        <v>YESENIA LISSETH BARAHONA VALLE</v>
      </c>
      <c r="E28" s="64" t="str">
        <f>IF($K28="","",TRIM(INDEX('Detalle individual'!$E:$E,$K28)))</f>
        <v>AUXILIAR DE ATENCION AL ASOCIADO EN AGENCIA</v>
      </c>
      <c r="F28" s="64" t="str">
        <f>IF($K28="","",TRIM(INDEX('Detalle individual'!$C:$C,$K28)))</f>
        <v>AGENCIA COLONIA MEDICA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IFERROR(MOD(SMALL('Cálculos'!$Z$5:$Z$1000,20),10000),"")</f>
        <v>270</v>
      </c>
    </row>
    <row r="29">
      <c r="B29" s="63">
        <f>IF($K29="","",21)</f>
        <v>21</v>
      </c>
      <c r="C29" s="63" t="str">
        <f>IF($K29="","",INDEX('Detalle individual'!$A:$A,$K29))</f>
        <v>913</v>
      </c>
      <c r="D29" s="64" t="str">
        <f>IF($K29="","",TRIM(INDEX('Detalle individual'!$B:$B,$K29)))</f>
        <v>FLOR DEL CARMEN GONZALEZ HERNANDEZ</v>
      </c>
      <c r="E29" s="64" t="str">
        <f>IF($K29="","",TRIM(INDEX('Detalle individual'!$E:$E,$K29)))</f>
        <v>SERVICIOS VARIOS</v>
      </c>
      <c r="F29" s="64" t="str">
        <f>IF($K29="","",TRIM(INDEX('Detalle individual'!$C:$C,$K29)))</f>
        <v>AGENCIA COLONIA MEDICA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IFERROR(MOD(SMALL('Cálculos'!$Z$5:$Z$1000,21),10000),"")</f>
        <v>271</v>
      </c>
    </row>
    <row r="30">
      <c r="B30" s="63">
        <f>IF($K30="","",22)</f>
        <v>22</v>
      </c>
      <c r="C30" s="63" t="str">
        <f>IF($K30="","",INDEX('Detalle individual'!$A:$A,$K30))</f>
        <v>933</v>
      </c>
      <c r="D30" s="64" t="str">
        <f>IF($K30="","",TRIM(INDEX('Detalle individual'!$B:$B,$K30)))</f>
        <v>JACQUELINE GUADALUPE CEA ALVARADO</v>
      </c>
      <c r="E30" s="64" t="str">
        <f>IF($K30="","",TRIM(INDEX('Detalle individual'!$E:$E,$K30)))</f>
        <v>EJECUTIVO DE NEGOCIOS</v>
      </c>
      <c r="F30" s="64" t="str">
        <f>IF($K30="","",TRIM(INDEX('Detalle individual'!$C:$C,$K30)))</f>
        <v>AGENCIA COLONIA MEDICA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IFERROR(MOD(SMALL('Cálculos'!$Z$5:$Z$1000,22),10000),"")</f>
        <v>272</v>
      </c>
    </row>
    <row r="31">
      <c r="B31" s="63">
        <f>IF($K31="","",23)</f>
        <v>23</v>
      </c>
      <c r="C31" s="63" t="str">
        <f>IF($K31="","",INDEX('Detalle individual'!$A:$A,$K31))</f>
        <v>657</v>
      </c>
      <c r="D31" s="64" t="str">
        <f>IF($K31="","",TRIM(INDEX('Detalle individual'!$B:$B,$K31)))</f>
        <v>CLELIA DESIREE CAMPOS COSS</v>
      </c>
      <c r="E31" s="64" t="str">
        <f>IF($K31="","",TRIM(INDEX('Detalle individual'!$E:$E,$K31)))</f>
        <v>SERVICIOS VARIOS</v>
      </c>
      <c r="F31" s="64" t="str">
        <f>IF($K31="","",TRIM(INDEX('Detalle individual'!$C:$C,$K31)))</f>
        <v>AGENCIA MERLIOT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IFERROR(MOD(SMALL('Cálculos'!$Z$5:$Z$1000,23),10000),"")</f>
        <v>247</v>
      </c>
    </row>
    <row r="32">
      <c r="B32" s="63">
        <f>IF($K32="","",24)</f>
        <v>24</v>
      </c>
      <c r="C32" s="63" t="str">
        <f>IF($K32="","",INDEX('Detalle individual'!$A:$A,$K32))</f>
        <v>59</v>
      </c>
      <c r="D32" s="64" t="str">
        <f>IF($K32="","",TRIM(INDEX('Detalle individual'!$B:$B,$K32)))</f>
        <v>ZOILA AYDEE LARIOS</v>
      </c>
      <c r="E32" s="64" t="str">
        <f>IF($K32="","",TRIM(INDEX('Detalle individual'!$E:$E,$K32)))</f>
        <v>SERVICIOS VARIOS</v>
      </c>
      <c r="F32" s="64" t="str">
        <f>IF($K32="","",TRIM(INDEX('Detalle individual'!$C:$C,$K32)))</f>
        <v>AGENCIA PLAZA MUNDO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IFERROR(MOD(SMALL('Cálculos'!$Z$5:$Z$1000,24),10000),"")</f>
        <v>273</v>
      </c>
    </row>
    <row r="33">
      <c r="B33" s="63">
        <f>IF($K33="","",25)</f>
        <v>25</v>
      </c>
      <c r="C33" s="63" t="str">
        <f>IF($K33="","",INDEX('Detalle individual'!$A:$A,$K33))</f>
        <v>861</v>
      </c>
      <c r="D33" s="64" t="str">
        <f>IF($K33="","",TRIM(INDEX('Detalle individual'!$B:$B,$K33)))</f>
        <v>SANDRA MARINA BERRIOS SANTOS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SAN MIGUEL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IFERROR(MOD(SMALL('Cálculos'!$Z$5:$Z$1000,25),10000),"")</f>
        <v>228</v>
      </c>
    </row>
    <row r="34">
      <c r="B34" s="63">
        <f>IF($K34="","",26)</f>
        <v>26</v>
      </c>
      <c r="C34" s="63" t="str">
        <f>IF($K34="","",INDEX('Detalle individual'!$A:$A,$K34))</f>
        <v>168</v>
      </c>
      <c r="D34" s="64" t="str">
        <f>IF($K34="","",TRIM(INDEX('Detalle individual'!$B:$B,$K34)))</f>
        <v>ANA MARIA GIRON</v>
      </c>
      <c r="E34" s="64" t="str">
        <f>IF($K34="","",TRIM(INDEX('Detalle individual'!$E:$E,$K34)))</f>
        <v>EJECUTIVO DE NEGOCIOS</v>
      </c>
      <c r="F34" s="64" t="str">
        <f>IF($K34="","",TRIM(INDEX('Detalle individual'!$C:$C,$K34)))</f>
        <v>AGENCIA SANTA ANA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IFERROR(MOD(SMALL('Cálculos'!$Z$5:$Z$1000,26),10000),"")</f>
        <v>229</v>
      </c>
    </row>
    <row r="35">
      <c r="B35" s="63">
        <f>IF($K35="","",27)</f>
        <v>27</v>
      </c>
      <c r="C35" s="63" t="str">
        <f>IF($K35="","",INDEX('Detalle individual'!$A:$A,$K35))</f>
        <v>747</v>
      </c>
      <c r="D35" s="64" t="str">
        <f>IF($K35="","",TRIM(INDEX('Detalle individual'!$B:$B,$K35)))</f>
        <v>IRVIN ADEMIR PERAZA MOLINA</v>
      </c>
      <c r="E35" s="64" t="str">
        <f>IF($K35="","",TRIM(INDEX('Detalle individual'!$E:$E,$K35)))</f>
        <v>EJECUTIVO DE SEGUROS</v>
      </c>
      <c r="F35" s="64" t="str">
        <f>IF($K35="","",TRIM(INDEX('Detalle individual'!$C:$C,$K35)))</f>
        <v>AGENCIA SANTA ANA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IFERROR(MOD(SMALL('Cálculos'!$Z$5:$Z$1000,27),10000),"")</f>
        <v>232</v>
      </c>
    </row>
    <row r="36">
      <c r="B36" s="63">
        <f>IF($K36="","",28)</f>
        <v>28</v>
      </c>
      <c r="C36" s="63" t="str">
        <f>IF($K36="","",INDEX('Detalle individual'!$A:$A,$K36))</f>
        <v>840</v>
      </c>
      <c r="D36" s="64" t="str">
        <f>IF($K36="","",TRIM(INDEX('Detalle individual'!$B:$B,$K36)))</f>
        <v>SOFIA AZMINIA MENA ARGUETA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SANTA ANA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IFERROR(MOD(SMALL('Cálculos'!$Z$5:$Z$1000,28),10000),"")</f>
        <v>234</v>
      </c>
    </row>
    <row r="37">
      <c r="B37" s="63">
        <f>IF($K37="","",29)</f>
        <v>29</v>
      </c>
      <c r="C37" s="63" t="str">
        <f>IF($K37="","",INDEX('Detalle individual'!$A:$A,$K37))</f>
        <v>910</v>
      </c>
      <c r="D37" s="64" t="str">
        <f>IF($K37="","",TRIM(INDEX('Detalle individual'!$B:$B,$K37)))</f>
        <v>JOSE CRISTOBAL LOPEZ ESQUIVEL</v>
      </c>
      <c r="E37" s="64" t="str">
        <f>IF($K37="","",TRIM(INDEX('Detalle individual'!$E:$E,$K37)))</f>
        <v>MENSAJERO</v>
      </c>
      <c r="F37" s="64" t="str">
        <f>IF($K37="","",TRIM(INDEX('Detalle individual'!$C:$C,$K37)))</f>
        <v>AGENCIA SANTA ANA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IFERROR(MOD(SMALL('Cálculos'!$Z$5:$Z$1000,29),10000),"")</f>
        <v>235</v>
      </c>
    </row>
    <row r="38">
      <c r="B38" s="63">
        <f>IF($K38="","",30)</f>
        <v>30</v>
      </c>
      <c r="C38" s="63" t="str">
        <f>IF($K38="","",INDEX('Detalle individual'!$A:$A,$K38))</f>
        <v>287</v>
      </c>
      <c r="D38" s="64" t="str">
        <f>IF($K38="","",TRIM(INDEX('Detalle individual'!$B:$B,$K38)))</f>
        <v>MARIA ANGELICA ESCOBAR RENDEROS</v>
      </c>
      <c r="E38" s="64" t="str">
        <f>IF($K38="","",TRIM(INDEX('Detalle individual'!$E:$E,$K38)))</f>
        <v>JEFE DE AGENCIA</v>
      </c>
      <c r="F38" s="64" t="str">
        <f>IF($K38="","",TRIM(INDEX('Detalle individual'!$C:$C,$K38)))</f>
        <v>AGENCIA SONSONATE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IFERROR(MOD(SMALL('Cálculos'!$Z$5:$Z$1000,30),10000),"")</f>
        <v>237</v>
      </c>
    </row>
    <row r="39">
      <c r="B39" s="63">
        <f>IF($K39="","",31)</f>
        <v>31</v>
      </c>
      <c r="C39" s="63" t="str">
        <f>IF($K39="","",INDEX('Detalle individual'!$A:$A,$K39))</f>
        <v>448</v>
      </c>
      <c r="D39" s="64" t="str">
        <f>IF($K39="","",TRIM(INDEX('Detalle individual'!$B:$B,$K39)))</f>
        <v>JOSE ALEXANDER TORRES PEREZ</v>
      </c>
      <c r="E39" s="64" t="str">
        <f>IF($K39="","",TRIM(INDEX('Detalle individual'!$E:$E,$K39)))</f>
        <v>MENSAJERO</v>
      </c>
      <c r="F39" s="64" t="str">
        <f>IF($K39="","",TRIM(INDEX('Detalle individual'!$C:$C,$K39)))</f>
        <v>AGENCIA SONSONATE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IFERROR(MOD(SMALL('Cálculos'!$Z$5:$Z$1000,31),10000),"")</f>
        <v>238</v>
      </c>
    </row>
    <row r="40">
      <c r="B40" s="63">
        <f>IF($K40="","",32)</f>
        <v>32</v>
      </c>
      <c r="C40" s="63" t="str">
        <f>IF($K40="","",INDEX('Detalle individual'!$A:$A,$K40))</f>
        <v>526</v>
      </c>
      <c r="D40" s="64" t="str">
        <f>IF($K40="","",TRIM(INDEX('Detalle individual'!$B:$B,$K40)))</f>
        <v>XIOMARA BEATRIZ MARTINEZ SERMEÑO</v>
      </c>
      <c r="E40" s="64" t="str">
        <f>IF($K40="","",TRIM(INDEX('Detalle individual'!$E:$E,$K40)))</f>
        <v>SUBJEFE DE AGENCIA</v>
      </c>
      <c r="F40" s="64" t="str">
        <f>IF($K40="","",TRIM(INDEX('Detalle individual'!$C:$C,$K40)))</f>
        <v>AGENCIA SONSONATE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IFERROR(MOD(SMALL('Cálculos'!$Z$5:$Z$1000,32),10000),"")</f>
        <v>239</v>
      </c>
    </row>
    <row r="41">
      <c r="B41" s="63">
        <f>IF($K41="","",33)</f>
        <v>33</v>
      </c>
      <c r="C41" s="63" t="str">
        <f>IF($K41="","",INDEX('Detalle individual'!$A:$A,$K41))</f>
        <v>559</v>
      </c>
      <c r="D41" s="64" t="str">
        <f>IF($K41="","",TRIM(INDEX('Detalle individual'!$B:$B,$K41)))</f>
        <v>JOSUE ALEXANDER PEREZ HENRIQUEZ</v>
      </c>
      <c r="E41" s="64" t="str">
        <f>IF($K41="","",TRIM(INDEX('Detalle individual'!$E:$E,$K41)))</f>
        <v>EJECUTIVO DE NEGOCIOS</v>
      </c>
      <c r="F41" s="64" t="str">
        <f>IF($K41="","",TRIM(INDEX('Detalle individual'!$C:$C,$K41)))</f>
        <v>AGENCIA SONSONATE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IFERROR(MOD(SMALL('Cálculos'!$Z$5:$Z$1000,33),10000),"")</f>
        <v>240</v>
      </c>
    </row>
    <row r="42">
      <c r="B42" s="63">
        <f>IF($K42="","",34)</f>
        <v>34</v>
      </c>
      <c r="C42" s="63" t="str">
        <f>IF($K42="","",INDEX('Detalle individual'!$A:$A,$K42))</f>
        <v>575</v>
      </c>
      <c r="D42" s="64" t="str">
        <f>IF($K42="","",TRIM(INDEX('Detalle individual'!$B:$B,$K42)))</f>
        <v>JESSICA YAMILETH LEIVA VASQUEZ</v>
      </c>
      <c r="E42" s="64" t="str">
        <f>IF($K42="","",TRIM(INDEX('Detalle individual'!$E:$E,$K42)))</f>
        <v>EJECUTIVA DE SEGUROS</v>
      </c>
      <c r="F42" s="64" t="str">
        <f>IF($K42="","",TRIM(INDEX('Detalle individual'!$C:$C,$K42)))</f>
        <v>AGENCIA SONSONATE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IFERROR(MOD(SMALL('Cálculos'!$Z$5:$Z$1000,34),10000),"")</f>
        <v>241</v>
      </c>
    </row>
    <row r="43">
      <c r="B43" s="63">
        <f>IF($K43="","",35)</f>
        <v>35</v>
      </c>
      <c r="C43" s="63" t="str">
        <f>IF($K43="","",INDEX('Detalle individual'!$A:$A,$K43))</f>
        <v>849</v>
      </c>
      <c r="D43" s="64" t="str">
        <f>IF($K43="","",TRIM(INDEX('Detalle individual'!$B:$B,$K43)))</f>
        <v>KARLA MARCELA ESCOBAR TRIGUEROS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SONSONATE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IFERROR(MOD(SMALL('Cálculos'!$Z$5:$Z$1000,35),10000),"")</f>
        <v>243</v>
      </c>
    </row>
    <row r="44">
      <c r="B44" s="63">
        <f>IF($K44="","",36)</f>
        <v>36</v>
      </c>
      <c r="C44" s="63" t="str">
        <f>IF($K44="","",INDEX('Detalle individual'!$A:$A,$K44))</f>
        <v>835</v>
      </c>
      <c r="D44" s="64" t="str">
        <f>IF($K44="","",TRIM(INDEX('Detalle individual'!$B:$B,$K44)))</f>
        <v>LUIS ALBERTO MEJIA DELGADO</v>
      </c>
      <c r="E44" s="64" t="str">
        <f>IF($K44="","",TRIM(INDEX('Detalle individual'!$E:$E,$K44)))</f>
        <v>EJECUTIVO DE NEGOCIOS</v>
      </c>
      <c r="F44" s="64" t="str">
        <f>IF($K44="","",TRIM(INDEX('Detalle individual'!$C:$C,$K44)))</f>
        <v>DEPARTAMENTO COMERCIAL DE TARJETA DE CREDITO Y DEBITO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IFERROR(MOD(SMALL('Cálculos'!$Z$5:$Z$1000,36),10000),"")</f>
        <v>182</v>
      </c>
    </row>
    <row r="45">
      <c r="B45" s="63">
        <f>IF($K45="","",37)</f>
        <v>37</v>
      </c>
      <c r="C45" s="63" t="str">
        <f>IF($K45="","",INDEX('Detalle individual'!$A:$A,$K45))</f>
        <v>899</v>
      </c>
      <c r="D45" s="64" t="str">
        <f>IF($K45="","",TRIM(INDEX('Detalle individual'!$B:$B,$K45)))</f>
        <v>ALEJANDRA VERONICA CENTENO LOPEZ</v>
      </c>
      <c r="E45" s="64" t="str">
        <f>IF($K45="","",TRIM(INDEX('Detalle individual'!$E:$E,$K45)))</f>
        <v>ANALISTA PROGRAMADOR</v>
      </c>
      <c r="F45" s="64" t="str">
        <f>IF($K45="","",TRIM(INDEX('Detalle individual'!$C:$C,$K45)))</f>
        <v>DEPARTAMENTO DE ANALISIS Y PROGRAMACIÓN</v>
      </c>
      <c r="G45" s="64" t="str">
        <f>IF($K45="","",INDEX('Detalle individual'!$D:$D,$K45))</f>
        <v>Gerencia de Sistemas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IFERROR(MOD(SMALL('Cálculos'!$Z$5:$Z$1000,37),10000),"")</f>
        <v>121</v>
      </c>
    </row>
    <row r="46">
      <c r="B46" s="63">
        <f>IF($K46="","",38)</f>
        <v>38</v>
      </c>
      <c r="C46" s="63" t="str">
        <f>IF($K46="","",INDEX('Detalle individual'!$A:$A,$K46))</f>
        <v>981</v>
      </c>
      <c r="D46" s="64" t="str">
        <f>IF($K46="","",TRIM(INDEX('Detalle individual'!$B:$B,$K46)))</f>
        <v>ALAN RODRIGO BENITEZ RODRIGUEZ</v>
      </c>
      <c r="E46" s="64" t="str">
        <f>IF($K46="","",TRIM(INDEX('Detalle individual'!$E:$E,$K46)))</f>
        <v>PASANTE</v>
      </c>
      <c r="F46" s="64" t="str">
        <f>IF($K46="","",TRIM(INDEX('Detalle individual'!$C:$C,$K46)))</f>
        <v>DEPARTAMENTO DE ATENCION A ASOCIADO Y CLIENTE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IFERROR(MOD(SMALL('Cálculos'!$Z$5:$Z$1000,38),10000),"")</f>
        <v>144</v>
      </c>
    </row>
    <row r="47">
      <c r="B47" s="63">
        <f>IF($K47="","",39)</f>
        <v>39</v>
      </c>
      <c r="C47" s="63" t="str">
        <f>IF($K47="","",INDEX('Detalle individual'!$A:$A,$K47))</f>
        <v>235</v>
      </c>
      <c r="D47" s="64" t="str">
        <f>IF($K47="","",TRIM(INDEX('Detalle individual'!$B:$B,$K47)))</f>
        <v>CLAUDIA MARLENE CABRERA SANCHEZ</v>
      </c>
      <c r="E47" s="64" t="str">
        <f>IF($K47="","",TRIM(INDEX('Detalle individual'!$E:$E,$K47)))</f>
        <v>SUPERVISOR DE CONTABILIDAD</v>
      </c>
      <c r="F47" s="64" t="str">
        <f>IF($K47="","",TRIM(INDEX('Detalle individual'!$C:$C,$K47)))</f>
        <v>DEPARTAMENTO DE CONTABILIDAD</v>
      </c>
      <c r="G47" s="64" t="str">
        <f>IF($K47="","",INDEX('Detalle individual'!$D:$D,$K47))</f>
        <v>Gerencia de Finanzas y Planificación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IFERROR(MOD(SMALL('Cálculos'!$Z$5:$Z$1000,39),10000),"")</f>
        <v>86</v>
      </c>
    </row>
    <row r="48">
      <c r="B48" s="63">
        <f>IF($K48="","",40)</f>
        <v>40</v>
      </c>
      <c r="C48" s="63" t="str">
        <f>IF($K48="","",INDEX('Detalle individual'!$A:$A,$K48))</f>
        <v>571</v>
      </c>
      <c r="D48" s="64" t="str">
        <f>IF($K48="","",TRIM(INDEX('Detalle individual'!$B:$B,$K48)))</f>
        <v>MILAGRO TRINIDAD ROMERO MONTERROSA</v>
      </c>
      <c r="E48" s="64" t="str">
        <f>IF($K48="","",TRIM(INDEX('Detalle individual'!$E:$E,$K48)))</f>
        <v>ASISTENTE TECNICO DE IMPUESTOS</v>
      </c>
      <c r="F48" s="64" t="str">
        <f>IF($K48="","",TRIM(INDEX('Detalle individual'!$C:$C,$K48)))</f>
        <v>DEPARTAMENTO DE CONTABILIDAD</v>
      </c>
      <c r="G48" s="64" t="str">
        <f>IF($K48="","",INDEX('Detalle individual'!$D:$D,$K48))</f>
        <v>Gerencia de Finanzas y Planificación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IFERROR(MOD(SMALL('Cálculos'!$Z$5:$Z$1000,40),10000),"")</f>
        <v>89</v>
      </c>
    </row>
    <row r="49">
      <c r="B49" s="63">
        <f>IF($K49="","",41)</f>
        <v>41</v>
      </c>
      <c r="C49" s="63" t="str">
        <f>IF($K49="","",INDEX('Detalle individual'!$A:$A,$K49))</f>
        <v>919</v>
      </c>
      <c r="D49" s="64" t="str">
        <f>IF($K49="","",TRIM(INDEX('Detalle individual'!$B:$B,$K49)))</f>
        <v>CARLOS EDUARDO SERVELLON PEREZ</v>
      </c>
      <c r="E49" s="64" t="str">
        <f>IF($K49="","",TRIM(INDEX('Detalle individual'!$E:$E,$K49)))</f>
        <v>AUXILIAR DE EDUCACION Y RESPONSABILIDAD SOCIAL</v>
      </c>
      <c r="F49" s="64" t="str">
        <f>IF($K49="","",TRIM(INDEX('Detalle individual'!$C:$C,$K49)))</f>
        <v>DEPARTAMENTO DE EDUCACION Y RESPONSABILIDAD SOCIAL</v>
      </c>
      <c r="G49" s="64" t="str">
        <f>IF($K49="","",INDEX('Detalle individual'!$D:$D,$K49))</f>
        <v>Gerencia Administrativa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IFERROR(MOD(SMALL('Cálculos'!$Z$5:$Z$1000,41),10000),"")</f>
        <v>58</v>
      </c>
    </row>
    <row r="50">
      <c r="B50" s="63">
        <f>IF($K50="","",42)</f>
        <v>42</v>
      </c>
      <c r="C50" s="63" t="str">
        <f>IF($K50="","",INDEX('Detalle individual'!$A:$A,$K50))</f>
        <v>361</v>
      </c>
      <c r="D50" s="64" t="str">
        <f>IF($K50="","",TRIM(INDEX('Detalle individual'!$B:$B,$K50)))</f>
        <v>JOSE CARLOS IRENEO HERNANDEZ RODRIGUEZ</v>
      </c>
      <c r="E50" s="64" t="str">
        <f>IF($K50="","",TRIM(INDEX('Detalle individual'!$E:$E,$K50)))</f>
        <v>ASISTENTE TECNICO DE MERCADEO</v>
      </c>
      <c r="F50" s="64" t="str">
        <f>IF($K50="","",TRIM(INDEX('Detalle individual'!$C:$C,$K50)))</f>
        <v>DEPARTAMENTO DE MERCADEO</v>
      </c>
      <c r="G50" s="64" t="str">
        <f>IF($K50="","",INDEX('Detalle individual'!$D:$D,$K50))</f>
        <v>Gerencia de Negocios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IFERROR(MOD(SMALL('Cálculos'!$Z$5:$Z$1000,42),10000),"")</f>
        <v>146</v>
      </c>
    </row>
    <row r="51">
      <c r="B51" s="63">
        <f>IF($K51="","",43)</f>
        <v>43</v>
      </c>
      <c r="C51" s="63" t="str">
        <f>IF($K51="","",INDEX('Detalle individual'!$A:$A,$K51))</f>
        <v>591</v>
      </c>
      <c r="D51" s="64" t="str">
        <f>IF($K51="","",TRIM(INDEX('Detalle individual'!$B:$B,$K51)))</f>
        <v>CARMEN MARIA GUTIERREZ ESTRADA</v>
      </c>
      <c r="E51" s="64" t="str">
        <f>IF($K51="","",TRIM(INDEX('Detalle individual'!$E:$E,$K51)))</f>
        <v>JEFE DE MERCADEO</v>
      </c>
      <c r="F51" s="64" t="str">
        <f>IF($K51="","",TRIM(INDEX('Detalle individual'!$C:$C,$K51)))</f>
        <v>DEPARTAMENTO DE MERCADEO</v>
      </c>
      <c r="G51" s="64" t="str">
        <f>IF($K51="","",INDEX('Detalle individual'!$D:$D,$K51))</f>
        <v>Gerencia de Negocios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IFERROR(MOD(SMALL('Cálculos'!$Z$5:$Z$1000,43),10000),"")</f>
        <v>147</v>
      </c>
    </row>
    <row r="52">
      <c r="B52" s="63">
        <f>IF($K52="","",44)</f>
        <v>44</v>
      </c>
      <c r="C52" s="63" t="str">
        <f>IF($K52="","",INDEX('Detalle individual'!$A:$A,$K52))</f>
        <v>723</v>
      </c>
      <c r="D52" s="64" t="str">
        <f>IF($K52="","",TRIM(INDEX('Detalle individual'!$B:$B,$K52)))</f>
        <v>LUIS FAUSTONY VASQUEZ CIENFUEGOS</v>
      </c>
      <c r="E52" s="64" t="str">
        <f>IF($K52="","",TRIM(INDEX('Detalle individual'!$E:$E,$K52)))</f>
        <v>GESTOR DE DOCUMENTOS</v>
      </c>
      <c r="F52" s="64" t="str">
        <f>IF($K52="","",TRIM(INDEX('Detalle individual'!$C:$C,$K52)))</f>
        <v>DEPARTAMENTO DE MERCADEO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IFERROR(MOD(SMALL('Cálculos'!$Z$5:$Z$1000,44),10000),"")</f>
        <v>148</v>
      </c>
    </row>
    <row r="53">
      <c r="B53" s="63">
        <f>IF($K53="","",45)</f>
        <v>45</v>
      </c>
      <c r="C53" s="63" t="str">
        <f>IF($K53="","",INDEX('Detalle individual'!$A:$A,$K53))</f>
        <v>895</v>
      </c>
      <c r="D53" s="64" t="str">
        <f>IF($K53="","",TRIM(INDEX('Detalle individual'!$B:$B,$K53)))</f>
        <v>MARIA ALEJANDRA BATRES ALVARADO</v>
      </c>
      <c r="E53" s="64" t="str">
        <f>IF($K53="","",TRIM(INDEX('Detalle individual'!$E:$E,$K53)))</f>
        <v>DISEÑADOR GRAFICO</v>
      </c>
      <c r="F53" s="64" t="str">
        <f>IF($K53="","",TRIM(INDEX('Detalle individual'!$C:$C,$K53)))</f>
        <v>DEPARTAMENTO DE MERCADEO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IFERROR(MOD(SMALL('Cálculos'!$Z$5:$Z$1000,45),10000),"")</f>
        <v>149</v>
      </c>
    </row>
    <row r="54">
      <c r="B54" s="63">
        <f>IF($K54="","",46)</f>
        <v>46</v>
      </c>
      <c r="C54" s="63" t="str">
        <f>IF($K54="","",INDEX('Detalle individual'!$A:$A,$K54))</f>
        <v>897</v>
      </c>
      <c r="D54" s="64" t="str">
        <f>IF($K54="","",TRIM(INDEX('Detalle individual'!$B:$B,$K54)))</f>
        <v>GERARDO ALEXANDER MARTINEZ RIVERA</v>
      </c>
      <c r="E54" s="64" t="str">
        <f>IF($K54="","",TRIM(INDEX('Detalle individual'!$E:$E,$K54)))</f>
        <v>ANALISTA DE COMUNICACIONES</v>
      </c>
      <c r="F54" s="64" t="str">
        <f>IF($K54="","",TRIM(INDEX('Detalle individual'!$C:$C,$K54)))</f>
        <v>DEPARTAMENTO DE MERCADEO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IFERROR(MOD(SMALL('Cálculos'!$Z$5:$Z$1000,46),10000),"")</f>
        <v>150</v>
      </c>
    </row>
    <row r="55">
      <c r="B55" s="63">
        <f>IF($K55="","",47)</f>
        <v>47</v>
      </c>
      <c r="C55" s="63" t="str">
        <f>IF($K55="","",INDEX('Detalle individual'!$A:$A,$K55))</f>
        <v>90</v>
      </c>
      <c r="D55" s="64" t="str">
        <f>IF($K55="","",TRIM(INDEX('Detalle individual'!$B:$B,$K55)))</f>
        <v>HUGO MARVIN SERRANO SARAVIA</v>
      </c>
      <c r="E55" s="64" t="str">
        <f>IF($K55="","",TRIM(INDEX('Detalle individual'!$E:$E,$K55)))</f>
        <v>OPERADOR DE SISTEMAS</v>
      </c>
      <c r="F55" s="64" t="str">
        <f>IF($K55="","",TRIM(INDEX('Detalle individual'!$C:$C,$K55)))</f>
        <v>DEPARTAMENTO DE OPERACIONES Y SOPORTE TECNICO</v>
      </c>
      <c r="G55" s="64" t="str">
        <f>IF($K55="","",INDEX('Detalle individual'!$D:$D,$K55))</f>
        <v>Gerencia de Sistemas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IFERROR(MOD(SMALL('Cálculos'!$Z$5:$Z$1000,47),10000),"")</f>
        <v>104</v>
      </c>
    </row>
    <row r="56">
      <c r="B56" s="63">
        <f>IF($K56="","",48)</f>
        <v>48</v>
      </c>
      <c r="C56" s="63" t="str">
        <f>IF($K56="","",INDEX('Detalle individual'!$A:$A,$K56))</f>
        <v>839</v>
      </c>
      <c r="D56" s="64" t="str">
        <f>IF($K56="","",TRIM(INDEX('Detalle individual'!$B:$B,$K56)))</f>
        <v>RAFAEL ANDRES MARAVILLA GUERRA</v>
      </c>
      <c r="E56" s="64" t="str">
        <f>IF($K56="","",TRIM(INDEX('Detalle individual'!$E:$E,$K56)))</f>
        <v>ASISTENTE DE ANALISIS Y NORMATIVAS</v>
      </c>
      <c r="F56" s="64" t="str">
        <f>IF($K56="","",TRIM(INDEX('Detalle individual'!$C:$C,$K56)))</f>
        <v>DEPARTAMENTO DE PLANIFICACIÓN Y ANALISIS</v>
      </c>
      <c r="G56" s="64" t="str">
        <f>IF($K56="","",INDEX('Detalle individual'!$D:$D,$K56))</f>
        <v>Gerencia de Finanzas y Planificación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IFERROR(MOD(SMALL('Cálculos'!$Z$5:$Z$1000,48),10000),"")</f>
        <v>99</v>
      </c>
    </row>
    <row r="57">
      <c r="B57" s="63">
        <f>IF($K57="","",49)</f>
        <v>49</v>
      </c>
      <c r="C57" s="63" t="str">
        <f>IF($K57="","",INDEX('Detalle individual'!$A:$A,$K57))</f>
        <v>802</v>
      </c>
      <c r="D57" s="64" t="str">
        <f>IF($K57="","",TRIM(INDEX('Detalle individual'!$B:$B,$K57)))</f>
        <v>ERIKA VANESSA ALEMAN MIJANGO</v>
      </c>
      <c r="E57" s="64" t="str">
        <f>IF($K57="","",TRIM(INDEX('Detalle individual'!$E:$E,$K57)))</f>
        <v>EJECUTIVO DE VENTA DE SEGUROS</v>
      </c>
      <c r="F57" s="64" t="str">
        <f>IF($K57="","",TRIM(INDEX('Detalle individual'!$C:$C,$K57)))</f>
        <v>DEPARTAMENTO DE SEGUROS</v>
      </c>
      <c r="G57" s="64" t="str">
        <f>IF($K57="","",INDEX('Detalle individual'!$D:$D,$K57))</f>
        <v>Gerencia de Negocios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IFERROR(MOD(SMALL('Cálculos'!$Z$5:$Z$1000,49),10000),"")</f>
        <v>172</v>
      </c>
    </row>
    <row r="58">
      <c r="B58" s="63">
        <f>IF($K58="","",50)</f>
        <v>50</v>
      </c>
      <c r="C58" s="63" t="str">
        <f>IF($K58="","",INDEX('Detalle individual'!$A:$A,$K58))</f>
        <v>885</v>
      </c>
      <c r="D58" s="64" t="str">
        <f>IF($K58="","",TRIM(INDEX('Detalle individual'!$B:$B,$K58)))</f>
        <v>ALBA BEATRIZ MELENDEZ PRUDENCIO</v>
      </c>
      <c r="E58" s="64" t="str">
        <f>IF($K58="","",TRIM(INDEX('Detalle individual'!$E:$E,$K58)))</f>
        <v>ASISTENTE DE RECUPERACION JUDICIAL Y CARTERA CASTIGADA</v>
      </c>
      <c r="F58" s="64" t="str">
        <f>IF($K58="","",TRIM(INDEX('Detalle individual'!$C:$C,$K58)))</f>
        <v>DEPARTAMENTO DE SOLUCIONES FINANCIERAS</v>
      </c>
      <c r="G58" s="64" t="str">
        <f>IF($K58="","",INDEX('Detalle individual'!$D:$D,$K58))</f>
        <v>Gerencia de Operaciones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IFERROR(MOD(SMALL('Cálculos'!$Z$5:$Z$1000,50),10000),"")</f>
        <v>68</v>
      </c>
    </row>
    <row r="59">
      <c r="B59" s="63">
        <f>IF($K59="","",51)</f>
        <v>51</v>
      </c>
      <c r="C59" s="63" t="str">
        <f>IF($K59="","",INDEX('Detalle individual'!$A:$A,$K59))</f>
        <v>65</v>
      </c>
      <c r="D59" s="64" t="str">
        <f>IF($K59="","",TRIM(INDEX('Detalle individual'!$B:$B,$K59)))</f>
        <v>DORA ALICIA CASTILLO</v>
      </c>
      <c r="E59" s="64" t="str">
        <f>IF($K59="","",TRIM(INDEX('Detalle individual'!$E:$E,$K59)))</f>
        <v>JEFE DE TALENTO HUMANO</v>
      </c>
      <c r="F59" s="64" t="str">
        <f>IF($K59="","",TRIM(INDEX('Detalle individual'!$C:$C,$K59)))</f>
        <v>DEPARTAMENTO DE TALENTO HUMANO</v>
      </c>
      <c r="G59" s="64" t="str">
        <f>IF($K59="","",INDEX('Detalle individual'!$D:$D,$K59))</f>
        <v>Gerencia Administrativa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IFERROR(MOD(SMALL('Cálculos'!$Z$5:$Z$1000,51),10000),"")</f>
        <v>49</v>
      </c>
    </row>
    <row r="60">
      <c r="B60" s="63">
        <f>IF($K60="","",52)</f>
        <v>52</v>
      </c>
      <c r="C60" s="63" t="str">
        <f>IF($K60="","",INDEX('Detalle individual'!$A:$A,$K60))</f>
        <v>389</v>
      </c>
      <c r="D60" s="64" t="str">
        <f>IF($K60="","",TRIM(INDEX('Detalle individual'!$B:$B,$K60)))</f>
        <v>CLAUDIA CAROLINA HERNANDEZ DE PAZ</v>
      </c>
      <c r="E60" s="64" t="str">
        <f>IF($K60="","",TRIM(INDEX('Detalle individual'!$E:$E,$K60)))</f>
        <v>ASISTENTE TECNICO DE INTERCAMBIO DE TARJETAS</v>
      </c>
      <c r="F60" s="64" t="str">
        <f>IF($K60="","",TRIM(INDEX('Detalle individual'!$C:$C,$K60)))</f>
        <v>DEPARTAMENTO DE TARJETA DE CREDITO Y DEBITO</v>
      </c>
      <c r="G60" s="64" t="str">
        <f>IF($K60="","",INDEX('Detalle individual'!$D:$D,$K60))</f>
        <v>Gerencia de Operaciones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IFERROR(MOD(SMALL('Cálculos'!$Z$5:$Z$1000,52),10000),"")</f>
        <v>69</v>
      </c>
    </row>
    <row r="61">
      <c r="B61" s="63">
        <f>IF($K61="","",53)</f>
        <v>53</v>
      </c>
      <c r="C61" s="63" t="str">
        <f>IF($K61="","",INDEX('Detalle individual'!$A:$A,$K61))</f>
        <v>399</v>
      </c>
      <c r="D61" s="64" t="str">
        <f>IF($K61="","",TRIM(INDEX('Detalle individual'!$B:$B,$K61)))</f>
        <v>GEOVANNI LIZAMA PORTILLO</v>
      </c>
      <c r="E61" s="64" t="str">
        <f>IF($K61="","",TRIM(INDEX('Detalle individual'!$E:$E,$K61)))</f>
        <v>JEFE DE TARJETA DE CREDITO Y DEBITO</v>
      </c>
      <c r="F61" s="64" t="str">
        <f>IF($K61="","",TRIM(INDEX('Detalle individual'!$C:$C,$K61)))</f>
        <v>DEPARTAMENTO DE TARJETA DE CREDITO Y DEBITO</v>
      </c>
      <c r="G61" s="64" t="str">
        <f>IF($K61="","",INDEX('Detalle individual'!$D:$D,$K61))</f>
        <v>Gerencia de Operaciones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IFERROR(MOD(SMALL('Cálculos'!$Z$5:$Z$1000,53),10000),"")</f>
        <v>70</v>
      </c>
    </row>
    <row r="62">
      <c r="B62" s="63">
        <f>IF($K62="","",54)</f>
        <v>54</v>
      </c>
      <c r="C62" s="63" t="str">
        <f>IF($K62="","",INDEX('Detalle individual'!$A:$A,$K62))</f>
        <v>741</v>
      </c>
      <c r="D62" s="64" t="str">
        <f>IF($K62="","",TRIM(INDEX('Detalle individual'!$B:$B,$K62)))</f>
        <v>JOSE HUMBERTO BARILLAS BURGOS</v>
      </c>
      <c r="E62" s="64" t="str">
        <f>IF($K62="","",TRIM(INDEX('Detalle individual'!$E:$E,$K62)))</f>
        <v>GERENTE DE NEGOCIOS</v>
      </c>
      <c r="F62" s="64" t="str">
        <f>IF($K62="","",TRIM(INDEX('Detalle individual'!$C:$C,$K62)))</f>
        <v>GERENCIA DE NEGOCIOS</v>
      </c>
      <c r="G62" s="64" t="str">
        <f>IF($K62="","",INDEX('Detalle individual'!$D:$D,$K62))</f>
        <v>Gerencia de Negocios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IFERROR(MOD(SMALL('Cálculos'!$Z$5:$Z$1000,54),10000),"")</f>
        <v>11</v>
      </c>
    </row>
    <row r="63">
      <c r="B63" s="63">
        <f>IF($K63="","",55)</f>
        <v>55</v>
      </c>
      <c r="C63" s="63" t="str">
        <f>IF($K63="","",INDEX('Detalle individual'!$A:$A,$K63))</f>
        <v>41</v>
      </c>
      <c r="D63" s="64" t="str">
        <f>IF($K63="","",TRIM(INDEX('Detalle individual'!$B:$B,$K63)))</f>
        <v>ROQUE RAFAEL REYES ESPINAL</v>
      </c>
      <c r="E63" s="64" t="str">
        <f>IF($K63="","",TRIM(INDEX('Detalle individual'!$E:$E,$K63)))</f>
        <v>GERENTE DE OPERACIONES</v>
      </c>
      <c r="F63" s="64" t="str">
        <f>IF($K63="","",TRIM(INDEX('Detalle individual'!$C:$C,$K63)))</f>
        <v>GERENCIA DE OPERACIONES</v>
      </c>
      <c r="G63" s="64" t="str">
        <f>IF($K63="","",INDEX('Detalle individual'!$D:$D,$K63))</f>
        <v>Gerencia de Operaciones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IFERROR(MOD(SMALL('Cálculos'!$Z$5:$Z$1000,55),10000),"")</f>
        <v>7</v>
      </c>
    </row>
    <row r="64">
      <c r="B64" s="63">
        <f>IF($K64="","",56)</f>
        <v>56</v>
      </c>
      <c r="C64" s="63" t="str">
        <f>IF($K64="","",INDEX('Detalle individual'!$A:$A,$K64))</f>
        <v>878</v>
      </c>
      <c r="D64" s="64" t="str">
        <f>IF($K64="","",TRIM(INDEX('Detalle individual'!$B:$B,$K64)))</f>
        <v>ALEX VIRGILIO AGUILAR ARIAS</v>
      </c>
      <c r="E64" s="64" t="str">
        <f>IF($K64="","",TRIM(INDEX('Detalle individual'!$E:$E,$K64)))</f>
        <v>GERENTE DE SISTEMAS</v>
      </c>
      <c r="F64" s="64" t="str">
        <f>IF($K64="","",TRIM(INDEX('Detalle individual'!$C:$C,$K64)))</f>
        <v>GERENCIA DE SISTEMAS</v>
      </c>
      <c r="G64" s="64" t="str">
        <f>IF($K64="","",INDEX('Detalle individual'!$D:$D,$K64))</f>
        <v>Gerencia de Sistemas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IFERROR(MOD(SMALL('Cálculos'!$Z$5:$Z$1000,56),10000),"")</f>
        <v>9</v>
      </c>
    </row>
    <row r="65">
      <c r="B65" s="63">
        <f>IF($K65="","",57)</f>
        <v>57</v>
      </c>
      <c r="C65" s="63" t="str">
        <f>IF($K65="","",INDEX('Detalle individual'!$A:$A,$K65))</f>
        <v>409</v>
      </c>
      <c r="D65" s="64" t="str">
        <f>IF($K65="","",TRIM(INDEX('Detalle individual'!$B:$B,$K65)))</f>
        <v>PEDRO ERNESTO MORÁN RAMÍREZ</v>
      </c>
      <c r="E65" s="64" t="str">
        <f>IF($K65="","",TRIM(INDEX('Detalle individual'!$E:$E,$K65)))</f>
        <v>ADMINISTRADOR DE BASE DE DATOS</v>
      </c>
      <c r="F65" s="64" t="str">
        <f>IF($K65="","",TRIM(INDEX('Detalle individual'!$C:$C,$K65)))</f>
        <v>ADMINISTRACION DE BASE DE DATOS</v>
      </c>
      <c r="G65" s="64" t="str">
        <f>IF($K65="","",INDEX('Detalle individual'!$D:$D,$K65))</f>
        <v>Gerencia de Sistemas</v>
      </c>
      <c r="H65" s="63" t="str">
        <f>IF($K65="","",INDEX('Detalle individual'!$F:$F,$K65))</f>
        <v>Completado</v>
      </c>
      <c r="I65" s="77">
        <f>IF($K65="","",IF(INDEX('Detalle individual'!$F:$F,$K65)="Completado",INDEX('Detalle individual'!$H:$H,$K65),""))</f>
        <v>46300.696018518516</v>
      </c>
      <c r="J65" s="78">
        <f>IF($K65="","",IF(INDEX('Detalle individual'!$F:$F,$K65)="Completado",INDEX('Detalle individual'!$J:$J,$K65),""))</f>
        <v>95</v>
      </c>
      <c r="K65">
        <f>IFERROR(MOD(SMALL('Cálculos'!$Z$5:$Z$1000,57),10000),"")</f>
        <v>122</v>
      </c>
    </row>
    <row r="66">
      <c r="B66" s="63">
        <f>IF($K66="","",58)</f>
        <v>58</v>
      </c>
      <c r="C66" s="63" t="str">
        <f>IF($K66="","",INDEX('Detalle individual'!$A:$A,$K66))</f>
        <v>16</v>
      </c>
      <c r="D66" s="64" t="str">
        <f>IF($K66="","",TRIM(INDEX('Detalle individual'!$B:$B,$K66)))</f>
        <v>YANETH MARLENY LANDAVERDE MORALES</v>
      </c>
      <c r="E66" s="64" t="str">
        <f>IF($K66="","",TRIM(INDEX('Detalle individual'!$E:$E,$K66)))</f>
        <v>JEFE DE ADMINISTRACION DE CARTERA</v>
      </c>
      <c r="F66" s="64" t="str">
        <f>IF($K66="","",TRIM(INDEX('Detalle individual'!$C:$C,$K66)))</f>
        <v>ADMINISTRACIÓN DE CARTERAS</v>
      </c>
      <c r="G66" s="64" t="str">
        <f>IF($K66="","",INDEX('Detalle individual'!$D:$D,$K66))</f>
        <v>Gerencia de Operaciones</v>
      </c>
      <c r="H66" s="63" t="str">
        <f>IF($K66="","",INDEX('Detalle individual'!$F:$F,$K66))</f>
        <v>Completado</v>
      </c>
      <c r="I66" s="77">
        <f>IF($K66="","",IF(INDEX('Detalle individual'!$F:$F,$K66)="Completado",INDEX('Detalle individual'!$H:$H,$K66),""))</f>
        <v>46307.675532407404</v>
      </c>
      <c r="J66" s="78">
        <f>IF($K66="","",IF(INDEX('Detalle individual'!$F:$F,$K66)="Completado",INDEX('Detalle individual'!$J:$J,$K66),""))</f>
        <v>100</v>
      </c>
      <c r="K66">
        <f>IFERROR(MOD(SMALL('Cálculos'!$Z$5:$Z$1000,58),10000),"")</f>
        <v>79</v>
      </c>
    </row>
    <row r="67">
      <c r="B67" s="63">
        <f>IF($K67="","",59)</f>
        <v>59</v>
      </c>
      <c r="C67" s="63" t="str">
        <f>IF($K67="","",INDEX('Detalle individual'!$A:$A,$K67))</f>
        <v>477</v>
      </c>
      <c r="D67" s="64" t="str">
        <f>IF($K67="","",TRIM(INDEX('Detalle individual'!$B:$B,$K67)))</f>
        <v>GEMA YESENIA VILLALOBOS HERNANDEZ</v>
      </c>
      <c r="E67" s="64" t="str">
        <f>IF($K67="","",TRIM(INDEX('Detalle individual'!$E:$E,$K67)))</f>
        <v>ANALISTA DE CARTERAS</v>
      </c>
      <c r="F67" s="64" t="str">
        <f>IF($K67="","",TRIM(INDEX('Detalle individual'!$C:$C,$K67)))</f>
        <v>ADMINISTRACIÓN DE CARTERAS</v>
      </c>
      <c r="G67" s="64" t="str">
        <f>IF($K67="","",INDEX('Detalle individual'!$D:$D,$K67))</f>
        <v>Gerencia de Operaciones</v>
      </c>
      <c r="H67" s="63" t="str">
        <f>IF($K67="","",INDEX('Detalle individual'!$F:$F,$K67))</f>
        <v>Completado</v>
      </c>
      <c r="I67" s="77">
        <f>IF($K67="","",IF(INDEX('Detalle individual'!$F:$F,$K67)="Completado",INDEX('Detalle individual'!$H:$H,$K67),""))</f>
        <v>46307.65584490741</v>
      </c>
      <c r="J67" s="78">
        <f>IF($K67="","",IF(INDEX('Detalle individual'!$F:$F,$K67)="Completado",INDEX('Detalle individual'!$J:$J,$K67),""))</f>
        <v>100</v>
      </c>
      <c r="K67">
        <f>IFERROR(MOD(SMALL('Cálculos'!$Z$5:$Z$1000,59),10000),"")</f>
        <v>80</v>
      </c>
    </row>
    <row r="68">
      <c r="B68" s="63">
        <f>IF($K68="","",60)</f>
        <v>60</v>
      </c>
      <c r="C68" s="63" t="str">
        <f>IF($K68="","",INDEX('Detalle individual'!$A:$A,$K68))</f>
        <v>572</v>
      </c>
      <c r="D68" s="64" t="str">
        <f>IF($K68="","",TRIM(INDEX('Detalle individual'!$B:$B,$K68)))</f>
        <v>PAMELA GIOVANNA AGUILAR SERBELLON</v>
      </c>
      <c r="E68" s="64" t="str">
        <f>IF($K68="","",TRIM(INDEX('Detalle individual'!$E:$E,$K68)))</f>
        <v>GESTOR DE COBROS Y PAGOS DE SEGUROS</v>
      </c>
      <c r="F68" s="64" t="str">
        <f>IF($K68="","",TRIM(INDEX('Detalle individual'!$C:$C,$K68)))</f>
        <v>ADMINISTRACIÓN DE CARTERAS</v>
      </c>
      <c r="G68" s="64" t="str">
        <f>IF($K68="","",INDEX('Detalle individual'!$D:$D,$K68))</f>
        <v>Gerencia de Operaciones</v>
      </c>
      <c r="H68" s="63" t="str">
        <f>IF($K68="","",INDEX('Detalle individual'!$F:$F,$K68))</f>
        <v>Completado</v>
      </c>
      <c r="I68" s="77">
        <f>IF($K68="","",IF(INDEX('Detalle individual'!$F:$F,$K68)="Completado",INDEX('Detalle individual'!$H:$H,$K68),""))</f>
        <v>46304.51201388889</v>
      </c>
      <c r="J68" s="78">
        <f>IF($K68="","",IF(INDEX('Detalle individual'!$F:$F,$K68)="Completado",INDEX('Detalle individual'!$J:$J,$K68),""))</f>
        <v>100</v>
      </c>
      <c r="K68">
        <f>IFERROR(MOD(SMALL('Cálculos'!$Z$5:$Z$1000,60),10000),"")</f>
        <v>81</v>
      </c>
    </row>
    <row r="69">
      <c r="B69" s="63">
        <f>IF($K69="","",61)</f>
        <v>61</v>
      </c>
      <c r="C69" s="63" t="str">
        <f>IF($K69="","",INDEX('Detalle individual'!$A:$A,$K69))</f>
        <v>931</v>
      </c>
      <c r="D69" s="64" t="str">
        <f>IF($K69="","",TRIM(INDEX('Detalle individual'!$B:$B,$K69)))</f>
        <v>LOYDA ARACELY RAMOS CAÑENGUEZ</v>
      </c>
      <c r="E69" s="64" t="str">
        <f>IF($K69="","",TRIM(INDEX('Detalle individual'!$E:$E,$K69)))</f>
        <v>ANALISTA DE PRESTAMOS</v>
      </c>
      <c r="F69" s="64" t="str">
        <f>IF($K69="","",TRIM(INDEX('Detalle individual'!$C:$C,$K69)))</f>
        <v>ADMINISTRACIÓN DE CARTERAS</v>
      </c>
      <c r="G69" s="64" t="str">
        <f>IF($K69="","",INDEX('Detalle individual'!$D:$D,$K69))</f>
        <v>Gerencia de Operaciones</v>
      </c>
      <c r="H69" s="63" t="str">
        <f>IF($K69="","",INDEX('Detalle individual'!$F:$F,$K69))</f>
        <v>Completado</v>
      </c>
      <c r="I69" s="77">
        <f>IF($K69="","",IF(INDEX('Detalle individual'!$F:$F,$K69)="Completado",INDEX('Detalle individual'!$H:$H,$K69),""))</f>
        <v>46304.56716435185</v>
      </c>
      <c r="J69" s="78">
        <f>IF($K69="","",IF(INDEX('Detalle individual'!$F:$F,$K69)="Completado",INDEX('Detalle individual'!$J:$J,$K69),""))</f>
        <v>100</v>
      </c>
      <c r="K69">
        <f>IFERROR(MOD(SMALL('Cálculos'!$Z$5:$Z$1000,61),10000),"")</f>
        <v>83</v>
      </c>
    </row>
    <row r="70">
      <c r="B70" s="63">
        <f>IF($K70="","",62)</f>
        <v>62</v>
      </c>
      <c r="C70" s="63" t="str">
        <f>IF($K70="","",INDEX('Detalle individual'!$A:$A,$K70))</f>
        <v>290</v>
      </c>
      <c r="D70" s="64" t="str">
        <f>IF($K70="","",TRIM(INDEX('Detalle individual'!$B:$B,$K70)))</f>
        <v>MELVIN ENRIQUE PORTILLO VALLE</v>
      </c>
      <c r="E70" s="64" t="str">
        <f>IF($K70="","",TRIM(INDEX('Detalle individual'!$E:$E,$K70)))</f>
        <v>ANALISTA DE RIESGOS FINANCIEROS</v>
      </c>
      <c r="F70" s="64" t="str">
        <f>IF($K70="","",TRIM(INDEX('Detalle individual'!$C:$C,$K70)))</f>
        <v>ADMINISTRACION DE RIESGOS</v>
      </c>
      <c r="G70" s="64" t="str">
        <f>IF($K70="","",INDEX('Detalle individual'!$D:$D,$K70))</f>
        <v>Gerencia General</v>
      </c>
      <c r="H70" s="63" t="str">
        <f>IF($K70="","",INDEX('Detalle individual'!$F:$F,$K70))</f>
        <v>Completado</v>
      </c>
      <c r="I70" s="77">
        <f>IF($K70="","",IF(INDEX('Detalle individual'!$F:$F,$K70)="Completado",INDEX('Detalle individual'!$H:$H,$K70),""))</f>
        <v>46304.40962962963</v>
      </c>
      <c r="J70" s="78">
        <f>IF($K70="","",IF(INDEX('Detalle individual'!$F:$F,$K70)="Completado",INDEX('Detalle individual'!$J:$J,$K70),""))</f>
        <v>100</v>
      </c>
      <c r="K70">
        <f>IFERROR(MOD(SMALL('Cálculos'!$Z$5:$Z$1000,62),10000),"")</f>
        <v>14</v>
      </c>
    </row>
    <row r="71">
      <c r="B71" s="63">
        <f>IF($K71="","",63)</f>
        <v>63</v>
      </c>
      <c r="C71" s="63" t="str">
        <f>IF($K71="","",INDEX('Detalle individual'!$A:$A,$K71))</f>
        <v>408</v>
      </c>
      <c r="D71" s="64" t="str">
        <f>IF($K71="","",TRIM(INDEX('Detalle individual'!$B:$B,$K71)))</f>
        <v>SARA PATRICIA GONZALEZ JIMENEZ</v>
      </c>
      <c r="E71" s="64" t="str">
        <f>IF($K71="","",TRIM(INDEX('Detalle individual'!$E:$E,$K71)))</f>
        <v>ASISTENTE TECNICO DE RIESGOS</v>
      </c>
      <c r="F71" s="64" t="str">
        <f>IF($K71="","",TRIM(INDEX('Detalle individual'!$C:$C,$K71)))</f>
        <v>ADMINISTRACION DE RIESGOS</v>
      </c>
      <c r="G71" s="64" t="str">
        <f>IF($K71="","",INDEX('Detalle individual'!$D:$D,$K71))</f>
        <v>Gerencia General</v>
      </c>
      <c r="H71" s="63" t="str">
        <f>IF($K71="","",INDEX('Detalle individual'!$F:$F,$K71))</f>
        <v>Completado</v>
      </c>
      <c r="I71" s="77">
        <f>IF($K71="","",IF(INDEX('Detalle individual'!$F:$F,$K71)="Completado",INDEX('Detalle individual'!$H:$H,$K71),""))</f>
        <v>46296.438796296294</v>
      </c>
      <c r="J71" s="78">
        <f>IF($K71="","",IF(INDEX('Detalle individual'!$F:$F,$K71)="Completado",INDEX('Detalle individual'!$J:$J,$K71),""))</f>
        <v>100</v>
      </c>
      <c r="K71">
        <f>IFERROR(MOD(SMALL('Cálculos'!$Z$5:$Z$1000,63),10000),"")</f>
        <v>15</v>
      </c>
    </row>
    <row r="72">
      <c r="B72" s="63">
        <f>IF($K72="","",64)</f>
        <v>64</v>
      </c>
      <c r="C72" s="63" t="str">
        <f>IF($K72="","",INDEX('Detalle individual'!$A:$A,$K72))</f>
        <v>433</v>
      </c>
      <c r="D72" s="64" t="str">
        <f>IF($K72="","",TRIM(INDEX('Detalle individual'!$B:$B,$K72)))</f>
        <v>SILVIA IVETH MARTINEZ RAMIREZ</v>
      </c>
      <c r="E72" s="64" t="str">
        <f>IF($K72="","",TRIM(INDEX('Detalle individual'!$E:$E,$K72)))</f>
        <v>ANALISTA DE RIESGO OPERACIONAL</v>
      </c>
      <c r="F72" s="64" t="str">
        <f>IF($K72="","",TRIM(INDEX('Detalle individual'!$C:$C,$K72)))</f>
        <v>ADMINISTRACION DE RIESGOS</v>
      </c>
      <c r="G72" s="64" t="str">
        <f>IF($K72="","",INDEX('Detalle individual'!$D:$D,$K72))</f>
        <v>Gerencia General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46300.6309837963</v>
      </c>
      <c r="J72" s="78">
        <f>IF($K72="","",IF(INDEX('Detalle individual'!$F:$F,$K72)="Completado",INDEX('Detalle individual'!$J:$J,$K72),""))</f>
        <v>100</v>
      </c>
      <c r="K72">
        <f>IFERROR(MOD(SMALL('Cálculos'!$Z$5:$Z$1000,64),10000),"")</f>
        <v>16</v>
      </c>
    </row>
    <row r="73">
      <c r="B73" s="63">
        <f>IF($K73="","",65)</f>
        <v>65</v>
      </c>
      <c r="C73" s="63" t="str">
        <f>IF($K73="","",INDEX('Detalle individual'!$A:$A,$K73))</f>
        <v>928</v>
      </c>
      <c r="D73" s="64" t="str">
        <f>IF($K73="","",TRIM(INDEX('Detalle individual'!$B:$B,$K73)))</f>
        <v>HENRRY DANIEL ESCAMILLA ZALDAÑA</v>
      </c>
      <c r="E73" s="64" t="str">
        <f>IF($K73="","",TRIM(INDEX('Detalle individual'!$E:$E,$K73)))</f>
        <v>JEFE DE ADMINISTRACION DE RIESGOS</v>
      </c>
      <c r="F73" s="64" t="str">
        <f>IF($K73="","",TRIM(INDEX('Detalle individual'!$C:$C,$K73)))</f>
        <v>ADMINISTRACION DE RIESGOS</v>
      </c>
      <c r="G73" s="64" t="str">
        <f>IF($K73="","",INDEX('Detalle individual'!$D:$D,$K73))</f>
        <v>Gerencia General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46305.39865740741</v>
      </c>
      <c r="J73" s="78">
        <f>IF($K73="","",IF(INDEX('Detalle individual'!$F:$F,$K73)="Completado",INDEX('Detalle individual'!$J:$J,$K73),""))</f>
        <v>100</v>
      </c>
      <c r="K73">
        <f>IFERROR(MOD(SMALL('Cálculos'!$Z$5:$Z$1000,65),10000),"")</f>
        <v>17</v>
      </c>
    </row>
    <row r="74">
      <c r="B74" s="63">
        <f>IF($K74="","",66)</f>
        <v>66</v>
      </c>
      <c r="C74" s="63" t="str">
        <f>IF($K74="","",INDEX('Detalle individual'!$A:$A,$K74))</f>
        <v>33</v>
      </c>
      <c r="D74" s="64" t="str">
        <f>IF($K74="","",TRIM(INDEX('Detalle individual'!$B:$B,$K74)))</f>
        <v>CAROLINA ELIZABETH RAMIREZ PONCE</v>
      </c>
      <c r="E74" s="64" t="str">
        <f>IF($K74="","",TRIM(INDEX('Detalle individual'!$E:$E,$K74)))</f>
        <v>SUBJEFE DE AGENCIA</v>
      </c>
      <c r="F74" s="64" t="str">
        <f>IF($K74="","",TRIM(INDEX('Detalle individual'!$C:$C,$K74)))</f>
        <v>AGENCIA CENTRAL</v>
      </c>
      <c r="G74" s="64" t="str">
        <f>IF($K74="","",INDEX('Detalle individual'!$D:$D,$K74))</f>
        <v>Gerencia de Negocios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46308.61247685185</v>
      </c>
      <c r="J74" s="78">
        <f>IF($K74="","",IF(INDEX('Detalle individual'!$F:$F,$K74)="Completado",INDEX('Detalle individual'!$J:$J,$K74),""))</f>
        <v>100</v>
      </c>
      <c r="K74">
        <f>IFERROR(MOD(SMALL('Cálculos'!$Z$5:$Z$1000,66),10000),"")</f>
        <v>191</v>
      </c>
    </row>
    <row r="75">
      <c r="B75" s="63">
        <f>IF($K75="","",67)</f>
        <v>67</v>
      </c>
      <c r="C75" s="63" t="str">
        <f>IF($K75="","",INDEX('Detalle individual'!$A:$A,$K75))</f>
        <v>542</v>
      </c>
      <c r="D75" s="64" t="str">
        <f>IF($K75="","",TRIM(INDEX('Detalle individual'!$B:$B,$K75)))</f>
        <v>ANA SILVIA ROQUE SANCHEZ</v>
      </c>
      <c r="E75" s="64" t="str">
        <f>IF($K75="","",TRIM(INDEX('Detalle individual'!$E:$E,$K75)))</f>
        <v>EJECUTIVA DE SEGUROS</v>
      </c>
      <c r="F75" s="64" t="str">
        <f>IF($K75="","",TRIM(INDEX('Detalle individual'!$C:$C,$K75)))</f>
        <v>AGENCIA CENTRAL</v>
      </c>
      <c r="G75" s="64" t="str">
        <f>IF($K75="","",INDEX('Detalle individual'!$D:$D,$K75))</f>
        <v>Gerencia de Negocios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46302.67400462963</v>
      </c>
      <c r="J75" s="78">
        <f>IF($K75="","",IF(INDEX('Detalle individual'!$F:$F,$K75)="Completado",INDEX('Detalle individual'!$J:$J,$K75),""))</f>
        <v>95</v>
      </c>
      <c r="K75">
        <f>IFERROR(MOD(SMALL('Cálculos'!$Z$5:$Z$1000,67),10000),"")</f>
        <v>197</v>
      </c>
    </row>
    <row r="76">
      <c r="B76" s="63">
        <f>IF($K76="","",68)</f>
        <v>68</v>
      </c>
      <c r="C76" s="63" t="str">
        <f>IF($K76="","",INDEX('Detalle individual'!$A:$A,$K76))</f>
        <v>757</v>
      </c>
      <c r="D76" s="64" t="str">
        <f>IF($K76="","",TRIM(INDEX('Detalle individual'!$B:$B,$K76)))</f>
        <v>MARIA DE LOS ANGELES OSORIO GIL</v>
      </c>
      <c r="E76" s="64" t="str">
        <f>IF($K76="","",TRIM(INDEX('Detalle individual'!$E:$E,$K76)))</f>
        <v>CAJERO</v>
      </c>
      <c r="F76" s="64" t="str">
        <f>IF($K76="","",TRIM(INDEX('Detalle individual'!$C:$C,$K76)))</f>
        <v>AGENCIA CENTRAL</v>
      </c>
      <c r="G76" s="64" t="str">
        <f>IF($K76="","",INDEX('Detalle individual'!$D:$D,$K76))</f>
        <v>Gerencia de Negocios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46303.443460648145</v>
      </c>
      <c r="J76" s="78">
        <f>IF($K76="","",IF(INDEX('Detalle individual'!$F:$F,$K76)="Completado",INDEX('Detalle individual'!$J:$J,$K76),""))</f>
        <v>100</v>
      </c>
      <c r="K76">
        <f>IFERROR(MOD(SMALL('Cálculos'!$Z$5:$Z$1000,68),10000),"")</f>
        <v>199</v>
      </c>
    </row>
    <row r="77">
      <c r="B77" s="63">
        <f>IF($K77="","",69)</f>
        <v>69</v>
      </c>
      <c r="C77" s="63" t="str">
        <f>IF($K77="","",INDEX('Detalle individual'!$A:$A,$K77))</f>
        <v>953</v>
      </c>
      <c r="D77" s="64" t="str">
        <f>IF($K77="","",TRIM(INDEX('Detalle individual'!$B:$B,$K77)))</f>
        <v>JESUS ADRIAN MENA AVALOS</v>
      </c>
      <c r="E77" s="64" t="str">
        <f>IF($K77="","",TRIM(INDEX('Detalle individual'!$E:$E,$K77)))</f>
        <v>CAJERO</v>
      </c>
      <c r="F77" s="64" t="str">
        <f>IF($K77="","",TRIM(INDEX('Detalle individual'!$C:$C,$K77)))</f>
        <v>AGENCIA CENTRAL</v>
      </c>
      <c r="G77" s="64" t="str">
        <f>IF($K77="","",INDEX('Detalle individual'!$D:$D,$K77))</f>
        <v>Gerencia de Negocios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46302.62670138889</v>
      </c>
      <c r="J77" s="78">
        <f>IF($K77="","",IF(INDEX('Detalle individual'!$F:$F,$K77)="Completado",INDEX('Detalle individual'!$J:$J,$K77),""))</f>
        <v>100</v>
      </c>
      <c r="K77">
        <f>IFERROR(MOD(SMALL('Cálculos'!$Z$5:$Z$1000,69),10000),"")</f>
        <v>203</v>
      </c>
    </row>
    <row r="78">
      <c r="B78" s="63">
        <f>IF($K78="","",70)</f>
        <v>70</v>
      </c>
      <c r="C78" s="63" t="str">
        <f>IF($K78="","",INDEX('Detalle individual'!$A:$A,$K78))</f>
        <v>956</v>
      </c>
      <c r="D78" s="64" t="str">
        <f>IF($K78="","",TRIM(INDEX('Detalle individual'!$B:$B,$K78)))</f>
        <v>ANGELA GABRIELA REYES MOLINA</v>
      </c>
      <c r="E78" s="64" t="str">
        <f>IF($K78="","",TRIM(INDEX('Detalle individual'!$E:$E,$K78)))</f>
        <v>CAJERO</v>
      </c>
      <c r="F78" s="64" t="str">
        <f>IF($K78="","",TRIM(INDEX('Detalle individual'!$C:$C,$K78)))</f>
        <v>AGENCIA CENTRAL</v>
      </c>
      <c r="G78" s="64" t="str">
        <f>IF($K78="","",INDEX('Detalle individual'!$D:$D,$K78))</f>
        <v>Gerencia de Negocios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46309.366736111115</v>
      </c>
      <c r="J78" s="78">
        <f>IF($K78="","",IF(INDEX('Detalle individual'!$F:$F,$K78)="Completado",INDEX('Detalle individual'!$J:$J,$K78),""))</f>
        <v>100</v>
      </c>
      <c r="K78">
        <f>IFERROR(MOD(SMALL('Cálculos'!$Z$5:$Z$1000,70),10000),"")</f>
        <v>204</v>
      </c>
    </row>
    <row r="79">
      <c r="B79" s="63">
        <f>IF($K79="","",71)</f>
        <v>71</v>
      </c>
      <c r="C79" s="63" t="str">
        <f>IF($K79="","",INDEX('Detalle individual'!$A:$A,$K79))</f>
        <v>958</v>
      </c>
      <c r="D79" s="64" t="str">
        <f>IF($K79="","",TRIM(INDEX('Detalle individual'!$B:$B,$K79)))</f>
        <v>ALEXANDRA DANIELA PINEDA JIMENEZ</v>
      </c>
      <c r="E79" s="64" t="str">
        <f>IF($K79="","",TRIM(INDEX('Detalle individual'!$E:$E,$K79)))</f>
        <v>AUXILIAR DE ATENCION A ASOCIADOS</v>
      </c>
      <c r="F79" s="64" t="str">
        <f>IF($K79="","",TRIM(INDEX('Detalle individual'!$C:$C,$K79)))</f>
        <v>AGENCIA CENTRAL</v>
      </c>
      <c r="G79" s="64" t="str">
        <f>IF($K79="","",INDEX('Detalle individual'!$D:$D,$K79))</f>
        <v>Gerencia de Negocios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46305.39554398148</v>
      </c>
      <c r="J79" s="78">
        <f>IF($K79="","",IF(INDEX('Detalle individual'!$F:$F,$K79)="Completado",INDEX('Detalle individual'!$J:$J,$K79),""))</f>
        <v>75</v>
      </c>
      <c r="K79">
        <f>IFERROR(MOD(SMALL('Cálculos'!$Z$5:$Z$1000,71),10000),"")</f>
        <v>205</v>
      </c>
    </row>
    <row r="80">
      <c r="B80" s="63">
        <f>IF($K80="","",72)</f>
        <v>72</v>
      </c>
      <c r="C80" s="63" t="str">
        <f>IF($K80="","",INDEX('Detalle individual'!$A:$A,$K80))</f>
        <v>960</v>
      </c>
      <c r="D80" s="64" t="str">
        <f>IF($K80="","",TRIM(INDEX('Detalle individual'!$B:$B,$K80)))</f>
        <v>LORENA DEL CARMEN MEJIA HERRERA</v>
      </c>
      <c r="E80" s="64" t="str">
        <f>IF($K80="","",TRIM(INDEX('Detalle individual'!$E:$E,$K80)))</f>
        <v>CAJERO</v>
      </c>
      <c r="F80" s="64" t="str">
        <f>IF($K80="","",TRIM(INDEX('Detalle individual'!$C:$C,$K80)))</f>
        <v>AGENCIA CENTRAL</v>
      </c>
      <c r="G80" s="64" t="str">
        <f>IF($K80="","",INDEX('Detalle individual'!$D:$D,$K80))</f>
        <v>Gerencia de Negocios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46302.48327546296</v>
      </c>
      <c r="J80" s="78">
        <f>IF($K80="","",IF(INDEX('Detalle individual'!$F:$F,$K80)="Completado",INDEX('Detalle individual'!$J:$J,$K80),""))</f>
        <v>100</v>
      </c>
      <c r="K80">
        <f>IFERROR(MOD(SMALL('Cálculos'!$Z$5:$Z$1000,72),10000),"")</f>
        <v>206</v>
      </c>
    </row>
    <row r="81">
      <c r="B81" s="63">
        <f>IF($K81="","",73)</f>
        <v>73</v>
      </c>
      <c r="C81" s="63" t="str">
        <f>IF($K81="","",INDEX('Detalle individual'!$A:$A,$K81))</f>
        <v>976</v>
      </c>
      <c r="D81" s="64" t="str">
        <f>IF($K81="","",TRIM(INDEX('Detalle individual'!$B:$B,$K81)))</f>
        <v>KEVIN ARTURO ANDRADE PALACIOS</v>
      </c>
      <c r="E81" s="64" t="str">
        <f>IF($K81="","",TRIM(INDEX('Detalle individual'!$E:$E,$K81)))</f>
        <v>CAJERO</v>
      </c>
      <c r="F81" s="64" t="str">
        <f>IF($K81="","",TRIM(INDEX('Detalle individual'!$C:$C,$K81)))</f>
        <v>AGENCIA CENTRAL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46302.59866898148</v>
      </c>
      <c r="J81" s="78">
        <f>IF($K81="","",IF(INDEX('Detalle individual'!$F:$F,$K81)="Completado",INDEX('Detalle individual'!$J:$J,$K81),""))</f>
        <v>100</v>
      </c>
      <c r="K81">
        <f>IFERROR(MOD(SMALL('Cálculos'!$Z$5:$Z$1000,73),10000),"")</f>
        <v>208</v>
      </c>
    </row>
    <row r="82">
      <c r="B82" s="63">
        <f>IF($K82="","",74)</f>
        <v>74</v>
      </c>
      <c r="C82" s="63" t="str">
        <f>IF($K82="","",INDEX('Detalle individual'!$A:$A,$K82))</f>
        <v>29</v>
      </c>
      <c r="D82" s="64" t="str">
        <f>IF($K82="","",TRIM(INDEX('Detalle individual'!$B:$B,$K82)))</f>
        <v>YANIRA ELIZABETH ORTEGA MIRANDA</v>
      </c>
      <c r="E82" s="64" t="str">
        <f>IF($K82="","",TRIM(INDEX('Detalle individual'!$E:$E,$K82)))</f>
        <v>SUBJEFE DE AGENCIA</v>
      </c>
      <c r="F82" s="64" t="str">
        <f>IF($K82="","",TRIM(INDEX('Detalle individual'!$C:$C,$K82)))</f>
        <v>AGENCIA COLEGIO MEDICO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46305.43096064815</v>
      </c>
      <c r="J82" s="78">
        <f>IF($K82="","",IF(INDEX('Detalle individual'!$F:$F,$K82)="Completado",INDEX('Detalle individual'!$J:$J,$K82),""))</f>
        <v>100</v>
      </c>
      <c r="K82">
        <f>IFERROR(MOD(SMALL('Cálculos'!$Z$5:$Z$1000,74),10000),"")</f>
        <v>210</v>
      </c>
    </row>
    <row r="83">
      <c r="B83" s="63">
        <f>IF($K83="","",75)</f>
        <v>75</v>
      </c>
      <c r="C83" s="63" t="str">
        <f>IF($K83="","",INDEX('Detalle individual'!$A:$A,$K83))</f>
        <v>190</v>
      </c>
      <c r="D83" s="64" t="str">
        <f>IF($K83="","",TRIM(INDEX('Detalle individual'!$B:$B,$K83)))</f>
        <v>MERCI ANTONIA CERON MEJIA</v>
      </c>
      <c r="E83" s="64" t="str">
        <f>IF($K83="","",TRIM(INDEX('Detalle individual'!$E:$E,$K83)))</f>
        <v>EJECUTIVO DE NEGOCIOS</v>
      </c>
      <c r="F83" s="64" t="str">
        <f>IF($K83="","",TRIM(INDEX('Detalle individual'!$C:$C,$K83)))</f>
        <v>AGENCIA COLEGIO MEDICO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46305.513344907406</v>
      </c>
      <c r="J83" s="78">
        <f>IF($K83="","",IF(INDEX('Detalle individual'!$F:$F,$K83)="Completado",INDEX('Detalle individual'!$J:$J,$K83),""))</f>
        <v>100</v>
      </c>
      <c r="K83">
        <f>IFERROR(MOD(SMALL('Cálculos'!$Z$5:$Z$1000,75),10000),"")</f>
        <v>211</v>
      </c>
    </row>
    <row r="84">
      <c r="B84" s="63">
        <f>IF($K84="","",76)</f>
        <v>76</v>
      </c>
      <c r="C84" s="63" t="str">
        <f>IF($K84="","",INDEX('Detalle individual'!$A:$A,$K84))</f>
        <v>360</v>
      </c>
      <c r="D84" s="64" t="str">
        <f>IF($K84="","",TRIM(INDEX('Detalle individual'!$B:$B,$K84)))</f>
        <v>PATRICIA ESMERALDA PORTILLO CESPEDES</v>
      </c>
      <c r="E84" s="64" t="str">
        <f>IF($K84="","",TRIM(INDEX('Detalle individual'!$E:$E,$K84)))</f>
        <v>JEFE DE AGENCIA</v>
      </c>
      <c r="F84" s="64" t="str">
        <f>IF($K84="","",TRIM(INDEX('Detalle individual'!$C:$C,$K84)))</f>
        <v>AGENCIA COLEGIO MEDICO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46296.47634259259</v>
      </c>
      <c r="J84" s="78">
        <f>IF($K84="","",IF(INDEX('Detalle individual'!$F:$F,$K84)="Completado",INDEX('Detalle individual'!$J:$J,$K84),""))</f>
        <v>100</v>
      </c>
      <c r="K84">
        <f>IFERROR(MOD(SMALL('Cálculos'!$Z$5:$Z$1000,76),10000),"")</f>
        <v>212</v>
      </c>
    </row>
    <row r="85">
      <c r="B85" s="63">
        <f>IF($K85="","",77)</f>
        <v>77</v>
      </c>
      <c r="C85" s="63" t="str">
        <f>IF($K85="","",INDEX('Detalle individual'!$A:$A,$K85))</f>
        <v>536</v>
      </c>
      <c r="D85" s="64" t="str">
        <f>IF($K85="","",TRIM(INDEX('Detalle individual'!$B:$B,$K85)))</f>
        <v>MARTHA ESPERANZA VALTEZ GARCIA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COLEGIO MEDICO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46305.51391203704</v>
      </c>
      <c r="J85" s="78">
        <f>IF($K85="","",IF(INDEX('Detalle individual'!$F:$F,$K85)="Completado",INDEX('Detalle individual'!$J:$J,$K85),""))</f>
        <v>100</v>
      </c>
      <c r="K85">
        <f>IFERROR(MOD(SMALL('Cálculos'!$Z$5:$Z$1000,77),10000),"")</f>
        <v>214</v>
      </c>
    </row>
    <row r="86">
      <c r="B86" s="63">
        <f>IF($K86="","",78)</f>
        <v>78</v>
      </c>
      <c r="C86" s="63" t="str">
        <f>IF($K86="","",INDEX('Detalle individual'!$A:$A,$K86))</f>
        <v>543</v>
      </c>
      <c r="D86" s="64" t="str">
        <f>IF($K86="","",TRIM(INDEX('Detalle individual'!$B:$B,$K86)))</f>
        <v>CLAUDIA ELENA GUARDADO VARELA</v>
      </c>
      <c r="E86" s="64" t="str">
        <f>IF($K86="","",TRIM(INDEX('Detalle individual'!$E:$E,$K86)))</f>
        <v>EJECUTIVA DE SEGUROS</v>
      </c>
      <c r="F86" s="64" t="str">
        <f>IF($K86="","",TRIM(INDEX('Detalle individual'!$C:$C,$K86)))</f>
        <v>AGENCIA COLEGIO MEDICO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46305.407002314816</v>
      </c>
      <c r="J86" s="78">
        <f>IF($K86="","",IF(INDEX('Detalle individual'!$F:$F,$K86)="Completado",INDEX('Detalle individual'!$J:$J,$K86),""))</f>
        <v>100</v>
      </c>
      <c r="K86">
        <f>IFERROR(MOD(SMALL('Cálculos'!$Z$5:$Z$1000,78),10000),"")</f>
        <v>215</v>
      </c>
    </row>
    <row r="87">
      <c r="B87" s="63">
        <f>IF($K87="","",79)</f>
        <v>79</v>
      </c>
      <c r="C87" s="63" t="str">
        <f>IF($K87="","",INDEX('Detalle individual'!$A:$A,$K87))</f>
        <v>811</v>
      </c>
      <c r="D87" s="64" t="str">
        <f>IF($K87="","",TRIM(INDEX('Detalle individual'!$B:$B,$K87)))</f>
        <v>JACQUELINE ADRIANA CHAVEZ SARAVIA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COLEGIO MEDICO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46305.465902777774</v>
      </c>
      <c r="J87" s="78">
        <f>IF($K87="","",IF(INDEX('Detalle individual'!$F:$F,$K87)="Completado",INDEX('Detalle individual'!$J:$J,$K87),""))</f>
        <v>90</v>
      </c>
      <c r="K87">
        <f>IFERROR(MOD(SMALL('Cálculos'!$Z$5:$Z$1000,79),10000),"")</f>
        <v>216</v>
      </c>
    </row>
    <row r="88">
      <c r="B88" s="63">
        <f>IF($K88="","",80)</f>
        <v>80</v>
      </c>
      <c r="C88" s="63" t="str">
        <f>IF($K88="","",INDEX('Detalle individual'!$A:$A,$K88))</f>
        <v>841</v>
      </c>
      <c r="D88" s="64" t="str">
        <f>IF($K88="","",TRIM(INDEX('Detalle individual'!$B:$B,$K88)))</f>
        <v>KRISSIA ANDREA DOMINGUEZ OSORIO</v>
      </c>
      <c r="E88" s="64" t="str">
        <f>IF($K88="","",TRIM(INDEX('Detalle individual'!$E:$E,$K88)))</f>
        <v>CAJERO</v>
      </c>
      <c r="F88" s="64" t="str">
        <f>IF($K88="","",TRIM(INDEX('Detalle individual'!$C:$C,$K88)))</f>
        <v>AGENCIA COLEGIO MEDICO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46305.39891203704</v>
      </c>
      <c r="J88" s="78">
        <f>IF($K88="","",IF(INDEX('Detalle individual'!$F:$F,$K88)="Completado",INDEX('Detalle individual'!$J:$J,$K88),""))</f>
        <v>100</v>
      </c>
      <c r="K88">
        <f>IFERROR(MOD(SMALL('Cálculos'!$Z$5:$Z$1000,80),10000),"")</f>
        <v>217</v>
      </c>
    </row>
    <row r="89">
      <c r="B89" s="63">
        <f>IF($K89="","",81)</f>
        <v>81</v>
      </c>
      <c r="C89" s="63" t="str">
        <f>IF($K89="","",INDEX('Detalle individual'!$A:$A,$K89))</f>
        <v>890</v>
      </c>
      <c r="D89" s="64" t="str">
        <f>IF($K89="","",TRIM(INDEX('Detalle individual'!$B:$B,$K89)))</f>
        <v>WILBER ERNESTO DIAZ GONZALEZ</v>
      </c>
      <c r="E89" s="64" t="str">
        <f>IF($K89="","",TRIM(INDEX('Detalle individual'!$E:$E,$K89)))</f>
        <v>CAJERO</v>
      </c>
      <c r="F89" s="64" t="str">
        <f>IF($K89="","",TRIM(INDEX('Detalle individual'!$C:$C,$K89)))</f>
        <v>AGENCIA COLEGIO MEDICO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46307.43005787037</v>
      </c>
      <c r="J89" s="78">
        <f>IF($K89="","",IF(INDEX('Detalle individual'!$F:$F,$K89)="Completado",INDEX('Detalle individual'!$J:$J,$K89),""))</f>
        <v>90</v>
      </c>
      <c r="K89">
        <f>IFERROR(MOD(SMALL('Cálculos'!$Z$5:$Z$1000,81),10000),"")</f>
        <v>218</v>
      </c>
    </row>
    <row r="90">
      <c r="B90" s="63">
        <f>IF($K90="","",82)</f>
        <v>82</v>
      </c>
      <c r="C90" s="63" t="str">
        <f>IF($K90="","",INDEX('Detalle individual'!$A:$A,$K90))</f>
        <v>971</v>
      </c>
      <c r="D90" s="64" t="str">
        <f>IF($K90="","",TRIM(INDEX('Detalle individual'!$B:$B,$K90)))</f>
        <v>JAQUELIN JAZMIN ROMERO FLORES</v>
      </c>
      <c r="E90" s="64" t="str">
        <f>IF($K90="","",TRIM(INDEX('Detalle individual'!$E:$E,$K90)))</f>
        <v>CAJERO</v>
      </c>
      <c r="F90" s="64" t="str">
        <f>IF($K90="","",TRIM(INDEX('Detalle individual'!$C:$C,$K90)))</f>
        <v>AGENCIA COLEGIO MEDICO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46305.44142361111</v>
      </c>
      <c r="J90" s="78">
        <f>IF($K90="","",IF(INDEX('Detalle individual'!$F:$F,$K90)="Completado",INDEX('Detalle individual'!$J:$J,$K90),""))</f>
        <v>100</v>
      </c>
      <c r="K90">
        <f>IFERROR(MOD(SMALL('Cálculos'!$Z$5:$Z$1000,82),10000),"")</f>
        <v>219</v>
      </c>
    </row>
    <row r="91">
      <c r="B91" s="63">
        <f>IF($K91="","",83)</f>
        <v>83</v>
      </c>
      <c r="C91" s="63" t="str">
        <f>IF($K91="","",INDEX('Detalle individual'!$A:$A,$K91))</f>
        <v>975</v>
      </c>
      <c r="D91" s="64" t="str">
        <f>IF($K91="","",TRIM(INDEX('Detalle individual'!$B:$B,$K91)))</f>
        <v>GABRIELA CONCEPCION GARCIA GUTIERREZ</v>
      </c>
      <c r="E91" s="64" t="str">
        <f>IF($K91="","",TRIM(INDEX('Detalle individual'!$E:$E,$K91)))</f>
        <v>AUXILIAR DE ATENCION AL ASOCIADO EN AGENCIA</v>
      </c>
      <c r="F91" s="64" t="str">
        <f>IF($K91="","",TRIM(INDEX('Detalle individual'!$C:$C,$K91)))</f>
        <v>AGENCIA COLEGIO MEDICO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46305.4796412037</v>
      </c>
      <c r="J91" s="78">
        <f>IF($K91="","",IF(INDEX('Detalle individual'!$F:$F,$K91)="Completado",INDEX('Detalle individual'!$J:$J,$K91),""))</f>
        <v>90</v>
      </c>
      <c r="K91">
        <f>IFERROR(MOD(SMALL('Cálculos'!$Z$5:$Z$1000,83),10000),"")</f>
        <v>220</v>
      </c>
    </row>
    <row r="92">
      <c r="B92" s="63">
        <f>IF($K92="","",84)</f>
        <v>84</v>
      </c>
      <c r="C92" s="63" t="str">
        <f>IF($K92="","",INDEX('Detalle individual'!$A:$A,$K92))</f>
        <v>89</v>
      </c>
      <c r="D92" s="64" t="str">
        <f>IF($K92="","",TRIM(INDEX('Detalle individual'!$B:$B,$K92)))</f>
        <v>PATRICIA JEANNETTE FLORES MARTINEZ</v>
      </c>
      <c r="E92" s="64" t="str">
        <f>IF($K92="","",TRIM(INDEX('Detalle individual'!$E:$E,$K92)))</f>
        <v>AUXILIAR DE OPERACIONES Y ATENCION EN AGENCIA</v>
      </c>
      <c r="F92" s="64" t="str">
        <f>IF($K92="","",TRIM(INDEX('Detalle individual'!$C:$C,$K92)))</f>
        <v>AGENCIA COLONIA MEDICA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46302.64712962963</v>
      </c>
      <c r="J92" s="78">
        <f>IF($K92="","",IF(INDEX('Detalle individual'!$F:$F,$K92)="Completado",INDEX('Detalle individual'!$J:$J,$K92),""))</f>
        <v>100</v>
      </c>
      <c r="K92">
        <f>IFERROR(MOD(SMALL('Cálculos'!$Z$5:$Z$1000,84),10000),"")</f>
        <v>258</v>
      </c>
    </row>
    <row r="93">
      <c r="B93" s="63">
        <f>IF($K93="","",85)</f>
        <v>85</v>
      </c>
      <c r="C93" s="63" t="str">
        <f>IF($K93="","",INDEX('Detalle individual'!$A:$A,$K93))</f>
        <v>179</v>
      </c>
      <c r="D93" s="64" t="str">
        <f>IF($K93="","",TRIM(INDEX('Detalle individual'!$B:$B,$K93)))</f>
        <v>JULIO RAFAEL FLORES HENRIQUEZ</v>
      </c>
      <c r="E93" s="64" t="str">
        <f>IF($K93="","",TRIM(INDEX('Detalle individual'!$E:$E,$K93)))</f>
        <v>JEFE DE AGENCIA</v>
      </c>
      <c r="F93" s="64" t="str">
        <f>IF($K93="","",TRIM(INDEX('Detalle individual'!$C:$C,$K93)))</f>
        <v>AGENCIA COLONIA MEDICA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46309.36565972222</v>
      </c>
      <c r="J93" s="78">
        <f>IF($K93="","",IF(INDEX('Detalle individual'!$F:$F,$K93)="Completado",INDEX('Detalle individual'!$J:$J,$K93),""))</f>
        <v>100</v>
      </c>
      <c r="K93">
        <f>IFERROR(MOD(SMALL('Cálculos'!$Z$5:$Z$1000,85),10000),"")</f>
        <v>259</v>
      </c>
    </row>
    <row r="94">
      <c r="B94" s="63">
        <f>IF($K94="","",86)</f>
        <v>86</v>
      </c>
      <c r="C94" s="63" t="str">
        <f>IF($K94="","",INDEX('Detalle individual'!$A:$A,$K94))</f>
        <v>308</v>
      </c>
      <c r="D94" s="64" t="str">
        <f>IF($K94="","",TRIM(INDEX('Detalle individual'!$B:$B,$K94)))</f>
        <v>JENNIFFER IVETTE MORALES PEREZ</v>
      </c>
      <c r="E94" s="64" t="str">
        <f>IF($K94="","",TRIM(INDEX('Detalle individual'!$E:$E,$K94)))</f>
        <v>EJECUTIVO DE NEGOCIOS</v>
      </c>
      <c r="F94" s="64" t="str">
        <f>IF($K94="","",TRIM(INDEX('Detalle individual'!$C:$C,$K94)))</f>
        <v>AGENCIA COLONIA MEDICA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46297.714895833335</v>
      </c>
      <c r="J94" s="78">
        <f>IF($K94="","",IF(INDEX('Detalle individual'!$F:$F,$K94)="Completado",INDEX('Detalle individual'!$J:$J,$K94),""))</f>
        <v>95</v>
      </c>
      <c r="K94">
        <f>IFERROR(MOD(SMALL('Cálculos'!$Z$5:$Z$1000,86),10000),"")</f>
        <v>260</v>
      </c>
    </row>
    <row r="95">
      <c r="B95" s="63">
        <f>IF($K95="","",87)</f>
        <v>87</v>
      </c>
      <c r="C95" s="63" t="str">
        <f>IF($K95="","",INDEX('Detalle individual'!$A:$A,$K95))</f>
        <v>412</v>
      </c>
      <c r="D95" s="64" t="str">
        <f>IF($K95="","",TRIM(INDEX('Detalle individual'!$B:$B,$K95)))</f>
        <v>CARMEN DE JESÚS GONZÁLEZ BLANCO</v>
      </c>
      <c r="E95" s="64" t="str">
        <f>IF($K95="","",TRIM(INDEX('Detalle individual'!$E:$E,$K95)))</f>
        <v>EJECUTIVA DE SEGUROS</v>
      </c>
      <c r="F95" s="64" t="str">
        <f>IF($K95="","",TRIM(INDEX('Detalle individual'!$C:$C,$K95)))</f>
        <v>AGENCIA COLONIA MEDICA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46302.63581018519</v>
      </c>
      <c r="J95" s="78">
        <f>IF($K95="","",IF(INDEX('Detalle individual'!$F:$F,$K95)="Completado",INDEX('Detalle individual'!$J:$J,$K95),""))</f>
        <v>100</v>
      </c>
      <c r="K95">
        <f>IFERROR(MOD(SMALL('Cálculos'!$Z$5:$Z$1000,87),10000),"")</f>
        <v>261</v>
      </c>
    </row>
    <row r="96">
      <c r="B96" s="63">
        <f>IF($K96="","",88)</f>
        <v>88</v>
      </c>
      <c r="C96" s="63" t="str">
        <f>IF($K96="","",INDEX('Detalle individual'!$A:$A,$K96))</f>
        <v>722</v>
      </c>
      <c r="D96" s="64" t="str">
        <f>IF($K96="","",TRIM(INDEX('Detalle individual'!$B:$B,$K96)))</f>
        <v>INGRID PAOLA CORADO HERNANDEZ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COLONIA MEDICA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46308.57957175926</v>
      </c>
      <c r="J96" s="78">
        <f>IF($K96="","",IF(INDEX('Detalle individual'!$F:$F,$K96)="Completado",INDEX('Detalle individual'!$J:$J,$K96),""))</f>
        <v>90</v>
      </c>
      <c r="K96">
        <f>IFERROR(MOD(SMALL('Cálculos'!$Z$5:$Z$1000,88),10000),"")</f>
        <v>264</v>
      </c>
    </row>
    <row r="97">
      <c r="B97" s="63">
        <f>IF($K97="","",89)</f>
        <v>89</v>
      </c>
      <c r="C97" s="63" t="str">
        <f>IF($K97="","",INDEX('Detalle individual'!$A:$A,$K97))</f>
        <v>728</v>
      </c>
      <c r="D97" s="64" t="str">
        <f>IF($K97="","",TRIM(INDEX('Detalle individual'!$B:$B,$K97)))</f>
        <v>DIANA MARISOL BATRES BARAHONA</v>
      </c>
      <c r="E97" s="64" t="str">
        <f>IF($K97="","",TRIM(INDEX('Detalle individual'!$E:$E,$K97)))</f>
        <v>SUBJEFE DE AGENCIA</v>
      </c>
      <c r="F97" s="64" t="str">
        <f>IF($K97="","",TRIM(INDEX('Detalle individual'!$C:$C,$K97)))</f>
        <v>AGENCIA COLONIA MEDICA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46300.68400462963</v>
      </c>
      <c r="J97" s="78">
        <f>IF($K97="","",IF(INDEX('Detalle individual'!$F:$F,$K97)="Completado",INDEX('Detalle individual'!$J:$J,$K97),""))</f>
        <v>100</v>
      </c>
      <c r="K97">
        <f>IFERROR(MOD(SMALL('Cálculos'!$Z$5:$Z$1000,89),10000),"")</f>
        <v>265</v>
      </c>
    </row>
    <row r="98">
      <c r="B98" s="63">
        <f>IF($K98="","",90)</f>
        <v>90</v>
      </c>
      <c r="C98" s="63" t="str">
        <f>IF($K98="","",INDEX('Detalle individual'!$A:$A,$K98))</f>
        <v>801</v>
      </c>
      <c r="D98" s="64" t="str">
        <f>IF($K98="","",TRIM(INDEX('Detalle individual'!$B:$B,$K98)))</f>
        <v>ZULMA BEATRIZ RIVAS RIVERA</v>
      </c>
      <c r="E98" s="64" t="str">
        <f>IF($K98="","",TRIM(INDEX('Detalle individual'!$E:$E,$K98)))</f>
        <v>CAJERO</v>
      </c>
      <c r="F98" s="64" t="str">
        <f>IF($K98="","",TRIM(INDEX('Detalle individual'!$C:$C,$K98)))</f>
        <v>AGENCIA COLONIA MEDICA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46300.688368055555</v>
      </c>
      <c r="J98" s="78">
        <f>IF($K98="","",IF(INDEX('Detalle individual'!$F:$F,$K98)="Completado",INDEX('Detalle individual'!$J:$J,$K98),""))</f>
        <v>100</v>
      </c>
      <c r="K98">
        <f>IFERROR(MOD(SMALL('Cálculos'!$Z$5:$Z$1000,90),10000),"")</f>
        <v>267</v>
      </c>
    </row>
    <row r="99">
      <c r="B99" s="63">
        <f>IF($K99="","",91)</f>
        <v>91</v>
      </c>
      <c r="C99" s="63" t="str">
        <f>IF($K99="","",INDEX('Detalle individual'!$A:$A,$K99))</f>
        <v>159</v>
      </c>
      <c r="D99" s="64" t="str">
        <f>IF($K99="","",TRIM(INDEX('Detalle individual'!$B:$B,$K99)))</f>
        <v>PATRICIA GUADALUPE GUARDADO OSEGUEDA</v>
      </c>
      <c r="E99" s="64" t="str">
        <f>IF($K99="","",TRIM(INDEX('Detalle individual'!$E:$E,$K99)))</f>
        <v>EJECUTIVO DE NEGOCIOS</v>
      </c>
      <c r="F99" s="64" t="str">
        <f>IF($K99="","",TRIM(INDEX('Detalle individual'!$C:$C,$K99)))</f>
        <v>AGENCIA MERLIOT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46303.39640046296</v>
      </c>
      <c r="J99" s="78">
        <f>IF($K99="","",IF(INDEX('Detalle individual'!$F:$F,$K99)="Completado",INDEX('Detalle individual'!$J:$J,$K99),""))</f>
        <v>100</v>
      </c>
      <c r="K99">
        <f>IFERROR(MOD(SMALL('Cálculos'!$Z$5:$Z$1000,91),10000),"")</f>
        <v>244</v>
      </c>
    </row>
    <row r="100">
      <c r="B100" s="63">
        <f>IF($K100="","",92)</f>
        <v>92</v>
      </c>
      <c r="C100" s="63" t="str">
        <f>IF($K100="","",INDEX('Detalle individual'!$A:$A,$K100))</f>
        <v>251</v>
      </c>
      <c r="D100" s="64" t="str">
        <f>IF($K100="","",TRIM(INDEX('Detalle individual'!$B:$B,$K100)))</f>
        <v>NURIA LISSETH AGUILAR AGUILAR</v>
      </c>
      <c r="E100" s="64" t="str">
        <f>IF($K100="","",TRIM(INDEX('Detalle individual'!$E:$E,$K100)))</f>
        <v>EJECUTIVO DE NEGOCIOS</v>
      </c>
      <c r="F100" s="64" t="str">
        <f>IF($K100="","",TRIM(INDEX('Detalle individual'!$C:$C,$K100)))</f>
        <v>AGENCIA MERLIOT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46303.46199074074</v>
      </c>
      <c r="J100" s="78">
        <f>IF($K100="","",IF(INDEX('Detalle individual'!$F:$F,$K100)="Completado",INDEX('Detalle individual'!$J:$J,$K100),""))</f>
        <v>100</v>
      </c>
      <c r="K100">
        <f>IFERROR(MOD(SMALL('Cálculos'!$Z$5:$Z$1000,92),10000),"")</f>
        <v>245</v>
      </c>
    </row>
    <row r="101">
      <c r="B101" s="63">
        <f>IF($K101="","",93)</f>
        <v>93</v>
      </c>
      <c r="C101" s="63" t="str">
        <f>IF($K101="","",INDEX('Detalle individual'!$A:$A,$K101))</f>
        <v>343</v>
      </c>
      <c r="D101" s="64" t="str">
        <f>IF($K101="","",TRIM(INDEX('Detalle individual'!$B:$B,$K101)))</f>
        <v>FATIMA BERENICE MEDINA ESCALANTE</v>
      </c>
      <c r="E101" s="64" t="str">
        <f>IF($K101="","",TRIM(INDEX('Detalle individual'!$E:$E,$K101)))</f>
        <v>JEFE DE AGENCIA</v>
      </c>
      <c r="F101" s="64" t="str">
        <f>IF($K101="","",TRIM(INDEX('Detalle individual'!$C:$C,$K101)))</f>
        <v>AGENCIA MERLIOT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46302.70259259259</v>
      </c>
      <c r="J101" s="78">
        <f>IF($K101="","",IF(INDEX('Detalle individual'!$F:$F,$K101)="Completado",INDEX('Detalle individual'!$J:$J,$K101),""))</f>
        <v>100</v>
      </c>
      <c r="K101">
        <f>IFERROR(MOD(SMALL('Cálculos'!$Z$5:$Z$1000,93),10000),"")</f>
        <v>246</v>
      </c>
    </row>
    <row r="102">
      <c r="B102" s="63">
        <f>IF($K102="","",94)</f>
        <v>94</v>
      </c>
      <c r="C102" s="63" t="str">
        <f>IF($K102="","",INDEX('Detalle individual'!$A:$A,$K102))</f>
        <v>671</v>
      </c>
      <c r="D102" s="64" t="str">
        <f>IF($K102="","",TRIM(INDEX('Detalle individual'!$B:$B,$K102)))</f>
        <v>MILTON ALEXANDER CUELLAR GARCIA</v>
      </c>
      <c r="E102" s="64" t="str">
        <f>IF($K102="","",TRIM(INDEX('Detalle individual'!$E:$E,$K102)))</f>
        <v>CAJERO</v>
      </c>
      <c r="F102" s="64" t="str">
        <f>IF($K102="","",TRIM(INDEX('Detalle individual'!$C:$C,$K102)))</f>
        <v>AGENCIA MERLIOT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46296.55247685185</v>
      </c>
      <c r="J102" s="78">
        <f>IF($K102="","",IF(INDEX('Detalle individual'!$F:$F,$K102)="Completado",INDEX('Detalle individual'!$J:$J,$K102),""))</f>
        <v>70</v>
      </c>
      <c r="K102">
        <f>IFERROR(MOD(SMALL('Cálculos'!$Z$5:$Z$1000,94),10000),"")</f>
        <v>248</v>
      </c>
    </row>
    <row r="103">
      <c r="B103" s="63">
        <f>IF($K103="","",95)</f>
        <v>95</v>
      </c>
      <c r="C103" s="63" t="str">
        <f>IF($K103="","",INDEX('Detalle individual'!$A:$A,$K103))</f>
        <v>700</v>
      </c>
      <c r="D103" s="64" t="str">
        <f>IF($K103="","",TRIM(INDEX('Detalle individual'!$B:$B,$K103)))</f>
        <v>JENNIFFER MIREYA AYALA ZEPEDA</v>
      </c>
      <c r="E103" s="64" t="str">
        <f>IF($K103="","",TRIM(INDEX('Detalle individual'!$E:$E,$K103)))</f>
        <v>SUBJEFE DE AGENCIA</v>
      </c>
      <c r="F103" s="64" t="str">
        <f>IF($K103="","",TRIM(INDEX('Detalle individual'!$C:$C,$K103)))</f>
        <v>AGENCIA MERLIOT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46302.561886574076</v>
      </c>
      <c r="J103" s="78">
        <f>IF($K103="","",IF(INDEX('Detalle individual'!$F:$F,$K103)="Completado",INDEX('Detalle individual'!$J:$J,$K103),""))</f>
        <v>100</v>
      </c>
      <c r="K103">
        <f>IFERROR(MOD(SMALL('Cálculos'!$Z$5:$Z$1000,95),10000),"")</f>
        <v>249</v>
      </c>
    </row>
    <row r="104">
      <c r="B104" s="63">
        <f>IF($K104="","",96)</f>
        <v>96</v>
      </c>
      <c r="C104" s="63" t="str">
        <f>IF($K104="","",INDEX('Detalle individual'!$A:$A,$K104))</f>
        <v>827</v>
      </c>
      <c r="D104" s="64" t="str">
        <f>IF($K104="","",TRIM(INDEX('Detalle individual'!$B:$B,$K104)))</f>
        <v>KELLY IDALIA CHAVEZ ABREGO</v>
      </c>
      <c r="E104" s="64" t="str">
        <f>IF($K104="","",TRIM(INDEX('Detalle individual'!$E:$E,$K104)))</f>
        <v>CAJERO</v>
      </c>
      <c r="F104" s="64" t="str">
        <f>IF($K104="","",TRIM(INDEX('Detalle individual'!$C:$C,$K104)))</f>
        <v>AGENCIA MERLIOT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46302.58609953704</v>
      </c>
      <c r="J104" s="78">
        <f>IF($K104="","",IF(INDEX('Detalle individual'!$F:$F,$K104)="Completado",INDEX('Detalle individual'!$J:$J,$K104),""))</f>
        <v>100</v>
      </c>
      <c r="K104">
        <f>IFERROR(MOD(SMALL('Cálculos'!$Z$5:$Z$1000,96),10000),"")</f>
        <v>250</v>
      </c>
    </row>
    <row r="105">
      <c r="B105" s="63">
        <f>IF($K105="","",97)</f>
        <v>97</v>
      </c>
      <c r="C105" s="63" t="str">
        <f>IF($K105="","",INDEX('Detalle individual'!$A:$A,$K105))</f>
        <v>892</v>
      </c>
      <c r="D105" s="64" t="str">
        <f>IF($K105="","",TRIM(INDEX('Detalle individual'!$B:$B,$K105)))</f>
        <v>DIANA VANESSA RODRIGUEZ SORIANO</v>
      </c>
      <c r="E105" s="64" t="str">
        <f>IF($K105="","",TRIM(INDEX('Detalle individual'!$E:$E,$K105)))</f>
        <v>EJECUTIVA DE SEGUROS</v>
      </c>
      <c r="F105" s="64" t="str">
        <f>IF($K105="","",TRIM(INDEX('Detalle individual'!$C:$C,$K105)))</f>
        <v>AGENCIA MERLIOT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46303.39013888889</v>
      </c>
      <c r="J105" s="78">
        <f>IF($K105="","",IF(INDEX('Detalle individual'!$F:$F,$K105)="Completado",INDEX('Detalle individual'!$J:$J,$K105),""))</f>
        <v>100</v>
      </c>
      <c r="K105">
        <f>IFERROR(MOD(SMALL('Cálculos'!$Z$5:$Z$1000,97),10000),"")</f>
        <v>251</v>
      </c>
    </row>
    <row r="106">
      <c r="B106" s="63">
        <f>IF($K106="","",98)</f>
        <v>98</v>
      </c>
      <c r="C106" s="63" t="str">
        <f>IF($K106="","",INDEX('Detalle individual'!$A:$A,$K106))</f>
        <v>909</v>
      </c>
      <c r="D106" s="64" t="str">
        <f>IF($K106="","",TRIM(INDEX('Detalle individual'!$B:$B,$K106)))</f>
        <v>GLADYS LISETH HERNANDEZ CRUZ</v>
      </c>
      <c r="E106" s="64" t="str">
        <f>IF($K106="","",TRIM(INDEX('Detalle individual'!$E:$E,$K106)))</f>
        <v>CAJERO</v>
      </c>
      <c r="F106" s="64" t="str">
        <f>IF($K106="","",TRIM(INDEX('Detalle individual'!$C:$C,$K106)))</f>
        <v>AGENCIA MERLIOT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46302.70457175926</v>
      </c>
      <c r="J106" s="78">
        <f>IF($K106="","",IF(INDEX('Detalle individual'!$F:$F,$K106)="Completado",INDEX('Detalle individual'!$J:$J,$K106),""))</f>
        <v>100</v>
      </c>
      <c r="K106">
        <f>IFERROR(MOD(SMALL('Cálculos'!$Z$5:$Z$1000,98),10000),"")</f>
        <v>252</v>
      </c>
    </row>
    <row r="107">
      <c r="B107" s="63">
        <f>IF($K107="","",99)</f>
        <v>99</v>
      </c>
      <c r="C107" s="63" t="str">
        <f>IF($K107="","",INDEX('Detalle individual'!$A:$A,$K107))</f>
        <v>922</v>
      </c>
      <c r="D107" s="64" t="str">
        <f>IF($K107="","",TRIM(INDEX('Detalle individual'!$B:$B,$K107)))</f>
        <v>MADELINE ADRIANA GOMEZ GARCIA</v>
      </c>
      <c r="E107" s="64" t="str">
        <f>IF($K107="","",TRIM(INDEX('Detalle individual'!$E:$E,$K107)))</f>
        <v>CAJERO</v>
      </c>
      <c r="F107" s="64" t="str">
        <f>IF($K107="","",TRIM(INDEX('Detalle individual'!$C:$C,$K107)))</f>
        <v>AGENCIA MERLIOT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46302.57753472222</v>
      </c>
      <c r="J107" s="78">
        <f>IF($K107="","",IF(INDEX('Detalle individual'!$F:$F,$K107)="Completado",INDEX('Detalle individual'!$J:$J,$K107),""))</f>
        <v>100</v>
      </c>
      <c r="K107">
        <f>IFERROR(MOD(SMALL('Cálculos'!$Z$5:$Z$1000,99),10000),"")</f>
        <v>253</v>
      </c>
    </row>
    <row r="108">
      <c r="B108" s="63">
        <f>IF($K108="","",100)</f>
        <v>100</v>
      </c>
      <c r="C108" s="63" t="str">
        <f>IF($K108="","",INDEX('Detalle individual'!$A:$A,$K108))</f>
        <v>936</v>
      </c>
      <c r="D108" s="64" t="str">
        <f>IF($K108="","",TRIM(INDEX('Detalle individual'!$B:$B,$K108)))</f>
        <v>MARISELA GUADALUPE MEJIA CRUZ</v>
      </c>
      <c r="E108" s="64" t="str">
        <f>IF($K108="","",TRIM(INDEX('Detalle individual'!$E:$E,$K108)))</f>
        <v>CAJERO</v>
      </c>
      <c r="F108" s="64" t="str">
        <f>IF($K108="","",TRIM(INDEX('Detalle individual'!$C:$C,$K108)))</f>
        <v>AGENCIA MERLIOT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46302.637037037035</v>
      </c>
      <c r="J108" s="78">
        <f>IF($K108="","",IF(INDEX('Detalle individual'!$F:$F,$K108)="Completado",INDEX('Detalle individual'!$J:$J,$K108),""))</f>
        <v>100</v>
      </c>
      <c r="K108">
        <f>IFERROR(MOD(SMALL('Cálculos'!$Z$5:$Z$1000,100),10000),"")</f>
        <v>254</v>
      </c>
    </row>
    <row r="109">
      <c r="B109" s="63">
        <f>IF($K109="","",101)</f>
        <v>101</v>
      </c>
      <c r="C109" s="63" t="str">
        <f>IF($K109="","",INDEX('Detalle individual'!$A:$A,$K109))</f>
        <v>944</v>
      </c>
      <c r="D109" s="64" t="str">
        <f>IF($K109="","",TRIM(INDEX('Detalle individual'!$B:$B,$K109)))</f>
        <v>JOSSELYN IVONNE GARCIA HERNANDEZ</v>
      </c>
      <c r="E109" s="64" t="str">
        <f>IF($K109="","",TRIM(INDEX('Detalle individual'!$E:$E,$K109)))</f>
        <v>AUXILIAR DE ATENCION A ASOCIADOS</v>
      </c>
      <c r="F109" s="64" t="str">
        <f>IF($K109="","",TRIM(INDEX('Detalle individual'!$C:$C,$K109)))</f>
        <v>AGENCIA MERLIOT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46296.67511574074</v>
      </c>
      <c r="J109" s="78">
        <f>IF($K109="","",IF(INDEX('Detalle individual'!$F:$F,$K109)="Completado",INDEX('Detalle individual'!$J:$J,$K109),""))</f>
        <v>75</v>
      </c>
      <c r="K109">
        <f>IFERROR(MOD(SMALL('Cálculos'!$Z$5:$Z$1000,101),10000),"")</f>
        <v>255</v>
      </c>
    </row>
    <row r="110">
      <c r="B110" s="63">
        <f>IF($K110="","",102)</f>
        <v>102</v>
      </c>
      <c r="C110" s="63" t="str">
        <f>IF($K110="","",INDEX('Detalle individual'!$A:$A,$K110))</f>
        <v>967</v>
      </c>
      <c r="D110" s="64" t="str">
        <f>IF($K110="","",TRIM(INDEX('Detalle individual'!$B:$B,$K110)))</f>
        <v>MAVERICK JOSSIMAR GONZALEZ MUÑOZ</v>
      </c>
      <c r="E110" s="64" t="str">
        <f>IF($K110="","",TRIM(INDEX('Detalle individual'!$E:$E,$K110)))</f>
        <v>CAJERO</v>
      </c>
      <c r="F110" s="64" t="str">
        <f>IF($K110="","",TRIM(INDEX('Detalle individual'!$C:$C,$K110)))</f>
        <v>AGENCIA MERLIOT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46302.58998842593</v>
      </c>
      <c r="J110" s="78">
        <f>IF($K110="","",IF(INDEX('Detalle individual'!$F:$F,$K110)="Completado",INDEX('Detalle individual'!$J:$J,$K110),""))</f>
        <v>100</v>
      </c>
      <c r="K110">
        <f>IFERROR(MOD(SMALL('Cálculos'!$Z$5:$Z$1000,102),10000),"")</f>
        <v>256</v>
      </c>
    </row>
    <row r="111">
      <c r="B111" s="63">
        <f>IF($K111="","",103)</f>
        <v>103</v>
      </c>
      <c r="C111" s="63" t="str">
        <f>IF($K111="","",INDEX('Detalle individual'!$A:$A,$K111))</f>
        <v>331</v>
      </c>
      <c r="D111" s="64" t="str">
        <f>IF($K111="","",TRIM(INDEX('Detalle individual'!$B:$B,$K111)))</f>
        <v>NORMA ARACELY GUILLEN</v>
      </c>
      <c r="E111" s="64" t="str">
        <f>IF($K111="","",TRIM(INDEX('Detalle individual'!$E:$E,$K111)))</f>
        <v>SUBJEFE DE AGENCIA</v>
      </c>
      <c r="F111" s="64" t="str">
        <f>IF($K111="","",TRIM(INDEX('Detalle individual'!$C:$C,$K111)))</f>
        <v>AGENCIA PLAZA MUNDO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46307.440046296295</v>
      </c>
      <c r="J111" s="78">
        <f>IF($K111="","",IF(INDEX('Detalle individual'!$F:$F,$K111)="Completado",INDEX('Detalle individual'!$J:$J,$K111),""))</f>
        <v>100</v>
      </c>
      <c r="K111">
        <f>IFERROR(MOD(SMALL('Cálculos'!$Z$5:$Z$1000,103),10000),"")</f>
        <v>274</v>
      </c>
    </row>
    <row r="112">
      <c r="B112" s="63">
        <f>IF($K112="","",104)</f>
        <v>104</v>
      </c>
      <c r="C112" s="63" t="str">
        <f>IF($K112="","",INDEX('Detalle individual'!$A:$A,$K112))</f>
        <v>535</v>
      </c>
      <c r="D112" s="64" t="str">
        <f>IF($K112="","",TRIM(INDEX('Detalle individual'!$B:$B,$K112)))</f>
        <v>ROSARIO DEL CARMEN PEREZ LOPEZ</v>
      </c>
      <c r="E112" s="64" t="str">
        <f>IF($K112="","",TRIM(INDEX('Detalle individual'!$E:$E,$K112)))</f>
        <v>JEFE DE AGENCIA</v>
      </c>
      <c r="F112" s="64" t="str">
        <f>IF($K112="","",TRIM(INDEX('Detalle individual'!$C:$C,$K112)))</f>
        <v>AGENCIA PLAZA MUNDO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46307.40383101852</v>
      </c>
      <c r="J112" s="78">
        <f>IF($K112="","",IF(INDEX('Detalle individual'!$F:$F,$K112)="Completado",INDEX('Detalle individual'!$J:$J,$K112),""))</f>
        <v>100</v>
      </c>
      <c r="K112">
        <f>IFERROR(MOD(SMALL('Cálculos'!$Z$5:$Z$1000,104),10000),"")</f>
        <v>275</v>
      </c>
    </row>
    <row r="113">
      <c r="B113" s="63">
        <f>IF($K113="","",105)</f>
        <v>105</v>
      </c>
      <c r="C113" s="63" t="str">
        <f>IF($K113="","",INDEX('Detalle individual'!$A:$A,$K113))</f>
        <v>616</v>
      </c>
      <c r="D113" s="64" t="str">
        <f>IF($K113="","",TRIM(INDEX('Detalle individual'!$B:$B,$K113)))</f>
        <v>GABRIELA JEANNETTE BOLAÑOS HERRERA</v>
      </c>
      <c r="E113" s="64" t="str">
        <f>IF($K113="","",TRIM(INDEX('Detalle individual'!$E:$E,$K113)))</f>
        <v>EJECUTIVA DE SEGUROS</v>
      </c>
      <c r="F113" s="64" t="str">
        <f>IF($K113="","",TRIM(INDEX('Detalle individual'!$C:$C,$K113)))</f>
        <v>AGENCIA PLAZA MUNDO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46308.41873842593</v>
      </c>
      <c r="J113" s="78">
        <f>IF($K113="","",IF(INDEX('Detalle individual'!$F:$F,$K113)="Completado",INDEX('Detalle individual'!$J:$J,$K113),""))</f>
        <v>100</v>
      </c>
      <c r="K113">
        <f>IFERROR(MOD(SMALL('Cálculos'!$Z$5:$Z$1000,105),10000),"")</f>
        <v>276</v>
      </c>
    </row>
    <row r="114">
      <c r="B114" s="63">
        <f>IF($K114="","",106)</f>
        <v>106</v>
      </c>
      <c r="C114" s="63" t="str">
        <f>IF($K114="","",INDEX('Detalle individual'!$A:$A,$K114))</f>
        <v>675</v>
      </c>
      <c r="D114" s="64" t="str">
        <f>IF($K114="","",TRIM(INDEX('Detalle individual'!$B:$B,$K114)))</f>
        <v>NANCY CAROLINA FUENTES SORTO</v>
      </c>
      <c r="E114" s="64" t="str">
        <f>IF($K114="","",TRIM(INDEX('Detalle individual'!$E:$E,$K114)))</f>
        <v>CAJERO</v>
      </c>
      <c r="F114" s="64" t="str">
        <f>IF($K114="","",TRIM(INDEX('Detalle individual'!$C:$C,$K114)))</f>
        <v>AGENCIA PLAZA MUNDO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46309.394328703704</v>
      </c>
      <c r="J114" s="78">
        <f>IF($K114="","",IF(INDEX('Detalle individual'!$F:$F,$K114)="Completado",INDEX('Detalle individual'!$J:$J,$K114),""))</f>
        <v>90</v>
      </c>
      <c r="K114">
        <f>IFERROR(MOD(SMALL('Cálculos'!$Z$5:$Z$1000,106),10000),"")</f>
        <v>277</v>
      </c>
    </row>
    <row r="115">
      <c r="B115" s="63">
        <f>IF($K115="","",107)</f>
        <v>107</v>
      </c>
      <c r="C115" s="63" t="str">
        <f>IF($K115="","",INDEX('Detalle individual'!$A:$A,$K115))</f>
        <v>748</v>
      </c>
      <c r="D115" s="64" t="str">
        <f>IF($K115="","",TRIM(INDEX('Detalle individual'!$B:$B,$K115)))</f>
        <v>WALTER ALBERTO BARAHONA DIAZ</v>
      </c>
      <c r="E115" s="64" t="str">
        <f>IF($K115="","",TRIM(INDEX('Detalle individual'!$E:$E,$K115)))</f>
        <v>CAJERO</v>
      </c>
      <c r="F115" s="64" t="str">
        <f>IF($K115="","",TRIM(INDEX('Detalle individual'!$C:$C,$K115)))</f>
        <v>AGENCIA PLAZA MUNDO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46309.40075231482</v>
      </c>
      <c r="J115" s="78">
        <f>IF($K115="","",IF(INDEX('Detalle individual'!$F:$F,$K115)="Completado",INDEX('Detalle individual'!$J:$J,$K115),""))</f>
        <v>100</v>
      </c>
      <c r="K115">
        <f>IFERROR(MOD(SMALL('Cálculos'!$Z$5:$Z$1000,107),10000),"")</f>
        <v>278</v>
      </c>
    </row>
    <row r="116">
      <c r="B116" s="63">
        <f>IF($K116="","",108)</f>
        <v>108</v>
      </c>
      <c r="C116" s="63" t="str">
        <f>IF($K116="","",INDEX('Detalle individual'!$A:$A,$K116))</f>
        <v>876</v>
      </c>
      <c r="D116" s="64" t="str">
        <f>IF($K116="","",TRIM(INDEX('Detalle individual'!$B:$B,$K116)))</f>
        <v>PAOLA JEANNETTE ROMERO HERNANDEZ</v>
      </c>
      <c r="E116" s="64" t="str">
        <f>IF($K116="","",TRIM(INDEX('Detalle individual'!$E:$E,$K116)))</f>
        <v>CAJERO</v>
      </c>
      <c r="F116" s="64" t="str">
        <f>IF($K116="","",TRIM(INDEX('Detalle individual'!$C:$C,$K116)))</f>
        <v>AGENCIA PLAZA MUNDO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46309.408229166664</v>
      </c>
      <c r="J116" s="78">
        <f>IF($K116="","",IF(INDEX('Detalle individual'!$F:$F,$K116)="Completado",INDEX('Detalle individual'!$J:$J,$K116),""))</f>
        <v>100</v>
      </c>
      <c r="K116">
        <f>IFERROR(MOD(SMALL('Cálculos'!$Z$5:$Z$1000,108),10000),"")</f>
        <v>279</v>
      </c>
    </row>
    <row r="117">
      <c r="B117" s="63">
        <f>IF($K117="","",109)</f>
        <v>109</v>
      </c>
      <c r="C117" s="63" t="str">
        <f>IF($K117="","",INDEX('Detalle individual'!$A:$A,$K117))</f>
        <v>955</v>
      </c>
      <c r="D117" s="64" t="str">
        <f>IF($K117="","",TRIM(INDEX('Detalle individual'!$B:$B,$K117)))</f>
        <v>ERIKA IVETH MANCIA HERNANDEZ</v>
      </c>
      <c r="E117" s="64" t="str">
        <f>IF($K117="","",TRIM(INDEX('Detalle individual'!$E:$E,$K117)))</f>
        <v>CAJERO</v>
      </c>
      <c r="F117" s="64" t="str">
        <f>IF($K117="","",TRIM(INDEX('Detalle individual'!$C:$C,$K117)))</f>
        <v>AGENCIA PLAZA MUNDO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46309.404699074075</v>
      </c>
      <c r="J117" s="78">
        <f>IF($K117="","",IF(INDEX('Detalle individual'!$F:$F,$K117)="Completado",INDEX('Detalle individual'!$J:$J,$K117),""))</f>
        <v>100</v>
      </c>
      <c r="K117">
        <f>IFERROR(MOD(SMALL('Cálculos'!$Z$5:$Z$1000,109),10000),"")</f>
        <v>280</v>
      </c>
    </row>
    <row r="118">
      <c r="B118" s="63">
        <f>IF($K118="","",110)</f>
        <v>110</v>
      </c>
      <c r="C118" s="63" t="str">
        <f>IF($K118="","",INDEX('Detalle individual'!$A:$A,$K118))</f>
        <v>197</v>
      </c>
      <c r="D118" s="64" t="str">
        <f>IF($K118="","",TRIM(INDEX('Detalle individual'!$B:$B,$K118)))</f>
        <v>THELMA ESPERANZA FIGUEROA SORTO</v>
      </c>
      <c r="E118" s="64" t="str">
        <f>IF($K118="","",TRIM(INDEX('Detalle individual'!$E:$E,$K118)))</f>
        <v>EJECUTIVO DE NEGOCIOS</v>
      </c>
      <c r="F118" s="64" t="str">
        <f>IF($K118="","",TRIM(INDEX('Detalle individual'!$C:$C,$K118)))</f>
        <v>AGENCIA SAN MIGUEL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46296.44064814815</v>
      </c>
      <c r="J118" s="78">
        <f>IF($K118="","",IF(INDEX('Detalle individual'!$F:$F,$K118)="Completado",INDEX('Detalle individual'!$J:$J,$K118),""))</f>
        <v>100</v>
      </c>
      <c r="K118">
        <f>IFERROR(MOD(SMALL('Cálculos'!$Z$5:$Z$1000,110),10000),"")</f>
        <v>221</v>
      </c>
    </row>
    <row r="119">
      <c r="B119" s="63">
        <f>IF($K119="","",111)</f>
        <v>111</v>
      </c>
      <c r="C119" s="63" t="str">
        <f>IF($K119="","",INDEX('Detalle individual'!$A:$A,$K119))</f>
        <v>200</v>
      </c>
      <c r="D119" s="64" t="str">
        <f>IF($K119="","",TRIM(INDEX('Detalle individual'!$B:$B,$K119)))</f>
        <v>JOSE MANUEL SERRANO ROVIRA</v>
      </c>
      <c r="E119" s="64" t="str">
        <f>IF($K119="","",TRIM(INDEX('Detalle individual'!$E:$E,$K119)))</f>
        <v>JEFE DE AGENCIA</v>
      </c>
      <c r="F119" s="64" t="str">
        <f>IF($K119="","",TRIM(INDEX('Detalle individual'!$C:$C,$K119)))</f>
        <v>AGENCIA SAN MIGUEL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46296.49199074074</v>
      </c>
      <c r="J119" s="78">
        <f>IF($K119="","",IF(INDEX('Detalle individual'!$F:$F,$K119)="Completado",INDEX('Detalle individual'!$J:$J,$K119),""))</f>
        <v>90</v>
      </c>
      <c r="K119">
        <f>IFERROR(MOD(SMALL('Cálculos'!$Z$5:$Z$1000,111),10000),"")</f>
        <v>222</v>
      </c>
    </row>
    <row r="120">
      <c r="B120" s="63">
        <f>IF($K120="","",112)</f>
        <v>112</v>
      </c>
      <c r="C120" s="63" t="str">
        <f>IF($K120="","",INDEX('Detalle individual'!$A:$A,$K120))</f>
        <v>390</v>
      </c>
      <c r="D120" s="64" t="str">
        <f>IF($K120="","",TRIM(INDEX('Detalle individual'!$B:$B,$K120)))</f>
        <v>MARTHA LORENA GONZALEZ GONZALEZ</v>
      </c>
      <c r="E120" s="64" t="str">
        <f>IF($K120="","",TRIM(INDEX('Detalle individual'!$E:$E,$K120)))</f>
        <v>AUXILIAR DE OPERACIONES Y ATENCION EN AGENCIA</v>
      </c>
      <c r="F120" s="64" t="str">
        <f>IF($K120="","",TRIM(INDEX('Detalle individual'!$C:$C,$K120)))</f>
        <v>AGENCIA SAN MIGUEL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46296.44844907407</v>
      </c>
      <c r="J120" s="78">
        <f>IF($K120="","",IF(INDEX('Detalle individual'!$F:$F,$K120)="Completado",INDEX('Detalle individual'!$J:$J,$K120),""))</f>
        <v>100</v>
      </c>
      <c r="K120">
        <f>IFERROR(MOD(SMALL('Cálculos'!$Z$5:$Z$1000,112),10000),"")</f>
        <v>223</v>
      </c>
    </row>
    <row r="121">
      <c r="B121" s="63">
        <f>IF($K121="","",113)</f>
        <v>113</v>
      </c>
      <c r="C121" s="63" t="str">
        <f>IF($K121="","",INDEX('Detalle individual'!$A:$A,$K121))</f>
        <v>545</v>
      </c>
      <c r="D121" s="64" t="str">
        <f>IF($K121="","",TRIM(INDEX('Detalle individual'!$B:$B,$K121)))</f>
        <v>LEIBY NATHALY ROMERO VANEGAS</v>
      </c>
      <c r="E121" s="64" t="str">
        <f>IF($K121="","",TRIM(INDEX('Detalle individual'!$E:$E,$K121)))</f>
        <v>SUBJEFE DE AGENCIA</v>
      </c>
      <c r="F121" s="64" t="str">
        <f>IF($K121="","",TRIM(INDEX('Detalle individual'!$C:$C,$K121)))</f>
        <v>AGENCIA SAN MIGUEL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46296.45449074074</v>
      </c>
      <c r="J121" s="78">
        <f>IF($K121="","",IF(INDEX('Detalle individual'!$F:$F,$K121)="Completado",INDEX('Detalle individual'!$J:$J,$K121),""))</f>
        <v>100</v>
      </c>
      <c r="K121">
        <f>IFERROR(MOD(SMALL('Cálculos'!$Z$5:$Z$1000,113),10000),"")</f>
        <v>224</v>
      </c>
    </row>
    <row r="122">
      <c r="B122" s="63">
        <f>IF($K122="","",114)</f>
        <v>114</v>
      </c>
      <c r="C122" s="63" t="str">
        <f>IF($K122="","",INDEX('Detalle individual'!$A:$A,$K122))</f>
        <v>776</v>
      </c>
      <c r="D122" s="64" t="str">
        <f>IF($K122="","",TRIM(INDEX('Detalle individual'!$B:$B,$K122)))</f>
        <v>DIEGO GERARDO GUANDIQUE TORRES</v>
      </c>
      <c r="E122" s="64" t="str">
        <f>IF($K122="","",TRIM(INDEX('Detalle individual'!$E:$E,$K122)))</f>
        <v>CAJERO</v>
      </c>
      <c r="F122" s="64" t="str">
        <f>IF($K122="","",TRIM(INDEX('Detalle individual'!$C:$C,$K122)))</f>
        <v>AGENCIA SAN MIGUEL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46296.44540509259</v>
      </c>
      <c r="J122" s="78">
        <f>IF($K122="","",IF(INDEX('Detalle individual'!$F:$F,$K122)="Completado",INDEX('Detalle individual'!$J:$J,$K122),""))</f>
        <v>100</v>
      </c>
      <c r="K122">
        <f>IFERROR(MOD(SMALL('Cálculos'!$Z$5:$Z$1000,114),10000),"")</f>
        <v>225</v>
      </c>
    </row>
    <row r="123">
      <c r="B123" s="63">
        <f>IF($K123="","",115)</f>
        <v>115</v>
      </c>
      <c r="C123" s="63" t="str">
        <f>IF($K123="","",INDEX('Detalle individual'!$A:$A,$K123))</f>
        <v>777</v>
      </c>
      <c r="D123" s="64" t="str">
        <f>IF($K123="","",TRIM(INDEX('Detalle individual'!$B:$B,$K123)))</f>
        <v>MARCELINA YAMILETH LOPEZ VASQUEZ</v>
      </c>
      <c r="E123" s="64" t="str">
        <f>IF($K123="","",TRIM(INDEX('Detalle individual'!$E:$E,$K123)))</f>
        <v>CAJERO</v>
      </c>
      <c r="F123" s="64" t="str">
        <f>IF($K123="","",TRIM(INDEX('Detalle individual'!$C:$C,$K123)))</f>
        <v>AGENCIA SAN MIGUEL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46296.45806712963</v>
      </c>
      <c r="J123" s="78">
        <f>IF($K123="","",IF(INDEX('Detalle individual'!$F:$F,$K123)="Completado",INDEX('Detalle individual'!$J:$J,$K123),""))</f>
        <v>100</v>
      </c>
      <c r="K123">
        <f>IFERROR(MOD(SMALL('Cálculos'!$Z$5:$Z$1000,115),10000),"")</f>
        <v>226</v>
      </c>
    </row>
    <row r="124">
      <c r="B124" s="63">
        <f>IF($K124="","",116)</f>
        <v>116</v>
      </c>
      <c r="C124" s="63" t="str">
        <f>IF($K124="","",INDEX('Detalle individual'!$A:$A,$K124))</f>
        <v>807</v>
      </c>
      <c r="D124" s="64" t="str">
        <f>IF($K124="","",TRIM(INDEX('Detalle individual'!$B:$B,$K124)))</f>
        <v>MARCELA GUADALUPE CRESPO BENAVIDEZ</v>
      </c>
      <c r="E124" s="64" t="str">
        <f>IF($K124="","",TRIM(INDEX('Detalle individual'!$E:$E,$K124)))</f>
        <v>EJECUTIVA DE SEGUROS</v>
      </c>
      <c r="F124" s="64" t="str">
        <f>IF($K124="","",TRIM(INDEX('Detalle individual'!$C:$C,$K124)))</f>
        <v>AGENCIA SAN MIGUEL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46296.45224537037</v>
      </c>
      <c r="J124" s="78">
        <f>IF($K124="","",IF(INDEX('Detalle individual'!$F:$F,$K124)="Completado",INDEX('Detalle individual'!$J:$J,$K124),""))</f>
        <v>100</v>
      </c>
      <c r="K124">
        <f>IFERROR(MOD(SMALL('Cálculos'!$Z$5:$Z$1000,116),10000),"")</f>
        <v>227</v>
      </c>
    </row>
    <row r="125">
      <c r="B125" s="63">
        <f>IF($K125="","",117)</f>
        <v>117</v>
      </c>
      <c r="C125" s="63" t="str">
        <f>IF($K125="","",INDEX('Detalle individual'!$A:$A,$K125))</f>
        <v>295</v>
      </c>
      <c r="D125" s="64" t="str">
        <f>IF($K125="","",TRIM(INDEX('Detalle individual'!$B:$B,$K125)))</f>
        <v>GLENDA MARAYA SALAZAR GONZALEZ</v>
      </c>
      <c r="E125" s="64" t="str">
        <f>IF($K125="","",TRIM(INDEX('Detalle individual'!$E:$E,$K125)))</f>
        <v>JEFE DE AGENCIA</v>
      </c>
      <c r="F125" s="64" t="str">
        <f>IF($K125="","",TRIM(INDEX('Detalle individual'!$C:$C,$K125)))</f>
        <v>AGENCIA SANTA ANA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46309.339270833334</v>
      </c>
      <c r="J125" s="78">
        <f>IF($K125="","",IF(INDEX('Detalle individual'!$F:$F,$K125)="Completado",INDEX('Detalle individual'!$J:$J,$K125),""))</f>
        <v>100</v>
      </c>
      <c r="K125">
        <f>IFERROR(MOD(SMALL('Cálculos'!$Z$5:$Z$1000,117),10000),"")</f>
        <v>230</v>
      </c>
    </row>
    <row r="126">
      <c r="B126" s="63">
        <f>IF($K126="","",118)</f>
        <v>118</v>
      </c>
      <c r="C126" s="63" t="str">
        <f>IF($K126="","",INDEX('Detalle individual'!$A:$A,$K126))</f>
        <v>312</v>
      </c>
      <c r="D126" s="64" t="str">
        <f>IF($K126="","",TRIM(INDEX('Detalle individual'!$B:$B,$K126)))</f>
        <v>JEANNETTE ANGELINNE HERNANDEZ MEJIA</v>
      </c>
      <c r="E126" s="64" t="str">
        <f>IF($K126="","",TRIM(INDEX('Detalle individual'!$E:$E,$K126)))</f>
        <v>SUBJEFE DE AGENCIA</v>
      </c>
      <c r="F126" s="64" t="str">
        <f>IF($K126="","",TRIM(INDEX('Detalle individual'!$C:$C,$K126)))</f>
        <v>AGENCIA SANTA ANA</v>
      </c>
      <c r="G126" s="64" t="str">
        <f>IF($K126="","",INDEX('Detalle individual'!$D:$D,$K126))</f>
        <v>Gerencia de Negocios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46309.46179398148</v>
      </c>
      <c r="J126" s="78">
        <f>IF($K126="","",IF(INDEX('Detalle individual'!$F:$F,$K126)="Completado",INDEX('Detalle individual'!$J:$J,$K126),""))</f>
        <v>100</v>
      </c>
      <c r="K126">
        <f>IFERROR(MOD(SMALL('Cálculos'!$Z$5:$Z$1000,118),10000),"")</f>
        <v>231</v>
      </c>
    </row>
    <row r="127">
      <c r="B127" s="63">
        <f>IF($K127="","",119)</f>
        <v>119</v>
      </c>
      <c r="C127" s="63" t="str">
        <f>IF($K127="","",INDEX('Detalle individual'!$A:$A,$K127))</f>
        <v>818</v>
      </c>
      <c r="D127" s="64" t="str">
        <f>IF($K127="","",TRIM(INDEX('Detalle individual'!$B:$B,$K127)))</f>
        <v>ANDREA YAMILETH ESCOBAR CHICA</v>
      </c>
      <c r="E127" s="64" t="str">
        <f>IF($K127="","",TRIM(INDEX('Detalle individual'!$E:$E,$K127)))</f>
        <v>CAJERO</v>
      </c>
      <c r="F127" s="64" t="str">
        <f>IF($K127="","",TRIM(INDEX('Detalle individual'!$C:$C,$K127)))</f>
        <v>AGENCIA SANTA ANA</v>
      </c>
      <c r="G127" s="64" t="str">
        <f>IF($K127="","",INDEX('Detalle individual'!$D:$D,$K127))</f>
        <v>Gerencia de Negocios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46309.62991898148</v>
      </c>
      <c r="J127" s="78">
        <f>IF($K127="","",IF(INDEX('Detalle individual'!$F:$F,$K127)="Completado",INDEX('Detalle individual'!$J:$J,$K127),""))</f>
        <v>90</v>
      </c>
      <c r="K127">
        <f>IFERROR(MOD(SMALL('Cálculos'!$Z$5:$Z$1000,119),10000),"")</f>
        <v>233</v>
      </c>
    </row>
    <row r="128">
      <c r="B128" s="63">
        <f>IF($K128="","",120)</f>
        <v>120</v>
      </c>
      <c r="C128" s="63" t="str">
        <f>IF($K128="","",INDEX('Detalle individual'!$A:$A,$K128))</f>
        <v>954</v>
      </c>
      <c r="D128" s="64" t="str">
        <f>IF($K128="","",TRIM(INDEX('Detalle individual'!$B:$B,$K128)))</f>
        <v>LUIS GERARDO DUEÑAS VALLE</v>
      </c>
      <c r="E128" s="64" t="str">
        <f>IF($K128="","",TRIM(INDEX('Detalle individual'!$E:$E,$K128)))</f>
        <v>CAJERO</v>
      </c>
      <c r="F128" s="64" t="str">
        <f>IF($K128="","",TRIM(INDEX('Detalle individual'!$C:$C,$K128)))</f>
        <v>AGENCIA SANTA ANA</v>
      </c>
      <c r="G128" s="64" t="str">
        <f>IF($K128="","",INDEX('Detalle individual'!$D:$D,$K128))</f>
        <v>Gerencia de Negocios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46309.63957175926</v>
      </c>
      <c r="J128" s="78">
        <f>IF($K128="","",IF(INDEX('Detalle individual'!$F:$F,$K128)="Completado",INDEX('Detalle individual'!$J:$J,$K128),""))</f>
        <v>90</v>
      </c>
      <c r="K128">
        <f>IFERROR(MOD(SMALL('Cálculos'!$Z$5:$Z$1000,120),10000),"")</f>
        <v>236</v>
      </c>
    </row>
    <row r="129">
      <c r="B129" s="63">
        <f>IF($K129="","",121)</f>
        <v>121</v>
      </c>
      <c r="C129" s="63" t="str">
        <f>IF($K129="","",INDEX('Detalle individual'!$A:$A,$K129))</f>
        <v>755</v>
      </c>
      <c r="D129" s="64" t="str">
        <f>IF($K129="","",TRIM(INDEX('Detalle individual'!$B:$B,$K129)))</f>
        <v>MIGUEL ANGEL LEON MENA</v>
      </c>
      <c r="E129" s="64" t="str">
        <f>IF($K129="","",TRIM(INDEX('Detalle individual'!$E:$E,$K129)))</f>
        <v>CAJERO</v>
      </c>
      <c r="F129" s="64" t="str">
        <f>IF($K129="","",TRIM(INDEX('Detalle individual'!$C:$C,$K129)))</f>
        <v>AGENCIA SONSONATE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46308.456412037034</v>
      </c>
      <c r="J129" s="78">
        <f>IF($K129="","",IF(INDEX('Detalle individual'!$F:$F,$K129)="Completado",INDEX('Detalle individual'!$J:$J,$K129),""))</f>
        <v>80</v>
      </c>
      <c r="K129">
        <f>IFERROR(MOD(SMALL('Cálculos'!$Z$5:$Z$1000,121),10000),"")</f>
        <v>242</v>
      </c>
    </row>
    <row r="130">
      <c r="B130" s="63">
        <f>IF($K130="","",122)</f>
        <v>122</v>
      </c>
      <c r="C130" s="63" t="str">
        <f>IF($K130="","",INDEX('Detalle individual'!$A:$A,$K130))</f>
        <v>456</v>
      </c>
      <c r="D130" s="64" t="str">
        <f>IF($K130="","",TRIM(INDEX('Detalle individual'!$B:$B,$K130)))</f>
        <v>LUCIANO DE JESUS SARAVIA BELTRAN</v>
      </c>
      <c r="E130" s="64" t="str">
        <f>IF($K130="","",TRIM(INDEX('Detalle individual'!$E:$E,$K130)))</f>
        <v>MENSAJERO</v>
      </c>
      <c r="F130" s="64" t="str">
        <f>IF($K130="","",TRIM(INDEX('Detalle individual'!$C:$C,$K130)))</f>
        <v>AGENCIA USULUTAN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46301.51369212963</v>
      </c>
      <c r="J130" s="78">
        <f>IF($K130="","",IF(INDEX('Detalle individual'!$F:$F,$K130)="Completado",INDEX('Detalle individual'!$J:$J,$K130),""))</f>
        <v>100</v>
      </c>
      <c r="K130">
        <f>IFERROR(MOD(SMALL('Cálculos'!$Z$5:$Z$1000,122),10000),"")</f>
        <v>281</v>
      </c>
    </row>
    <row r="131">
      <c r="B131" s="63">
        <f>IF($K131="","",123)</f>
        <v>123</v>
      </c>
      <c r="C131" s="63" t="str">
        <f>IF($K131="","",INDEX('Detalle individual'!$A:$A,$K131))</f>
        <v>903</v>
      </c>
      <c r="D131" s="64" t="str">
        <f>IF($K131="","",TRIM(INDEX('Detalle individual'!$B:$B,$K131)))</f>
        <v>WENDY YAMILETH MARQUEZ VASQUEZ</v>
      </c>
      <c r="E131" s="64" t="str">
        <f>IF($K131="","",TRIM(INDEX('Detalle individual'!$E:$E,$K131)))</f>
        <v>JEFE DE AGENCIA</v>
      </c>
      <c r="F131" s="64" t="str">
        <f>IF($K131="","",TRIM(INDEX('Detalle individual'!$C:$C,$K131)))</f>
        <v>AGENCIA USULUTAN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46301.432337962964</v>
      </c>
      <c r="J131" s="78">
        <f>IF($K131="","",IF(INDEX('Detalle individual'!$F:$F,$K131)="Completado",INDEX('Detalle individual'!$J:$J,$K131),""))</f>
        <v>100</v>
      </c>
      <c r="K131">
        <f>IFERROR(MOD(SMALL('Cálculos'!$Z$5:$Z$1000,123),10000),"")</f>
        <v>282</v>
      </c>
    </row>
    <row r="132">
      <c r="B132" s="63">
        <f>IF($K132="","",124)</f>
        <v>124</v>
      </c>
      <c r="C132" s="63" t="str">
        <f>IF($K132="","",INDEX('Detalle individual'!$A:$A,$K132))</f>
        <v>912</v>
      </c>
      <c r="D132" s="64" t="str">
        <f>IF($K132="","",TRIM(INDEX('Detalle individual'!$B:$B,$K132)))</f>
        <v>HECTOR MAURICIO GONZÁLEZ VÁSQUEZ</v>
      </c>
      <c r="E132" s="64" t="str">
        <f>IF($K132="","",TRIM(INDEX('Detalle individual'!$E:$E,$K132)))</f>
        <v>EJECUTIVO DE SEGUROS</v>
      </c>
      <c r="F132" s="64" t="str">
        <f>IF($K132="","",TRIM(INDEX('Detalle individual'!$C:$C,$K132)))</f>
        <v>AGENCIA USULUTAN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46303.45730324074</v>
      </c>
      <c r="J132" s="78">
        <f>IF($K132="","",IF(INDEX('Detalle individual'!$F:$F,$K132)="Completado",INDEX('Detalle individual'!$J:$J,$K132),""))</f>
        <v>100</v>
      </c>
      <c r="K132">
        <f>IFERROR(MOD(SMALL('Cálculos'!$Z$5:$Z$1000,124),10000),"")</f>
        <v>283</v>
      </c>
    </row>
    <row r="133">
      <c r="B133" s="63">
        <f>IF($K133="","",125)</f>
        <v>125</v>
      </c>
      <c r="C133" s="63" t="str">
        <f>IF($K133="","",INDEX('Detalle individual'!$A:$A,$K133))</f>
        <v>917</v>
      </c>
      <c r="D133" s="64" t="str">
        <f>IF($K133="","",TRIM(INDEX('Detalle individual'!$B:$B,$K133)))</f>
        <v>LUIS MANUEL VALENCIA GUERRERO</v>
      </c>
      <c r="E133" s="64" t="str">
        <f>IF($K133="","",TRIM(INDEX('Detalle individual'!$E:$E,$K133)))</f>
        <v>SUBJEFE DE AGENCIA</v>
      </c>
      <c r="F133" s="64" t="str">
        <f>IF($K133="","",TRIM(INDEX('Detalle individual'!$C:$C,$K133)))</f>
        <v>AGENCIA USULUTAN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46309.4197337963</v>
      </c>
      <c r="J133" s="78">
        <f>IF($K133="","",IF(INDEX('Detalle individual'!$F:$F,$K133)="Completado",INDEX('Detalle individual'!$J:$J,$K133),""))</f>
        <v>100</v>
      </c>
      <c r="K133">
        <f>IFERROR(MOD(SMALL('Cálculos'!$Z$5:$Z$1000,125),10000),"")</f>
        <v>284</v>
      </c>
    </row>
    <row r="134">
      <c r="B134" s="63">
        <f>IF($K134="","",126)</f>
        <v>126</v>
      </c>
      <c r="C134" s="63" t="str">
        <f>IF($K134="","",INDEX('Detalle individual'!$A:$A,$K134))</f>
        <v>951</v>
      </c>
      <c r="D134" s="64" t="str">
        <f>IF($K134="","",TRIM(INDEX('Detalle individual'!$B:$B,$K134)))</f>
        <v>MELVIN ELISEO HERNANDEZ MACHADO</v>
      </c>
      <c r="E134" s="64" t="str">
        <f>IF($K134="","",TRIM(INDEX('Detalle individual'!$E:$E,$K134)))</f>
        <v>EJECUTIVO DE NEGOCIOS</v>
      </c>
      <c r="F134" s="64" t="str">
        <f>IF($K134="","",TRIM(INDEX('Detalle individual'!$C:$C,$K134)))</f>
        <v>AGENCIA USULUTAN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46309.3825462963</v>
      </c>
      <c r="J134" s="78">
        <f>IF($K134="","",IF(INDEX('Detalle individual'!$F:$F,$K134)="Completado",INDEX('Detalle individual'!$J:$J,$K134),""))</f>
        <v>100</v>
      </c>
      <c r="K134">
        <f>IFERROR(MOD(SMALL('Cálculos'!$Z$5:$Z$1000,126),10000),"")</f>
        <v>285</v>
      </c>
    </row>
    <row r="135">
      <c r="B135" s="63">
        <f>IF($K135="","",127)</f>
        <v>127</v>
      </c>
      <c r="C135" s="63" t="str">
        <f>IF($K135="","",INDEX('Detalle individual'!$A:$A,$K135))</f>
        <v>961</v>
      </c>
      <c r="D135" s="64" t="str">
        <f>IF($K135="","",TRIM(INDEX('Detalle individual'!$B:$B,$K135)))</f>
        <v>FATIMA LISSETTE HERNANDEZ MEJIA</v>
      </c>
      <c r="E135" s="64" t="str">
        <f>IF($K135="","",TRIM(INDEX('Detalle individual'!$E:$E,$K135)))</f>
        <v>CAJERO</v>
      </c>
      <c r="F135" s="64" t="str">
        <f>IF($K135="","",TRIM(INDEX('Detalle individual'!$C:$C,$K135)))</f>
        <v>AGENCIA USULUTAN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46303.544328703705</v>
      </c>
      <c r="J135" s="78">
        <f>IF($K135="","",IF(INDEX('Detalle individual'!$F:$F,$K135)="Completado",INDEX('Detalle individual'!$J:$J,$K135),""))</f>
        <v>100</v>
      </c>
      <c r="K135">
        <f>IFERROR(MOD(SMALL('Cálculos'!$Z$5:$Z$1000,127),10000),"")</f>
        <v>286</v>
      </c>
    </row>
    <row r="136">
      <c r="B136" s="63">
        <f>IF($K136="","",128)</f>
        <v>128</v>
      </c>
      <c r="C136" s="63" t="str">
        <f>IF($K136="","",INDEX('Detalle individual'!$A:$A,$K136))</f>
        <v>970</v>
      </c>
      <c r="D136" s="64" t="str">
        <f>IF($K136="","",TRIM(INDEX('Detalle individual'!$B:$B,$K136)))</f>
        <v>EDUARDO JOSE GAMEZ VILLATORO</v>
      </c>
      <c r="E136" s="64" t="str">
        <f>IF($K136="","",TRIM(INDEX('Detalle individual'!$E:$E,$K136)))</f>
        <v>CAJERO</v>
      </c>
      <c r="F136" s="64" t="str">
        <f>IF($K136="","",TRIM(INDEX('Detalle individual'!$C:$C,$K136)))</f>
        <v>AGENCIA USULUTAN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46309.37625</v>
      </c>
      <c r="J136" s="78">
        <f>IF($K136="","",IF(INDEX('Detalle individual'!$F:$F,$K136)="Completado",INDEX('Detalle individual'!$J:$J,$K136),""))</f>
        <v>100</v>
      </c>
      <c r="K136">
        <f>IFERROR(MOD(SMALL('Cálculos'!$Z$5:$Z$1000,128),10000),"")</f>
        <v>287</v>
      </c>
    </row>
    <row r="137">
      <c r="B137" s="63">
        <f>IF($K137="","",129)</f>
        <v>129</v>
      </c>
      <c r="C137" s="63" t="str">
        <f>IF($K137="","",INDEX('Detalle individual'!$A:$A,$K137))</f>
        <v>590</v>
      </c>
      <c r="D137" s="64" t="str">
        <f>IF($K137="","",TRIM(INDEX('Detalle individual'!$B:$B,$K137)))</f>
        <v>LORENA ELIZABETH GALDAMEZ NUÑEZ</v>
      </c>
      <c r="E137" s="64" t="str">
        <f>IF($K137="","",TRIM(INDEX('Detalle individual'!$E:$E,$K137)))</f>
        <v>MEDICO</v>
      </c>
      <c r="F137" s="64" t="str">
        <f>IF($K137="","",TRIM(INDEX('Detalle individual'!$C:$C,$K137)))</f>
        <v>CLINICA EMPRESARIAL</v>
      </c>
      <c r="G137" s="64" t="str">
        <f>IF($K137="","",INDEX('Detalle individual'!$D:$D,$K137))</f>
        <v>Gerencia Administrativa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46305.408738425926</v>
      </c>
      <c r="J137" s="78">
        <f>IF($K137="","",IF(INDEX('Detalle individual'!$F:$F,$K137)="Completado",INDEX('Detalle individual'!$J:$J,$K137),""))</f>
        <v>100</v>
      </c>
      <c r="K137">
        <f>IFERROR(MOD(SMALL('Cálculos'!$Z$5:$Z$1000,129),10000),"")</f>
        <v>54</v>
      </c>
    </row>
    <row r="138">
      <c r="B138" s="63">
        <f>IF($K138="","",130)</f>
        <v>130</v>
      </c>
      <c r="C138" s="63" t="str">
        <f>IF($K138="","",INDEX('Detalle individual'!$A:$A,$K138))</f>
        <v>609</v>
      </c>
      <c r="D138" s="64" t="str">
        <f>IF($K138="","",TRIM(INDEX('Detalle individual'!$B:$B,$K138)))</f>
        <v>GLADIS OSIRIS VALLE HERNANDEZ</v>
      </c>
      <c r="E138" s="64" t="str">
        <f>IF($K138="","",TRIM(INDEX('Detalle individual'!$E:$E,$K138)))</f>
        <v>ENFERMERA</v>
      </c>
      <c r="F138" s="64" t="str">
        <f>IF($K138="","",TRIM(INDEX('Detalle individual'!$C:$C,$K138)))</f>
        <v>CLINICA EMPRESARIAL</v>
      </c>
      <c r="G138" s="64" t="str">
        <f>IF($K138="","",INDEX('Detalle individual'!$D:$D,$K138))</f>
        <v>Gerencia Administrativa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46305.41128472222</v>
      </c>
      <c r="J138" s="78">
        <f>IF($K138="","",IF(INDEX('Detalle individual'!$F:$F,$K138)="Completado",INDEX('Detalle individual'!$J:$J,$K138),""))</f>
        <v>100</v>
      </c>
      <c r="K138">
        <f>IFERROR(MOD(SMALL('Cálculos'!$Z$5:$Z$1000,130),10000),"")</f>
        <v>55</v>
      </c>
    </row>
    <row r="139">
      <c r="B139" s="63">
        <f>IF($K139="","",131)</f>
        <v>131</v>
      </c>
      <c r="C139" s="63" t="str">
        <f>IF($K139="","",INDEX('Detalle individual'!$A:$A,$K139))</f>
        <v>53</v>
      </c>
      <c r="D139" s="64" t="str">
        <f>IF($K139="","",TRIM(INDEX('Detalle individual'!$B:$B,$K139)))</f>
        <v>CLAUDIA MARIA GIMENEZ PEREZ</v>
      </c>
      <c r="E139" s="64" t="str">
        <f>IF($K139="","",TRIM(INDEX('Detalle individual'!$E:$E,$K139)))</f>
        <v>ASISTENTE DEL CONSEJO DE ADMINISTRACION</v>
      </c>
      <c r="F139" s="64" t="str">
        <f>IF($K139="","",TRIM(INDEX('Detalle individual'!$C:$C,$K139)))</f>
        <v>CONSEJO DE ADMINISTRACION</v>
      </c>
      <c r="G139" s="64" t="str">
        <f>IF($K139="","",INDEX('Detalle individual'!$D:$D,$K139))</f>
        <v>Consejo de Administración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46300.658009259256</v>
      </c>
      <c r="J139" s="78">
        <f>IF($K139="","",IF(INDEX('Detalle individual'!$F:$F,$K139)="Completado",INDEX('Detalle individual'!$J:$J,$K139),""))</f>
        <v>90</v>
      </c>
      <c r="K139">
        <f>IFERROR(MOD(SMALL('Cálculos'!$Z$5:$Z$1000,131),10000),"")</f>
        <v>296</v>
      </c>
    </row>
    <row r="140">
      <c r="B140" s="63">
        <f>IF($K140="","",132)</f>
        <v>132</v>
      </c>
      <c r="C140" s="63" t="str">
        <f>IF($K140="","",INDEX('Detalle individual'!$A:$A,$K140))</f>
        <v>422</v>
      </c>
      <c r="D140" s="64" t="str">
        <f>IF($K140="","",TRIM(INDEX('Detalle individual'!$B:$B,$K140)))</f>
        <v>CLAUDIA VERONICA LARA RODAS</v>
      </c>
      <c r="E140" s="64" t="str">
        <f>IF($K140="","",TRIM(INDEX('Detalle individual'!$E:$E,$K140)))</f>
        <v>ASISTENTE COMERCIAL DE TARJETA DE CREDITO</v>
      </c>
      <c r="F140" s="64" t="str">
        <f>IF($K140="","",TRIM(INDEX('Detalle individual'!$C:$C,$K140)))</f>
        <v>DEPARTAMENTO COMERCIAL DE TARJETA DE CREDITO Y DEBITO</v>
      </c>
      <c r="G140" s="64" t="str">
        <f>IF($K140="","",INDEX('Detalle individual'!$D:$D,$K140))</f>
        <v>Gerencia de Negocios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46304.41396990741</v>
      </c>
      <c r="J140" s="78">
        <f>IF($K140="","",IF(INDEX('Detalle individual'!$F:$F,$K140)="Completado",INDEX('Detalle individual'!$J:$J,$K140),""))</f>
        <v>100</v>
      </c>
      <c r="K140">
        <f>IFERROR(MOD(SMALL('Cálculos'!$Z$5:$Z$1000,132),10000),"")</f>
        <v>176</v>
      </c>
    </row>
    <row r="141">
      <c r="B141" s="63">
        <f>IF($K141="","",133)</f>
        <v>133</v>
      </c>
      <c r="C141" s="63" t="str">
        <f>IF($K141="","",INDEX('Detalle individual'!$A:$A,$K141))</f>
        <v>533</v>
      </c>
      <c r="D141" s="64" t="str">
        <f>IF($K141="","",TRIM(INDEX('Detalle individual'!$B:$B,$K141)))</f>
        <v>LIDIA PATRICIA MORALES AVALOS</v>
      </c>
      <c r="E141" s="64" t="str">
        <f>IF($K141="","",TRIM(INDEX('Detalle individual'!$E:$E,$K141)))</f>
        <v>JEFE COMERCIAL DE TARJETA DE CREDITO</v>
      </c>
      <c r="F141" s="64" t="str">
        <f>IF($K141="","",TRIM(INDEX('Detalle individual'!$C:$C,$K141)))</f>
        <v>DEPARTAMENTO COMERCIAL DE TARJETA DE CREDITO Y DEBITO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46304.7809837963</v>
      </c>
      <c r="J141" s="78">
        <f>IF($K141="","",IF(INDEX('Detalle individual'!$F:$F,$K141)="Completado",INDEX('Detalle individual'!$J:$J,$K141),""))</f>
        <v>90</v>
      </c>
      <c r="K141">
        <f>IFERROR(MOD(SMALL('Cálculos'!$Z$5:$Z$1000,133),10000),"")</f>
        <v>177</v>
      </c>
    </row>
    <row r="142">
      <c r="B142" s="63">
        <f>IF($K142="","",134)</f>
        <v>134</v>
      </c>
      <c r="C142" s="63" t="str">
        <f>IF($K142="","",INDEX('Detalle individual'!$A:$A,$K142))</f>
        <v>654</v>
      </c>
      <c r="D142" s="64" t="str">
        <f>IF($K142="","",TRIM(INDEX('Detalle individual'!$B:$B,$K142)))</f>
        <v>GABRIELA ALEJANDRA RODRIGUEZ ARIAS</v>
      </c>
      <c r="E142" s="64" t="str">
        <f>IF($K142="","",TRIM(INDEX('Detalle individual'!$E:$E,$K142)))</f>
        <v>AUXILIAR DE ATENCION AL CLIENTE</v>
      </c>
      <c r="F142" s="64" t="str">
        <f>IF($K142="","",TRIM(INDEX('Detalle individual'!$C:$C,$K142)))</f>
        <v>DEPARTAMENTO COMERCIAL DE TARJETA DE CREDITO Y DEBITO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46304.678506944445</v>
      </c>
      <c r="J142" s="78">
        <f>IF($K142="","",IF(INDEX('Detalle individual'!$F:$F,$K142)="Completado",INDEX('Detalle individual'!$J:$J,$K142),""))</f>
        <v>80</v>
      </c>
      <c r="K142">
        <f>IFERROR(MOD(SMALL('Cálculos'!$Z$5:$Z$1000,134),10000),"")</f>
        <v>178</v>
      </c>
    </row>
    <row r="143">
      <c r="B143" s="63">
        <f>IF($K143="","",135)</f>
        <v>135</v>
      </c>
      <c r="C143" s="63" t="str">
        <f>IF($K143="","",INDEX('Detalle individual'!$A:$A,$K143))</f>
        <v>655</v>
      </c>
      <c r="D143" s="64" t="str">
        <f>IF($K143="","",TRIM(INDEX('Detalle individual'!$B:$B,$K143)))</f>
        <v>JOSE ALEXANDER ABREGO</v>
      </c>
      <c r="E143" s="64" t="str">
        <f>IF($K143="","",TRIM(INDEX('Detalle individual'!$E:$E,$K143)))</f>
        <v>EJECUTIVO DE NEGOCIOS</v>
      </c>
      <c r="F143" s="64" t="str">
        <f>IF($K143="","",TRIM(INDEX('Detalle individual'!$C:$C,$K143)))</f>
        <v>DEPARTAMENTO COMERCIAL DE TARJETA DE CREDITO Y DEBITO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46305.51431712963</v>
      </c>
      <c r="J143" s="78">
        <f>IF($K143="","",IF(INDEX('Detalle individual'!$F:$F,$K143)="Completado",INDEX('Detalle individual'!$J:$J,$K143),""))</f>
        <v>65</v>
      </c>
      <c r="K143">
        <f>IFERROR(MOD(SMALL('Cálculos'!$Z$5:$Z$1000,135),10000),"")</f>
        <v>179</v>
      </c>
    </row>
    <row r="144">
      <c r="B144" s="63">
        <f>IF($K144="","",136)</f>
        <v>136</v>
      </c>
      <c r="C144" s="63" t="str">
        <f>IF($K144="","",INDEX('Detalle individual'!$A:$A,$K144))</f>
        <v>669</v>
      </c>
      <c r="D144" s="64" t="str">
        <f>IF($K144="","",TRIM(INDEX('Detalle individual'!$B:$B,$K144)))</f>
        <v>ANTONIO ALEXANDER ALFARO ARGUETA</v>
      </c>
      <c r="E144" s="64" t="str">
        <f>IF($K144="","",TRIM(INDEX('Detalle individual'!$E:$E,$K144)))</f>
        <v>EJECUTIVO DE NEGOCIOS</v>
      </c>
      <c r="F144" s="64" t="str">
        <f>IF($K144="","",TRIM(INDEX('Detalle individual'!$C:$C,$K144)))</f>
        <v>DEPARTAMENTO COMERCIAL DE TARJETA DE CREDITO Y DEBITO</v>
      </c>
      <c r="G144" s="64" t="str">
        <f>IF($K144="","",INDEX('Detalle individual'!$D:$D,$K144))</f>
        <v>Gerencia de Negocios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46305.48725694444</v>
      </c>
      <c r="J144" s="78">
        <f>IF($K144="","",IF(INDEX('Detalle individual'!$F:$F,$K144)="Completado",INDEX('Detalle individual'!$J:$J,$K144),""))</f>
        <v>90</v>
      </c>
      <c r="K144">
        <f>IFERROR(MOD(SMALL('Cálculos'!$Z$5:$Z$1000,136),10000),"")</f>
        <v>180</v>
      </c>
    </row>
    <row r="145">
      <c r="B145" s="63">
        <f>IF($K145="","",137)</f>
        <v>137</v>
      </c>
      <c r="C145" s="63" t="str">
        <f>IF($K145="","",INDEX('Detalle individual'!$A:$A,$K145))</f>
        <v>715</v>
      </c>
      <c r="D145" s="64" t="str">
        <f>IF($K145="","",TRIM(INDEX('Detalle individual'!$B:$B,$K145)))</f>
        <v>KAREN MARCELA BARILLAS MOLINA</v>
      </c>
      <c r="E145" s="64" t="str">
        <f>IF($K145="","",TRIM(INDEX('Detalle individual'!$E:$E,$K145)))</f>
        <v>AUXILIAR DE ATENCION AL TARJETAHABIENTE</v>
      </c>
      <c r="F145" s="64" t="str">
        <f>IF($K145="","",TRIM(INDEX('Detalle individual'!$C:$C,$K145)))</f>
        <v>DEPARTAMENTO COMERCIAL DE TARJETA DE CREDITO Y DEBITO</v>
      </c>
      <c r="G145" s="64" t="str">
        <f>IF($K145="","",INDEX('Detalle individual'!$D:$D,$K145))</f>
        <v>Gerencia de Negocios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46297.71334490741</v>
      </c>
      <c r="J145" s="78">
        <f>IF($K145="","",IF(INDEX('Detalle individual'!$F:$F,$K145)="Completado",INDEX('Detalle individual'!$J:$J,$K145),""))</f>
        <v>85</v>
      </c>
      <c r="K145">
        <f>IFERROR(MOD(SMALL('Cálculos'!$Z$5:$Z$1000,137),10000),"")</f>
        <v>181</v>
      </c>
    </row>
    <row r="146">
      <c r="B146" s="63">
        <f>IF($K146="","",138)</f>
        <v>138</v>
      </c>
      <c r="C146" s="63" t="str">
        <f>IF($K146="","",INDEX('Detalle individual'!$A:$A,$K146))</f>
        <v>858</v>
      </c>
      <c r="D146" s="64" t="str">
        <f>IF($K146="","",TRIM(INDEX('Detalle individual'!$B:$B,$K146)))</f>
        <v>GABRIEL FRANCISCO MOLINA DIAZ</v>
      </c>
      <c r="E146" s="64" t="str">
        <f>IF($K146="","",TRIM(INDEX('Detalle individual'!$E:$E,$K146)))</f>
        <v>EJECUTIVO DE NEGOCIOS</v>
      </c>
      <c r="F146" s="64" t="str">
        <f>IF($K146="","",TRIM(INDEX('Detalle individual'!$C:$C,$K146)))</f>
        <v>DEPARTAMENTO COMERCIAL DE TARJETA DE CREDITO Y DEBITO</v>
      </c>
      <c r="G146" s="64" t="str">
        <f>IF($K146="","",INDEX('Detalle individual'!$D:$D,$K146))</f>
        <v>Gerencia de Negocios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46305.49159722222</v>
      </c>
      <c r="J146" s="78">
        <f>IF($K146="","",IF(INDEX('Detalle individual'!$F:$F,$K146)="Completado",INDEX('Detalle individual'!$J:$J,$K146),""))</f>
        <v>95</v>
      </c>
      <c r="K146">
        <f>IFERROR(MOD(SMALL('Cálculos'!$Z$5:$Z$1000,138),10000),"")</f>
        <v>183</v>
      </c>
    </row>
    <row r="147">
      <c r="B147" s="63">
        <f>IF($K147="","",139)</f>
        <v>139</v>
      </c>
      <c r="C147" s="63" t="str">
        <f>IF($K147="","",INDEX('Detalle individual'!$A:$A,$K147))</f>
        <v>239</v>
      </c>
      <c r="D147" s="64" t="str">
        <f>IF($K147="","",TRIM(INDEX('Detalle individual'!$B:$B,$K147)))</f>
        <v>CELINA MARGARITA GUTIERREZ RODRIGUEZ</v>
      </c>
      <c r="E147" s="64" t="str">
        <f>IF($K147="","",TRIM(INDEX('Detalle individual'!$E:$E,$K147)))</f>
        <v>ANALISTA PROGRAMADOR SENIOR</v>
      </c>
      <c r="F147" s="64" t="str">
        <f>IF($K147="","",TRIM(INDEX('Detalle individual'!$C:$C,$K147)))</f>
        <v>DEPARTAMENTO DE ANALISIS Y PROGRAMACIÓN</v>
      </c>
      <c r="G147" s="64" t="str">
        <f>IF($K147="","",INDEX('Detalle individual'!$D:$D,$K147))</f>
        <v>Gerencia de Sistemas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46296.65938657407</v>
      </c>
      <c r="J147" s="78">
        <f>IF($K147="","",IF(INDEX('Detalle individual'!$F:$F,$K147)="Completado",INDEX('Detalle individual'!$J:$J,$K147),""))</f>
        <v>100</v>
      </c>
      <c r="K147">
        <f>IFERROR(MOD(SMALL('Cálculos'!$Z$5:$Z$1000,139),10000),"")</f>
        <v>111</v>
      </c>
    </row>
    <row r="148">
      <c r="B148" s="63">
        <f>IF($K148="","",140)</f>
        <v>140</v>
      </c>
      <c r="C148" s="63" t="str">
        <f>IF($K148="","",INDEX('Detalle individual'!$A:$A,$K148))</f>
        <v>320</v>
      </c>
      <c r="D148" s="64" t="str">
        <f>IF($K148="","",TRIM(INDEX('Detalle individual'!$B:$B,$K148)))</f>
        <v>HILDA MARGARITA ABREGO BRAN</v>
      </c>
      <c r="E148" s="64" t="str">
        <f>IF($K148="","",TRIM(INDEX('Detalle individual'!$E:$E,$K148)))</f>
        <v>ANALISTA QA</v>
      </c>
      <c r="F148" s="64" t="str">
        <f>IF($K148="","",TRIM(INDEX('Detalle individual'!$C:$C,$K148)))</f>
        <v>DEPARTAMENTO DE ANALISIS Y PROGRAMACIÓN</v>
      </c>
      <c r="G148" s="64" t="str">
        <f>IF($K148="","",INDEX('Detalle individual'!$D:$D,$K148))</f>
        <v>Gerencia de Sistemas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46296.59023148148</v>
      </c>
      <c r="J148" s="78">
        <f>IF($K148="","",IF(INDEX('Detalle individual'!$F:$F,$K148)="Completado",INDEX('Detalle individual'!$J:$J,$K148),""))</f>
        <v>100</v>
      </c>
      <c r="K148">
        <f>IFERROR(MOD(SMALL('Cálculos'!$Z$5:$Z$1000,140),10000),"")</f>
        <v>112</v>
      </c>
    </row>
    <row r="149">
      <c r="B149" s="63">
        <f>IF($K149="","",141)</f>
        <v>141</v>
      </c>
      <c r="C149" s="63" t="str">
        <f>IF($K149="","",INDEX('Detalle individual'!$A:$A,$K149))</f>
        <v>410</v>
      </c>
      <c r="D149" s="64" t="str">
        <f>IF($K149="","",TRIM(INDEX('Detalle individual'!$B:$B,$K149)))</f>
        <v>CLAUDIA MARGARITA CAMPOS GONZÁLEZ</v>
      </c>
      <c r="E149" s="64" t="str">
        <f>IF($K149="","",TRIM(INDEX('Detalle individual'!$E:$E,$K149)))</f>
        <v>JEFE DE ANALISIS Y PROGRAMACION</v>
      </c>
      <c r="F149" s="64" t="str">
        <f>IF($K149="","",TRIM(INDEX('Detalle individual'!$C:$C,$K149)))</f>
        <v>DEPARTAMENTO DE ANALISIS Y PROGRAMACIÓN</v>
      </c>
      <c r="G149" s="64" t="str">
        <f>IF($K149="","",INDEX('Detalle individual'!$D:$D,$K149))</f>
        <v>Gerencia de Sistemas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46307.69321759259</v>
      </c>
      <c r="J149" s="78">
        <f>IF($K149="","",IF(INDEX('Detalle individual'!$F:$F,$K149)="Completado",INDEX('Detalle individual'!$J:$J,$K149),""))</f>
        <v>100</v>
      </c>
      <c r="K149">
        <f>IFERROR(MOD(SMALL('Cálculos'!$Z$5:$Z$1000,141),10000),"")</f>
        <v>113</v>
      </c>
    </row>
    <row r="150">
      <c r="B150" s="63">
        <f>IF($K150="","",142)</f>
        <v>142</v>
      </c>
      <c r="C150" s="63" t="str">
        <f>IF($K150="","",INDEX('Detalle individual'!$A:$A,$K150))</f>
        <v>474</v>
      </c>
      <c r="D150" s="64" t="str">
        <f>IF($K150="","",TRIM(INDEX('Detalle individual'!$B:$B,$K150)))</f>
        <v>GLADIS EVELIN CASTILLO TORRES</v>
      </c>
      <c r="E150" s="64" t="str">
        <f>IF($K150="","",TRIM(INDEX('Detalle individual'!$E:$E,$K150)))</f>
        <v>ANALISTA PROGRAMADOR SENIOR</v>
      </c>
      <c r="F150" s="64" t="str">
        <f>IF($K150="","",TRIM(INDEX('Detalle individual'!$C:$C,$K150)))</f>
        <v>DEPARTAMENTO DE ANALISIS Y PROGRAMACIÓN</v>
      </c>
      <c r="G150" s="64" t="str">
        <f>IF($K150="","",INDEX('Detalle individual'!$D:$D,$K150))</f>
        <v>Gerencia de Sistemas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46297.48825231481</v>
      </c>
      <c r="J150" s="78">
        <f>IF($K150="","",IF(INDEX('Detalle individual'!$F:$F,$K150)="Completado",INDEX('Detalle individual'!$J:$J,$K150),""))</f>
        <v>100</v>
      </c>
      <c r="K150">
        <f>IFERROR(MOD(SMALL('Cálculos'!$Z$5:$Z$1000,142),10000),"")</f>
        <v>114</v>
      </c>
    </row>
    <row r="151">
      <c r="B151" s="63">
        <f>IF($K151="","",143)</f>
        <v>143</v>
      </c>
      <c r="C151" s="63" t="str">
        <f>IF($K151="","",INDEX('Detalle individual'!$A:$A,$K151))</f>
        <v>680</v>
      </c>
      <c r="D151" s="64" t="str">
        <f>IF($K151="","",TRIM(INDEX('Detalle individual'!$B:$B,$K151)))</f>
        <v>CARLOS FRANCISCO HERNANDEZ MUÑOZ</v>
      </c>
      <c r="E151" s="64" t="str">
        <f>IF($K151="","",TRIM(INDEX('Detalle individual'!$E:$E,$K151)))</f>
        <v>ANALISTA QA</v>
      </c>
      <c r="F151" s="64" t="str">
        <f>IF($K151="","",TRIM(INDEX('Detalle individual'!$C:$C,$K151)))</f>
        <v>DEPARTAMENTO DE ANALISIS Y PROGRAMACIÓN</v>
      </c>
      <c r="G151" s="64" t="str">
        <f>IF($K151="","",INDEX('Detalle individual'!$D:$D,$K151))</f>
        <v>Gerencia de Sistemas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46300.39171296296</v>
      </c>
      <c r="J151" s="78">
        <f>IF($K151="","",IF(INDEX('Detalle individual'!$F:$F,$K151)="Completado",INDEX('Detalle individual'!$J:$J,$K151),""))</f>
        <v>100</v>
      </c>
      <c r="K151">
        <f>IFERROR(MOD(SMALL('Cálculos'!$Z$5:$Z$1000,143),10000),"")</f>
        <v>115</v>
      </c>
    </row>
    <row r="152">
      <c r="B152" s="63">
        <f>IF($K152="","",144)</f>
        <v>144</v>
      </c>
      <c r="C152" s="63" t="str">
        <f>IF($K152="","",INDEX('Detalle individual'!$A:$A,$K152))</f>
        <v>752</v>
      </c>
      <c r="D152" s="64" t="str">
        <f>IF($K152="","",TRIM(INDEX('Detalle individual'!$B:$B,$K152)))</f>
        <v>JEAN HARRY MIRANDA ARAUJO</v>
      </c>
      <c r="E152" s="64" t="str">
        <f>IF($K152="","",TRIM(INDEX('Detalle individual'!$E:$E,$K152)))</f>
        <v>ANALISTA PROGRAMADOR</v>
      </c>
      <c r="F152" s="64" t="str">
        <f>IF($K152="","",TRIM(INDEX('Detalle individual'!$C:$C,$K152)))</f>
        <v>DEPARTAMENTO DE ANALISIS Y PROGRAMACIÓN</v>
      </c>
      <c r="G152" s="64" t="str">
        <f>IF($K152="","",INDEX('Detalle individual'!$D:$D,$K152))</f>
        <v>Gerencia de Sistemas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46307.43311342593</v>
      </c>
      <c r="J152" s="78">
        <f>IF($K152="","",IF(INDEX('Detalle individual'!$F:$F,$K152)="Completado",INDEX('Detalle individual'!$J:$J,$K152),""))</f>
        <v>100</v>
      </c>
      <c r="K152">
        <f>IFERROR(MOD(SMALL('Cálculos'!$Z$5:$Z$1000,144),10000),"")</f>
        <v>116</v>
      </c>
    </row>
    <row r="153">
      <c r="B153" s="63">
        <f>IF($K153="","",145)</f>
        <v>145</v>
      </c>
      <c r="C153" s="63" t="str">
        <f>IF($K153="","",INDEX('Detalle individual'!$A:$A,$K153))</f>
        <v>783</v>
      </c>
      <c r="D153" s="64" t="str">
        <f>IF($K153="","",TRIM(INDEX('Detalle individual'!$B:$B,$K153)))</f>
        <v>JONATHAN ALEXIS BERRIOS MENJIVAR</v>
      </c>
      <c r="E153" s="64" t="str">
        <f>IF($K153="","",TRIM(INDEX('Detalle individual'!$E:$E,$K153)))</f>
        <v>ANALISTA PROGRAMADOR</v>
      </c>
      <c r="F153" s="64" t="str">
        <f>IF($K153="","",TRIM(INDEX('Detalle individual'!$C:$C,$K153)))</f>
        <v>DEPARTAMENTO DE ANALISIS Y PROGRAMACIÓN</v>
      </c>
      <c r="G153" s="64" t="str">
        <f>IF($K153="","",INDEX('Detalle individual'!$D:$D,$K153))</f>
        <v>Gerencia de Sistemas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46304.40027777778</v>
      </c>
      <c r="J153" s="78">
        <f>IF($K153="","",IF(INDEX('Detalle individual'!$F:$F,$K153)="Completado",INDEX('Detalle individual'!$J:$J,$K153),""))</f>
        <v>100</v>
      </c>
      <c r="K153">
        <f>IFERROR(MOD(SMALL('Cálculos'!$Z$5:$Z$1000,145),10000),"")</f>
        <v>117</v>
      </c>
    </row>
    <row r="154">
      <c r="B154" s="63">
        <f>IF($K154="","",146)</f>
        <v>146</v>
      </c>
      <c r="C154" s="63" t="str">
        <f>IF($K154="","",INDEX('Detalle individual'!$A:$A,$K154))</f>
        <v>806</v>
      </c>
      <c r="D154" s="64" t="str">
        <f>IF($K154="","",TRIM(INDEX('Detalle individual'!$B:$B,$K154)))</f>
        <v>BYRON WILFREDO MENJIVAR MELENDEZ</v>
      </c>
      <c r="E154" s="64" t="str">
        <f>IF($K154="","",TRIM(INDEX('Detalle individual'!$E:$E,$K154)))</f>
        <v>ANALISTA PROGRAMADOR</v>
      </c>
      <c r="F154" s="64" t="str">
        <f>IF($K154="","",TRIM(INDEX('Detalle individual'!$C:$C,$K154)))</f>
        <v>DEPARTAMENTO DE ANALISIS Y PROGRAMACIÓN</v>
      </c>
      <c r="G154" s="64" t="str">
        <f>IF($K154="","",INDEX('Detalle individual'!$D:$D,$K154))</f>
        <v>Gerencia de Sistemas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46304.384618055556</v>
      </c>
      <c r="J154" s="78">
        <f>IF($K154="","",IF(INDEX('Detalle individual'!$F:$F,$K154)="Completado",INDEX('Detalle individual'!$J:$J,$K154),""))</f>
        <v>100</v>
      </c>
      <c r="K154">
        <f>IFERROR(MOD(SMALL('Cálculos'!$Z$5:$Z$1000,146),10000),"")</f>
        <v>118</v>
      </c>
    </row>
    <row r="155">
      <c r="B155" s="63">
        <f>IF($K155="","",147)</f>
        <v>147</v>
      </c>
      <c r="C155" s="63" t="str">
        <f>IF($K155="","",INDEX('Detalle individual'!$A:$A,$K155))</f>
        <v>824</v>
      </c>
      <c r="D155" s="64" t="str">
        <f>IF($K155="","",TRIM(INDEX('Detalle individual'!$B:$B,$K155)))</f>
        <v>RODRIGO FERNANDO FIGUEROA RIVAS</v>
      </c>
      <c r="E155" s="64" t="str">
        <f>IF($K155="","",TRIM(INDEX('Detalle individual'!$E:$E,$K155)))</f>
        <v>ANALISTA PROGRAMADOR JUNIOR</v>
      </c>
      <c r="F155" s="64" t="str">
        <f>IF($K155="","",TRIM(INDEX('Detalle individual'!$C:$C,$K155)))</f>
        <v>DEPARTAMENTO DE ANALISIS Y PROGRAMACIÓN</v>
      </c>
      <c r="G155" s="64" t="str">
        <f>IF($K155="","",INDEX('Detalle individual'!$D:$D,$K155))</f>
        <v>Gerencia de Sistemas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46304.38784722222</v>
      </c>
      <c r="J155" s="78">
        <f>IF($K155="","",IF(INDEX('Detalle individual'!$F:$F,$K155)="Completado",INDEX('Detalle individual'!$J:$J,$K155),""))</f>
        <v>100</v>
      </c>
      <c r="K155">
        <f>IFERROR(MOD(SMALL('Cálculos'!$Z$5:$Z$1000,147),10000),"")</f>
        <v>119</v>
      </c>
    </row>
    <row r="156">
      <c r="B156" s="63">
        <f>IF($K156="","",148)</f>
        <v>148</v>
      </c>
      <c r="C156" s="63" t="str">
        <f>IF($K156="","",INDEX('Detalle individual'!$A:$A,$K156))</f>
        <v>879</v>
      </c>
      <c r="D156" s="64" t="str">
        <f>IF($K156="","",TRIM(INDEX('Detalle individual'!$B:$B,$K156)))</f>
        <v>MILAGRO NATIVIDAD ESCOBAR MELENDEZ</v>
      </c>
      <c r="E156" s="64" t="str">
        <f>IF($K156="","",TRIM(INDEX('Detalle individual'!$E:$E,$K156)))</f>
        <v>ANALISTA PROGRAMADOR</v>
      </c>
      <c r="F156" s="64" t="str">
        <f>IF($K156="","",TRIM(INDEX('Detalle individual'!$C:$C,$K156)))</f>
        <v>DEPARTAMENTO DE ANALISIS Y PROGRAMACIÓN</v>
      </c>
      <c r="G156" s="64" t="str">
        <f>IF($K156="","",INDEX('Detalle individual'!$D:$D,$K156))</f>
        <v>Gerencia de Sistemas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46304.394837962966</v>
      </c>
      <c r="J156" s="78">
        <f>IF($K156="","",IF(INDEX('Detalle individual'!$F:$F,$K156)="Completado",INDEX('Detalle individual'!$J:$J,$K156),""))</f>
        <v>100</v>
      </c>
      <c r="K156">
        <f>IFERROR(MOD(SMALL('Cálculos'!$Z$5:$Z$1000,148),10000),"")</f>
        <v>120</v>
      </c>
    </row>
    <row r="157">
      <c r="B157" s="63">
        <f>IF($K157="","",149)</f>
        <v>149</v>
      </c>
      <c r="C157" s="63" t="str">
        <f>IF($K157="","",INDEX('Detalle individual'!$A:$A,$K157))</f>
        <v>166</v>
      </c>
      <c r="D157" s="64" t="str">
        <f>IF($K157="","",TRIM(INDEX('Detalle individual'!$B:$B,$K157)))</f>
        <v>MARIA FRANCISCA DE LA LUZ HERNANDEZ HERNANDEZ</v>
      </c>
      <c r="E157" s="64" t="str">
        <f>IF($K157="","",TRIM(INDEX('Detalle individual'!$E:$E,$K157)))</f>
        <v>JEFE DE ATENCION A ASOCIADOS Y CLIENTES</v>
      </c>
      <c r="F157" s="64" t="str">
        <f>IF($K157="","",TRIM(INDEX('Detalle individual'!$C:$C,$K157)))</f>
        <v>DEPARTAMENTO DE ATENCION A ASOCIADO Y CLIENTE</v>
      </c>
      <c r="G157" s="64" t="str">
        <f>IF($K157="","",INDEX('Detalle individual'!$D:$D,$K157))</f>
        <v>Gerencia de Negocios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46301.489282407405</v>
      </c>
      <c r="J157" s="78">
        <f>IF($K157="","",IF(INDEX('Detalle individual'!$F:$F,$K157)="Completado",INDEX('Detalle individual'!$J:$J,$K157),""))</f>
        <v>100</v>
      </c>
      <c r="K157">
        <f>IFERROR(MOD(SMALL('Cálculos'!$Z$5:$Z$1000,149),10000),"")</f>
        <v>139</v>
      </c>
    </row>
    <row r="158">
      <c r="B158" s="63">
        <f>IF($K158="","",150)</f>
        <v>150</v>
      </c>
      <c r="C158" s="63" t="str">
        <f>IF($K158="","",INDEX('Detalle individual'!$A:$A,$K158))</f>
        <v>712</v>
      </c>
      <c r="D158" s="64" t="str">
        <f>IF($K158="","",TRIM(INDEX('Detalle individual'!$B:$B,$K158)))</f>
        <v>EDGARDO ISAIAS PEÑATE RIVAS</v>
      </c>
      <c r="E158" s="64" t="str">
        <f>IF($K158="","",TRIM(INDEX('Detalle individual'!$E:$E,$K158)))</f>
        <v>ASISTENTE TECNICO DEL FONDO DE SOLIDARIDAD</v>
      </c>
      <c r="F158" s="64" t="str">
        <f>IF($K158="","",TRIM(INDEX('Detalle individual'!$C:$C,$K158)))</f>
        <v>DEPARTAMENTO DE ATENCION A ASOCIADO Y CLIENTE</v>
      </c>
      <c r="G158" s="64" t="str">
        <f>IF($K158="","",INDEX('Detalle individual'!$D:$D,$K158))</f>
        <v>Gerencia de Negocios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46304.37650462963</v>
      </c>
      <c r="J158" s="78">
        <f>IF($K158="","",IF(INDEX('Detalle individual'!$F:$F,$K158)="Completado",INDEX('Detalle individual'!$J:$J,$K158),""))</f>
        <v>100</v>
      </c>
      <c r="K158">
        <f>IFERROR(MOD(SMALL('Cálculos'!$Z$5:$Z$1000,150),10000),"")</f>
        <v>140</v>
      </c>
    </row>
    <row r="159">
      <c r="B159" s="63">
        <f>IF($K159="","",151)</f>
        <v>151</v>
      </c>
      <c r="C159" s="63" t="str">
        <f>IF($K159="","",INDEX('Detalle individual'!$A:$A,$K159))</f>
        <v>744</v>
      </c>
      <c r="D159" s="64" t="str">
        <f>IF($K159="","",TRIM(INDEX('Detalle individual'!$B:$B,$K159)))</f>
        <v>KARLA PATRICIA ROBLES CORTEZ</v>
      </c>
      <c r="E159" s="64" t="str">
        <f>IF($K159="","",TRIM(INDEX('Detalle individual'!$E:$E,$K159)))</f>
        <v>ASISTENTE TECNICO DE AFILIACION</v>
      </c>
      <c r="F159" s="64" t="str">
        <f>IF($K159="","",TRIM(INDEX('Detalle individual'!$C:$C,$K159)))</f>
        <v>DEPARTAMENTO DE ATENCION A ASOCIADO Y CLIENTE</v>
      </c>
      <c r="G159" s="64" t="str">
        <f>IF($K159="","",INDEX('Detalle individual'!$D:$D,$K159))</f>
        <v>Gerencia de Negocios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46308.622615740744</v>
      </c>
      <c r="J159" s="78">
        <f>IF($K159="","",IF(INDEX('Detalle individual'!$F:$F,$K159)="Completado",INDEX('Detalle individual'!$J:$J,$K159),""))</f>
        <v>90</v>
      </c>
      <c r="K159">
        <f>IFERROR(MOD(SMALL('Cálculos'!$Z$5:$Z$1000,151),10000),"")</f>
        <v>141</v>
      </c>
    </row>
    <row r="160">
      <c r="B160" s="63">
        <f>IF($K160="","",152)</f>
        <v>152</v>
      </c>
      <c r="C160" s="63" t="str">
        <f>IF($K160="","",INDEX('Detalle individual'!$A:$A,$K160))</f>
        <v>887</v>
      </c>
      <c r="D160" s="64" t="str">
        <f>IF($K160="","",TRIM(INDEX('Detalle individual'!$B:$B,$K160)))</f>
        <v>EMERSON ULISES BELTRAN CORTEZ</v>
      </c>
      <c r="E160" s="64" t="str">
        <f>IF($K160="","",TRIM(INDEX('Detalle individual'!$E:$E,$K160)))</f>
        <v>AUXILIAR DE ATENCION A ASOCIADOS</v>
      </c>
      <c r="F160" s="64" t="str">
        <f>IF($K160="","",TRIM(INDEX('Detalle individual'!$C:$C,$K160)))</f>
        <v>DEPARTAMENTO DE ATENCION A ASOCIADO Y CLIENTE</v>
      </c>
      <c r="G160" s="64" t="str">
        <f>IF($K160="","",INDEX('Detalle individual'!$D:$D,$K160))</f>
        <v>Gerencia de Negocios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46308.64163194445</v>
      </c>
      <c r="J160" s="78">
        <f>IF($K160="","",IF(INDEX('Detalle individual'!$F:$F,$K160)="Completado",INDEX('Detalle individual'!$J:$J,$K160),""))</f>
        <v>100</v>
      </c>
      <c r="K160">
        <f>IFERROR(MOD(SMALL('Cálculos'!$Z$5:$Z$1000,152),10000),"")</f>
        <v>142</v>
      </c>
    </row>
    <row r="161">
      <c r="B161" s="63">
        <f>IF($K161="","",153)</f>
        <v>153</v>
      </c>
      <c r="C161" s="63" t="str">
        <f>IF($K161="","",INDEX('Detalle individual'!$A:$A,$K161))</f>
        <v>945</v>
      </c>
      <c r="D161" s="64" t="str">
        <f>IF($K161="","",TRIM(INDEX('Detalle individual'!$B:$B,$K161)))</f>
        <v>FABIOLA ELIZABETH TICAS GOMEZ</v>
      </c>
      <c r="E161" s="64" t="str">
        <f>IF($K161="","",TRIM(INDEX('Detalle individual'!$E:$E,$K161)))</f>
        <v>RECEPCIONISTA</v>
      </c>
      <c r="F161" s="64" t="str">
        <f>IF($K161="","",TRIM(INDEX('Detalle individual'!$C:$C,$K161)))</f>
        <v>DEPARTAMENTO DE ATENCION A ASOCIADO Y CLIENTE</v>
      </c>
      <c r="G161" s="64" t="str">
        <f>IF($K161="","",INDEX('Detalle individual'!$D:$D,$K161))</f>
        <v>Gerencia de Negocios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46309.409166666665</v>
      </c>
      <c r="J161" s="78">
        <f>IF($K161="","",IF(INDEX('Detalle individual'!$F:$F,$K161)="Completado",INDEX('Detalle individual'!$J:$J,$K161),""))</f>
        <v>100</v>
      </c>
      <c r="K161">
        <f>IFERROR(MOD(SMALL('Cálculos'!$Z$5:$Z$1000,153),10000),"")</f>
        <v>143</v>
      </c>
    </row>
    <row r="162">
      <c r="B162" s="63">
        <f>IF($K162="","",154)</f>
        <v>154</v>
      </c>
      <c r="C162" s="63" t="str">
        <f>IF($K162="","",INDEX('Detalle individual'!$A:$A,$K162))</f>
        <v>986</v>
      </c>
      <c r="D162" s="64" t="str">
        <f>IF($K162="","",TRIM(INDEX('Detalle individual'!$B:$B,$K162)))</f>
        <v>JENNIFER ROXANA AYALA AYALA</v>
      </c>
      <c r="E162" s="64" t="str">
        <f>IF($K162="","",TRIM(INDEX('Detalle individual'!$E:$E,$K162)))</f>
        <v>ASISTENTE TECNICO DEL FONDO DE SOLIDARIDAD</v>
      </c>
      <c r="F162" s="64" t="str">
        <f>IF($K162="","",TRIM(INDEX('Detalle individual'!$C:$C,$K162)))</f>
        <v>DEPARTAMENTO DE ATENCION A ASOCIADO Y CLIENTE</v>
      </c>
      <c r="G162" s="64" t="str">
        <f>IF($K162="","",INDEX('Detalle individual'!$D:$D,$K162))</f>
        <v>Gerencia de Negocios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46308.713692129626</v>
      </c>
      <c r="J162" s="78">
        <f>IF($K162="","",IF(INDEX('Detalle individual'!$F:$F,$K162)="Completado",INDEX('Detalle individual'!$J:$J,$K162),""))</f>
        <v>80</v>
      </c>
      <c r="K162">
        <f>IFERROR(MOD(SMALL('Cálculos'!$Z$5:$Z$1000,154),10000),"")</f>
        <v>297</v>
      </c>
    </row>
    <row r="163">
      <c r="B163" s="63">
        <f>IF($K163="","",155)</f>
        <v>155</v>
      </c>
      <c r="C163" s="63" t="str">
        <f>IF($K163="","",INDEX('Detalle individual'!$A:$A,$K163))</f>
        <v>330</v>
      </c>
      <c r="D163" s="64" t="str">
        <f>IF($K163="","",TRIM(INDEX('Detalle individual'!$B:$B,$K163)))</f>
        <v>MERALYS CHAVEZ RODRIGUEZ</v>
      </c>
      <c r="E163" s="64" t="str">
        <f>IF($K163="","",TRIM(INDEX('Detalle individual'!$E:$E,$K163)))</f>
        <v>AUDITOR INTERNO</v>
      </c>
      <c r="F163" s="64" t="str">
        <f>IF($K163="","",TRIM(INDEX('Detalle individual'!$C:$C,$K163)))</f>
        <v>DEPARTAMENTO DE AUDITORIA INTERNA</v>
      </c>
      <c r="G163" s="64" t="str">
        <f>IF($K163="","",INDEX('Detalle individual'!$D:$D,$K163))</f>
        <v>Auditoría Interna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46307.652766203704</v>
      </c>
      <c r="J163" s="78">
        <f>IF($K163="","",IF(INDEX('Detalle individual'!$F:$F,$K163)="Completado",INDEX('Detalle individual'!$J:$J,$K163),""))</f>
        <v>100</v>
      </c>
      <c r="K163">
        <f>IFERROR(MOD(SMALL('Cálculos'!$Z$5:$Z$1000,155),10000),"")</f>
        <v>123</v>
      </c>
    </row>
    <row r="164">
      <c r="B164" s="63">
        <f>IF($K164="","",156)</f>
        <v>156</v>
      </c>
      <c r="C164" s="63" t="str">
        <f>IF($K164="","",INDEX('Detalle individual'!$A:$A,$K164))</f>
        <v>424</v>
      </c>
      <c r="D164" s="64" t="str">
        <f>IF($K164="","",TRIM(INDEX('Detalle individual'!$B:$B,$K164)))</f>
        <v>MAYRA LISSETTE LOPEZ SANCHEZ</v>
      </c>
      <c r="E164" s="64" t="str">
        <f>IF($K164="","",TRIM(INDEX('Detalle individual'!$E:$E,$K164)))</f>
        <v>SUPERVISOR DE AUDITORIA INTERNA</v>
      </c>
      <c r="F164" s="64" t="str">
        <f>IF($K164="","",TRIM(INDEX('Detalle individual'!$C:$C,$K164)))</f>
        <v>DEPARTAMENTO DE AUDITORIA INTERNA</v>
      </c>
      <c r="G164" s="64" t="str">
        <f>IF($K164="","",INDEX('Detalle individual'!$D:$D,$K164))</f>
        <v>Auditoría Interna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46304.404328703706</v>
      </c>
      <c r="J164" s="78">
        <f>IF($K164="","",IF(INDEX('Detalle individual'!$F:$F,$K164)="Completado",INDEX('Detalle individual'!$J:$J,$K164),""))</f>
        <v>90</v>
      </c>
      <c r="K164">
        <f>IFERROR(MOD(SMALL('Cálculos'!$Z$5:$Z$1000,156),10000),"")</f>
        <v>124</v>
      </c>
    </row>
    <row r="165">
      <c r="B165" s="63">
        <f>IF($K165="","",157)</f>
        <v>157</v>
      </c>
      <c r="C165" s="63" t="str">
        <f>IF($K165="","",INDEX('Detalle individual'!$A:$A,$K165))</f>
        <v>534</v>
      </c>
      <c r="D165" s="64" t="str">
        <f>IF($K165="","",TRIM(INDEX('Detalle individual'!$B:$B,$K165)))</f>
        <v>NELSON DANILO BENITEZ MENDEZ</v>
      </c>
      <c r="E165" s="64" t="str">
        <f>IF($K165="","",TRIM(INDEX('Detalle individual'!$E:$E,$K165)))</f>
        <v>AUDITOR DE SISTEMAS</v>
      </c>
      <c r="F165" s="64" t="str">
        <f>IF($K165="","",TRIM(INDEX('Detalle individual'!$C:$C,$K165)))</f>
        <v>DEPARTAMENTO DE AUDITORIA INTERNA</v>
      </c>
      <c r="G165" s="64" t="str">
        <f>IF($K165="","",INDEX('Detalle individual'!$D:$D,$K165))</f>
        <v>Auditoría Interna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46307.43875</v>
      </c>
      <c r="J165" s="78">
        <f>IF($K165="","",IF(INDEX('Detalle individual'!$F:$F,$K165)="Completado",INDEX('Detalle individual'!$J:$J,$K165),""))</f>
        <v>100</v>
      </c>
      <c r="K165">
        <f>IFERROR(MOD(SMALL('Cálculos'!$Z$5:$Z$1000,157),10000),"")</f>
        <v>125</v>
      </c>
    </row>
    <row r="166">
      <c r="B166" s="63">
        <f>IF($K166="","",158)</f>
        <v>158</v>
      </c>
      <c r="C166" s="63" t="str">
        <f>IF($K166="","",INDEX('Detalle individual'!$A:$A,$K166))</f>
        <v>548</v>
      </c>
      <c r="D166" s="64" t="str">
        <f>IF($K166="","",TRIM(INDEX('Detalle individual'!$B:$B,$K166)))</f>
        <v>ZORAIDA LORENA LOPEZ MEDINA</v>
      </c>
      <c r="E166" s="64" t="str">
        <f>IF($K166="","",TRIM(INDEX('Detalle individual'!$E:$E,$K166)))</f>
        <v>ASISTENTE DE AUDITORIA INTERNA</v>
      </c>
      <c r="F166" s="64" t="str">
        <f>IF($K166="","",TRIM(INDEX('Detalle individual'!$C:$C,$K166)))</f>
        <v>DEPARTAMENTO DE AUDITORIA INTERNA</v>
      </c>
      <c r="G166" s="64" t="str">
        <f>IF($K166="","",INDEX('Detalle individual'!$D:$D,$K166))</f>
        <v>Auditoría Interna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46296.711550925924</v>
      </c>
      <c r="J166" s="78">
        <f>IF($K166="","",IF(INDEX('Detalle individual'!$F:$F,$K166)="Completado",INDEX('Detalle individual'!$J:$J,$K166),""))</f>
        <v>100</v>
      </c>
      <c r="K166">
        <f>IFERROR(MOD(SMALL('Cálculos'!$Z$5:$Z$1000,158),10000),"")</f>
        <v>126</v>
      </c>
    </row>
    <row r="167">
      <c r="B167" s="63">
        <f>IF($K167="","",159)</f>
        <v>159</v>
      </c>
      <c r="C167" s="63" t="str">
        <f>IF($K167="","",INDEX('Detalle individual'!$A:$A,$K167))</f>
        <v>742</v>
      </c>
      <c r="D167" s="64" t="str">
        <f>IF($K167="","",TRIM(INDEX('Detalle individual'!$B:$B,$K167)))</f>
        <v>PATRICIA GUADALUPE SEGOVIA RAMIREZ</v>
      </c>
      <c r="E167" s="64" t="str">
        <f>IF($K167="","",TRIM(INDEX('Detalle individual'!$E:$E,$K167)))</f>
        <v>ASISTENTE DE AUDITORIA INTERNA</v>
      </c>
      <c r="F167" s="64" t="str">
        <f>IF($K167="","",TRIM(INDEX('Detalle individual'!$C:$C,$K167)))</f>
        <v>DEPARTAMENTO DE AUDITORIA INTERNA</v>
      </c>
      <c r="G167" s="64" t="str">
        <f>IF($K167="","",INDEX('Detalle individual'!$D:$D,$K167))</f>
        <v>Auditoría Interna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46304.40319444444</v>
      </c>
      <c r="J167" s="78">
        <f>IF($K167="","",IF(INDEX('Detalle individual'!$F:$F,$K167)="Completado",INDEX('Detalle individual'!$J:$J,$K167),""))</f>
        <v>90</v>
      </c>
      <c r="K167">
        <f>IFERROR(MOD(SMALL('Cálculos'!$Z$5:$Z$1000,159),10000),"")</f>
        <v>127</v>
      </c>
    </row>
    <row r="168">
      <c r="B168" s="63">
        <f>IF($K168="","",160)</f>
        <v>160</v>
      </c>
      <c r="C168" s="63" t="str">
        <f>IF($K168="","",INDEX('Detalle individual'!$A:$A,$K168))</f>
        <v>750</v>
      </c>
      <c r="D168" s="64" t="str">
        <f>IF($K168="","",TRIM(INDEX('Detalle individual'!$B:$B,$K168)))</f>
        <v>MARLON ANTONIO BONILLA GARCIA</v>
      </c>
      <c r="E168" s="64" t="str">
        <f>IF($K168="","",TRIM(INDEX('Detalle individual'!$E:$E,$K168)))</f>
        <v>ASISTENTE DE AUDITORIA INTERNA</v>
      </c>
      <c r="F168" s="64" t="str">
        <f>IF($K168="","",TRIM(INDEX('Detalle individual'!$C:$C,$K168)))</f>
        <v>DEPARTAMENTO DE AUDITORIA INTERNA</v>
      </c>
      <c r="G168" s="64" t="str">
        <f>IF($K168="","",INDEX('Detalle individual'!$D:$D,$K168))</f>
        <v>Auditoría Interna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46296.62321759259</v>
      </c>
      <c r="J168" s="78">
        <f>IF($K168="","",IF(INDEX('Detalle individual'!$F:$F,$K168)="Completado",INDEX('Detalle individual'!$J:$J,$K168),""))</f>
        <v>100</v>
      </c>
      <c r="K168">
        <f>IFERROR(MOD(SMALL('Cálculos'!$Z$5:$Z$1000,160),10000),"")</f>
        <v>128</v>
      </c>
    </row>
    <row r="169">
      <c r="B169" s="63">
        <f>IF($K169="","",161)</f>
        <v>161</v>
      </c>
      <c r="C169" s="63" t="str">
        <f>IF($K169="","",INDEX('Detalle individual'!$A:$A,$K169))</f>
        <v>865</v>
      </c>
      <c r="D169" s="64" t="str">
        <f>IF($K169="","",TRIM(INDEX('Detalle individual'!$B:$B,$K169)))</f>
        <v>MARIA ELENA VALLE BENAVIDES</v>
      </c>
      <c r="E169" s="64" t="str">
        <f>IF($K169="","",TRIM(INDEX('Detalle individual'!$E:$E,$K169)))</f>
        <v>ASISTENTE DE AUDITORIA INTERNA</v>
      </c>
      <c r="F169" s="64" t="str">
        <f>IF($K169="","",TRIM(INDEX('Detalle individual'!$C:$C,$K169)))</f>
        <v>DEPARTAMENTO DE AUDITORIA INTERNA</v>
      </c>
      <c r="G169" s="64" t="str">
        <f>IF($K169="","",INDEX('Detalle individual'!$D:$D,$K169))</f>
        <v>Auditoría Interna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46296.68074074074</v>
      </c>
      <c r="J169" s="78">
        <f>IF($K169="","",IF(INDEX('Detalle individual'!$F:$F,$K169)="Completado",INDEX('Detalle individual'!$J:$J,$K169),""))</f>
        <v>100</v>
      </c>
      <c r="K169">
        <f>IFERROR(MOD(SMALL('Cálculos'!$Z$5:$Z$1000,161),10000),"")</f>
        <v>129</v>
      </c>
    </row>
    <row r="170">
      <c r="B170" s="63">
        <f>IF($K170="","",162)</f>
        <v>162</v>
      </c>
      <c r="C170" s="63" t="str">
        <f>IF($K170="","",INDEX('Detalle individual'!$A:$A,$K170))</f>
        <v>70</v>
      </c>
      <c r="D170" s="64" t="str">
        <f>IF($K170="","",TRIM(INDEX('Detalle individual'!$B:$B,$K170)))</f>
        <v>RUBIA ESTELA LEIVA SIBRIAN</v>
      </c>
      <c r="E170" s="64" t="str">
        <f>IF($K170="","",TRIM(INDEX('Detalle individual'!$E:$E,$K170)))</f>
        <v>ASISTENTE TECNICO DE PAGOS</v>
      </c>
      <c r="F170" s="64" t="str">
        <f>IF($K170="","",TRIM(INDEX('Detalle individual'!$C:$C,$K170)))</f>
        <v>DEPARTAMENTO DE CONTABILIDAD</v>
      </c>
      <c r="G170" s="64" t="str">
        <f>IF($K170="","",INDEX('Detalle individual'!$D:$D,$K170))</f>
        <v>Gerencia de Finanzas y Planificación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46309.709386574075</v>
      </c>
      <c r="J170" s="78">
        <f>IF($K170="","",IF(INDEX('Detalle individual'!$F:$F,$K170)="Completado",INDEX('Detalle individual'!$J:$J,$K170),""))</f>
        <v>100</v>
      </c>
      <c r="K170">
        <f>IFERROR(MOD(SMALL('Cálculos'!$Z$5:$Z$1000,162),10000),"")</f>
        <v>85</v>
      </c>
    </row>
    <row r="171">
      <c r="B171" s="63">
        <f>IF($K171="","",163)</f>
        <v>163</v>
      </c>
      <c r="C171" s="63" t="str">
        <f>IF($K171="","",INDEX('Detalle individual'!$A:$A,$K171))</f>
        <v>373</v>
      </c>
      <c r="D171" s="64" t="str">
        <f>IF($K171="","",TRIM(INDEX('Detalle individual'!$B:$B,$K171)))</f>
        <v>MARTA ELIZABETH RODRIGUEZ INESTROZA</v>
      </c>
      <c r="E171" s="64" t="str">
        <f>IF($K171="","",TRIM(INDEX('Detalle individual'!$E:$E,$K171)))</f>
        <v>CONTADOR GENERAL</v>
      </c>
      <c r="F171" s="64" t="str">
        <f>IF($K171="","",TRIM(INDEX('Detalle individual'!$C:$C,$K171)))</f>
        <v>DEPARTAMENTO DE CONTABILIDAD</v>
      </c>
      <c r="G171" s="64" t="str">
        <f>IF($K171="","",INDEX('Detalle individual'!$D:$D,$K171))</f>
        <v>Gerencia de Finanzas y Planificación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46296.82847222222</v>
      </c>
      <c r="J171" s="78">
        <f>IF($K171="","",IF(INDEX('Detalle individual'!$F:$F,$K171)="Completado",INDEX('Detalle individual'!$J:$J,$K171),""))</f>
        <v>100</v>
      </c>
      <c r="K171">
        <f>IFERROR(MOD(SMALL('Cálculos'!$Z$5:$Z$1000,163),10000),"")</f>
        <v>87</v>
      </c>
    </row>
    <row r="172">
      <c r="B172" s="63">
        <f>IF($K172="","",164)</f>
        <v>164</v>
      </c>
      <c r="C172" s="63" t="str">
        <f>IF($K172="","",INDEX('Detalle individual'!$A:$A,$K172))</f>
        <v>374</v>
      </c>
      <c r="D172" s="64" t="str">
        <f>IF($K172="","",TRIM(INDEX('Detalle individual'!$B:$B,$K172)))</f>
        <v>THELMA JUDITH QUINTANILLA VALLE</v>
      </c>
      <c r="E172" s="64" t="str">
        <f>IF($K172="","",TRIM(INDEX('Detalle individual'!$E:$E,$K172)))</f>
        <v>AUXILIAR CONTABLE DE DIGITALIZACION</v>
      </c>
      <c r="F172" s="64" t="str">
        <f>IF($K172="","",TRIM(INDEX('Detalle individual'!$C:$C,$K172)))</f>
        <v>DEPARTAMENTO DE CONTABILIDAD</v>
      </c>
      <c r="G172" s="64" t="str">
        <f>IF($K172="","",INDEX('Detalle individual'!$D:$D,$K172))</f>
        <v>Gerencia de Finanzas y Planificación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46309.386967592596</v>
      </c>
      <c r="J172" s="78">
        <f>IF($K172="","",IF(INDEX('Detalle individual'!$F:$F,$K172)="Completado",INDEX('Detalle individual'!$J:$J,$K172),""))</f>
        <v>85</v>
      </c>
      <c r="K172">
        <f>IFERROR(MOD(SMALL('Cálculos'!$Z$5:$Z$1000,164),10000),"")</f>
        <v>88</v>
      </c>
    </row>
    <row r="173">
      <c r="B173" s="63">
        <f>IF($K173="","",165)</f>
        <v>165</v>
      </c>
      <c r="C173" s="63" t="str">
        <f>IF($K173="","",INDEX('Detalle individual'!$A:$A,$K173))</f>
        <v>676</v>
      </c>
      <c r="D173" s="64" t="str">
        <f>IF($K173="","",TRIM(INDEX('Detalle individual'!$B:$B,$K173)))</f>
        <v>DANIEL ENRIQUE FLORES RAMIREZ</v>
      </c>
      <c r="E173" s="64" t="str">
        <f>IF($K173="","",TRIM(INDEX('Detalle individual'!$E:$E,$K173)))</f>
        <v>ASISTENTE TECNICO DE TARJETA DE CREDITO Y DEBITO</v>
      </c>
      <c r="F173" s="64" t="str">
        <f>IF($K173="","",TRIM(INDEX('Detalle individual'!$C:$C,$K173)))</f>
        <v>DEPARTAMENTO DE CONTABILIDAD</v>
      </c>
      <c r="G173" s="64" t="str">
        <f>IF($K173="","",INDEX('Detalle individual'!$D:$D,$K173))</f>
        <v>Gerencia de Finanzas y Planificación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46304.36083333333</v>
      </c>
      <c r="J173" s="78">
        <f>IF($K173="","",IF(INDEX('Detalle individual'!$F:$F,$K173)="Completado",INDEX('Detalle individual'!$J:$J,$K173),""))</f>
        <v>100</v>
      </c>
      <c r="K173">
        <f>IFERROR(MOD(SMALL('Cálculos'!$Z$5:$Z$1000,165),10000),"")</f>
        <v>90</v>
      </c>
    </row>
    <row r="174">
      <c r="B174" s="63">
        <f>IF($K174="","",166)</f>
        <v>166</v>
      </c>
      <c r="C174" s="63" t="str">
        <f>IF($K174="","",INDEX('Detalle individual'!$A:$A,$K174))</f>
        <v>733</v>
      </c>
      <c r="D174" s="64" t="str">
        <f>IF($K174="","",TRIM(INDEX('Detalle individual'!$B:$B,$K174)))</f>
        <v>ROSSEMARY YAMILETH LOBATO MARTINEZ</v>
      </c>
      <c r="E174" s="64" t="str">
        <f>IF($K174="","",TRIM(INDEX('Detalle individual'!$E:$E,$K174)))</f>
        <v>ASISTENTE TECNICO DE PAGOS</v>
      </c>
      <c r="F174" s="64" t="str">
        <f>IF($K174="","",TRIM(INDEX('Detalle individual'!$C:$C,$K174)))</f>
        <v>DEPARTAMENTO DE CONTABILIDAD</v>
      </c>
      <c r="G174" s="64" t="str">
        <f>IF($K174="","",INDEX('Detalle individual'!$D:$D,$K174))</f>
        <v>Gerencia de Finanzas y Planificación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46300.31707175926</v>
      </c>
      <c r="J174" s="78">
        <f>IF($K174="","",IF(INDEX('Detalle individual'!$F:$F,$K174)="Completado",INDEX('Detalle individual'!$J:$J,$K174),""))</f>
        <v>100</v>
      </c>
      <c r="K174">
        <f>IFERROR(MOD(SMALL('Cálculos'!$Z$5:$Z$1000,166),10000),"")</f>
        <v>91</v>
      </c>
    </row>
    <row r="175">
      <c r="B175" s="63">
        <f>IF($K175="","",167)</f>
        <v>167</v>
      </c>
      <c r="C175" s="63" t="str">
        <f>IF($K175="","",INDEX('Detalle individual'!$A:$A,$K175))</f>
        <v>749</v>
      </c>
      <c r="D175" s="64" t="str">
        <f>IF($K175="","",TRIM(INDEX('Detalle individual'!$B:$B,$K175)))</f>
        <v>JENNIFER MARCELA MORALES TORRES</v>
      </c>
      <c r="E175" s="64" t="str">
        <f>IF($K175="","",TRIM(INDEX('Detalle individual'!$E:$E,$K175)))</f>
        <v>CONTADOR BANCARIO</v>
      </c>
      <c r="F175" s="64" t="str">
        <f>IF($K175="","",TRIM(INDEX('Detalle individual'!$C:$C,$K175)))</f>
        <v>DEPARTAMENTO DE CONTABILIDAD</v>
      </c>
      <c r="G175" s="64" t="str">
        <f>IF($K175="","",INDEX('Detalle individual'!$D:$D,$K175))</f>
        <v>Gerencia de Finanzas y Planificación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46307.39042824074</v>
      </c>
      <c r="J175" s="78">
        <f>IF($K175="","",IF(INDEX('Detalle individual'!$F:$F,$K175)="Completado",INDEX('Detalle individual'!$J:$J,$K175),""))</f>
        <v>100</v>
      </c>
      <c r="K175">
        <f>IFERROR(MOD(SMALL('Cálculos'!$Z$5:$Z$1000,167),10000),"")</f>
        <v>92</v>
      </c>
    </row>
    <row r="176">
      <c r="B176" s="63">
        <f>IF($K176="","",168)</f>
        <v>168</v>
      </c>
      <c r="C176" s="63" t="str">
        <f>IF($K176="","",INDEX('Detalle individual'!$A:$A,$K176))</f>
        <v>778</v>
      </c>
      <c r="D176" s="64" t="str">
        <f>IF($K176="","",TRIM(INDEX('Detalle individual'!$B:$B,$K176)))</f>
        <v>ERICK RODRIGO ORTIZ TURCIOS</v>
      </c>
      <c r="E176" s="64" t="str">
        <f>IF($K176="","",TRIM(INDEX('Detalle individual'!$E:$E,$K176)))</f>
        <v>ASISTENTE TECNICO DE AGENCIA CENTRAL</v>
      </c>
      <c r="F176" s="64" t="str">
        <f>IF($K176="","",TRIM(INDEX('Detalle individual'!$C:$C,$K176)))</f>
        <v>DEPARTAMENTO DE CONTABILIDAD</v>
      </c>
      <c r="G176" s="64" t="str">
        <f>IF($K176="","",INDEX('Detalle individual'!$D:$D,$K176))</f>
        <v>Gerencia de Finanzas y Planificación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46304.33385416667</v>
      </c>
      <c r="J176" s="78">
        <f>IF($K176="","",IF(INDEX('Detalle individual'!$F:$F,$K176)="Completado",INDEX('Detalle individual'!$J:$J,$K176),""))</f>
        <v>100</v>
      </c>
      <c r="K176">
        <f>IFERROR(MOD(SMALL('Cálculos'!$Z$5:$Z$1000,168),10000),"")</f>
        <v>93</v>
      </c>
    </row>
    <row r="177">
      <c r="B177" s="63">
        <f>IF($K177="","",169)</f>
        <v>169</v>
      </c>
      <c r="C177" s="63" t="str">
        <f>IF($K177="","",INDEX('Detalle individual'!$A:$A,$K177))</f>
        <v>784</v>
      </c>
      <c r="D177" s="64" t="str">
        <f>IF($K177="","",TRIM(INDEX('Detalle individual'!$B:$B,$K177)))</f>
        <v>BRIAN ADONAY BARRERA ALVARADO</v>
      </c>
      <c r="E177" s="64" t="str">
        <f>IF($K177="","",TRIM(INDEX('Detalle individual'!$E:$E,$K177)))</f>
        <v>CONTADOR DE AGENCIAS</v>
      </c>
      <c r="F177" s="64" t="str">
        <f>IF($K177="","",TRIM(INDEX('Detalle individual'!$C:$C,$K177)))</f>
        <v>DEPARTAMENTO DE CONTABILIDAD</v>
      </c>
      <c r="G177" s="64" t="str">
        <f>IF($K177="","",INDEX('Detalle individual'!$D:$D,$K177))</f>
        <v>Gerencia de Finanzas y Planificación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46296.62540509259</v>
      </c>
      <c r="J177" s="78">
        <f>IF($K177="","",IF(INDEX('Detalle individual'!$F:$F,$K177)="Completado",INDEX('Detalle individual'!$J:$J,$K177),""))</f>
        <v>100</v>
      </c>
      <c r="K177">
        <f>IFERROR(MOD(SMALL('Cálculos'!$Z$5:$Z$1000,169),10000),"")</f>
        <v>94</v>
      </c>
    </row>
    <row r="178">
      <c r="B178" s="63">
        <f>IF($K178="","",170)</f>
        <v>170</v>
      </c>
      <c r="C178" s="63" t="str">
        <f>IF($K178="","",INDEX('Detalle individual'!$A:$A,$K178))</f>
        <v>850</v>
      </c>
      <c r="D178" s="64" t="str">
        <f>IF($K178="","",TRIM(INDEX('Detalle individual'!$B:$B,$K178)))</f>
        <v>ALMA BEATRIZ RAMIREZ SANDOVAL</v>
      </c>
      <c r="E178" s="64" t="str">
        <f>IF($K178="","",TRIM(INDEX('Detalle individual'!$E:$E,$K178)))</f>
        <v>CONTADOR DE AGENCIA NO MONETARIA</v>
      </c>
      <c r="F178" s="64" t="str">
        <f>IF($K178="","",TRIM(INDEX('Detalle individual'!$C:$C,$K178)))</f>
        <v>DEPARTAMENTO DE CONTABILIDAD</v>
      </c>
      <c r="G178" s="64" t="str">
        <f>IF($K178="","",INDEX('Detalle individual'!$D:$D,$K178))</f>
        <v>Gerencia de Finanzas y Planificación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46304.4002662037</v>
      </c>
      <c r="J178" s="78">
        <f>IF($K178="","",IF(INDEX('Detalle individual'!$F:$F,$K178)="Completado",INDEX('Detalle individual'!$J:$J,$K178),""))</f>
        <v>90</v>
      </c>
      <c r="K178">
        <f>IFERROR(MOD(SMALL('Cálculos'!$Z$5:$Z$1000,170),10000),"")</f>
        <v>95</v>
      </c>
    </row>
    <row r="179">
      <c r="B179" s="63">
        <f>IF($K179="","",171)</f>
        <v>171</v>
      </c>
      <c r="C179" s="63" t="str">
        <f>IF($K179="","",INDEX('Detalle individual'!$A:$A,$K179))</f>
        <v>872</v>
      </c>
      <c r="D179" s="64" t="str">
        <f>IF($K179="","",TRIM(INDEX('Detalle individual'!$B:$B,$K179)))</f>
        <v>JOSUE ELIAZAR MARTINEZ RECINOS</v>
      </c>
      <c r="E179" s="64" t="str">
        <f>IF($K179="","",TRIM(INDEX('Detalle individual'!$E:$E,$K179)))</f>
        <v>CONTADOR DE AGENCIAS</v>
      </c>
      <c r="F179" s="64" t="str">
        <f>IF($K179="","",TRIM(INDEX('Detalle individual'!$C:$C,$K179)))</f>
        <v>DEPARTAMENTO DE CONTABILIDAD</v>
      </c>
      <c r="G179" s="64" t="str">
        <f>IF($K179="","",INDEX('Detalle individual'!$D:$D,$K179))</f>
        <v>Gerencia de Finanzas y Planificación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46301.438738425924</v>
      </c>
      <c r="J179" s="78">
        <f>IF($K179="","",IF(INDEX('Detalle individual'!$F:$F,$K179)="Completado",INDEX('Detalle individual'!$J:$J,$K179),""))</f>
        <v>100</v>
      </c>
      <c r="K179">
        <f>IFERROR(MOD(SMALL('Cálculos'!$Z$5:$Z$1000,171),10000),"")</f>
        <v>96</v>
      </c>
    </row>
    <row r="180">
      <c r="B180" s="63">
        <f>IF($K180="","",172)</f>
        <v>172</v>
      </c>
      <c r="C180" s="63" t="str">
        <f>IF($K180="","",INDEX('Detalle individual'!$A:$A,$K180))</f>
        <v>916</v>
      </c>
      <c r="D180" s="64" t="str">
        <f>IF($K180="","",TRIM(INDEX('Detalle individual'!$B:$B,$K180)))</f>
        <v>JORDAN ALEXANDER FLORES HERRERA</v>
      </c>
      <c r="E180" s="64" t="str">
        <f>IF($K180="","",TRIM(INDEX('Detalle individual'!$E:$E,$K180)))</f>
        <v>AUXILIAR CONTABLE DE DIGITALIZACION</v>
      </c>
      <c r="F180" s="64" t="str">
        <f>IF($K180="","",TRIM(INDEX('Detalle individual'!$C:$C,$K180)))</f>
        <v>DEPARTAMENTO DE CONTABILIDAD</v>
      </c>
      <c r="G180" s="64" t="str">
        <f>IF($K180="","",INDEX('Detalle individual'!$D:$D,$K180))</f>
        <v>Gerencia de Finanzas y Planificación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46309.38695601852</v>
      </c>
      <c r="J180" s="78">
        <f>IF($K180="","",IF(INDEX('Detalle individual'!$F:$F,$K180)="Completado",INDEX('Detalle individual'!$J:$J,$K180),""))</f>
        <v>100</v>
      </c>
      <c r="K180">
        <f>IFERROR(MOD(SMALL('Cálculos'!$Z$5:$Z$1000,172),10000),"")</f>
        <v>97</v>
      </c>
    </row>
    <row r="181">
      <c r="B181" s="63">
        <f>IF($K181="","",173)</f>
        <v>173</v>
      </c>
      <c r="C181" s="63" t="str">
        <f>IF($K181="","",INDEX('Detalle individual'!$A:$A,$K181))</f>
        <v>207</v>
      </c>
      <c r="D181" s="64" t="str">
        <f>IF($K181="","",TRIM(INDEX('Detalle individual'!$B:$B,$K181)))</f>
        <v>ANA ESTER ERAZO ORTIZ</v>
      </c>
      <c r="E181" s="64" t="str">
        <f>IF($K181="","",TRIM(INDEX('Detalle individual'!$E:$E,$K181)))</f>
        <v>ANALISTA DE CREDITOS</v>
      </c>
      <c r="F181" s="64" t="str">
        <f>IF($K181="","",TRIM(INDEX('Detalle individual'!$C:$C,$K181)))</f>
        <v>DEPARTAMENTO DE CREDITOS</v>
      </c>
      <c r="G181" s="64" t="str">
        <f>IF($K181="","",INDEX('Detalle individual'!$D:$D,$K181))</f>
        <v>Gerencia de Negocios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46309.40052083333</v>
      </c>
      <c r="J181" s="78">
        <f>IF($K181="","",IF(INDEX('Detalle individual'!$F:$F,$K181)="Completado",INDEX('Detalle individual'!$J:$J,$K181),""))</f>
        <v>100</v>
      </c>
      <c r="K181">
        <f>IFERROR(MOD(SMALL('Cálculos'!$Z$5:$Z$1000,173),10000),"")</f>
        <v>152</v>
      </c>
    </row>
    <row r="182">
      <c r="B182" s="63">
        <f>IF($K182="","",174)</f>
        <v>174</v>
      </c>
      <c r="C182" s="63" t="str">
        <f>IF($K182="","",INDEX('Detalle individual'!$A:$A,$K182))</f>
        <v>345</v>
      </c>
      <c r="D182" s="64" t="str">
        <f>IF($K182="","",TRIM(INDEX('Detalle individual'!$B:$B,$K182)))</f>
        <v>ANA EVELYN ROQUE GALEANO</v>
      </c>
      <c r="E182" s="64" t="str">
        <f>IF($K182="","",TRIM(INDEX('Detalle individual'!$E:$E,$K182)))</f>
        <v>AUXILIAR DE CREDITOS</v>
      </c>
      <c r="F182" s="64" t="str">
        <f>IF($K182="","",TRIM(INDEX('Detalle individual'!$C:$C,$K182)))</f>
        <v>DEPARTAMENTO DE CREDITOS</v>
      </c>
      <c r="G182" s="64" t="str">
        <f>IF($K182="","",INDEX('Detalle individual'!$D:$D,$K182))</f>
        <v>Gerencia de Negocios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46297.65186342593</v>
      </c>
      <c r="J182" s="78">
        <f>IF($K182="","",IF(INDEX('Detalle individual'!$F:$F,$K182)="Completado",INDEX('Detalle individual'!$J:$J,$K182),""))</f>
        <v>90</v>
      </c>
      <c r="K182">
        <f>IFERROR(MOD(SMALL('Cálculos'!$Z$5:$Z$1000,174),10000),"")</f>
        <v>153</v>
      </c>
    </row>
    <row r="183">
      <c r="B183" s="63">
        <f>IF($K183="","",175)</f>
        <v>175</v>
      </c>
      <c r="C183" s="63" t="str">
        <f>IF($K183="","",INDEX('Detalle individual'!$A:$A,$K183))</f>
        <v>377</v>
      </c>
      <c r="D183" s="64" t="str">
        <f>IF($K183="","",TRIM(INDEX('Detalle individual'!$B:$B,$K183)))</f>
        <v>MABEL GERALDINE RAMIREZ PORTILLO</v>
      </c>
      <c r="E183" s="64" t="str">
        <f>IF($K183="","",TRIM(INDEX('Detalle individual'!$E:$E,$K183)))</f>
        <v>SUPERVISOR DE ANALISTAS DE CREDITOS</v>
      </c>
      <c r="F183" s="64" t="str">
        <f>IF($K183="","",TRIM(INDEX('Detalle individual'!$C:$C,$K183)))</f>
        <v>DEPARTAMENTO DE CREDITOS</v>
      </c>
      <c r="G183" s="64" t="str">
        <f>IF($K183="","",INDEX('Detalle individual'!$D:$D,$K183))</f>
        <v>Gerencia de Negocios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46308.57119212963</v>
      </c>
      <c r="J183" s="78">
        <f>IF($K183="","",IF(INDEX('Detalle individual'!$F:$F,$K183)="Completado",INDEX('Detalle individual'!$J:$J,$K183),""))</f>
        <v>100</v>
      </c>
      <c r="K183">
        <f>IFERROR(MOD(SMALL('Cálculos'!$Z$5:$Z$1000,175),10000),"")</f>
        <v>154</v>
      </c>
    </row>
    <row r="184">
      <c r="B184" s="63">
        <f>IF($K184="","",176)</f>
        <v>176</v>
      </c>
      <c r="C184" s="63" t="str">
        <f>IF($K184="","",INDEX('Detalle individual'!$A:$A,$K184))</f>
        <v>470</v>
      </c>
      <c r="D184" s="64" t="str">
        <f>IF($K184="","",TRIM(INDEX('Detalle individual'!$B:$B,$K184)))</f>
        <v>ROSALBA RODRIGUEZ JIMENEZ</v>
      </c>
      <c r="E184" s="64" t="str">
        <f>IF($K184="","",TRIM(INDEX('Detalle individual'!$E:$E,$K184)))</f>
        <v>ANALISTA DE CREDITOS</v>
      </c>
      <c r="F184" s="64" t="str">
        <f>IF($K184="","",TRIM(INDEX('Detalle individual'!$C:$C,$K184)))</f>
        <v>DEPARTAMENTO DE CREDITOS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46304.409317129626</v>
      </c>
      <c r="J184" s="78">
        <f>IF($K184="","",IF(INDEX('Detalle individual'!$F:$F,$K184)="Completado",INDEX('Detalle individual'!$J:$J,$K184),""))</f>
        <v>100</v>
      </c>
      <c r="K184">
        <f>IFERROR(MOD(SMALL('Cálculos'!$Z$5:$Z$1000,176),10000),"")</f>
        <v>155</v>
      </c>
    </row>
    <row r="185">
      <c r="B185" s="63">
        <f>IF($K185="","",177)</f>
        <v>177</v>
      </c>
      <c r="C185" s="63" t="str">
        <f>IF($K185="","",INDEX('Detalle individual'!$A:$A,$K185))</f>
        <v>492</v>
      </c>
      <c r="D185" s="64" t="str">
        <f>IF($K185="","",TRIM(INDEX('Detalle individual'!$B:$B,$K185)))</f>
        <v>CINDIA IVETTE ZEPEDA VASQUEZ</v>
      </c>
      <c r="E185" s="64" t="str">
        <f>IF($K185="","",TRIM(INDEX('Detalle individual'!$E:$E,$K185)))</f>
        <v>AUXILIAR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46297.66012731481</v>
      </c>
      <c r="J185" s="78">
        <f>IF($K185="","",IF(INDEX('Detalle individual'!$F:$F,$K185)="Completado",INDEX('Detalle individual'!$J:$J,$K185),""))</f>
        <v>100</v>
      </c>
      <c r="K185">
        <f>IFERROR(MOD(SMALL('Cálculos'!$Z$5:$Z$1000,177),10000),"")</f>
        <v>156</v>
      </c>
    </row>
    <row r="186">
      <c r="B186" s="63">
        <f>IF($K186="","",178)</f>
        <v>178</v>
      </c>
      <c r="C186" s="63" t="str">
        <f>IF($K186="","",INDEX('Detalle individual'!$A:$A,$K186))</f>
        <v>719</v>
      </c>
      <c r="D186" s="64" t="str">
        <f>IF($K186="","",TRIM(INDEX('Detalle individual'!$B:$B,$K186)))</f>
        <v>INGRID ALEJANDRINA LISSETH GUZMAN SANCHEZ</v>
      </c>
      <c r="E186" s="64" t="str">
        <f>IF($K186="","",TRIM(INDEX('Detalle individual'!$E:$E,$K186)))</f>
        <v>AUXILIAR DE CREDITOS</v>
      </c>
      <c r="F186" s="64" t="str">
        <f>IF($K186="","",TRIM(INDEX('Detalle individual'!$C:$C,$K186)))</f>
        <v>DEPARTAMENTO DE CREDITOS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46298.41878472222</v>
      </c>
      <c r="J186" s="78">
        <f>IF($K186="","",IF(INDEX('Detalle individual'!$F:$F,$K186)="Completado",INDEX('Detalle individual'!$J:$J,$K186),""))</f>
        <v>100</v>
      </c>
      <c r="K186">
        <f>IFERROR(MOD(SMALL('Cálculos'!$Z$5:$Z$1000,178),10000),"")</f>
        <v>157</v>
      </c>
    </row>
    <row r="187">
      <c r="B187" s="63">
        <f>IF($K187="","",179)</f>
        <v>179</v>
      </c>
      <c r="C187" s="63" t="str">
        <f>IF($K187="","",INDEX('Detalle individual'!$A:$A,$K187))</f>
        <v>730</v>
      </c>
      <c r="D187" s="64" t="str">
        <f>IF($K187="","",TRIM(INDEX('Detalle individual'!$B:$B,$K187)))</f>
        <v>YANETH HERNANDEZ YANES</v>
      </c>
      <c r="E187" s="64" t="str">
        <f>IF($K187="","",TRIM(INDEX('Detalle individual'!$E:$E,$K187)))</f>
        <v>JEFE DE CREDITOS</v>
      </c>
      <c r="F187" s="64" t="str">
        <f>IF($K187="","",TRIM(INDEX('Detalle individual'!$C:$C,$K187)))</f>
        <v>DEPARTAMENTO DE CREDITOS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46305.56736111111</v>
      </c>
      <c r="J187" s="78">
        <f>IF($K187="","",IF(INDEX('Detalle individual'!$F:$F,$K187)="Completado",INDEX('Detalle individual'!$J:$J,$K187),""))</f>
        <v>100</v>
      </c>
      <c r="K187">
        <f>IFERROR(MOD(SMALL('Cálculos'!$Z$5:$Z$1000,179),10000),"")</f>
        <v>158</v>
      </c>
    </row>
    <row r="188">
      <c r="B188" s="63">
        <f>IF($K188="","",180)</f>
        <v>180</v>
      </c>
      <c r="C188" s="63" t="str">
        <f>IF($K188="","",INDEX('Detalle individual'!$A:$A,$K188))</f>
        <v>780</v>
      </c>
      <c r="D188" s="64" t="str">
        <f>IF($K188="","",TRIM(INDEX('Detalle individual'!$B:$B,$K188)))</f>
        <v>JUAN ANTONIO DE JESUS NUNFIO</v>
      </c>
      <c r="E188" s="64" t="str">
        <f>IF($K188="","",TRIM(INDEX('Detalle individual'!$E:$E,$K188)))</f>
        <v>ANALISTA DE CREDITOS</v>
      </c>
      <c r="F188" s="64" t="str">
        <f>IF($K188="","",TRIM(INDEX('Detalle individual'!$C:$C,$K188)))</f>
        <v>DEPARTAMENTO DE CREDITOS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46301.65928240741</v>
      </c>
      <c r="J188" s="78">
        <f>IF($K188="","",IF(INDEX('Detalle individual'!$F:$F,$K188)="Completado",INDEX('Detalle individual'!$J:$J,$K188),""))</f>
        <v>100</v>
      </c>
      <c r="K188">
        <f>IFERROR(MOD(SMALL('Cálculos'!$Z$5:$Z$1000,180),10000),"")</f>
        <v>159</v>
      </c>
    </row>
    <row r="189">
      <c r="B189" s="63">
        <f>IF($K189="","",181)</f>
        <v>181</v>
      </c>
      <c r="C189" s="63" t="str">
        <f>IF($K189="","",INDEX('Detalle individual'!$A:$A,$K189))</f>
        <v>781</v>
      </c>
      <c r="D189" s="64" t="str">
        <f>IF($K189="","",TRIM(INDEX('Detalle individual'!$B:$B,$K189)))</f>
        <v>SOFIA SOLEDAD CASTRO VALLE</v>
      </c>
      <c r="E189" s="64" t="str">
        <f>IF($K189="","",TRIM(INDEX('Detalle individual'!$E:$E,$K189)))</f>
        <v>AUXILIAR DE CREDITOS</v>
      </c>
      <c r="F189" s="64" t="str">
        <f>IF($K189="","",TRIM(INDEX('Detalle individual'!$C:$C,$K189)))</f>
        <v>DEPARTAMENTO DE CREDITOS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46304.444606481484</v>
      </c>
      <c r="J189" s="78">
        <f>IF($K189="","",IF(INDEX('Detalle individual'!$F:$F,$K189)="Completado",INDEX('Detalle individual'!$J:$J,$K189),""))</f>
        <v>90</v>
      </c>
      <c r="K189">
        <f>IFERROR(MOD(SMALL('Cálculos'!$Z$5:$Z$1000,181),10000),"")</f>
        <v>160</v>
      </c>
    </row>
    <row r="190">
      <c r="B190" s="63">
        <f>IF($K190="","",182)</f>
        <v>182</v>
      </c>
      <c r="C190" s="63" t="str">
        <f>IF($K190="","",INDEX('Detalle individual'!$A:$A,$K190))</f>
        <v>809</v>
      </c>
      <c r="D190" s="64" t="str">
        <f>IF($K190="","",TRIM(INDEX('Detalle individual'!$B:$B,$K190)))</f>
        <v>KARLA VANESSA GARCIA OLIVA</v>
      </c>
      <c r="E190" s="64" t="str">
        <f>IF($K190="","",TRIM(INDEX('Detalle individual'!$E:$E,$K190)))</f>
        <v>ANALISTA DE CREDITOS</v>
      </c>
      <c r="F190" s="64" t="str">
        <f>IF($K190="","",TRIM(INDEX('Detalle individual'!$C:$C,$K190)))</f>
        <v>DEPARTAMENTO DE CREDITOS</v>
      </c>
      <c r="G190" s="64" t="str">
        <f>IF($K190="","",INDEX('Detalle individual'!$D:$D,$K190))</f>
        <v>Gerencia de Negocios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46307.384097222224</v>
      </c>
      <c r="J190" s="78">
        <f>IF($K190="","",IF(INDEX('Detalle individual'!$F:$F,$K190)="Completado",INDEX('Detalle individual'!$J:$J,$K190),""))</f>
        <v>100</v>
      </c>
      <c r="K190">
        <f>IFERROR(MOD(SMALL('Cálculos'!$Z$5:$Z$1000,182),10000),"")</f>
        <v>161</v>
      </c>
    </row>
    <row r="191">
      <c r="B191" s="63">
        <f>IF($K191="","",183)</f>
        <v>183</v>
      </c>
      <c r="C191" s="63" t="str">
        <f>IF($K191="","",INDEX('Detalle individual'!$A:$A,$K191))</f>
        <v>837</v>
      </c>
      <c r="D191" s="64" t="str">
        <f>IF($K191="","",TRIM(INDEX('Detalle individual'!$B:$B,$K191)))</f>
        <v>DAYANA ABIGAIL CHAVEZ CORDOVA</v>
      </c>
      <c r="E191" s="64" t="str">
        <f>IF($K191="","",TRIM(INDEX('Detalle individual'!$E:$E,$K191)))</f>
        <v>GESTOR DE EXPEDIENTES</v>
      </c>
      <c r="F191" s="64" t="str">
        <f>IF($K191="","",TRIM(INDEX('Detalle individual'!$C:$C,$K191)))</f>
        <v>DEPARTAMENTO DE CREDITOS</v>
      </c>
      <c r="G191" s="64" t="str">
        <f>IF($K191="","",INDEX('Detalle individual'!$D:$D,$K191))</f>
        <v>Gerencia de Negocios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46302.48523148148</v>
      </c>
      <c r="J191" s="78">
        <f>IF($K191="","",IF(INDEX('Detalle individual'!$F:$F,$K191)="Completado",INDEX('Detalle individual'!$J:$J,$K191),""))</f>
        <v>100</v>
      </c>
      <c r="K191">
        <f>IFERROR(MOD(SMALL('Cálculos'!$Z$5:$Z$1000,183),10000),"")</f>
        <v>162</v>
      </c>
    </row>
    <row r="192">
      <c r="B192" s="63">
        <f>IF($K192="","",184)</f>
        <v>184</v>
      </c>
      <c r="C192" s="63" t="str">
        <f>IF($K192="","",INDEX('Detalle individual'!$A:$A,$K192))</f>
        <v>939</v>
      </c>
      <c r="D192" s="64" t="str">
        <f>IF($K192="","",TRIM(INDEX('Detalle individual'!$B:$B,$K192)))</f>
        <v>MARIO LEONEL CANDRAY FLORES</v>
      </c>
      <c r="E192" s="64" t="str">
        <f>IF($K192="","",TRIM(INDEX('Detalle individual'!$E:$E,$K192)))</f>
        <v>ANALISTA DE CREDITOS</v>
      </c>
      <c r="F192" s="64" t="str">
        <f>IF($K192="","",TRIM(INDEX('Detalle individual'!$C:$C,$K192)))</f>
        <v>DEPARTAMENTO DE CREDITOS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46307.37395833333</v>
      </c>
      <c r="J192" s="78">
        <f>IF($K192="","",IF(INDEX('Detalle individual'!$F:$F,$K192)="Completado",INDEX('Detalle individual'!$J:$J,$K192),""))</f>
        <v>100</v>
      </c>
      <c r="K192">
        <f>IFERROR(MOD(SMALL('Cálculos'!$Z$5:$Z$1000,184),10000),"")</f>
        <v>163</v>
      </c>
    </row>
    <row r="193">
      <c r="B193" s="63">
        <f>IF($K193="","",185)</f>
        <v>185</v>
      </c>
      <c r="C193" s="63" t="str">
        <f>IF($K193="","",INDEX('Detalle individual'!$A:$A,$K193))</f>
        <v>979</v>
      </c>
      <c r="D193" s="64" t="str">
        <f>IF($K193="","",TRIM(INDEX('Detalle individual'!$B:$B,$K193)))</f>
        <v>MARIA LILIAN MENJIVAR GUARDADO</v>
      </c>
      <c r="E193" s="64" t="str">
        <f>IF($K193="","",TRIM(INDEX('Detalle individual'!$E:$E,$K193)))</f>
        <v>ANALISTA DE CREDITOS</v>
      </c>
      <c r="F193" s="64" t="str">
        <f>IF($K193="","",TRIM(INDEX('Detalle individual'!$C:$C,$K193)))</f>
        <v>DEPARTAMENTO DE CREDITOS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46307.37511574074</v>
      </c>
      <c r="J193" s="78">
        <f>IF($K193="","",IF(INDEX('Detalle individual'!$F:$F,$K193)="Completado",INDEX('Detalle individual'!$J:$J,$K193),""))</f>
        <v>100</v>
      </c>
      <c r="K193">
        <f>IFERROR(MOD(SMALL('Cálculos'!$Z$5:$Z$1000,185),10000),"")</f>
        <v>164</v>
      </c>
    </row>
    <row r="194">
      <c r="B194" s="63">
        <f>IF($K194="","",186)</f>
        <v>186</v>
      </c>
      <c r="C194" s="63" t="str">
        <f>IF($K194="","",INDEX('Detalle individual'!$A:$A,$K194))</f>
        <v>539</v>
      </c>
      <c r="D194" s="64" t="str">
        <f>IF($K194="","",TRIM(INDEX('Detalle individual'!$B:$B,$K194)))</f>
        <v>JESICA XIOMARA RAMOS PEÑA</v>
      </c>
      <c r="E194" s="64" t="str">
        <f>IF($K194="","",TRIM(INDEX('Detalle individual'!$E:$E,$K194)))</f>
        <v>JEFE DE CUSTODIA DE GARANTÍA Y VALORES</v>
      </c>
      <c r="F194" s="64" t="str">
        <f>IF($K194="","",TRIM(INDEX('Detalle individual'!$C:$C,$K194)))</f>
        <v>DEPARTAMENTO DE CUSTODIA DE GARANTÍA Y VALORES</v>
      </c>
      <c r="G194" s="64" t="str">
        <f>IF($K194="","",INDEX('Detalle individual'!$D:$D,$K194))</f>
        <v>Gerencia Administrativa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46304.70379629629</v>
      </c>
      <c r="J194" s="78">
        <f>IF($K194="","",IF(INDEX('Detalle individual'!$F:$F,$K194)="Completado",INDEX('Detalle individual'!$J:$J,$K194),""))</f>
        <v>100</v>
      </c>
      <c r="K194">
        <f>IFERROR(MOD(SMALL('Cálculos'!$Z$5:$Z$1000,186),10000),"")</f>
        <v>43</v>
      </c>
    </row>
    <row r="195">
      <c r="B195" s="63">
        <f>IF($K195="","",187)</f>
        <v>187</v>
      </c>
      <c r="C195" s="63" t="str">
        <f>IF($K195="","",INDEX('Detalle individual'!$A:$A,$K195))</f>
        <v>678</v>
      </c>
      <c r="D195" s="64" t="str">
        <f>IF($K195="","",TRIM(INDEX('Detalle individual'!$B:$B,$K195)))</f>
        <v>CARLOS ALBERTO VELASQUEZ ALVARADO</v>
      </c>
      <c r="E195" s="64" t="str">
        <f>IF($K195="","",TRIM(INDEX('Detalle individual'!$E:$E,$K195)))</f>
        <v>ANALISTA DE ARCHIVO CENTRAL</v>
      </c>
      <c r="F195" s="64" t="str">
        <f>IF($K195="","",TRIM(INDEX('Detalle individual'!$C:$C,$K195)))</f>
        <v>DEPARTAMENTO DE CUSTODIA DE GARANTÍA Y VALORES</v>
      </c>
      <c r="G195" s="64" t="str">
        <f>IF($K195="","",INDEX('Detalle individual'!$D:$D,$K195))</f>
        <v>Gerencia Administrativa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46304.422789351855</v>
      </c>
      <c r="J195" s="78">
        <f>IF($K195="","",IF(INDEX('Detalle individual'!$F:$F,$K195)="Completado",INDEX('Detalle individual'!$J:$J,$K195),""))</f>
        <v>100</v>
      </c>
      <c r="K195">
        <f>IFERROR(MOD(SMALL('Cálculos'!$Z$5:$Z$1000,187),10000),"")</f>
        <v>44</v>
      </c>
    </row>
    <row r="196">
      <c r="B196" s="63">
        <f>IF($K196="","",188)</f>
        <v>188</v>
      </c>
      <c r="C196" s="63" t="str">
        <f>IF($K196="","",INDEX('Detalle individual'!$A:$A,$K196))</f>
        <v>740</v>
      </c>
      <c r="D196" s="64" t="str">
        <f>IF($K196="","",TRIM(INDEX('Detalle individual'!$B:$B,$K196)))</f>
        <v>RAFAEL ERNESTO LOPEZ MARTINEZ</v>
      </c>
      <c r="E196" s="64" t="str">
        <f>IF($K196="","",TRIM(INDEX('Detalle individual'!$E:$E,$K196)))</f>
        <v>ASISTENTE ADMINISTRATIVO CUSTODIA DE GARANTIA Y VALORES</v>
      </c>
      <c r="F196" s="64" t="str">
        <f>IF($K196="","",TRIM(INDEX('Detalle individual'!$C:$C,$K196)))</f>
        <v>DEPARTAMENTO DE CUSTODIA DE GARANTÍA Y VALORES</v>
      </c>
      <c r="G196" s="64" t="str">
        <f>IF($K196="","",INDEX('Detalle individual'!$D:$D,$K196))</f>
        <v>Gerencia Administrativa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46304.685949074075</v>
      </c>
      <c r="J196" s="78">
        <f>IF($K196="","",IF(INDEX('Detalle individual'!$F:$F,$K196)="Completado",INDEX('Detalle individual'!$J:$J,$K196),""))</f>
        <v>100</v>
      </c>
      <c r="K196">
        <f>IFERROR(MOD(SMALL('Cálculos'!$Z$5:$Z$1000,188),10000),"")</f>
        <v>45</v>
      </c>
    </row>
    <row r="197">
      <c r="B197" s="63">
        <f>IF($K197="","",189)</f>
        <v>189</v>
      </c>
      <c r="C197" s="63" t="str">
        <f>IF($K197="","",INDEX('Detalle individual'!$A:$A,$K197))</f>
        <v>934</v>
      </c>
      <c r="D197" s="64" t="str">
        <f>IF($K197="","",TRIM(INDEX('Detalle individual'!$B:$B,$K197)))</f>
        <v>JOSE FRANCISCO ZECEÑA MUÑOZ</v>
      </c>
      <c r="E197" s="64" t="str">
        <f>IF($K197="","",TRIM(INDEX('Detalle individual'!$E:$E,$K197)))</f>
        <v>AUXILIAR DE CUSTODIA DE VALORES</v>
      </c>
      <c r="F197" s="64" t="str">
        <f>IF($K197="","",TRIM(INDEX('Detalle individual'!$C:$C,$K197)))</f>
        <v>DEPARTAMENTO DE CUSTODIA DE GARANTÍA Y VALORES</v>
      </c>
      <c r="G197" s="64" t="str">
        <f>IF($K197="","",INDEX('Detalle individual'!$D:$D,$K197))</f>
        <v>Gerencia Administrativa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46304.67644675926</v>
      </c>
      <c r="J197" s="78">
        <f>IF($K197="","",IF(INDEX('Detalle individual'!$F:$F,$K197)="Completado",INDEX('Detalle individual'!$J:$J,$K197),""))</f>
        <v>100</v>
      </c>
      <c r="K197">
        <f>IFERROR(MOD(SMALL('Cálculos'!$Z$5:$Z$1000,189),10000),"")</f>
        <v>46</v>
      </c>
    </row>
    <row r="198">
      <c r="B198" s="63">
        <f>IF($K198="","",190)</f>
        <v>190</v>
      </c>
      <c r="C198" s="63" t="str">
        <f>IF($K198="","",INDEX('Detalle individual'!$A:$A,$K198))</f>
        <v>949</v>
      </c>
      <c r="D198" s="64" t="str">
        <f>IF($K198="","",TRIM(INDEX('Detalle individual'!$B:$B,$K198)))</f>
        <v>ALEJANDRO JOSE ARGUETA CORTEZ</v>
      </c>
      <c r="E198" s="64" t="str">
        <f>IF($K198="","",TRIM(INDEX('Detalle individual'!$E:$E,$K198)))</f>
        <v>AUXILIAR DE CUSTODIA DE VALORES</v>
      </c>
      <c r="F198" s="64" t="str">
        <f>IF($K198="","",TRIM(INDEX('Detalle individual'!$C:$C,$K198)))</f>
        <v>DEPARTAMENTO DE CUSTODIA DE GARANTÍA Y VALORES</v>
      </c>
      <c r="G198" s="64" t="str">
        <f>IF($K198="","",INDEX('Detalle individual'!$D:$D,$K198))</f>
        <v>Gerencia Administrativa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46304.682708333334</v>
      </c>
      <c r="J198" s="78">
        <f>IF($K198="","",IF(INDEX('Detalle individual'!$F:$F,$K198)="Completado",INDEX('Detalle individual'!$J:$J,$K198),""))</f>
        <v>100</v>
      </c>
      <c r="K198">
        <f>IFERROR(MOD(SMALL('Cálculos'!$Z$5:$Z$1000,190),10000),"")</f>
        <v>47</v>
      </c>
    </row>
    <row r="199">
      <c r="B199" s="63">
        <f>IF($K199="","",191)</f>
        <v>191</v>
      </c>
      <c r="C199" s="63" t="str">
        <f>IF($K199="","",INDEX('Detalle individual'!$A:$A,$K199))</f>
        <v>973</v>
      </c>
      <c r="D199" s="64" t="str">
        <f>IF($K199="","",TRIM(INDEX('Detalle individual'!$B:$B,$K199)))</f>
        <v>HUGO ROLANDO VELASCO RIVERA</v>
      </c>
      <c r="E199" s="64" t="str">
        <f>IF($K199="","",TRIM(INDEX('Detalle individual'!$E:$E,$K199)))</f>
        <v>AUXILIAR DE CUSTODIA DE VALORES</v>
      </c>
      <c r="F199" s="64" t="str">
        <f>IF($K199="","",TRIM(INDEX('Detalle individual'!$C:$C,$K199)))</f>
        <v>DEPARTAMENTO DE CUSTODIA DE GARANTÍA Y VALORES</v>
      </c>
      <c r="G199" s="64" t="str">
        <f>IF($K199="","",INDEX('Detalle individual'!$D:$D,$K199))</f>
        <v>Gerencia Administrativa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46298.51430555555</v>
      </c>
      <c r="J199" s="78">
        <f>IF($K199="","",IF(INDEX('Detalle individual'!$F:$F,$K199)="Completado",INDEX('Detalle individual'!$J:$J,$K199),""))</f>
        <v>100</v>
      </c>
      <c r="K199">
        <f>IFERROR(MOD(SMALL('Cálculos'!$Z$5:$Z$1000,191),10000),"")</f>
        <v>48</v>
      </c>
    </row>
    <row r="200">
      <c r="B200" s="63">
        <f>IF($K200="","",192)</f>
        <v>192</v>
      </c>
      <c r="C200" s="63" t="str">
        <f>IF($K200="","",INDEX('Detalle individual'!$A:$A,$K200))</f>
        <v>284</v>
      </c>
      <c r="D200" s="64" t="str">
        <f>IF($K200="","",TRIM(INDEX('Detalle individual'!$B:$B,$K200)))</f>
        <v>MARIO ANTONIO NAVARRO PINEDA</v>
      </c>
      <c r="E200" s="64" t="str">
        <f>IF($K200="","",TRIM(INDEX('Detalle individual'!$E:$E,$K200)))</f>
        <v>JEFE DE DEPOSITOS</v>
      </c>
      <c r="F200" s="64" t="str">
        <f>IF($K200="","",TRIM(INDEX('Detalle individual'!$C:$C,$K200)))</f>
        <v>DEPARTAMENTO DE DEPOSITOS</v>
      </c>
      <c r="G200" s="64" t="str">
        <f>IF($K200="","",INDEX('Detalle individual'!$D:$D,$K200))</f>
        <v>Gerencia de Operaciones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46305.513344907406</v>
      </c>
      <c r="J200" s="78">
        <f>IF($K200="","",IF(INDEX('Detalle individual'!$F:$F,$K200)="Completado",INDEX('Detalle individual'!$J:$J,$K200),""))</f>
        <v>100</v>
      </c>
      <c r="K200">
        <f>IFERROR(MOD(SMALL('Cálculos'!$Z$5:$Z$1000,192),10000),"")</f>
        <v>75</v>
      </c>
    </row>
    <row r="201">
      <c r="B201" s="63">
        <f>IF($K201="","",193)</f>
        <v>193</v>
      </c>
      <c r="C201" s="63" t="str">
        <f>IF($K201="","",INDEX('Detalle individual'!$A:$A,$K201))</f>
        <v>632</v>
      </c>
      <c r="D201" s="64" t="str">
        <f>IF($K201="","",TRIM(INDEX('Detalle individual'!$B:$B,$K201)))</f>
        <v>LUCILA MARGARITA CORCIO QUINTANILLA</v>
      </c>
      <c r="E201" s="64" t="str">
        <f>IF($K201="","",TRIM(INDEX('Detalle individual'!$E:$E,$K201)))</f>
        <v>ASISTENTE COMPENSADOR DE CHEQUES</v>
      </c>
      <c r="F201" s="64" t="str">
        <f>IF($K201="","",TRIM(INDEX('Detalle individual'!$C:$C,$K201)))</f>
        <v>DEPARTAMENTO DE DEPOSITOS</v>
      </c>
      <c r="G201" s="64" t="str">
        <f>IF($K201="","",INDEX('Detalle individual'!$D:$D,$K201))</f>
        <v>Gerencia de Operaciones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46296.57800925926</v>
      </c>
      <c r="J201" s="78">
        <f>IF($K201="","",IF(INDEX('Detalle individual'!$F:$F,$K201)="Completado",INDEX('Detalle individual'!$J:$J,$K201),""))</f>
        <v>100</v>
      </c>
      <c r="K201">
        <f>IFERROR(MOD(SMALL('Cálculos'!$Z$5:$Z$1000,193),10000),"")</f>
        <v>76</v>
      </c>
    </row>
    <row r="202">
      <c r="B202" s="63">
        <f>IF($K202="","",194)</f>
        <v>194</v>
      </c>
      <c r="C202" s="63" t="str">
        <f>IF($K202="","",INDEX('Detalle individual'!$A:$A,$K202))</f>
        <v>773</v>
      </c>
      <c r="D202" s="64" t="str">
        <f>IF($K202="","",TRIM(INDEX('Detalle individual'!$B:$B,$K202)))</f>
        <v>HELLEN ESTEFANI RODRIGUEZ GARCIA</v>
      </c>
      <c r="E202" s="64" t="str">
        <f>IF($K202="","",TRIM(INDEX('Detalle individual'!$E:$E,$K202)))</f>
        <v>ASISTENTE COMPENSADOR DE CHEQUES</v>
      </c>
      <c r="F202" s="64" t="str">
        <f>IF($K202="","",TRIM(INDEX('Detalle individual'!$C:$C,$K202)))</f>
        <v>DEPARTAMENTO DE DEPOSITOS</v>
      </c>
      <c r="G202" s="64" t="str">
        <f>IF($K202="","",INDEX('Detalle individual'!$D:$D,$K202))</f>
        <v>Gerencia de Operaciones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46297.47550925926</v>
      </c>
      <c r="J202" s="78">
        <f>IF($K202="","",IF(INDEX('Detalle individual'!$F:$F,$K202)="Completado",INDEX('Detalle individual'!$J:$J,$K202),""))</f>
        <v>95</v>
      </c>
      <c r="K202">
        <f>IFERROR(MOD(SMALL('Cálculos'!$Z$5:$Z$1000,194),10000),"")</f>
        <v>77</v>
      </c>
    </row>
    <row r="203">
      <c r="B203" s="63">
        <f>IF($K203="","",195)</f>
        <v>195</v>
      </c>
      <c r="C203" s="63" t="str">
        <f>IF($K203="","",INDEX('Detalle individual'!$A:$A,$K203))</f>
        <v>787</v>
      </c>
      <c r="D203" s="64" t="str">
        <f>IF($K203="","",TRIM(INDEX('Detalle individual'!$B:$B,$K203)))</f>
        <v>WALTER OSWALDO SANCHEZ RIVAS</v>
      </c>
      <c r="E203" s="64" t="str">
        <f>IF($K203="","",TRIM(INDEX('Detalle individual'!$E:$E,$K203)))</f>
        <v>ASISTENTE COMPENSADOR DE CHEQUES</v>
      </c>
      <c r="F203" s="64" t="str">
        <f>IF($K203="","",TRIM(INDEX('Detalle individual'!$C:$C,$K203)))</f>
        <v>DEPARTAMENTO DE DEPOSITOS</v>
      </c>
      <c r="G203" s="64" t="str">
        <f>IF($K203="","",INDEX('Detalle individual'!$D:$D,$K203))</f>
        <v>Gerencia de Operaciones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46304.692928240744</v>
      </c>
      <c r="J203" s="78">
        <f>IF($K203="","",IF(INDEX('Detalle individual'!$F:$F,$K203)="Completado",INDEX('Detalle individual'!$J:$J,$K203),""))</f>
        <v>100</v>
      </c>
      <c r="K203">
        <f>IFERROR(MOD(SMALL('Cálculos'!$Z$5:$Z$1000,195),10000),"")</f>
        <v>78</v>
      </c>
    </row>
    <row r="204">
      <c r="B204" s="63">
        <f>IF($K204="","",196)</f>
        <v>196</v>
      </c>
      <c r="C204" s="63" t="str">
        <f>IF($K204="","",INDEX('Detalle individual'!$A:$A,$K204))</f>
        <v>847</v>
      </c>
      <c r="D204" s="64" t="str">
        <f>IF($K204="","",TRIM(INDEX('Detalle individual'!$B:$B,$K204)))</f>
        <v>ZULEYMA ALEJANDRA VASQUEZ MARIN</v>
      </c>
      <c r="E204" s="64" t="str">
        <f>IF($K204="","",TRIM(INDEX('Detalle individual'!$E:$E,$K204)))</f>
        <v>JEFE DE EDUCACION Y RESPONSABILIDAD SOCIAL</v>
      </c>
      <c r="F204" s="64" t="str">
        <f>IF($K204="","",TRIM(INDEX('Detalle individual'!$C:$C,$K204)))</f>
        <v>DEPARTAMENTO DE EDUCACION Y RESPONSABILIDAD SOCIAL</v>
      </c>
      <c r="G204" s="64" t="str">
        <f>IF($K204="","",INDEX('Detalle individual'!$D:$D,$K204))</f>
        <v>Gerencia Administrativa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46309.741215277776</v>
      </c>
      <c r="J204" s="78">
        <f>IF($K204="","",IF(INDEX('Detalle individual'!$F:$F,$K204)="Completado",INDEX('Detalle individual'!$J:$J,$K204),""))</f>
        <v>100</v>
      </c>
      <c r="K204">
        <f>IFERROR(MOD(SMALL('Cálculos'!$Z$5:$Z$1000,196),10000),"")</f>
        <v>56</v>
      </c>
    </row>
    <row r="205">
      <c r="B205" s="63">
        <f>IF($K205="","",197)</f>
        <v>197</v>
      </c>
      <c r="C205" s="63" t="str">
        <f>IF($K205="","",INDEX('Detalle individual'!$A:$A,$K205))</f>
        <v>853</v>
      </c>
      <c r="D205" s="64" t="str">
        <f>IF($K205="","",TRIM(INDEX('Detalle individual'!$B:$B,$K205)))</f>
        <v>STEPHANIE CAROLINA MALDONADO FLORES</v>
      </c>
      <c r="E205" s="64" t="str">
        <f>IF($K205="","",TRIM(INDEX('Detalle individual'!$E:$E,$K205)))</f>
        <v>ASISTENTE TECNICO DEPARTAMENTO DE EDUCACION Y RESPONSABILIDA</v>
      </c>
      <c r="F205" s="64" t="str">
        <f>IF($K205="","",TRIM(INDEX('Detalle individual'!$C:$C,$K205)))</f>
        <v>DEPARTAMENTO DE EDUCACION Y RESPONSABILIDAD SOCIAL</v>
      </c>
      <c r="G205" s="64" t="str">
        <f>IF($K205="","",INDEX('Detalle individual'!$D:$D,$K205))</f>
        <v>Gerencia Administrativa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46301.64635416667</v>
      </c>
      <c r="J205" s="78">
        <f>IF($K205="","",IF(INDEX('Detalle individual'!$F:$F,$K205)="Completado",INDEX('Detalle individual'!$J:$J,$K205),""))</f>
        <v>100</v>
      </c>
      <c r="K205">
        <f>IFERROR(MOD(SMALL('Cálculos'!$Z$5:$Z$1000,197),10000),"")</f>
        <v>57</v>
      </c>
    </row>
    <row r="206">
      <c r="B206" s="63">
        <f>IF($K206="","",198)</f>
        <v>198</v>
      </c>
      <c r="C206" s="63" t="str">
        <f>IF($K206="","",INDEX('Detalle individual'!$A:$A,$K206))</f>
        <v>219</v>
      </c>
      <c r="D206" s="64" t="str">
        <f>IF($K206="","",TRIM(INDEX('Detalle individual'!$B:$B,$K206)))</f>
        <v>IVONNE LISSETH DE JESUS RODRIGUEZ FLORES</v>
      </c>
      <c r="E206" s="64" t="str">
        <f>IF($K206="","",TRIM(INDEX('Detalle individual'!$E:$E,$K206)))</f>
        <v>ASISTENTE TELEMARKETING</v>
      </c>
      <c r="F206" s="64" t="str">
        <f>IF($K206="","",TRIM(INDEX('Detalle individual'!$C:$C,$K206)))</f>
        <v>DEPARTAMENTO DE MERCADEO</v>
      </c>
      <c r="G206" s="64" t="str">
        <f>IF($K206="","",INDEX('Detalle individual'!$D:$D,$K206))</f>
        <v>Gerencia de Negocios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46308.39677083334</v>
      </c>
      <c r="J206" s="78">
        <f>IF($K206="","",IF(INDEX('Detalle individual'!$F:$F,$K206)="Completado",INDEX('Detalle individual'!$J:$J,$K206),""))</f>
        <v>95</v>
      </c>
      <c r="K206">
        <f>IFERROR(MOD(SMALL('Cálculos'!$Z$5:$Z$1000,198),10000),"")</f>
        <v>145</v>
      </c>
    </row>
    <row r="207">
      <c r="B207" s="63">
        <f>IF($K207="","",199)</f>
        <v>199</v>
      </c>
      <c r="C207" s="63" t="str">
        <f>IF($K207="","",INDEX('Detalle individual'!$A:$A,$K207))</f>
        <v>982</v>
      </c>
      <c r="D207" s="64" t="str">
        <f>IF($K207="","",TRIM(INDEX('Detalle individual'!$B:$B,$K207)))</f>
        <v>ALEJANDRA ABIGAIL RAMIREZ ROMERO</v>
      </c>
      <c r="E207" s="64" t="str">
        <f>IF($K207="","",TRIM(INDEX('Detalle individual'!$E:$E,$K207)))</f>
        <v>DISEÑADOR GRAFICO</v>
      </c>
      <c r="F207" s="64" t="str">
        <f>IF($K207="","",TRIM(INDEX('Detalle individual'!$C:$C,$K207)))</f>
        <v>DEPARTAMENTO DE MERCADEO</v>
      </c>
      <c r="G207" s="64" t="str">
        <f>IF($K207="","",INDEX('Detalle individual'!$D:$D,$K207))</f>
        <v>Gerencia de Negocios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46301.64126157408</v>
      </c>
      <c r="J207" s="78">
        <f>IF($K207="","",IF(INDEX('Detalle individual'!$F:$F,$K207)="Completado",INDEX('Detalle individual'!$J:$J,$K207),""))</f>
        <v>100</v>
      </c>
      <c r="K207">
        <f>IFERROR(MOD(SMALL('Cálculos'!$Z$5:$Z$1000,199),10000),"")</f>
        <v>151</v>
      </c>
    </row>
    <row r="208">
      <c r="B208" s="63">
        <f>IF($K208="","",200)</f>
        <v>200</v>
      </c>
      <c r="C208" s="63" t="str">
        <f>IF($K208="","",INDEX('Detalle individual'!$A:$A,$K208))</f>
        <v>119</v>
      </c>
      <c r="D208" s="64" t="str">
        <f>IF($K208="","",TRIM(INDEX('Detalle individual'!$B:$B,$K208)))</f>
        <v>JUAN JOSE LOPEZ ALFARO</v>
      </c>
      <c r="E208" s="64" t="str">
        <f>IF($K208="","",TRIM(INDEX('Detalle individual'!$E:$E,$K208)))</f>
        <v>OPERADOR DE SISTEMAS</v>
      </c>
      <c r="F208" s="64" t="str">
        <f>IF($K208="","",TRIM(INDEX('Detalle individual'!$C:$C,$K208)))</f>
        <v>DEPARTAMENTO DE OPERACIONES Y SOPORTE TECNICO</v>
      </c>
      <c r="G208" s="64" t="str">
        <f>IF($K208="","",INDEX('Detalle individual'!$D:$D,$K208))</f>
        <v>Gerencia de Sistemas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46302.441828703704</v>
      </c>
      <c r="J208" s="78">
        <f>IF($K208="","",IF(INDEX('Detalle individual'!$F:$F,$K208)="Completado",INDEX('Detalle individual'!$J:$J,$K208),""))</f>
        <v>100</v>
      </c>
      <c r="K208">
        <f>IFERROR(MOD(SMALL('Cálculos'!$Z$5:$Z$1000,200),10000),"")</f>
        <v>105</v>
      </c>
    </row>
    <row r="209">
      <c r="B209" s="63">
        <f>IF($K209="","",201)</f>
        <v>201</v>
      </c>
      <c r="C209" s="63" t="str">
        <f>IF($K209="","",INDEX('Detalle individual'!$A:$A,$K209))</f>
        <v>221</v>
      </c>
      <c r="D209" s="64" t="str">
        <f>IF($K209="","",TRIM(INDEX('Detalle individual'!$B:$B,$K209)))</f>
        <v>CARLOS ORLANDO GARCIA VELASQUEZ</v>
      </c>
      <c r="E209" s="64" t="str">
        <f>IF($K209="","",TRIM(INDEX('Detalle individual'!$E:$E,$K209)))</f>
        <v>TECNICO EN SOPORTE</v>
      </c>
      <c r="F209" s="64" t="str">
        <f>IF($K209="","",TRIM(INDEX('Detalle individual'!$C:$C,$K209)))</f>
        <v>DEPARTAMENTO DE OPERACIONES Y SOPORTE TECNICO</v>
      </c>
      <c r="G209" s="64" t="str">
        <f>IF($K209="","",INDEX('Detalle individual'!$D:$D,$K209))</f>
        <v>Gerencia de Sistemas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46300.58950231481</v>
      </c>
      <c r="J209" s="78">
        <f>IF($K209="","",IF(INDEX('Detalle individual'!$F:$F,$K209)="Completado",INDEX('Detalle individual'!$J:$J,$K209),""))</f>
        <v>100</v>
      </c>
      <c r="K209">
        <f>IFERROR(MOD(SMALL('Cálculos'!$Z$5:$Z$1000,201),10000),"")</f>
        <v>106</v>
      </c>
    </row>
    <row r="210">
      <c r="B210" s="63">
        <f>IF($K210="","",202)</f>
        <v>202</v>
      </c>
      <c r="C210" s="63" t="str">
        <f>IF($K210="","",INDEX('Detalle individual'!$A:$A,$K210))</f>
        <v>259</v>
      </c>
      <c r="D210" s="64" t="str">
        <f>IF($K210="","",TRIM(INDEX('Detalle individual'!$B:$B,$K210)))</f>
        <v>EDGAR MARGARITO POZO SHUPAN</v>
      </c>
      <c r="E210" s="64" t="str">
        <f>IF($K210="","",TRIM(INDEX('Detalle individual'!$E:$E,$K210)))</f>
        <v>TECNICO EN SOPORTE</v>
      </c>
      <c r="F210" s="64" t="str">
        <f>IF($K210="","",TRIM(INDEX('Detalle individual'!$C:$C,$K210)))</f>
        <v>DEPARTAMENTO DE OPERACIONES Y SOPORTE TECNICO</v>
      </c>
      <c r="G210" s="64" t="str">
        <f>IF($K210="","",INDEX('Detalle individual'!$D:$D,$K210))</f>
        <v>Gerencia de Sistemas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46300.63810185185</v>
      </c>
      <c r="J210" s="78">
        <f>IF($K210="","",IF(INDEX('Detalle individual'!$F:$F,$K210)="Completado",INDEX('Detalle individual'!$J:$J,$K210),""))</f>
        <v>100</v>
      </c>
      <c r="K210">
        <f>IFERROR(MOD(SMALL('Cálculos'!$Z$5:$Z$1000,202),10000),"")</f>
        <v>107</v>
      </c>
    </row>
    <row r="211">
      <c r="B211" s="63">
        <f>IF($K211="","",203)</f>
        <v>203</v>
      </c>
      <c r="C211" s="63" t="str">
        <f>IF($K211="","",INDEX('Detalle individual'!$A:$A,$K211))</f>
        <v>281</v>
      </c>
      <c r="D211" s="64" t="str">
        <f>IF($K211="","",TRIM(INDEX('Detalle individual'!$B:$B,$K211)))</f>
        <v>CARLOS ALFONSO MOLINA CARDONA</v>
      </c>
      <c r="E211" s="64" t="str">
        <f>IF($K211="","",TRIM(INDEX('Detalle individual'!$E:$E,$K211)))</f>
        <v>OPERADOR DE SISTEMAS</v>
      </c>
      <c r="F211" s="64" t="str">
        <f>IF($K211="","",TRIM(INDEX('Detalle individual'!$C:$C,$K211)))</f>
        <v>DEPARTAMENTO DE OPERACIONES Y SOPORTE TECNICO</v>
      </c>
      <c r="G211" s="64" t="str">
        <f>IF($K211="","",INDEX('Detalle individual'!$D:$D,$K211))</f>
        <v>Gerencia de Sistemas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46300.48065972222</v>
      </c>
      <c r="J211" s="78">
        <f>IF($K211="","",IF(INDEX('Detalle individual'!$F:$F,$K211)="Completado",INDEX('Detalle individual'!$J:$J,$K211),""))</f>
        <v>100</v>
      </c>
      <c r="K211">
        <f>IFERROR(MOD(SMALL('Cálculos'!$Z$5:$Z$1000,203),10000),"")</f>
        <v>108</v>
      </c>
    </row>
    <row r="212">
      <c r="B212" s="63">
        <f>IF($K212="","",204)</f>
        <v>204</v>
      </c>
      <c r="C212" s="63" t="str">
        <f>IF($K212="","",INDEX('Detalle individual'!$A:$A,$K212))</f>
        <v>490</v>
      </c>
      <c r="D212" s="64" t="str">
        <f>IF($K212="","",TRIM(INDEX('Detalle individual'!$B:$B,$K212)))</f>
        <v>JULIO ADOLFO MOLINA ARRIOLA</v>
      </c>
      <c r="E212" s="64" t="str">
        <f>IF($K212="","",TRIM(INDEX('Detalle individual'!$E:$E,$K212)))</f>
        <v>OPERADOR DE SISTEMAS</v>
      </c>
      <c r="F212" s="64" t="str">
        <f>IF($K212="","",TRIM(INDEX('Detalle individual'!$C:$C,$K212)))</f>
        <v>DEPARTAMENTO DE OPERACIONES Y SOPORTE TECNICO</v>
      </c>
      <c r="G212" s="64" t="str">
        <f>IF($K212="","",INDEX('Detalle individual'!$D:$D,$K212))</f>
        <v>Gerencia de Sistemas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46301.436527777776</v>
      </c>
      <c r="J212" s="78">
        <f>IF($K212="","",IF(INDEX('Detalle individual'!$F:$F,$K212)="Completado",INDEX('Detalle individual'!$J:$J,$K212),""))</f>
        <v>100</v>
      </c>
      <c r="K212">
        <f>IFERROR(MOD(SMALL('Cálculos'!$Z$5:$Z$1000,204),10000),"")</f>
        <v>109</v>
      </c>
    </row>
    <row r="213">
      <c r="B213" s="63">
        <f>IF($K213="","",205)</f>
        <v>205</v>
      </c>
      <c r="C213" s="63" t="str">
        <f>IF($K213="","",INDEX('Detalle individual'!$A:$A,$K213))</f>
        <v>880</v>
      </c>
      <c r="D213" s="64" t="str">
        <f>IF($K213="","",TRIM(INDEX('Detalle individual'!$B:$B,$K213)))</f>
        <v>JORGE ALBERTO BARRERA</v>
      </c>
      <c r="E213" s="64" t="str">
        <f>IF($K213="","",TRIM(INDEX('Detalle individual'!$E:$E,$K213)))</f>
        <v>JEFE DE OPERACIONES Y SOPORTE TECNICO</v>
      </c>
      <c r="F213" s="64" t="str">
        <f>IF($K213="","",TRIM(INDEX('Detalle individual'!$C:$C,$K213)))</f>
        <v>DEPARTAMENTO DE OPERACIONES Y SOPORTE TECNICO</v>
      </c>
      <c r="G213" s="64" t="str">
        <f>IF($K213="","",INDEX('Detalle individual'!$D:$D,$K213))</f>
        <v>Gerencia de Sistemas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46300.5841087963</v>
      </c>
      <c r="J213" s="78">
        <f>IF($K213="","",IF(INDEX('Detalle individual'!$F:$F,$K213)="Completado",INDEX('Detalle individual'!$J:$J,$K213),""))</f>
        <v>100</v>
      </c>
      <c r="K213">
        <f>IFERROR(MOD(SMALL('Cálculos'!$Z$5:$Z$1000,205),10000),"")</f>
        <v>110</v>
      </c>
    </row>
    <row r="214">
      <c r="B214" s="63">
        <f>IF($K214="","",206)</f>
        <v>206</v>
      </c>
      <c r="C214" s="63" t="str">
        <f>IF($K214="","",INDEX('Detalle individual'!$A:$A,$K214))</f>
        <v>191</v>
      </c>
      <c r="D214" s="64" t="str">
        <f>IF($K214="","",TRIM(INDEX('Detalle individual'!$B:$B,$K214)))</f>
        <v>ESTER ALEYDA GODOY CAMPOS</v>
      </c>
      <c r="E214" s="64" t="str">
        <f>IF($K214="","",TRIM(INDEX('Detalle individual'!$E:$E,$K214)))</f>
        <v>ASISTENTE TECNICO DE PLANIFICACION</v>
      </c>
      <c r="F214" s="64" t="str">
        <f>IF($K214="","",TRIM(INDEX('Detalle individual'!$C:$C,$K214)))</f>
        <v>DEPARTAMENTO DE PLANIFICACIÓN Y ANALISIS</v>
      </c>
      <c r="G214" s="64" t="str">
        <f>IF($K214="","",INDEX('Detalle individual'!$D:$D,$K214))</f>
        <v>Gerencia de Finanzas y Planificación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46307.665983796294</v>
      </c>
      <c r="J214" s="78">
        <f>IF($K214="","",IF(INDEX('Detalle individual'!$F:$F,$K214)="Completado",INDEX('Detalle individual'!$J:$J,$K214),""))</f>
        <v>100</v>
      </c>
      <c r="K214">
        <f>IFERROR(MOD(SMALL('Cálculos'!$Z$5:$Z$1000,206),10000),"")</f>
        <v>98</v>
      </c>
    </row>
    <row r="215">
      <c r="B215" s="63">
        <f>IF($K215="","",207)</f>
        <v>207</v>
      </c>
      <c r="C215" s="63" t="str">
        <f>IF($K215="","",INDEX('Detalle individual'!$A:$A,$K215))</f>
        <v>946</v>
      </c>
      <c r="D215" s="64" t="str">
        <f>IF($K215="","",TRIM(INDEX('Detalle individual'!$B:$B,$K215)))</f>
        <v>EFRAIN ANTONIO AYALA LOPEZ</v>
      </c>
      <c r="E215" s="64" t="str">
        <f>IF($K215="","",TRIM(INDEX('Detalle individual'!$E:$E,$K215)))</f>
        <v>JEFE DE PLANIFICACION Y ANALISIS</v>
      </c>
      <c r="F215" s="64" t="str">
        <f>IF($K215="","",TRIM(INDEX('Detalle individual'!$C:$C,$K215)))</f>
        <v>DEPARTAMENTO DE PLANIFICACIÓN Y ANALISIS</v>
      </c>
      <c r="G215" s="64" t="str">
        <f>IF($K215="","",INDEX('Detalle individual'!$D:$D,$K215))</f>
        <v>Gerencia de Finanzas y Planificación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46305.53491898148</v>
      </c>
      <c r="J215" s="78">
        <f>IF($K215="","",IF(INDEX('Detalle individual'!$F:$F,$K215)="Completado",INDEX('Detalle individual'!$J:$J,$K215),""))</f>
        <v>100</v>
      </c>
      <c r="K215">
        <f>IFERROR(MOD(SMALL('Cálculos'!$Z$5:$Z$1000,207),10000),"")</f>
        <v>100</v>
      </c>
    </row>
    <row r="216">
      <c r="B216" s="63">
        <f>IF($K216="","",208)</f>
        <v>208</v>
      </c>
      <c r="C216" s="63" t="str">
        <f>IF($K216="","",INDEX('Detalle individual'!$A:$A,$K216))</f>
        <v>318</v>
      </c>
      <c r="D216" s="64" t="str">
        <f>IF($K216="","",TRIM(INDEX('Detalle individual'!$B:$B,$K216)))</f>
        <v>CLAUDIA CAROLINA HENRIQUEZ VELASCO</v>
      </c>
      <c r="E216" s="64" t="str">
        <f>IF($K216="","",TRIM(INDEX('Detalle individual'!$E:$E,$K216)))</f>
        <v>JEFE DE PROCESOS</v>
      </c>
      <c r="F216" s="64" t="str">
        <f>IF($K216="","",TRIM(INDEX('Detalle individual'!$C:$C,$K216)))</f>
        <v>DEPARTAMENTO DE PROCESOS</v>
      </c>
      <c r="G216" s="64" t="str">
        <f>IF($K216="","",INDEX('Detalle individual'!$D:$D,$K216))</f>
        <v>Gerencia General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46296.44149305556</v>
      </c>
      <c r="J216" s="78">
        <f>IF($K216="","",IF(INDEX('Detalle individual'!$F:$F,$K216)="Completado",INDEX('Detalle individual'!$J:$J,$K216),""))</f>
        <v>100</v>
      </c>
      <c r="K216">
        <f>IFERROR(MOD(SMALL('Cálculos'!$Z$5:$Z$1000,208),10000),"")</f>
        <v>18</v>
      </c>
    </row>
    <row r="217">
      <c r="B217" s="63">
        <f>IF($K217="","",209)</f>
        <v>209</v>
      </c>
      <c r="C217" s="63" t="str">
        <f>IF($K217="","",INDEX('Detalle individual'!$A:$A,$K217))</f>
        <v>817</v>
      </c>
      <c r="D217" s="64" t="str">
        <f>IF($K217="","",TRIM(INDEX('Detalle individual'!$B:$B,$K217)))</f>
        <v>MAURICIO EDGARDO MIRANDA CAMPOS</v>
      </c>
      <c r="E217" s="64" t="str">
        <f>IF($K217="","",TRIM(INDEX('Detalle individual'!$E:$E,$K217)))</f>
        <v>ANALISTA DE PROCESOS</v>
      </c>
      <c r="F217" s="64" t="str">
        <f>IF($K217="","",TRIM(INDEX('Detalle individual'!$C:$C,$K217)))</f>
        <v>DEPARTAMENTO DE PROCESOS</v>
      </c>
      <c r="G217" s="64" t="str">
        <f>IF($K217="","",INDEX('Detalle individual'!$D:$D,$K217))</f>
        <v>Gerencia General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46296.44137731481</v>
      </c>
      <c r="J217" s="78">
        <f>IF($K217="","",IF(INDEX('Detalle individual'!$F:$F,$K217)="Completado",INDEX('Detalle individual'!$J:$J,$K217),""))</f>
        <v>100</v>
      </c>
      <c r="K217">
        <f>IFERROR(MOD(SMALL('Cálculos'!$Z$5:$Z$1000,209),10000),"")</f>
        <v>19</v>
      </c>
    </row>
    <row r="218">
      <c r="B218" s="63">
        <f>IF($K218="","",210)</f>
        <v>210</v>
      </c>
      <c r="C218" s="63" t="str">
        <f>IF($K218="","",INDEX('Detalle individual'!$A:$A,$K218))</f>
        <v>932</v>
      </c>
      <c r="D218" s="64" t="str">
        <f>IF($K218="","",TRIM(INDEX('Detalle individual'!$B:$B,$K218)))</f>
        <v>HECTOR SEBASTIAN LOPEZ GRANADOS</v>
      </c>
      <c r="E218" s="64" t="str">
        <f>IF($K218="","",TRIM(INDEX('Detalle individual'!$E:$E,$K218)))</f>
        <v>ASISTENTE TECNICO DE PROCESOS</v>
      </c>
      <c r="F218" s="64" t="str">
        <f>IF($K218="","",TRIM(INDEX('Detalle individual'!$C:$C,$K218)))</f>
        <v>DEPARTAMENTO DE PROCESOS</v>
      </c>
      <c r="G218" s="64" t="str">
        <f>IF($K218="","",INDEX('Detalle individual'!$D:$D,$K218))</f>
        <v>Gerencia General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46296.44143518519</v>
      </c>
      <c r="J218" s="78">
        <f>IF($K218="","",IF(INDEX('Detalle individual'!$F:$F,$K218)="Completado",INDEX('Detalle individual'!$J:$J,$K218),""))</f>
        <v>100</v>
      </c>
      <c r="K218">
        <f>IFERROR(MOD(SMALL('Cálculos'!$Z$5:$Z$1000,210),10000),"")</f>
        <v>20</v>
      </c>
    </row>
    <row r="219">
      <c r="B219" s="63">
        <f>IF($K219="","",211)</f>
        <v>211</v>
      </c>
      <c r="C219" s="63" t="str">
        <f>IF($K219="","",INDEX('Detalle individual'!$A:$A,$K219))</f>
        <v>452</v>
      </c>
      <c r="D219" s="64" t="str">
        <f>IF($K219="","",TRIM(INDEX('Detalle individual'!$B:$B,$K219)))</f>
        <v>SERGIO ARTURO CALDERON SALAZAR</v>
      </c>
      <c r="E219" s="64" t="str">
        <f>IF($K219="","",TRIM(INDEX('Detalle individual'!$E:$E,$K219)))</f>
        <v>COORDINADOR DE SEGURIDAD</v>
      </c>
      <c r="F219" s="64" t="str">
        <f>IF($K219="","",TRIM(INDEX('Detalle individual'!$C:$C,$K219)))</f>
        <v>DEPARTAMENTO DE SEGURIDAD</v>
      </c>
      <c r="G219" s="64" t="str">
        <f>IF($K219="","",INDEX('Detalle individual'!$D:$D,$K219))</f>
        <v>Gerencia Administrativa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46296.46072916667</v>
      </c>
      <c r="J219" s="78">
        <f>IF($K219="","",IF(INDEX('Detalle individual'!$F:$F,$K219)="Completado",INDEX('Detalle individual'!$J:$J,$K219),""))</f>
        <v>90</v>
      </c>
      <c r="K219">
        <f>IFERROR(MOD(SMALL('Cálculos'!$Z$5:$Z$1000,211),10000),"")</f>
        <v>52</v>
      </c>
    </row>
    <row r="220">
      <c r="B220" s="63">
        <f>IF($K220="","",212)</f>
        <v>212</v>
      </c>
      <c r="C220" s="63" t="str">
        <f>IF($K220="","",INDEX('Detalle individual'!$A:$A,$K220))</f>
        <v>901</v>
      </c>
      <c r="D220" s="64" t="str">
        <f>IF($K220="","",TRIM(INDEX('Detalle individual'!$B:$B,$K220)))</f>
        <v>CARLOS ALEJANDRO MARAVILLA MENDEZ</v>
      </c>
      <c r="E220" s="64" t="str">
        <f>IF($K220="","",TRIM(INDEX('Detalle individual'!$E:$E,$K220)))</f>
        <v>OPERADOR DE MONITOREO DE LOS SISTEMAS DE SEGURIDAD</v>
      </c>
      <c r="F220" s="64" t="str">
        <f>IF($K220="","",TRIM(INDEX('Detalle individual'!$C:$C,$K220)))</f>
        <v>DEPARTAMENTO DE SEGURIDAD</v>
      </c>
      <c r="G220" s="64" t="str">
        <f>IF($K220="","",INDEX('Detalle individual'!$D:$D,$K220))</f>
        <v>Gerencia Administrativa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46296.45633101852</v>
      </c>
      <c r="J220" s="78">
        <f>IF($K220="","",IF(INDEX('Detalle individual'!$F:$F,$K220)="Completado",INDEX('Detalle individual'!$J:$J,$K220),""))</f>
        <v>100</v>
      </c>
      <c r="K220">
        <f>IFERROR(MOD(SMALL('Cálculos'!$Z$5:$Z$1000,212),10000),"")</f>
        <v>53</v>
      </c>
    </row>
    <row r="221">
      <c r="B221" s="63">
        <f>IF($K221="","",213)</f>
        <v>213</v>
      </c>
      <c r="C221" s="63" t="str">
        <f>IF($K221="","",INDEX('Detalle individual'!$A:$A,$K221))</f>
        <v>544</v>
      </c>
      <c r="D221" s="64" t="str">
        <f>IF($K221="","",TRIM(INDEX('Detalle individual'!$B:$B,$K221)))</f>
        <v>CLAUDIA MARISOL MADRID BARRIENTOS</v>
      </c>
      <c r="E221" s="64" t="str">
        <f>IF($K221="","",TRIM(INDEX('Detalle individual'!$E:$E,$K221)))</f>
        <v>GESTOR DE RECLAMOS Y SUSCRIPCIONES</v>
      </c>
      <c r="F221" s="64" t="str">
        <f>IF($K221="","",TRIM(INDEX('Detalle individual'!$C:$C,$K221)))</f>
        <v>DEPARTAMENTO DE SEGUROS</v>
      </c>
      <c r="G221" s="64" t="str">
        <f>IF($K221="","",INDEX('Detalle individual'!$D:$D,$K221))</f>
        <v>Gerencia de Negocios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46309.43305555556</v>
      </c>
      <c r="J221" s="78">
        <f>IF($K221="","",IF(INDEX('Detalle individual'!$F:$F,$K221)="Completado",INDEX('Detalle individual'!$J:$J,$K221),""))</f>
        <v>90</v>
      </c>
      <c r="K221">
        <f>IFERROR(MOD(SMALL('Cálculos'!$Z$5:$Z$1000,213),10000),"")</f>
        <v>165</v>
      </c>
    </row>
    <row r="222">
      <c r="B222" s="63">
        <f>IF($K222="","",214)</f>
        <v>214</v>
      </c>
      <c r="C222" s="63" t="str">
        <f>IF($K222="","",INDEX('Detalle individual'!$A:$A,$K222))</f>
        <v>589</v>
      </c>
      <c r="D222" s="64" t="str">
        <f>IF($K222="","",TRIM(INDEX('Detalle individual'!$B:$B,$K222)))</f>
        <v>CLELIA LIZETH ORTIZ GALDAMEZ</v>
      </c>
      <c r="E222" s="64" t="str">
        <f>IF($K222="","",TRIM(INDEX('Detalle individual'!$E:$E,$K222)))</f>
        <v>AUXILIAR DE ADMINISTRACION DE SEGUROS</v>
      </c>
      <c r="F222" s="64" t="str">
        <f>IF($K222="","",TRIM(INDEX('Detalle individual'!$C:$C,$K222)))</f>
        <v>DEPARTAMENTO DE SEGUROS</v>
      </c>
      <c r="G222" s="64" t="str">
        <f>IF($K222="","",INDEX('Detalle individual'!$D:$D,$K222))</f>
        <v>Gerencia de Negocios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46301.68011574074</v>
      </c>
      <c r="J222" s="78">
        <f>IF($K222="","",IF(INDEX('Detalle individual'!$F:$F,$K222)="Completado",INDEX('Detalle individual'!$J:$J,$K222),""))</f>
        <v>90</v>
      </c>
      <c r="K222">
        <f>IFERROR(MOD(SMALL('Cálculos'!$Z$5:$Z$1000,214),10000),"")</f>
        <v>166</v>
      </c>
    </row>
    <row r="223">
      <c r="B223" s="63">
        <f>IF($K223="","",215)</f>
        <v>215</v>
      </c>
      <c r="C223" s="63" t="str">
        <f>IF($K223="","",INDEX('Detalle individual'!$A:$A,$K223))</f>
        <v>639</v>
      </c>
      <c r="D223" s="64" t="str">
        <f>IF($K223="","",TRIM(INDEX('Detalle individual'!$B:$B,$K223)))</f>
        <v>CARLOS ALEXANDER ROMERO ROMERO</v>
      </c>
      <c r="E223" s="64" t="str">
        <f>IF($K223="","",TRIM(INDEX('Detalle individual'!$E:$E,$K223)))</f>
        <v>GESTOR DE CARTERA DE SEGUROS</v>
      </c>
      <c r="F223" s="64" t="str">
        <f>IF($K223="","",TRIM(INDEX('Detalle individual'!$C:$C,$K223)))</f>
        <v>DEPARTAMENTO DE SEGUROS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46305.51787037037</v>
      </c>
      <c r="J223" s="78">
        <f>IF($K223="","",IF(INDEX('Detalle individual'!$F:$F,$K223)="Completado",INDEX('Detalle individual'!$J:$J,$K223),""))</f>
        <v>100</v>
      </c>
      <c r="K223">
        <f>IFERROR(MOD(SMALL('Cálculos'!$Z$5:$Z$1000,215),10000),"")</f>
        <v>167</v>
      </c>
    </row>
    <row r="224">
      <c r="B224" s="63">
        <f>IF($K224="","",216)</f>
        <v>216</v>
      </c>
      <c r="C224" s="63" t="str">
        <f>IF($K224="","",INDEX('Detalle individual'!$A:$A,$K224))</f>
        <v>643</v>
      </c>
      <c r="D224" s="64" t="str">
        <f>IF($K224="","",TRIM(INDEX('Detalle individual'!$B:$B,$K224)))</f>
        <v>LISSETTE MARICELA SANCHEZ MOLINA</v>
      </c>
      <c r="E224" s="64" t="str">
        <f>IF($K224="","",TRIM(INDEX('Detalle individual'!$E:$E,$K224)))</f>
        <v>ASISTENTE DE SEGUROS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46309.639328703706</v>
      </c>
      <c r="J224" s="78">
        <f>IF($K224="","",IF(INDEX('Detalle individual'!$F:$F,$K224)="Completado",INDEX('Detalle individual'!$J:$J,$K224),""))</f>
        <v>100</v>
      </c>
      <c r="K224">
        <f>IFERROR(MOD(SMALL('Cálculos'!$Z$5:$Z$1000,216),10000),"")</f>
        <v>168</v>
      </c>
    </row>
    <row r="225">
      <c r="B225" s="63">
        <f>IF($K225="","",217)</f>
        <v>217</v>
      </c>
      <c r="C225" s="63" t="str">
        <f>IF($K225="","",INDEX('Detalle individual'!$A:$A,$K225))</f>
        <v>689</v>
      </c>
      <c r="D225" s="64" t="str">
        <f>IF($K225="","",TRIM(INDEX('Detalle individual'!$B:$B,$K225)))</f>
        <v>RAUL ERNESTO PALACIOS LANDAVERDE</v>
      </c>
      <c r="E225" s="64" t="str">
        <f>IF($K225="","",TRIM(INDEX('Detalle individual'!$E:$E,$K225)))</f>
        <v>TECNICO DEL SEGURO DE SALUD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46296.46570601852</v>
      </c>
      <c r="J225" s="78">
        <f>IF($K225="","",IF(INDEX('Detalle individual'!$F:$F,$K225)="Completado",INDEX('Detalle individual'!$J:$J,$K225),""))</f>
        <v>100</v>
      </c>
      <c r="K225">
        <f>IFERROR(MOD(SMALL('Cálculos'!$Z$5:$Z$1000,217),10000),"")</f>
        <v>169</v>
      </c>
    </row>
    <row r="226">
      <c r="B226" s="63">
        <f>IF($K226="","",218)</f>
        <v>218</v>
      </c>
      <c r="C226" s="63" t="str">
        <f>IF($K226="","",INDEX('Detalle individual'!$A:$A,$K226))</f>
        <v>792</v>
      </c>
      <c r="D226" s="64" t="str">
        <f>IF($K226="","",TRIM(INDEX('Detalle individual'!$B:$B,$K226)))</f>
        <v>JENNYFER AYLIN ESCOBAR ZAMORA</v>
      </c>
      <c r="E226" s="64" t="str">
        <f>IF($K226="","",TRIM(INDEX('Detalle individual'!$E:$E,$K226)))</f>
        <v>COORDINADOR COMERCIAL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46309.485625</v>
      </c>
      <c r="J226" s="78">
        <f>IF($K226="","",IF(INDEX('Detalle individual'!$F:$F,$K226)="Completado",INDEX('Detalle individual'!$J:$J,$K226),""))</f>
        <v>100</v>
      </c>
      <c r="K226">
        <f>IFERROR(MOD(SMALL('Cálculos'!$Z$5:$Z$1000,218),10000),"")</f>
        <v>170</v>
      </c>
    </row>
    <row r="227">
      <c r="B227" s="63">
        <f>IF($K227="","",219)</f>
        <v>219</v>
      </c>
      <c r="C227" s="63" t="str">
        <f>IF($K227="","",INDEX('Detalle individual'!$A:$A,$K227))</f>
        <v>793</v>
      </c>
      <c r="D227" s="64" t="str">
        <f>IF($K227="","",TRIM(INDEX('Detalle individual'!$B:$B,$K227)))</f>
        <v>KRIZIA BETSABE FLORES MARTINEZ</v>
      </c>
      <c r="E227" s="64" t="str">
        <f>IF($K227="","",TRIM(INDEX('Detalle individual'!$E:$E,$K227)))</f>
        <v>JEFE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46297.49109953704</v>
      </c>
      <c r="J227" s="78">
        <f>IF($K227="","",IF(INDEX('Detalle individual'!$F:$F,$K227)="Completado",INDEX('Detalle individual'!$J:$J,$K227),""))</f>
        <v>90</v>
      </c>
      <c r="K227">
        <f>IFERROR(MOD(SMALL('Cálculos'!$Z$5:$Z$1000,219),10000),"")</f>
        <v>171</v>
      </c>
    </row>
    <row r="228">
      <c r="B228" s="63">
        <f>IF($K228="","",220)</f>
        <v>220</v>
      </c>
      <c r="C228" s="63" t="str">
        <f>IF($K228="","",INDEX('Detalle individual'!$A:$A,$K228))</f>
        <v>805</v>
      </c>
      <c r="D228" s="64" t="str">
        <f>IF($K228="","",TRIM(INDEX('Detalle individual'!$B:$B,$K228)))</f>
        <v>JUANA HAZEL GARCIA COREAS</v>
      </c>
      <c r="E228" s="64" t="str">
        <f>IF($K228="","",TRIM(INDEX('Detalle individual'!$E:$E,$K228)))</f>
        <v>EJECUTIVO DE VENTA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46309.48584490741</v>
      </c>
      <c r="J228" s="78">
        <f>IF($K228="","",IF(INDEX('Detalle individual'!$F:$F,$K228)="Completado",INDEX('Detalle individual'!$J:$J,$K228),""))</f>
        <v>100</v>
      </c>
      <c r="K228">
        <f>IFERROR(MOD(SMALL('Cálculos'!$Z$5:$Z$1000,220),10000),"")</f>
        <v>173</v>
      </c>
    </row>
    <row r="229">
      <c r="B229" s="63">
        <f>IF($K229="","",221)</f>
        <v>221</v>
      </c>
      <c r="C229" s="63" t="str">
        <f>IF($K229="","",INDEX('Detalle individual'!$A:$A,$K229))</f>
        <v>869</v>
      </c>
      <c r="D229" s="64" t="str">
        <f>IF($K229="","",TRIM(INDEX('Detalle individual'!$B:$B,$K229)))</f>
        <v>JENNIFER BETSABE MARAVILLA MORENO</v>
      </c>
      <c r="E229" s="64" t="str">
        <f>IF($K229="","",TRIM(INDEX('Detalle individual'!$E:$E,$K229)))</f>
        <v>EJECUTIVO DE VENTA DE SEGUROS</v>
      </c>
      <c r="F229" s="64" t="str">
        <f>IF($K229="","",TRIM(INDEX('Detalle individual'!$C:$C,$K229)))</f>
        <v>DEPARTAMENTO DE SEGUROS</v>
      </c>
      <c r="G229" s="64" t="str">
        <f>IF($K229="","",INDEX('Detalle individual'!$D:$D,$K229))</f>
        <v>Gerencia de Negocios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46296.68630787037</v>
      </c>
      <c r="J229" s="78">
        <f>IF($K229="","",IF(INDEX('Detalle individual'!$F:$F,$K229)="Completado",INDEX('Detalle individual'!$J:$J,$K229),""))</f>
        <v>100</v>
      </c>
      <c r="K229">
        <f>IFERROR(MOD(SMALL('Cálculos'!$Z$5:$Z$1000,221),10000),"")</f>
        <v>174</v>
      </c>
    </row>
    <row r="230">
      <c r="B230" s="63">
        <f>IF($K230="","",222)</f>
        <v>222</v>
      </c>
      <c r="C230" s="63" t="str">
        <f>IF($K230="","",INDEX('Detalle individual'!$A:$A,$K230))</f>
        <v>894</v>
      </c>
      <c r="D230" s="64" t="str">
        <f>IF($K230="","",TRIM(INDEX('Detalle individual'!$B:$B,$K230)))</f>
        <v>HENRY OSWALDO PINEDA GARCIA</v>
      </c>
      <c r="E230" s="64" t="str">
        <f>IF($K230="","",TRIM(INDEX('Detalle individual'!$E:$E,$K230)))</f>
        <v>EJECUTIVO MOVIL DE SEGUROS</v>
      </c>
      <c r="F230" s="64" t="str">
        <f>IF($K230="","",TRIM(INDEX('Detalle individual'!$C:$C,$K230)))</f>
        <v>DEPARTAMENTO DE SEGUROS</v>
      </c>
      <c r="G230" s="64" t="str">
        <f>IF($K230="","",INDEX('Detalle individual'!$D:$D,$K230))</f>
        <v>Gerencia de Negocios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46296.431875</v>
      </c>
      <c r="J230" s="78">
        <f>IF($K230="","",IF(INDEX('Detalle individual'!$F:$F,$K230)="Completado",INDEX('Detalle individual'!$J:$J,$K230),""))</f>
        <v>100</v>
      </c>
      <c r="K230">
        <f>IFERROR(MOD(SMALL('Cálculos'!$Z$5:$Z$1000,222),10000),"")</f>
        <v>175</v>
      </c>
    </row>
    <row r="231">
      <c r="B231" s="63">
        <f>IF($K231="","",223)</f>
        <v>223</v>
      </c>
      <c r="C231" s="63" t="str">
        <f>IF($K231="","",INDEX('Detalle individual'!$A:$A,$K231))</f>
        <v>55</v>
      </c>
      <c r="D231" s="64" t="str">
        <f>IF($K231="","",TRIM(INDEX('Detalle individual'!$B:$B,$K231)))</f>
        <v>LEONEL EDGARDO SALAZAR RAMIREZ</v>
      </c>
      <c r="E231" s="64" t="str">
        <f>IF($K231="","",TRIM(INDEX('Detalle individual'!$E:$E,$K231)))</f>
        <v>MENSAJERO</v>
      </c>
      <c r="F231" s="64" t="str">
        <f>IF($K231="","",TRIM(INDEX('Detalle individual'!$C:$C,$K231)))</f>
        <v>DEPARTAMENTO DE SERVICIOS GENERALES</v>
      </c>
      <c r="G231" s="64" t="str">
        <f>IF($K231="","",INDEX('Detalle individual'!$D:$D,$K231))</f>
        <v>Gerencia Administrativa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46300.81421296296</v>
      </c>
      <c r="J231" s="78">
        <f>IF($K231="","",IF(INDEX('Detalle individual'!$F:$F,$K231)="Completado",INDEX('Detalle individual'!$J:$J,$K231),""))</f>
        <v>90</v>
      </c>
      <c r="K231">
        <f>IFERROR(MOD(SMALL('Cálculos'!$Z$5:$Z$1000,223),10000),"")</f>
        <v>26</v>
      </c>
    </row>
    <row r="232">
      <c r="B232" s="63">
        <f>IF($K232="","",224)</f>
        <v>224</v>
      </c>
      <c r="C232" s="63" t="str">
        <f>IF($K232="","",INDEX('Detalle individual'!$A:$A,$K232))</f>
        <v>222</v>
      </c>
      <c r="D232" s="64" t="str">
        <f>IF($K232="","",TRIM(INDEX('Detalle individual'!$B:$B,$K232)))</f>
        <v>MARIA GUADALUPE MARTINEZ MURCIA</v>
      </c>
      <c r="E232" s="64" t="str">
        <f>IF($K232="","",TRIM(INDEX('Detalle individual'!$E:$E,$K232)))</f>
        <v>AUXILIAR DE COMPRAS</v>
      </c>
      <c r="F232" s="64" t="str">
        <f>IF($K232="","",TRIM(INDEX('Detalle individual'!$C:$C,$K232)))</f>
        <v>DEPARTAMENTO DE SERVICIOS GENERALES</v>
      </c>
      <c r="G232" s="64" t="str">
        <f>IF($K232="","",INDEX('Detalle individual'!$D:$D,$K232))</f>
        <v>Gerencia Administrativa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46300.665671296294</v>
      </c>
      <c r="J232" s="78">
        <f>IF($K232="","",IF(INDEX('Detalle individual'!$F:$F,$K232)="Completado",INDEX('Detalle individual'!$J:$J,$K232),""))</f>
        <v>100</v>
      </c>
      <c r="K232">
        <f>IFERROR(MOD(SMALL('Cálculos'!$Z$5:$Z$1000,224),10000),"")</f>
        <v>27</v>
      </c>
    </row>
    <row r="233">
      <c r="B233" s="63">
        <f>IF($K233="","",225)</f>
        <v>225</v>
      </c>
      <c r="C233" s="63" t="str">
        <f>IF($K233="","",INDEX('Detalle individual'!$A:$A,$K233))</f>
        <v>224</v>
      </c>
      <c r="D233" s="64" t="str">
        <f>IF($K233="","",TRIM(INDEX('Detalle individual'!$B:$B,$K233)))</f>
        <v>JESUS REYES GUZMAN FUENTES</v>
      </c>
      <c r="E233" s="64" t="str">
        <f>IF($K233="","",TRIM(INDEX('Detalle individual'!$E:$E,$K233)))</f>
        <v>MENSAJERO</v>
      </c>
      <c r="F233" s="64" t="str">
        <f>IF($K233="","",TRIM(INDEX('Detalle individual'!$C:$C,$K233)))</f>
        <v>DEPARTAMENTO DE SERVICIOS GENERALES</v>
      </c>
      <c r="G233" s="64" t="str">
        <f>IF($K233="","",INDEX('Detalle individual'!$D:$D,$K233))</f>
        <v>Gerencia Administrativa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46297.84905092593</v>
      </c>
      <c r="J233" s="78">
        <f>IF($K233="","",IF(INDEX('Detalle individual'!$F:$F,$K233)="Completado",INDEX('Detalle individual'!$J:$J,$K233),""))</f>
        <v>80</v>
      </c>
      <c r="K233">
        <f>IFERROR(MOD(SMALL('Cálculos'!$Z$5:$Z$1000,225),10000),"")</f>
        <v>28</v>
      </c>
    </row>
    <row r="234">
      <c r="B234" s="63">
        <f>IF($K234="","",226)</f>
        <v>226</v>
      </c>
      <c r="C234" s="63" t="str">
        <f>IF($K234="","",INDEX('Detalle individual'!$A:$A,$K234))</f>
        <v>387</v>
      </c>
      <c r="D234" s="64" t="str">
        <f>IF($K234="","",TRIM(INDEX('Detalle individual'!$B:$B,$K234)))</f>
        <v>CELINA CECILIA ANZORA BERNAL</v>
      </c>
      <c r="E234" s="64" t="str">
        <f>IF($K234="","",TRIM(INDEX('Detalle individual'!$E:$E,$K234)))</f>
        <v>SERVICIOS VARIOS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46298.4184375</v>
      </c>
      <c r="J234" s="78">
        <f>IF($K234="","",IF(INDEX('Detalle individual'!$F:$F,$K234)="Completado",INDEX('Detalle individual'!$J:$J,$K234),""))</f>
        <v>90</v>
      </c>
      <c r="K234">
        <f>IFERROR(MOD(SMALL('Cálculos'!$Z$5:$Z$1000,226),10000),"")</f>
        <v>29</v>
      </c>
    </row>
    <row r="235">
      <c r="B235" s="63">
        <f>IF($K235="","",227)</f>
        <v>227</v>
      </c>
      <c r="C235" s="63" t="str">
        <f>IF($K235="","",INDEX('Detalle individual'!$A:$A,$K235))</f>
        <v>430</v>
      </c>
      <c r="D235" s="64" t="str">
        <f>IF($K235="","",TRIM(INDEX('Detalle individual'!$B:$B,$K235)))</f>
        <v>MARIO ROSALES VASQUEZ</v>
      </c>
      <c r="E235" s="64" t="str">
        <f>IF($K235="","",TRIM(INDEX('Detalle individual'!$E:$E,$K235)))</f>
        <v>MENSAJERO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46300.40560185185</v>
      </c>
      <c r="J235" s="78">
        <f>IF($K235="","",IF(INDEX('Detalle individual'!$F:$F,$K235)="Completado",INDEX('Detalle individual'!$J:$J,$K235),""))</f>
        <v>100</v>
      </c>
      <c r="K235">
        <f>IFERROR(MOD(SMALL('Cálculos'!$Z$5:$Z$1000,227),10000),"")</f>
        <v>30</v>
      </c>
    </row>
    <row r="236">
      <c r="B236" s="63">
        <f>IF($K236="","",228)</f>
        <v>228</v>
      </c>
      <c r="C236" s="63" t="str">
        <f>IF($K236="","",INDEX('Detalle individual'!$A:$A,$K236))</f>
        <v>436</v>
      </c>
      <c r="D236" s="64" t="str">
        <f>IF($K236="","",TRIM(INDEX('Detalle individual'!$B:$B,$K236)))</f>
        <v>MAURICIO ANTONIO RAMIREZ PEREZ</v>
      </c>
      <c r="E236" s="64" t="str">
        <f>IF($K236="","",TRIM(INDEX('Detalle individual'!$E:$E,$K236)))</f>
        <v>AUXILIAR DE MANTENIMIENTO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46306.43788194445</v>
      </c>
      <c r="J236" s="78">
        <f>IF($K236="","",IF(INDEX('Detalle individual'!$F:$F,$K236)="Completado",INDEX('Detalle individual'!$J:$J,$K236),""))</f>
        <v>90</v>
      </c>
      <c r="K236">
        <f>IFERROR(MOD(SMALL('Cálculos'!$Z$5:$Z$1000,228),10000),"")</f>
        <v>31</v>
      </c>
    </row>
    <row r="237">
      <c r="B237" s="63">
        <f>IF($K237="","",229)</f>
        <v>229</v>
      </c>
      <c r="C237" s="63" t="str">
        <f>IF($K237="","",INDEX('Detalle individual'!$A:$A,$K237))</f>
        <v>522</v>
      </c>
      <c r="D237" s="64" t="str">
        <f>IF($K237="","",TRIM(INDEX('Detalle individual'!$B:$B,$K237)))</f>
        <v>MARGARITA GUADALUPE HENRIQUEZ ELIAS</v>
      </c>
      <c r="E237" s="64" t="str">
        <f>IF($K237="","",TRIM(INDEX('Detalle individual'!$E:$E,$K237)))</f>
        <v>SERVICIOS VARIOS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46297.85355324074</v>
      </c>
      <c r="J237" s="78">
        <f>IF($K237="","",IF(INDEX('Detalle individual'!$F:$F,$K237)="Completado",INDEX('Detalle individual'!$J:$J,$K237),""))</f>
        <v>85</v>
      </c>
      <c r="K237">
        <f>IFERROR(MOD(SMALL('Cálculos'!$Z$5:$Z$1000,229),10000),"")</f>
        <v>32</v>
      </c>
    </row>
    <row r="238">
      <c r="B238" s="63">
        <f>IF($K238="","",230)</f>
        <v>230</v>
      </c>
      <c r="C238" s="63" t="str">
        <f>IF($K238="","",INDEX('Detalle individual'!$A:$A,$K238))</f>
        <v>587</v>
      </c>
      <c r="D238" s="64" t="str">
        <f>IF($K238="","",TRIM(INDEX('Detalle individual'!$B:$B,$K238)))</f>
        <v>JOSE ROSALIO GARCIA SOTO</v>
      </c>
      <c r="E238" s="64" t="str">
        <f>IF($K238="","",TRIM(INDEX('Detalle individual'!$E:$E,$K238)))</f>
        <v>JARDINERO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46298.41559027778</v>
      </c>
      <c r="J238" s="78">
        <f>IF($K238="","",IF(INDEX('Detalle individual'!$F:$F,$K238)="Completado",INDEX('Detalle individual'!$J:$J,$K238),""))</f>
        <v>90</v>
      </c>
      <c r="K238">
        <f>IFERROR(MOD(SMALL('Cálculos'!$Z$5:$Z$1000,230),10000),"")</f>
        <v>33</v>
      </c>
    </row>
    <row r="239">
      <c r="B239" s="63">
        <f>IF($K239="","",231)</f>
        <v>231</v>
      </c>
      <c r="C239" s="63" t="str">
        <f>IF($K239="","",INDEX('Detalle individual'!$A:$A,$K239))</f>
        <v>599</v>
      </c>
      <c r="D239" s="64" t="str">
        <f>IF($K239="","",TRIM(INDEX('Detalle individual'!$B:$B,$K239)))</f>
        <v>MAIRA ELIZABETH PEREZ LEIVA</v>
      </c>
      <c r="E239" s="64" t="str">
        <f>IF($K239="","",TRIM(INDEX('Detalle individual'!$E:$E,$K239)))</f>
        <v>JEFE DE SERVICIOS GENERALES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46300.748703703706</v>
      </c>
      <c r="J239" s="78">
        <f>IF($K239="","",IF(INDEX('Detalle individual'!$F:$F,$K239)="Completado",INDEX('Detalle individual'!$J:$J,$K239),""))</f>
        <v>100</v>
      </c>
      <c r="K239">
        <f>IFERROR(MOD(SMALL('Cálculos'!$Z$5:$Z$1000,231),10000),"")</f>
        <v>34</v>
      </c>
    </row>
    <row r="240">
      <c r="B240" s="63">
        <f>IF($K240="","",232)</f>
        <v>232</v>
      </c>
      <c r="C240" s="63" t="str">
        <f>IF($K240="","",INDEX('Detalle individual'!$A:$A,$K240))</f>
        <v>684</v>
      </c>
      <c r="D240" s="64" t="str">
        <f>IF($K240="","",TRIM(INDEX('Detalle individual'!$B:$B,$K240)))</f>
        <v>ILIANA CAROLINA FLAMENCO FLORES</v>
      </c>
      <c r="E240" s="64" t="str">
        <f>IF($K240="","",TRIM(INDEX('Detalle individual'!$E:$E,$K240)))</f>
        <v>SERVICIOS VARIOS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46298.300208333334</v>
      </c>
      <c r="J240" s="78">
        <f>IF($K240="","",IF(INDEX('Detalle individual'!$F:$F,$K240)="Completado",INDEX('Detalle individual'!$J:$J,$K240),""))</f>
        <v>80</v>
      </c>
      <c r="K240">
        <f>IFERROR(MOD(SMALL('Cálculos'!$Z$5:$Z$1000,232),10000),"")</f>
        <v>35</v>
      </c>
    </row>
    <row r="241">
      <c r="B241" s="63">
        <f>IF($K241="","",233)</f>
        <v>233</v>
      </c>
      <c r="C241" s="63" t="str">
        <f>IF($K241="","",INDEX('Detalle individual'!$A:$A,$K241))</f>
        <v>803</v>
      </c>
      <c r="D241" s="64" t="str">
        <f>IF($K241="","",TRIM(INDEX('Detalle individual'!$B:$B,$K241)))</f>
        <v>CHRISTIAN GEORGE FIGUEROA BLANCO</v>
      </c>
      <c r="E241" s="64" t="str">
        <f>IF($K241="","",TRIM(INDEX('Detalle individual'!$E:$E,$K241)))</f>
        <v>MENSAJERO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46300.70883101852</v>
      </c>
      <c r="J241" s="78">
        <f>IF($K241="","",IF(INDEX('Detalle individual'!$F:$F,$K241)="Completado",INDEX('Detalle individual'!$J:$J,$K241),""))</f>
        <v>60</v>
      </c>
      <c r="K241">
        <f>IFERROR(MOD(SMALL('Cálculos'!$Z$5:$Z$1000,233),10000),"")</f>
        <v>36</v>
      </c>
    </row>
    <row r="242">
      <c r="B242" s="63">
        <f>IF($K242="","",234)</f>
        <v>234</v>
      </c>
      <c r="C242" s="63" t="str">
        <f>IF($K242="","",INDEX('Detalle individual'!$A:$A,$K242))</f>
        <v>830</v>
      </c>
      <c r="D242" s="64" t="str">
        <f>IF($K242="","",TRIM(INDEX('Detalle individual'!$B:$B,$K242)))</f>
        <v>GERMAN ALBERTO CAMPOS TORRES</v>
      </c>
      <c r="E242" s="64" t="str">
        <f>IF($K242="","",TRIM(INDEX('Detalle individual'!$E:$E,$K242)))</f>
        <v>TECNICO EN MANTENIMIENTO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46307.402291666665</v>
      </c>
      <c r="J242" s="78">
        <f>IF($K242="","",IF(INDEX('Detalle individual'!$F:$F,$K242)="Completado",INDEX('Detalle individual'!$J:$J,$K242),""))</f>
        <v>100</v>
      </c>
      <c r="K242">
        <f>IFERROR(MOD(SMALL('Cálculos'!$Z$5:$Z$1000,234),10000),"")</f>
        <v>37</v>
      </c>
    </row>
    <row r="243">
      <c r="B243" s="63">
        <f>IF($K243="","",235)</f>
        <v>235</v>
      </c>
      <c r="C243" s="63" t="str">
        <f>IF($K243="","",INDEX('Detalle individual'!$A:$A,$K243))</f>
        <v>852</v>
      </c>
      <c r="D243" s="64" t="str">
        <f>IF($K243="","",TRIM(INDEX('Detalle individual'!$B:$B,$K243)))</f>
        <v>JONATHAN ENRIQUE AQUINO SANCHEZ</v>
      </c>
      <c r="E243" s="64" t="str">
        <f>IF($K243="","",TRIM(INDEX('Detalle individual'!$E:$E,$K243)))</f>
        <v>SERVICIOS VARIOS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46300.53921296296</v>
      </c>
      <c r="J243" s="78">
        <f>IF($K243="","",IF(INDEX('Detalle individual'!$F:$F,$K243)="Completado",INDEX('Detalle individual'!$J:$J,$K243),""))</f>
        <v>90</v>
      </c>
      <c r="K243">
        <f>IFERROR(MOD(SMALL('Cálculos'!$Z$5:$Z$1000,235),10000),"")</f>
        <v>38</v>
      </c>
    </row>
    <row r="244">
      <c r="B244" s="63">
        <f>IF($K244="","",236)</f>
        <v>236</v>
      </c>
      <c r="C244" s="63" t="str">
        <f>IF($K244="","",INDEX('Detalle individual'!$A:$A,$K244))</f>
        <v>875</v>
      </c>
      <c r="D244" s="64" t="str">
        <f>IF($K244="","",TRIM(INDEX('Detalle individual'!$B:$B,$K244)))</f>
        <v>BELLY EMERSON RIVERA ASCENCIO</v>
      </c>
      <c r="E244" s="64" t="str">
        <f>IF($K244="","",TRIM(INDEX('Detalle individual'!$E:$E,$K244)))</f>
        <v>SERVICIOS VARIOS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46298.41583333333</v>
      </c>
      <c r="J244" s="78">
        <f>IF($K244="","",IF(INDEX('Detalle individual'!$F:$F,$K244)="Completado",INDEX('Detalle individual'!$J:$J,$K244),""))</f>
        <v>100</v>
      </c>
      <c r="K244">
        <f>IFERROR(MOD(SMALL('Cálculos'!$Z$5:$Z$1000,236),10000),"")</f>
        <v>39</v>
      </c>
    </row>
    <row r="245">
      <c r="B245" s="63">
        <f>IF($K245="","",237)</f>
        <v>237</v>
      </c>
      <c r="C245" s="63" t="str">
        <f>IF($K245="","",INDEX('Detalle individual'!$A:$A,$K245))</f>
        <v>926</v>
      </c>
      <c r="D245" s="64" t="str">
        <f>IF($K245="","",TRIM(INDEX('Detalle individual'!$B:$B,$K245)))</f>
        <v>ANDRES VLADIMIR LUNA GUEVARA</v>
      </c>
      <c r="E245" s="64" t="str">
        <f>IF($K245="","",TRIM(INDEX('Detalle individual'!$E:$E,$K245)))</f>
        <v>MENSAJERO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46300.60789351852</v>
      </c>
      <c r="J245" s="78">
        <f>IF($K245="","",IF(INDEX('Detalle individual'!$F:$F,$K245)="Completado",INDEX('Detalle individual'!$J:$J,$K245),""))</f>
        <v>90</v>
      </c>
      <c r="K245">
        <f>IFERROR(MOD(SMALL('Cálculos'!$Z$5:$Z$1000,237),10000),"")</f>
        <v>40</v>
      </c>
    </row>
    <row r="246">
      <c r="B246" s="63">
        <f>IF($K246="","",238)</f>
        <v>238</v>
      </c>
      <c r="C246" s="63" t="str">
        <f>IF($K246="","",INDEX('Detalle individual'!$A:$A,$K246))</f>
        <v>959</v>
      </c>
      <c r="D246" s="64" t="str">
        <f>IF($K246="","",TRIM(INDEX('Detalle individual'!$B:$B,$K246)))</f>
        <v>XIOMARA JEANNETTE ESCOBAR PORTILLO</v>
      </c>
      <c r="E246" s="64" t="str">
        <f>IF($K246="","",TRIM(INDEX('Detalle individual'!$E:$E,$K246)))</f>
        <v>SERVICIOS VARIOS</v>
      </c>
      <c r="F246" s="64" t="str">
        <f>IF($K246="","",TRIM(INDEX('Detalle individual'!$C:$C,$K246)))</f>
        <v>DEPARTAMENTO DE SERVICIOS GENERALES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46297.78946759259</v>
      </c>
      <c r="J246" s="78">
        <f>IF($K246="","",IF(INDEX('Detalle individual'!$F:$F,$K246)="Completado",INDEX('Detalle individual'!$J:$J,$K246),""))</f>
        <v>90</v>
      </c>
      <c r="K246">
        <f>IFERROR(MOD(SMALL('Cálculos'!$Z$5:$Z$1000,238),10000),"")</f>
        <v>41</v>
      </c>
    </row>
    <row r="247">
      <c r="B247" s="63">
        <f>IF($K247="","",239)</f>
        <v>239</v>
      </c>
      <c r="C247" s="63" t="str">
        <f>IF($K247="","",INDEX('Detalle individual'!$A:$A,$K247))</f>
        <v>972</v>
      </c>
      <c r="D247" s="64" t="str">
        <f>IF($K247="","",TRIM(INDEX('Detalle individual'!$B:$B,$K247)))</f>
        <v>GEOVANNY GABRIEL RODRIGUEZ SOLORZANO</v>
      </c>
      <c r="E247" s="64" t="str">
        <f>IF($K247="","",TRIM(INDEX('Detalle individual'!$E:$E,$K247)))</f>
        <v>AUXILIAR DE ACTIVO FIJO Y ALMACEN</v>
      </c>
      <c r="F247" s="64" t="str">
        <f>IF($K247="","",TRIM(INDEX('Detalle individual'!$C:$C,$K247)))</f>
        <v>DEPARTAMENTO DE SERVICIOS GENERALES</v>
      </c>
      <c r="G247" s="64" t="str">
        <f>IF($K247="","",INDEX('Detalle individual'!$D:$D,$K247))</f>
        <v>Gerencia Administrativa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46304.520787037036</v>
      </c>
      <c r="J247" s="78">
        <f>IF($K247="","",IF(INDEX('Detalle individual'!$F:$F,$K247)="Completado",INDEX('Detalle individual'!$J:$J,$K247),""))</f>
        <v>90</v>
      </c>
      <c r="K247">
        <f>IFERROR(MOD(SMALL('Cálculos'!$Z$5:$Z$1000,239),10000),"")</f>
        <v>42</v>
      </c>
    </row>
    <row r="248">
      <c r="B248" s="63">
        <f>IF($K248="","",240)</f>
        <v>240</v>
      </c>
      <c r="C248" s="63" t="str">
        <f>IF($K248="","",INDEX('Detalle individual'!$A:$A,$K248))</f>
        <v>34</v>
      </c>
      <c r="D248" s="64" t="str">
        <f>IF($K248="","",TRIM(INDEX('Detalle individual'!$B:$B,$K248)))</f>
        <v>YENIS MARILU ESCOBAR SORTO</v>
      </c>
      <c r="E248" s="64" t="str">
        <f>IF($K248="","",TRIM(INDEX('Detalle individual'!$E:$E,$K248)))</f>
        <v>EJECUTIVO DE SOLUCIONES FINANCIERAS</v>
      </c>
      <c r="F248" s="64" t="str">
        <f>IF($K248="","",TRIM(INDEX('Detalle individual'!$C:$C,$K248)))</f>
        <v>DEPARTAMENTO DE SOLUCIONES FINANCIERAS</v>
      </c>
      <c r="G248" s="64" t="str">
        <f>IF($K248="","",INDEX('Detalle individual'!$D:$D,$K248))</f>
        <v>Gerencia de Operaciones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46309.354155092595</v>
      </c>
      <c r="J248" s="78">
        <f>IF($K248="","",IF(INDEX('Detalle individual'!$F:$F,$K248)="Completado",INDEX('Detalle individual'!$J:$J,$K248),""))</f>
        <v>70</v>
      </c>
      <c r="K248">
        <f>IFERROR(MOD(SMALL('Cálculos'!$Z$5:$Z$1000,240),10000),"")</f>
        <v>59</v>
      </c>
    </row>
    <row r="249">
      <c r="B249" s="63">
        <f>IF($K249="","",241)</f>
        <v>241</v>
      </c>
      <c r="C249" s="63" t="str">
        <f>IF($K249="","",INDEX('Detalle individual'!$A:$A,$K249))</f>
        <v>182</v>
      </c>
      <c r="D249" s="64" t="str">
        <f>IF($K249="","",TRIM(INDEX('Detalle individual'!$B:$B,$K249)))</f>
        <v>ROSA ELIZABETH RIVAS AGUILUZ</v>
      </c>
      <c r="E249" s="64" t="str">
        <f>IF($K249="","",TRIM(INDEX('Detalle individual'!$E:$E,$K249)))</f>
        <v>EJECUTIVO DE SOLUCIONES FINANCIERAS</v>
      </c>
      <c r="F249" s="64" t="str">
        <f>IF($K249="","",TRIM(INDEX('Detalle individual'!$C:$C,$K249)))</f>
        <v>DEPARTAMENTO DE SOLUCIONES FINANCIERAS</v>
      </c>
      <c r="G249" s="64" t="str">
        <f>IF($K249="","",INDEX('Detalle individual'!$D:$D,$K249))</f>
        <v>Gerencia de Operaciones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46307.56962962963</v>
      </c>
      <c r="J249" s="78">
        <f>IF($K249="","",IF(INDEX('Detalle individual'!$F:$F,$K249)="Completado",INDEX('Detalle individual'!$J:$J,$K249),""))</f>
        <v>70</v>
      </c>
      <c r="K249">
        <f>IFERROR(MOD(SMALL('Cálculos'!$Z$5:$Z$1000,241),10000),"")</f>
        <v>60</v>
      </c>
    </row>
    <row r="250">
      <c r="B250" s="63">
        <f>IF($K250="","",242)</f>
        <v>242</v>
      </c>
      <c r="C250" s="63" t="str">
        <f>IF($K250="","",INDEX('Detalle individual'!$A:$A,$K250))</f>
        <v>263</v>
      </c>
      <c r="D250" s="64" t="str">
        <f>IF($K250="","",TRIM(INDEX('Detalle individual'!$B:$B,$K250)))</f>
        <v>XOCHILT VERONICA NOUBLEAU</v>
      </c>
      <c r="E250" s="64" t="str">
        <f>IF($K250="","",TRIM(INDEX('Detalle individual'!$E:$E,$K250)))</f>
        <v>EJECUTIVO DE SOLUCIONES FINANCIERAS</v>
      </c>
      <c r="F250" s="64" t="str">
        <f>IF($K250="","",TRIM(INDEX('Detalle individual'!$C:$C,$K250)))</f>
        <v>DEPARTAMENTO DE SOLUCIONES FINANCIERAS</v>
      </c>
      <c r="G250" s="64" t="str">
        <f>IF($K250="","",INDEX('Detalle individual'!$D:$D,$K250))</f>
        <v>Gerencia de Operaciones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46307.60011574074</v>
      </c>
      <c r="J250" s="78">
        <f>IF($K250="","",IF(INDEX('Detalle individual'!$F:$F,$K250)="Completado",INDEX('Detalle individual'!$J:$J,$K250),""))</f>
        <v>100</v>
      </c>
      <c r="K250">
        <f>IFERROR(MOD(SMALL('Cálculos'!$Z$5:$Z$1000,242),10000),"")</f>
        <v>61</v>
      </c>
    </row>
    <row r="251">
      <c r="B251" s="63">
        <f>IF($K251="","",243)</f>
        <v>243</v>
      </c>
      <c r="C251" s="63" t="str">
        <f>IF($K251="","",INDEX('Detalle individual'!$A:$A,$K251))</f>
        <v>289</v>
      </c>
      <c r="D251" s="64" t="str">
        <f>IF($K251="","",TRIM(INDEX('Detalle individual'!$B:$B,$K251)))</f>
        <v>ANA SILVIA MARTINEZ RODRIGUEZ</v>
      </c>
      <c r="E251" s="64" t="str">
        <f>IF($K251="","",TRIM(INDEX('Detalle individual'!$E:$E,$K251)))</f>
        <v>EJECUTIVO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46305.41322916667</v>
      </c>
      <c r="J251" s="78">
        <f>IF($K251="","",IF(INDEX('Detalle individual'!$F:$F,$K251)="Completado",INDEX('Detalle individual'!$J:$J,$K251),""))</f>
        <v>100</v>
      </c>
      <c r="K251">
        <f>IFERROR(MOD(SMALL('Cálculos'!$Z$5:$Z$1000,243),10000),"")</f>
        <v>62</v>
      </c>
    </row>
    <row r="252">
      <c r="B252" s="63">
        <f>IF($K252="","",244)</f>
        <v>244</v>
      </c>
      <c r="C252" s="63" t="str">
        <f>IF($K252="","",INDEX('Detalle individual'!$A:$A,$K252))</f>
        <v>298</v>
      </c>
      <c r="D252" s="64" t="str">
        <f>IF($K252="","",TRIM(INDEX('Detalle individual'!$B:$B,$K252)))</f>
        <v>SANDRA GUADALUPE ROQUE SANCHEZ</v>
      </c>
      <c r="E252" s="64" t="str">
        <f>IF($K252="","",TRIM(INDEX('Detalle individual'!$E:$E,$K252)))</f>
        <v>EJECUTIVO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46307.58479166667</v>
      </c>
      <c r="J252" s="78">
        <f>IF($K252="","",IF(INDEX('Detalle individual'!$F:$F,$K252)="Completado",INDEX('Detalle individual'!$J:$J,$K252),""))</f>
        <v>80</v>
      </c>
      <c r="K252">
        <f>IFERROR(MOD(SMALL('Cálculos'!$Z$5:$Z$1000,244),10000),"")</f>
        <v>63</v>
      </c>
    </row>
    <row r="253">
      <c r="B253" s="63">
        <f>IF($K253="","",245)</f>
        <v>245</v>
      </c>
      <c r="C253" s="63" t="str">
        <f>IF($K253="","",INDEX('Detalle individual'!$A:$A,$K253))</f>
        <v>439</v>
      </c>
      <c r="D253" s="64" t="str">
        <f>IF($K253="","",TRIM(INDEX('Detalle individual'!$B:$B,$K253)))</f>
        <v>ILIANA DESIREE ALFARO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46304.38547453703</v>
      </c>
      <c r="J253" s="78">
        <f>IF($K253="","",IF(INDEX('Detalle individual'!$F:$F,$K253)="Completado",INDEX('Detalle individual'!$J:$J,$K253),""))</f>
        <v>80</v>
      </c>
      <c r="K253">
        <f>IFERROR(MOD(SMALL('Cálculos'!$Z$5:$Z$1000,245),10000),"")</f>
        <v>64</v>
      </c>
    </row>
    <row r="254">
      <c r="B254" s="63">
        <f>IF($K254="","",246)</f>
        <v>246</v>
      </c>
      <c r="C254" s="63" t="str">
        <f>IF($K254="","",INDEX('Detalle individual'!$A:$A,$K254))</f>
        <v>472</v>
      </c>
      <c r="D254" s="64" t="str">
        <f>IF($K254="","",TRIM(INDEX('Detalle individual'!$B:$B,$K254)))</f>
        <v>CARLOS ROBERTO AGUILAR SANTOS</v>
      </c>
      <c r="E254" s="64" t="str">
        <f>IF($K254="","",TRIM(INDEX('Detalle individual'!$E:$E,$K254)))</f>
        <v>JEFE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46304.37534722222</v>
      </c>
      <c r="J254" s="78">
        <f>IF($K254="","",IF(INDEX('Detalle individual'!$F:$F,$K254)="Completado",INDEX('Detalle individual'!$J:$J,$K254),""))</f>
        <v>100</v>
      </c>
      <c r="K254">
        <f>IFERROR(MOD(SMALL('Cálculos'!$Z$5:$Z$1000,246),10000),"")</f>
        <v>65</v>
      </c>
    </row>
    <row r="255">
      <c r="B255" s="63">
        <f>IF($K255="","",247)</f>
        <v>247</v>
      </c>
      <c r="C255" s="63" t="str">
        <f>IF($K255="","",INDEX('Detalle individual'!$A:$A,$K255))</f>
        <v>528</v>
      </c>
      <c r="D255" s="64" t="str">
        <f>IF($K255="","",TRIM(INDEX('Detalle individual'!$B:$B,$K255)))</f>
        <v>ANA GRISELDA SIGÜENZA MARTINEZ</v>
      </c>
      <c r="E255" s="64" t="str">
        <f>IF($K255="","",TRIM(INDEX('Detalle individual'!$E:$E,$K255)))</f>
        <v>AUXILIAR DE DEPARTAMENTO DE SOLUCIONES FINANCIERAS</v>
      </c>
      <c r="F255" s="64" t="str">
        <f>IF($K255="","",TRIM(INDEX('Detalle individual'!$C:$C,$K255)))</f>
        <v>DEPARTAMENTO DE SOLUCIONES FINANCIERAS</v>
      </c>
      <c r="G255" s="64" t="str">
        <f>IF($K255="","",INDEX('Detalle individual'!$D:$D,$K255))</f>
        <v>Gerencia de Operaciones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46305.54105324074</v>
      </c>
      <c r="J255" s="78">
        <f>IF($K255="","",IF(INDEX('Detalle individual'!$F:$F,$K255)="Completado",INDEX('Detalle individual'!$J:$J,$K255),""))</f>
        <v>100</v>
      </c>
      <c r="K255">
        <f>IFERROR(MOD(SMALL('Cálculos'!$Z$5:$Z$1000,247),10000),"")</f>
        <v>66</v>
      </c>
    </row>
    <row r="256">
      <c r="B256" s="63">
        <f>IF($K256="","",248)</f>
        <v>248</v>
      </c>
      <c r="C256" s="63" t="str">
        <f>IF($K256="","",INDEX('Detalle individual'!$A:$A,$K256))</f>
        <v>573</v>
      </c>
      <c r="D256" s="64" t="str">
        <f>IF($K256="","",TRIM(INDEX('Detalle individual'!$B:$B,$K256)))</f>
        <v>JUAN PABLO HENRIQUEZ RAMIREZ</v>
      </c>
      <c r="E256" s="64" t="str">
        <f>IF($K256="","",TRIM(INDEX('Detalle individual'!$E:$E,$K256)))</f>
        <v>EJECUTIVO DE SOLUCIONES FINANCIERAS</v>
      </c>
      <c r="F256" s="64" t="str">
        <f>IF($K256="","",TRIM(INDEX('Detalle individual'!$C:$C,$K256)))</f>
        <v>DEPARTAMENTO DE SOLUCIONES FINANCIERAS</v>
      </c>
      <c r="G256" s="64" t="str">
        <f>IF($K256="","",INDEX('Detalle individual'!$D:$D,$K256))</f>
        <v>Gerencia de Operaciones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46309.38841435185</v>
      </c>
      <c r="J256" s="78">
        <f>IF($K256="","",IF(INDEX('Detalle individual'!$F:$F,$K256)="Completado",INDEX('Detalle individual'!$J:$J,$K256),""))</f>
        <v>90</v>
      </c>
      <c r="K256">
        <f>IFERROR(MOD(SMALL('Cálculos'!$Z$5:$Z$1000,248),10000),"")</f>
        <v>67</v>
      </c>
    </row>
    <row r="257">
      <c r="B257" s="63">
        <f>IF($K257="","",249)</f>
        <v>249</v>
      </c>
      <c r="C257" s="63" t="str">
        <f>IF($K257="","",INDEX('Detalle individual'!$A:$A,$K257))</f>
        <v>948</v>
      </c>
      <c r="D257" s="64" t="str">
        <f>IF($K257="","",TRIM(INDEX('Detalle individual'!$B:$B,$K257)))</f>
        <v>NELSON KILDER QUIJADA ECHEVERRIA</v>
      </c>
      <c r="E257" s="64" t="str">
        <f>IF($K257="","",TRIM(INDEX('Detalle individual'!$E:$E,$K257)))</f>
        <v>ASISTENTE TECNICO DE TALENTO HUMANO</v>
      </c>
      <c r="F257" s="64" t="str">
        <f>IF($K257="","",TRIM(INDEX('Detalle individual'!$C:$C,$K257)))</f>
        <v>DEPARTAMENTO DE TALENTO HUMANO</v>
      </c>
      <c r="G257" s="64" t="str">
        <f>IF($K257="","",INDEX('Detalle individual'!$D:$D,$K257))</f>
        <v>Gerencia Administrativa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46304.406006944446</v>
      </c>
      <c r="J257" s="78">
        <f>IF($K257="","",IF(INDEX('Detalle individual'!$F:$F,$K257)="Completado",INDEX('Detalle individual'!$J:$J,$K257),""))</f>
        <v>100</v>
      </c>
      <c r="K257">
        <f>IFERROR(MOD(SMALL('Cálculos'!$Z$5:$Z$1000,249),10000),"")</f>
        <v>50</v>
      </c>
    </row>
    <row r="258">
      <c r="B258" s="63">
        <f>IF($K258="","",250)</f>
        <v>250</v>
      </c>
      <c r="C258" s="63" t="str">
        <f>IF($K258="","",INDEX('Detalle individual'!$A:$A,$K258))</f>
        <v>962</v>
      </c>
      <c r="D258" s="64" t="str">
        <f>IF($K258="","",TRIM(INDEX('Detalle individual'!$B:$B,$K258)))</f>
        <v>HELEN GLORIBEL PLATERO SANCHEZ</v>
      </c>
      <c r="E258" s="64" t="str">
        <f>IF($K258="","",TRIM(INDEX('Detalle individual'!$E:$E,$K258)))</f>
        <v>ANALISTA DE DESARROLLO ORGANIZACIONAL</v>
      </c>
      <c r="F258" s="64" t="str">
        <f>IF($K258="","",TRIM(INDEX('Detalle individual'!$C:$C,$K258)))</f>
        <v>DEPARTAMENTO DE TALENTO HUMANO</v>
      </c>
      <c r="G258" s="64" t="str">
        <f>IF($K258="","",INDEX('Detalle individual'!$D:$D,$K258))</f>
        <v>Gerencia Administrativa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46304.52142361111</v>
      </c>
      <c r="J258" s="78">
        <f>IF($K258="","",IF(INDEX('Detalle individual'!$F:$F,$K258)="Completado",INDEX('Detalle individual'!$J:$J,$K258),""))</f>
        <v>90</v>
      </c>
      <c r="K258">
        <f>IFERROR(MOD(SMALL('Cálculos'!$Z$5:$Z$1000,250),10000),"")</f>
        <v>51</v>
      </c>
    </row>
    <row r="259">
      <c r="B259" s="63">
        <f>IF($K259="","",251)</f>
        <v>251</v>
      </c>
      <c r="C259" s="63" t="str">
        <f>IF($K259="","",INDEX('Detalle individual'!$A:$A,$K259))</f>
        <v>459</v>
      </c>
      <c r="D259" s="64" t="str">
        <f>IF($K259="","",TRIM(INDEX('Detalle individual'!$B:$B,$K259)))</f>
        <v>LUIS ALEXANDER RAMIREZ MONTALVO</v>
      </c>
      <c r="E259" s="64" t="str">
        <f>IF($K259="","",TRIM(INDEX('Detalle individual'!$E:$E,$K259)))</f>
        <v>ASISTENTE TECNICO DE EMISION DE TARJETA</v>
      </c>
      <c r="F259" s="64" t="str">
        <f>IF($K259="","",TRIM(INDEX('Detalle individual'!$C:$C,$K259)))</f>
        <v>DEPARTAMENTO DE TARJETA DE CREDITO Y DEBITO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46304.57939814815</v>
      </c>
      <c r="J259" s="78">
        <f>IF($K259="","",IF(INDEX('Detalle individual'!$F:$F,$K259)="Completado",INDEX('Detalle individual'!$J:$J,$K259),""))</f>
        <v>95</v>
      </c>
      <c r="K259">
        <f>IFERROR(MOD(SMALL('Cálculos'!$Z$5:$Z$1000,251),10000),"")</f>
        <v>71</v>
      </c>
    </row>
    <row r="260">
      <c r="B260" s="63">
        <f>IF($K260="","",252)</f>
        <v>252</v>
      </c>
      <c r="C260" s="63" t="str">
        <f>IF($K260="","",INDEX('Detalle individual'!$A:$A,$K260))</f>
        <v>725</v>
      </c>
      <c r="D260" s="64" t="str">
        <f>IF($K260="","",TRIM(INDEX('Detalle individual'!$B:$B,$K260)))</f>
        <v>ANA BEATRIZ QUINTEROS AVELAR</v>
      </c>
      <c r="E260" s="64" t="str">
        <f>IF($K260="","",TRIM(INDEX('Detalle individual'!$E:$E,$K260)))</f>
        <v>ASISTENTE TECNICO DE OPERACIONES DE TARJETAS</v>
      </c>
      <c r="F260" s="64" t="str">
        <f>IF($K260="","",TRIM(INDEX('Detalle individual'!$C:$C,$K260)))</f>
        <v>DEPARTAMENTO DE TARJETA DE CREDITO Y DEBITO</v>
      </c>
      <c r="G260" s="64" t="str">
        <f>IF($K260="","",INDEX('Detalle individual'!$D:$D,$K260))</f>
        <v>Gerencia de Operaciones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46309.65164351852</v>
      </c>
      <c r="J260" s="78">
        <f>IF($K260="","",IF(INDEX('Detalle individual'!$F:$F,$K260)="Completado",INDEX('Detalle individual'!$J:$J,$K260),""))</f>
        <v>100</v>
      </c>
      <c r="K260">
        <f>IFERROR(MOD(SMALL('Cálculos'!$Z$5:$Z$1000,252),10000),"")</f>
        <v>72</v>
      </c>
    </row>
    <row r="261">
      <c r="B261" s="63">
        <f>IF($K261="","",253)</f>
        <v>253</v>
      </c>
      <c r="C261" s="63" t="str">
        <f>IF($K261="","",INDEX('Detalle individual'!$A:$A,$K261))</f>
        <v>952</v>
      </c>
      <c r="D261" s="64" t="str">
        <f>IF($K261="","",TRIM(INDEX('Detalle individual'!$B:$B,$K261)))</f>
        <v>ANDREA CAROLINA RUMUALDO MARTINEZ</v>
      </c>
      <c r="E261" s="64" t="str">
        <f>IF($K261="","",TRIM(INDEX('Detalle individual'!$E:$E,$K261)))</f>
        <v>AUXILIAR DE CONTROL DE CALIDAD</v>
      </c>
      <c r="F261" s="64" t="str">
        <f>IF($K261="","",TRIM(INDEX('Detalle individual'!$C:$C,$K261)))</f>
        <v>DEPARTAMENTO DE TARJETA DE CREDITO Y DEBITO</v>
      </c>
      <c r="G261" s="64" t="str">
        <f>IF($K261="","",INDEX('Detalle individual'!$D:$D,$K261))</f>
        <v>Gerencia de Operaciones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46296.65724537037</v>
      </c>
      <c r="J261" s="78">
        <f>IF($K261="","",IF(INDEX('Detalle individual'!$F:$F,$K261)="Completado",INDEX('Detalle individual'!$J:$J,$K261),""))</f>
        <v>100</v>
      </c>
      <c r="K261">
        <f>IFERROR(MOD(SMALL('Cálculos'!$Z$5:$Z$1000,253),10000),"")</f>
        <v>73</v>
      </c>
    </row>
    <row r="262">
      <c r="B262" s="63">
        <f>IF($K262="","",254)</f>
        <v>254</v>
      </c>
      <c r="C262" s="63" t="str">
        <f>IF($K262="","",INDEX('Detalle individual'!$A:$A,$K262))</f>
        <v>980</v>
      </c>
      <c r="D262" s="64" t="str">
        <f>IF($K262="","",TRIM(INDEX('Detalle individual'!$B:$B,$K262)))</f>
        <v>FATIMA ELIZABETH LEMUS RODRIGUEZ</v>
      </c>
      <c r="E262" s="64" t="str">
        <f>IF($K262="","",TRIM(INDEX('Detalle individual'!$E:$E,$K262)))</f>
        <v>AUXILIAR DE EMISION DE TARJETA</v>
      </c>
      <c r="F262" s="64" t="str">
        <f>IF($K262="","",TRIM(INDEX('Detalle individual'!$C:$C,$K262)))</f>
        <v>DEPARTAMENTO DE TARJETA DE CREDITO Y DEBITO</v>
      </c>
      <c r="G262" s="64" t="str">
        <f>IF($K262="","",INDEX('Detalle individual'!$D:$D,$K262))</f>
        <v>Gerencia de Operaciones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46296.71346064815</v>
      </c>
      <c r="J262" s="78">
        <f>IF($K262="","",IF(INDEX('Detalle individual'!$F:$F,$K262)="Completado",INDEX('Detalle individual'!$J:$J,$K262),""))</f>
        <v>100</v>
      </c>
      <c r="K262">
        <f>IFERROR(MOD(SMALL('Cálculos'!$Z$5:$Z$1000,254),10000),"")</f>
        <v>74</v>
      </c>
    </row>
    <row r="263">
      <c r="B263" s="63">
        <f>IF($K263="","",255)</f>
        <v>255</v>
      </c>
      <c r="C263" s="63" t="str">
        <f>IF($K263="","",INDEX('Detalle individual'!$A:$A,$K263))</f>
        <v>442</v>
      </c>
      <c r="D263" s="64" t="str">
        <f>IF($K263="","",TRIM(INDEX('Detalle individual'!$B:$B,$K263)))</f>
        <v>JUAN JOSE CAÑAS COMAYAGUA</v>
      </c>
      <c r="E263" s="64" t="str">
        <f>IF($K263="","",TRIM(INDEX('Detalle individual'!$E:$E,$K263)))</f>
        <v>JEFE DE DEPARTAMENTO LEGAL</v>
      </c>
      <c r="F263" s="64" t="str">
        <f>IF($K263="","",TRIM(INDEX('Detalle individual'!$C:$C,$K263)))</f>
        <v>DEPARTAMENTO LEGAL</v>
      </c>
      <c r="G263" s="64" t="str">
        <f>IF($K263="","",INDEX('Detalle individual'!$D:$D,$K263))</f>
        <v>Gerencia Legal y Cumplimiento Normativo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46306.60649305556</v>
      </c>
      <c r="J263" s="78">
        <f>IF($K263="","",IF(INDEX('Detalle individual'!$F:$F,$K263)="Completado",INDEX('Detalle individual'!$J:$J,$K263),""))</f>
        <v>100</v>
      </c>
      <c r="K263">
        <f>IFERROR(MOD(SMALL('Cálculos'!$Z$5:$Z$1000,255),10000),"")</f>
        <v>288</v>
      </c>
    </row>
    <row r="264">
      <c r="B264" s="63">
        <f>IF($K264="","",256)</f>
        <v>256</v>
      </c>
      <c r="C264" s="63" t="str">
        <f>IF($K264="","",INDEX('Detalle individual'!$A:$A,$K264))</f>
        <v>592</v>
      </c>
      <c r="D264" s="64" t="str">
        <f>IF($K264="","",TRIM(INDEX('Detalle individual'!$B:$B,$K264)))</f>
        <v>CARLOS RENE CASTILLO GAMEZ</v>
      </c>
      <c r="E264" s="64" t="str">
        <f>IF($K264="","",TRIM(INDEX('Detalle individual'!$E:$E,$K264)))</f>
        <v>ASISTENTE TECNICO LEGAL</v>
      </c>
      <c r="F264" s="64" t="str">
        <f>IF($K264="","",TRIM(INDEX('Detalle individual'!$C:$C,$K264)))</f>
        <v>DEPARTAMENTO LEGAL</v>
      </c>
      <c r="G264" s="64" t="str">
        <f>IF($K264="","",INDEX('Detalle individual'!$D:$D,$K264))</f>
        <v>Gerencia Legal y Cumplimiento Normativo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46308.62107638889</v>
      </c>
      <c r="J264" s="78">
        <f>IF($K264="","",IF(INDEX('Detalle individual'!$F:$F,$K264)="Completado",INDEX('Detalle individual'!$J:$J,$K264),""))</f>
        <v>100</v>
      </c>
      <c r="K264">
        <f>IFERROR(MOD(SMALL('Cálculos'!$Z$5:$Z$1000,256),10000),"")</f>
        <v>289</v>
      </c>
    </row>
    <row r="265">
      <c r="B265" s="63">
        <f>IF($K265="","",257)</f>
        <v>257</v>
      </c>
      <c r="C265" s="63" t="str">
        <f>IF($K265="","",INDEX('Detalle individual'!$A:$A,$K265))</f>
        <v>814</v>
      </c>
      <c r="D265" s="64" t="str">
        <f>IF($K265="","",TRIM(INDEX('Detalle individual'!$B:$B,$K265)))</f>
        <v>ANDREA RAQUEL MONTOYA ALARCON</v>
      </c>
      <c r="E265" s="64" t="str">
        <f>IF($K265="","",TRIM(INDEX('Detalle individual'!$E:$E,$K265)))</f>
        <v>AUXILIAR JURIDICO DE ESCRITURACION</v>
      </c>
      <c r="F265" s="64" t="str">
        <f>IF($K265="","",TRIM(INDEX('Detalle individual'!$C:$C,$K265)))</f>
        <v>DEPARTAMENTO LEGAL</v>
      </c>
      <c r="G265" s="64" t="str">
        <f>IF($K265="","",INDEX('Detalle individual'!$D:$D,$K265))</f>
        <v>Gerencia Legal y Cumplimiento Normativo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46307.421319444446</v>
      </c>
      <c r="J265" s="78">
        <f>IF($K265="","",IF(INDEX('Detalle individual'!$F:$F,$K265)="Completado",INDEX('Detalle individual'!$J:$J,$K265),""))</f>
        <v>100</v>
      </c>
      <c r="K265">
        <f>IFERROR(MOD(SMALL('Cálculos'!$Z$5:$Z$1000,257),10000),"")</f>
        <v>290</v>
      </c>
    </row>
    <row r="266">
      <c r="B266" s="63">
        <f>IF($K266="","",258)</f>
        <v>258</v>
      </c>
      <c r="C266" s="63" t="str">
        <f>IF($K266="","",INDEX('Detalle individual'!$A:$A,$K266))</f>
        <v>831</v>
      </c>
      <c r="D266" s="64" t="str">
        <f>IF($K266="","",TRIM(INDEX('Detalle individual'!$B:$B,$K266)))</f>
        <v>NICOLLE ALEXANDRA MARINERO GALLARDO</v>
      </c>
      <c r="E266" s="64" t="str">
        <f>IF($K266="","",TRIM(INDEX('Detalle individual'!$E:$E,$K266)))</f>
        <v>AUXILIAR JURIDICO NOTARIAL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46307.4125462963</v>
      </c>
      <c r="J266" s="78">
        <f>IF($K266="","",IF(INDEX('Detalle individual'!$F:$F,$K266)="Completado",INDEX('Detalle individual'!$J:$J,$K266),""))</f>
        <v>90</v>
      </c>
      <c r="K266">
        <f>IFERROR(MOD(SMALL('Cálculos'!$Z$5:$Z$1000,258),10000),"")</f>
        <v>291</v>
      </c>
    </row>
    <row r="267">
      <c r="B267" s="63">
        <f>IF($K267="","",259)</f>
        <v>259</v>
      </c>
      <c r="C267" s="63" t="str">
        <f>IF($K267="","",INDEX('Detalle individual'!$A:$A,$K267))</f>
        <v>843</v>
      </c>
      <c r="D267" s="64" t="str">
        <f>IF($K267="","",TRIM(INDEX('Detalle individual'!$B:$B,$K267)))</f>
        <v>DANIELA MARIA FUENTES MEDINA</v>
      </c>
      <c r="E267" s="64" t="str">
        <f>IF($K267="","",TRIM(INDEX('Detalle individual'!$E:$E,$K267)))</f>
        <v>AUXILIAR JURIDICO DE CONTRATACION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46307.39480324074</v>
      </c>
      <c r="J267" s="78">
        <f>IF($K267="","",IF(INDEX('Detalle individual'!$F:$F,$K267)="Completado",INDEX('Detalle individual'!$J:$J,$K267),""))</f>
        <v>100</v>
      </c>
      <c r="K267">
        <f>IFERROR(MOD(SMALL('Cálculos'!$Z$5:$Z$1000,259),10000),"")</f>
        <v>292</v>
      </c>
    </row>
    <row r="268">
      <c r="B268" s="63">
        <f>IF($K268="","",260)</f>
        <v>260</v>
      </c>
      <c r="C268" s="63" t="str">
        <f>IF($K268="","",INDEX('Detalle individual'!$A:$A,$K268))</f>
        <v>893</v>
      </c>
      <c r="D268" s="64" t="str">
        <f>IF($K268="","",TRIM(INDEX('Detalle individual'!$B:$B,$K268)))</f>
        <v>ALEJANDRA MARIA GONZALEZ BENAVIDES</v>
      </c>
      <c r="E268" s="64" t="str">
        <f>IF($K268="","",TRIM(INDEX('Detalle individual'!$E:$E,$K268)))</f>
        <v>AUXILIAR JURIDICO JUDICIAL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46304.703680555554</v>
      </c>
      <c r="J268" s="78">
        <f>IF($K268="","",IF(INDEX('Detalle individual'!$F:$F,$K268)="Completado",INDEX('Detalle individual'!$J:$J,$K268),""))</f>
        <v>100</v>
      </c>
      <c r="K268">
        <f>IFERROR(MOD(SMALL('Cálculos'!$Z$5:$Z$1000,260),10000),"")</f>
        <v>293</v>
      </c>
    </row>
    <row r="269">
      <c r="B269" s="63">
        <f>IF($K269="","",261)</f>
        <v>261</v>
      </c>
      <c r="C269" s="63" t="str">
        <f>IF($K269="","",INDEX('Detalle individual'!$A:$A,$K269))</f>
        <v>905</v>
      </c>
      <c r="D269" s="64" t="str">
        <f>IF($K269="","",TRIM(INDEX('Detalle individual'!$B:$B,$K269)))</f>
        <v>CHRISTIAN ENRIQUE CAMPOS PRIVADO</v>
      </c>
      <c r="E269" s="64" t="str">
        <f>IF($K269="","",TRIM(INDEX('Detalle individual'!$E:$E,$K269)))</f>
        <v>ASISTENTE TECNICO LEGAL</v>
      </c>
      <c r="F269" s="64" t="str">
        <f>IF($K269="","",TRIM(INDEX('Detalle individual'!$C:$C,$K269)))</f>
        <v>DEPARTAMENTO LEGAL</v>
      </c>
      <c r="G269" s="64" t="str">
        <f>IF($K269="","",INDEX('Detalle individual'!$D:$D,$K269))</f>
        <v>Gerencia Legal y Cumplimiento Normativo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46307.645</v>
      </c>
      <c r="J269" s="78">
        <f>IF($K269="","",IF(INDEX('Detalle individual'!$F:$F,$K269)="Completado",INDEX('Detalle individual'!$J:$J,$K269),""))</f>
        <v>100</v>
      </c>
      <c r="K269">
        <f>IFERROR(MOD(SMALL('Cálculos'!$Z$5:$Z$1000,261),10000),"")</f>
        <v>294</v>
      </c>
    </row>
    <row r="270">
      <c r="B270" s="63">
        <f>IF($K270="","",262)</f>
        <v>262</v>
      </c>
      <c r="C270" s="63" t="str">
        <f>IF($K270="","",INDEX('Detalle individual'!$A:$A,$K270))</f>
        <v>929</v>
      </c>
      <c r="D270" s="64" t="str">
        <f>IF($K270="","",TRIM(INDEX('Detalle individual'!$B:$B,$K270)))</f>
        <v>GABRIELA LOURDES AREVALO SANCHEZ</v>
      </c>
      <c r="E270" s="64" t="str">
        <f>IF($K270="","",TRIM(INDEX('Detalle individual'!$E:$E,$K270)))</f>
        <v>AUXILIAR JURIDICO DE CONTRATACION</v>
      </c>
      <c r="F270" s="64" t="str">
        <f>IF($K270="","",TRIM(INDEX('Detalle individual'!$C:$C,$K270)))</f>
        <v>DEPARTAMENTO LEGAL</v>
      </c>
      <c r="G270" s="64" t="str">
        <f>IF($K270="","",INDEX('Detalle individual'!$D:$D,$K270))</f>
        <v>Gerencia Legal y Cumplimiento Normativo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46300.628483796296</v>
      </c>
      <c r="J270" s="78">
        <f>IF($K270="","",IF(INDEX('Detalle individual'!$F:$F,$K270)="Completado",INDEX('Detalle individual'!$J:$J,$K270),""))</f>
        <v>90</v>
      </c>
      <c r="K270">
        <f>IFERROR(MOD(SMALL('Cálculos'!$Z$5:$Z$1000,262),10000),"")</f>
        <v>295</v>
      </c>
    </row>
    <row r="271">
      <c r="B271" s="63">
        <f>IF($K271="","",263)</f>
        <v>263</v>
      </c>
      <c r="C271" s="63" t="str">
        <f>IF($K271="","",INDEX('Detalle individual'!$A:$A,$K271))</f>
        <v>349</v>
      </c>
      <c r="D271" s="64" t="str">
        <f>IF($K271="","",TRIM(INDEX('Detalle individual'!$B:$B,$K271)))</f>
        <v>CARLA EUGENIA HERNANDEZ MENJIVAR</v>
      </c>
      <c r="E271" s="64" t="str">
        <f>IF($K271="","",TRIM(INDEX('Detalle individual'!$E:$E,$K271)))</f>
        <v>GERENTE ADMINISTRATIVA</v>
      </c>
      <c r="F271" s="64" t="str">
        <f>IF($K271="","",TRIM(INDEX('Detalle individual'!$C:$C,$K271)))</f>
        <v>GERENCIA ADMINISTRATIVA</v>
      </c>
      <c r="G271" s="64" t="str">
        <f>IF($K271="","",INDEX('Detalle individual'!$D:$D,$K271))</f>
        <v>Gerencia Administrativa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46297.63836805556</v>
      </c>
      <c r="J271" s="78">
        <f>IF($K271="","",IF(INDEX('Detalle individual'!$F:$F,$K271)="Completado",INDEX('Detalle individual'!$J:$J,$K271),""))</f>
        <v>100</v>
      </c>
      <c r="K271">
        <f>IFERROR(MOD(SMALL('Cálculos'!$Z$5:$Z$1000,263),10000),"")</f>
        <v>6</v>
      </c>
    </row>
    <row r="272">
      <c r="B272" s="63">
        <f>IF($K272="","",264)</f>
        <v>264</v>
      </c>
      <c r="C272" s="63" t="str">
        <f>IF($K272="","",INDEX('Detalle individual'!$A:$A,$K272))</f>
        <v>45</v>
      </c>
      <c r="D272" s="64" t="str">
        <f>IF($K272="","",TRIM(INDEX('Detalle individual'!$B:$B,$K272)))</f>
        <v>MARTA LILLIAN VIGIL QUIJANO</v>
      </c>
      <c r="E272" s="64" t="str">
        <f>IF($K272="","",TRIM(INDEX('Detalle individual'!$E:$E,$K272)))</f>
        <v>ASISTENTE ADMINISTRATIVO DE GERENCIA ADMINISTRATIVA</v>
      </c>
      <c r="F272" s="64" t="str">
        <f>IF($K272="","",TRIM(INDEX('Detalle individual'!$C:$C,$K272)))</f>
        <v>GERENCIA ADMINISTRATIVA</v>
      </c>
      <c r="G272" s="64" t="str">
        <f>IF($K272="","",INDEX('Detalle individual'!$D:$D,$K272))</f>
        <v>Gerencia Administrativa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46307.43666666667</v>
      </c>
      <c r="J272" s="78">
        <f>IF($K272="","",IF(INDEX('Detalle individual'!$F:$F,$K272)="Completado",INDEX('Detalle individual'!$J:$J,$K272),""))</f>
        <v>100</v>
      </c>
      <c r="K272">
        <f>IFERROR(MOD(SMALL('Cálculos'!$Z$5:$Z$1000,264),10000),"")</f>
        <v>25</v>
      </c>
    </row>
    <row r="273">
      <c r="B273" s="63">
        <f>IF($K273="","",265)</f>
        <v>265</v>
      </c>
      <c r="C273" s="63" t="str">
        <f>IF($K273="","",INDEX('Detalle individual'!$A:$A,$K273))</f>
        <v>524</v>
      </c>
      <c r="D273" s="64" t="str">
        <f>IF($K273="","",TRIM(INDEX('Detalle individual'!$B:$B,$K273)))</f>
        <v>JOSE AUGUSTO DE LA O GALLEGOS</v>
      </c>
      <c r="E273" s="64" t="str">
        <f>IF($K273="","",TRIM(INDEX('Detalle individual'!$E:$E,$K273)))</f>
        <v>GERENTE DE FINANZAS Y PLANIFICACION</v>
      </c>
      <c r="F273" s="64" t="str">
        <f>IF($K273="","",TRIM(INDEX('Detalle individual'!$C:$C,$K273)))</f>
        <v>GERENCIA DE FINANZAS Y PLANIFICACIÓN</v>
      </c>
      <c r="G273" s="64" t="str">
        <f>IF($K273="","",INDEX('Detalle individual'!$D:$D,$K273))</f>
        <v>Gerencia de Finanzas y Planificación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46296.429560185185</v>
      </c>
      <c r="J273" s="78">
        <f>IF($K273="","",IF(INDEX('Detalle individual'!$F:$F,$K273)="Completado",INDEX('Detalle individual'!$J:$J,$K273),""))</f>
        <v>100</v>
      </c>
      <c r="K273">
        <f>IFERROR(MOD(SMALL('Cálculos'!$Z$5:$Z$1000,265),10000),"")</f>
        <v>8</v>
      </c>
    </row>
    <row r="274">
      <c r="B274" s="63">
        <f>IF($K274="","",266)</f>
        <v>266</v>
      </c>
      <c r="C274" s="63" t="str">
        <f>IF($K274="","",INDEX('Detalle individual'!$A:$A,$K274))</f>
        <v>942</v>
      </c>
      <c r="D274" s="64" t="str">
        <f>IF($K274="","",TRIM(INDEX('Detalle individual'!$B:$B,$K274)))</f>
        <v>PAULA MARIA CALDERON PEREZ</v>
      </c>
      <c r="E274" s="64" t="str">
        <f>IF($K274="","",TRIM(INDEX('Detalle individual'!$E:$E,$K274)))</f>
        <v>ASISTENTE DE GERENCIA DE FINANZAS</v>
      </c>
      <c r="F274" s="64" t="str">
        <f>IF($K274="","",TRIM(INDEX('Detalle individual'!$C:$C,$K274)))</f>
        <v>GERENCIA DE FINANZAS Y PLANIFICACIÓN</v>
      </c>
      <c r="G274" s="64" t="str">
        <f>IF($K274="","",INDEX('Detalle individual'!$D:$D,$K274))</f>
        <v>Gerencia de Finanzas y Planificación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46305.470555555556</v>
      </c>
      <c r="J274" s="78">
        <f>IF($K274="","",IF(INDEX('Detalle individual'!$F:$F,$K274)="Completado",INDEX('Detalle individual'!$J:$J,$K274),""))</f>
        <v>100</v>
      </c>
      <c r="K274">
        <f>IFERROR(MOD(SMALL('Cálculos'!$Z$5:$Z$1000,266),10000),"")</f>
        <v>84</v>
      </c>
    </row>
    <row r="275">
      <c r="B275" s="63">
        <f>IF($K275="","",267)</f>
        <v>267</v>
      </c>
      <c r="C275" s="63" t="str">
        <f>IF($K275="","",INDEX('Detalle individual'!$A:$A,$K275))</f>
        <v>583</v>
      </c>
      <c r="D275" s="64" t="str">
        <f>IF($K275="","",TRIM(INDEX('Detalle individual'!$B:$B,$K275)))</f>
        <v>HECTOR JOSE MENJIVAR SOMOZA</v>
      </c>
      <c r="E275" s="64" t="str">
        <f>IF($K275="","",TRIM(INDEX('Detalle individual'!$E:$E,$K275)))</f>
        <v>ANALISTA DE INTELIGENCIA DE NEGOCIOS</v>
      </c>
      <c r="F275" s="64" t="str">
        <f>IF($K275="","",TRIM(INDEX('Detalle individual'!$C:$C,$K275)))</f>
        <v>GERENCIA DE NEGOCIOS</v>
      </c>
      <c r="G275" s="64" t="str">
        <f>IF($K275="","",INDEX('Detalle individual'!$D:$D,$K275))</f>
        <v>Gerencia de Negocios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46296.48710648148</v>
      </c>
      <c r="J275" s="78">
        <f>IF($K275="","",IF(INDEX('Detalle individual'!$F:$F,$K275)="Completado",INDEX('Detalle individual'!$J:$J,$K275),""))</f>
        <v>100</v>
      </c>
      <c r="K275">
        <f>IFERROR(MOD(SMALL('Cálculos'!$Z$5:$Z$1000,267),10000),"")</f>
        <v>136</v>
      </c>
    </row>
    <row r="276">
      <c r="B276" s="63">
        <f>IF($K276="","",268)</f>
        <v>268</v>
      </c>
      <c r="C276" s="63" t="str">
        <f>IF($K276="","",INDEX('Detalle individual'!$A:$A,$K276))</f>
        <v>633</v>
      </c>
      <c r="D276" s="64" t="str">
        <f>IF($K276="","",TRIM(INDEX('Detalle individual'!$B:$B,$K276)))</f>
        <v>VICTOR ADONAY PEREZ CASTILLO</v>
      </c>
      <c r="E276" s="64" t="str">
        <f>IF($K276="","",TRIM(INDEX('Detalle individual'!$E:$E,$K276)))</f>
        <v>ASISTENTE PARA CANALES ELECTRONICOS Y OPERACIONES EN AGENCIA</v>
      </c>
      <c r="F276" s="64" t="str">
        <f>IF($K276="","",TRIM(INDEX('Detalle individual'!$C:$C,$K276)))</f>
        <v>GERENCIA DE NEGOCIOS</v>
      </c>
      <c r="G276" s="64" t="str">
        <f>IF($K276="","",INDEX('Detalle individual'!$D:$D,$K276))</f>
        <v>Gerencia de Negocios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46296.453680555554</v>
      </c>
      <c r="J276" s="78">
        <f>IF($K276="","",IF(INDEX('Detalle individual'!$F:$F,$K276)="Completado",INDEX('Detalle individual'!$J:$J,$K276),""))</f>
        <v>100</v>
      </c>
      <c r="K276">
        <f>IFERROR(MOD(SMALL('Cálculos'!$Z$5:$Z$1000,268),10000),"")</f>
        <v>137</v>
      </c>
    </row>
    <row r="277">
      <c r="B277" s="63">
        <f>IF($K277="","",269)</f>
        <v>269</v>
      </c>
      <c r="C277" s="63" t="str">
        <f>IF($K277="","",INDEX('Detalle individual'!$A:$A,$K277))</f>
        <v>782</v>
      </c>
      <c r="D277" s="64" t="str">
        <f>IF($K277="","",TRIM(INDEX('Detalle individual'!$B:$B,$K277)))</f>
        <v>WANDA ILIANA MORENO QUINTEROS</v>
      </c>
      <c r="E277" s="64" t="str">
        <f>IF($K277="","",TRIM(INDEX('Detalle individual'!$E:$E,$K277)))</f>
        <v>ADMINISTRADOR DE PLATAFORMAS Y TRANSFORMACION DIGITAL DE CRE</v>
      </c>
      <c r="F277" s="64" t="str">
        <f>IF($K277="","",TRIM(INDEX('Detalle individual'!$C:$C,$K277)))</f>
        <v>GERENCIA DE NEGOCIOS</v>
      </c>
      <c r="G277" s="64" t="str">
        <f>IF($K277="","",INDEX('Detalle individual'!$D:$D,$K277))</f>
        <v>Gerencia de Negocios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46301.440300925926</v>
      </c>
      <c r="J277" s="78">
        <f>IF($K277="","",IF(INDEX('Detalle individual'!$F:$F,$K277)="Completado",INDEX('Detalle individual'!$J:$J,$K277),""))</f>
        <v>100</v>
      </c>
      <c r="K277">
        <f>IFERROR(MOD(SMALL('Cálculos'!$Z$5:$Z$1000,269),10000),"")</f>
        <v>138</v>
      </c>
    </row>
    <row r="278">
      <c r="B278" s="63">
        <f>IF($K278="","",270)</f>
        <v>270</v>
      </c>
      <c r="C278" s="63" t="str">
        <f>IF($K278="","",INDEX('Detalle individual'!$A:$A,$K278))</f>
        <v>393</v>
      </c>
      <c r="D278" s="64" t="str">
        <f>IF($K278="","",TRIM(INDEX('Detalle individual'!$B:$B,$K278)))</f>
        <v>FLOR MARISELA TORRES VELASQUEZ</v>
      </c>
      <c r="E278" s="64" t="str">
        <f>IF($K278="","",TRIM(INDEX('Detalle individual'!$E:$E,$K278)))</f>
        <v>LIDER DE PROYECTOS TECNOLOGICOS</v>
      </c>
      <c r="F278" s="64" t="str">
        <f>IF($K278="","",TRIM(INDEX('Detalle individual'!$C:$C,$K278)))</f>
        <v>GERENCIA DE SISTEMAS</v>
      </c>
      <c r="G278" s="64" t="str">
        <f>IF($K278="","",INDEX('Detalle individual'!$D:$D,$K278))</f>
        <v>Gerencia de Sistemas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46307.48341435185</v>
      </c>
      <c r="J278" s="78">
        <f>IF($K278="","",IF(INDEX('Detalle individual'!$F:$F,$K278)="Completado",INDEX('Detalle individual'!$J:$J,$K278),""))</f>
        <v>100</v>
      </c>
      <c r="K278">
        <f>IFERROR(MOD(SMALL('Cálculos'!$Z$5:$Z$1000,270),10000),"")</f>
        <v>101</v>
      </c>
    </row>
    <row r="279">
      <c r="B279" s="63">
        <f>IF($K279="","",271)</f>
        <v>271</v>
      </c>
      <c r="C279" s="63" t="str">
        <f>IF($K279="","",INDEX('Detalle individual'!$A:$A,$K279))</f>
        <v>804</v>
      </c>
      <c r="D279" s="64" t="str">
        <f>IF($K279="","",TRIM(INDEX('Detalle individual'!$B:$B,$K279)))</f>
        <v>FERMIN ABIEL VIERA LINARES</v>
      </c>
      <c r="E279" s="64" t="str">
        <f>IF($K279="","",TRIM(INDEX('Detalle individual'!$E:$E,$K279)))</f>
        <v>ANALISTA DE CAMBIOS Y SEGURIDAD</v>
      </c>
      <c r="F279" s="64" t="str">
        <f>IF($K279="","",TRIM(INDEX('Detalle individual'!$C:$C,$K279)))</f>
        <v>GERENCIA DE SISTEMAS</v>
      </c>
      <c r="G279" s="64" t="str">
        <f>IF($K279="","",INDEX('Detalle individual'!$D:$D,$K279))</f>
        <v>Gerencia de Sistemas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46304.407905092594</v>
      </c>
      <c r="J279" s="78">
        <f>IF($K279="","",IF(INDEX('Detalle individual'!$F:$F,$K279)="Completado",INDEX('Detalle individual'!$J:$J,$K279),""))</f>
        <v>100</v>
      </c>
      <c r="K279">
        <f>IFERROR(MOD(SMALL('Cálculos'!$Z$5:$Z$1000,271),10000),"")</f>
        <v>102</v>
      </c>
    </row>
    <row r="280">
      <c r="B280" s="63">
        <f>IF($K280="","",272)</f>
        <v>272</v>
      </c>
      <c r="C280" s="63" t="str">
        <f>IF($K280="","",INDEX('Detalle individual'!$A:$A,$K280))</f>
        <v>883</v>
      </c>
      <c r="D280" s="64" t="str">
        <f>IF($K280="","",TRIM(INDEX('Detalle individual'!$B:$B,$K280)))</f>
        <v>ISMAEL HUMBERTO GUERRERO FLORES</v>
      </c>
      <c r="E280" s="64" t="str">
        <f>IF($K280="","",TRIM(INDEX('Detalle individual'!$E:$E,$K280)))</f>
        <v>ADMINISTRADOR DE SEGURIDAD INFORMATICA</v>
      </c>
      <c r="F280" s="64" t="str">
        <f>IF($K280="","",TRIM(INDEX('Detalle individual'!$C:$C,$K280)))</f>
        <v>GERENCIA DE SISTEMAS</v>
      </c>
      <c r="G280" s="64" t="str">
        <f>IF($K280="","",INDEX('Detalle individual'!$D:$D,$K280))</f>
        <v>Gerencia de Sistemas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46300.58474537037</v>
      </c>
      <c r="J280" s="78">
        <f>IF($K280="","",IF(INDEX('Detalle individual'!$F:$F,$K280)="Completado",INDEX('Detalle individual'!$J:$J,$K280),""))</f>
        <v>95</v>
      </c>
      <c r="K280">
        <f>IFERROR(MOD(SMALL('Cálculos'!$Z$5:$Z$1000,272),10000),"")</f>
        <v>103</v>
      </c>
    </row>
    <row r="281">
      <c r="B281" s="63">
        <f>IF($K281="","",273)</f>
        <v>273</v>
      </c>
      <c r="C281" s="63" t="str">
        <f>IF($K281="","",INDEX('Detalle individual'!$A:$A,$K281))</f>
        <v>977</v>
      </c>
      <c r="D281" s="64" t="str">
        <f>IF($K281="","",TRIM(INDEX('Detalle individual'!$B:$B,$K281)))</f>
        <v>NELSON ULISES CAMPOS FLORES</v>
      </c>
      <c r="E281" s="64" t="str">
        <f>IF($K281="","",TRIM(INDEX('Detalle individual'!$E:$E,$K281)))</f>
        <v>GERENTE GENERAL</v>
      </c>
      <c r="F281" s="64" t="str">
        <f>IF($K281="","",TRIM(INDEX('Detalle individual'!$C:$C,$K281)))</f>
        <v>GERENCIA GENERAL</v>
      </c>
      <c r="G281" s="64" t="str">
        <f>IF($K281="","",INDEX('Detalle individual'!$D:$D,$K281))</f>
        <v>Gerencia General</v>
      </c>
      <c r="H281" s="63" t="str">
        <f>IF($K281="","",INDEX('Detalle individual'!$F:$F,$K281))</f>
        <v>Completado</v>
      </c>
      <c r="I281" s="77" t="str">
        <f>IF($K281="","",IF(INDEX('Detalle individual'!$F:$F,$K281)="Completado",INDEX('Detalle individual'!$H:$H,$K281),""))</f>
        <v/>
      </c>
      <c r="J281" s="78" t="str">
        <f>IF($K281="","",IF(INDEX('Detalle individual'!$F:$F,$K281)="Completado",INDEX('Detalle individual'!$J:$J,$K281),""))</f>
        <v/>
      </c>
      <c r="K281">
        <f>IFERROR(MOD(SMALL('Cálculos'!$Z$5:$Z$1000,273),10000),"")</f>
        <v>5</v>
      </c>
    </row>
    <row r="282">
      <c r="B282" s="63">
        <f>IF($K282="","",274)</f>
        <v>274</v>
      </c>
      <c r="C282" s="63" t="str">
        <f>IF($K282="","",INDEX('Detalle individual'!$A:$A,$K282))</f>
        <v>17</v>
      </c>
      <c r="D282" s="64" t="str">
        <f>IF($K282="","",TRIM(INDEX('Detalle individual'!$B:$B,$K282)))</f>
        <v>ANTONIA SARAI BELTRAN CARBALLO</v>
      </c>
      <c r="E282" s="64" t="str">
        <f>IF($K282="","",TRIM(INDEX('Detalle individual'!$E:$E,$K282)))</f>
        <v>ASISTENTE ADMINISTRATIVO DE GERENCIA GENERAL</v>
      </c>
      <c r="F282" s="64" t="str">
        <f>IF($K282="","",TRIM(INDEX('Detalle individual'!$C:$C,$K282)))</f>
        <v>GERENCIA GENERAL</v>
      </c>
      <c r="G282" s="64" t="str">
        <f>IF($K282="","",INDEX('Detalle individual'!$D:$D,$K282))</f>
        <v>Gerencia General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46305.40980324074</v>
      </c>
      <c r="J282" s="78">
        <f>IF($K282="","",IF(INDEX('Detalle individual'!$F:$F,$K282)="Completado",INDEX('Detalle individual'!$J:$J,$K282),""))</f>
        <v>100</v>
      </c>
      <c r="K282">
        <f>IFERROR(MOD(SMALL('Cálculos'!$Z$5:$Z$1000,274),10000),"")</f>
        <v>13</v>
      </c>
    </row>
    <row r="283">
      <c r="B283" s="63">
        <f>IF($K283="","",275)</f>
        <v>275</v>
      </c>
      <c r="C283" s="63" t="str">
        <f>IF($K283="","",INDEX('Detalle individual'!$A:$A,$K283))</f>
        <v>570</v>
      </c>
      <c r="D283" s="64" t="str">
        <f>IF($K283="","",TRIM(INDEX('Detalle individual'!$B:$B,$K283)))</f>
        <v>ANDREA VICTORIA MAYORGA RODRIGUEZ</v>
      </c>
      <c r="E283" s="64" t="str">
        <f>IF($K283="","",TRIM(INDEX('Detalle individual'!$E:$E,$K283)))</f>
        <v>GERENTE LEGAL Y DE CUMPLIMIENTO NORMATIVO</v>
      </c>
      <c r="F283" s="64" t="str">
        <f>IF($K283="","",TRIM(INDEX('Detalle individual'!$C:$C,$K283)))</f>
        <v>GERENCIA LEGAL Y DE CUMPLIMIENTO NORMATIVO</v>
      </c>
      <c r="G283" s="64" t="str">
        <f>IF($K283="","",INDEX('Detalle individual'!$D:$D,$K283))</f>
        <v>Gerencia Legal y Cumplimiento Normativo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46304.69452546296</v>
      </c>
      <c r="J283" s="78">
        <f>IF($K283="","",IF(INDEX('Detalle individual'!$F:$F,$K283)="Completado",INDEX('Detalle individual'!$J:$J,$K283),""))</f>
        <v>100</v>
      </c>
      <c r="K283">
        <f>IFERROR(MOD(SMALL('Cálculos'!$Z$5:$Z$1000,275),10000),"")</f>
        <v>12</v>
      </c>
    </row>
    <row r="284">
      <c r="B284" s="63">
        <f>IF($K284="","",276)</f>
        <v>276</v>
      </c>
      <c r="C284" s="63" t="str">
        <f>IF($K284="","",INDEX('Detalle individual'!$A:$A,$K284))</f>
        <v>862</v>
      </c>
      <c r="D284" s="64" t="str">
        <f>IF($K284="","",TRIM(INDEX('Detalle individual'!$B:$B,$K284)))</f>
        <v>GEORGI ROBERTO CASTILLO CHACON</v>
      </c>
      <c r="E284" s="64" t="str">
        <f>IF($K284="","",TRIM(INDEX('Detalle individual'!$E:$E,$K284)))</f>
        <v>GERENTE DE OFICIALIA DE CUMPLIMIENTO</v>
      </c>
      <c r="F284" s="64" t="str">
        <f>IF($K284="","",TRIM(INDEX('Detalle individual'!$C:$C,$K284)))</f>
        <v>OFICIALIA DE CUMPLIMIENTO</v>
      </c>
      <c r="G284" s="64" t="str">
        <f>IF($K284="","",INDEX('Detalle individual'!$D:$D,$K284))</f>
        <v>Gerencia de Oficialía de Cumplimiento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46296.47738425926</v>
      </c>
      <c r="J284" s="78">
        <f>IF($K284="","",IF(INDEX('Detalle individual'!$F:$F,$K284)="Completado",INDEX('Detalle individual'!$J:$J,$K284),""))</f>
        <v>100</v>
      </c>
      <c r="K284">
        <f>IFERROR(MOD(SMALL('Cálculos'!$Z$5:$Z$1000,276),10000),"")</f>
        <v>10</v>
      </c>
    </row>
    <row r="285">
      <c r="B285" s="63">
        <f>IF($K285="","",277)</f>
        <v>277</v>
      </c>
      <c r="C285" s="63" t="str">
        <f>IF($K285="","",INDEX('Detalle individual'!$A:$A,$K285))</f>
        <v>443</v>
      </c>
      <c r="D285" s="64" t="str">
        <f>IF($K285="","",TRIM(INDEX('Detalle individual'!$B:$B,$K285)))</f>
        <v>JOSSELINE LIZBETH VENTURA RIVAS</v>
      </c>
      <c r="E285" s="64" t="str">
        <f>IF($K285="","",TRIM(INDEX('Detalle individual'!$E:$E,$K285)))</f>
        <v>ANALISTA DE CUMPLIMIENTO</v>
      </c>
      <c r="F285" s="64" t="str">
        <f>IF($K285="","",TRIM(INDEX('Detalle individual'!$C:$C,$K285)))</f>
        <v>OFICIALIA DE CUMPLIMIENTO</v>
      </c>
      <c r="G285" s="64" t="str">
        <f>IF($K285="","",INDEX('Detalle individual'!$D:$D,$K285))</f>
        <v>Gerencia de Oficialía de Cumplimiento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46296.491481481484</v>
      </c>
      <c r="J285" s="78">
        <f>IF($K285="","",IF(INDEX('Detalle individual'!$F:$F,$K285)="Completado",INDEX('Detalle individual'!$J:$J,$K285),""))</f>
        <v>100</v>
      </c>
      <c r="K285">
        <f>IFERROR(MOD(SMALL('Cálculos'!$Z$5:$Z$1000,277),10000),"")</f>
        <v>130</v>
      </c>
    </row>
    <row r="286">
      <c r="B286" s="63">
        <f>IF($K286="","",278)</f>
        <v>278</v>
      </c>
      <c r="C286" s="63" t="str">
        <f>IF($K286="","",INDEX('Detalle individual'!$A:$A,$K286))</f>
        <v>860</v>
      </c>
      <c r="D286" s="64" t="str">
        <f>IF($K286="","",TRIM(INDEX('Detalle individual'!$B:$B,$K286)))</f>
        <v>JOHANNA LISSETH ROMERO RIVAS</v>
      </c>
      <c r="E286" s="64" t="str">
        <f>IF($K286="","",TRIM(INDEX('Detalle individual'!$E:$E,$K286)))</f>
        <v>ANALISTA DE OFICIALIA DE CUMPLIMIENTO Y OFICIAL DE CUMPLIMIE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46296.48637731482</v>
      </c>
      <c r="J286" s="78">
        <f>IF($K286="","",IF(INDEX('Detalle individual'!$F:$F,$K286)="Completado",INDEX('Detalle individual'!$J:$J,$K286),""))</f>
        <v>100</v>
      </c>
      <c r="K286">
        <f>IFERROR(MOD(SMALL('Cálculos'!$Z$5:$Z$1000,278),10000),"")</f>
        <v>131</v>
      </c>
    </row>
    <row r="287">
      <c r="B287" s="63">
        <f>IF($K287="","",279)</f>
        <v>279</v>
      </c>
      <c r="C287" s="63" t="str">
        <f>IF($K287="","",INDEX('Detalle individual'!$A:$A,$K287))</f>
        <v>914</v>
      </c>
      <c r="D287" s="64" t="str">
        <f>IF($K287="","",TRIM(INDEX('Detalle individual'!$B:$B,$K287)))</f>
        <v>FIDEL ISAIAS CASTELLON CALVIO</v>
      </c>
      <c r="E287" s="64" t="str">
        <f>IF($K287="","",TRIM(INDEX('Detalle individual'!$E:$E,$K287)))</f>
        <v>ADMINISTRADOR DE MONITOR PLUS Y ANALISTA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46296.47803240741</v>
      </c>
      <c r="J287" s="78">
        <f>IF($K287="","",IF(INDEX('Detalle individual'!$F:$F,$K287)="Completado",INDEX('Detalle individual'!$J:$J,$K287),""))</f>
        <v>100</v>
      </c>
      <c r="K287">
        <f>IFERROR(MOD(SMALL('Cálculos'!$Z$5:$Z$1000,279),10000),"")</f>
        <v>132</v>
      </c>
    </row>
    <row r="288">
      <c r="B288" s="63">
        <f>IF($K288="","",280)</f>
        <v>280</v>
      </c>
      <c r="C288" s="63" t="str">
        <f>IF($K288="","",INDEX('Detalle individual'!$A:$A,$K288))</f>
        <v>983</v>
      </c>
      <c r="D288" s="64" t="str">
        <f>IF($K288="","",TRIM(INDEX('Detalle individual'!$B:$B,$K288)))</f>
        <v>LILIAN LISET MAGAÑA SANTOS</v>
      </c>
      <c r="E288" s="64" t="str">
        <f>IF($K288="","",TRIM(INDEX('Detalle individual'!$E:$E,$K288)))</f>
        <v>PASANTE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46296.49747685185</v>
      </c>
      <c r="J288" s="78">
        <f>IF($K288="","",IF(INDEX('Detalle individual'!$F:$F,$K288)="Completado",INDEX('Detalle individual'!$J:$J,$K288),""))</f>
        <v>100</v>
      </c>
      <c r="K288">
        <f>IFERROR(MOD(SMALL('Cálculos'!$Z$5:$Z$1000,280),10000),"")</f>
        <v>133</v>
      </c>
    </row>
    <row r="289">
      <c r="B289" s="63">
        <f>IF($K289="","",281)</f>
        <v>281</v>
      </c>
      <c r="C289" s="63" t="str">
        <f>IF($K289="","",INDEX('Detalle individual'!$A:$A,$K289))</f>
        <v>984</v>
      </c>
      <c r="D289" s="64" t="str">
        <f>IF($K289="","",TRIM(INDEX('Detalle individual'!$B:$B,$K289)))</f>
        <v>NICO EDUARDO CIUDAD REAL MOOIJ</v>
      </c>
      <c r="E289" s="64" t="str">
        <f>IF($K289="","",TRIM(INDEX('Detalle individual'!$E:$E,$K289)))</f>
        <v>PASANTE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46296.48002314815</v>
      </c>
      <c r="J289" s="78">
        <f>IF($K289="","",IF(INDEX('Detalle individual'!$F:$F,$K289)="Completado",INDEX('Detalle individual'!$J:$J,$K289),""))</f>
        <v>100</v>
      </c>
      <c r="K289">
        <f>IFERROR(MOD(SMALL('Cálculos'!$Z$5:$Z$1000,281),10000),"")</f>
        <v>134</v>
      </c>
    </row>
    <row r="290">
      <c r="B290" s="63">
        <f>IF($K290="","",282)</f>
        <v>282</v>
      </c>
      <c r="C290" s="63" t="str">
        <f>IF($K290="","",INDEX('Detalle individual'!$A:$A,$K290))</f>
        <v>985</v>
      </c>
      <c r="D290" s="64" t="str">
        <f>IF($K290="","",TRIM(INDEX('Detalle individual'!$B:$B,$K290)))</f>
        <v>JORGE MATEO GUTIERREZ FLORES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46296.4949537037</v>
      </c>
      <c r="J290" s="78">
        <f>IF($K290="","",IF(INDEX('Detalle individual'!$F:$F,$K290)="Completado",INDEX('Detalle individual'!$J:$J,$K290),""))</f>
        <v>100</v>
      </c>
      <c r="K290">
        <f>IFERROR(MOD(SMALL('Cálculos'!$Z$5:$Z$1000,282),10000),"")</f>
        <v>135</v>
      </c>
    </row>
    <row r="291">
      <c r="B291" s="63">
        <f>IF($K291="","",283)</f>
        <v>283</v>
      </c>
      <c r="C291" s="63" t="str">
        <f>IF($K291="","",INDEX('Detalle individual'!$A:$A,$K291))</f>
        <v>710</v>
      </c>
      <c r="D291" s="64" t="str">
        <f>IF($K291="","",TRIM(INDEX('Detalle individual'!$B:$B,$K291)))</f>
        <v>MARIA AZUCENA BONILLA RIVERA</v>
      </c>
      <c r="E291" s="64" t="str">
        <f>IF($K291="","",TRIM(INDEX('Detalle individual'!$E:$E,$K291)))</f>
        <v>OFICIAL DE SEGURIDAD DE LA INFORMACION</v>
      </c>
      <c r="F291" s="64" t="str">
        <f>IF($K291="","",TRIM(INDEX('Detalle individual'!$C:$C,$K291)))</f>
        <v>OFICIALIA DE SEGURIDAD DE LA INFORMACION</v>
      </c>
      <c r="G291" s="64" t="str">
        <f>IF($K291="","",INDEX('Detalle individual'!$D:$D,$K291))</f>
        <v>Gerencia General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46296.448969907404</v>
      </c>
      <c r="J291" s="78">
        <f>IF($K291="","",IF(INDEX('Detalle individual'!$F:$F,$K291)="Completado",INDEX('Detalle individual'!$J:$J,$K291),""))</f>
        <v>100</v>
      </c>
      <c r="K291">
        <f>IFERROR(MOD(SMALL('Cálculos'!$Z$5:$Z$1000,283),10000),"")</f>
        <v>21</v>
      </c>
    </row>
    <row r="292">
      <c r="B292" s="63">
        <f>IF($K292="","",284)</f>
        <v>284</v>
      </c>
      <c r="C292" s="63" t="str">
        <f>IF($K292="","",INDEX('Detalle individual'!$A:$A,$K292))</f>
        <v>907</v>
      </c>
      <c r="D292" s="64" t="str">
        <f>IF($K292="","",TRIM(INDEX('Detalle individual'!$B:$B,$K292)))</f>
        <v>JENNIFER GEORGINA ALVARADO HERNANDEZ</v>
      </c>
      <c r="E292" s="64" t="str">
        <f>IF($K292="","",TRIM(INDEX('Detalle individual'!$E:$E,$K292)))</f>
        <v>ANALISTA DE MONITOREO DEL FRAUDE DIGITAL</v>
      </c>
      <c r="F292" s="64" t="str">
        <f>IF($K292="","",TRIM(INDEX('Detalle individual'!$C:$C,$K292)))</f>
        <v>OFICIALIA DE SEGURIDAD DE LA INFORMACION</v>
      </c>
      <c r="G292" s="64" t="str">
        <f>IF($K292="","",INDEX('Detalle individual'!$D:$D,$K292))</f>
        <v>Gerencia General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46296.44850694444</v>
      </c>
      <c r="J292" s="78">
        <f>IF($K292="","",IF(INDEX('Detalle individual'!$F:$F,$K292)="Completado",INDEX('Detalle individual'!$J:$J,$K292),""))</f>
        <v>85</v>
      </c>
      <c r="K292">
        <f>IFERROR(MOD(SMALL('Cálculos'!$Z$5:$Z$1000,284),10000),"")</f>
        <v>22</v>
      </c>
    </row>
    <row r="293">
      <c r="B293" s="63">
        <f>IF($K293="","",285)</f>
        <v>285</v>
      </c>
      <c r="C293" s="63" t="str">
        <f>IF($K293="","",INDEX('Detalle individual'!$A:$A,$K293))</f>
        <v>918</v>
      </c>
      <c r="D293" s="64" t="str">
        <f>IF($K293="","",TRIM(INDEX('Detalle individual'!$B:$B,$K293)))</f>
        <v>MARVIN ALONSO FRANCO RAMIREZ</v>
      </c>
      <c r="E293" s="64" t="str">
        <f>IF($K293="","",TRIM(INDEX('Detalle individual'!$E:$E,$K293)))</f>
        <v>ANALISTA DE SEGURIDAD DE LA INFORMACION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46296.44851851852</v>
      </c>
      <c r="J293" s="78">
        <f>IF($K293="","",IF(INDEX('Detalle individual'!$F:$F,$K293)="Completado",INDEX('Detalle individual'!$J:$J,$K293),""))</f>
        <v>100</v>
      </c>
      <c r="K293">
        <f>IFERROR(MOD(SMALL('Cálculos'!$Z$5:$Z$1000,285),10000),"")</f>
        <v>23</v>
      </c>
    </row>
    <row r="294">
      <c r="B294" s="63">
        <f>IF($K294="","",286)</f>
        <v>286</v>
      </c>
      <c r="C294" s="63" t="str">
        <f>IF($K294="","",INDEX('Detalle individual'!$A:$A,$K294))</f>
        <v>950</v>
      </c>
      <c r="D294" s="64" t="str">
        <f>IF($K294="","",TRIM(INDEX('Detalle individual'!$B:$B,$K294)))</f>
        <v>VALERIA MICHELLE QUINTANILLA FLORES</v>
      </c>
      <c r="E294" s="64" t="str">
        <f>IF($K294="","",TRIM(INDEX('Detalle individual'!$E:$E,$K294)))</f>
        <v>ANALISTA TECNICO DE PROTECCION DE DATOS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46296.44909722222</v>
      </c>
      <c r="J294" s="78">
        <f>IF($K294="","",IF(INDEX('Detalle individual'!$F:$F,$K294)="Completado",INDEX('Detalle individual'!$J:$J,$K294),""))</f>
        <v>100</v>
      </c>
      <c r="K294">
        <f>IFERROR(MOD(SMALL('Cálculos'!$Z$5:$Z$1000,286),10000),"")</f>
        <v>24</v>
      </c>
    </row>
    <row r="295">
      <c r="B295" s="63">
        <f>IF($K295="","",287)</f>
        <v>287</v>
      </c>
      <c r="C295" s="63" t="str">
        <f>IF($K295="","",INDEX('Detalle individual'!$A:$A,$K295))</f>
        <v>215</v>
      </c>
      <c r="D295" s="64" t="str">
        <f>IF($K295="","",TRIM(INDEX('Detalle individual'!$B:$B,$K295)))</f>
        <v>LUIS MARCELO CRUZ VIGIL</v>
      </c>
      <c r="E295" s="64" t="str">
        <f>IF($K295="","",TRIM(INDEX('Detalle individual'!$E:$E,$K295)))</f>
        <v>SUB GERENTE DE CANALES</v>
      </c>
      <c r="F295" s="64" t="str">
        <f>IF($K295="","",TRIM(INDEX('Detalle individual'!$C:$C,$K295)))</f>
        <v>SUB GERENCIA DE CANALES</v>
      </c>
      <c r="G295" s="64" t="str">
        <f>IF($K295="","",INDEX('Detalle individual'!$D:$D,$K295))</f>
        <v>Gerencia de Negocios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46300.41096064815</v>
      </c>
      <c r="J295" s="78">
        <f>IF($K295="","",IF(INDEX('Detalle individual'!$F:$F,$K295)="Completado",INDEX('Detalle individual'!$J:$J,$K295),""))</f>
        <v>100</v>
      </c>
      <c r="K295">
        <f>IFERROR(MOD(SMALL('Cálculos'!$Z$5:$Z$1000,287),10000),"")</f>
        <v>184</v>
      </c>
    </row>
    <row r="296">
      <c r="B296" s="63">
        <f>IF($K296="","",288)</f>
        <v>288</v>
      </c>
      <c r="C296" s="63" t="str">
        <f>IF($K296="","",INDEX('Detalle individual'!$A:$A,$K296))</f>
        <v>581</v>
      </c>
      <c r="D296" s="64" t="str">
        <f>IF($K296="","",TRIM(INDEX('Detalle individual'!$B:$B,$K296)))</f>
        <v>JUAN CARLOS AGUILAR ASCENCIO</v>
      </c>
      <c r="E296" s="64" t="str">
        <f>IF($K296="","",TRIM(INDEX('Detalle individual'!$E:$E,$K296)))</f>
        <v>CAJERO MOVIL</v>
      </c>
      <c r="F296" s="64" t="str">
        <f>IF($K296="","",TRIM(INDEX('Detalle individual'!$C:$C,$K296)))</f>
        <v>SUB GERENCIA DE CANALES</v>
      </c>
      <c r="G296" s="64" t="str">
        <f>IF($K296="","",INDEX('Detalle individual'!$D:$D,$K296))</f>
        <v>Gerencia de Negocios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46309.67239583333</v>
      </c>
      <c r="J296" s="78">
        <f>IF($K296="","",IF(INDEX('Detalle individual'!$F:$F,$K296)="Completado",INDEX('Detalle individual'!$J:$J,$K296),""))</f>
        <v>100</v>
      </c>
      <c r="K296">
        <f>IFERROR(MOD(SMALL('Cálculos'!$Z$5:$Z$1000,288),10000),"")</f>
        <v>185</v>
      </c>
    </row>
    <row r="297">
      <c r="B297" s="63">
        <f>IF($K297="","",289)</f>
        <v>289</v>
      </c>
      <c r="C297" s="63" t="str">
        <f>IF($K297="","",INDEX('Detalle individual'!$A:$A,$K297))</f>
        <v>585</v>
      </c>
      <c r="D297" s="64" t="str">
        <f>IF($K297="","",TRIM(INDEX('Detalle individual'!$B:$B,$K297)))</f>
        <v>NANCY ROCIO MENJIVAR RIVAS</v>
      </c>
      <c r="E297" s="64" t="str">
        <f>IF($K297="","",TRIM(INDEX('Detalle individual'!$E:$E,$K297)))</f>
        <v>EJECUTIVO MOVIL DE SEGUROS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46302.479097222225</v>
      </c>
      <c r="J297" s="78">
        <f>IF($K297="","",IF(INDEX('Detalle individual'!$F:$F,$K297)="Completado",INDEX('Detalle individual'!$J:$J,$K297),""))</f>
        <v>100</v>
      </c>
      <c r="K297">
        <f>IFERROR(MOD(SMALL('Cálculos'!$Z$5:$Z$1000,289),10000),"")</f>
        <v>186</v>
      </c>
    </row>
    <row r="298">
      <c r="B298" s="63">
        <f>IF($K298="","",290)</f>
        <v>290</v>
      </c>
      <c r="C298" s="63" t="str">
        <f>IF($K298="","",INDEX('Detalle individual'!$A:$A,$K298))</f>
        <v>651</v>
      </c>
      <c r="D298" s="64" t="str">
        <f>IF($K298="","",TRIM(INDEX('Detalle individual'!$B:$B,$K298)))</f>
        <v>LUIS FERNANDO MORAN GARCIA</v>
      </c>
      <c r="E298" s="64" t="str">
        <f>IF($K298="","",TRIM(INDEX('Detalle individual'!$E:$E,$K298)))</f>
        <v>JEFE MOVIL DE AGENCIAS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46309.67240740741</v>
      </c>
      <c r="J298" s="78">
        <f>IF($K298="","",IF(INDEX('Detalle individual'!$F:$F,$K298)="Completado",INDEX('Detalle individual'!$J:$J,$K298),""))</f>
        <v>100</v>
      </c>
      <c r="K298">
        <f>IFERROR(MOD(SMALL('Cálculos'!$Z$5:$Z$1000,290),10000),"")</f>
        <v>187</v>
      </c>
    </row>
    <row r="299">
      <c r="B299" s="63">
        <f>IF($K299="","",291)</f>
        <v>291</v>
      </c>
      <c r="C299" s="63" t="str">
        <f>IF($K299="","",INDEX('Detalle individual'!$A:$A,$K299))</f>
        <v>713</v>
      </c>
      <c r="D299" s="64" t="str">
        <f>IF($K299="","",TRIM(INDEX('Detalle individual'!$B:$B,$K299)))</f>
        <v>SANDRA VERONICA ACEVEDO BELTRAN</v>
      </c>
      <c r="E299" s="64" t="str">
        <f>IF($K299="","",TRIM(INDEX('Detalle individual'!$E:$E,$K299)))</f>
        <v>ASISTENTE PARA CORRESPONSALES FINANCIEROS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46309.68292824074</v>
      </c>
      <c r="J299" s="78">
        <f>IF($K299="","",IF(INDEX('Detalle individual'!$F:$F,$K299)="Completado",INDEX('Detalle individual'!$J:$J,$K299),""))</f>
        <v>100</v>
      </c>
      <c r="K299">
        <f>IFERROR(MOD(SMALL('Cálculos'!$Z$5:$Z$1000,291),10000),"")</f>
        <v>188</v>
      </c>
    </row>
    <row r="300">
      <c r="B300" s="63">
        <f>IF($K300="","",292)</f>
        <v>292</v>
      </c>
      <c r="C300" s="63" t="str">
        <f>IF($K300="","",INDEX('Detalle individual'!$A:$A,$K300))</f>
        <v>854</v>
      </c>
      <c r="D300" s="64" t="str">
        <f>IF($K300="","",TRIM(INDEX('Detalle individual'!$B:$B,$K300)))</f>
        <v>REBECA ABIGAIL VEGA FLORES</v>
      </c>
      <c r="E300" s="64" t="str">
        <f>IF($K300="","",TRIM(INDEX('Detalle individual'!$E:$E,$K300)))</f>
        <v>CAJERO MOVIL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46309.67223379629</v>
      </c>
      <c r="J300" s="78">
        <f>IF($K300="","",IF(INDEX('Detalle individual'!$F:$F,$K300)="Completado",INDEX('Detalle individual'!$J:$J,$K300),""))</f>
        <v>100</v>
      </c>
      <c r="K300">
        <f>IFERROR(MOD(SMALL('Cálculos'!$Z$5:$Z$1000,292),10000),"")</f>
        <v>189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IFERROR(MOD(SMALL('Cálculos'!$Z$5:$Z$1000,293),10000),"")</f>
        <v>190</v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56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CARLOS EDUARDO SERVELLON PEREZ</v>
      </c>
      <c r="B5" s="5" t="str">
        <f>IF($G5="","",INDEX('Detalle individual'!$A:$A,$G5))</f>
        <v>919</v>
      </c>
      <c r="C5" s="5" t="str">
        <f>IF($G5="","",INDEX('Detalle individual'!$E:$E,$G5))</f>
        <v>AUXILIAR DE EDUCACION Y RESPONSABILIDAD SOCIAL</v>
      </c>
      <c r="D5" s="5" t="str">
        <f>IF($G5="","",INDEX('Detalle individual'!$C:$C,$G5))</f>
        <v>DEPARTAMENTO DE EDUCACION Y RESPONSABILIDAD SOCIAL</v>
      </c>
      <c r="E5" s="5" t="str">
        <f>IF($G5="","",INDEX('Detalle individual'!$D:$D,$G5))</f>
        <v>Gerencia Administrativa</v>
      </c>
      <c r="G5">
        <f>IFERROR(MATCH(SMALL('Cálculos'!$AH$5:$AH$1000,1),'Cálculos'!$AH$5:$AH$1000,0)+4,"")</f>
        <v>58</v>
      </c>
    </row>
    <row r="6">
      <c r="A6" s="5" t="str">
        <f>IF($G6="","",INDEX('Detalle individual'!$B:$B,$G6))</f>
        <v>DORA ALICIA CASTILLO</v>
      </c>
      <c r="B6" s="5" t="str">
        <f>IF($G6="","",INDEX('Detalle individual'!$A:$A,$G6))</f>
        <v>65</v>
      </c>
      <c r="C6" s="5" t="str">
        <f>IF($G6="","",INDEX('Detalle individual'!$E:$E,$G6))</f>
        <v>JEFE DE TALENTO HUMANO</v>
      </c>
      <c r="D6" s="5" t="str">
        <f>IF($G6="","",INDEX('Detalle individual'!$C:$C,$G6))</f>
        <v>DEPARTAMENTO DE TALENTO HUMANO</v>
      </c>
      <c r="E6" s="5" t="str">
        <f>IF($G6="","",INDEX('Detalle individual'!$D:$D,$G6))</f>
        <v>Gerencia Administrativa</v>
      </c>
      <c r="G6">
        <f>IFERROR(MATCH(SMALL('Cálculos'!$AH$5:$AH$1000,2),'Cálculos'!$AH$5:$AH$1000,0)+4,"")</f>
        <v>49</v>
      </c>
    </row>
    <row r="7">
      <c r="A7" s="5" t="str">
        <f>IF($G7="","",INDEX('Detalle individual'!$B:$B,$G7))</f>
        <v>CLAUDIA MARLENE CABRERA SANCHEZ</v>
      </c>
      <c r="B7" s="5" t="str">
        <f>IF($G7="","",INDEX('Detalle individual'!$A:$A,$G7))</f>
        <v>235</v>
      </c>
      <c r="C7" s="5" t="str">
        <f>IF($G7="","",INDEX('Detalle individual'!$E:$E,$G7))</f>
        <v>SUPERVISOR DE CONTABILIDAD</v>
      </c>
      <c r="D7" s="5" t="str">
        <f>IF($G7="","",INDEX('Detalle individual'!$C:$C,$G7))</f>
        <v>DEPARTAMENTO DE CONTABILIDAD</v>
      </c>
      <c r="E7" s="5" t="str">
        <f>IF($G7="","",INDEX('Detalle individual'!$D:$D,$G7))</f>
        <v>Gerencia de Finanzas y Planificación</v>
      </c>
      <c r="G7">
        <f>IFERROR(MATCH(SMALL('Cálculos'!$AH$5:$AH$1000,3),'Cálculos'!$AH$5:$AH$1000,0)+4,"")</f>
        <v>86</v>
      </c>
    </row>
    <row r="8">
      <c r="A8" s="5" t="str">
        <f>IF($G8="","",INDEX('Detalle individual'!$B:$B,$G8))</f>
        <v>MILAGRO TRINIDAD ROMERO MONTERROSA</v>
      </c>
      <c r="B8" s="5" t="str">
        <f>IF($G8="","",INDEX('Detalle individual'!$A:$A,$G8))</f>
        <v>571</v>
      </c>
      <c r="C8" s="5" t="str">
        <f>IF($G8="","",INDEX('Detalle individual'!$E:$E,$G8))</f>
        <v>ASISTENTE TECNICO DE IMPUESTOS</v>
      </c>
      <c r="D8" s="5" t="str">
        <f>IF($G8="","",INDEX('Detalle individual'!$C:$C,$G8))</f>
        <v>DEPARTAMENTO DE CONTABILIDAD</v>
      </c>
      <c r="E8" s="5" t="str">
        <f>IF($G8="","",INDEX('Detalle individual'!$D:$D,$G8))</f>
        <v>Gerencia de Finanzas y Planificación</v>
      </c>
      <c r="G8">
        <f>IFERROR(MATCH(SMALL('Cálculos'!$AH$5:$AH$1000,4),'Cálculos'!$AH$5:$AH$1000,0)+4,"")</f>
        <v>89</v>
      </c>
    </row>
    <row r="9">
      <c r="A9" s="5" t="str">
        <f>IF($G9="","",INDEX('Detalle individual'!$B:$B,$G9))</f>
        <v>RAFAEL ANDRES MARAVILLA GUERRA</v>
      </c>
      <c r="B9" s="5" t="str">
        <f>IF($G9="","",INDEX('Detalle individual'!$A:$A,$G9))</f>
        <v>839</v>
      </c>
      <c r="C9" s="5" t="str">
        <f>IF($G9="","",INDEX('Detalle individual'!$E:$E,$G9))</f>
        <v>ASISTENTE DE ANALISIS Y NORMATIVAS</v>
      </c>
      <c r="D9" s="5" t="str">
        <f>IF($G9="","",INDEX('Detalle individual'!$C:$C,$G9))</f>
        <v>DEPARTAMENTO DE PLANIFICACIÓN Y ANALISIS</v>
      </c>
      <c r="E9" s="5" t="str">
        <f>IF($G9="","",INDEX('Detalle individual'!$D:$D,$G9))</f>
        <v>Gerencia de Finanzas y Planificación</v>
      </c>
      <c r="G9">
        <f>IFERROR(MATCH(SMALL('Cálculos'!$AH$5:$AH$1000,5),'Cálculos'!$AH$5:$AH$1000,0)+4,"")</f>
        <v>99</v>
      </c>
    </row>
    <row r="10">
      <c r="A10" s="5" t="str">
        <f>IF($G10="","",INDEX('Detalle individual'!$B:$B,$G10))</f>
        <v>BLANCA ARACELY MORENO HERNANDEZ</v>
      </c>
      <c r="B10" s="5" t="str">
        <f>IF($G10="","",INDEX('Detalle individual'!$A:$A,$G10))</f>
        <v>385</v>
      </c>
      <c r="C10" s="5" t="str">
        <f>IF($G10="","",INDEX('Detalle individual'!$E:$E,$G10))</f>
        <v>AUXILIAR DE OPERACIONES Y ATENCION EN AGENCIA</v>
      </c>
      <c r="D10" s="5" t="str">
        <f>IF($G10="","",INDEX('Detalle individual'!$C:$C,$G10))</f>
        <v>AGENCIA CENTRAL</v>
      </c>
      <c r="E10" s="5" t="str">
        <f>IF($G10="","",INDEX('Detalle individual'!$D:$D,$G10))</f>
        <v>Gerencia de Negocios</v>
      </c>
      <c r="G10">
        <f>IFERROR(MATCH(SMALL('Cálculos'!$AH$5:$AH$1000,6),'Cálculos'!$AH$5:$AH$1000,0)+4,"")</f>
        <v>195</v>
      </c>
    </row>
    <row r="11">
      <c r="A11" s="5" t="str">
        <f>IF($G11="","",INDEX('Detalle individual'!$B:$B,$G11))</f>
        <v>ELSY GUADALUPE COREA AGUILUZ</v>
      </c>
      <c r="B11" s="5" t="str">
        <f>IF($G11="","",INDEX('Detalle individual'!$A:$A,$G11))</f>
        <v>253</v>
      </c>
      <c r="C11" s="5" t="str">
        <f>IF($G11="","",INDEX('Detalle individual'!$E:$E,$G11))</f>
        <v>EJECUTIVO DE NEGOCIOS</v>
      </c>
      <c r="D11" s="5" t="str">
        <f>IF($G11="","",INDEX('Detalle individual'!$C:$C,$G11))</f>
        <v>AGENCIA CENTRAL</v>
      </c>
      <c r="E11" s="5" t="str">
        <f>IF($G11="","",INDEX('Detalle individual'!$D:$D,$G11))</f>
        <v>Gerencia de Negocios</v>
      </c>
      <c r="G11">
        <f>IFERROR(MATCH(SMALL('Cálculos'!$AH$5:$AH$1000,7),'Cálculos'!$AH$5:$AH$1000,0)+4,"")</f>
        <v>194</v>
      </c>
    </row>
    <row r="12">
      <c r="A12" s="5" t="str">
        <f>IF($G12="","",INDEX('Detalle individual'!$B:$B,$G12))</f>
        <v>ESTHER ABIGAIL FLORES GRANDE</v>
      </c>
      <c r="B12" s="5" t="str">
        <f>IF($G12="","",INDEX('Detalle individual'!$A:$A,$G12))</f>
        <v>857</v>
      </c>
      <c r="C12" s="5" t="str">
        <f>IF($G12="","",INDEX('Detalle individual'!$E:$E,$G12))</f>
        <v>AUXILIAR DE OPERACIONES Y ATENCION EN AGENCIA</v>
      </c>
      <c r="D12" s="5" t="str">
        <f>IF($G12="","",INDEX('Detalle individual'!$C:$C,$G12))</f>
        <v>AGENCIA CENTRAL</v>
      </c>
      <c r="E12" s="5" t="str">
        <f>IF($G12="","",INDEX('Detalle individual'!$D:$D,$G12))</f>
        <v>Gerencia de Negocios</v>
      </c>
      <c r="G12">
        <f>IFERROR(MATCH(SMALL('Cálculos'!$AH$5:$AH$1000,8),'Cálculos'!$AH$5:$AH$1000,0)+4,"")</f>
        <v>202</v>
      </c>
    </row>
    <row r="13">
      <c r="A13" s="5" t="str">
        <f>IF($G13="","",INDEX('Detalle individual'!$B:$B,$G13))</f>
        <v>GRISELDA DEL CARMEN DOMINGUEZ MERINO</v>
      </c>
      <c r="B13" s="5" t="str">
        <f>IF($G13="","",INDEX('Detalle individual'!$A:$A,$G13))</f>
        <v>49</v>
      </c>
      <c r="C13" s="5" t="str">
        <f>IF($G13="","",INDEX('Detalle individual'!$E:$E,$G13))</f>
        <v>EJECUTIVO DE NEGOCIOS</v>
      </c>
      <c r="D13" s="5" t="str">
        <f>IF($G13="","",INDEX('Detalle individual'!$C:$C,$G13))</f>
        <v>AGENCIA CENTRAL</v>
      </c>
      <c r="E13" s="5" t="str">
        <f>IF($G13="","",INDEX('Detalle individual'!$D:$D,$G13))</f>
        <v>Gerencia de Negocios</v>
      </c>
      <c r="G13">
        <f>IFERROR(MATCH(SMALL('Cálculos'!$AH$5:$AH$1000,9),'Cálculos'!$AH$5:$AH$1000,0)+4,"")</f>
        <v>192</v>
      </c>
    </row>
    <row r="14">
      <c r="A14" s="5" t="str">
        <f>IF($G14="","",INDEX('Detalle individual'!$B:$B,$G14))</f>
        <v>JAZMIN ABIGAIL VASQUEZ AVELAR</v>
      </c>
      <c r="B14" s="5" t="str">
        <f>IF($G14="","",INDEX('Detalle individual'!$A:$A,$G14))</f>
        <v>848</v>
      </c>
      <c r="C14" s="5" t="str">
        <f>IF($G14="","",INDEX('Detalle individual'!$E:$E,$G14))</f>
        <v>CAJERO</v>
      </c>
      <c r="D14" s="5" t="str">
        <f>IF($G14="","",INDEX('Detalle individual'!$C:$C,$G14))</f>
        <v>AGENCIA CENTRAL</v>
      </c>
      <c r="E14" s="5" t="str">
        <f>IF($G14="","",INDEX('Detalle individual'!$D:$D,$G14))</f>
        <v>Gerencia de Negocios</v>
      </c>
      <c r="G14">
        <f>IFERROR(MATCH(SMALL('Cálculos'!$AH$5:$AH$1000,10),'Cálculos'!$AH$5:$AH$1000,0)+4,"")</f>
        <v>201</v>
      </c>
    </row>
    <row r="15">
      <c r="A15" s="5" t="str">
        <f>IF($G15="","",INDEX('Detalle individual'!$B:$B,$G15))</f>
        <v>JOHANA PATRICIA LUNA RAMOS</v>
      </c>
      <c r="B15" s="5" t="str">
        <f>IF($G15="","",INDEX('Detalle individual'!$A:$A,$G15))</f>
        <v>739</v>
      </c>
      <c r="C15" s="5" t="str">
        <f>IF($G15="","",INDEX('Detalle individual'!$E:$E,$G15))</f>
        <v>CAJERO</v>
      </c>
      <c r="D15" s="5" t="str">
        <f>IF($G15="","",INDEX('Detalle individual'!$C:$C,$G15))</f>
        <v>AGENCIA CENTRAL</v>
      </c>
      <c r="E15" s="5" t="str">
        <f>IF($G15="","",INDEX('Detalle individual'!$D:$D,$G15))</f>
        <v>Gerencia de Negocios</v>
      </c>
      <c r="G15">
        <f>IFERROR(MATCH(SMALL('Cálculos'!$AH$5:$AH$1000,11),'Cálculos'!$AH$5:$AH$1000,0)+4,"")</f>
        <v>198</v>
      </c>
    </row>
    <row r="16">
      <c r="A16" s="5" t="str">
        <f>IF($G16="","",INDEX('Detalle individual'!$B:$B,$G16))</f>
        <v>KARLA MERCEDES DELEON DELGADO</v>
      </c>
      <c r="B16" s="5" t="str">
        <f>IF($G16="","",INDEX('Detalle individual'!$A:$A,$G16))</f>
        <v>440</v>
      </c>
      <c r="C16" s="5" t="str">
        <f>IF($G16="","",INDEX('Detalle individual'!$E:$E,$G16))</f>
        <v>JEFE DE AGENCIA</v>
      </c>
      <c r="D16" s="5" t="str">
        <f>IF($G16="","",INDEX('Detalle individual'!$C:$C,$G16))</f>
        <v>AGENCIA CENTRAL</v>
      </c>
      <c r="E16" s="5" t="str">
        <f>IF($G16="","",INDEX('Detalle individual'!$D:$D,$G16))</f>
        <v>Gerencia de Negocios</v>
      </c>
      <c r="G16">
        <f>IFERROR(MATCH(SMALL('Cálculos'!$AH$5:$AH$1000,12),'Cálculos'!$AH$5:$AH$1000,0)+4,"")</f>
        <v>196</v>
      </c>
    </row>
    <row r="17">
      <c r="A17" s="5" t="str">
        <f>IF($G17="","",INDEX('Detalle individual'!$B:$B,$G17))</f>
        <v>KATHERINE MICHELLE LOPEZ LOPEZ</v>
      </c>
      <c r="B17" s="5" t="str">
        <f>IF($G17="","",INDEX('Detalle individual'!$A:$A,$G17))</f>
        <v>768</v>
      </c>
      <c r="C17" s="5" t="str">
        <f>IF($G17="","",INDEX('Detalle individual'!$E:$E,$G17))</f>
        <v>AUXILIAR DE OPERACIONES Y ATENCION EN AGENCIA</v>
      </c>
      <c r="D17" s="5" t="str">
        <f>IF($G17="","",INDEX('Detalle individual'!$C:$C,$G17))</f>
        <v>AGENCIA CENTRAL</v>
      </c>
      <c r="E17" s="5" t="str">
        <f>IF($G17="","",INDEX('Detalle individual'!$D:$D,$G17))</f>
        <v>Gerencia de Negocios</v>
      </c>
      <c r="G17">
        <f>IFERROR(MATCH(SMALL('Cálculos'!$AH$5:$AH$1000,13),'Cálculos'!$AH$5:$AH$1000,0)+4,"")</f>
        <v>200</v>
      </c>
    </row>
    <row r="18">
      <c r="A18" s="5" t="str">
        <f>IF($G18="","",INDEX('Detalle individual'!$B:$B,$G18))</f>
        <v>LEIDY VANESSA GUZMAN SERVELLON</v>
      </c>
      <c r="B18" s="5" t="str">
        <f>IF($G18="","",INDEX('Detalle individual'!$A:$A,$G18))</f>
        <v>974</v>
      </c>
      <c r="C18" s="5" t="str">
        <f>IF($G18="","",INDEX('Detalle individual'!$E:$E,$G18))</f>
        <v>CAJERO</v>
      </c>
      <c r="D18" s="5" t="str">
        <f>IF($G18="","",INDEX('Detalle individual'!$C:$C,$G18))</f>
        <v>AGENCIA CENTRAL</v>
      </c>
      <c r="E18" s="5" t="str">
        <f>IF($G18="","",INDEX('Detalle individual'!$D:$D,$G18))</f>
        <v>Gerencia de Negocios</v>
      </c>
      <c r="G18">
        <f>IFERROR(MATCH(SMALL('Cálculos'!$AH$5:$AH$1000,14),'Cálculos'!$AH$5:$AH$1000,0)+4,"")</f>
        <v>207</v>
      </c>
    </row>
    <row r="19">
      <c r="A19" s="5" t="str">
        <f>IF($G19="","",INDEX('Detalle individual'!$B:$B,$G19))</f>
        <v>LETICIA ESMERALDA ROSA</v>
      </c>
      <c r="B19" s="5" t="str">
        <f>IF($G19="","",INDEX('Detalle individual'!$A:$A,$G19))</f>
        <v>234</v>
      </c>
      <c r="C19" s="5" t="str">
        <f>IF($G19="","",INDEX('Detalle individual'!$E:$E,$G19))</f>
        <v>EJECUTIVO DE NEGOCIOS</v>
      </c>
      <c r="D19" s="5" t="str">
        <f>IF($G19="","",INDEX('Detalle individual'!$C:$C,$G19))</f>
        <v>AGENCIA CENTRAL</v>
      </c>
      <c r="E19" s="5" t="str">
        <f>IF($G19="","",INDEX('Detalle individual'!$D:$D,$G19))</f>
        <v>Gerencia de Negocios</v>
      </c>
      <c r="G19">
        <f>IFERROR(MATCH(SMALL('Cálculos'!$AH$5:$AH$1000,15),'Cálculos'!$AH$5:$AH$1000,0)+4,"")</f>
        <v>193</v>
      </c>
    </row>
    <row r="20">
      <c r="A20" s="5" t="str">
        <f>IF($G20="","",INDEX('Detalle individual'!$B:$B,$G20))</f>
        <v>DORIS ELISA HERNANDEZ</v>
      </c>
      <c r="B20" s="5" t="str">
        <f>IF($G20="","",INDEX('Detalle individual'!$A:$A,$G20))</f>
        <v>466</v>
      </c>
      <c r="C20" s="5" t="str">
        <f>IF($G20="","",INDEX('Detalle individual'!$E:$E,$G20))</f>
        <v>SERVICIOS VARIOS</v>
      </c>
      <c r="D20" s="5" t="str">
        <f>IF($G20="","",INDEX('Detalle individual'!$C:$C,$G20))</f>
        <v>AGENCIA COLEGIO MEDICO</v>
      </c>
      <c r="E20" s="5" t="str">
        <f>IF($G20="","",INDEX('Detalle individual'!$D:$D,$G20))</f>
        <v>Gerencia de Negocios</v>
      </c>
      <c r="G20">
        <f>IFERROR(MATCH(SMALL('Cálculos'!$AH$5:$AH$1000,16),'Cálculos'!$AH$5:$AH$1000,0)+4,"")</f>
        <v>213</v>
      </c>
    </row>
    <row r="21">
      <c r="A21" s="5" t="str">
        <f>IF($G21="","",INDEX('Detalle individual'!$B:$B,$G21))</f>
        <v>FLOR IMELDA VILLALOBOS ARDON</v>
      </c>
      <c r="B21" s="5" t="str">
        <f>IF($G21="","",INDEX('Detalle individual'!$A:$A,$G21))</f>
        <v>26</v>
      </c>
      <c r="C21" s="5" t="str">
        <f>IF($G21="","",INDEX('Detalle individual'!$E:$E,$G21))</f>
        <v>EJECUTIVO DE NEGOCIOS</v>
      </c>
      <c r="D21" s="5" t="str">
        <f>IF($G21="","",INDEX('Detalle individual'!$C:$C,$G21))</f>
        <v>AGENCIA COLEGIO MEDICO</v>
      </c>
      <c r="E21" s="5" t="str">
        <f>IF($G21="","",INDEX('Detalle individual'!$D:$D,$G21))</f>
        <v>Gerencia de Negocios</v>
      </c>
      <c r="G21">
        <f>IFERROR(MATCH(SMALL('Cálculos'!$AH$5:$AH$1000,17),'Cálculos'!$AH$5:$AH$1000,0)+4,"")</f>
        <v>209</v>
      </c>
    </row>
    <row r="22">
      <c r="A22" s="5" t="str">
        <f>IF($G22="","",INDEX('Detalle individual'!$B:$B,$G22))</f>
        <v>ALFREDO ARMANDO RAMOS ESCOBAR</v>
      </c>
      <c r="B22" s="5" t="str">
        <f>IF($G22="","",INDEX('Detalle individual'!$A:$A,$G22))</f>
        <v>674</v>
      </c>
      <c r="C22" s="5" t="str">
        <f>IF($G22="","",INDEX('Detalle individual'!$E:$E,$G22))</f>
        <v>CAJERO</v>
      </c>
      <c r="D22" s="5" t="str">
        <f>IF($G22="","",INDEX('Detalle individual'!$C:$C,$G22))</f>
        <v>AGENCIA COLONIA MEDICA</v>
      </c>
      <c r="E22" s="5" t="str">
        <f>IF($G22="","",INDEX('Detalle individual'!$D:$D,$G22))</f>
        <v>Gerencia de Negocios</v>
      </c>
      <c r="G22">
        <f>IFERROR(MATCH(SMALL('Cálculos'!$AH$5:$AH$1000,18),'Cálculos'!$AH$5:$AH$1000,0)+4,"")</f>
        <v>263</v>
      </c>
    </row>
    <row r="23">
      <c r="A23" s="5" t="str">
        <f>IF($G23="","",INDEX('Detalle individual'!$B:$B,$G23))</f>
        <v>ANA MARGARITA SERRANO RUBIO</v>
      </c>
      <c r="B23" s="5" t="str">
        <f>IF($G23="","",INDEX('Detalle individual'!$A:$A,$G23))</f>
        <v>19</v>
      </c>
      <c r="C23" s="5" t="str">
        <f>IF($G23="","",INDEX('Detalle individual'!$E:$E,$G23))</f>
        <v>CAJERO</v>
      </c>
      <c r="D23" s="5" t="str">
        <f>IF($G23="","",INDEX('Detalle individual'!$C:$C,$G23))</f>
        <v>AGENCIA COLONIA MEDICA</v>
      </c>
      <c r="E23" s="5" t="str">
        <f>IF($G23="","",INDEX('Detalle individual'!$D:$D,$G23))</f>
        <v>Gerencia de Negocios</v>
      </c>
      <c r="G23">
        <f>IFERROR(MATCH(SMALL('Cálculos'!$AH$5:$AH$1000,19),'Cálculos'!$AH$5:$AH$1000,0)+4,"")</f>
        <v>257</v>
      </c>
    </row>
    <row r="24">
      <c r="A24" s="5" t="str">
        <f>IF($G24="","",INDEX('Detalle individual'!$B:$B,$G24))</f>
        <v>FLOR DE MARIA ROSALES SORTO</v>
      </c>
      <c r="B24" s="5" t="str">
        <f>IF($G24="","",INDEX('Detalle individual'!$A:$A,$G24))</f>
        <v>873</v>
      </c>
      <c r="C24" s="5" t="str">
        <f>IF($G24="","",INDEX('Detalle individual'!$E:$E,$G24))</f>
        <v>CAJERO</v>
      </c>
      <c r="D24" s="5" t="str">
        <f>IF($G24="","",INDEX('Detalle individual'!$C:$C,$G24))</f>
        <v>AGENCIA COLONIA MEDICA</v>
      </c>
      <c r="E24" s="5" t="str">
        <f>IF($G24="","",INDEX('Detalle individual'!$D:$D,$G24))</f>
        <v>Gerencia de Negocios</v>
      </c>
      <c r="G24">
        <f>IFERROR(MATCH(SMALL('Cálculos'!$AH$5:$AH$1000,20),'Cálculos'!$AH$5:$AH$1000,0)+4,"")</f>
        <v>269</v>
      </c>
    </row>
    <row r="25">
      <c r="A25" s="5" t="str">
        <f>IF($G25="","",INDEX('Detalle individual'!$B:$B,$G25))</f>
        <v>FLOR DEL CARMEN GONZALEZ HERNANDEZ</v>
      </c>
      <c r="B25" s="5" t="str">
        <f>IF($G25="","",INDEX('Detalle individual'!$A:$A,$G25))</f>
        <v>913</v>
      </c>
      <c r="C25" s="5" t="str">
        <f>IF($G25="","",INDEX('Detalle individual'!$E:$E,$G25))</f>
        <v>SERVICIOS VARIOS</v>
      </c>
      <c r="D25" s="5" t="str">
        <f>IF($G25="","",INDEX('Detalle individual'!$C:$C,$G25))</f>
        <v>AGENCIA COLONIA MEDICA</v>
      </c>
      <c r="E25" s="5" t="str">
        <f>IF($G25="","",INDEX('Detalle individual'!$D:$D,$G25))</f>
        <v>Gerencia de Negocios</v>
      </c>
      <c r="G25">
        <f>IFERROR(MATCH(SMALL('Cálculos'!$AH$5:$AH$1000,21),'Cálculos'!$AH$5:$AH$1000,0)+4,"")</f>
        <v>271</v>
      </c>
    </row>
    <row r="26">
      <c r="A26" s="5" t="str">
        <f>IF($G26="","",INDEX('Detalle individual'!$B:$B,$G26))</f>
        <v>JACQUELINE GUADALUPE CEA ALVARADO</v>
      </c>
      <c r="B26" s="5" t="str">
        <f>IF($G26="","",INDEX('Detalle individual'!$A:$A,$G26))</f>
        <v>933</v>
      </c>
      <c r="C26" s="5" t="str">
        <f>IF($G26="","",INDEX('Detalle individual'!$E:$E,$G26))</f>
        <v>EJECUTIVO DE NEGOCIOS</v>
      </c>
      <c r="D26" s="5" t="str">
        <f>IF($G26="","",INDEX('Detalle individual'!$C:$C,$G26))</f>
        <v>AGENCIA COLONIA MEDICA</v>
      </c>
      <c r="E26" s="5" t="str">
        <f>IF($G26="","",INDEX('Detalle individual'!$D:$D,$G26))</f>
        <v>Gerencia de Negocios</v>
      </c>
      <c r="G26">
        <f>IFERROR(MATCH(SMALL('Cálculos'!$AH$5:$AH$1000,22),'Cálculos'!$AH$5:$AH$1000,0)+4,"")</f>
        <v>272</v>
      </c>
    </row>
    <row r="27">
      <c r="A27" s="5" t="str">
        <f>IF($G27="","",INDEX('Detalle individual'!$B:$B,$G27))</f>
        <v>JULIO ENRIQUE CAMPOS ANDRADE</v>
      </c>
      <c r="B27" s="5" t="str">
        <f>IF($G27="","",INDEX('Detalle individual'!$A:$A,$G27))</f>
        <v>624</v>
      </c>
      <c r="C27" s="5" t="str">
        <f>IF($G27="","",INDEX('Detalle individual'!$E:$E,$G27))</f>
        <v>EJECUTIVO DE NEGOCIOS</v>
      </c>
      <c r="D27" s="5" t="str">
        <f>IF($G27="","",INDEX('Detalle individual'!$C:$C,$G27))</f>
        <v>AGENCIA COLONIA MEDICA</v>
      </c>
      <c r="E27" s="5" t="str">
        <f>IF($G27="","",INDEX('Detalle individual'!$D:$D,$G27))</f>
        <v>Gerencia de Negocios</v>
      </c>
      <c r="G27">
        <f>IFERROR(MATCH(SMALL('Cálculos'!$AH$5:$AH$1000,23),'Cálculos'!$AH$5:$AH$1000,0)+4,"")</f>
        <v>262</v>
      </c>
    </row>
    <row r="28">
      <c r="A28" s="5" t="str">
        <f>IF($G28="","",INDEX('Detalle individual'!$B:$B,$G28))</f>
        <v>STEFFANY MARIELOS MIRO HERNANDEZ</v>
      </c>
      <c r="B28" s="5" t="str">
        <f>IF($G28="","",INDEX('Detalle individual'!$A:$A,$G28))</f>
        <v>855</v>
      </c>
      <c r="C28" s="5" t="str">
        <f>IF($G28="","",INDEX('Detalle individual'!$E:$E,$G28))</f>
        <v>CAJERO</v>
      </c>
      <c r="D28" s="5" t="str">
        <f>IF($G28="","",INDEX('Detalle individual'!$C:$C,$G28))</f>
        <v>AGENCIA COLONIA MEDICA</v>
      </c>
      <c r="E28" s="5" t="str">
        <f>IF($G28="","",INDEX('Detalle individual'!$D:$D,$G28))</f>
        <v>Gerencia de Negocios</v>
      </c>
      <c r="G28">
        <f>IFERROR(MATCH(SMALL('Cálculos'!$AH$5:$AH$1000,24),'Cálculos'!$AH$5:$AH$1000,0)+4,"")</f>
        <v>268</v>
      </c>
    </row>
    <row r="29">
      <c r="A29" s="5" t="str">
        <f>IF($G29="","",INDEX('Detalle individual'!$B:$B,$G29))</f>
        <v>YESENIA LISSETH BARAHONA VALLE</v>
      </c>
      <c r="B29" s="5" t="str">
        <f>IF($G29="","",INDEX('Detalle individual'!$A:$A,$G29))</f>
        <v>891</v>
      </c>
      <c r="C29" s="5" t="str">
        <f>IF($G29="","",INDEX('Detalle individual'!$E:$E,$G29))</f>
        <v>AUXILIAR DE ATENCION AL ASOCIADO EN AGENCIA</v>
      </c>
      <c r="D29" s="5" t="str">
        <f>IF($G29="","",INDEX('Detalle individual'!$C:$C,$G29))</f>
        <v>AGENCIA COLONIA MEDICA</v>
      </c>
      <c r="E29" s="5" t="str">
        <f>IF($G29="","",INDEX('Detalle individual'!$D:$D,$G29))</f>
        <v>Gerencia de Negocios</v>
      </c>
      <c r="G29">
        <f>IFERROR(MATCH(SMALL('Cálculos'!$AH$5:$AH$1000,25),'Cálculos'!$AH$5:$AH$1000,0)+4,"")</f>
        <v>270</v>
      </c>
    </row>
    <row r="30">
      <c r="A30" s="5" t="str">
        <f>IF($G30="","",INDEX('Detalle individual'!$B:$B,$G30))</f>
        <v>YHANA MILET VALLE HERNANDEZ</v>
      </c>
      <c r="B30" s="5" t="str">
        <f>IF($G30="","",INDEX('Detalle individual'!$A:$A,$G30))</f>
        <v>735</v>
      </c>
      <c r="C30" s="5" t="str">
        <f>IF($G30="","",INDEX('Detalle individual'!$E:$E,$G30))</f>
        <v>CAJERO</v>
      </c>
      <c r="D30" s="5" t="str">
        <f>IF($G30="","",INDEX('Detalle individual'!$C:$C,$G30))</f>
        <v>AGENCIA COLONIA MEDICA</v>
      </c>
      <c r="E30" s="5" t="str">
        <f>IF($G30="","",INDEX('Detalle individual'!$D:$D,$G30))</f>
        <v>Gerencia de Negocios</v>
      </c>
      <c r="G30">
        <f>IFERROR(MATCH(SMALL('Cálculos'!$AH$5:$AH$1000,26),'Cálculos'!$AH$5:$AH$1000,0)+4,"")</f>
        <v>266</v>
      </c>
    </row>
    <row r="31">
      <c r="A31" s="5" t="str">
        <f>IF($G31="","",INDEX('Detalle individual'!$B:$B,$G31))</f>
        <v>CLELIA DESIREE CAMPOS COSS</v>
      </c>
      <c r="B31" s="5" t="str">
        <f>IF($G31="","",INDEX('Detalle individual'!$A:$A,$G31))</f>
        <v>657</v>
      </c>
      <c r="C31" s="5" t="str">
        <f>IF($G31="","",INDEX('Detalle individual'!$E:$E,$G31))</f>
        <v>SERVICIOS VARIOS</v>
      </c>
      <c r="D31" s="5" t="str">
        <f>IF($G31="","",INDEX('Detalle individual'!$C:$C,$G31))</f>
        <v>AGENCIA MERLIOT</v>
      </c>
      <c r="E31" s="5" t="str">
        <f>IF($G31="","",INDEX('Detalle individual'!$D:$D,$G31))</f>
        <v>Gerencia de Negocios</v>
      </c>
      <c r="G31">
        <f>IFERROR(MATCH(SMALL('Cálculos'!$AH$5:$AH$1000,27),'Cálculos'!$AH$5:$AH$1000,0)+4,"")</f>
        <v>247</v>
      </c>
    </row>
    <row r="32">
      <c r="A32" s="5" t="str">
        <f>IF($G32="","",INDEX('Detalle individual'!$B:$B,$G32))</f>
        <v>ZOILA AYDEE LARIOS</v>
      </c>
      <c r="B32" s="5" t="str">
        <f>IF($G32="","",INDEX('Detalle individual'!$A:$A,$G32))</f>
        <v>59</v>
      </c>
      <c r="C32" s="5" t="str">
        <f>IF($G32="","",INDEX('Detalle individual'!$E:$E,$G32))</f>
        <v>SERVICIOS VARIOS</v>
      </c>
      <c r="D32" s="5" t="str">
        <f>IF($G32="","",INDEX('Detalle individual'!$C:$C,$G32))</f>
        <v>AGENCIA PLAZA MUNDO</v>
      </c>
      <c r="E32" s="5" t="str">
        <f>IF($G32="","",INDEX('Detalle individual'!$D:$D,$G32))</f>
        <v>Gerencia de Negocios</v>
      </c>
      <c r="G32">
        <f>IFERROR(MATCH(SMALL('Cálculos'!$AH$5:$AH$1000,28),'Cálculos'!$AH$5:$AH$1000,0)+4,"")</f>
        <v>273</v>
      </c>
    </row>
    <row r="33">
      <c r="A33" s="5" t="str">
        <f>IF($G33="","",INDEX('Detalle individual'!$B:$B,$G33))</f>
        <v>SANDRA MARINA BERRIOS SANTOS</v>
      </c>
      <c r="B33" s="5" t="str">
        <f>IF($G33="","",INDEX('Detalle individual'!$A:$A,$G33))</f>
        <v>861</v>
      </c>
      <c r="C33" s="5" t="str">
        <f>IF($G33="","",INDEX('Detalle individual'!$E:$E,$G33))</f>
        <v>CAJERO</v>
      </c>
      <c r="D33" s="5" t="str">
        <f>IF($G33="","",INDEX('Detalle individual'!$C:$C,$G33))</f>
        <v>AGENCIA SAN MIGUEL</v>
      </c>
      <c r="E33" s="5" t="str">
        <f>IF($G33="","",INDEX('Detalle individual'!$D:$D,$G33))</f>
        <v>Gerencia de Negocios</v>
      </c>
      <c r="G33">
        <f>IFERROR(MATCH(SMALL('Cálculos'!$AH$5:$AH$1000,29),'Cálculos'!$AH$5:$AH$1000,0)+4,"")</f>
        <v>228</v>
      </c>
    </row>
    <row r="34">
      <c r="A34" s="5" t="str">
        <f>IF($G34="","",INDEX('Detalle individual'!$B:$B,$G34))</f>
        <v>ANA MARIA GIRON</v>
      </c>
      <c r="B34" s="5" t="str">
        <f>IF($G34="","",INDEX('Detalle individual'!$A:$A,$G34))</f>
        <v>168</v>
      </c>
      <c r="C34" s="5" t="str">
        <f>IF($G34="","",INDEX('Detalle individual'!$E:$E,$G34))</f>
        <v>EJECUTIVO DE NEGOCIOS</v>
      </c>
      <c r="D34" s="5" t="str">
        <f>IF($G34="","",INDEX('Detalle individual'!$C:$C,$G34))</f>
        <v>AGENCIA SANTA ANA</v>
      </c>
      <c r="E34" s="5" t="str">
        <f>IF($G34="","",INDEX('Detalle individual'!$D:$D,$G34))</f>
        <v>Gerencia de Negocios</v>
      </c>
      <c r="G34">
        <f>IFERROR(MATCH(SMALL('Cálculos'!$AH$5:$AH$1000,30),'Cálculos'!$AH$5:$AH$1000,0)+4,"")</f>
        <v>229</v>
      </c>
    </row>
    <row r="35">
      <c r="A35" s="5" t="str">
        <f>IF($G35="","",INDEX('Detalle individual'!$B:$B,$G35))</f>
        <v>IRVIN ADEMIR PERAZA MOLINA</v>
      </c>
      <c r="B35" s="5" t="str">
        <f>IF($G35="","",INDEX('Detalle individual'!$A:$A,$G35))</f>
        <v>747</v>
      </c>
      <c r="C35" s="5" t="str">
        <f>IF($G35="","",INDEX('Detalle individual'!$E:$E,$G35))</f>
        <v>EJECUTIVO DE SEGUROS</v>
      </c>
      <c r="D35" s="5" t="str">
        <f>IF($G35="","",INDEX('Detalle individual'!$C:$C,$G35))</f>
        <v>AGENCIA SANTA ANA</v>
      </c>
      <c r="E35" s="5" t="str">
        <f>IF($G35="","",INDEX('Detalle individual'!$D:$D,$G35))</f>
        <v>Gerencia de Negocios</v>
      </c>
      <c r="G35">
        <f>IFERROR(MATCH(SMALL('Cálculos'!$AH$5:$AH$1000,31),'Cálculos'!$AH$5:$AH$1000,0)+4,"")</f>
        <v>232</v>
      </c>
    </row>
    <row r="36">
      <c r="A36" s="5" t="str">
        <f>IF($G36="","",INDEX('Detalle individual'!$B:$B,$G36))</f>
        <v>JOSE CRISTOBAL LOPEZ ESQUIVEL</v>
      </c>
      <c r="B36" s="5" t="str">
        <f>IF($G36="","",INDEX('Detalle individual'!$A:$A,$G36))</f>
        <v>910</v>
      </c>
      <c r="C36" s="5" t="str">
        <f>IF($G36="","",INDEX('Detalle individual'!$E:$E,$G36))</f>
        <v>MENSAJERO</v>
      </c>
      <c r="D36" s="5" t="str">
        <f>IF($G36="","",INDEX('Detalle individual'!$C:$C,$G36))</f>
        <v>AGENCIA SANTA ANA</v>
      </c>
      <c r="E36" s="5" t="str">
        <f>IF($G36="","",INDEX('Detalle individual'!$D:$D,$G36))</f>
        <v>Gerencia de Negocios</v>
      </c>
      <c r="G36">
        <f>IFERROR(MATCH(SMALL('Cálculos'!$AH$5:$AH$1000,32),'Cálculos'!$AH$5:$AH$1000,0)+4,"")</f>
        <v>235</v>
      </c>
    </row>
    <row r="37">
      <c r="A37" s="5" t="str">
        <f>IF($G37="","",INDEX('Detalle individual'!$B:$B,$G37))</f>
        <v>SOFIA AZMINIA MENA ARGUETA</v>
      </c>
      <c r="B37" s="5" t="str">
        <f>IF($G37="","",INDEX('Detalle individual'!$A:$A,$G37))</f>
        <v>840</v>
      </c>
      <c r="C37" s="5" t="str">
        <f>IF($G37="","",INDEX('Detalle individual'!$E:$E,$G37))</f>
        <v>CAJERO</v>
      </c>
      <c r="D37" s="5" t="str">
        <f>IF($G37="","",INDEX('Detalle individual'!$C:$C,$G37))</f>
        <v>AGENCIA SANTA ANA</v>
      </c>
      <c r="E37" s="5" t="str">
        <f>IF($G37="","",INDEX('Detalle individual'!$D:$D,$G37))</f>
        <v>Gerencia de Negocios</v>
      </c>
      <c r="G37">
        <f>IFERROR(MATCH(SMALL('Cálculos'!$AH$5:$AH$1000,33),'Cálculos'!$AH$5:$AH$1000,0)+4,"")</f>
        <v>234</v>
      </c>
    </row>
    <row r="38">
      <c r="A38" s="5" t="str">
        <f>IF($G38="","",INDEX('Detalle individual'!$B:$B,$G38))</f>
        <v>JESSICA YAMILETH LEIVA VASQUEZ</v>
      </c>
      <c r="B38" s="5" t="str">
        <f>IF($G38="","",INDEX('Detalle individual'!$A:$A,$G38))</f>
        <v>575</v>
      </c>
      <c r="C38" s="5" t="str">
        <f>IF($G38="","",INDEX('Detalle individual'!$E:$E,$G38))</f>
        <v>EJECUTIVA DE SEGUROS</v>
      </c>
      <c r="D38" s="5" t="str">
        <f>IF($G38="","",INDEX('Detalle individual'!$C:$C,$G38))</f>
        <v>AGENCIA SONSONATE</v>
      </c>
      <c r="E38" s="5" t="str">
        <f>IF($G38="","",INDEX('Detalle individual'!$D:$D,$G38))</f>
        <v>Gerencia de Negocios</v>
      </c>
      <c r="G38">
        <f>IFERROR(MATCH(SMALL('Cálculos'!$AH$5:$AH$1000,34),'Cálculos'!$AH$5:$AH$1000,0)+4,"")</f>
        <v>241</v>
      </c>
    </row>
    <row r="39">
      <c r="A39" s="5" t="str">
        <f>IF($G39="","",INDEX('Detalle individual'!$B:$B,$G39))</f>
        <v>JOSE ALEXANDER TORRES PEREZ</v>
      </c>
      <c r="B39" s="5" t="str">
        <f>IF($G39="","",INDEX('Detalle individual'!$A:$A,$G39))</f>
        <v>448</v>
      </c>
      <c r="C39" s="5" t="str">
        <f>IF($G39="","",INDEX('Detalle individual'!$E:$E,$G39))</f>
        <v>MENSAJERO</v>
      </c>
      <c r="D39" s="5" t="str">
        <f>IF($G39="","",INDEX('Detalle individual'!$C:$C,$G39))</f>
        <v>AGENCIA SONSONATE</v>
      </c>
      <c r="E39" s="5" t="str">
        <f>IF($G39="","",INDEX('Detalle individual'!$D:$D,$G39))</f>
        <v>Gerencia de Negocios</v>
      </c>
      <c r="G39">
        <f>IFERROR(MATCH(SMALL('Cálculos'!$AH$5:$AH$1000,35),'Cálculos'!$AH$5:$AH$1000,0)+4,"")</f>
        <v>238</v>
      </c>
    </row>
    <row r="40">
      <c r="A40" s="5" t="str">
        <f>IF($G40="","",INDEX('Detalle individual'!$B:$B,$G40))</f>
        <v>JOSUE ALEXANDER PEREZ HENRIQUEZ</v>
      </c>
      <c r="B40" s="5" t="str">
        <f>IF($G40="","",INDEX('Detalle individual'!$A:$A,$G40))</f>
        <v>559</v>
      </c>
      <c r="C40" s="5" t="str">
        <f>IF($G40="","",INDEX('Detalle individual'!$E:$E,$G40))</f>
        <v>EJECUTIVO DE NEGOCIOS</v>
      </c>
      <c r="D40" s="5" t="str">
        <f>IF($G40="","",INDEX('Detalle individual'!$C:$C,$G40))</f>
        <v>AGENCIA SONSONATE</v>
      </c>
      <c r="E40" s="5" t="str">
        <f>IF($G40="","",INDEX('Detalle individual'!$D:$D,$G40))</f>
        <v>Gerencia de Negocios</v>
      </c>
      <c r="G40">
        <f>IFERROR(MATCH(SMALL('Cálculos'!$AH$5:$AH$1000,36),'Cálculos'!$AH$5:$AH$1000,0)+4,"")</f>
        <v>240</v>
      </c>
    </row>
    <row r="41">
      <c r="A41" s="5" t="str">
        <f>IF($G41="","",INDEX('Detalle individual'!$B:$B,$G41))</f>
        <v>KARLA MARCELA ESCOBAR TRIGUEROS</v>
      </c>
      <c r="B41" s="5" t="str">
        <f>IF($G41="","",INDEX('Detalle individual'!$A:$A,$G41))</f>
        <v>849</v>
      </c>
      <c r="C41" s="5" t="str">
        <f>IF($G41="","",INDEX('Detalle individual'!$E:$E,$G41))</f>
        <v>CAJERO</v>
      </c>
      <c r="D41" s="5" t="str">
        <f>IF($G41="","",INDEX('Detalle individual'!$C:$C,$G41))</f>
        <v>AGENCIA SONSONATE</v>
      </c>
      <c r="E41" s="5" t="str">
        <f>IF($G41="","",INDEX('Detalle individual'!$D:$D,$G41))</f>
        <v>Gerencia de Negocios</v>
      </c>
      <c r="G41">
        <f>IFERROR(MATCH(SMALL('Cálculos'!$AH$5:$AH$1000,37),'Cálculos'!$AH$5:$AH$1000,0)+4,"")</f>
        <v>243</v>
      </c>
    </row>
    <row r="42">
      <c r="A42" s="5" t="str">
        <f>IF($G42="","",INDEX('Detalle individual'!$B:$B,$G42))</f>
        <v>MARIA ANGELICA ESCOBAR RENDEROS</v>
      </c>
      <c r="B42" s="5" t="str">
        <f>IF($G42="","",INDEX('Detalle individual'!$A:$A,$G42))</f>
        <v>287</v>
      </c>
      <c r="C42" s="5" t="str">
        <f>IF($G42="","",INDEX('Detalle individual'!$E:$E,$G42))</f>
        <v>JEFE DE AGENCIA</v>
      </c>
      <c r="D42" s="5" t="str">
        <f>IF($G42="","",INDEX('Detalle individual'!$C:$C,$G42))</f>
        <v>AGENCIA SONSONATE</v>
      </c>
      <c r="E42" s="5" t="str">
        <f>IF($G42="","",INDEX('Detalle individual'!$D:$D,$G42))</f>
        <v>Gerencia de Negocios</v>
      </c>
      <c r="G42">
        <f>IFERROR(MATCH(SMALL('Cálculos'!$AH$5:$AH$1000,38),'Cálculos'!$AH$5:$AH$1000,0)+4,"")</f>
        <v>237</v>
      </c>
    </row>
    <row r="43">
      <c r="A43" s="5" t="str">
        <f>IF($G43="","",INDEX('Detalle individual'!$B:$B,$G43))</f>
        <v>XIOMARA BEATRIZ MARTINEZ SERMEÑO</v>
      </c>
      <c r="B43" s="5" t="str">
        <f>IF($G43="","",INDEX('Detalle individual'!$A:$A,$G43))</f>
        <v>526</v>
      </c>
      <c r="C43" s="5" t="str">
        <f>IF($G43="","",INDEX('Detalle individual'!$E:$E,$G43))</f>
        <v>SUBJEFE DE AGENCIA</v>
      </c>
      <c r="D43" s="5" t="str">
        <f>IF($G43="","",INDEX('Detalle individual'!$C:$C,$G43))</f>
        <v>AGENCIA SONSONATE</v>
      </c>
      <c r="E43" s="5" t="str">
        <f>IF($G43="","",INDEX('Detalle individual'!$D:$D,$G43))</f>
        <v>Gerencia de Negocios</v>
      </c>
      <c r="G43">
        <f>IFERROR(MATCH(SMALL('Cálculos'!$AH$5:$AH$1000,39),'Cálculos'!$AH$5:$AH$1000,0)+4,"")</f>
        <v>239</v>
      </c>
    </row>
    <row r="44">
      <c r="A44" s="5" t="str">
        <f>IF($G44="","",INDEX('Detalle individual'!$B:$B,$G44))</f>
        <v>LUIS ALBERTO MEJIA DELGADO</v>
      </c>
      <c r="B44" s="5" t="str">
        <f>IF($G44="","",INDEX('Detalle individual'!$A:$A,$G44))</f>
        <v>835</v>
      </c>
      <c r="C44" s="5" t="str">
        <f>IF($G44="","",INDEX('Detalle individual'!$E:$E,$G44))</f>
        <v>EJECUTIVO DE NEGOCIOS</v>
      </c>
      <c r="D44" s="5" t="str">
        <f>IF($G44="","",INDEX('Detalle individual'!$C:$C,$G44))</f>
        <v>DEPARTAMENTO COMERCIAL DE TARJETA DE CREDITO Y DEBITO</v>
      </c>
      <c r="E44" s="5" t="str">
        <f>IF($G44="","",INDEX('Detalle individual'!$D:$D,$G44))</f>
        <v>Gerencia de Negocios</v>
      </c>
      <c r="G44">
        <f>IFERROR(MATCH(SMALL('Cálculos'!$AH$5:$AH$1000,40),'Cálculos'!$AH$5:$AH$1000,0)+4,"")</f>
        <v>182</v>
      </c>
    </row>
    <row r="45">
      <c r="A45" s="5" t="str">
        <f>IF($G45="","",INDEX('Detalle individual'!$B:$B,$G45))</f>
        <v>ALAN RODRIGO BENITEZ RODRIGUEZ</v>
      </c>
      <c r="B45" s="5" t="str">
        <f>IF($G45="","",INDEX('Detalle individual'!$A:$A,$G45))</f>
        <v>981</v>
      </c>
      <c r="C45" s="5" t="str">
        <f>IF($G45="","",INDEX('Detalle individual'!$E:$E,$G45))</f>
        <v>PASANTE</v>
      </c>
      <c r="D45" s="5" t="str">
        <f>IF($G45="","",INDEX('Detalle individual'!$C:$C,$G45))</f>
        <v>DEPARTAMENTO DE ATENCION A ASOCIADO Y CLIENTE</v>
      </c>
      <c r="E45" s="5" t="str">
        <f>IF($G45="","",INDEX('Detalle individual'!$D:$D,$G45))</f>
        <v>Gerencia de Negocios</v>
      </c>
      <c r="G45">
        <f>IFERROR(MATCH(SMALL('Cálculos'!$AH$5:$AH$1000,41),'Cálculos'!$AH$5:$AH$1000,0)+4,"")</f>
        <v>144</v>
      </c>
    </row>
    <row r="46">
      <c r="A46" s="5" t="str">
        <f>IF($G46="","",INDEX('Detalle individual'!$B:$B,$G46))</f>
        <v>CARMEN MARIA GUTIERREZ ESTRADA</v>
      </c>
      <c r="B46" s="5" t="str">
        <f>IF($G46="","",INDEX('Detalle individual'!$A:$A,$G46))</f>
        <v>591</v>
      </c>
      <c r="C46" s="5" t="str">
        <f>IF($G46="","",INDEX('Detalle individual'!$E:$E,$G46))</f>
        <v>JEFE DE MERCADEO</v>
      </c>
      <c r="D46" s="5" t="str">
        <f>IF($G46="","",INDEX('Detalle individual'!$C:$C,$G46))</f>
        <v>DEPARTAMENTO DE MERCADEO</v>
      </c>
      <c r="E46" s="5" t="str">
        <f>IF($G46="","",INDEX('Detalle individual'!$D:$D,$G46))</f>
        <v>Gerencia de Negocios</v>
      </c>
      <c r="G46">
        <f>IFERROR(MATCH(SMALL('Cálculos'!$AH$5:$AH$1000,42),'Cálculos'!$AH$5:$AH$1000,0)+4,"")</f>
        <v>147</v>
      </c>
    </row>
    <row r="47">
      <c r="A47" s="5" t="str">
        <f>IF($G47="","",INDEX('Detalle individual'!$B:$B,$G47))</f>
        <v>GERARDO ALEXANDER MARTINEZ RIVERA</v>
      </c>
      <c r="B47" s="5" t="str">
        <f>IF($G47="","",INDEX('Detalle individual'!$A:$A,$G47))</f>
        <v>897</v>
      </c>
      <c r="C47" s="5" t="str">
        <f>IF($G47="","",INDEX('Detalle individual'!$E:$E,$G47))</f>
        <v>ANALISTA DE COMUNICACIONES</v>
      </c>
      <c r="D47" s="5" t="str">
        <f>IF($G47="","",INDEX('Detalle individual'!$C:$C,$G47))</f>
        <v>DEPARTAMENTO DE MERCADEO</v>
      </c>
      <c r="E47" s="5" t="str">
        <f>IF($G47="","",INDEX('Detalle individual'!$D:$D,$G47))</f>
        <v>Gerencia de Negocios</v>
      </c>
      <c r="G47">
        <f>IFERROR(MATCH(SMALL('Cálculos'!$AH$5:$AH$1000,43),'Cálculos'!$AH$5:$AH$1000,0)+4,"")</f>
        <v>150</v>
      </c>
    </row>
    <row r="48">
      <c r="A48" s="5" t="str">
        <f>IF($G48="","",INDEX('Detalle individual'!$B:$B,$G48))</f>
        <v>JOSE CARLOS IRENEO HERNANDEZ RODRIGUEZ</v>
      </c>
      <c r="B48" s="5" t="str">
        <f>IF($G48="","",INDEX('Detalle individual'!$A:$A,$G48))</f>
        <v>361</v>
      </c>
      <c r="C48" s="5" t="str">
        <f>IF($G48="","",INDEX('Detalle individual'!$E:$E,$G48))</f>
        <v>ASISTENTE TECNICO DE MERCADEO</v>
      </c>
      <c r="D48" s="5" t="str">
        <f>IF($G48="","",INDEX('Detalle individual'!$C:$C,$G48))</f>
        <v>DEPARTAMENTO DE MERCADEO</v>
      </c>
      <c r="E48" s="5" t="str">
        <f>IF($G48="","",INDEX('Detalle individual'!$D:$D,$G48))</f>
        <v>Gerencia de Negocios</v>
      </c>
      <c r="G48">
        <f>IFERROR(MATCH(SMALL('Cálculos'!$AH$5:$AH$1000,44),'Cálculos'!$AH$5:$AH$1000,0)+4,"")</f>
        <v>146</v>
      </c>
    </row>
    <row r="49">
      <c r="A49" s="5" t="str">
        <f>IF($G49="","",INDEX('Detalle individual'!$B:$B,$G49))</f>
        <v>LUIS FAUSTONY VASQUEZ CIENFUEGOS</v>
      </c>
      <c r="B49" s="5" t="str">
        <f>IF($G49="","",INDEX('Detalle individual'!$A:$A,$G49))</f>
        <v>723</v>
      </c>
      <c r="C49" s="5" t="str">
        <f>IF($G49="","",INDEX('Detalle individual'!$E:$E,$G49))</f>
        <v>GESTOR DE DOCUMENTOS</v>
      </c>
      <c r="D49" s="5" t="str">
        <f>IF($G49="","",INDEX('Detalle individual'!$C:$C,$G49))</f>
        <v>DEPARTAMENTO DE MERCADEO</v>
      </c>
      <c r="E49" s="5" t="str">
        <f>IF($G49="","",INDEX('Detalle individual'!$D:$D,$G49))</f>
        <v>Gerencia de Negocios</v>
      </c>
      <c r="G49">
        <f>IFERROR(MATCH(SMALL('Cálculos'!$AH$5:$AH$1000,45),'Cálculos'!$AH$5:$AH$1000,0)+4,"")</f>
        <v>148</v>
      </c>
    </row>
    <row r="50">
      <c r="A50" s="5" t="str">
        <f>IF($G50="","",INDEX('Detalle individual'!$B:$B,$G50))</f>
        <v>MARIA ALEJANDRA BATRES ALVARADO</v>
      </c>
      <c r="B50" s="5" t="str">
        <f>IF($G50="","",INDEX('Detalle individual'!$A:$A,$G50))</f>
        <v>895</v>
      </c>
      <c r="C50" s="5" t="str">
        <f>IF($G50="","",INDEX('Detalle individual'!$E:$E,$G50))</f>
        <v>DISEÑADOR GRAFICO</v>
      </c>
      <c r="D50" s="5" t="str">
        <f>IF($G50="","",INDEX('Detalle individual'!$C:$C,$G50))</f>
        <v>DEPARTAMENTO DE MERCADEO</v>
      </c>
      <c r="E50" s="5" t="str">
        <f>IF($G50="","",INDEX('Detalle individual'!$D:$D,$G50))</f>
        <v>Gerencia de Negocios</v>
      </c>
      <c r="G50">
        <f>IFERROR(MATCH(SMALL('Cálculos'!$AH$5:$AH$1000,46),'Cálculos'!$AH$5:$AH$1000,0)+4,"")</f>
        <v>149</v>
      </c>
    </row>
    <row r="51">
      <c r="A51" s="5" t="str">
        <f>IF($G51="","",INDEX('Detalle individual'!$B:$B,$G51))</f>
        <v>ERIKA VANESSA ALEMAN MIJANGO</v>
      </c>
      <c r="B51" s="5" t="str">
        <f>IF($G51="","",INDEX('Detalle individual'!$A:$A,$G51))</f>
        <v>802</v>
      </c>
      <c r="C51" s="5" t="str">
        <f>IF($G51="","",INDEX('Detalle individual'!$E:$E,$G51))</f>
        <v>EJECUTIVO DE VENTA DE SEGUROS</v>
      </c>
      <c r="D51" s="5" t="str">
        <f>IF($G51="","",INDEX('Detalle individual'!$C:$C,$G51))</f>
        <v>DEPARTAMENTO DE SEGUROS</v>
      </c>
      <c r="E51" s="5" t="str">
        <f>IF($G51="","",INDEX('Detalle individual'!$D:$D,$G51))</f>
        <v>Gerencia de Negocios</v>
      </c>
      <c r="G51">
        <f>IFERROR(MATCH(SMALL('Cálculos'!$AH$5:$AH$1000,47),'Cálculos'!$AH$5:$AH$1000,0)+4,"")</f>
        <v>172</v>
      </c>
    </row>
    <row r="52">
      <c r="A52" s="5" t="str">
        <f>IF($G52="","",INDEX('Detalle individual'!$B:$B,$G52))</f>
        <v>JOSE HUMBERTO BARILLAS BURGOS</v>
      </c>
      <c r="B52" s="5" t="str">
        <f>IF($G52="","",INDEX('Detalle individual'!$A:$A,$G52))</f>
        <v>741</v>
      </c>
      <c r="C52" s="5" t="str">
        <f>IF($G52="","",INDEX('Detalle individual'!$E:$E,$G52))</f>
        <v>GERENTE DE NEGOCIOS</v>
      </c>
      <c r="D52" s="5" t="str">
        <f>IF($G52="","",INDEX('Detalle individual'!$C:$C,$G52))</f>
        <v>GERENCIA DE NEGOCIOS</v>
      </c>
      <c r="E52" s="5" t="str">
        <f>IF($G52="","",INDEX('Detalle individual'!$D:$D,$G52))</f>
        <v>Gerencia de Negocios</v>
      </c>
      <c r="G52">
        <f>IFERROR(MATCH(SMALL('Cálculos'!$AH$5:$AH$1000,48),'Cálculos'!$AH$5:$AH$1000,0)+4,"")</f>
        <v>11</v>
      </c>
    </row>
    <row r="53">
      <c r="A53" s="5" t="str">
        <f>IF($G53="","",INDEX('Detalle individual'!$B:$B,$G53))</f>
        <v>RICARDO JOSUE CACAO ROVELO</v>
      </c>
      <c r="B53" s="5" t="str">
        <f>IF($G53="","",INDEX('Detalle individual'!$A:$A,$G53))</f>
        <v>732</v>
      </c>
      <c r="C53" s="5" t="str">
        <f>IF($G53="","",INDEX('Detalle individual'!$E:$E,$G53))</f>
        <v>ANALISTA DE CARTERAS</v>
      </c>
      <c r="D53" s="5" t="str">
        <f>IF($G53="","",INDEX('Detalle individual'!$C:$C,$G53))</f>
        <v>ADMINISTRACIÓN DE CARTERAS</v>
      </c>
      <c r="E53" s="5" t="str">
        <f>IF($G53="","",INDEX('Detalle individual'!$D:$D,$G53))</f>
        <v>Gerencia de Operaciones</v>
      </c>
      <c r="G53">
        <f>IFERROR(MATCH(SMALL('Cálculos'!$AH$5:$AH$1000,49),'Cálculos'!$AH$5:$AH$1000,0)+4,"")</f>
        <v>82</v>
      </c>
    </row>
    <row r="54">
      <c r="A54" s="5" t="str">
        <f>IF($G54="","",INDEX('Detalle individual'!$B:$B,$G54))</f>
        <v>ALBA BEATRIZ MELENDEZ PRUDENCIO</v>
      </c>
      <c r="B54" s="5" t="str">
        <f>IF($G54="","",INDEX('Detalle individual'!$A:$A,$G54))</f>
        <v>885</v>
      </c>
      <c r="C54" s="5" t="str">
        <f>IF($G54="","",INDEX('Detalle individual'!$E:$E,$G54))</f>
        <v>ASISTENTE DE RECUPERACION JUDICIAL Y CARTERA CASTIGADA</v>
      </c>
      <c r="D54" s="5" t="str">
        <f>IF($G54="","",INDEX('Detalle individual'!$C:$C,$G54))</f>
        <v>DEPARTAMENTO DE SOLUCIONES FINANCIERAS</v>
      </c>
      <c r="E54" s="5" t="str">
        <f>IF($G54="","",INDEX('Detalle individual'!$D:$D,$G54))</f>
        <v>Gerencia de Operaciones</v>
      </c>
      <c r="G54">
        <f>IFERROR(MATCH(SMALL('Cálculos'!$AH$5:$AH$1000,50),'Cálculos'!$AH$5:$AH$1000,0)+4,"")</f>
        <v>68</v>
      </c>
    </row>
    <row r="55">
      <c r="A55" s="5" t="str">
        <f>IF($G55="","",INDEX('Detalle individual'!$B:$B,$G55))</f>
        <v>CLAUDIA CAROLINA HERNANDEZ DE PAZ</v>
      </c>
      <c r="B55" s="5" t="str">
        <f>IF($G55="","",INDEX('Detalle individual'!$A:$A,$G55))</f>
        <v>389</v>
      </c>
      <c r="C55" s="5" t="str">
        <f>IF($G55="","",INDEX('Detalle individual'!$E:$E,$G55))</f>
        <v>ASISTENTE TECNICO DE INTERCAMBIO DE TARJETAS</v>
      </c>
      <c r="D55" s="5" t="str">
        <f>IF($G55="","",INDEX('Detalle individual'!$C:$C,$G55))</f>
        <v>DEPARTAMENTO DE TARJETA DE CREDITO Y DEBITO</v>
      </c>
      <c r="E55" s="5" t="str">
        <f>IF($G55="","",INDEX('Detalle individual'!$D:$D,$G55))</f>
        <v>Gerencia de Operaciones</v>
      </c>
      <c r="G55">
        <f>IFERROR(MATCH(SMALL('Cálculos'!$AH$5:$AH$1000,51),'Cálculos'!$AH$5:$AH$1000,0)+4,"")</f>
        <v>69</v>
      </c>
    </row>
    <row r="56">
      <c r="A56" s="5" t="str">
        <f>IF($G56="","",INDEX('Detalle individual'!$B:$B,$G56))</f>
        <v>GEOVANNI LIZAMA PORTILLO</v>
      </c>
      <c r="B56" s="5" t="str">
        <f>IF($G56="","",INDEX('Detalle individual'!$A:$A,$G56))</f>
        <v>399</v>
      </c>
      <c r="C56" s="5" t="str">
        <f>IF($G56="","",INDEX('Detalle individual'!$E:$E,$G56))</f>
        <v>JEFE DE TARJETA DE CREDITO Y DEBITO</v>
      </c>
      <c r="D56" s="5" t="str">
        <f>IF($G56="","",INDEX('Detalle individual'!$C:$C,$G56))</f>
        <v>DEPARTAMENTO DE TARJETA DE CREDITO Y DEBITO</v>
      </c>
      <c r="E56" s="5" t="str">
        <f>IF($G56="","",INDEX('Detalle individual'!$D:$D,$G56))</f>
        <v>Gerencia de Operaciones</v>
      </c>
      <c r="G56">
        <f>IFERROR(MATCH(SMALL('Cálculos'!$AH$5:$AH$1000,52),'Cálculos'!$AH$5:$AH$1000,0)+4,"")</f>
        <v>70</v>
      </c>
    </row>
    <row r="57">
      <c r="A57" s="5" t="str">
        <f>IF($G57="","",INDEX('Detalle individual'!$B:$B,$G57))</f>
        <v>ROQUE RAFAEL REYES ESPINAL</v>
      </c>
      <c r="B57" s="5" t="str">
        <f>IF($G57="","",INDEX('Detalle individual'!$A:$A,$G57))</f>
        <v>41</v>
      </c>
      <c r="C57" s="5" t="str">
        <f>IF($G57="","",INDEX('Detalle individual'!$E:$E,$G57))</f>
        <v>GERENTE DE OPERACIONES</v>
      </c>
      <c r="D57" s="5" t="str">
        <f>IF($G57="","",INDEX('Detalle individual'!$C:$C,$G57))</f>
        <v>GERENCIA DE OPERACIONES</v>
      </c>
      <c r="E57" s="5" t="str">
        <f>IF($G57="","",INDEX('Detalle individual'!$D:$D,$G57))</f>
        <v>Gerencia de Operaciones</v>
      </c>
      <c r="G57">
        <f>IFERROR(MATCH(SMALL('Cálculos'!$AH$5:$AH$1000,53),'Cálculos'!$AH$5:$AH$1000,0)+4,"")</f>
        <v>7</v>
      </c>
    </row>
    <row r="58">
      <c r="A58" s="5" t="str">
        <f>IF($G58="","",INDEX('Detalle individual'!$B:$B,$G58))</f>
        <v>ALEJANDRA VERONICA CENTENO LOPEZ</v>
      </c>
      <c r="B58" s="5" t="str">
        <f>IF($G58="","",INDEX('Detalle individual'!$A:$A,$G58))</f>
        <v>899</v>
      </c>
      <c r="C58" s="5" t="str">
        <f>IF($G58="","",INDEX('Detalle individual'!$E:$E,$G58))</f>
        <v>ANALISTA PROGRAMADOR</v>
      </c>
      <c r="D58" s="5" t="str">
        <f>IF($G58="","",INDEX('Detalle individual'!$C:$C,$G58))</f>
        <v>DEPARTAMENTO DE ANALISIS Y PROGRAMACIÓN</v>
      </c>
      <c r="E58" s="5" t="str">
        <f>IF($G58="","",INDEX('Detalle individual'!$D:$D,$G58))</f>
        <v>Gerencia de Sistemas</v>
      </c>
      <c r="G58">
        <f>IFERROR(MATCH(SMALL('Cálculos'!$AH$5:$AH$1000,54),'Cálculos'!$AH$5:$AH$1000,0)+4,"")</f>
        <v>121</v>
      </c>
    </row>
    <row r="59">
      <c r="A59" s="5" t="str">
        <f>IF($G59="","",INDEX('Detalle individual'!$B:$B,$G59))</f>
        <v>HUGO MARVIN SERRANO SARAVIA</v>
      </c>
      <c r="B59" s="5" t="str">
        <f>IF($G59="","",INDEX('Detalle individual'!$A:$A,$G59))</f>
        <v>90</v>
      </c>
      <c r="C59" s="5" t="str">
        <f>IF($G59="","",INDEX('Detalle individual'!$E:$E,$G59))</f>
        <v>OPERADOR DE SISTEMAS</v>
      </c>
      <c r="D59" s="5" t="str">
        <f>IF($G59="","",INDEX('Detalle individual'!$C:$C,$G59))</f>
        <v>DEPARTAMENTO DE OPERACIONES Y SOPORTE TECNICO</v>
      </c>
      <c r="E59" s="5" t="str">
        <f>IF($G59="","",INDEX('Detalle individual'!$D:$D,$G59))</f>
        <v>Gerencia de Sistemas</v>
      </c>
      <c r="G59">
        <f>IFERROR(MATCH(SMALL('Cálculos'!$AH$5:$AH$1000,55),'Cálculos'!$AH$5:$AH$1000,0)+4,"")</f>
        <v>104</v>
      </c>
    </row>
    <row r="60">
      <c r="A60" s="5" t="str">
        <f>IF($G60="","",INDEX('Detalle individual'!$B:$B,$G60))</f>
        <v>ALEX VIRGILIO AGUILAR ARIAS</v>
      </c>
      <c r="B60" s="5" t="str">
        <f>IF($G60="","",INDEX('Detalle individual'!$A:$A,$G60))</f>
        <v>878</v>
      </c>
      <c r="C60" s="5" t="str">
        <f>IF($G60="","",INDEX('Detalle individual'!$E:$E,$G60))</f>
        <v>GERENTE DE SISTEMAS</v>
      </c>
      <c r="D60" s="5" t="str">
        <f>IF($G60="","",INDEX('Detalle individual'!$C:$C,$G60))</f>
        <v>GERENCIA DE SISTEMAS</v>
      </c>
      <c r="E60" s="5" t="str">
        <f>IF($G60="","",INDEX('Detalle individual'!$D:$D,$G60))</f>
        <v>Gerencia de Sistemas</v>
      </c>
      <c r="G60">
        <f>IFERROR(MATCH(SMALL('Cálculos'!$AH$5:$AH$1000,56),'Cálculos'!$AH$5:$AH$1000,0)+4,"")</f>
        <v>9</v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IFERROR(MATCH(SMALL('Cálculos'!$AH$5:$AH$1000,57),'Cálculos'!$AH$5:$AH$1000,0)+4,"")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IFERROR(MATCH(SMALL('Cálculos'!$AH$5:$AH$1000,58),'Cálculos'!$AH$5:$AH$1000,0)+4,"")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IFERROR(MATCH(SMALL('Cálculos'!$AH$5:$AH$1000,59),'Cálculos'!$AH$5:$AH$1000,0)+4,"")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IFERROR(MATCH(SMALL('Cálculos'!$AH$5:$AH$1000,60),'Cálculos'!$AH$5:$AH$1000,0)+4,"")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237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STEPHANIE CAROLINA MALDONADO FLORES</v>
      </c>
      <c r="B21" s="5" t="str">
        <f>IF($J21="","",INDEX('Detalle individual'!$A:$A,$J21))</f>
        <v>853</v>
      </c>
      <c r="C21" s="5" t="str">
        <f>IF($J21="","",INDEX('Detalle individual'!$E:$E,$J21))</f>
        <v>ASISTENTE TECNICO DEPARTAMENTO DE EDUCACION Y RESPONSABILIDA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46301.64635416667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57</v>
      </c>
    </row>
    <row r="22">
      <c r="A22" s="5" t="str">
        <f>IF($J22="","",INDEX('Detalle individual'!$B:$B,$J22))</f>
        <v>ZULEYMA ALEJANDRA VASQUEZ MARIN</v>
      </c>
      <c r="B22" s="5" t="str">
        <f>IF($J22="","",INDEX('Detalle individual'!$A:$A,$J22))</f>
        <v>847</v>
      </c>
      <c r="C22" s="5" t="str">
        <f>IF($J22="","",INDEX('Detalle individual'!$E:$E,$J22))</f>
        <v>JEFE DE EDUCACION Y RESPONSABILIDAD SOCIAL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96">
        <f>IF($J22="","",INDEX('Detalle individual'!$H:$H,$J22))</f>
        <v>46309.741215277776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56</v>
      </c>
    </row>
    <row r="23">
      <c r="A23" s="5" t="str">
        <f>IF($J23="","",INDEX('Detalle individual'!$B:$B,$J23))</f>
        <v>CARLOS ALEJANDRO MARAVILLA MENDEZ</v>
      </c>
      <c r="B23" s="5" t="str">
        <f>IF($J23="","",INDEX('Detalle individual'!$A:$A,$J23))</f>
        <v>901</v>
      </c>
      <c r="C23" s="5" t="str">
        <f>IF($J23="","",INDEX('Detalle individual'!$E:$E,$J23))</f>
        <v>OPERADOR DE MONITOREO DE LOS SISTEMAS DE SEGURIDAD</v>
      </c>
      <c r="D23" s="5" t="str">
        <f>IF($J23="","",INDEX('Detalle individual'!$C:$C,$J23))</f>
        <v>DEPARTAMENTO DE SEGURIDAD</v>
      </c>
      <c r="E23" s="5" t="str">
        <f>IF($J23="","",INDEX('Detalle individual'!$D:$D,$J23))</f>
        <v>Gerencia Administrativa</v>
      </c>
      <c r="F23" s="96">
        <f>IF($J23="","",INDEX('Detalle individual'!$H:$H,$J23))</f>
        <v>46296.45633101852</v>
      </c>
      <c r="G23" s="102">
        <f>IF($J23="","",INDEX('Detalle individual'!$J:$J,$J23))</f>
        <v>100</v>
      </c>
      <c r="H23" s="102">
        <f>IF($J23="","",INDEX('Detalle individual'!$L:$L,$J23))</f>
        <v>1</v>
      </c>
      <c r="J23">
        <f>IFERROR(MATCH(SMALL('Cálculos'!$AI$5:$AI$1000,19),'Cálculos'!$AI$5:$AI$1000,0)+4,"")</f>
        <v>53</v>
      </c>
    </row>
    <row r="24">
      <c r="A24" s="5" t="str">
        <f>IF($J24="","",INDEX('Detalle individual'!$B:$B,$J24))</f>
        <v>SERGIO ARTURO CALDERON SALAZAR</v>
      </c>
      <c r="B24" s="5" t="str">
        <f>IF($J24="","",INDEX('Detalle individual'!$A:$A,$J24))</f>
        <v>452</v>
      </c>
      <c r="C24" s="5" t="str">
        <f>IF($J24="","",INDEX('Detalle individual'!$E:$E,$J24))</f>
        <v>COORDINADOR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96">
        <f>IF($J24="","",INDEX('Detalle individual'!$H:$H,$J24))</f>
        <v>46296.46072916667</v>
      </c>
      <c r="G24" s="102">
        <f>IF($J24="","",INDEX('Detalle individual'!$J:$J,$J24))</f>
        <v>90</v>
      </c>
      <c r="H24" s="102">
        <f>IF($J24="","",INDEX('Detalle individual'!$L:$L,$J24))</f>
        <v>1</v>
      </c>
      <c r="J24">
        <f>IFERROR(MATCH(SMALL('Cálculos'!$AI$5:$AI$1000,20),'Cálculos'!$AI$5:$AI$1000,0)+4,"")</f>
        <v>52</v>
      </c>
    </row>
    <row r="25">
      <c r="A25" s="5" t="str">
        <f>IF($J25="","",INDEX('Detalle individual'!$B:$B,$J25))</f>
        <v>ANDRES VLADIMIR LUNA GUEVARA</v>
      </c>
      <c r="B25" s="5" t="str">
        <f>IF($J25="","",INDEX('Detalle individual'!$A:$A,$J25))</f>
        <v>926</v>
      </c>
      <c r="C25" s="5" t="str">
        <f>IF($J25="","",INDEX('Detalle individual'!$E:$E,$J25))</f>
        <v>MENSAJERO</v>
      </c>
      <c r="D25" s="5" t="str">
        <f>IF($J25="","",INDEX('Detalle individual'!$C:$C,$J25))</f>
        <v>DEPARTAMENTO DE SERVICIOS GENERALES</v>
      </c>
      <c r="E25" s="5" t="str">
        <f>IF($J25="","",INDEX('Detalle individual'!$D:$D,$J25))</f>
        <v>Gerencia Administrativa</v>
      </c>
      <c r="F25" s="96">
        <f>IF($J25="","",INDEX('Detalle individual'!$H:$H,$J25))</f>
        <v>46300.60789351852</v>
      </c>
      <c r="G25" s="102">
        <f>IF($J25="","",INDEX('Detalle individual'!$J:$J,$J25))</f>
        <v>90</v>
      </c>
      <c r="H25" s="102">
        <f>IF($J25="","",INDEX('Detalle individual'!$L:$L,$J25))</f>
        <v>1</v>
      </c>
      <c r="J25">
        <f>IFERROR(MATCH(SMALL('Cálculos'!$AI$5:$AI$1000,21),'Cálculos'!$AI$5:$AI$1000,0)+4,"")</f>
        <v>40</v>
      </c>
    </row>
    <row r="26">
      <c r="A26" s="5" t="str">
        <f>IF($J26="","",INDEX('Detalle individual'!$B:$B,$J26))</f>
        <v>BELLY EMERSON RIVERA ASCENCIO</v>
      </c>
      <c r="B26" s="5" t="str">
        <f>IF($J26="","",INDEX('Detalle individual'!$A:$A,$J26))</f>
        <v>875</v>
      </c>
      <c r="C26" s="5" t="str">
        <f>IF($J26="","",INDEX('Detalle individual'!$E:$E,$J26))</f>
        <v>SERVICIOS VARIOS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46298.41583333333</v>
      </c>
      <c r="G26" s="102">
        <f>IF($J26="","",INDEX('Detalle individual'!$J:$J,$J26))</f>
        <v>100</v>
      </c>
      <c r="H26" s="102">
        <f>IF($J26="","",INDEX('Detalle individual'!$L:$L,$J26))</f>
        <v>1</v>
      </c>
      <c r="J26">
        <f>IFERROR(MATCH(SMALL('Cálculos'!$AI$5:$AI$1000,22),'Cálculos'!$AI$5:$AI$1000,0)+4,"")</f>
        <v>39</v>
      </c>
    </row>
    <row r="27">
      <c r="A27" s="5" t="str">
        <f>IF($J27="","",INDEX('Detalle individual'!$B:$B,$J27))</f>
        <v>CELINA CECILIA ANZORA BERNAL</v>
      </c>
      <c r="B27" s="5" t="str">
        <f>IF($J27="","",INDEX('Detalle individual'!$A:$A,$J27))</f>
        <v>387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46298.4184375</v>
      </c>
      <c r="G27" s="102">
        <f>IF($J27="","",INDEX('Detalle individual'!$J:$J,$J27))</f>
        <v>90</v>
      </c>
      <c r="H27" s="102">
        <f>IF($J27="","",INDEX('Detalle individual'!$L:$L,$J27))</f>
        <v>1</v>
      </c>
      <c r="J27">
        <f>IFERROR(MATCH(SMALL('Cálculos'!$AI$5:$AI$1000,23),'Cálculos'!$AI$5:$AI$1000,0)+4,"")</f>
        <v>29</v>
      </c>
    </row>
    <row r="28">
      <c r="A28" s="5" t="str">
        <f>IF($J28="","",INDEX('Detalle individual'!$B:$B,$J28))</f>
        <v>CHRISTIAN GEORGE FIGUEROA BLANCO</v>
      </c>
      <c r="B28" s="5" t="str">
        <f>IF($J28="","",INDEX('Detalle individual'!$A:$A,$J28))</f>
        <v>803</v>
      </c>
      <c r="C28" s="5" t="str">
        <f>IF($J28="","",INDEX('Detalle individual'!$E:$E,$J28))</f>
        <v>MENSAJERO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46300.70883101852</v>
      </c>
      <c r="G28" s="102">
        <f>IF($J28="","",INDEX('Detalle individual'!$J:$J,$J28))</f>
        <v>60</v>
      </c>
      <c r="H28" s="102">
        <f>IF($J28="","",INDEX('Detalle individual'!$L:$L,$J28))</f>
        <v>1</v>
      </c>
      <c r="J28">
        <f>IFERROR(MATCH(SMALL('Cálculos'!$AI$5:$AI$1000,24),'Cálculos'!$AI$5:$AI$1000,0)+4,"")</f>
        <v>36</v>
      </c>
    </row>
    <row r="29">
      <c r="A29" s="5" t="str">
        <f>IF($J29="","",INDEX('Detalle individual'!$B:$B,$J29))</f>
        <v>GEOVANNY GABRIEL RODRIGUEZ SOLORZANO</v>
      </c>
      <c r="B29" s="5" t="str">
        <f>IF($J29="","",INDEX('Detalle individual'!$A:$A,$J29))</f>
        <v>972</v>
      </c>
      <c r="C29" s="5" t="str">
        <f>IF($J29="","",INDEX('Detalle individual'!$E:$E,$J29))</f>
        <v>AUXILIAR DE ACTIVO FIJO Y ALMACEN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46304.520787037036</v>
      </c>
      <c r="G29" s="102">
        <f>IF($J29="","",INDEX('Detalle individual'!$J:$J,$J29))</f>
        <v>90</v>
      </c>
      <c r="H29" s="102">
        <f>IF($J29="","",INDEX('Detalle individual'!$L:$L,$J29))</f>
        <v>1</v>
      </c>
      <c r="J29">
        <f>IFERROR(MATCH(SMALL('Cálculos'!$AI$5:$AI$1000,25),'Cálculos'!$AI$5:$AI$1000,0)+4,"")</f>
        <v>42</v>
      </c>
    </row>
    <row r="30">
      <c r="A30" s="5" t="str">
        <f>IF($J30="","",INDEX('Detalle individual'!$B:$B,$J30))</f>
        <v>GERMAN ALBERTO CAMPOS TORRES</v>
      </c>
      <c r="B30" s="5" t="str">
        <f>IF($J30="","",INDEX('Detalle individual'!$A:$A,$J30))</f>
        <v>830</v>
      </c>
      <c r="C30" s="5" t="str">
        <f>IF($J30="","",INDEX('Detalle individual'!$E:$E,$J30))</f>
        <v>TECNICO EN MANTENIMIENTO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46307.402291666665</v>
      </c>
      <c r="G30" s="102">
        <f>IF($J30="","",INDEX('Detalle individual'!$J:$J,$J30))</f>
        <v>100</v>
      </c>
      <c r="H30" s="102">
        <f>IF($J30="","",INDEX('Detalle individual'!$L:$L,$J30))</f>
        <v>2</v>
      </c>
      <c r="J30">
        <f>IFERROR(MATCH(SMALL('Cálculos'!$AI$5:$AI$1000,26),'Cálculos'!$AI$5:$AI$1000,0)+4,"")</f>
        <v>37</v>
      </c>
    </row>
    <row r="31">
      <c r="A31" s="5" t="str">
        <f>IF($J31="","",INDEX('Detalle individual'!$B:$B,$J31))</f>
        <v>ILIANA CAROLINA FLAMENCO FLORES</v>
      </c>
      <c r="B31" s="5" t="str">
        <f>IF($J31="","",INDEX('Detalle individual'!$A:$A,$J31))</f>
        <v>684</v>
      </c>
      <c r="C31" s="5" t="str">
        <f>IF($J31="","",INDEX('Detalle individual'!$E:$E,$J31))</f>
        <v>SERVICIOS VARIOS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46298.300208333334</v>
      </c>
      <c r="G31" s="102">
        <f>IF($J31="","",INDEX('Detalle individual'!$J:$J,$J31))</f>
        <v>80</v>
      </c>
      <c r="H31" s="102">
        <f>IF($J31="","",INDEX('Detalle individual'!$L:$L,$J31))</f>
        <v>1</v>
      </c>
      <c r="J31">
        <f>IFERROR(MATCH(SMALL('Cálculos'!$AI$5:$AI$1000,27),'Cálculos'!$AI$5:$AI$1000,0)+4,"")</f>
        <v>35</v>
      </c>
    </row>
    <row r="32">
      <c r="A32" s="5" t="str">
        <f>IF($J32="","",INDEX('Detalle individual'!$B:$B,$J32))</f>
        <v>JESUS REYES GUZMAN FUENTES</v>
      </c>
      <c r="B32" s="5" t="str">
        <f>IF($J32="","",INDEX('Detalle individual'!$A:$A,$J32))</f>
        <v>224</v>
      </c>
      <c r="C32" s="5" t="str">
        <f>IF($J32="","",INDEX('Detalle individual'!$E:$E,$J32))</f>
        <v>MENSAJERO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46297.84905092593</v>
      </c>
      <c r="G32" s="102">
        <f>IF($J32="","",INDEX('Detalle individual'!$J:$J,$J32))</f>
        <v>80</v>
      </c>
      <c r="H32" s="102">
        <f>IF($J32="","",INDEX('Detalle individual'!$L:$L,$J32))</f>
        <v>1</v>
      </c>
      <c r="J32">
        <f>IFERROR(MATCH(SMALL('Cálculos'!$AI$5:$AI$1000,28),'Cálculos'!$AI$5:$AI$1000,0)+4,"")</f>
        <v>28</v>
      </c>
    </row>
    <row r="33">
      <c r="A33" s="5" t="str">
        <f>IF($J33="","",INDEX('Detalle individual'!$B:$B,$J33))</f>
        <v>JONATHAN ENRIQUE AQUINO SANCHEZ</v>
      </c>
      <c r="B33" s="5" t="str">
        <f>IF($J33="","",INDEX('Detalle individual'!$A:$A,$J33))</f>
        <v>852</v>
      </c>
      <c r="C33" s="5" t="str">
        <f>IF($J33="","",INDEX('Detalle individual'!$E:$E,$J33))</f>
        <v>SERVICIOS VARIOS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46300.53921296296</v>
      </c>
      <c r="G33" s="102">
        <f>IF($J33="","",INDEX('Detalle individual'!$J:$J,$J33))</f>
        <v>90</v>
      </c>
      <c r="H33" s="102">
        <f>IF($J33="","",INDEX('Detalle individual'!$L:$L,$J33))</f>
        <v>1</v>
      </c>
      <c r="J33">
        <f>IFERROR(MATCH(SMALL('Cálculos'!$AI$5:$AI$1000,29),'Cálculos'!$AI$5:$AI$1000,0)+4,"")</f>
        <v>38</v>
      </c>
    </row>
    <row r="34">
      <c r="A34" s="5" t="str">
        <f>IF($J34="","",INDEX('Detalle individual'!$B:$B,$J34))</f>
        <v>JOSE ROSALIO GARCIA SOTO</v>
      </c>
      <c r="B34" s="5" t="str">
        <f>IF($J34="","",INDEX('Detalle individual'!$A:$A,$J34))</f>
        <v>587</v>
      </c>
      <c r="C34" s="5" t="str">
        <f>IF($J34="","",INDEX('Detalle individual'!$E:$E,$J34))</f>
        <v>JARDINERO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46298.41559027778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33</v>
      </c>
    </row>
    <row r="35">
      <c r="A35" s="5" t="str">
        <f>IF($J35="","",INDEX('Detalle individual'!$B:$B,$J35))</f>
        <v>LEONEL EDGARDO SALAZAR RAMIREZ</v>
      </c>
      <c r="B35" s="5" t="str">
        <f>IF($J35="","",INDEX('Detalle individual'!$A:$A,$J35))</f>
        <v>55</v>
      </c>
      <c r="C35" s="5" t="str">
        <f>IF($J35="","",INDEX('Detalle individual'!$E:$E,$J35))</f>
        <v>MENSAJERO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46300.81421296296</v>
      </c>
      <c r="G35" s="102">
        <f>IF($J35="","",INDEX('Detalle individual'!$J:$J,$J35))</f>
        <v>90</v>
      </c>
      <c r="H35" s="102">
        <f>IF($J35="","",INDEX('Detalle individual'!$L:$L,$J35))</f>
        <v>1</v>
      </c>
      <c r="J35">
        <f>IFERROR(MATCH(SMALL('Cálculos'!$AI$5:$AI$1000,31),'Cálculos'!$AI$5:$AI$1000,0)+4,"")</f>
        <v>26</v>
      </c>
    </row>
    <row r="36">
      <c r="A36" s="5" t="str">
        <f>IF($J36="","",INDEX('Detalle individual'!$B:$B,$J36))</f>
        <v>MAIRA ELIZABETH PEREZ LEIVA</v>
      </c>
      <c r="B36" s="5" t="str">
        <f>IF($J36="","",INDEX('Detalle individual'!$A:$A,$J36))</f>
        <v>599</v>
      </c>
      <c r="C36" s="5" t="str">
        <f>IF($J36="","",INDEX('Detalle individual'!$E:$E,$J36))</f>
        <v>JEFE DE SERVICIOS GENERALES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46300.748703703706</v>
      </c>
      <c r="G36" s="102">
        <f>IF($J36="","",INDEX('Detalle individual'!$J:$J,$J36))</f>
        <v>100</v>
      </c>
      <c r="H36" s="102">
        <f>IF($J36="","",INDEX('Detalle individual'!$L:$L,$J36))</f>
        <v>1</v>
      </c>
      <c r="J36">
        <f>IFERROR(MATCH(SMALL('Cálculos'!$AI$5:$AI$1000,32),'Cálculos'!$AI$5:$AI$1000,0)+4,"")</f>
        <v>34</v>
      </c>
    </row>
    <row r="37">
      <c r="A37" s="5" t="str">
        <f>IF($J37="","",INDEX('Detalle individual'!$B:$B,$J37))</f>
        <v>MARGARITA GUADALUPE HENRIQUEZ ELIAS</v>
      </c>
      <c r="B37" s="5" t="str">
        <f>IF($J37="","",INDEX('Detalle individual'!$A:$A,$J37))</f>
        <v>522</v>
      </c>
      <c r="C37" s="5" t="str">
        <f>IF($J37="","",INDEX('Detalle individual'!$E:$E,$J37))</f>
        <v>SERVICIOS VARIOS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46297.85355324074</v>
      </c>
      <c r="G37" s="102">
        <f>IF($J37="","",INDEX('Detalle individual'!$J:$J,$J37))</f>
        <v>85</v>
      </c>
      <c r="H37" s="102">
        <f>IF($J37="","",INDEX('Detalle individual'!$L:$L,$J37))</f>
        <v>1</v>
      </c>
      <c r="J37">
        <f>IFERROR(MATCH(SMALL('Cálculos'!$AI$5:$AI$1000,33),'Cálculos'!$AI$5:$AI$1000,0)+4,"")</f>
        <v>32</v>
      </c>
    </row>
    <row r="38">
      <c r="A38" s="5" t="str">
        <f>IF($J38="","",INDEX('Detalle individual'!$B:$B,$J38))</f>
        <v>MARIA GUADALUPE MARTINEZ MURCIA</v>
      </c>
      <c r="B38" s="5" t="str">
        <f>IF($J38="","",INDEX('Detalle individual'!$A:$A,$J38))</f>
        <v>222</v>
      </c>
      <c r="C38" s="5" t="str">
        <f>IF($J38="","",INDEX('Detalle individual'!$E:$E,$J38))</f>
        <v>AUXILIAR DE COMPRAS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46300.665671296294</v>
      </c>
      <c r="G38" s="102">
        <f>IF($J38="","",INDEX('Detalle individual'!$J:$J,$J38))</f>
        <v>100</v>
      </c>
      <c r="H38" s="102">
        <f>IF($J38="","",INDEX('Detalle individual'!$L:$L,$J38))</f>
        <v>1</v>
      </c>
      <c r="J38">
        <f>IFERROR(MATCH(SMALL('Cálculos'!$AI$5:$AI$1000,34),'Cálculos'!$AI$5:$AI$1000,0)+4,"")</f>
        <v>27</v>
      </c>
    </row>
    <row r="39">
      <c r="A39" s="5" t="str">
        <f>IF($J39="","",INDEX('Detalle individual'!$B:$B,$J39))</f>
        <v>MARIO ROSALES VASQUEZ</v>
      </c>
      <c r="B39" s="5" t="str">
        <f>IF($J39="","",INDEX('Detalle individual'!$A:$A,$J39))</f>
        <v>430</v>
      </c>
      <c r="C39" s="5" t="str">
        <f>IF($J39="","",INDEX('Detalle individual'!$E:$E,$J39))</f>
        <v>MENSAJERO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46300.40560185185</v>
      </c>
      <c r="G39" s="102">
        <f>IF($J39="","",INDEX('Detalle individual'!$J:$J,$J39))</f>
        <v>100</v>
      </c>
      <c r="H39" s="102">
        <f>IF($J39="","",INDEX('Detalle individual'!$L:$L,$J39))</f>
        <v>2</v>
      </c>
      <c r="J39">
        <f>IFERROR(MATCH(SMALL('Cálculos'!$AI$5:$AI$1000,35),'Cálculos'!$AI$5:$AI$1000,0)+4,"")</f>
        <v>30</v>
      </c>
    </row>
    <row r="40">
      <c r="A40" s="5" t="str">
        <f>IF($J40="","",INDEX('Detalle individual'!$B:$B,$J40))</f>
        <v>MAURICIO ANTONIO RAMIREZ PEREZ</v>
      </c>
      <c r="B40" s="5" t="str">
        <f>IF($J40="","",INDEX('Detalle individual'!$A:$A,$J40))</f>
        <v>436</v>
      </c>
      <c r="C40" s="5" t="str">
        <f>IF($J40="","",INDEX('Detalle individual'!$E:$E,$J40))</f>
        <v>AUXILIAR DE MANTENIMIENTO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46306.43788194445</v>
      </c>
      <c r="G40" s="102">
        <f>IF($J40="","",INDEX('Detalle individual'!$J:$J,$J40))</f>
        <v>90</v>
      </c>
      <c r="H40" s="102">
        <f>IF($J40="","",INDEX('Detalle individual'!$L:$L,$J40))</f>
        <v>1</v>
      </c>
      <c r="J40">
        <f>IFERROR(MATCH(SMALL('Cálculos'!$AI$5:$AI$1000,36),'Cálculos'!$AI$5:$AI$1000,0)+4,"")</f>
        <v>31</v>
      </c>
    </row>
    <row r="41">
      <c r="A41" s="5" t="str">
        <f>IF($J41="","",INDEX('Detalle individual'!$B:$B,$J41))</f>
        <v>XIOMARA JEANNETTE ESCOBAR PORTILLO</v>
      </c>
      <c r="B41" s="5" t="str">
        <f>IF($J41="","",INDEX('Detalle individual'!$A:$A,$J41))</f>
        <v>959</v>
      </c>
      <c r="C41" s="5" t="str">
        <f>IF($J41="","",INDEX('Detalle individual'!$E:$E,$J41))</f>
        <v>SERVICIOS VARIOS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96">
        <f>IF($J41="","",INDEX('Detalle individual'!$H:$H,$J41))</f>
        <v>46297.78946759259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41</v>
      </c>
    </row>
    <row r="42">
      <c r="A42" s="5" t="str">
        <f>IF($J42="","",INDEX('Detalle individual'!$B:$B,$J42))</f>
        <v>HELEN GLORIBEL PLATERO SANCHEZ</v>
      </c>
      <c r="B42" s="5" t="str">
        <f>IF($J42="","",INDEX('Detalle individual'!$A:$A,$J42))</f>
        <v>962</v>
      </c>
      <c r="C42" s="5" t="str">
        <f>IF($J42="","",INDEX('Detalle individual'!$E:$E,$J42))</f>
        <v>ANALISTA DE DESARROLLO ORGANIZACIONAL</v>
      </c>
      <c r="D42" s="5" t="str">
        <f>IF($J42="","",INDEX('Detalle individual'!$C:$C,$J42))</f>
        <v>DEPARTAMENTO DE TALENTO HUMANO</v>
      </c>
      <c r="E42" s="5" t="str">
        <f>IF($J42="","",INDEX('Detalle individual'!$D:$D,$J42))</f>
        <v>Gerencia Administrativa</v>
      </c>
      <c r="F42" s="96">
        <f>IF($J42="","",INDEX('Detalle individual'!$H:$H,$J42))</f>
        <v>46304.52142361111</v>
      </c>
      <c r="G42" s="102">
        <f>IF($J42="","",INDEX('Detalle individual'!$J:$J,$J42))</f>
        <v>90</v>
      </c>
      <c r="H42" s="102">
        <f>IF($J42="","",INDEX('Detalle individual'!$L:$L,$J42))</f>
        <v>1</v>
      </c>
      <c r="J42">
        <f>IFERROR(MATCH(SMALL('Cálculos'!$AI$5:$AI$1000,38),'Cálculos'!$AI$5:$AI$1000,0)+4,"")</f>
        <v>51</v>
      </c>
    </row>
    <row r="43">
      <c r="A43" s="5" t="str">
        <f>IF($J43="","",INDEX('Detalle individual'!$B:$B,$J43))</f>
        <v>NELSON KILDER QUIJADA ECHEVERRIA</v>
      </c>
      <c r="B43" s="5" t="str">
        <f>IF($J43="","",INDEX('Detalle individual'!$A:$A,$J43))</f>
        <v>948</v>
      </c>
      <c r="C43" s="5" t="str">
        <f>IF($J43="","",INDEX('Detalle individual'!$E:$E,$J43))</f>
        <v>ASISTENTE TECNICO DE TALENTO HUMANO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96">
        <f>IF($J43="","",INDEX('Detalle individual'!$H:$H,$J43))</f>
        <v>46304.406006944446</v>
      </c>
      <c r="G43" s="102">
        <f>IF($J43="","",INDEX('Detalle individual'!$J:$J,$J43))</f>
        <v>100</v>
      </c>
      <c r="H43" s="102">
        <f>IF($J43="","",INDEX('Detalle individual'!$L:$L,$J43))</f>
        <v>1</v>
      </c>
      <c r="J43">
        <f>IFERROR(MATCH(SMALL('Cálculos'!$AI$5:$AI$1000,39),'Cálculos'!$AI$5:$AI$1000,0)+4,"")</f>
        <v>50</v>
      </c>
    </row>
    <row r="44">
      <c r="A44" s="5" t="str">
        <f>IF($J44="","",INDEX('Detalle individual'!$B:$B,$J44))</f>
        <v>CARLA EUGENIA HERNANDEZ MENJIVAR</v>
      </c>
      <c r="B44" s="5" t="str">
        <f>IF($J44="","",INDEX('Detalle individual'!$A:$A,$J44))</f>
        <v>349</v>
      </c>
      <c r="C44" s="5" t="str">
        <f>IF($J44="","",INDEX('Detalle individual'!$E:$E,$J44))</f>
        <v>GERENTE ADMINISTRATIVA</v>
      </c>
      <c r="D44" s="5" t="str">
        <f>IF($J44="","",INDEX('Detalle individual'!$C:$C,$J44))</f>
        <v>GERENCIA ADMINISTRATIVA</v>
      </c>
      <c r="E44" s="5" t="str">
        <f>IF($J44="","",INDEX('Detalle individual'!$D:$D,$J44))</f>
        <v>Gerencia Administrativa</v>
      </c>
      <c r="F44" s="96">
        <f>IF($J44="","",INDEX('Detalle individual'!$H:$H,$J44))</f>
        <v>46297.63836805556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6</v>
      </c>
    </row>
    <row r="45">
      <c r="A45" s="5" t="str">
        <f>IF($J45="","",INDEX('Detalle individual'!$B:$B,$J45))</f>
        <v>MARTA LILLIAN VIGIL QUIJANO</v>
      </c>
      <c r="B45" s="5" t="str">
        <f>IF($J45="","",INDEX('Detalle individual'!$A:$A,$J45))</f>
        <v>45</v>
      </c>
      <c r="C45" s="5" t="str">
        <f>IF($J45="","",INDEX('Detalle individual'!$E:$E,$J45))</f>
        <v>ASISTENTE ADMINISTRATIVO DE GERENCIA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96">
        <f>IF($J45="","",INDEX('Detalle individual'!$H:$H,$J45))</f>
        <v>46307.43666666667</v>
      </c>
      <c r="G45" s="102">
        <f>IF($J45="","",INDEX('Detalle individual'!$J:$J,$J45))</f>
        <v>100</v>
      </c>
      <c r="H45" s="102">
        <f>IF($J45="","",INDEX('Detalle individual'!$L:$L,$J45))</f>
        <v>1</v>
      </c>
      <c r="J45">
        <f>IFERROR(MATCH(SMALL('Cálculos'!$AI$5:$AI$1000,41),'Cálculos'!$AI$5:$AI$1000,0)+4,"")</f>
        <v>25</v>
      </c>
    </row>
    <row r="46">
      <c r="A46" s="5" t="str">
        <f>IF($J46="","",INDEX('Detalle individual'!$B:$B,$J46))</f>
        <v>ALMA BEATRIZ RAMIREZ SANDOVAL</v>
      </c>
      <c r="B46" s="5" t="str">
        <f>IF($J46="","",INDEX('Detalle individual'!$A:$A,$J46))</f>
        <v>850</v>
      </c>
      <c r="C46" s="5" t="str">
        <f>IF($J46="","",INDEX('Detalle individual'!$E:$E,$J46))</f>
        <v>CONTADOR DE AGENCIA NO MONETARIA</v>
      </c>
      <c r="D46" s="5" t="str">
        <f>IF($J46="","",INDEX('Detalle individual'!$C:$C,$J46))</f>
        <v>DEPARTAMENTO DE CONTABILIDAD</v>
      </c>
      <c r="E46" s="5" t="str">
        <f>IF($J46="","",INDEX('Detalle individual'!$D:$D,$J46))</f>
        <v>Gerencia de Finanzas y Planificación</v>
      </c>
      <c r="F46" s="96">
        <f>IF($J46="","",INDEX('Detalle individual'!$H:$H,$J46))</f>
        <v>46304.4002662037</v>
      </c>
      <c r="G46" s="102">
        <f>IF($J46="","",INDEX('Detalle individual'!$J:$J,$J46))</f>
        <v>90</v>
      </c>
      <c r="H46" s="102">
        <f>IF($J46="","",INDEX('Detalle individual'!$L:$L,$J46))</f>
        <v>1</v>
      </c>
      <c r="J46">
        <f>IFERROR(MATCH(SMALL('Cálculos'!$AI$5:$AI$1000,42),'Cálculos'!$AI$5:$AI$1000,0)+4,"")</f>
        <v>95</v>
      </c>
    </row>
    <row r="47">
      <c r="A47" s="5" t="str">
        <f>IF($J47="","",INDEX('Detalle individual'!$B:$B,$J47))</f>
        <v>BRIAN ADONAY BARRERA ALVARADO</v>
      </c>
      <c r="B47" s="5" t="str">
        <f>IF($J47="","",INDEX('Detalle individual'!$A:$A,$J47))</f>
        <v>784</v>
      </c>
      <c r="C47" s="5" t="str">
        <f>IF($J47="","",INDEX('Detalle individual'!$E:$E,$J47))</f>
        <v>CONTADOR DE AGENCIAS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46296.62540509259</v>
      </c>
      <c r="G47" s="102">
        <f>IF($J47="","",INDEX('Detalle individual'!$J:$J,$J47))</f>
        <v>100</v>
      </c>
      <c r="H47" s="102">
        <f>IF($J47="","",INDEX('Detalle individual'!$L:$L,$J47))</f>
        <v>1</v>
      </c>
      <c r="J47">
        <f>IFERROR(MATCH(SMALL('Cálculos'!$AI$5:$AI$1000,43),'Cálculos'!$AI$5:$AI$1000,0)+4,"")</f>
        <v>94</v>
      </c>
    </row>
    <row r="48">
      <c r="A48" s="5" t="str">
        <f>IF($J48="","",INDEX('Detalle individual'!$B:$B,$J48))</f>
        <v>DANIEL ENRIQUE FLORES RAMIREZ</v>
      </c>
      <c r="B48" s="5" t="str">
        <f>IF($J48="","",INDEX('Detalle individual'!$A:$A,$J48))</f>
        <v>676</v>
      </c>
      <c r="C48" s="5" t="str">
        <f>IF($J48="","",INDEX('Detalle individual'!$E:$E,$J48))</f>
        <v>ASISTENTE TECNICO DE TARJETA DE CREDITO Y DEBITO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46304.36083333333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90</v>
      </c>
    </row>
    <row r="49">
      <c r="A49" s="5" t="str">
        <f>IF($J49="","",INDEX('Detalle individual'!$B:$B,$J49))</f>
        <v>ERICK RODRIGO ORTIZ TURCIOS</v>
      </c>
      <c r="B49" s="5" t="str">
        <f>IF($J49="","",INDEX('Detalle individual'!$A:$A,$J49))</f>
        <v>778</v>
      </c>
      <c r="C49" s="5" t="str">
        <f>IF($J49="","",INDEX('Detalle individual'!$E:$E,$J49))</f>
        <v>ASISTENTE TECNICO DE AGENCIA CENTRAL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46304.33385416667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93</v>
      </c>
    </row>
    <row r="50">
      <c r="A50" s="5" t="str">
        <f>IF($J50="","",INDEX('Detalle individual'!$B:$B,$J50))</f>
        <v>JENNIFER MARCELA MORALES TORRES</v>
      </c>
      <c r="B50" s="5" t="str">
        <f>IF($J50="","",INDEX('Detalle individual'!$A:$A,$J50))</f>
        <v>749</v>
      </c>
      <c r="C50" s="5" t="str">
        <f>IF($J50="","",INDEX('Detalle individual'!$E:$E,$J50))</f>
        <v>CONTADOR BANCARIO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46307.39042824074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92</v>
      </c>
    </row>
    <row r="51">
      <c r="A51" s="5" t="str">
        <f>IF($J51="","",INDEX('Detalle individual'!$B:$B,$J51))</f>
        <v>JORDAN ALEXANDER FLORES HERRERA</v>
      </c>
      <c r="B51" s="5" t="str">
        <f>IF($J51="","",INDEX('Detalle individual'!$A:$A,$J51))</f>
        <v>916</v>
      </c>
      <c r="C51" s="5" t="str">
        <f>IF($J51="","",INDEX('Detalle individual'!$E:$E,$J51))</f>
        <v>AUXILIAR CONTABLE DE DIGITALIZACION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46309.38695601852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97</v>
      </c>
    </row>
    <row r="52">
      <c r="A52" s="5" t="str">
        <f>IF($J52="","",INDEX('Detalle individual'!$B:$B,$J52))</f>
        <v>JOSUE ELIAZAR MARTINEZ RECINOS</v>
      </c>
      <c r="B52" s="5" t="str">
        <f>IF($J52="","",INDEX('Detalle individual'!$A:$A,$J52))</f>
        <v>872</v>
      </c>
      <c r="C52" s="5" t="str">
        <f>IF($J52="","",INDEX('Detalle individual'!$E:$E,$J52))</f>
        <v>CONTADOR DE AGENCIAS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46301.438738425924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96</v>
      </c>
    </row>
    <row r="53">
      <c r="A53" s="5" t="str">
        <f>IF($J53="","",INDEX('Detalle individual'!$B:$B,$J53))</f>
        <v>MARTA ELIZABETH RODRIGUEZ INESTROZA</v>
      </c>
      <c r="B53" s="5" t="str">
        <f>IF($J53="","",INDEX('Detalle individual'!$A:$A,$J53))</f>
        <v>373</v>
      </c>
      <c r="C53" s="5" t="str">
        <f>IF($J53="","",INDEX('Detalle individual'!$E:$E,$J53))</f>
        <v>CONTADOR GENERAL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46296.82847222222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87</v>
      </c>
    </row>
    <row r="54">
      <c r="A54" s="5" t="str">
        <f>IF($J54="","",INDEX('Detalle individual'!$B:$B,$J54))</f>
        <v>ROSSEMARY YAMILETH LOBATO MARTINEZ</v>
      </c>
      <c r="B54" s="5" t="str">
        <f>IF($J54="","",INDEX('Detalle individual'!$A:$A,$J54))</f>
        <v>733</v>
      </c>
      <c r="C54" s="5" t="str">
        <f>IF($J54="","",INDEX('Detalle individual'!$E:$E,$J54))</f>
        <v>ASISTENTE TECNICO DE PAGOS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46300.31707175926</v>
      </c>
      <c r="G54" s="102">
        <f>IF($J54="","",INDEX('Detalle individual'!$J:$J,$J54))</f>
        <v>100</v>
      </c>
      <c r="H54" s="102">
        <f>IF($J54="","",INDEX('Detalle individual'!$L:$L,$J54))</f>
        <v>1</v>
      </c>
      <c r="J54">
        <f>IFERROR(MATCH(SMALL('Cálculos'!$AI$5:$AI$1000,50),'Cálculos'!$AI$5:$AI$1000,0)+4,"")</f>
        <v>91</v>
      </c>
    </row>
    <row r="55">
      <c r="A55" s="5" t="str">
        <f>IF($J55="","",INDEX('Detalle individual'!$B:$B,$J55))</f>
        <v>RUBIA ESTELA LEIVA SIBRIAN</v>
      </c>
      <c r="B55" s="5" t="str">
        <f>IF($J55="","",INDEX('Detalle individual'!$A:$A,$J55))</f>
        <v>70</v>
      </c>
      <c r="C55" s="5" t="str">
        <f>IF($J55="","",INDEX('Detalle individual'!$E:$E,$J55))</f>
        <v>ASISTENTE TECNICO DE PAGOS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46309.709386574075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85</v>
      </c>
    </row>
    <row r="56">
      <c r="A56" s="5" t="str">
        <f>IF($J56="","",INDEX('Detalle individual'!$B:$B,$J56))</f>
        <v>THELMA JUDITH QUINTANILLA VALLE</v>
      </c>
      <c r="B56" s="5" t="str">
        <f>IF($J56="","",INDEX('Detalle individual'!$A:$A,$J56))</f>
        <v>374</v>
      </c>
      <c r="C56" s="5" t="str">
        <f>IF($J56="","",INDEX('Detalle individual'!$E:$E,$J56))</f>
        <v>AUXILIAR CONTABLE DE DIGITALIZACION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46309.386967592596</v>
      </c>
      <c r="G56" s="102">
        <f>IF($J56="","",INDEX('Detalle individual'!$J:$J,$J56))</f>
        <v>85</v>
      </c>
      <c r="H56" s="102">
        <f>IF($J56="","",INDEX('Detalle individual'!$L:$L,$J56))</f>
        <v>1</v>
      </c>
      <c r="J56">
        <f>IFERROR(MATCH(SMALL('Cálculos'!$AI$5:$AI$1000,52),'Cálculos'!$AI$5:$AI$1000,0)+4,"")</f>
        <v>88</v>
      </c>
    </row>
    <row r="57">
      <c r="A57" s="5" t="str">
        <f>IF($J57="","",INDEX('Detalle individual'!$B:$B,$J57))</f>
        <v>EFRAIN ANTONIO AYALA LOPEZ</v>
      </c>
      <c r="B57" s="5" t="str">
        <f>IF($J57="","",INDEX('Detalle individual'!$A:$A,$J57))</f>
        <v>946</v>
      </c>
      <c r="C57" s="5" t="str">
        <f>IF($J57="","",INDEX('Detalle individual'!$E:$E,$J57))</f>
        <v>JEFE DE PLANIFICACION Y ANALISIS</v>
      </c>
      <c r="D57" s="5" t="str">
        <f>IF($J57="","",INDEX('Detalle individual'!$C:$C,$J57))</f>
        <v>DEPARTAMENTO DE PLANIFICACIÓN Y ANALISIS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46305.53491898148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100</v>
      </c>
    </row>
    <row r="58">
      <c r="A58" s="5" t="str">
        <f>IF($J58="","",INDEX('Detalle individual'!$B:$B,$J58))</f>
        <v>ESTER ALEYDA GODOY CAMPOS</v>
      </c>
      <c r="B58" s="5" t="str">
        <f>IF($J58="","",INDEX('Detalle individual'!$A:$A,$J58))</f>
        <v>191</v>
      </c>
      <c r="C58" s="5" t="str">
        <f>IF($J58="","",INDEX('Detalle individual'!$E:$E,$J58))</f>
        <v>ASISTENTE TECNICO DE PLANIFICACION</v>
      </c>
      <c r="D58" s="5" t="str">
        <f>IF($J58="","",INDEX('Detalle individual'!$C:$C,$J58))</f>
        <v>DEPARTAMENTO DE PLANIFICACIÓN Y ANALISIS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46307.665983796294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98</v>
      </c>
    </row>
    <row r="59">
      <c r="A59" s="5" t="str">
        <f>IF($J59="","",INDEX('Detalle individual'!$B:$B,$J59))</f>
        <v>JOSE AUGUSTO DE LA O GALLEGOS</v>
      </c>
      <c r="B59" s="5" t="str">
        <f>IF($J59="","",INDEX('Detalle individual'!$A:$A,$J59))</f>
        <v>524</v>
      </c>
      <c r="C59" s="5" t="str">
        <f>IF($J59="","",INDEX('Detalle individual'!$E:$E,$J59))</f>
        <v>GERENTE DE FINANZAS Y PLANIFICACION</v>
      </c>
      <c r="D59" s="5" t="str">
        <f>IF($J59="","",INDEX('Detalle individual'!$C:$C,$J59))</f>
        <v>GERENCIA DE FINANZAS Y PLANIFICACIÓN</v>
      </c>
      <c r="E59" s="5" t="str">
        <f>IF($J59="","",INDEX('Detalle individual'!$D:$D,$J59))</f>
        <v>Gerencia de Finanzas y Planificación</v>
      </c>
      <c r="F59" s="96">
        <f>IF($J59="","",INDEX('Detalle individual'!$H:$H,$J59))</f>
        <v>46296.429560185185</v>
      </c>
      <c r="G59" s="102">
        <f>IF($J59="","",INDEX('Detalle individual'!$J:$J,$J59))</f>
        <v>100</v>
      </c>
      <c r="H59" s="102">
        <f>IF($J59="","",INDEX('Detalle individual'!$L:$L,$J59))</f>
        <v>1</v>
      </c>
      <c r="J59">
        <f>IFERROR(MATCH(SMALL('Cálculos'!$AI$5:$AI$1000,55),'Cálculos'!$AI$5:$AI$1000,0)+4,"")</f>
        <v>8</v>
      </c>
    </row>
    <row r="60">
      <c r="A60" s="5" t="str">
        <f>IF($J60="","",INDEX('Detalle individual'!$B:$B,$J60))</f>
        <v>PAULA MARIA CALDERON PEREZ</v>
      </c>
      <c r="B60" s="5" t="str">
        <f>IF($J60="","",INDEX('Detalle individual'!$A:$A,$J60))</f>
        <v>942</v>
      </c>
      <c r="C60" s="5" t="str">
        <f>IF($J60="","",INDEX('Detalle individual'!$E:$E,$J60))</f>
        <v>ASISTENTE DE GERENCIA DE FINANZAS</v>
      </c>
      <c r="D60" s="5" t="str">
        <f>IF($J60="","",INDEX('Detalle individual'!$C:$C,$J60))</f>
        <v>GERENCIA DE FINANZAS Y PLANIFICACIÓN</v>
      </c>
      <c r="E60" s="5" t="str">
        <f>IF($J60="","",INDEX('Detalle individual'!$D:$D,$J60))</f>
        <v>Gerencia de Finanzas y Planificación</v>
      </c>
      <c r="F60" s="96">
        <f>IF($J60="","",INDEX('Detalle individual'!$H:$H,$J60))</f>
        <v>46305.470555555556</v>
      </c>
      <c r="G60" s="102">
        <f>IF($J60="","",INDEX('Detalle individual'!$J:$J,$J60))</f>
        <v>100</v>
      </c>
      <c r="H60" s="102">
        <f>IF($J60="","",INDEX('Detalle individual'!$L:$L,$J60))</f>
        <v>1</v>
      </c>
      <c r="J60">
        <f>IFERROR(MATCH(SMALL('Cálculos'!$AI$5:$AI$1000,56),'Cálculos'!$AI$5:$AI$1000,0)+4,"")</f>
        <v>84</v>
      </c>
    </row>
    <row r="61">
      <c r="A61" s="5" t="str">
        <f>IF($J61="","",INDEX('Detalle individual'!$B:$B,$J61))</f>
        <v>ALEXANDRA DANIELA PINEDA JIMENEZ</v>
      </c>
      <c r="B61" s="5" t="str">
        <f>IF($J61="","",INDEX('Detalle individual'!$A:$A,$J61))</f>
        <v>958</v>
      </c>
      <c r="C61" s="5" t="str">
        <f>IF($J61="","",INDEX('Detalle individual'!$E:$E,$J61))</f>
        <v>AUXILIAR DE ATENCION A ASOCIADOS</v>
      </c>
      <c r="D61" s="5" t="str">
        <f>IF($J61="","",INDEX('Detalle individual'!$C:$C,$J61))</f>
        <v>AGENCIA CENTRAL</v>
      </c>
      <c r="E61" s="5" t="str">
        <f>IF($J61="","",INDEX('Detalle individual'!$D:$D,$J61))</f>
        <v>Gerencia de Negocios</v>
      </c>
      <c r="F61" s="96">
        <f>IF($J61="","",INDEX('Detalle individual'!$H:$H,$J61))</f>
        <v>46305.39554398148</v>
      </c>
      <c r="G61" s="102">
        <f>IF($J61="","",INDEX('Detalle individual'!$J:$J,$J61))</f>
        <v>75</v>
      </c>
      <c r="H61" s="102">
        <f>IF($J61="","",INDEX('Detalle individual'!$L:$L,$J61))</f>
        <v>1</v>
      </c>
      <c r="J61">
        <f>IFERROR(MATCH(SMALL('Cálculos'!$AI$5:$AI$1000,57),'Cálculos'!$AI$5:$AI$1000,0)+4,"")</f>
        <v>205</v>
      </c>
    </row>
    <row r="62">
      <c r="A62" s="5" t="str">
        <f>IF($J62="","",INDEX('Detalle individual'!$B:$B,$J62))</f>
        <v>ANA SILVIA ROQUE SANCHEZ</v>
      </c>
      <c r="B62" s="5" t="str">
        <f>IF($J62="","",INDEX('Detalle individual'!$A:$A,$J62))</f>
        <v>542</v>
      </c>
      <c r="C62" s="5" t="str">
        <f>IF($J62="","",INDEX('Detalle individual'!$E:$E,$J62))</f>
        <v>EJECUTIVA DE SEGUROS</v>
      </c>
      <c r="D62" s="5" t="str">
        <f>IF($J62="","",INDEX('Detalle individual'!$C:$C,$J62))</f>
        <v>AGENCIA CENTRAL</v>
      </c>
      <c r="E62" s="5" t="str">
        <f>IF($J62="","",INDEX('Detalle individual'!$D:$D,$J62))</f>
        <v>Gerencia de Negocios</v>
      </c>
      <c r="F62" s="96">
        <f>IF($J62="","",INDEX('Detalle individual'!$H:$H,$J62))</f>
        <v>46302.67400462963</v>
      </c>
      <c r="G62" s="102">
        <f>IF($J62="","",INDEX('Detalle individual'!$J:$J,$J62))</f>
        <v>95</v>
      </c>
      <c r="H62" s="102">
        <f>IF($J62="","",INDEX('Detalle individual'!$L:$L,$J62))</f>
        <v>1</v>
      </c>
      <c r="J62">
        <f>IFERROR(MATCH(SMALL('Cálculos'!$AI$5:$AI$1000,58),'Cálculos'!$AI$5:$AI$1000,0)+4,"")</f>
        <v>197</v>
      </c>
    </row>
    <row r="63">
      <c r="A63" s="5" t="str">
        <f>IF($J63="","",INDEX('Detalle individual'!$B:$B,$J63))</f>
        <v>ANGELA GABRIELA REYES MOLINA</v>
      </c>
      <c r="B63" s="5" t="str">
        <f>IF($J63="","",INDEX('Detalle individual'!$A:$A,$J63))</f>
        <v>956</v>
      </c>
      <c r="C63" s="5" t="str">
        <f>IF($J63="","",INDEX('Detalle individual'!$E:$E,$J63))</f>
        <v>CAJERO</v>
      </c>
      <c r="D63" s="5" t="str">
        <f>IF($J63="","",INDEX('Detalle individual'!$C:$C,$J63))</f>
        <v>AGENCIA CENTRAL</v>
      </c>
      <c r="E63" s="5" t="str">
        <f>IF($J63="","",INDEX('Detalle individual'!$D:$D,$J63))</f>
        <v>Gerencia de Negocios</v>
      </c>
      <c r="F63" s="96">
        <f>IF($J63="","",INDEX('Detalle individual'!$H:$H,$J63))</f>
        <v>46309.366736111115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204</v>
      </c>
    </row>
    <row r="64">
      <c r="A64" s="5" t="str">
        <f>IF($J64="","",INDEX('Detalle individual'!$B:$B,$J64))</f>
        <v>CAROLINA ELIZABETH RAMIREZ PONCE</v>
      </c>
      <c r="B64" s="5" t="str">
        <f>IF($J64="","",INDEX('Detalle individual'!$A:$A,$J64))</f>
        <v>33</v>
      </c>
      <c r="C64" s="5" t="str">
        <f>IF($J64="","",INDEX('Detalle individual'!$E:$E,$J64))</f>
        <v>SUBJEFE DE AGENCIA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46308.61247685185</v>
      </c>
      <c r="G64" s="102">
        <f>IF($J64="","",INDEX('Detalle individual'!$J:$J,$J64))</f>
        <v>100</v>
      </c>
      <c r="H64" s="102">
        <f>IF($J64="","",INDEX('Detalle individual'!$L:$L,$J64))</f>
        <v>1</v>
      </c>
      <c r="J64">
        <f>IFERROR(MATCH(SMALL('Cálculos'!$AI$5:$AI$1000,60),'Cálculos'!$AI$5:$AI$1000,0)+4,"")</f>
        <v>191</v>
      </c>
    </row>
    <row r="65">
      <c r="A65" s="5" t="str">
        <f>IF($J65="","",INDEX('Detalle individual'!$B:$B,$J65))</f>
        <v>JESUS ADRIAN MENA AVALOS</v>
      </c>
      <c r="B65" s="5" t="str">
        <f>IF($J65="","",INDEX('Detalle individual'!$A:$A,$J65))</f>
        <v>953</v>
      </c>
      <c r="C65" s="5" t="str">
        <f>IF($J65="","",INDEX('Detalle individual'!$E:$E,$J65))</f>
        <v>CAJERO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46302.62670138889</v>
      </c>
      <c r="G65" s="102">
        <f>IF($J65="","",INDEX('Detalle individual'!$J:$J,$J65))</f>
        <v>100</v>
      </c>
      <c r="H65" s="102">
        <f>IF($J65="","",INDEX('Detalle individual'!$L:$L,$J65))</f>
        <v>1</v>
      </c>
      <c r="J65">
        <f>IFERROR(MATCH(SMALL('Cálculos'!$AI$5:$AI$1000,61),'Cálculos'!$AI$5:$AI$1000,0)+4,"")</f>
        <v>203</v>
      </c>
    </row>
    <row r="66">
      <c r="A66" s="5" t="str">
        <f>IF($J66="","",INDEX('Detalle individual'!$B:$B,$J66))</f>
        <v>KEVIN ARTURO ANDRADE PALACIOS</v>
      </c>
      <c r="B66" s="5" t="str">
        <f>IF($J66="","",INDEX('Detalle individual'!$A:$A,$J66))</f>
        <v>976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46302.59866898148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208</v>
      </c>
    </row>
    <row r="67">
      <c r="A67" s="5" t="str">
        <f>IF($J67="","",INDEX('Detalle individual'!$B:$B,$J67))</f>
        <v>LORENA DEL CARMEN MEJIA HERRERA</v>
      </c>
      <c r="B67" s="5" t="str">
        <f>IF($J67="","",INDEX('Detalle individual'!$A:$A,$J67))</f>
        <v>960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96">
        <f>IF($J67="","",INDEX('Detalle individual'!$H:$H,$J67))</f>
        <v>46302.48327546296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206</v>
      </c>
    </row>
    <row r="68">
      <c r="A68" s="5" t="str">
        <f>IF($J68="","",INDEX('Detalle individual'!$B:$B,$J68))</f>
        <v>MARIA DE LOS ANGELES OSORIO GIL</v>
      </c>
      <c r="B68" s="5" t="str">
        <f>IF($J68="","",INDEX('Detalle individual'!$A:$A,$J68))</f>
        <v>757</v>
      </c>
      <c r="C68" s="5" t="str">
        <f>IF($J68="","",INDEX('Detalle individual'!$E:$E,$J68))</f>
        <v>CAJERO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96">
        <f>IF($J68="","",INDEX('Detalle individual'!$H:$H,$J68))</f>
        <v>46303.443460648145</v>
      </c>
      <c r="G68" s="102">
        <f>IF($J68="","",INDEX('Detalle individual'!$J:$J,$J68))</f>
        <v>100</v>
      </c>
      <c r="H68" s="102">
        <f>IF($J68="","",INDEX('Detalle individual'!$L:$L,$J68))</f>
        <v>1</v>
      </c>
      <c r="J68">
        <f>IFERROR(MATCH(SMALL('Cálculos'!$AI$5:$AI$1000,64),'Cálculos'!$AI$5:$AI$1000,0)+4,"")</f>
        <v>199</v>
      </c>
    </row>
    <row r="69">
      <c r="A69" s="5" t="str">
        <f>IF($J69="","",INDEX('Detalle individual'!$B:$B,$J69))</f>
        <v>CLAUDIA ELENA GUARDADO VARELA</v>
      </c>
      <c r="B69" s="5" t="str">
        <f>IF($J69="","",INDEX('Detalle individual'!$A:$A,$J69))</f>
        <v>543</v>
      </c>
      <c r="C69" s="5" t="str">
        <f>IF($J69="","",INDEX('Detalle individual'!$E:$E,$J69))</f>
        <v>EJECUTIVA DE SEGUROS</v>
      </c>
      <c r="D69" s="5" t="str">
        <f>IF($J69="","",INDEX('Detalle individual'!$C:$C,$J69))</f>
        <v>AGENCIA COLEGIO MEDICO</v>
      </c>
      <c r="E69" s="5" t="str">
        <f>IF($J69="","",INDEX('Detalle individual'!$D:$D,$J69))</f>
        <v>Gerencia de Negocios</v>
      </c>
      <c r="F69" s="96">
        <f>IF($J69="","",INDEX('Detalle individual'!$H:$H,$J69))</f>
        <v>46305.407002314816</v>
      </c>
      <c r="G69" s="102">
        <f>IF($J69="","",INDEX('Detalle individual'!$J:$J,$J69))</f>
        <v>100</v>
      </c>
      <c r="H69" s="102">
        <f>IF($J69="","",INDEX('Detalle individual'!$L:$L,$J69))</f>
        <v>1</v>
      </c>
      <c r="J69">
        <f>IFERROR(MATCH(SMALL('Cálculos'!$AI$5:$AI$1000,65),'Cálculos'!$AI$5:$AI$1000,0)+4,"")</f>
        <v>215</v>
      </c>
    </row>
    <row r="70">
      <c r="A70" s="5" t="str">
        <f>IF($J70="","",INDEX('Detalle individual'!$B:$B,$J70))</f>
        <v>GABRIELA CONCEPCION GARCIA GUTIERREZ</v>
      </c>
      <c r="B70" s="5" t="str">
        <f>IF($J70="","",INDEX('Detalle individual'!$A:$A,$J70))</f>
        <v>975</v>
      </c>
      <c r="C70" s="5" t="str">
        <f>IF($J70="","",INDEX('Detalle individual'!$E:$E,$J70))</f>
        <v>AUXILIAR DE ATENCION AL ASOCIADO EN AGENCIA</v>
      </c>
      <c r="D70" s="5" t="str">
        <f>IF($J70="","",INDEX('Detalle individual'!$C:$C,$J70))</f>
        <v>AGENCIA COLEGIO MEDICO</v>
      </c>
      <c r="E70" s="5" t="str">
        <f>IF($J70="","",INDEX('Detalle individual'!$D:$D,$J70))</f>
        <v>Gerencia de Negocios</v>
      </c>
      <c r="F70" s="96">
        <f>IF($J70="","",INDEX('Detalle individual'!$H:$H,$J70))</f>
        <v>46305.4796412037</v>
      </c>
      <c r="G70" s="102">
        <f>IF($J70="","",INDEX('Detalle individual'!$J:$J,$J70))</f>
        <v>90</v>
      </c>
      <c r="H70" s="102">
        <f>IF($J70="","",INDEX('Detalle individual'!$L:$L,$J70))</f>
        <v>1</v>
      </c>
      <c r="J70">
        <f>IFERROR(MATCH(SMALL('Cálculos'!$AI$5:$AI$1000,66),'Cálculos'!$AI$5:$AI$1000,0)+4,"")</f>
        <v>220</v>
      </c>
    </row>
    <row r="71">
      <c r="A71" s="5" t="str">
        <f>IF($J71="","",INDEX('Detalle individual'!$B:$B,$J71))</f>
        <v>JACQUELINE ADRIANA CHAVEZ SARAVIA</v>
      </c>
      <c r="B71" s="5" t="str">
        <f>IF($J71="","",INDEX('Detalle individual'!$A:$A,$J71))</f>
        <v>811</v>
      </c>
      <c r="C71" s="5" t="str">
        <f>IF($J71="","",INDEX('Detalle individual'!$E:$E,$J71))</f>
        <v>CAJERO</v>
      </c>
      <c r="D71" s="5" t="str">
        <f>IF($J71="","",INDEX('Detalle individual'!$C:$C,$J71))</f>
        <v>AGENCIA COLEGIO MEDICO</v>
      </c>
      <c r="E71" s="5" t="str">
        <f>IF($J71="","",INDEX('Detalle individual'!$D:$D,$J71))</f>
        <v>Gerencia de Negocios</v>
      </c>
      <c r="F71" s="96">
        <f>IF($J71="","",INDEX('Detalle individual'!$H:$H,$J71))</f>
        <v>46305.465902777774</v>
      </c>
      <c r="G71" s="102">
        <f>IF($J71="","",INDEX('Detalle individual'!$J:$J,$J71))</f>
        <v>90</v>
      </c>
      <c r="H71" s="102">
        <f>IF($J71="","",INDEX('Detalle individual'!$L:$L,$J71))</f>
        <v>1</v>
      </c>
      <c r="J71">
        <f>IFERROR(MATCH(SMALL('Cálculos'!$AI$5:$AI$1000,67),'Cálculos'!$AI$5:$AI$1000,0)+4,"")</f>
        <v>216</v>
      </c>
    </row>
    <row r="72">
      <c r="A72" s="5" t="str">
        <f>IF($J72="","",INDEX('Detalle individual'!$B:$B,$J72))</f>
        <v>JAQUELIN JAZMIN ROMERO FLORES</v>
      </c>
      <c r="B72" s="5" t="str">
        <f>IF($J72="","",INDEX('Detalle individual'!$A:$A,$J72))</f>
        <v>971</v>
      </c>
      <c r="C72" s="5" t="str">
        <f>IF($J72="","",INDEX('Detalle individual'!$E:$E,$J72))</f>
        <v>CAJERO</v>
      </c>
      <c r="D72" s="5" t="str">
        <f>IF($J72="","",INDEX('Detalle individual'!$C:$C,$J72))</f>
        <v>AGENCIA COLEGIO MEDICO</v>
      </c>
      <c r="E72" s="5" t="str">
        <f>IF($J72="","",INDEX('Detalle individual'!$D:$D,$J72))</f>
        <v>Gerencia de Negocios</v>
      </c>
      <c r="F72" s="96">
        <f>IF($J72="","",INDEX('Detalle individual'!$H:$H,$J72))</f>
        <v>46305.44142361111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219</v>
      </c>
    </row>
    <row r="73">
      <c r="A73" s="5" t="str">
        <f>IF($J73="","",INDEX('Detalle individual'!$B:$B,$J73))</f>
        <v>KRISSIA ANDREA DOMINGUEZ OSORIO</v>
      </c>
      <c r="B73" s="5" t="str">
        <f>IF($J73="","",INDEX('Detalle individual'!$A:$A,$J73))</f>
        <v>841</v>
      </c>
      <c r="C73" s="5" t="str">
        <f>IF($J73="","",INDEX('Detalle individual'!$E:$E,$J73))</f>
        <v>CAJERO</v>
      </c>
      <c r="D73" s="5" t="str">
        <f>IF($J73="","",INDEX('Detalle individual'!$C:$C,$J73))</f>
        <v>AGENCIA COLEGIO MEDICO</v>
      </c>
      <c r="E73" s="5" t="str">
        <f>IF($J73="","",INDEX('Detalle individual'!$D:$D,$J73))</f>
        <v>Gerencia de Negocios</v>
      </c>
      <c r="F73" s="96">
        <f>IF($J73="","",INDEX('Detalle individual'!$H:$H,$J73))</f>
        <v>46305.39891203704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217</v>
      </c>
    </row>
    <row r="74">
      <c r="A74" s="5" t="str">
        <f>IF($J74="","",INDEX('Detalle individual'!$B:$B,$J74))</f>
        <v>MARTHA ESPERANZA VALTEZ GARCIA</v>
      </c>
      <c r="B74" s="5" t="str">
        <f>IF($J74="","",INDEX('Detalle individual'!$A:$A,$J74))</f>
        <v>536</v>
      </c>
      <c r="C74" s="5" t="str">
        <f>IF($J74="","",INDEX('Detalle individual'!$E:$E,$J74))</f>
        <v>CAJERO</v>
      </c>
      <c r="D74" s="5" t="str">
        <f>IF($J74="","",INDEX('Detalle individual'!$C:$C,$J74))</f>
        <v>AGENCIA COLEGIO MEDICO</v>
      </c>
      <c r="E74" s="5" t="str">
        <f>IF($J74="","",INDEX('Detalle individual'!$D:$D,$J74))</f>
        <v>Gerencia de Negocios</v>
      </c>
      <c r="F74" s="96">
        <f>IF($J74="","",INDEX('Detalle individual'!$H:$H,$J74))</f>
        <v>46305.51391203704</v>
      </c>
      <c r="G74" s="102">
        <f>IF($J74="","",INDEX('Detalle individual'!$J:$J,$J74))</f>
        <v>100</v>
      </c>
      <c r="H74" s="102">
        <f>IF($J74="","",INDEX('Detalle individual'!$L:$L,$J74))</f>
        <v>1</v>
      </c>
      <c r="J74">
        <f>IFERROR(MATCH(SMALL('Cálculos'!$AI$5:$AI$1000,70),'Cálculos'!$AI$5:$AI$1000,0)+4,"")</f>
        <v>214</v>
      </c>
    </row>
    <row r="75">
      <c r="A75" s="5" t="str">
        <f>IF($J75="","",INDEX('Detalle individual'!$B:$B,$J75))</f>
        <v>MERCI ANTONIA CERON MEJIA</v>
      </c>
      <c r="B75" s="5" t="str">
        <f>IF($J75="","",INDEX('Detalle individual'!$A:$A,$J75))</f>
        <v>190</v>
      </c>
      <c r="C75" s="5" t="str">
        <f>IF($J75="","",INDEX('Detalle individual'!$E:$E,$J75))</f>
        <v>EJECUTIVO DE NEGOCIOS</v>
      </c>
      <c r="D75" s="5" t="str">
        <f>IF($J75="","",INDEX('Detalle individual'!$C:$C,$J75))</f>
        <v>AGENCIA COLEGIO MEDICO</v>
      </c>
      <c r="E75" s="5" t="str">
        <f>IF($J75="","",INDEX('Detalle individual'!$D:$D,$J75))</f>
        <v>Gerencia de Negocios</v>
      </c>
      <c r="F75" s="96">
        <f>IF($J75="","",INDEX('Detalle individual'!$H:$H,$J75))</f>
        <v>46305.513344907406</v>
      </c>
      <c r="G75" s="102">
        <f>IF($J75="","",INDEX('Detalle individual'!$J:$J,$J75))</f>
        <v>100</v>
      </c>
      <c r="H75" s="102">
        <f>IF($J75="","",INDEX('Detalle individual'!$L:$L,$J75))</f>
        <v>1</v>
      </c>
      <c r="J75">
        <f>IFERROR(MATCH(SMALL('Cálculos'!$AI$5:$AI$1000,71),'Cálculos'!$AI$5:$AI$1000,0)+4,"")</f>
        <v>211</v>
      </c>
    </row>
    <row r="76">
      <c r="A76" s="5" t="str">
        <f>IF($J76="","",INDEX('Detalle individual'!$B:$B,$J76))</f>
        <v>PATRICIA ESMERALDA PORTILLO CESPEDES</v>
      </c>
      <c r="B76" s="5" t="str">
        <f>IF($J76="","",INDEX('Detalle individual'!$A:$A,$J76))</f>
        <v>360</v>
      </c>
      <c r="C76" s="5" t="str">
        <f>IF($J76="","",INDEX('Detalle individual'!$E:$E,$J76))</f>
        <v>JEFE DE AGENCIA</v>
      </c>
      <c r="D76" s="5" t="str">
        <f>IF($J76="","",INDEX('Detalle individual'!$C:$C,$J76))</f>
        <v>AGENCIA COLEGIO MEDICO</v>
      </c>
      <c r="E76" s="5" t="str">
        <f>IF($J76="","",INDEX('Detalle individual'!$D:$D,$J76))</f>
        <v>Gerencia de Negocios</v>
      </c>
      <c r="F76" s="96">
        <f>IF($J76="","",INDEX('Detalle individual'!$H:$H,$J76))</f>
        <v>46296.47634259259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212</v>
      </c>
    </row>
    <row r="77">
      <c r="A77" s="5" t="str">
        <f>IF($J77="","",INDEX('Detalle individual'!$B:$B,$J77))</f>
        <v>WILBER ERNESTO DIAZ GONZALEZ</v>
      </c>
      <c r="B77" s="5" t="str">
        <f>IF($J77="","",INDEX('Detalle individual'!$A:$A,$J77))</f>
        <v>890</v>
      </c>
      <c r="C77" s="5" t="str">
        <f>IF($J77="","",INDEX('Detalle individual'!$E:$E,$J77))</f>
        <v>CAJERO</v>
      </c>
      <c r="D77" s="5" t="str">
        <f>IF($J77="","",INDEX('Detalle individual'!$C:$C,$J77))</f>
        <v>AGENCIA COLEGIO MEDICO</v>
      </c>
      <c r="E77" s="5" t="str">
        <f>IF($J77="","",INDEX('Detalle individual'!$D:$D,$J77))</f>
        <v>Gerencia de Negocios</v>
      </c>
      <c r="F77" s="96">
        <f>IF($J77="","",INDEX('Detalle individual'!$H:$H,$J77))</f>
        <v>46307.43005787037</v>
      </c>
      <c r="G77" s="102">
        <f>IF($J77="","",INDEX('Detalle individual'!$J:$J,$J77))</f>
        <v>90</v>
      </c>
      <c r="H77" s="102">
        <f>IF($J77="","",INDEX('Detalle individual'!$L:$L,$J77))</f>
        <v>1</v>
      </c>
      <c r="J77">
        <f>IFERROR(MATCH(SMALL('Cálculos'!$AI$5:$AI$1000,73),'Cálculos'!$AI$5:$AI$1000,0)+4,"")</f>
        <v>218</v>
      </c>
    </row>
    <row r="78">
      <c r="A78" s="5" t="str">
        <f>IF($J78="","",INDEX('Detalle individual'!$B:$B,$J78))</f>
        <v>YANIRA ELIZABETH ORTEGA MIRANDA</v>
      </c>
      <c r="B78" s="5" t="str">
        <f>IF($J78="","",INDEX('Detalle individual'!$A:$A,$J78))</f>
        <v>29</v>
      </c>
      <c r="C78" s="5" t="str">
        <f>IF($J78="","",INDEX('Detalle individual'!$E:$E,$J78))</f>
        <v>SUBJEFE DE AGENCIA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96">
        <f>IF($J78="","",INDEX('Detalle individual'!$H:$H,$J78))</f>
        <v>46305.43096064815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210</v>
      </c>
    </row>
    <row r="79">
      <c r="A79" s="5" t="str">
        <f>IF($J79="","",INDEX('Detalle individual'!$B:$B,$J79))</f>
        <v>CARMEN DE JESÚS GONZÁLEZ BLANCO</v>
      </c>
      <c r="B79" s="5" t="str">
        <f>IF($J79="","",INDEX('Detalle individual'!$A:$A,$J79))</f>
        <v>412</v>
      </c>
      <c r="C79" s="5" t="str">
        <f>IF($J79="","",INDEX('Detalle individual'!$E:$E,$J79))</f>
        <v>EJECUTIVA DE SEGUROS</v>
      </c>
      <c r="D79" s="5" t="str">
        <f>IF($J79="","",INDEX('Detalle individual'!$C:$C,$J79))</f>
        <v>AGENCIA COLONIA MEDICA</v>
      </c>
      <c r="E79" s="5" t="str">
        <f>IF($J79="","",INDEX('Detalle individual'!$D:$D,$J79))</f>
        <v>Gerencia de Negocios</v>
      </c>
      <c r="F79" s="96">
        <f>IF($J79="","",INDEX('Detalle individual'!$H:$H,$J79))</f>
        <v>46302.63581018519</v>
      </c>
      <c r="G79" s="102">
        <f>IF($J79="","",INDEX('Detalle individual'!$J:$J,$J79))</f>
        <v>100</v>
      </c>
      <c r="H79" s="102">
        <f>IF($J79="","",INDEX('Detalle individual'!$L:$L,$J79))</f>
        <v>1</v>
      </c>
      <c r="J79">
        <f>IFERROR(MATCH(SMALL('Cálculos'!$AI$5:$AI$1000,75),'Cálculos'!$AI$5:$AI$1000,0)+4,"")</f>
        <v>261</v>
      </c>
    </row>
    <row r="80">
      <c r="A80" s="5" t="str">
        <f>IF($J80="","",INDEX('Detalle individual'!$B:$B,$J80))</f>
        <v>DIANA MARISOL BATRES BARAHONA</v>
      </c>
      <c r="B80" s="5" t="str">
        <f>IF($J80="","",INDEX('Detalle individual'!$A:$A,$J80))</f>
        <v>728</v>
      </c>
      <c r="C80" s="5" t="str">
        <f>IF($J80="","",INDEX('Detalle individual'!$E:$E,$J80))</f>
        <v>SUBJEFE DE AGENCIA</v>
      </c>
      <c r="D80" s="5" t="str">
        <f>IF($J80="","",INDEX('Detalle individual'!$C:$C,$J80))</f>
        <v>AGENCIA COLONIA MEDICA</v>
      </c>
      <c r="E80" s="5" t="str">
        <f>IF($J80="","",INDEX('Detalle individual'!$D:$D,$J80))</f>
        <v>Gerencia de Negocios</v>
      </c>
      <c r="F80" s="96">
        <f>IF($J80="","",INDEX('Detalle individual'!$H:$H,$J80))</f>
        <v>46300.68400462963</v>
      </c>
      <c r="G80" s="102">
        <f>IF($J80="","",INDEX('Detalle individual'!$J:$J,$J80))</f>
        <v>100</v>
      </c>
      <c r="H80" s="102">
        <f>IF($J80="","",INDEX('Detalle individual'!$L:$L,$J80))</f>
        <v>1</v>
      </c>
      <c r="J80">
        <f>IFERROR(MATCH(SMALL('Cálculos'!$AI$5:$AI$1000,76),'Cálculos'!$AI$5:$AI$1000,0)+4,"")</f>
        <v>265</v>
      </c>
    </row>
    <row r="81">
      <c r="A81" s="5" t="str">
        <f>IF($J81="","",INDEX('Detalle individual'!$B:$B,$J81))</f>
        <v>INGRID PAOLA CORADO HERNANDEZ</v>
      </c>
      <c r="B81" s="5" t="str">
        <f>IF($J81="","",INDEX('Detalle individual'!$A:$A,$J81))</f>
        <v>722</v>
      </c>
      <c r="C81" s="5" t="str">
        <f>IF($J81="","",INDEX('Detalle individual'!$E:$E,$J81))</f>
        <v>CAJERO</v>
      </c>
      <c r="D81" s="5" t="str">
        <f>IF($J81="","",INDEX('Detalle individual'!$C:$C,$J81))</f>
        <v>AGENCIA COLONIA MEDICA</v>
      </c>
      <c r="E81" s="5" t="str">
        <f>IF($J81="","",INDEX('Detalle individual'!$D:$D,$J81))</f>
        <v>Gerencia de Negocios</v>
      </c>
      <c r="F81" s="96">
        <f>IF($J81="","",INDEX('Detalle individual'!$H:$H,$J81))</f>
        <v>46308.57957175926</v>
      </c>
      <c r="G81" s="102">
        <f>IF($J81="","",INDEX('Detalle individual'!$J:$J,$J81))</f>
        <v>90</v>
      </c>
      <c r="H81" s="102">
        <f>IF($J81="","",INDEX('Detalle individual'!$L:$L,$J81))</f>
        <v>1</v>
      </c>
      <c r="J81">
        <f>IFERROR(MATCH(SMALL('Cálculos'!$AI$5:$AI$1000,77),'Cálculos'!$AI$5:$AI$1000,0)+4,"")</f>
        <v>264</v>
      </c>
    </row>
    <row r="82">
      <c r="A82" s="5" t="str">
        <f>IF($J82="","",INDEX('Detalle individual'!$B:$B,$J82))</f>
        <v>JENNIFFER IVETTE MORALES PEREZ</v>
      </c>
      <c r="B82" s="5" t="str">
        <f>IF($J82="","",INDEX('Detalle individual'!$A:$A,$J82))</f>
        <v>308</v>
      </c>
      <c r="C82" s="5" t="str">
        <f>IF($J82="","",INDEX('Detalle individual'!$E:$E,$J82))</f>
        <v>EJECUTIVO DE NEGOCIOS</v>
      </c>
      <c r="D82" s="5" t="str">
        <f>IF($J82="","",INDEX('Detalle individual'!$C:$C,$J82))</f>
        <v>AGENCIA COLONIA MEDICA</v>
      </c>
      <c r="E82" s="5" t="str">
        <f>IF($J82="","",INDEX('Detalle individual'!$D:$D,$J82))</f>
        <v>Gerencia de Negocios</v>
      </c>
      <c r="F82" s="96">
        <f>IF($J82="","",INDEX('Detalle individual'!$H:$H,$J82))</f>
        <v>46297.714895833335</v>
      </c>
      <c r="G82" s="102">
        <f>IF($J82="","",INDEX('Detalle individual'!$J:$J,$J82))</f>
        <v>95</v>
      </c>
      <c r="H82" s="102">
        <f>IF($J82="","",INDEX('Detalle individual'!$L:$L,$J82))</f>
        <v>1</v>
      </c>
      <c r="J82">
        <f>IFERROR(MATCH(SMALL('Cálculos'!$AI$5:$AI$1000,78),'Cálculos'!$AI$5:$AI$1000,0)+4,"")</f>
        <v>260</v>
      </c>
    </row>
    <row r="83">
      <c r="A83" s="5" t="str">
        <f>IF($J83="","",INDEX('Detalle individual'!$B:$B,$J83))</f>
        <v>JULIO RAFAEL FLORES HENRIQUEZ</v>
      </c>
      <c r="B83" s="5" t="str">
        <f>IF($J83="","",INDEX('Detalle individual'!$A:$A,$J83))</f>
        <v>179</v>
      </c>
      <c r="C83" s="5" t="str">
        <f>IF($J83="","",INDEX('Detalle individual'!$E:$E,$J83))</f>
        <v>JEFE DE AGENCIA</v>
      </c>
      <c r="D83" s="5" t="str">
        <f>IF($J83="","",INDEX('Detalle individual'!$C:$C,$J83))</f>
        <v>AGENCIA COLONIA MEDICA</v>
      </c>
      <c r="E83" s="5" t="str">
        <f>IF($J83="","",INDEX('Detalle individual'!$D:$D,$J83))</f>
        <v>Gerencia de Negocios</v>
      </c>
      <c r="F83" s="96">
        <f>IF($J83="","",INDEX('Detalle individual'!$H:$H,$J83))</f>
        <v>46309.36565972222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259</v>
      </c>
    </row>
    <row r="84">
      <c r="A84" s="5" t="str">
        <f>IF($J84="","",INDEX('Detalle individual'!$B:$B,$J84))</f>
        <v>PATRICIA JEANNETTE FLORES MARTINEZ</v>
      </c>
      <c r="B84" s="5" t="str">
        <f>IF($J84="","",INDEX('Detalle individual'!$A:$A,$J84))</f>
        <v>89</v>
      </c>
      <c r="C84" s="5" t="str">
        <f>IF($J84="","",INDEX('Detalle individual'!$E:$E,$J84))</f>
        <v>AUXILIAR DE OPERACIONES Y ATENCION EN AGENCIA</v>
      </c>
      <c r="D84" s="5" t="str">
        <f>IF($J84="","",INDEX('Detalle individual'!$C:$C,$J84))</f>
        <v>AGENCIA COLONIA MEDICA</v>
      </c>
      <c r="E84" s="5" t="str">
        <f>IF($J84="","",INDEX('Detalle individual'!$D:$D,$J84))</f>
        <v>Gerencia de Negocios</v>
      </c>
      <c r="F84" s="96">
        <f>IF($J84="","",INDEX('Detalle individual'!$H:$H,$J84))</f>
        <v>46302.64712962963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258</v>
      </c>
    </row>
    <row r="85">
      <c r="A85" s="5" t="str">
        <f>IF($J85="","",INDEX('Detalle individual'!$B:$B,$J85))</f>
        <v>ZULMA BEATRIZ RIVAS RIVERA</v>
      </c>
      <c r="B85" s="5" t="str">
        <f>IF($J85="","",INDEX('Detalle individual'!$A:$A,$J85))</f>
        <v>801</v>
      </c>
      <c r="C85" s="5" t="str">
        <f>IF($J85="","",INDEX('Detalle individual'!$E:$E,$J85))</f>
        <v>CAJERO</v>
      </c>
      <c r="D85" s="5" t="str">
        <f>IF($J85="","",INDEX('Detalle individual'!$C:$C,$J85))</f>
        <v>AGENCIA COLONIA MEDICA</v>
      </c>
      <c r="E85" s="5" t="str">
        <f>IF($J85="","",INDEX('Detalle individual'!$D:$D,$J85))</f>
        <v>Gerencia de Negocios</v>
      </c>
      <c r="F85" s="96">
        <f>IF($J85="","",INDEX('Detalle individual'!$H:$H,$J85))</f>
        <v>46300.688368055555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267</v>
      </c>
    </row>
    <row r="86">
      <c r="A86" s="5" t="str">
        <f>IF($J86="","",INDEX('Detalle individual'!$B:$B,$J86))</f>
        <v>DIANA VANESSA RODRIGUEZ SORIANO</v>
      </c>
      <c r="B86" s="5" t="str">
        <f>IF($J86="","",INDEX('Detalle individual'!$A:$A,$J86))</f>
        <v>892</v>
      </c>
      <c r="C86" s="5" t="str">
        <f>IF($J86="","",INDEX('Detalle individual'!$E:$E,$J86))</f>
        <v>EJECUTIVA DE SEGUROS</v>
      </c>
      <c r="D86" s="5" t="str">
        <f>IF($J86="","",INDEX('Detalle individual'!$C:$C,$J86))</f>
        <v>AGENCIA MERLIOT</v>
      </c>
      <c r="E86" s="5" t="str">
        <f>IF($J86="","",INDEX('Detalle individual'!$D:$D,$J86))</f>
        <v>Gerencia de Negocios</v>
      </c>
      <c r="F86" s="96">
        <f>IF($J86="","",INDEX('Detalle individual'!$H:$H,$J86))</f>
        <v>46303.39013888889</v>
      </c>
      <c r="G86" s="102">
        <f>IF($J86="","",INDEX('Detalle individual'!$J:$J,$J86))</f>
        <v>100</v>
      </c>
      <c r="H86" s="102">
        <f>IF($J86="","",INDEX('Detalle individual'!$L:$L,$J86))</f>
        <v>1</v>
      </c>
      <c r="J86">
        <f>IFERROR(MATCH(SMALL('Cálculos'!$AI$5:$AI$1000,82),'Cálculos'!$AI$5:$AI$1000,0)+4,"")</f>
        <v>251</v>
      </c>
    </row>
    <row r="87">
      <c r="A87" s="5" t="str">
        <f>IF($J87="","",INDEX('Detalle individual'!$B:$B,$J87))</f>
        <v>FATIMA BERENICE MEDINA ESCALANTE</v>
      </c>
      <c r="B87" s="5" t="str">
        <f>IF($J87="","",INDEX('Detalle individual'!$A:$A,$J87))</f>
        <v>343</v>
      </c>
      <c r="C87" s="5" t="str">
        <f>IF($J87="","",INDEX('Detalle individual'!$E:$E,$J87))</f>
        <v>JEFE DE AGENCIA</v>
      </c>
      <c r="D87" s="5" t="str">
        <f>IF($J87="","",INDEX('Detalle individual'!$C:$C,$J87))</f>
        <v>AGENCIA MERLIOT</v>
      </c>
      <c r="E87" s="5" t="str">
        <f>IF($J87="","",INDEX('Detalle individual'!$D:$D,$J87))</f>
        <v>Gerencia de Negocios</v>
      </c>
      <c r="F87" s="96">
        <f>IF($J87="","",INDEX('Detalle individual'!$H:$H,$J87))</f>
        <v>46302.70259259259</v>
      </c>
      <c r="G87" s="102">
        <f>IF($J87="","",INDEX('Detalle individual'!$J:$J,$J87))</f>
        <v>100</v>
      </c>
      <c r="H87" s="102">
        <f>IF($J87="","",INDEX('Detalle individual'!$L:$L,$J87))</f>
        <v>1</v>
      </c>
      <c r="J87">
        <f>IFERROR(MATCH(SMALL('Cálculos'!$AI$5:$AI$1000,83),'Cálculos'!$AI$5:$AI$1000,0)+4,"")</f>
        <v>246</v>
      </c>
    </row>
    <row r="88">
      <c r="A88" s="5" t="str">
        <f>IF($J88="","",INDEX('Detalle individual'!$B:$B,$J88))</f>
        <v>GLADYS LISETH HERNANDEZ CRUZ</v>
      </c>
      <c r="B88" s="5" t="str">
        <f>IF($J88="","",INDEX('Detalle individual'!$A:$A,$J88))</f>
        <v>909</v>
      </c>
      <c r="C88" s="5" t="str">
        <f>IF($J88="","",INDEX('Detalle individual'!$E:$E,$J88))</f>
        <v>CAJERO</v>
      </c>
      <c r="D88" s="5" t="str">
        <f>IF($J88="","",INDEX('Detalle individual'!$C:$C,$J88))</f>
        <v>AGENCIA MERLIOT</v>
      </c>
      <c r="E88" s="5" t="str">
        <f>IF($J88="","",INDEX('Detalle individual'!$D:$D,$J88))</f>
        <v>Gerencia de Negocios</v>
      </c>
      <c r="F88" s="96">
        <f>IF($J88="","",INDEX('Detalle individual'!$H:$H,$J88))</f>
        <v>46302.70457175926</v>
      </c>
      <c r="G88" s="102">
        <f>IF($J88="","",INDEX('Detalle individual'!$J:$J,$J88))</f>
        <v>100</v>
      </c>
      <c r="H88" s="102">
        <f>IF($J88="","",INDEX('Detalle individual'!$L:$L,$J88))</f>
        <v>1</v>
      </c>
      <c r="J88">
        <f>IFERROR(MATCH(SMALL('Cálculos'!$AI$5:$AI$1000,84),'Cálculos'!$AI$5:$AI$1000,0)+4,"")</f>
        <v>252</v>
      </c>
    </row>
    <row r="89">
      <c r="A89" s="5" t="str">
        <f>IF($J89="","",INDEX('Detalle individual'!$B:$B,$J89))</f>
        <v>JENNIFFER MIREYA AYALA ZEPEDA</v>
      </c>
      <c r="B89" s="5" t="str">
        <f>IF($J89="","",INDEX('Detalle individual'!$A:$A,$J89))</f>
        <v>700</v>
      </c>
      <c r="C89" s="5" t="str">
        <f>IF($J89="","",INDEX('Detalle individual'!$E:$E,$J89))</f>
        <v>SUBJEFE DE AGENCIA</v>
      </c>
      <c r="D89" s="5" t="str">
        <f>IF($J89="","",INDEX('Detalle individual'!$C:$C,$J89))</f>
        <v>AGENCIA MERLIOT</v>
      </c>
      <c r="E89" s="5" t="str">
        <f>IF($J89="","",INDEX('Detalle individual'!$D:$D,$J89))</f>
        <v>Gerencia de Negocios</v>
      </c>
      <c r="F89" s="96">
        <f>IF($J89="","",INDEX('Detalle individual'!$H:$H,$J89))</f>
        <v>46302.561886574076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249</v>
      </c>
    </row>
    <row r="90">
      <c r="A90" s="5" t="str">
        <f>IF($J90="","",INDEX('Detalle individual'!$B:$B,$J90))</f>
        <v>JOSSELYN IVONNE GARCIA HERNANDEZ</v>
      </c>
      <c r="B90" s="5" t="str">
        <f>IF($J90="","",INDEX('Detalle individual'!$A:$A,$J90))</f>
        <v>944</v>
      </c>
      <c r="C90" s="5" t="str">
        <f>IF($J90="","",INDEX('Detalle individual'!$E:$E,$J90))</f>
        <v>AUXILIAR DE ATENCION A ASOCIADOS</v>
      </c>
      <c r="D90" s="5" t="str">
        <f>IF($J90="","",INDEX('Detalle individual'!$C:$C,$J90))</f>
        <v>AGENCIA MERLIOT</v>
      </c>
      <c r="E90" s="5" t="str">
        <f>IF($J90="","",INDEX('Detalle individual'!$D:$D,$J90))</f>
        <v>Gerencia de Negocios</v>
      </c>
      <c r="F90" s="96">
        <f>IF($J90="","",INDEX('Detalle individual'!$H:$H,$J90))</f>
        <v>46296.67511574074</v>
      </c>
      <c r="G90" s="102">
        <f>IF($J90="","",INDEX('Detalle individual'!$J:$J,$J90))</f>
        <v>75</v>
      </c>
      <c r="H90" s="102">
        <f>IF($J90="","",INDEX('Detalle individual'!$L:$L,$J90))</f>
        <v>1</v>
      </c>
      <c r="J90">
        <f>IFERROR(MATCH(SMALL('Cálculos'!$AI$5:$AI$1000,86),'Cálculos'!$AI$5:$AI$1000,0)+4,"")</f>
        <v>255</v>
      </c>
    </row>
    <row r="91">
      <c r="A91" s="5" t="str">
        <f>IF($J91="","",INDEX('Detalle individual'!$B:$B,$J91))</f>
        <v>KELLY IDALIA CHAVEZ ABREGO</v>
      </c>
      <c r="B91" s="5" t="str">
        <f>IF($J91="","",INDEX('Detalle individual'!$A:$A,$J91))</f>
        <v>827</v>
      </c>
      <c r="C91" s="5" t="str">
        <f>IF($J91="","",INDEX('Detalle individual'!$E:$E,$J91))</f>
        <v>CAJERO</v>
      </c>
      <c r="D91" s="5" t="str">
        <f>IF($J91="","",INDEX('Detalle individual'!$C:$C,$J91))</f>
        <v>AGENCIA MERLIOT</v>
      </c>
      <c r="E91" s="5" t="str">
        <f>IF($J91="","",INDEX('Detalle individual'!$D:$D,$J91))</f>
        <v>Gerencia de Negocios</v>
      </c>
      <c r="F91" s="96">
        <f>IF($J91="","",INDEX('Detalle individual'!$H:$H,$J91))</f>
        <v>46302.58609953704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250</v>
      </c>
    </row>
    <row r="92">
      <c r="A92" s="5" t="str">
        <f>IF($J92="","",INDEX('Detalle individual'!$B:$B,$J92))</f>
        <v>MADELINE ADRIANA GOMEZ GARCIA</v>
      </c>
      <c r="B92" s="5" t="str">
        <f>IF($J92="","",INDEX('Detalle individual'!$A:$A,$J92))</f>
        <v>922</v>
      </c>
      <c r="C92" s="5" t="str">
        <f>IF($J92="","",INDEX('Detalle individual'!$E:$E,$J92))</f>
        <v>CAJERO</v>
      </c>
      <c r="D92" s="5" t="str">
        <f>IF($J92="","",INDEX('Detalle individual'!$C:$C,$J92))</f>
        <v>AGENCIA MERLIOT</v>
      </c>
      <c r="E92" s="5" t="str">
        <f>IF($J92="","",INDEX('Detalle individual'!$D:$D,$J92))</f>
        <v>Gerencia de Negocios</v>
      </c>
      <c r="F92" s="96">
        <f>IF($J92="","",INDEX('Detalle individual'!$H:$H,$J92))</f>
        <v>46302.57753472222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253</v>
      </c>
    </row>
    <row r="93">
      <c r="A93" s="5" t="str">
        <f>IF($J93="","",INDEX('Detalle individual'!$B:$B,$J93))</f>
        <v>MARISELA GUADALUPE MEJIA CRUZ</v>
      </c>
      <c r="B93" s="5" t="str">
        <f>IF($J93="","",INDEX('Detalle individual'!$A:$A,$J93))</f>
        <v>936</v>
      </c>
      <c r="C93" s="5" t="str">
        <f>IF($J93="","",INDEX('Detalle individual'!$E:$E,$J93))</f>
        <v>CAJERO</v>
      </c>
      <c r="D93" s="5" t="str">
        <f>IF($J93="","",INDEX('Detalle individual'!$C:$C,$J93))</f>
        <v>AGENCIA MERLIOT</v>
      </c>
      <c r="E93" s="5" t="str">
        <f>IF($J93="","",INDEX('Detalle individual'!$D:$D,$J93))</f>
        <v>Gerencia de Negocios</v>
      </c>
      <c r="F93" s="96">
        <f>IF($J93="","",INDEX('Detalle individual'!$H:$H,$J93))</f>
        <v>46302.637037037035</v>
      </c>
      <c r="G93" s="102">
        <f>IF($J93="","",INDEX('Detalle individual'!$J:$J,$J93))</f>
        <v>100</v>
      </c>
      <c r="H93" s="102">
        <f>IF($J93="","",INDEX('Detalle individual'!$L:$L,$J93))</f>
        <v>1</v>
      </c>
      <c r="J93">
        <f>IFERROR(MATCH(SMALL('Cálculos'!$AI$5:$AI$1000,89),'Cálculos'!$AI$5:$AI$1000,0)+4,"")</f>
        <v>254</v>
      </c>
    </row>
    <row r="94">
      <c r="A94" s="5" t="str">
        <f>IF($J94="","",INDEX('Detalle individual'!$B:$B,$J94))</f>
        <v>MAVERICK JOSSIMAR GONZALEZ MUÑOZ</v>
      </c>
      <c r="B94" s="5" t="str">
        <f>IF($J94="","",INDEX('Detalle individual'!$A:$A,$J94))</f>
        <v>967</v>
      </c>
      <c r="C94" s="5" t="str">
        <f>IF($J94="","",INDEX('Detalle individual'!$E:$E,$J94))</f>
        <v>CAJERO</v>
      </c>
      <c r="D94" s="5" t="str">
        <f>IF($J94="","",INDEX('Detalle individual'!$C:$C,$J94))</f>
        <v>AGENCIA MERLIOT</v>
      </c>
      <c r="E94" s="5" t="str">
        <f>IF($J94="","",INDEX('Detalle individual'!$D:$D,$J94))</f>
        <v>Gerencia de Negocios</v>
      </c>
      <c r="F94" s="96">
        <f>IF($J94="","",INDEX('Detalle individual'!$H:$H,$J94))</f>
        <v>46302.58998842593</v>
      </c>
      <c r="G94" s="102">
        <f>IF($J94="","",INDEX('Detalle individual'!$J:$J,$J94))</f>
        <v>100</v>
      </c>
      <c r="H94" s="102">
        <f>IF($J94="","",INDEX('Detalle individual'!$L:$L,$J94))</f>
        <v>1</v>
      </c>
      <c r="J94">
        <f>IFERROR(MATCH(SMALL('Cálculos'!$AI$5:$AI$1000,90),'Cálculos'!$AI$5:$AI$1000,0)+4,"")</f>
        <v>256</v>
      </c>
    </row>
    <row r="95">
      <c r="A95" s="5" t="str">
        <f>IF($J95="","",INDEX('Detalle individual'!$B:$B,$J95))</f>
        <v>MILTON ALEXANDER CUELLAR GARCIA</v>
      </c>
      <c r="B95" s="5" t="str">
        <f>IF($J95="","",INDEX('Detalle individual'!$A:$A,$J95))</f>
        <v>671</v>
      </c>
      <c r="C95" s="5" t="str">
        <f>IF($J95="","",INDEX('Detalle individual'!$E:$E,$J95))</f>
        <v>CAJERO</v>
      </c>
      <c r="D95" s="5" t="str">
        <f>IF($J95="","",INDEX('Detalle individual'!$C:$C,$J95))</f>
        <v>AGENCIA MERLIOT</v>
      </c>
      <c r="E95" s="5" t="str">
        <f>IF($J95="","",INDEX('Detalle individual'!$D:$D,$J95))</f>
        <v>Gerencia de Negocios</v>
      </c>
      <c r="F95" s="96">
        <f>IF($J95="","",INDEX('Detalle individual'!$H:$H,$J95))</f>
        <v>46296.55247685185</v>
      </c>
      <c r="G95" s="102">
        <f>IF($J95="","",INDEX('Detalle individual'!$J:$J,$J95))</f>
        <v>70</v>
      </c>
      <c r="H95" s="102">
        <f>IF($J95="","",INDEX('Detalle individual'!$L:$L,$J95))</f>
        <v>1</v>
      </c>
      <c r="J95">
        <f>IFERROR(MATCH(SMALL('Cálculos'!$AI$5:$AI$1000,91),'Cálculos'!$AI$5:$AI$1000,0)+4,"")</f>
        <v>248</v>
      </c>
    </row>
    <row r="96">
      <c r="A96" s="5" t="str">
        <f>IF($J96="","",INDEX('Detalle individual'!$B:$B,$J96))</f>
        <v>NURIA LISSETH AGUILAR AGUILAR</v>
      </c>
      <c r="B96" s="5" t="str">
        <f>IF($J96="","",INDEX('Detalle individual'!$A:$A,$J96))</f>
        <v>251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MERLIOT</v>
      </c>
      <c r="E96" s="5" t="str">
        <f>IF($J96="","",INDEX('Detalle individual'!$D:$D,$J96))</f>
        <v>Gerencia de Negocios</v>
      </c>
      <c r="F96" s="96">
        <f>IF($J96="","",INDEX('Detalle individual'!$H:$H,$J96))</f>
        <v>46303.46199074074</v>
      </c>
      <c r="G96" s="102">
        <f>IF($J96="","",INDEX('Detalle individual'!$J:$J,$J96))</f>
        <v>100</v>
      </c>
      <c r="H96" s="102">
        <f>IF($J96="","",INDEX('Detalle individual'!$L:$L,$J96))</f>
        <v>1</v>
      </c>
      <c r="J96">
        <f>IFERROR(MATCH(SMALL('Cálculos'!$AI$5:$AI$1000,92),'Cálculos'!$AI$5:$AI$1000,0)+4,"")</f>
        <v>245</v>
      </c>
    </row>
    <row r="97">
      <c r="A97" s="5" t="str">
        <f>IF($J97="","",INDEX('Detalle individual'!$B:$B,$J97))</f>
        <v>PATRICIA GUADALUPE GUARDADO OSEGUEDA</v>
      </c>
      <c r="B97" s="5" t="str">
        <f>IF($J97="","",INDEX('Detalle individual'!$A:$A,$J97))</f>
        <v>159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MERLIOT</v>
      </c>
      <c r="E97" s="5" t="str">
        <f>IF($J97="","",INDEX('Detalle individual'!$D:$D,$J97))</f>
        <v>Gerencia de Negocios</v>
      </c>
      <c r="F97" s="96">
        <f>IF($J97="","",INDEX('Detalle individual'!$H:$H,$J97))</f>
        <v>46303.39640046296</v>
      </c>
      <c r="G97" s="102">
        <f>IF($J97="","",INDEX('Detalle individual'!$J:$J,$J97))</f>
        <v>100</v>
      </c>
      <c r="H97" s="102">
        <f>IF($J97="","",INDEX('Detalle individual'!$L:$L,$J97))</f>
        <v>1</v>
      </c>
      <c r="J97">
        <f>IFERROR(MATCH(SMALL('Cálculos'!$AI$5:$AI$1000,93),'Cálculos'!$AI$5:$AI$1000,0)+4,"")</f>
        <v>244</v>
      </c>
    </row>
    <row r="98">
      <c r="A98" s="5" t="str">
        <f>IF($J98="","",INDEX('Detalle individual'!$B:$B,$J98))</f>
        <v>ERIKA IVETH MANCIA HERNANDEZ</v>
      </c>
      <c r="B98" s="5" t="str">
        <f>IF($J98="","",INDEX('Detalle individual'!$A:$A,$J98))</f>
        <v>955</v>
      </c>
      <c r="C98" s="5" t="str">
        <f>IF($J98="","",INDEX('Detalle individual'!$E:$E,$J98))</f>
        <v>CAJERO</v>
      </c>
      <c r="D98" s="5" t="str">
        <f>IF($J98="","",INDEX('Detalle individual'!$C:$C,$J98))</f>
        <v>AGENCIA PLAZA MUNDO</v>
      </c>
      <c r="E98" s="5" t="str">
        <f>IF($J98="","",INDEX('Detalle individual'!$D:$D,$J98))</f>
        <v>Gerencia de Negocios</v>
      </c>
      <c r="F98" s="96">
        <f>IF($J98="","",INDEX('Detalle individual'!$H:$H,$J98))</f>
        <v>46309.404699074075</v>
      </c>
      <c r="G98" s="102">
        <f>IF($J98="","",INDEX('Detalle individual'!$J:$J,$J98))</f>
        <v>100</v>
      </c>
      <c r="H98" s="102">
        <f>IF($J98="","",INDEX('Detalle individual'!$L:$L,$J98))</f>
        <v>1</v>
      </c>
      <c r="J98">
        <f>IFERROR(MATCH(SMALL('Cálculos'!$AI$5:$AI$1000,94),'Cálculos'!$AI$5:$AI$1000,0)+4,"")</f>
        <v>280</v>
      </c>
    </row>
    <row r="99">
      <c r="A99" s="5" t="str">
        <f>IF($J99="","",INDEX('Detalle individual'!$B:$B,$J99))</f>
        <v>GABRIELA JEANNETTE BOLAÑOS HERRERA</v>
      </c>
      <c r="B99" s="5" t="str">
        <f>IF($J99="","",INDEX('Detalle individual'!$A:$A,$J99))</f>
        <v>616</v>
      </c>
      <c r="C99" s="5" t="str">
        <f>IF($J99="","",INDEX('Detalle individual'!$E:$E,$J99))</f>
        <v>EJECUTIVA DE SEGUROS</v>
      </c>
      <c r="D99" s="5" t="str">
        <f>IF($J99="","",INDEX('Detalle individual'!$C:$C,$J99))</f>
        <v>AGENCIA PLAZA MUNDO</v>
      </c>
      <c r="E99" s="5" t="str">
        <f>IF($J99="","",INDEX('Detalle individual'!$D:$D,$J99))</f>
        <v>Gerencia de Negocios</v>
      </c>
      <c r="F99" s="96">
        <f>IF($J99="","",INDEX('Detalle individual'!$H:$H,$J99))</f>
        <v>46308.41873842593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276</v>
      </c>
    </row>
    <row r="100">
      <c r="A100" s="5" t="str">
        <f>IF($J100="","",INDEX('Detalle individual'!$B:$B,$J100))</f>
        <v>NANCY CAROLINA FUENTES SORTO</v>
      </c>
      <c r="B100" s="5" t="str">
        <f>IF($J100="","",INDEX('Detalle individual'!$A:$A,$J100))</f>
        <v>675</v>
      </c>
      <c r="C100" s="5" t="str">
        <f>IF($J100="","",INDEX('Detalle individual'!$E:$E,$J100))</f>
        <v>CAJERO</v>
      </c>
      <c r="D100" s="5" t="str">
        <f>IF($J100="","",INDEX('Detalle individual'!$C:$C,$J100))</f>
        <v>AGENCIA PLAZA MUNDO</v>
      </c>
      <c r="E100" s="5" t="str">
        <f>IF($J100="","",INDEX('Detalle individual'!$D:$D,$J100))</f>
        <v>Gerencia de Negocios</v>
      </c>
      <c r="F100" s="96">
        <f>IF($J100="","",INDEX('Detalle individual'!$H:$H,$J100))</f>
        <v>46309.394328703704</v>
      </c>
      <c r="G100" s="102">
        <f>IF($J100="","",INDEX('Detalle individual'!$J:$J,$J100))</f>
        <v>90</v>
      </c>
      <c r="H100" s="102">
        <f>IF($J100="","",INDEX('Detalle individual'!$L:$L,$J100))</f>
        <v>1</v>
      </c>
      <c r="J100">
        <f>IFERROR(MATCH(SMALL('Cálculos'!$AI$5:$AI$1000,96),'Cálculos'!$AI$5:$AI$1000,0)+4,"")</f>
        <v>277</v>
      </c>
    </row>
    <row r="101">
      <c r="A101" s="5" t="str">
        <f>IF($J101="","",INDEX('Detalle individual'!$B:$B,$J101))</f>
        <v>NORMA ARACELY GUILLEN</v>
      </c>
      <c r="B101" s="5" t="str">
        <f>IF($J101="","",INDEX('Detalle individual'!$A:$A,$J101))</f>
        <v>331</v>
      </c>
      <c r="C101" s="5" t="str">
        <f>IF($J101="","",INDEX('Detalle individual'!$E:$E,$J101))</f>
        <v>SUBJEFE DE AGENCIA</v>
      </c>
      <c r="D101" s="5" t="str">
        <f>IF($J101="","",INDEX('Detalle individual'!$C:$C,$J101))</f>
        <v>AGENCIA PLAZA MUNDO</v>
      </c>
      <c r="E101" s="5" t="str">
        <f>IF($J101="","",INDEX('Detalle individual'!$D:$D,$J101))</f>
        <v>Gerencia de Negocios</v>
      </c>
      <c r="F101" s="96">
        <f>IF($J101="","",INDEX('Detalle individual'!$H:$H,$J101))</f>
        <v>46307.440046296295</v>
      </c>
      <c r="G101" s="102">
        <f>IF($J101="","",INDEX('Detalle individual'!$J:$J,$J101))</f>
        <v>100</v>
      </c>
      <c r="H101" s="102">
        <f>IF($J101="","",INDEX('Detalle individual'!$L:$L,$J101))</f>
        <v>1</v>
      </c>
      <c r="J101">
        <f>IFERROR(MATCH(SMALL('Cálculos'!$AI$5:$AI$1000,97),'Cálculos'!$AI$5:$AI$1000,0)+4,"")</f>
        <v>274</v>
      </c>
    </row>
    <row r="102">
      <c r="A102" s="5" t="str">
        <f>IF($J102="","",INDEX('Detalle individual'!$B:$B,$J102))</f>
        <v>PAOLA JEANNETTE ROMERO HERNANDEZ</v>
      </c>
      <c r="B102" s="5" t="str">
        <f>IF($J102="","",INDEX('Detalle individual'!$A:$A,$J102))</f>
        <v>876</v>
      </c>
      <c r="C102" s="5" t="str">
        <f>IF($J102="","",INDEX('Detalle individual'!$E:$E,$J102))</f>
        <v>CAJERO</v>
      </c>
      <c r="D102" s="5" t="str">
        <f>IF($J102="","",INDEX('Detalle individual'!$C:$C,$J102))</f>
        <v>AGENCIA PLAZA MUNDO</v>
      </c>
      <c r="E102" s="5" t="str">
        <f>IF($J102="","",INDEX('Detalle individual'!$D:$D,$J102))</f>
        <v>Gerencia de Negocios</v>
      </c>
      <c r="F102" s="96">
        <f>IF($J102="","",INDEX('Detalle individual'!$H:$H,$J102))</f>
        <v>46309.408229166664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279</v>
      </c>
    </row>
    <row r="103">
      <c r="A103" s="5" t="str">
        <f>IF($J103="","",INDEX('Detalle individual'!$B:$B,$J103))</f>
        <v>ROSARIO DEL CARMEN PEREZ LOPEZ</v>
      </c>
      <c r="B103" s="5" t="str">
        <f>IF($J103="","",INDEX('Detalle individual'!$A:$A,$J103))</f>
        <v>535</v>
      </c>
      <c r="C103" s="5" t="str">
        <f>IF($J103="","",INDEX('Detalle individual'!$E:$E,$J103))</f>
        <v>JEFE DE AGENCIA</v>
      </c>
      <c r="D103" s="5" t="str">
        <f>IF($J103="","",INDEX('Detalle individual'!$C:$C,$J103))</f>
        <v>AGENCIA PLAZA MUNDO</v>
      </c>
      <c r="E103" s="5" t="str">
        <f>IF($J103="","",INDEX('Detalle individual'!$D:$D,$J103))</f>
        <v>Gerencia de Negocios</v>
      </c>
      <c r="F103" s="96">
        <f>IF($J103="","",INDEX('Detalle individual'!$H:$H,$J103))</f>
        <v>46307.40383101852</v>
      </c>
      <c r="G103" s="102">
        <f>IF($J103="","",INDEX('Detalle individual'!$J:$J,$J103))</f>
        <v>100</v>
      </c>
      <c r="H103" s="102">
        <f>IF($J103="","",INDEX('Detalle individual'!$L:$L,$J103))</f>
        <v>1</v>
      </c>
      <c r="J103">
        <f>IFERROR(MATCH(SMALL('Cálculos'!$AI$5:$AI$1000,99),'Cálculos'!$AI$5:$AI$1000,0)+4,"")</f>
        <v>275</v>
      </c>
    </row>
    <row r="104">
      <c r="A104" s="5" t="str">
        <f>IF($J104="","",INDEX('Detalle individual'!$B:$B,$J104))</f>
        <v>WALTER ALBERTO BARAHONA DIAZ</v>
      </c>
      <c r="B104" s="5" t="str">
        <f>IF($J104="","",INDEX('Detalle individual'!$A:$A,$J104))</f>
        <v>748</v>
      </c>
      <c r="C104" s="5" t="str">
        <f>IF($J104="","",INDEX('Detalle individual'!$E:$E,$J104))</f>
        <v>CAJERO</v>
      </c>
      <c r="D104" s="5" t="str">
        <f>IF($J104="","",INDEX('Detalle individual'!$C:$C,$J104))</f>
        <v>AGENCIA PLAZA MUNDO</v>
      </c>
      <c r="E104" s="5" t="str">
        <f>IF($J104="","",INDEX('Detalle individual'!$D:$D,$J104))</f>
        <v>Gerencia de Negocios</v>
      </c>
      <c r="F104" s="96">
        <f>IF($J104="","",INDEX('Detalle individual'!$H:$H,$J104))</f>
        <v>46309.40075231482</v>
      </c>
      <c r="G104" s="102">
        <f>IF($J104="","",INDEX('Detalle individual'!$J:$J,$J104))</f>
        <v>100</v>
      </c>
      <c r="H104" s="102">
        <f>IF($J104="","",INDEX('Detalle individual'!$L:$L,$J104))</f>
        <v>1</v>
      </c>
      <c r="J104">
        <f>IFERROR(MATCH(SMALL('Cálculos'!$AI$5:$AI$1000,100),'Cálculos'!$AI$5:$AI$1000,0)+4,"")</f>
        <v>278</v>
      </c>
    </row>
    <row r="105">
      <c r="A105" s="5" t="str">
        <f>IF($J105="","",INDEX('Detalle individual'!$B:$B,$J105))</f>
        <v>DIEGO GERARDO GUANDIQUE TORRES</v>
      </c>
      <c r="B105" s="5" t="str">
        <f>IF($J105="","",INDEX('Detalle individual'!$A:$A,$J105))</f>
        <v>776</v>
      </c>
      <c r="C105" s="5" t="str">
        <f>IF($J105="","",INDEX('Detalle individual'!$E:$E,$J105))</f>
        <v>CAJERO</v>
      </c>
      <c r="D105" s="5" t="str">
        <f>IF($J105="","",INDEX('Detalle individual'!$C:$C,$J105))</f>
        <v>AGENCIA SAN MIGUEL</v>
      </c>
      <c r="E105" s="5" t="str">
        <f>IF($J105="","",INDEX('Detalle individual'!$D:$D,$J105))</f>
        <v>Gerencia de Negocios</v>
      </c>
      <c r="F105" s="96">
        <f>IF($J105="","",INDEX('Detalle individual'!$H:$H,$J105))</f>
        <v>46296.44540509259</v>
      </c>
      <c r="G105" s="102">
        <f>IF($J105="","",INDEX('Detalle individual'!$J:$J,$J105))</f>
        <v>100</v>
      </c>
      <c r="H105" s="102">
        <f>IF($J105="","",INDEX('Detalle individual'!$L:$L,$J105))</f>
        <v>2</v>
      </c>
      <c r="J105">
        <f>IFERROR(MATCH(SMALL('Cálculos'!$AI$5:$AI$1000,101),'Cálculos'!$AI$5:$AI$1000,0)+4,"")</f>
        <v>225</v>
      </c>
    </row>
    <row r="106">
      <c r="A106" s="5" t="str">
        <f>IF($J106="","",INDEX('Detalle individual'!$B:$B,$J106))</f>
        <v>JOSE MANUEL SERRANO ROVIRA</v>
      </c>
      <c r="B106" s="5" t="str">
        <f>IF($J106="","",INDEX('Detalle individual'!$A:$A,$J106))</f>
        <v>200</v>
      </c>
      <c r="C106" s="5" t="str">
        <f>IF($J106="","",INDEX('Detalle individual'!$E:$E,$J106))</f>
        <v>JEFE DE AGENCIA</v>
      </c>
      <c r="D106" s="5" t="str">
        <f>IF($J106="","",INDEX('Detalle individual'!$C:$C,$J106))</f>
        <v>AGENCIA SAN MIGUEL</v>
      </c>
      <c r="E106" s="5" t="str">
        <f>IF($J106="","",INDEX('Detalle individual'!$D:$D,$J106))</f>
        <v>Gerencia de Negocios</v>
      </c>
      <c r="F106" s="96">
        <f>IF($J106="","",INDEX('Detalle individual'!$H:$H,$J106))</f>
        <v>46296.49199074074</v>
      </c>
      <c r="G106" s="102">
        <f>IF($J106="","",INDEX('Detalle individual'!$J:$J,$J106))</f>
        <v>90</v>
      </c>
      <c r="H106" s="102">
        <f>IF($J106="","",INDEX('Detalle individual'!$L:$L,$J106))</f>
        <v>1</v>
      </c>
      <c r="J106">
        <f>IFERROR(MATCH(SMALL('Cálculos'!$AI$5:$AI$1000,102),'Cálculos'!$AI$5:$AI$1000,0)+4,"")</f>
        <v>222</v>
      </c>
    </row>
    <row r="107">
      <c r="A107" s="5" t="str">
        <f>IF($J107="","",INDEX('Detalle individual'!$B:$B,$J107))</f>
        <v>LEIBY NATHALY ROMERO VANEGAS</v>
      </c>
      <c r="B107" s="5" t="str">
        <f>IF($J107="","",INDEX('Detalle individual'!$A:$A,$J107))</f>
        <v>545</v>
      </c>
      <c r="C107" s="5" t="str">
        <f>IF($J107="","",INDEX('Detalle individual'!$E:$E,$J107))</f>
        <v>SUBJEFE DE AGENCIA</v>
      </c>
      <c r="D107" s="5" t="str">
        <f>IF($J107="","",INDEX('Detalle individual'!$C:$C,$J107))</f>
        <v>AGENCIA SAN MIGUEL</v>
      </c>
      <c r="E107" s="5" t="str">
        <f>IF($J107="","",INDEX('Detalle individual'!$D:$D,$J107))</f>
        <v>Gerencia de Negocios</v>
      </c>
      <c r="F107" s="96">
        <f>IF($J107="","",INDEX('Detalle individual'!$H:$H,$J107))</f>
        <v>46296.45449074074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224</v>
      </c>
    </row>
    <row r="108">
      <c r="A108" s="5" t="str">
        <f>IF($J108="","",INDEX('Detalle individual'!$B:$B,$J108))</f>
        <v>MARCELA GUADALUPE CRESPO BENAVIDEZ</v>
      </c>
      <c r="B108" s="5" t="str">
        <f>IF($J108="","",INDEX('Detalle individual'!$A:$A,$J108))</f>
        <v>807</v>
      </c>
      <c r="C108" s="5" t="str">
        <f>IF($J108="","",INDEX('Detalle individual'!$E:$E,$J108))</f>
        <v>EJECUTIVA DE SEGUROS</v>
      </c>
      <c r="D108" s="5" t="str">
        <f>IF($J108="","",INDEX('Detalle individual'!$C:$C,$J108))</f>
        <v>AGENCIA SAN MIGUEL</v>
      </c>
      <c r="E108" s="5" t="str">
        <f>IF($J108="","",INDEX('Detalle individual'!$D:$D,$J108))</f>
        <v>Gerencia de Negocios</v>
      </c>
      <c r="F108" s="96">
        <f>IF($J108="","",INDEX('Detalle individual'!$H:$H,$J108))</f>
        <v>46296.45224537037</v>
      </c>
      <c r="G108" s="102">
        <f>IF($J108="","",INDEX('Detalle individual'!$J:$J,$J108))</f>
        <v>100</v>
      </c>
      <c r="H108" s="102">
        <f>IF($J108="","",INDEX('Detalle individual'!$L:$L,$J108))</f>
        <v>1</v>
      </c>
      <c r="J108">
        <f>IFERROR(MATCH(SMALL('Cálculos'!$AI$5:$AI$1000,104),'Cálculos'!$AI$5:$AI$1000,0)+4,"")</f>
        <v>227</v>
      </c>
    </row>
    <row r="109">
      <c r="A109" s="5" t="str">
        <f>IF($J109="","",INDEX('Detalle individual'!$B:$B,$J109))</f>
        <v>MARCELINA YAMILETH LOPEZ VASQUEZ</v>
      </c>
      <c r="B109" s="5" t="str">
        <f>IF($J109="","",INDEX('Detalle individual'!$A:$A,$J109))</f>
        <v>777</v>
      </c>
      <c r="C109" s="5" t="str">
        <f>IF($J109="","",INDEX('Detalle individual'!$E:$E,$J109))</f>
        <v>CAJERO</v>
      </c>
      <c r="D109" s="5" t="str">
        <f>IF($J109="","",INDEX('Detalle individual'!$C:$C,$J109))</f>
        <v>AGENCIA SAN MIGUEL</v>
      </c>
      <c r="E109" s="5" t="str">
        <f>IF($J109="","",INDEX('Detalle individual'!$D:$D,$J109))</f>
        <v>Gerencia de Negocios</v>
      </c>
      <c r="F109" s="96">
        <f>IF($J109="","",INDEX('Detalle individual'!$H:$H,$J109))</f>
        <v>46296.45806712963</v>
      </c>
      <c r="G109" s="102">
        <f>IF($J109="","",INDEX('Detalle individual'!$J:$J,$J109))</f>
        <v>100</v>
      </c>
      <c r="H109" s="102">
        <f>IF($J109="","",INDEX('Detalle individual'!$L:$L,$J109))</f>
        <v>1</v>
      </c>
      <c r="J109">
        <f>IFERROR(MATCH(SMALL('Cálculos'!$AI$5:$AI$1000,105),'Cálculos'!$AI$5:$AI$1000,0)+4,"")</f>
        <v>226</v>
      </c>
    </row>
    <row r="110">
      <c r="A110" s="5" t="str">
        <f>IF($J110="","",INDEX('Detalle individual'!$B:$B,$J110))</f>
        <v>MARTHA LORENA GONZALEZ GONZALEZ</v>
      </c>
      <c r="B110" s="5" t="str">
        <f>IF($J110="","",INDEX('Detalle individual'!$A:$A,$J110))</f>
        <v>390</v>
      </c>
      <c r="C110" s="5" t="str">
        <f>IF($J110="","",INDEX('Detalle individual'!$E:$E,$J110))</f>
        <v>AUXILIAR DE OPERACIONES Y ATENCION EN AGENCIA</v>
      </c>
      <c r="D110" s="5" t="str">
        <f>IF($J110="","",INDEX('Detalle individual'!$C:$C,$J110))</f>
        <v>AGENCIA SAN MIGUEL</v>
      </c>
      <c r="E110" s="5" t="str">
        <f>IF($J110="","",INDEX('Detalle individual'!$D:$D,$J110))</f>
        <v>Gerencia de Negocios</v>
      </c>
      <c r="F110" s="96">
        <f>IF($J110="","",INDEX('Detalle individual'!$H:$H,$J110))</f>
        <v>46296.44844907407</v>
      </c>
      <c r="G110" s="102">
        <f>IF($J110="","",INDEX('Detalle individual'!$J:$J,$J110))</f>
        <v>100</v>
      </c>
      <c r="H110" s="102">
        <f>IF($J110="","",INDEX('Detalle individual'!$L:$L,$J110))</f>
        <v>1</v>
      </c>
      <c r="J110">
        <f>IFERROR(MATCH(SMALL('Cálculos'!$AI$5:$AI$1000,106),'Cálculos'!$AI$5:$AI$1000,0)+4,"")</f>
        <v>223</v>
      </c>
    </row>
    <row r="111">
      <c r="A111" s="5" t="str">
        <f>IF($J111="","",INDEX('Detalle individual'!$B:$B,$J111))</f>
        <v>THELMA ESPERANZA FIGUEROA SORTO</v>
      </c>
      <c r="B111" s="5" t="str">
        <f>IF($J111="","",INDEX('Detalle individual'!$A:$A,$J111))</f>
        <v>197</v>
      </c>
      <c r="C111" s="5" t="str">
        <f>IF($J111="","",INDEX('Detalle individual'!$E:$E,$J111))</f>
        <v>EJECUTIVO DE NEGOCIOS</v>
      </c>
      <c r="D111" s="5" t="str">
        <f>IF($J111="","",INDEX('Detalle individual'!$C:$C,$J111))</f>
        <v>AGENCIA SAN MIGUEL</v>
      </c>
      <c r="E111" s="5" t="str">
        <f>IF($J111="","",INDEX('Detalle individual'!$D:$D,$J111))</f>
        <v>Gerencia de Negocios</v>
      </c>
      <c r="F111" s="96">
        <f>IF($J111="","",INDEX('Detalle individual'!$H:$H,$J111))</f>
        <v>46296.44064814815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221</v>
      </c>
    </row>
    <row r="112">
      <c r="A112" s="5" t="str">
        <f>IF($J112="","",INDEX('Detalle individual'!$B:$B,$J112))</f>
        <v>ANDREA YAMILETH ESCOBAR CHICA</v>
      </c>
      <c r="B112" s="5" t="str">
        <f>IF($J112="","",INDEX('Detalle individual'!$A:$A,$J112))</f>
        <v>818</v>
      </c>
      <c r="C112" s="5" t="str">
        <f>IF($J112="","",INDEX('Detalle individual'!$E:$E,$J112))</f>
        <v>CAJERO</v>
      </c>
      <c r="D112" s="5" t="str">
        <f>IF($J112="","",INDEX('Detalle individual'!$C:$C,$J112))</f>
        <v>AGENCIA SANTA ANA</v>
      </c>
      <c r="E112" s="5" t="str">
        <f>IF($J112="","",INDEX('Detalle individual'!$D:$D,$J112))</f>
        <v>Gerencia de Negocios</v>
      </c>
      <c r="F112" s="96">
        <f>IF($J112="","",INDEX('Detalle individual'!$H:$H,$J112))</f>
        <v>46309.62991898148</v>
      </c>
      <c r="G112" s="102">
        <f>IF($J112="","",INDEX('Detalle individual'!$J:$J,$J112))</f>
        <v>90</v>
      </c>
      <c r="H112" s="102">
        <f>IF($J112="","",INDEX('Detalle individual'!$L:$L,$J112))</f>
        <v>1</v>
      </c>
      <c r="J112">
        <f>IFERROR(MATCH(SMALL('Cálculos'!$AI$5:$AI$1000,108),'Cálculos'!$AI$5:$AI$1000,0)+4,"")</f>
        <v>233</v>
      </c>
    </row>
    <row r="113">
      <c r="A113" s="5" t="str">
        <f>IF($J113="","",INDEX('Detalle individual'!$B:$B,$J113))</f>
        <v>GLENDA MARAYA SALAZAR GONZALEZ</v>
      </c>
      <c r="B113" s="5" t="str">
        <f>IF($J113="","",INDEX('Detalle individual'!$A:$A,$J113))</f>
        <v>295</v>
      </c>
      <c r="C113" s="5" t="str">
        <f>IF($J113="","",INDEX('Detalle individual'!$E:$E,$J113))</f>
        <v>JEFE DE AGENCIA</v>
      </c>
      <c r="D113" s="5" t="str">
        <f>IF($J113="","",INDEX('Detalle individual'!$C:$C,$J113))</f>
        <v>AGENCIA SANTA ANA</v>
      </c>
      <c r="E113" s="5" t="str">
        <f>IF($J113="","",INDEX('Detalle individual'!$D:$D,$J113))</f>
        <v>Gerencia de Negocios</v>
      </c>
      <c r="F113" s="96">
        <f>IF($J113="","",INDEX('Detalle individual'!$H:$H,$J113))</f>
        <v>46309.339270833334</v>
      </c>
      <c r="G113" s="102">
        <f>IF($J113="","",INDEX('Detalle individual'!$J:$J,$J113))</f>
        <v>100</v>
      </c>
      <c r="H113" s="102">
        <f>IF($J113="","",INDEX('Detalle individual'!$L:$L,$J113))</f>
        <v>1</v>
      </c>
      <c r="J113">
        <f>IFERROR(MATCH(SMALL('Cálculos'!$AI$5:$AI$1000,109),'Cálculos'!$AI$5:$AI$1000,0)+4,"")</f>
        <v>230</v>
      </c>
    </row>
    <row r="114">
      <c r="A114" s="5" t="str">
        <f>IF($J114="","",INDEX('Detalle individual'!$B:$B,$J114))</f>
        <v>JEANNETTE ANGELINNE HERNANDEZ MEJIA</v>
      </c>
      <c r="B114" s="5" t="str">
        <f>IF($J114="","",INDEX('Detalle individual'!$A:$A,$J114))</f>
        <v>312</v>
      </c>
      <c r="C114" s="5" t="str">
        <f>IF($J114="","",INDEX('Detalle individual'!$E:$E,$J114))</f>
        <v>SUBJEFE DE AGENCIA</v>
      </c>
      <c r="D114" s="5" t="str">
        <f>IF($J114="","",INDEX('Detalle individual'!$C:$C,$J114))</f>
        <v>AGENCIA SANTA ANA</v>
      </c>
      <c r="E114" s="5" t="str">
        <f>IF($J114="","",INDEX('Detalle individual'!$D:$D,$J114))</f>
        <v>Gerencia de Negocios</v>
      </c>
      <c r="F114" s="96">
        <f>IF($J114="","",INDEX('Detalle individual'!$H:$H,$J114))</f>
        <v>46309.46179398148</v>
      </c>
      <c r="G114" s="102">
        <f>IF($J114="","",INDEX('Detalle individual'!$J:$J,$J114))</f>
        <v>100</v>
      </c>
      <c r="H114" s="102">
        <f>IF($J114="","",INDEX('Detalle individual'!$L:$L,$J114))</f>
        <v>1</v>
      </c>
      <c r="J114">
        <f>IFERROR(MATCH(SMALL('Cálculos'!$AI$5:$AI$1000,110),'Cálculos'!$AI$5:$AI$1000,0)+4,"")</f>
        <v>231</v>
      </c>
    </row>
    <row r="115">
      <c r="A115" s="5" t="str">
        <f>IF($J115="","",INDEX('Detalle individual'!$B:$B,$J115))</f>
        <v>LUIS GERARDO DUEÑAS VALLE</v>
      </c>
      <c r="B115" s="5" t="str">
        <f>IF($J115="","",INDEX('Detalle individual'!$A:$A,$J115))</f>
        <v>954</v>
      </c>
      <c r="C115" s="5" t="str">
        <f>IF($J115="","",INDEX('Detalle individual'!$E:$E,$J115))</f>
        <v>CAJERO</v>
      </c>
      <c r="D115" s="5" t="str">
        <f>IF($J115="","",INDEX('Detalle individual'!$C:$C,$J115))</f>
        <v>AGENCIA SANTA ANA</v>
      </c>
      <c r="E115" s="5" t="str">
        <f>IF($J115="","",INDEX('Detalle individual'!$D:$D,$J115))</f>
        <v>Gerencia de Negocios</v>
      </c>
      <c r="F115" s="96">
        <f>IF($J115="","",INDEX('Detalle individual'!$H:$H,$J115))</f>
        <v>46309.63957175926</v>
      </c>
      <c r="G115" s="102">
        <f>IF($J115="","",INDEX('Detalle individual'!$J:$J,$J115))</f>
        <v>90</v>
      </c>
      <c r="H115" s="102">
        <f>IF($J115="","",INDEX('Detalle individual'!$L:$L,$J115))</f>
        <v>1</v>
      </c>
      <c r="J115">
        <f>IFERROR(MATCH(SMALL('Cálculos'!$AI$5:$AI$1000,111),'Cálculos'!$AI$5:$AI$1000,0)+4,"")</f>
        <v>236</v>
      </c>
    </row>
    <row r="116">
      <c r="A116" s="5" t="str">
        <f>IF($J116="","",INDEX('Detalle individual'!$B:$B,$J116))</f>
        <v>MIGUEL ANGEL LEON MENA</v>
      </c>
      <c r="B116" s="5" t="str">
        <f>IF($J116="","",INDEX('Detalle individual'!$A:$A,$J116))</f>
        <v>755</v>
      </c>
      <c r="C116" s="5" t="str">
        <f>IF($J116="","",INDEX('Detalle individual'!$E:$E,$J116))</f>
        <v>CAJERO</v>
      </c>
      <c r="D116" s="5" t="str">
        <f>IF($J116="","",INDEX('Detalle individual'!$C:$C,$J116))</f>
        <v>AGENCIA SONSONATE</v>
      </c>
      <c r="E116" s="5" t="str">
        <f>IF($J116="","",INDEX('Detalle individual'!$D:$D,$J116))</f>
        <v>Gerencia de Negocios</v>
      </c>
      <c r="F116" s="96">
        <f>IF($J116="","",INDEX('Detalle individual'!$H:$H,$J116))</f>
        <v>46308.456412037034</v>
      </c>
      <c r="G116" s="102">
        <f>IF($J116="","",INDEX('Detalle individual'!$J:$J,$J116))</f>
        <v>80</v>
      </c>
      <c r="H116" s="102">
        <f>IF($J116="","",INDEX('Detalle individual'!$L:$L,$J116))</f>
        <v>1</v>
      </c>
      <c r="J116">
        <f>IFERROR(MATCH(SMALL('Cálculos'!$AI$5:$AI$1000,112),'Cálculos'!$AI$5:$AI$1000,0)+4,"")</f>
        <v>242</v>
      </c>
    </row>
    <row r="117">
      <c r="A117" s="5" t="str">
        <f>IF($J117="","",INDEX('Detalle individual'!$B:$B,$J117))</f>
        <v>EDUARDO JOSE GAMEZ VILLATORO</v>
      </c>
      <c r="B117" s="5" t="str">
        <f>IF($J117="","",INDEX('Detalle individual'!$A:$A,$J117))</f>
        <v>970</v>
      </c>
      <c r="C117" s="5" t="str">
        <f>IF($J117="","",INDEX('Detalle individual'!$E:$E,$J117))</f>
        <v>CAJERO</v>
      </c>
      <c r="D117" s="5" t="str">
        <f>IF($J117="","",INDEX('Detalle individual'!$C:$C,$J117))</f>
        <v>AGENCIA USULUTAN</v>
      </c>
      <c r="E117" s="5" t="str">
        <f>IF($J117="","",INDEX('Detalle individual'!$D:$D,$J117))</f>
        <v>Gerencia de Negocios</v>
      </c>
      <c r="F117" s="96">
        <f>IF($J117="","",INDEX('Detalle individual'!$H:$H,$J117))</f>
        <v>46309.37625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287</v>
      </c>
    </row>
    <row r="118">
      <c r="A118" s="5" t="str">
        <f>IF($J118="","",INDEX('Detalle individual'!$B:$B,$J118))</f>
        <v>FATIMA LISSETTE HERNANDEZ MEJIA</v>
      </c>
      <c r="B118" s="5" t="str">
        <f>IF($J118="","",INDEX('Detalle individual'!$A:$A,$J118))</f>
        <v>961</v>
      </c>
      <c r="C118" s="5" t="str">
        <f>IF($J118="","",INDEX('Detalle individual'!$E:$E,$J118))</f>
        <v>CAJERO</v>
      </c>
      <c r="D118" s="5" t="str">
        <f>IF($J118="","",INDEX('Detalle individual'!$C:$C,$J118))</f>
        <v>AGENCIA USULUTAN</v>
      </c>
      <c r="E118" s="5" t="str">
        <f>IF($J118="","",INDEX('Detalle individual'!$D:$D,$J118))</f>
        <v>Gerencia de Negocios</v>
      </c>
      <c r="F118" s="96">
        <f>IF($J118="","",INDEX('Detalle individual'!$H:$H,$J118))</f>
        <v>46303.544328703705</v>
      </c>
      <c r="G118" s="102">
        <f>IF($J118="","",INDEX('Detalle individual'!$J:$J,$J118))</f>
        <v>100</v>
      </c>
      <c r="H118" s="102">
        <f>IF($J118="","",INDEX('Detalle individual'!$L:$L,$J118))</f>
        <v>1</v>
      </c>
      <c r="J118">
        <f>IFERROR(MATCH(SMALL('Cálculos'!$AI$5:$AI$1000,114),'Cálculos'!$AI$5:$AI$1000,0)+4,"")</f>
        <v>286</v>
      </c>
    </row>
    <row r="119">
      <c r="A119" s="5" t="str">
        <f>IF($J119="","",INDEX('Detalle individual'!$B:$B,$J119))</f>
        <v>HECTOR MAURICIO GONZÁLEZ VÁSQUEZ</v>
      </c>
      <c r="B119" s="5" t="str">
        <f>IF($J119="","",INDEX('Detalle individual'!$A:$A,$J119))</f>
        <v>912</v>
      </c>
      <c r="C119" s="5" t="str">
        <f>IF($J119="","",INDEX('Detalle individual'!$E:$E,$J119))</f>
        <v>EJECUTIVO DE SEGUROS</v>
      </c>
      <c r="D119" s="5" t="str">
        <f>IF($J119="","",INDEX('Detalle individual'!$C:$C,$J119))</f>
        <v>AGENCIA USULUTAN</v>
      </c>
      <c r="E119" s="5" t="str">
        <f>IF($J119="","",INDEX('Detalle individual'!$D:$D,$J119))</f>
        <v>Gerencia de Negocios</v>
      </c>
      <c r="F119" s="96">
        <f>IF($J119="","",INDEX('Detalle individual'!$H:$H,$J119))</f>
        <v>46303.45730324074</v>
      </c>
      <c r="G119" s="102">
        <f>IF($J119="","",INDEX('Detalle individual'!$J:$J,$J119))</f>
        <v>100</v>
      </c>
      <c r="H119" s="102">
        <f>IF($J119="","",INDEX('Detalle individual'!$L:$L,$J119))</f>
        <v>1</v>
      </c>
      <c r="J119">
        <f>IFERROR(MATCH(SMALL('Cálculos'!$AI$5:$AI$1000,115),'Cálculos'!$AI$5:$AI$1000,0)+4,"")</f>
        <v>283</v>
      </c>
    </row>
    <row r="120">
      <c r="A120" s="5" t="str">
        <f>IF($J120="","",INDEX('Detalle individual'!$B:$B,$J120))</f>
        <v>LUCIANO DE JESUS SARAVIA BELTRAN</v>
      </c>
      <c r="B120" s="5" t="str">
        <f>IF($J120="","",INDEX('Detalle individual'!$A:$A,$J120))</f>
        <v>456</v>
      </c>
      <c r="C120" s="5" t="str">
        <f>IF($J120="","",INDEX('Detalle individual'!$E:$E,$J120))</f>
        <v>MENSAJERO</v>
      </c>
      <c r="D120" s="5" t="str">
        <f>IF($J120="","",INDEX('Detalle individual'!$C:$C,$J120))</f>
        <v>AGENCIA USULUTAN</v>
      </c>
      <c r="E120" s="5" t="str">
        <f>IF($J120="","",INDEX('Detalle individual'!$D:$D,$J120))</f>
        <v>Gerencia de Negocios</v>
      </c>
      <c r="F120" s="96">
        <f>IF($J120="","",INDEX('Detalle individual'!$H:$H,$J120))</f>
        <v>46301.51369212963</v>
      </c>
      <c r="G120" s="102">
        <f>IF($J120="","",INDEX('Detalle individual'!$J:$J,$J120))</f>
        <v>100</v>
      </c>
      <c r="H120" s="102">
        <f>IF($J120="","",INDEX('Detalle individual'!$L:$L,$J120))</f>
        <v>2</v>
      </c>
      <c r="J120">
        <f>IFERROR(MATCH(SMALL('Cálculos'!$AI$5:$AI$1000,116),'Cálculos'!$AI$5:$AI$1000,0)+4,"")</f>
        <v>281</v>
      </c>
    </row>
    <row r="121">
      <c r="A121" s="5" t="str">
        <f>IF($J121="","",INDEX('Detalle individual'!$B:$B,$J121))</f>
        <v>LUIS MANUEL VALENCIA GUERRERO</v>
      </c>
      <c r="B121" s="5" t="str">
        <f>IF($J121="","",INDEX('Detalle individual'!$A:$A,$J121))</f>
        <v>917</v>
      </c>
      <c r="C121" s="5" t="str">
        <f>IF($J121="","",INDEX('Detalle individual'!$E:$E,$J121))</f>
        <v>SUBJEFE DE AGENCIA</v>
      </c>
      <c r="D121" s="5" t="str">
        <f>IF($J121="","",INDEX('Detalle individual'!$C:$C,$J121))</f>
        <v>AGENCIA USULUTAN</v>
      </c>
      <c r="E121" s="5" t="str">
        <f>IF($J121="","",INDEX('Detalle individual'!$D:$D,$J121))</f>
        <v>Gerencia de Negocios</v>
      </c>
      <c r="F121" s="96">
        <f>IF($J121="","",INDEX('Detalle individual'!$H:$H,$J121))</f>
        <v>46309.4197337963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284</v>
      </c>
    </row>
    <row r="122">
      <c r="A122" s="5" t="str">
        <f>IF($J122="","",INDEX('Detalle individual'!$B:$B,$J122))</f>
        <v>MELVIN ELISEO HERNANDEZ MACHADO</v>
      </c>
      <c r="B122" s="5" t="str">
        <f>IF($J122="","",INDEX('Detalle individual'!$A:$A,$J122))</f>
        <v>951</v>
      </c>
      <c r="C122" s="5" t="str">
        <f>IF($J122="","",INDEX('Detalle individual'!$E:$E,$J122))</f>
        <v>EJECUTIVO DE NEGOCIOS</v>
      </c>
      <c r="D122" s="5" t="str">
        <f>IF($J122="","",INDEX('Detalle individual'!$C:$C,$J122))</f>
        <v>AGENCIA USULUTAN</v>
      </c>
      <c r="E122" s="5" t="str">
        <f>IF($J122="","",INDEX('Detalle individual'!$D:$D,$J122))</f>
        <v>Gerencia de Negocios</v>
      </c>
      <c r="F122" s="96">
        <f>IF($J122="","",INDEX('Detalle individual'!$H:$H,$J122))</f>
        <v>46309.3825462963</v>
      </c>
      <c r="G122" s="102">
        <f>IF($J122="","",INDEX('Detalle individual'!$J:$J,$J122))</f>
        <v>100</v>
      </c>
      <c r="H122" s="102">
        <f>IF($J122="","",INDEX('Detalle individual'!$L:$L,$J122))</f>
        <v>1</v>
      </c>
      <c r="J122">
        <f>IFERROR(MATCH(SMALL('Cálculos'!$AI$5:$AI$1000,118),'Cálculos'!$AI$5:$AI$1000,0)+4,"")</f>
        <v>285</v>
      </c>
    </row>
    <row r="123">
      <c r="A123" s="5" t="str">
        <f>IF($J123="","",INDEX('Detalle individual'!$B:$B,$J123))</f>
        <v>WENDY YAMILETH MARQUEZ VASQUEZ</v>
      </c>
      <c r="B123" s="5" t="str">
        <f>IF($J123="","",INDEX('Detalle individual'!$A:$A,$J123))</f>
        <v>903</v>
      </c>
      <c r="C123" s="5" t="str">
        <f>IF($J123="","",INDEX('Detalle individual'!$E:$E,$J123))</f>
        <v>JEFE DE AGENCIA</v>
      </c>
      <c r="D123" s="5" t="str">
        <f>IF($J123="","",INDEX('Detalle individual'!$C:$C,$J123))</f>
        <v>AGENCIA USULUTAN</v>
      </c>
      <c r="E123" s="5" t="str">
        <f>IF($J123="","",INDEX('Detalle individual'!$D:$D,$J123))</f>
        <v>Gerencia de Negocios</v>
      </c>
      <c r="F123" s="96">
        <f>IF($J123="","",INDEX('Detalle individual'!$H:$H,$J123))</f>
        <v>46301.432337962964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282</v>
      </c>
    </row>
    <row r="124">
      <c r="A124" s="5" t="str">
        <f>IF($J124="","",INDEX('Detalle individual'!$B:$B,$J124))</f>
        <v>ANTONIO ALEXANDER ALFARO ARGUETA</v>
      </c>
      <c r="B124" s="5" t="str">
        <f>IF($J124="","",INDEX('Detalle individual'!$A:$A,$J124))</f>
        <v>669</v>
      </c>
      <c r="C124" s="5" t="str">
        <f>IF($J124="","",INDEX('Detalle individual'!$E:$E,$J124))</f>
        <v>EJECUTIVO DE NEGOCIOS</v>
      </c>
      <c r="D124" s="5" t="str">
        <f>IF($J124="","",INDEX('Detalle individual'!$C:$C,$J124))</f>
        <v>DEPARTAMENTO COMERCIAL DE TARJETA DE CREDITO Y DEBITO</v>
      </c>
      <c r="E124" s="5" t="str">
        <f>IF($J124="","",INDEX('Detalle individual'!$D:$D,$J124))</f>
        <v>Gerencia de Negocios</v>
      </c>
      <c r="F124" s="96">
        <f>IF($J124="","",INDEX('Detalle individual'!$H:$H,$J124))</f>
        <v>46305.48725694444</v>
      </c>
      <c r="G124" s="102">
        <f>IF($J124="","",INDEX('Detalle individual'!$J:$J,$J124))</f>
        <v>90</v>
      </c>
      <c r="H124" s="102">
        <f>IF($J124="","",INDEX('Detalle individual'!$L:$L,$J124))</f>
        <v>1</v>
      </c>
      <c r="J124">
        <f>IFERROR(MATCH(SMALL('Cálculos'!$AI$5:$AI$1000,120),'Cálculos'!$AI$5:$AI$1000,0)+4,"")</f>
        <v>180</v>
      </c>
    </row>
    <row r="125">
      <c r="A125" s="5" t="str">
        <f>IF($J125="","",INDEX('Detalle individual'!$B:$B,$J125))</f>
        <v>CLAUDIA VERONICA LARA RODAS</v>
      </c>
      <c r="B125" s="5" t="str">
        <f>IF($J125="","",INDEX('Detalle individual'!$A:$A,$J125))</f>
        <v>422</v>
      </c>
      <c r="C125" s="5" t="str">
        <f>IF($J125="","",INDEX('Detalle individual'!$E:$E,$J125))</f>
        <v>ASISTENTE COMERCIAL DE TARJETA DE CREDITO</v>
      </c>
      <c r="D125" s="5" t="str">
        <f>IF($J125="","",INDEX('Detalle individual'!$C:$C,$J125))</f>
        <v>DEPARTAMENTO COMERCIAL DE TARJETA DE CREDITO Y DEBITO</v>
      </c>
      <c r="E125" s="5" t="str">
        <f>IF($J125="","",INDEX('Detalle individual'!$D:$D,$J125))</f>
        <v>Gerencia de Negocios</v>
      </c>
      <c r="F125" s="96">
        <f>IF($J125="","",INDEX('Detalle individual'!$H:$H,$J125))</f>
        <v>46304.41396990741</v>
      </c>
      <c r="G125" s="102">
        <f>IF($J125="","",INDEX('Detalle individual'!$J:$J,$J125))</f>
        <v>100</v>
      </c>
      <c r="H125" s="102">
        <f>IF($J125="","",INDEX('Detalle individual'!$L:$L,$J125))</f>
        <v>1</v>
      </c>
      <c r="J125">
        <f>IFERROR(MATCH(SMALL('Cálculos'!$AI$5:$AI$1000,121),'Cálculos'!$AI$5:$AI$1000,0)+4,"")</f>
        <v>176</v>
      </c>
    </row>
    <row r="126">
      <c r="A126" s="5" t="str">
        <f>IF($J126="","",INDEX('Detalle individual'!$B:$B,$J126))</f>
        <v>GABRIEL FRANCISCO MOLINA DIAZ</v>
      </c>
      <c r="B126" s="5" t="str">
        <f>IF($J126="","",INDEX('Detalle individual'!$A:$A,$J126))</f>
        <v>858</v>
      </c>
      <c r="C126" s="5" t="str">
        <f>IF($J126="","",INDEX('Detalle individual'!$E:$E,$J126))</f>
        <v>EJECUTIVO DE NEGOCIOS</v>
      </c>
      <c r="D126" s="5" t="str">
        <f>IF($J126="","",INDEX('Detalle individual'!$C:$C,$J126))</f>
        <v>DEPARTAMENTO COMERCIAL DE TARJETA DE CREDITO Y DEBITO</v>
      </c>
      <c r="E126" s="5" t="str">
        <f>IF($J126="","",INDEX('Detalle individual'!$D:$D,$J126))</f>
        <v>Gerencia de Negocios</v>
      </c>
      <c r="F126" s="96">
        <f>IF($J126="","",INDEX('Detalle individual'!$H:$H,$J126))</f>
        <v>46305.49159722222</v>
      </c>
      <c r="G126" s="102">
        <f>IF($J126="","",INDEX('Detalle individual'!$J:$J,$J126))</f>
        <v>95</v>
      </c>
      <c r="H126" s="102">
        <f>IF($J126="","",INDEX('Detalle individual'!$L:$L,$J126))</f>
        <v>1</v>
      </c>
      <c r="J126">
        <f>IFERROR(MATCH(SMALL('Cálculos'!$AI$5:$AI$1000,122),'Cálculos'!$AI$5:$AI$1000,0)+4,"")</f>
        <v>183</v>
      </c>
    </row>
    <row r="127">
      <c r="A127" s="5" t="str">
        <f>IF($J127="","",INDEX('Detalle individual'!$B:$B,$J127))</f>
        <v>GABRIELA ALEJANDRA RODRIGUEZ ARIAS</v>
      </c>
      <c r="B127" s="5" t="str">
        <f>IF($J127="","",INDEX('Detalle individual'!$A:$A,$J127))</f>
        <v>654</v>
      </c>
      <c r="C127" s="5" t="str">
        <f>IF($J127="","",INDEX('Detalle individual'!$E:$E,$J127))</f>
        <v>AUXILIAR DE ATENCION AL CLIENTE</v>
      </c>
      <c r="D127" s="5" t="str">
        <f>IF($J127="","",INDEX('Detalle individual'!$C:$C,$J127))</f>
        <v>DEPARTAMENTO COMERCIAL DE TARJETA DE CREDITO Y DEBITO</v>
      </c>
      <c r="E127" s="5" t="str">
        <f>IF($J127="","",INDEX('Detalle individual'!$D:$D,$J127))</f>
        <v>Gerencia de Negocios</v>
      </c>
      <c r="F127" s="96">
        <f>IF($J127="","",INDEX('Detalle individual'!$H:$H,$J127))</f>
        <v>46304.678506944445</v>
      </c>
      <c r="G127" s="102">
        <f>IF($J127="","",INDEX('Detalle individual'!$J:$J,$J127))</f>
        <v>80</v>
      </c>
      <c r="H127" s="102">
        <f>IF($J127="","",INDEX('Detalle individual'!$L:$L,$J127))</f>
        <v>1</v>
      </c>
      <c r="J127">
        <f>IFERROR(MATCH(SMALL('Cálculos'!$AI$5:$AI$1000,123),'Cálculos'!$AI$5:$AI$1000,0)+4,"")</f>
        <v>178</v>
      </c>
    </row>
    <row r="128">
      <c r="A128" s="5" t="str">
        <f>IF($J128="","",INDEX('Detalle individual'!$B:$B,$J128))</f>
        <v>JOSE ALEXANDER ABREGO</v>
      </c>
      <c r="B128" s="5" t="str">
        <f>IF($J128="","",INDEX('Detalle individual'!$A:$A,$J128))</f>
        <v>655</v>
      </c>
      <c r="C128" s="5" t="str">
        <f>IF($J128="","",INDEX('Detalle individual'!$E:$E,$J128))</f>
        <v>EJECUTIVO DE NEGOCIOS</v>
      </c>
      <c r="D128" s="5" t="str">
        <f>IF($J128="","",INDEX('Detalle individual'!$C:$C,$J128))</f>
        <v>DEPARTAMENTO COMERCIAL DE TARJETA DE CREDITO Y DEBITO</v>
      </c>
      <c r="E128" s="5" t="str">
        <f>IF($J128="","",INDEX('Detalle individual'!$D:$D,$J128))</f>
        <v>Gerencia de Negocios</v>
      </c>
      <c r="F128" s="96">
        <f>IF($J128="","",INDEX('Detalle individual'!$H:$H,$J128))</f>
        <v>46305.51431712963</v>
      </c>
      <c r="G128" s="102">
        <f>IF($J128="","",INDEX('Detalle individual'!$J:$J,$J128))</f>
        <v>65</v>
      </c>
      <c r="H128" s="102">
        <f>IF($J128="","",INDEX('Detalle individual'!$L:$L,$J128))</f>
        <v>1</v>
      </c>
      <c r="J128">
        <f>IFERROR(MATCH(SMALL('Cálculos'!$AI$5:$AI$1000,124),'Cálculos'!$AI$5:$AI$1000,0)+4,"")</f>
        <v>179</v>
      </c>
    </row>
    <row r="129">
      <c r="A129" s="5" t="str">
        <f>IF($J129="","",INDEX('Detalle individual'!$B:$B,$J129))</f>
        <v>KAREN MARCELA BARILLAS MOLINA</v>
      </c>
      <c r="B129" s="5" t="str">
        <f>IF($J129="","",INDEX('Detalle individual'!$A:$A,$J129))</f>
        <v>715</v>
      </c>
      <c r="C129" s="5" t="str">
        <f>IF($J129="","",INDEX('Detalle individual'!$E:$E,$J129))</f>
        <v>AUXILIAR DE ATENCION AL TARJETAHABIENTE</v>
      </c>
      <c r="D129" s="5" t="str">
        <f>IF($J129="","",INDEX('Detalle individual'!$C:$C,$J129))</f>
        <v>DEPARTAMENTO COMERCIAL DE TARJETA DE CREDITO Y DEBITO</v>
      </c>
      <c r="E129" s="5" t="str">
        <f>IF($J129="","",INDEX('Detalle individual'!$D:$D,$J129))</f>
        <v>Gerencia de Negocios</v>
      </c>
      <c r="F129" s="96">
        <f>IF($J129="","",INDEX('Detalle individual'!$H:$H,$J129))</f>
        <v>46297.71334490741</v>
      </c>
      <c r="G129" s="102">
        <f>IF($J129="","",INDEX('Detalle individual'!$J:$J,$J129))</f>
        <v>85</v>
      </c>
      <c r="H129" s="102">
        <f>IF($J129="","",INDEX('Detalle individual'!$L:$L,$J129))</f>
        <v>1</v>
      </c>
      <c r="J129">
        <f>IFERROR(MATCH(SMALL('Cálculos'!$AI$5:$AI$1000,125),'Cálculos'!$AI$5:$AI$1000,0)+4,"")</f>
        <v>181</v>
      </c>
    </row>
    <row r="130">
      <c r="A130" s="5" t="str">
        <f>IF($J130="","",INDEX('Detalle individual'!$B:$B,$J130))</f>
        <v>LIDIA PATRICIA MORALES AVALOS</v>
      </c>
      <c r="B130" s="5" t="str">
        <f>IF($J130="","",INDEX('Detalle individual'!$A:$A,$J130))</f>
        <v>533</v>
      </c>
      <c r="C130" s="5" t="str">
        <f>IF($J130="","",INDEX('Detalle individual'!$E:$E,$J130))</f>
        <v>JEFE COMERCIAL DE TARJETA DE CREDITO</v>
      </c>
      <c r="D130" s="5" t="str">
        <f>IF($J130="","",INDEX('Detalle individual'!$C:$C,$J130))</f>
        <v>DEPARTAMENTO COMERCIAL DE TARJETA DE CREDITO Y DEBITO</v>
      </c>
      <c r="E130" s="5" t="str">
        <f>IF($J130="","",INDEX('Detalle individual'!$D:$D,$J130))</f>
        <v>Gerencia de Negocios</v>
      </c>
      <c r="F130" s="96">
        <f>IF($J130="","",INDEX('Detalle individual'!$H:$H,$J130))</f>
        <v>46304.7809837963</v>
      </c>
      <c r="G130" s="102">
        <f>IF($J130="","",INDEX('Detalle individual'!$J:$J,$J130))</f>
        <v>90</v>
      </c>
      <c r="H130" s="102">
        <f>IF($J130="","",INDEX('Detalle individual'!$L:$L,$J130))</f>
        <v>1</v>
      </c>
      <c r="J130">
        <f>IFERROR(MATCH(SMALL('Cálculos'!$AI$5:$AI$1000,126),'Cálculos'!$AI$5:$AI$1000,0)+4,"")</f>
        <v>177</v>
      </c>
    </row>
    <row r="131">
      <c r="A131" s="5" t="str">
        <f>IF($J131="","",INDEX('Detalle individual'!$B:$B,$J131))</f>
        <v>EDGARDO ISAIAS PEÑATE RIVAS</v>
      </c>
      <c r="B131" s="5" t="str">
        <f>IF($J131="","",INDEX('Detalle individual'!$A:$A,$J131))</f>
        <v>712</v>
      </c>
      <c r="C131" s="5" t="str">
        <f>IF($J131="","",INDEX('Detalle individual'!$E:$E,$J131))</f>
        <v>ASISTENTE TECNICO DEL FONDO DE SOLIDARIDAD</v>
      </c>
      <c r="D131" s="5" t="str">
        <f>IF($J131="","",INDEX('Detalle individual'!$C:$C,$J131))</f>
        <v>DEPARTAMENTO DE ATENCION A ASOCIADO Y CLIENTE</v>
      </c>
      <c r="E131" s="5" t="str">
        <f>IF($J131="","",INDEX('Detalle individual'!$D:$D,$J131))</f>
        <v>Gerencia de Negocios</v>
      </c>
      <c r="F131" s="96">
        <f>IF($J131="","",INDEX('Detalle individual'!$H:$H,$J131))</f>
        <v>46304.37650462963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140</v>
      </c>
    </row>
    <row r="132">
      <c r="A132" s="5" t="str">
        <f>IF($J132="","",INDEX('Detalle individual'!$B:$B,$J132))</f>
        <v>EMERSON ULISES BELTRAN CORTEZ</v>
      </c>
      <c r="B132" s="5" t="str">
        <f>IF($J132="","",INDEX('Detalle individual'!$A:$A,$J132))</f>
        <v>887</v>
      </c>
      <c r="C132" s="5" t="str">
        <f>IF($J132="","",INDEX('Detalle individual'!$E:$E,$J132))</f>
        <v>AUXILIAR DE ATENCION A ASOCIADOS</v>
      </c>
      <c r="D132" s="5" t="str">
        <f>IF($J132="","",INDEX('Detalle individual'!$C:$C,$J132))</f>
        <v>DEPARTAMENTO DE ATENCION A ASOCIADO Y CLIENTE</v>
      </c>
      <c r="E132" s="5" t="str">
        <f>IF($J132="","",INDEX('Detalle individual'!$D:$D,$J132))</f>
        <v>Gerencia de Negocios</v>
      </c>
      <c r="F132" s="96">
        <f>IF($J132="","",INDEX('Detalle individual'!$H:$H,$J132))</f>
        <v>46308.64163194445</v>
      </c>
      <c r="G132" s="102">
        <f>IF($J132="","",INDEX('Detalle individual'!$J:$J,$J132))</f>
        <v>100</v>
      </c>
      <c r="H132" s="102">
        <f>IF($J132="","",INDEX('Detalle individual'!$L:$L,$J132))</f>
        <v>1</v>
      </c>
      <c r="J132">
        <f>IFERROR(MATCH(SMALL('Cálculos'!$AI$5:$AI$1000,128),'Cálculos'!$AI$5:$AI$1000,0)+4,"")</f>
        <v>142</v>
      </c>
    </row>
    <row r="133">
      <c r="A133" s="5" t="str">
        <f>IF($J133="","",INDEX('Detalle individual'!$B:$B,$J133))</f>
        <v>FABIOLA ELIZABETH TICAS GOMEZ</v>
      </c>
      <c r="B133" s="5" t="str">
        <f>IF($J133="","",INDEX('Detalle individual'!$A:$A,$J133))</f>
        <v>945</v>
      </c>
      <c r="C133" s="5" t="str">
        <f>IF($J133="","",INDEX('Detalle individual'!$E:$E,$J133))</f>
        <v>RECEPCIONISTA</v>
      </c>
      <c r="D133" s="5" t="str">
        <f>IF($J133="","",INDEX('Detalle individual'!$C:$C,$J133))</f>
        <v>DEPARTAMENTO DE ATENCION A ASOCIADO Y CLIENTE</v>
      </c>
      <c r="E133" s="5" t="str">
        <f>IF($J133="","",INDEX('Detalle individual'!$D:$D,$J133))</f>
        <v>Gerencia de Negocios</v>
      </c>
      <c r="F133" s="96">
        <f>IF($J133="","",INDEX('Detalle individual'!$H:$H,$J133))</f>
        <v>46309.409166666665</v>
      </c>
      <c r="G133" s="102">
        <f>IF($J133="","",INDEX('Detalle individual'!$J:$J,$J133))</f>
        <v>100</v>
      </c>
      <c r="H133" s="102">
        <f>IF($J133="","",INDEX('Detalle individual'!$L:$L,$J133))</f>
        <v>1</v>
      </c>
      <c r="J133">
        <f>IFERROR(MATCH(SMALL('Cálculos'!$AI$5:$AI$1000,129),'Cálculos'!$AI$5:$AI$1000,0)+4,"")</f>
        <v>143</v>
      </c>
    </row>
    <row r="134">
      <c r="A134" s="5" t="str">
        <f>IF($J134="","",INDEX('Detalle individual'!$B:$B,$J134))</f>
        <v>JENNIFER ROXANA AYALA AYALA</v>
      </c>
      <c r="B134" s="5" t="str">
        <f>IF($J134="","",INDEX('Detalle individual'!$A:$A,$J134))</f>
        <v>986</v>
      </c>
      <c r="C134" s="5" t="str">
        <f>IF($J134="","",INDEX('Detalle individual'!$E:$E,$J134))</f>
        <v>ASISTENTE TECNICO DEL FONDO DE SOLIDARIDAD</v>
      </c>
      <c r="D134" s="5" t="str">
        <f>IF($J134="","",INDEX('Detalle individual'!$C:$C,$J134))</f>
        <v>DEPARTAMENTO DE ATENCION A ASOCIADO Y CLIENTE</v>
      </c>
      <c r="E134" s="5" t="str">
        <f>IF($J134="","",INDEX('Detalle individual'!$D:$D,$J134))</f>
        <v>Gerencia de Negocios</v>
      </c>
      <c r="F134" s="96">
        <f>IF($J134="","",INDEX('Detalle individual'!$H:$H,$J134))</f>
        <v>46308.713692129626</v>
      </c>
      <c r="G134" s="102">
        <f>IF($J134="","",INDEX('Detalle individual'!$J:$J,$J134))</f>
        <v>80</v>
      </c>
      <c r="H134" s="102">
        <f>IF($J134="","",INDEX('Detalle individual'!$L:$L,$J134))</f>
        <v>1</v>
      </c>
      <c r="J134">
        <f>IFERROR(MATCH(SMALL('Cálculos'!$AI$5:$AI$1000,130),'Cálculos'!$AI$5:$AI$1000,0)+4,"")</f>
        <v>297</v>
      </c>
    </row>
    <row r="135">
      <c r="A135" s="5" t="str">
        <f>IF($J135="","",INDEX('Detalle individual'!$B:$B,$J135))</f>
        <v>KARLA PATRICIA ROBLES CORTEZ</v>
      </c>
      <c r="B135" s="5" t="str">
        <f>IF($J135="","",INDEX('Detalle individual'!$A:$A,$J135))</f>
        <v>744</v>
      </c>
      <c r="C135" s="5" t="str">
        <f>IF($J135="","",INDEX('Detalle individual'!$E:$E,$J135))</f>
        <v>ASISTENTE TECNICO DE AFILIACION</v>
      </c>
      <c r="D135" s="5" t="str">
        <f>IF($J135="","",INDEX('Detalle individual'!$C:$C,$J135))</f>
        <v>DEPARTAMENTO DE ATENCION A ASOCIADO Y CLIENTE</v>
      </c>
      <c r="E135" s="5" t="str">
        <f>IF($J135="","",INDEX('Detalle individual'!$D:$D,$J135))</f>
        <v>Gerencia de Negocios</v>
      </c>
      <c r="F135" s="96">
        <f>IF($J135="","",INDEX('Detalle individual'!$H:$H,$J135))</f>
        <v>46308.622615740744</v>
      </c>
      <c r="G135" s="102">
        <f>IF($J135="","",INDEX('Detalle individual'!$J:$J,$J135))</f>
        <v>90</v>
      </c>
      <c r="H135" s="102">
        <f>IF($J135="","",INDEX('Detalle individual'!$L:$L,$J135))</f>
        <v>1</v>
      </c>
      <c r="J135">
        <f>IFERROR(MATCH(SMALL('Cálculos'!$AI$5:$AI$1000,131),'Cálculos'!$AI$5:$AI$1000,0)+4,"")</f>
        <v>141</v>
      </c>
    </row>
    <row r="136">
      <c r="A136" s="5" t="str">
        <f>IF($J136="","",INDEX('Detalle individual'!$B:$B,$J136))</f>
        <v>MARIA FRANCISCA DE LA LUZ HERNANDEZ HERNANDEZ</v>
      </c>
      <c r="B136" s="5" t="str">
        <f>IF($J136="","",INDEX('Detalle individual'!$A:$A,$J136))</f>
        <v>166</v>
      </c>
      <c r="C136" s="5" t="str">
        <f>IF($J136="","",INDEX('Detalle individual'!$E:$E,$J136))</f>
        <v>JEFE DE ATENCION A ASOCIADOS Y CLIENTES</v>
      </c>
      <c r="D136" s="5" t="str">
        <f>IF($J136="","",INDEX('Detalle individual'!$C:$C,$J136))</f>
        <v>DEPARTAMENTO DE ATENCION A ASOCIADO Y CLIENTE</v>
      </c>
      <c r="E136" s="5" t="str">
        <f>IF($J136="","",INDEX('Detalle individual'!$D:$D,$J136))</f>
        <v>Gerencia de Negocios</v>
      </c>
      <c r="F136" s="96">
        <f>IF($J136="","",INDEX('Detalle individual'!$H:$H,$J136))</f>
        <v>46301.489282407405</v>
      </c>
      <c r="G136" s="102">
        <f>IF($J136="","",INDEX('Detalle individual'!$J:$J,$J136))</f>
        <v>100</v>
      </c>
      <c r="H136" s="102">
        <f>IF($J136="","",INDEX('Detalle individual'!$L:$L,$J136))</f>
        <v>1</v>
      </c>
      <c r="J136">
        <f>IFERROR(MATCH(SMALL('Cálculos'!$AI$5:$AI$1000,132),'Cálculos'!$AI$5:$AI$1000,0)+4,"")</f>
        <v>139</v>
      </c>
    </row>
    <row r="137">
      <c r="A137" s="5" t="str">
        <f>IF($J137="","",INDEX('Detalle individual'!$B:$B,$J137))</f>
        <v>ANA ESTER ERAZO ORTIZ</v>
      </c>
      <c r="B137" s="5" t="str">
        <f>IF($J137="","",INDEX('Detalle individual'!$A:$A,$J137))</f>
        <v>207</v>
      </c>
      <c r="C137" s="5" t="str">
        <f>IF($J137="","",INDEX('Detalle individual'!$E:$E,$J137))</f>
        <v>ANALISTA DE CREDITOS</v>
      </c>
      <c r="D137" s="5" t="str">
        <f>IF($J137="","",INDEX('Detalle individual'!$C:$C,$J137))</f>
        <v>DEPARTAMENTO DE CREDITOS</v>
      </c>
      <c r="E137" s="5" t="str">
        <f>IF($J137="","",INDEX('Detalle individual'!$D:$D,$J137))</f>
        <v>Gerencia de Negocios</v>
      </c>
      <c r="F137" s="96">
        <f>IF($J137="","",INDEX('Detalle individual'!$H:$H,$J137))</f>
        <v>46309.40052083333</v>
      </c>
      <c r="G137" s="102">
        <f>IF($J137="","",INDEX('Detalle individual'!$J:$J,$J137))</f>
        <v>100</v>
      </c>
      <c r="H137" s="102">
        <f>IF($J137="","",INDEX('Detalle individual'!$L:$L,$J137))</f>
        <v>1</v>
      </c>
      <c r="J137">
        <f>IFERROR(MATCH(SMALL('Cálculos'!$AI$5:$AI$1000,133),'Cálculos'!$AI$5:$AI$1000,0)+4,"")</f>
        <v>152</v>
      </c>
    </row>
    <row r="138">
      <c r="A138" s="5" t="str">
        <f>IF($J138="","",INDEX('Detalle individual'!$B:$B,$J138))</f>
        <v>ANA EVELYN ROQUE GALEANO</v>
      </c>
      <c r="B138" s="5" t="str">
        <f>IF($J138="","",INDEX('Detalle individual'!$A:$A,$J138))</f>
        <v>345</v>
      </c>
      <c r="C138" s="5" t="str">
        <f>IF($J138="","",INDEX('Detalle individual'!$E:$E,$J138))</f>
        <v>AUXILIAR DE CREDITOS</v>
      </c>
      <c r="D138" s="5" t="str">
        <f>IF($J138="","",INDEX('Detalle individual'!$C:$C,$J138))</f>
        <v>DEPARTAMENTO DE CREDITOS</v>
      </c>
      <c r="E138" s="5" t="str">
        <f>IF($J138="","",INDEX('Detalle individual'!$D:$D,$J138))</f>
        <v>Gerencia de Negocios</v>
      </c>
      <c r="F138" s="96">
        <f>IF($J138="","",INDEX('Detalle individual'!$H:$H,$J138))</f>
        <v>46297.65186342593</v>
      </c>
      <c r="G138" s="102">
        <f>IF($J138="","",INDEX('Detalle individual'!$J:$J,$J138))</f>
        <v>90</v>
      </c>
      <c r="H138" s="102">
        <f>IF($J138="","",INDEX('Detalle individual'!$L:$L,$J138))</f>
        <v>1</v>
      </c>
      <c r="J138">
        <f>IFERROR(MATCH(SMALL('Cálculos'!$AI$5:$AI$1000,134),'Cálculos'!$AI$5:$AI$1000,0)+4,"")</f>
        <v>153</v>
      </c>
    </row>
    <row r="139">
      <c r="A139" s="5" t="str">
        <f>IF($J139="","",INDEX('Detalle individual'!$B:$B,$J139))</f>
        <v>CINDIA IVETTE ZEPEDA VASQUEZ</v>
      </c>
      <c r="B139" s="5" t="str">
        <f>IF($J139="","",INDEX('Detalle individual'!$A:$A,$J139))</f>
        <v>492</v>
      </c>
      <c r="C139" s="5" t="str">
        <f>IF($J139="","",INDEX('Detalle individual'!$E:$E,$J139))</f>
        <v>AUXILIAR DE CREDITOS</v>
      </c>
      <c r="D139" s="5" t="str">
        <f>IF($J139="","",INDEX('Detalle individual'!$C:$C,$J139))</f>
        <v>DEPARTAMENTO DE CREDITOS</v>
      </c>
      <c r="E139" s="5" t="str">
        <f>IF($J139="","",INDEX('Detalle individual'!$D:$D,$J139))</f>
        <v>Gerencia de Negocios</v>
      </c>
      <c r="F139" s="96">
        <f>IF($J139="","",INDEX('Detalle individual'!$H:$H,$J139))</f>
        <v>46297.66012731481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156</v>
      </c>
    </row>
    <row r="140">
      <c r="A140" s="5" t="str">
        <f>IF($J140="","",INDEX('Detalle individual'!$B:$B,$J140))</f>
        <v>DAYANA ABIGAIL CHAVEZ CORDOVA</v>
      </c>
      <c r="B140" s="5" t="str">
        <f>IF($J140="","",INDEX('Detalle individual'!$A:$A,$J140))</f>
        <v>837</v>
      </c>
      <c r="C140" s="5" t="str">
        <f>IF($J140="","",INDEX('Detalle individual'!$E:$E,$J140))</f>
        <v>GESTOR DE EXPEDIENTES</v>
      </c>
      <c r="D140" s="5" t="str">
        <f>IF($J140="","",INDEX('Detalle individual'!$C:$C,$J140))</f>
        <v>DEPARTAMENTO DE CREDITOS</v>
      </c>
      <c r="E140" s="5" t="str">
        <f>IF($J140="","",INDEX('Detalle individual'!$D:$D,$J140))</f>
        <v>Gerencia de Negocios</v>
      </c>
      <c r="F140" s="96">
        <f>IF($J140="","",INDEX('Detalle individual'!$H:$H,$J140))</f>
        <v>46302.48523148148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162</v>
      </c>
    </row>
    <row r="141">
      <c r="A141" s="5" t="str">
        <f>IF($J141="","",INDEX('Detalle individual'!$B:$B,$J141))</f>
        <v>INGRID ALEJANDRINA LISSETH GUZMAN SANCHEZ</v>
      </c>
      <c r="B141" s="5" t="str">
        <f>IF($J141="","",INDEX('Detalle individual'!$A:$A,$J141))</f>
        <v>719</v>
      </c>
      <c r="C141" s="5" t="str">
        <f>IF($J141="","",INDEX('Detalle individual'!$E:$E,$J141))</f>
        <v>AUXILIAR DE CREDITOS</v>
      </c>
      <c r="D141" s="5" t="str">
        <f>IF($J141="","",INDEX('Detalle individual'!$C:$C,$J141))</f>
        <v>DEPARTAMENTO DE CREDITOS</v>
      </c>
      <c r="E141" s="5" t="str">
        <f>IF($J141="","",INDEX('Detalle individual'!$D:$D,$J141))</f>
        <v>Gerencia de Negocios</v>
      </c>
      <c r="F141" s="96">
        <f>IF($J141="","",INDEX('Detalle individual'!$H:$H,$J141))</f>
        <v>46298.41878472222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157</v>
      </c>
    </row>
    <row r="142">
      <c r="A142" s="5" t="str">
        <f>IF($J142="","",INDEX('Detalle individual'!$B:$B,$J142))</f>
        <v>JUAN ANTONIO DE JESUS NUNFIO</v>
      </c>
      <c r="B142" s="5" t="str">
        <f>IF($J142="","",INDEX('Detalle individual'!$A:$A,$J142))</f>
        <v>780</v>
      </c>
      <c r="C142" s="5" t="str">
        <f>IF($J142="","",INDEX('Detalle individual'!$E:$E,$J142))</f>
        <v>ANALISTA DE CREDITOS</v>
      </c>
      <c r="D142" s="5" t="str">
        <f>IF($J142="","",INDEX('Detalle individual'!$C:$C,$J142))</f>
        <v>DEPARTAMENTO DE CREDITOS</v>
      </c>
      <c r="E142" s="5" t="str">
        <f>IF($J142="","",INDEX('Detalle individual'!$D:$D,$J142))</f>
        <v>Gerencia de Negocios</v>
      </c>
      <c r="F142" s="96">
        <f>IF($J142="","",INDEX('Detalle individual'!$H:$H,$J142))</f>
        <v>46301.65928240741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159</v>
      </c>
    </row>
    <row r="143">
      <c r="A143" s="5" t="str">
        <f>IF($J143="","",INDEX('Detalle individual'!$B:$B,$J143))</f>
        <v>KARLA VANESSA GARCIA OLIVA</v>
      </c>
      <c r="B143" s="5" t="str">
        <f>IF($J143="","",INDEX('Detalle individual'!$A:$A,$J143))</f>
        <v>809</v>
      </c>
      <c r="C143" s="5" t="str">
        <f>IF($J143="","",INDEX('Detalle individual'!$E:$E,$J143))</f>
        <v>ANALISTA DE CREDITOS</v>
      </c>
      <c r="D143" s="5" t="str">
        <f>IF($J143="","",INDEX('Detalle individual'!$C:$C,$J143))</f>
        <v>DEPARTAMENTO DE CREDITOS</v>
      </c>
      <c r="E143" s="5" t="str">
        <f>IF($J143="","",INDEX('Detalle individual'!$D:$D,$J143))</f>
        <v>Gerencia de Negocios</v>
      </c>
      <c r="F143" s="96">
        <f>IF($J143="","",INDEX('Detalle individual'!$H:$H,$J143))</f>
        <v>46307.384097222224</v>
      </c>
      <c r="G143" s="102">
        <f>IF($J143="","",INDEX('Detalle individual'!$J:$J,$J143))</f>
        <v>100</v>
      </c>
      <c r="H143" s="102">
        <f>IF($J143="","",INDEX('Detalle individual'!$L:$L,$J143))</f>
        <v>1</v>
      </c>
      <c r="J143">
        <f>IFERROR(MATCH(SMALL('Cálculos'!$AI$5:$AI$1000,139),'Cálculos'!$AI$5:$AI$1000,0)+4,"")</f>
        <v>161</v>
      </c>
    </row>
    <row r="144">
      <c r="A144" s="5" t="str">
        <f>IF($J144="","",INDEX('Detalle individual'!$B:$B,$J144))</f>
        <v>MABEL GERALDINE RAMIREZ PORTILLO</v>
      </c>
      <c r="B144" s="5" t="str">
        <f>IF($J144="","",INDEX('Detalle individual'!$A:$A,$J144))</f>
        <v>377</v>
      </c>
      <c r="C144" s="5" t="str">
        <f>IF($J144="","",INDEX('Detalle individual'!$E:$E,$J144))</f>
        <v>SUPERVISOR DE ANALISTAS DE CREDITOS</v>
      </c>
      <c r="D144" s="5" t="str">
        <f>IF($J144="","",INDEX('Detalle individual'!$C:$C,$J144))</f>
        <v>DEPARTAMENTO DE CREDITOS</v>
      </c>
      <c r="E144" s="5" t="str">
        <f>IF($J144="","",INDEX('Detalle individual'!$D:$D,$J144))</f>
        <v>Gerencia de Negocios</v>
      </c>
      <c r="F144" s="96">
        <f>IF($J144="","",INDEX('Detalle individual'!$H:$H,$J144))</f>
        <v>46308.57119212963</v>
      </c>
      <c r="G144" s="102">
        <f>IF($J144="","",INDEX('Detalle individual'!$J:$J,$J144))</f>
        <v>100</v>
      </c>
      <c r="H144" s="102">
        <f>IF($J144="","",INDEX('Detalle individual'!$L:$L,$J144))</f>
        <v>1</v>
      </c>
      <c r="J144">
        <f>IFERROR(MATCH(SMALL('Cálculos'!$AI$5:$AI$1000,140),'Cálculos'!$AI$5:$AI$1000,0)+4,"")</f>
        <v>154</v>
      </c>
    </row>
    <row r="145">
      <c r="A145" s="5" t="str">
        <f>IF($J145="","",INDEX('Detalle individual'!$B:$B,$J145))</f>
        <v>MARIA LILIAN MENJIVAR GUARDADO</v>
      </c>
      <c r="B145" s="5" t="str">
        <f>IF($J145="","",INDEX('Detalle individual'!$A:$A,$J145))</f>
        <v>979</v>
      </c>
      <c r="C145" s="5" t="str">
        <f>IF($J145="","",INDEX('Detalle individual'!$E:$E,$J145))</f>
        <v>ANALISTA DE CREDITOS</v>
      </c>
      <c r="D145" s="5" t="str">
        <f>IF($J145="","",INDEX('Detalle individual'!$C:$C,$J145))</f>
        <v>DEPARTAMENTO DE CREDITOS</v>
      </c>
      <c r="E145" s="5" t="str">
        <f>IF($J145="","",INDEX('Detalle individual'!$D:$D,$J145))</f>
        <v>Gerencia de Negocios</v>
      </c>
      <c r="F145" s="96">
        <f>IF($J145="","",INDEX('Detalle individual'!$H:$H,$J145))</f>
        <v>46307.37511574074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164</v>
      </c>
    </row>
    <row r="146">
      <c r="A146" s="5" t="str">
        <f>IF($J146="","",INDEX('Detalle individual'!$B:$B,$J146))</f>
        <v>MARIO LEONEL CANDRAY FLORES</v>
      </c>
      <c r="B146" s="5" t="str">
        <f>IF($J146="","",INDEX('Detalle individual'!$A:$A,$J146))</f>
        <v>939</v>
      </c>
      <c r="C146" s="5" t="str">
        <f>IF($J146="","",INDEX('Detalle individual'!$E:$E,$J146))</f>
        <v>ANALISTA DE CREDITOS</v>
      </c>
      <c r="D146" s="5" t="str">
        <f>IF($J146="","",INDEX('Detalle individual'!$C:$C,$J146))</f>
        <v>DEPARTAMENTO DE CREDITOS</v>
      </c>
      <c r="E146" s="5" t="str">
        <f>IF($J146="","",INDEX('Detalle individual'!$D:$D,$J146))</f>
        <v>Gerencia de Negocios</v>
      </c>
      <c r="F146" s="96">
        <f>IF($J146="","",INDEX('Detalle individual'!$H:$H,$J146))</f>
        <v>46307.37395833333</v>
      </c>
      <c r="G146" s="102">
        <f>IF($J146="","",INDEX('Detalle individual'!$J:$J,$J146))</f>
        <v>100</v>
      </c>
      <c r="H146" s="102">
        <f>IF($J146="","",INDEX('Detalle individual'!$L:$L,$J146))</f>
        <v>1</v>
      </c>
      <c r="J146">
        <f>IFERROR(MATCH(SMALL('Cálculos'!$AI$5:$AI$1000,142),'Cálculos'!$AI$5:$AI$1000,0)+4,"")</f>
        <v>163</v>
      </c>
    </row>
    <row r="147">
      <c r="A147" s="5" t="str">
        <f>IF($J147="","",INDEX('Detalle individual'!$B:$B,$J147))</f>
        <v>ROSALBA RODRIGUEZ JIMENEZ</v>
      </c>
      <c r="B147" s="5" t="str">
        <f>IF($J147="","",INDEX('Detalle individual'!$A:$A,$J147))</f>
        <v>470</v>
      </c>
      <c r="C147" s="5" t="str">
        <f>IF($J147="","",INDEX('Detalle individual'!$E:$E,$J147))</f>
        <v>ANALISTA DE CREDITOS</v>
      </c>
      <c r="D147" s="5" t="str">
        <f>IF($J147="","",INDEX('Detalle individual'!$C:$C,$J147))</f>
        <v>DEPARTAMENTO DE CREDITOS</v>
      </c>
      <c r="E147" s="5" t="str">
        <f>IF($J147="","",INDEX('Detalle individual'!$D:$D,$J147))</f>
        <v>Gerencia de Negocios</v>
      </c>
      <c r="F147" s="96">
        <f>IF($J147="","",INDEX('Detalle individual'!$H:$H,$J147))</f>
        <v>46304.409317129626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155</v>
      </c>
    </row>
    <row r="148">
      <c r="A148" s="5" t="str">
        <f>IF($J148="","",INDEX('Detalle individual'!$B:$B,$J148))</f>
        <v>SOFIA SOLEDAD CASTRO VALLE</v>
      </c>
      <c r="B148" s="5" t="str">
        <f>IF($J148="","",INDEX('Detalle individual'!$A:$A,$J148))</f>
        <v>781</v>
      </c>
      <c r="C148" s="5" t="str">
        <f>IF($J148="","",INDEX('Detalle individual'!$E:$E,$J148))</f>
        <v>AUXILIAR DE CREDITOS</v>
      </c>
      <c r="D148" s="5" t="str">
        <f>IF($J148="","",INDEX('Detalle individual'!$C:$C,$J148))</f>
        <v>DEPARTAMENTO DE CREDITOS</v>
      </c>
      <c r="E148" s="5" t="str">
        <f>IF($J148="","",INDEX('Detalle individual'!$D:$D,$J148))</f>
        <v>Gerencia de Negocios</v>
      </c>
      <c r="F148" s="96">
        <f>IF($J148="","",INDEX('Detalle individual'!$H:$H,$J148))</f>
        <v>46304.444606481484</v>
      </c>
      <c r="G148" s="102">
        <f>IF($J148="","",INDEX('Detalle individual'!$J:$J,$J148))</f>
        <v>90</v>
      </c>
      <c r="H148" s="102">
        <f>IF($J148="","",INDEX('Detalle individual'!$L:$L,$J148))</f>
        <v>1</v>
      </c>
      <c r="J148">
        <f>IFERROR(MATCH(SMALL('Cálculos'!$AI$5:$AI$1000,144),'Cálculos'!$AI$5:$AI$1000,0)+4,"")</f>
        <v>160</v>
      </c>
    </row>
    <row r="149">
      <c r="A149" s="5" t="str">
        <f>IF($J149="","",INDEX('Detalle individual'!$B:$B,$J149))</f>
        <v>YANETH HERNANDEZ YANES</v>
      </c>
      <c r="B149" s="5" t="str">
        <f>IF($J149="","",INDEX('Detalle individual'!$A:$A,$J149))</f>
        <v>730</v>
      </c>
      <c r="C149" s="5" t="str">
        <f>IF($J149="","",INDEX('Detalle individual'!$E:$E,$J149))</f>
        <v>JEFE DE CREDITOS</v>
      </c>
      <c r="D149" s="5" t="str">
        <f>IF($J149="","",INDEX('Detalle individual'!$C:$C,$J149))</f>
        <v>DEPARTAMENTO DE CREDITOS</v>
      </c>
      <c r="E149" s="5" t="str">
        <f>IF($J149="","",INDEX('Detalle individual'!$D:$D,$J149))</f>
        <v>Gerencia de Negocios</v>
      </c>
      <c r="F149" s="96">
        <f>IF($J149="","",INDEX('Detalle individual'!$H:$H,$J149))</f>
        <v>46305.56736111111</v>
      </c>
      <c r="G149" s="102">
        <f>IF($J149="","",INDEX('Detalle individual'!$J:$J,$J149))</f>
        <v>100</v>
      </c>
      <c r="H149" s="102">
        <f>IF($J149="","",INDEX('Detalle individual'!$L:$L,$J149))</f>
        <v>1</v>
      </c>
      <c r="J149">
        <f>IFERROR(MATCH(SMALL('Cálculos'!$AI$5:$AI$1000,145),'Cálculos'!$AI$5:$AI$1000,0)+4,"")</f>
        <v>158</v>
      </c>
    </row>
    <row r="150">
      <c r="A150" s="5" t="str">
        <f>IF($J150="","",INDEX('Detalle individual'!$B:$B,$J150))</f>
        <v>ALEJANDRA ABIGAIL RAMIREZ ROMERO</v>
      </c>
      <c r="B150" s="5" t="str">
        <f>IF($J150="","",INDEX('Detalle individual'!$A:$A,$J150))</f>
        <v>982</v>
      </c>
      <c r="C150" s="5" t="str">
        <f>IF($J150="","",INDEX('Detalle individual'!$E:$E,$J150))</f>
        <v>DISEÑADOR GRAFICO</v>
      </c>
      <c r="D150" s="5" t="str">
        <f>IF($J150="","",INDEX('Detalle individual'!$C:$C,$J150))</f>
        <v>DEPARTAMENTO DE MERCADEO</v>
      </c>
      <c r="E150" s="5" t="str">
        <f>IF($J150="","",INDEX('Detalle individual'!$D:$D,$J150))</f>
        <v>Gerencia de Negocios</v>
      </c>
      <c r="F150" s="96">
        <f>IF($J150="","",INDEX('Detalle individual'!$H:$H,$J150))</f>
        <v>46301.64126157408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151</v>
      </c>
    </row>
    <row r="151">
      <c r="A151" s="5" t="str">
        <f>IF($J151="","",INDEX('Detalle individual'!$B:$B,$J151))</f>
        <v>IVONNE LISSETH DE JESUS RODRIGUEZ FLORES</v>
      </c>
      <c r="B151" s="5" t="str">
        <f>IF($J151="","",INDEX('Detalle individual'!$A:$A,$J151))</f>
        <v>219</v>
      </c>
      <c r="C151" s="5" t="str">
        <f>IF($J151="","",INDEX('Detalle individual'!$E:$E,$J151))</f>
        <v>ASISTENTE TELEMARKETING</v>
      </c>
      <c r="D151" s="5" t="str">
        <f>IF($J151="","",INDEX('Detalle individual'!$C:$C,$J151))</f>
        <v>DEPARTAMENTO DE MERCADEO</v>
      </c>
      <c r="E151" s="5" t="str">
        <f>IF($J151="","",INDEX('Detalle individual'!$D:$D,$J151))</f>
        <v>Gerencia de Negocios</v>
      </c>
      <c r="F151" s="96">
        <f>IF($J151="","",INDEX('Detalle individual'!$H:$H,$J151))</f>
        <v>46308.39677083334</v>
      </c>
      <c r="G151" s="102">
        <f>IF($J151="","",INDEX('Detalle individual'!$J:$J,$J151))</f>
        <v>95</v>
      </c>
      <c r="H151" s="102">
        <f>IF($J151="","",INDEX('Detalle individual'!$L:$L,$J151))</f>
        <v>1</v>
      </c>
      <c r="J151">
        <f>IFERROR(MATCH(SMALL('Cálculos'!$AI$5:$AI$1000,147),'Cálculos'!$AI$5:$AI$1000,0)+4,"")</f>
        <v>145</v>
      </c>
    </row>
    <row r="152">
      <c r="A152" s="5" t="str">
        <f>IF($J152="","",INDEX('Detalle individual'!$B:$B,$J152))</f>
        <v>CARLOS ALEXANDER ROMERO ROMERO</v>
      </c>
      <c r="B152" s="5" t="str">
        <f>IF($J152="","",INDEX('Detalle individual'!$A:$A,$J152))</f>
        <v>639</v>
      </c>
      <c r="C152" s="5" t="str">
        <f>IF($J152="","",INDEX('Detalle individual'!$E:$E,$J152))</f>
        <v>GESTOR DE CARTERA DE SEGUROS</v>
      </c>
      <c r="D152" s="5" t="str">
        <f>IF($J152="","",INDEX('Detalle individual'!$C:$C,$J152))</f>
        <v>DEPARTAMENTO DE SEGUROS</v>
      </c>
      <c r="E152" s="5" t="str">
        <f>IF($J152="","",INDEX('Detalle individual'!$D:$D,$J152))</f>
        <v>Gerencia de Negocios</v>
      </c>
      <c r="F152" s="96">
        <f>IF($J152="","",INDEX('Detalle individual'!$H:$H,$J152))</f>
        <v>46305.51787037037</v>
      </c>
      <c r="G152" s="102">
        <f>IF($J152="","",INDEX('Detalle individual'!$J:$J,$J152))</f>
        <v>100</v>
      </c>
      <c r="H152" s="102">
        <f>IF($J152="","",INDEX('Detalle individual'!$L:$L,$J152))</f>
        <v>1</v>
      </c>
      <c r="J152">
        <f>IFERROR(MATCH(SMALL('Cálculos'!$AI$5:$AI$1000,148),'Cálculos'!$AI$5:$AI$1000,0)+4,"")</f>
        <v>167</v>
      </c>
    </row>
    <row r="153">
      <c r="A153" s="5" t="str">
        <f>IF($J153="","",INDEX('Detalle individual'!$B:$B,$J153))</f>
        <v>CLAUDIA MARISOL MADRID BARRIENTOS</v>
      </c>
      <c r="B153" s="5" t="str">
        <f>IF($J153="","",INDEX('Detalle individual'!$A:$A,$J153))</f>
        <v>544</v>
      </c>
      <c r="C153" s="5" t="str">
        <f>IF($J153="","",INDEX('Detalle individual'!$E:$E,$J153))</f>
        <v>GESTOR DE RECLAMOS Y SUSCRIPCIONES</v>
      </c>
      <c r="D153" s="5" t="str">
        <f>IF($J153="","",INDEX('Detalle individual'!$C:$C,$J153))</f>
        <v>DEPARTAMENTO DE SEGUROS</v>
      </c>
      <c r="E153" s="5" t="str">
        <f>IF($J153="","",INDEX('Detalle individual'!$D:$D,$J153))</f>
        <v>Gerencia de Negocios</v>
      </c>
      <c r="F153" s="96">
        <f>IF($J153="","",INDEX('Detalle individual'!$H:$H,$J153))</f>
        <v>46309.43305555556</v>
      </c>
      <c r="G153" s="102">
        <f>IF($J153="","",INDEX('Detalle individual'!$J:$J,$J153))</f>
        <v>90</v>
      </c>
      <c r="H153" s="102">
        <f>IF($J153="","",INDEX('Detalle individual'!$L:$L,$J153))</f>
        <v>1</v>
      </c>
      <c r="J153">
        <f>IFERROR(MATCH(SMALL('Cálculos'!$AI$5:$AI$1000,149),'Cálculos'!$AI$5:$AI$1000,0)+4,"")</f>
        <v>165</v>
      </c>
    </row>
    <row r="154">
      <c r="A154" s="5" t="str">
        <f>IF($J154="","",INDEX('Detalle individual'!$B:$B,$J154))</f>
        <v>CLELIA LIZETH ORTIZ GALDAMEZ</v>
      </c>
      <c r="B154" s="5" t="str">
        <f>IF($J154="","",INDEX('Detalle individual'!$A:$A,$J154))</f>
        <v>589</v>
      </c>
      <c r="C154" s="5" t="str">
        <f>IF($J154="","",INDEX('Detalle individual'!$E:$E,$J154))</f>
        <v>AUXILIAR DE ADMINISTRACION DE SEGUROS</v>
      </c>
      <c r="D154" s="5" t="str">
        <f>IF($J154="","",INDEX('Detalle individual'!$C:$C,$J154))</f>
        <v>DEPARTAMENTO DE SEGUROS</v>
      </c>
      <c r="E154" s="5" t="str">
        <f>IF($J154="","",INDEX('Detalle individual'!$D:$D,$J154))</f>
        <v>Gerencia de Negocios</v>
      </c>
      <c r="F154" s="96">
        <f>IF($J154="","",INDEX('Detalle individual'!$H:$H,$J154))</f>
        <v>46301.68011574074</v>
      </c>
      <c r="G154" s="102">
        <f>IF($J154="","",INDEX('Detalle individual'!$J:$J,$J154))</f>
        <v>90</v>
      </c>
      <c r="H154" s="102">
        <f>IF($J154="","",INDEX('Detalle individual'!$L:$L,$J154))</f>
        <v>1</v>
      </c>
      <c r="J154">
        <f>IFERROR(MATCH(SMALL('Cálculos'!$AI$5:$AI$1000,150),'Cálculos'!$AI$5:$AI$1000,0)+4,"")</f>
        <v>166</v>
      </c>
    </row>
    <row r="155">
      <c r="A155" s="5" t="str">
        <f>IF($J155="","",INDEX('Detalle individual'!$B:$B,$J155))</f>
        <v>HENRY OSWALDO PINEDA GARCIA</v>
      </c>
      <c r="B155" s="5" t="str">
        <f>IF($J155="","",INDEX('Detalle individual'!$A:$A,$J155))</f>
        <v>894</v>
      </c>
      <c r="C155" s="5" t="str">
        <f>IF($J155="","",INDEX('Detalle individual'!$E:$E,$J155))</f>
        <v>EJECUTIVO MOVIL DE SEGUROS</v>
      </c>
      <c r="D155" s="5" t="str">
        <f>IF($J155="","",INDEX('Detalle individual'!$C:$C,$J155))</f>
        <v>DEPARTAMENTO DE SEGUROS</v>
      </c>
      <c r="E155" s="5" t="str">
        <f>IF($J155="","",INDEX('Detalle individual'!$D:$D,$J155))</f>
        <v>Gerencia de Negocios</v>
      </c>
      <c r="F155" s="96">
        <f>IF($J155="","",INDEX('Detalle individual'!$H:$H,$J155))</f>
        <v>46296.431875</v>
      </c>
      <c r="G155" s="102">
        <f>IF($J155="","",INDEX('Detalle individual'!$J:$J,$J155))</f>
        <v>100</v>
      </c>
      <c r="H155" s="102">
        <f>IF($J155="","",INDEX('Detalle individual'!$L:$L,$J155))</f>
        <v>2</v>
      </c>
      <c r="J155">
        <f>IFERROR(MATCH(SMALL('Cálculos'!$AI$5:$AI$1000,151),'Cálculos'!$AI$5:$AI$1000,0)+4,"")</f>
        <v>175</v>
      </c>
    </row>
    <row r="156">
      <c r="A156" s="5" t="str">
        <f>IF($J156="","",INDEX('Detalle individual'!$B:$B,$J156))</f>
        <v>JENNIFER BETSABE MARAVILLA MORENO</v>
      </c>
      <c r="B156" s="5" t="str">
        <f>IF($J156="","",INDEX('Detalle individual'!$A:$A,$J156))</f>
        <v>869</v>
      </c>
      <c r="C156" s="5" t="str">
        <f>IF($J156="","",INDEX('Detalle individual'!$E:$E,$J156))</f>
        <v>EJECUTIVO DE VENTA DE SEGUROS</v>
      </c>
      <c r="D156" s="5" t="str">
        <f>IF($J156="","",INDEX('Detalle individual'!$C:$C,$J156))</f>
        <v>DEPARTAMENTO DE SEGUROS</v>
      </c>
      <c r="E156" s="5" t="str">
        <f>IF($J156="","",INDEX('Detalle individual'!$D:$D,$J156))</f>
        <v>Gerencia de Negocios</v>
      </c>
      <c r="F156" s="96">
        <f>IF($J156="","",INDEX('Detalle individual'!$H:$H,$J156))</f>
        <v>46296.68630787037</v>
      </c>
      <c r="G156" s="102">
        <f>IF($J156="","",INDEX('Detalle individual'!$J:$J,$J156))</f>
        <v>100</v>
      </c>
      <c r="H156" s="102">
        <f>IF($J156="","",INDEX('Detalle individual'!$L:$L,$J156))</f>
        <v>1</v>
      </c>
      <c r="J156">
        <f>IFERROR(MATCH(SMALL('Cálculos'!$AI$5:$AI$1000,152),'Cálculos'!$AI$5:$AI$1000,0)+4,"")</f>
        <v>174</v>
      </c>
    </row>
    <row r="157">
      <c r="A157" s="5" t="str">
        <f>IF($J157="","",INDEX('Detalle individual'!$B:$B,$J157))</f>
        <v>JENNYFER AYLIN ESCOBAR ZAMORA</v>
      </c>
      <c r="B157" s="5" t="str">
        <f>IF($J157="","",INDEX('Detalle individual'!$A:$A,$J157))</f>
        <v>792</v>
      </c>
      <c r="C157" s="5" t="str">
        <f>IF($J157="","",INDEX('Detalle individual'!$E:$E,$J157))</f>
        <v>COORDINADOR COMERCIAL DE SEGUROS</v>
      </c>
      <c r="D157" s="5" t="str">
        <f>IF($J157="","",INDEX('Detalle individual'!$C:$C,$J157))</f>
        <v>DEPARTAMENTO DE SEGUROS</v>
      </c>
      <c r="E157" s="5" t="str">
        <f>IF($J157="","",INDEX('Detalle individual'!$D:$D,$J157))</f>
        <v>Gerencia de Negocios</v>
      </c>
      <c r="F157" s="96">
        <f>IF($J157="","",INDEX('Detalle individual'!$H:$H,$J157))</f>
        <v>46309.485625</v>
      </c>
      <c r="G157" s="102">
        <f>IF($J157="","",INDEX('Detalle individual'!$J:$J,$J157))</f>
        <v>100</v>
      </c>
      <c r="H157" s="102">
        <f>IF($J157="","",INDEX('Detalle individual'!$L:$L,$J157))</f>
        <v>1</v>
      </c>
      <c r="J157">
        <f>IFERROR(MATCH(SMALL('Cálculos'!$AI$5:$AI$1000,153),'Cálculos'!$AI$5:$AI$1000,0)+4,"")</f>
        <v>170</v>
      </c>
    </row>
    <row r="158">
      <c r="A158" s="5" t="str">
        <f>IF($J158="","",INDEX('Detalle individual'!$B:$B,$J158))</f>
        <v>JUANA HAZEL GARCIA COREAS</v>
      </c>
      <c r="B158" s="5" t="str">
        <f>IF($J158="","",INDEX('Detalle individual'!$A:$A,$J158))</f>
        <v>805</v>
      </c>
      <c r="C158" s="5" t="str">
        <f>IF($J158="","",INDEX('Detalle individual'!$E:$E,$J158))</f>
        <v>EJECUTIVO DE VENTA DE SEGUROS</v>
      </c>
      <c r="D158" s="5" t="str">
        <f>IF($J158="","",INDEX('Detalle individual'!$C:$C,$J158))</f>
        <v>DEPARTAMENTO DE SEGUROS</v>
      </c>
      <c r="E158" s="5" t="str">
        <f>IF($J158="","",INDEX('Detalle individual'!$D:$D,$J158))</f>
        <v>Gerencia de Negocios</v>
      </c>
      <c r="F158" s="96">
        <f>IF($J158="","",INDEX('Detalle individual'!$H:$H,$J158))</f>
        <v>46309.48584490741</v>
      </c>
      <c r="G158" s="102">
        <f>IF($J158="","",INDEX('Detalle individual'!$J:$J,$J158))</f>
        <v>100</v>
      </c>
      <c r="H158" s="102">
        <f>IF($J158="","",INDEX('Detalle individual'!$L:$L,$J158))</f>
        <v>1</v>
      </c>
      <c r="J158">
        <f>IFERROR(MATCH(SMALL('Cálculos'!$AI$5:$AI$1000,154),'Cálculos'!$AI$5:$AI$1000,0)+4,"")</f>
        <v>173</v>
      </c>
    </row>
    <row r="159">
      <c r="A159" s="5" t="str">
        <f>IF($J159="","",INDEX('Detalle individual'!$B:$B,$J159))</f>
        <v>KRIZIA BETSABE FLORES MARTINEZ</v>
      </c>
      <c r="B159" s="5" t="str">
        <f>IF($J159="","",INDEX('Detalle individual'!$A:$A,$J159))</f>
        <v>793</v>
      </c>
      <c r="C159" s="5" t="str">
        <f>IF($J159="","",INDEX('Detalle individual'!$E:$E,$J159))</f>
        <v>JEFE DE SEGUROS</v>
      </c>
      <c r="D159" s="5" t="str">
        <f>IF($J159="","",INDEX('Detalle individual'!$C:$C,$J159))</f>
        <v>DEPARTAMENTO DE SEGUROS</v>
      </c>
      <c r="E159" s="5" t="str">
        <f>IF($J159="","",INDEX('Detalle individual'!$D:$D,$J159))</f>
        <v>Gerencia de Negocios</v>
      </c>
      <c r="F159" s="96">
        <f>IF($J159="","",INDEX('Detalle individual'!$H:$H,$J159))</f>
        <v>46297.49109953704</v>
      </c>
      <c r="G159" s="102">
        <f>IF($J159="","",INDEX('Detalle individual'!$J:$J,$J159))</f>
        <v>90</v>
      </c>
      <c r="H159" s="102">
        <f>IF($J159="","",INDEX('Detalle individual'!$L:$L,$J159))</f>
        <v>1</v>
      </c>
      <c r="J159">
        <f>IFERROR(MATCH(SMALL('Cálculos'!$AI$5:$AI$1000,155),'Cálculos'!$AI$5:$AI$1000,0)+4,"")</f>
        <v>171</v>
      </c>
    </row>
    <row r="160">
      <c r="A160" s="5" t="str">
        <f>IF($J160="","",INDEX('Detalle individual'!$B:$B,$J160))</f>
        <v>LISSETTE MARICELA SANCHEZ MOLINA</v>
      </c>
      <c r="B160" s="5" t="str">
        <f>IF($J160="","",INDEX('Detalle individual'!$A:$A,$J160))</f>
        <v>643</v>
      </c>
      <c r="C160" s="5" t="str">
        <f>IF($J160="","",INDEX('Detalle individual'!$E:$E,$J160))</f>
        <v>ASISTENTE DE SEGUROS</v>
      </c>
      <c r="D160" s="5" t="str">
        <f>IF($J160="","",INDEX('Detalle individual'!$C:$C,$J160))</f>
        <v>DEPARTAMENTO DE SEGUROS</v>
      </c>
      <c r="E160" s="5" t="str">
        <f>IF($J160="","",INDEX('Detalle individual'!$D:$D,$J160))</f>
        <v>Gerencia de Negocios</v>
      </c>
      <c r="F160" s="96">
        <f>IF($J160="","",INDEX('Detalle individual'!$H:$H,$J160))</f>
        <v>46309.639328703706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168</v>
      </c>
    </row>
    <row r="161">
      <c r="A161" s="5" t="str">
        <f>IF($J161="","",INDEX('Detalle individual'!$B:$B,$J161))</f>
        <v>RAUL ERNESTO PALACIOS LANDAVERDE</v>
      </c>
      <c r="B161" s="5" t="str">
        <f>IF($J161="","",INDEX('Detalle individual'!$A:$A,$J161))</f>
        <v>689</v>
      </c>
      <c r="C161" s="5" t="str">
        <f>IF($J161="","",INDEX('Detalle individual'!$E:$E,$J161))</f>
        <v>TECNICO DEL SEGURO DE SALUD</v>
      </c>
      <c r="D161" s="5" t="str">
        <f>IF($J161="","",INDEX('Detalle individual'!$C:$C,$J161))</f>
        <v>DEPARTAMENTO DE SEGUROS</v>
      </c>
      <c r="E161" s="5" t="str">
        <f>IF($J161="","",INDEX('Detalle individual'!$D:$D,$J161))</f>
        <v>Gerencia de Negocios</v>
      </c>
      <c r="F161" s="96">
        <f>IF($J161="","",INDEX('Detalle individual'!$H:$H,$J161))</f>
        <v>46296.46570601852</v>
      </c>
      <c r="G161" s="102">
        <f>IF($J161="","",INDEX('Detalle individual'!$J:$J,$J161))</f>
        <v>100</v>
      </c>
      <c r="H161" s="102">
        <f>IF($J161="","",INDEX('Detalle individual'!$L:$L,$J161))</f>
        <v>1</v>
      </c>
      <c r="J161">
        <f>IFERROR(MATCH(SMALL('Cálculos'!$AI$5:$AI$1000,157),'Cálculos'!$AI$5:$AI$1000,0)+4,"")</f>
        <v>169</v>
      </c>
    </row>
    <row r="162">
      <c r="A162" s="5" t="str">
        <f>IF($J162="","",INDEX('Detalle individual'!$B:$B,$J162))</f>
        <v>HECTOR JOSE MENJIVAR SOMOZA</v>
      </c>
      <c r="B162" s="5" t="str">
        <f>IF($J162="","",INDEX('Detalle individual'!$A:$A,$J162))</f>
        <v>583</v>
      </c>
      <c r="C162" s="5" t="str">
        <f>IF($J162="","",INDEX('Detalle individual'!$E:$E,$J162))</f>
        <v>ANALISTA DE INTELIGENCIA DE NEGOCIOS</v>
      </c>
      <c r="D162" s="5" t="str">
        <f>IF($J162="","",INDEX('Detalle individual'!$C:$C,$J162))</f>
        <v>GERENCIA DE NEGOCIOS</v>
      </c>
      <c r="E162" s="5" t="str">
        <f>IF($J162="","",INDEX('Detalle individual'!$D:$D,$J162))</f>
        <v>Gerencia de Negocios</v>
      </c>
      <c r="F162" s="96">
        <f>IF($J162="","",INDEX('Detalle individual'!$H:$H,$J162))</f>
        <v>46296.48710648148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136</v>
      </c>
    </row>
    <row r="163">
      <c r="A163" s="5" t="str">
        <f>IF($J163="","",INDEX('Detalle individual'!$B:$B,$J163))</f>
        <v>VICTOR ADONAY PEREZ CASTILLO</v>
      </c>
      <c r="B163" s="5" t="str">
        <f>IF($J163="","",INDEX('Detalle individual'!$A:$A,$J163))</f>
        <v>633</v>
      </c>
      <c r="C163" s="5" t="str">
        <f>IF($J163="","",INDEX('Detalle individual'!$E:$E,$J163))</f>
        <v>ASISTENTE PARA CANALES ELECTRONICOS Y OPERACIONES EN AGENCIA</v>
      </c>
      <c r="D163" s="5" t="str">
        <f>IF($J163="","",INDEX('Detalle individual'!$C:$C,$J163))</f>
        <v>GERENCIA DE NEGOCIOS</v>
      </c>
      <c r="E163" s="5" t="str">
        <f>IF($J163="","",INDEX('Detalle individual'!$D:$D,$J163))</f>
        <v>Gerencia de Negocios</v>
      </c>
      <c r="F163" s="96">
        <f>IF($J163="","",INDEX('Detalle individual'!$H:$H,$J163))</f>
        <v>46296.453680555554</v>
      </c>
      <c r="G163" s="102">
        <f>IF($J163="","",INDEX('Detalle individual'!$J:$J,$J163))</f>
        <v>100</v>
      </c>
      <c r="H163" s="102">
        <f>IF($J163="","",INDEX('Detalle individual'!$L:$L,$J163))</f>
        <v>2</v>
      </c>
      <c r="J163">
        <f>IFERROR(MATCH(SMALL('Cálculos'!$AI$5:$AI$1000,159),'Cálculos'!$AI$5:$AI$1000,0)+4,"")</f>
        <v>137</v>
      </c>
    </row>
    <row r="164">
      <c r="A164" s="5" t="str">
        <f>IF($J164="","",INDEX('Detalle individual'!$B:$B,$J164))</f>
        <v>WANDA ILIANA MORENO QUINTEROS</v>
      </c>
      <c r="B164" s="5" t="str">
        <f>IF($J164="","",INDEX('Detalle individual'!$A:$A,$J164))</f>
        <v>782</v>
      </c>
      <c r="C164" s="5" t="str">
        <f>IF($J164="","",INDEX('Detalle individual'!$E:$E,$J164))</f>
        <v>ADMINISTRADOR DE PLATAFORMAS Y TRANSFORMACION DIGITAL DE CRE</v>
      </c>
      <c r="D164" s="5" t="str">
        <f>IF($J164="","",INDEX('Detalle individual'!$C:$C,$J164))</f>
        <v>GERENCIA DE NEGOCIOS</v>
      </c>
      <c r="E164" s="5" t="str">
        <f>IF($J164="","",INDEX('Detalle individual'!$D:$D,$J164))</f>
        <v>Gerencia de Negocios</v>
      </c>
      <c r="F164" s="96">
        <f>IF($J164="","",INDEX('Detalle individual'!$H:$H,$J164))</f>
        <v>46301.440300925926</v>
      </c>
      <c r="G164" s="102">
        <f>IF($J164="","",INDEX('Detalle individual'!$J:$J,$J164))</f>
        <v>100</v>
      </c>
      <c r="H164" s="102">
        <f>IF($J164="","",INDEX('Detalle individual'!$L:$L,$J164))</f>
        <v>1</v>
      </c>
      <c r="J164">
        <f>IFERROR(MATCH(SMALL('Cálculos'!$AI$5:$AI$1000,160),'Cálculos'!$AI$5:$AI$1000,0)+4,"")</f>
        <v>138</v>
      </c>
    </row>
    <row r="165">
      <c r="A165" s="5" t="str">
        <f>IF($J165="","",INDEX('Detalle individual'!$B:$B,$J165))</f>
        <v>JUAN CARLOS AGUILAR ASCENCIO</v>
      </c>
      <c r="B165" s="5" t="str">
        <f>IF($J165="","",INDEX('Detalle individual'!$A:$A,$J165))</f>
        <v>581</v>
      </c>
      <c r="C165" s="5" t="str">
        <f>IF($J165="","",INDEX('Detalle individual'!$E:$E,$J165))</f>
        <v>CAJERO MOVIL</v>
      </c>
      <c r="D165" s="5" t="str">
        <f>IF($J165="","",INDEX('Detalle individual'!$C:$C,$J165))</f>
        <v>SUB GERENCIA DE CANALES</v>
      </c>
      <c r="E165" s="5" t="str">
        <f>IF($J165="","",INDEX('Detalle individual'!$D:$D,$J165))</f>
        <v>Gerencia de Negocios</v>
      </c>
      <c r="F165" s="96">
        <f>IF($J165="","",INDEX('Detalle individual'!$H:$H,$J165))</f>
        <v>46309.67239583333</v>
      </c>
      <c r="G165" s="102">
        <f>IF($J165="","",INDEX('Detalle individual'!$J:$J,$J165))</f>
        <v>100</v>
      </c>
      <c r="H165" s="102">
        <f>IF($J165="","",INDEX('Detalle individual'!$L:$L,$J165))</f>
        <v>1</v>
      </c>
      <c r="J165">
        <f>IFERROR(MATCH(SMALL('Cálculos'!$AI$5:$AI$1000,161),'Cálculos'!$AI$5:$AI$1000,0)+4,"")</f>
        <v>185</v>
      </c>
    </row>
    <row r="166">
      <c r="A166" s="5" t="str">
        <f>IF($J166="","",INDEX('Detalle individual'!$B:$B,$J166))</f>
        <v>LUIS FERNANDO MORAN GARCIA</v>
      </c>
      <c r="B166" s="5" t="str">
        <f>IF($J166="","",INDEX('Detalle individual'!$A:$A,$J166))</f>
        <v>651</v>
      </c>
      <c r="C166" s="5" t="str">
        <f>IF($J166="","",INDEX('Detalle individual'!$E:$E,$J166))</f>
        <v>JEFE MOVIL DE AGENCIAS</v>
      </c>
      <c r="D166" s="5" t="str">
        <f>IF($J166="","",INDEX('Detalle individual'!$C:$C,$J166))</f>
        <v>SUB GERENCIA DE CANALES</v>
      </c>
      <c r="E166" s="5" t="str">
        <f>IF($J166="","",INDEX('Detalle individual'!$D:$D,$J166))</f>
        <v>Gerencia de Negocios</v>
      </c>
      <c r="F166" s="96">
        <f>IF($J166="","",INDEX('Detalle individual'!$H:$H,$J166))</f>
        <v>46309.67240740741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187</v>
      </c>
    </row>
    <row r="167">
      <c r="A167" s="5" t="str">
        <f>IF($J167="","",INDEX('Detalle individual'!$B:$B,$J167))</f>
        <v>LUIS MARCELO CRUZ VIGIL</v>
      </c>
      <c r="B167" s="5" t="str">
        <f>IF($J167="","",INDEX('Detalle individual'!$A:$A,$J167))</f>
        <v>215</v>
      </c>
      <c r="C167" s="5" t="str">
        <f>IF($J167="","",INDEX('Detalle individual'!$E:$E,$J167))</f>
        <v>SUB GERENTE DE CANALES</v>
      </c>
      <c r="D167" s="5" t="str">
        <f>IF($J167="","",INDEX('Detalle individual'!$C:$C,$J167))</f>
        <v>SUB GERENCIA DE CANALES</v>
      </c>
      <c r="E167" s="5" t="str">
        <f>IF($J167="","",INDEX('Detalle individual'!$D:$D,$J167))</f>
        <v>Gerencia de Negocios</v>
      </c>
      <c r="F167" s="96">
        <f>IF($J167="","",INDEX('Detalle individual'!$H:$H,$J167))</f>
        <v>46300.41096064815</v>
      </c>
      <c r="G167" s="102">
        <f>IF($J167="","",INDEX('Detalle individual'!$J:$J,$J167))</f>
        <v>100</v>
      </c>
      <c r="H167" s="102">
        <f>IF($J167="","",INDEX('Detalle individual'!$L:$L,$J167))</f>
        <v>1</v>
      </c>
      <c r="J167">
        <f>IFERROR(MATCH(SMALL('Cálculos'!$AI$5:$AI$1000,163),'Cálculos'!$AI$5:$AI$1000,0)+4,"")</f>
        <v>184</v>
      </c>
    </row>
    <row r="168">
      <c r="A168" s="5" t="str">
        <f>IF($J168="","",INDEX('Detalle individual'!$B:$B,$J168))</f>
        <v>NANCY ROCIO MENJIVAR RIVAS</v>
      </c>
      <c r="B168" s="5" t="str">
        <f>IF($J168="","",INDEX('Detalle individual'!$A:$A,$J168))</f>
        <v>585</v>
      </c>
      <c r="C168" s="5" t="str">
        <f>IF($J168="","",INDEX('Detalle individual'!$E:$E,$J168))</f>
        <v>EJECUTIVO MOVIL DE SEGUROS</v>
      </c>
      <c r="D168" s="5" t="str">
        <f>IF($J168="","",INDEX('Detalle individual'!$C:$C,$J168))</f>
        <v>SUB GERENCIA DE CANALES</v>
      </c>
      <c r="E168" s="5" t="str">
        <f>IF($J168="","",INDEX('Detalle individual'!$D:$D,$J168))</f>
        <v>Gerencia de Negocios</v>
      </c>
      <c r="F168" s="96">
        <f>IF($J168="","",INDEX('Detalle individual'!$H:$H,$J168))</f>
        <v>46302.479097222225</v>
      </c>
      <c r="G168" s="102">
        <f>IF($J168="","",INDEX('Detalle individual'!$J:$J,$J168))</f>
        <v>100</v>
      </c>
      <c r="H168" s="102">
        <f>IF($J168="","",INDEX('Detalle individual'!$L:$L,$J168))</f>
        <v>1</v>
      </c>
      <c r="J168">
        <f>IFERROR(MATCH(SMALL('Cálculos'!$AI$5:$AI$1000,164),'Cálculos'!$AI$5:$AI$1000,0)+4,"")</f>
        <v>186</v>
      </c>
    </row>
    <row r="169">
      <c r="A169" s="5" t="str">
        <f>IF($J169="","",INDEX('Detalle individual'!$B:$B,$J169))</f>
        <v>REBECA ABIGAIL VEGA FLORES</v>
      </c>
      <c r="B169" s="5" t="str">
        <f>IF($J169="","",INDEX('Detalle individual'!$A:$A,$J169))</f>
        <v>854</v>
      </c>
      <c r="C169" s="5" t="str">
        <f>IF($J169="","",INDEX('Detalle individual'!$E:$E,$J169))</f>
        <v>CAJERO MOVIL</v>
      </c>
      <c r="D169" s="5" t="str">
        <f>IF($J169="","",INDEX('Detalle individual'!$C:$C,$J169))</f>
        <v>SUB GERENCIA DE CANALES</v>
      </c>
      <c r="E169" s="5" t="str">
        <f>IF($J169="","",INDEX('Detalle individual'!$D:$D,$J169))</f>
        <v>Gerencia de Negocios</v>
      </c>
      <c r="F169" s="96">
        <f>IF($J169="","",INDEX('Detalle individual'!$H:$H,$J169))</f>
        <v>46309.67223379629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189</v>
      </c>
    </row>
    <row r="170">
      <c r="A170" s="5" t="str">
        <f>IF($J170="","",INDEX('Detalle individual'!$B:$B,$J170))</f>
        <v>SAMUEL ALBERTO SALGUERO RODRIGUEZ</v>
      </c>
      <c r="B170" s="5" t="str">
        <f>IF($J170="","",INDEX('Detalle individual'!$A:$A,$J170))</f>
        <v>968</v>
      </c>
      <c r="C170" s="5" t="str">
        <f>IF($J170="","",INDEX('Detalle individual'!$E:$E,$J170))</f>
        <v>CAJERO MOVIL</v>
      </c>
      <c r="D170" s="5" t="str">
        <f>IF($J170="","",INDEX('Detalle individual'!$C:$C,$J170))</f>
        <v>SUB GERENCIA DE CANALES</v>
      </c>
      <c r="E170" s="5" t="str">
        <f>IF($J170="","",INDEX('Detalle individual'!$D:$D,$J170))</f>
        <v>Gerencia de Negocios</v>
      </c>
      <c r="F170" s="96">
        <f>IF($J170="","",INDEX('Detalle individual'!$H:$H,$J170))</f>
        <v>46309.38234953704</v>
      </c>
      <c r="G170" s="102">
        <f>IF($J170="","",INDEX('Detalle individual'!$J:$J,$J170))</f>
        <v>90</v>
      </c>
      <c r="H170" s="102">
        <f>IF($J170="","",INDEX('Detalle individual'!$L:$L,$J170))</f>
        <v>1</v>
      </c>
      <c r="J170">
        <f>IFERROR(MATCH(SMALL('Cálculos'!$AI$5:$AI$1000,166),'Cálculos'!$AI$5:$AI$1000,0)+4,"")</f>
        <v>190</v>
      </c>
    </row>
    <row r="171">
      <c r="A171" s="5" t="str">
        <f>IF($J171="","",INDEX('Detalle individual'!$B:$B,$J171))</f>
        <v>SANDRA VERONICA ACEVEDO BELTRAN</v>
      </c>
      <c r="B171" s="5" t="str">
        <f>IF($J171="","",INDEX('Detalle individual'!$A:$A,$J171))</f>
        <v>713</v>
      </c>
      <c r="C171" s="5" t="str">
        <f>IF($J171="","",INDEX('Detalle individual'!$E:$E,$J171))</f>
        <v>ASISTENTE PARA CORRESPONSALES FINANCIEROS</v>
      </c>
      <c r="D171" s="5" t="str">
        <f>IF($J171="","",INDEX('Detalle individual'!$C:$C,$J171))</f>
        <v>SUB GERENCIA DE CANALES</v>
      </c>
      <c r="E171" s="5" t="str">
        <f>IF($J171="","",INDEX('Detalle individual'!$D:$D,$J171))</f>
        <v>Gerencia de Negocios</v>
      </c>
      <c r="F171" s="96">
        <f>IF($J171="","",INDEX('Detalle individual'!$H:$H,$J171))</f>
        <v>46309.68292824074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188</v>
      </c>
    </row>
    <row r="172">
      <c r="A172" s="5" t="str">
        <f>IF($J172="","",INDEX('Detalle individual'!$B:$B,$J172))</f>
        <v>FIDEL ISAIAS CASTELLON CALVIO</v>
      </c>
      <c r="B172" s="5" t="str">
        <f>IF($J172="","",INDEX('Detalle individual'!$A:$A,$J172))</f>
        <v>914</v>
      </c>
      <c r="C172" s="5" t="str">
        <f>IF($J172="","",INDEX('Detalle individual'!$E:$E,$J172))</f>
        <v>ADMINISTRADOR DE MONITOR PLUS Y ANALISTA DE CUMPLIMIENTO</v>
      </c>
      <c r="D172" s="5" t="str">
        <f>IF($J172="","",INDEX('Detalle individual'!$C:$C,$J172))</f>
        <v>OFICIALIA DE CUMPLIMIENTO</v>
      </c>
      <c r="E172" s="5" t="str">
        <f>IF($J172="","",INDEX('Detalle individual'!$D:$D,$J172))</f>
        <v>Gerencia de Oficialía de Cumplimiento</v>
      </c>
      <c r="F172" s="96">
        <f>IF($J172="","",INDEX('Detalle individual'!$H:$H,$J172))</f>
        <v>46296.47803240741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132</v>
      </c>
    </row>
    <row r="173">
      <c r="A173" s="5" t="str">
        <f>IF($J173="","",INDEX('Detalle individual'!$B:$B,$J173))</f>
        <v>GEORGI ROBERTO CASTILLO CHACON</v>
      </c>
      <c r="B173" s="5" t="str">
        <f>IF($J173="","",INDEX('Detalle individual'!$A:$A,$J173))</f>
        <v>862</v>
      </c>
      <c r="C173" s="5" t="str">
        <f>IF($J173="","",INDEX('Detalle individual'!$E:$E,$J173))</f>
        <v>GERENTE DE OFICIALIA DE CUMPLIMIENTO</v>
      </c>
      <c r="D173" s="5" t="str">
        <f>IF($J173="","",INDEX('Detalle individual'!$C:$C,$J173))</f>
        <v>OFICIALIA DE CUMPLIMIENTO</v>
      </c>
      <c r="E173" s="5" t="str">
        <f>IF($J173="","",INDEX('Detalle individual'!$D:$D,$J173))</f>
        <v>Gerencia de Oficialía de Cumplimiento</v>
      </c>
      <c r="F173" s="96">
        <f>IF($J173="","",INDEX('Detalle individual'!$H:$H,$J173))</f>
        <v>46296.47738425926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10</v>
      </c>
    </row>
    <row r="174">
      <c r="A174" s="5" t="str">
        <f>IF($J174="","",INDEX('Detalle individual'!$B:$B,$J174))</f>
        <v>JOHANNA LISSETH ROMERO RIVAS</v>
      </c>
      <c r="B174" s="5" t="str">
        <f>IF($J174="","",INDEX('Detalle individual'!$A:$A,$J174))</f>
        <v>860</v>
      </c>
      <c r="C174" s="5" t="str">
        <f>IF($J174="","",INDEX('Detalle individual'!$E:$E,$J174))</f>
        <v>ANALISTA DE OFICIALIA DE CUMPLIMIENTO Y OFICIAL DE CUMPLIMIE</v>
      </c>
      <c r="D174" s="5" t="str">
        <f>IF($J174="","",INDEX('Detalle individual'!$C:$C,$J174))</f>
        <v>OFICIALIA DE CUMPLIMIENTO</v>
      </c>
      <c r="E174" s="5" t="str">
        <f>IF($J174="","",INDEX('Detalle individual'!$D:$D,$J174))</f>
        <v>Gerencia de Oficialía de Cumplimiento</v>
      </c>
      <c r="F174" s="96">
        <f>IF($J174="","",INDEX('Detalle individual'!$H:$H,$J174))</f>
        <v>46296.48637731482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131</v>
      </c>
    </row>
    <row r="175">
      <c r="A175" s="5" t="str">
        <f>IF($J175="","",INDEX('Detalle individual'!$B:$B,$J175))</f>
        <v>JORGE MATEO GUTIERREZ FLORES</v>
      </c>
      <c r="B175" s="5" t="str">
        <f>IF($J175="","",INDEX('Detalle individual'!$A:$A,$J175))</f>
        <v>985</v>
      </c>
      <c r="C175" s="5" t="str">
        <f>IF($J175="","",INDEX('Detalle individual'!$E:$E,$J175))</f>
        <v>PASANTE</v>
      </c>
      <c r="D175" s="5" t="str">
        <f>IF($J175="","",INDEX('Detalle individual'!$C:$C,$J175))</f>
        <v>OFICIALIA DE CUMPLIMIENTO</v>
      </c>
      <c r="E175" s="5" t="str">
        <f>IF($J175="","",INDEX('Detalle individual'!$D:$D,$J175))</f>
        <v>Gerencia de Oficialía de Cumplimiento</v>
      </c>
      <c r="F175" s="96">
        <f>IF($J175="","",INDEX('Detalle individual'!$H:$H,$J175))</f>
        <v>46296.4949537037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135</v>
      </c>
    </row>
    <row r="176">
      <c r="A176" s="5" t="str">
        <f>IF($J176="","",INDEX('Detalle individual'!$B:$B,$J176))</f>
        <v>JOSSELINE LIZBETH VENTURA RIVAS</v>
      </c>
      <c r="B176" s="5" t="str">
        <f>IF($J176="","",INDEX('Detalle individual'!$A:$A,$J176))</f>
        <v>443</v>
      </c>
      <c r="C176" s="5" t="str">
        <f>IF($J176="","",INDEX('Detalle individual'!$E:$E,$J176))</f>
        <v>ANALISTA DE CUMPLIMIENTO</v>
      </c>
      <c r="D176" s="5" t="str">
        <f>IF($J176="","",INDEX('Detalle individual'!$C:$C,$J176))</f>
        <v>OFICIALIA DE CUMPLIMIENTO</v>
      </c>
      <c r="E176" s="5" t="str">
        <f>IF($J176="","",INDEX('Detalle individual'!$D:$D,$J176))</f>
        <v>Gerencia de Oficialía de Cumplimiento</v>
      </c>
      <c r="F176" s="96">
        <f>IF($J176="","",INDEX('Detalle individual'!$H:$H,$J176))</f>
        <v>46296.491481481484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130</v>
      </c>
    </row>
    <row r="177">
      <c r="A177" s="5" t="str">
        <f>IF($J177="","",INDEX('Detalle individual'!$B:$B,$J177))</f>
        <v>LILIAN LISET MAGAÑA SANTOS</v>
      </c>
      <c r="B177" s="5" t="str">
        <f>IF($J177="","",INDEX('Detalle individual'!$A:$A,$J177))</f>
        <v>983</v>
      </c>
      <c r="C177" s="5" t="str">
        <f>IF($J177="","",INDEX('Detalle individual'!$E:$E,$J177))</f>
        <v>PASANTE</v>
      </c>
      <c r="D177" s="5" t="str">
        <f>IF($J177="","",INDEX('Detalle individual'!$C:$C,$J177))</f>
        <v>OFICIALIA DE CUMPLIMIENTO</v>
      </c>
      <c r="E177" s="5" t="str">
        <f>IF($J177="","",INDEX('Detalle individual'!$D:$D,$J177))</f>
        <v>Gerencia de Oficialía de Cumplimiento</v>
      </c>
      <c r="F177" s="96">
        <f>IF($J177="","",INDEX('Detalle individual'!$H:$H,$J177))</f>
        <v>46296.49747685185</v>
      </c>
      <c r="G177" s="102">
        <f>IF($J177="","",INDEX('Detalle individual'!$J:$J,$J177))</f>
        <v>100</v>
      </c>
      <c r="H177" s="102">
        <f>IF($J177="","",INDEX('Detalle individual'!$L:$L,$J177))</f>
        <v>1</v>
      </c>
      <c r="J177">
        <f>IFERROR(MATCH(SMALL('Cálculos'!$AI$5:$AI$1000,173),'Cálculos'!$AI$5:$AI$1000,0)+4,"")</f>
        <v>133</v>
      </c>
    </row>
    <row r="178">
      <c r="A178" s="5" t="str">
        <f>IF($J178="","",INDEX('Detalle individual'!$B:$B,$J178))</f>
        <v>NICO EDUARDO CIUDAD REAL MOOIJ</v>
      </c>
      <c r="B178" s="5" t="str">
        <f>IF($J178="","",INDEX('Detalle individual'!$A:$A,$J178))</f>
        <v>984</v>
      </c>
      <c r="C178" s="5" t="str">
        <f>IF($J178="","",INDEX('Detalle individual'!$E:$E,$J178))</f>
        <v>PASANTE</v>
      </c>
      <c r="D178" s="5" t="str">
        <f>IF($J178="","",INDEX('Detalle individual'!$C:$C,$J178))</f>
        <v>OFICIALIA DE CUMPLIMIENTO</v>
      </c>
      <c r="E178" s="5" t="str">
        <f>IF($J178="","",INDEX('Detalle individual'!$D:$D,$J178))</f>
        <v>Gerencia de Oficialía de Cumplimiento</v>
      </c>
      <c r="F178" s="96">
        <f>IF($J178="","",INDEX('Detalle individual'!$H:$H,$J178))</f>
        <v>46296.48002314815</v>
      </c>
      <c r="G178" s="102">
        <f>IF($J178="","",INDEX('Detalle individual'!$J:$J,$J178))</f>
        <v>100</v>
      </c>
      <c r="H178" s="102">
        <f>IF($J178="","",INDEX('Detalle individual'!$L:$L,$J178))</f>
        <v>1</v>
      </c>
      <c r="J178">
        <f>IFERROR(MATCH(SMALL('Cálculos'!$AI$5:$AI$1000,174),'Cálculos'!$AI$5:$AI$1000,0)+4,"")</f>
        <v>134</v>
      </c>
    </row>
    <row r="179">
      <c r="A179" s="5" t="str">
        <f>IF($J179="","",INDEX('Detalle individual'!$B:$B,$J179))</f>
        <v>GEMA YESENIA VILLALOBOS HERNANDEZ</v>
      </c>
      <c r="B179" s="5" t="str">
        <f>IF($J179="","",INDEX('Detalle individual'!$A:$A,$J179))</f>
        <v>477</v>
      </c>
      <c r="C179" s="5" t="str">
        <f>IF($J179="","",INDEX('Detalle individual'!$E:$E,$J179))</f>
        <v>ANALISTA DE CARTERAS</v>
      </c>
      <c r="D179" s="5" t="str">
        <f>IF($J179="","",INDEX('Detalle individual'!$C:$C,$J179))</f>
        <v>ADMINISTRACIÓN DE CARTERAS</v>
      </c>
      <c r="E179" s="5" t="str">
        <f>IF($J179="","",INDEX('Detalle individual'!$D:$D,$J179))</f>
        <v>Gerencia de Operaciones</v>
      </c>
      <c r="F179" s="96">
        <f>IF($J179="","",INDEX('Detalle individual'!$H:$H,$J179))</f>
        <v>46307.65584490741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80</v>
      </c>
    </row>
    <row r="180">
      <c r="A180" s="5" t="str">
        <f>IF($J180="","",INDEX('Detalle individual'!$B:$B,$J180))</f>
        <v>LOYDA ARACELY RAMOS CAÑENGUEZ</v>
      </c>
      <c r="B180" s="5" t="str">
        <f>IF($J180="","",INDEX('Detalle individual'!$A:$A,$J180))</f>
        <v>931</v>
      </c>
      <c r="C180" s="5" t="str">
        <f>IF($J180="","",INDEX('Detalle individual'!$E:$E,$J180))</f>
        <v>ANALISTA DE PRESTAMOS</v>
      </c>
      <c r="D180" s="5" t="str">
        <f>IF($J180="","",INDEX('Detalle individual'!$C:$C,$J180))</f>
        <v>ADMINISTRACIÓN DE CARTERAS</v>
      </c>
      <c r="E180" s="5" t="str">
        <f>IF($J180="","",INDEX('Detalle individual'!$D:$D,$J180))</f>
        <v>Gerencia de Operaciones</v>
      </c>
      <c r="F180" s="96">
        <f>IF($J180="","",INDEX('Detalle individual'!$H:$H,$J180))</f>
        <v>46304.56716435185</v>
      </c>
      <c r="G180" s="102">
        <f>IF($J180="","",INDEX('Detalle individual'!$J:$J,$J180))</f>
        <v>100</v>
      </c>
      <c r="H180" s="102">
        <f>IF($J180="","",INDEX('Detalle individual'!$L:$L,$J180))</f>
        <v>1</v>
      </c>
      <c r="J180">
        <f>IFERROR(MATCH(SMALL('Cálculos'!$AI$5:$AI$1000,176),'Cálculos'!$AI$5:$AI$1000,0)+4,"")</f>
        <v>83</v>
      </c>
    </row>
    <row r="181">
      <c r="A181" s="5" t="str">
        <f>IF($J181="","",INDEX('Detalle individual'!$B:$B,$J181))</f>
        <v>PAMELA GIOVANNA AGUILAR SERBELLON</v>
      </c>
      <c r="B181" s="5" t="str">
        <f>IF($J181="","",INDEX('Detalle individual'!$A:$A,$J181))</f>
        <v>572</v>
      </c>
      <c r="C181" s="5" t="str">
        <f>IF($J181="","",INDEX('Detalle individual'!$E:$E,$J181))</f>
        <v>GESTOR DE COBROS Y PAGOS DE SEGUROS</v>
      </c>
      <c r="D181" s="5" t="str">
        <f>IF($J181="","",INDEX('Detalle individual'!$C:$C,$J181))</f>
        <v>ADMINISTRACIÓN DE CARTERAS</v>
      </c>
      <c r="E181" s="5" t="str">
        <f>IF($J181="","",INDEX('Detalle individual'!$D:$D,$J181))</f>
        <v>Gerencia de Operaciones</v>
      </c>
      <c r="F181" s="96">
        <f>IF($J181="","",INDEX('Detalle individual'!$H:$H,$J181))</f>
        <v>46304.51201388889</v>
      </c>
      <c r="G181" s="102">
        <f>IF($J181="","",INDEX('Detalle individual'!$J:$J,$J181))</f>
        <v>100</v>
      </c>
      <c r="H181" s="102">
        <f>IF($J181="","",INDEX('Detalle individual'!$L:$L,$J181))</f>
        <v>1</v>
      </c>
      <c r="J181">
        <f>IFERROR(MATCH(SMALL('Cálculos'!$AI$5:$AI$1000,177),'Cálculos'!$AI$5:$AI$1000,0)+4,"")</f>
        <v>81</v>
      </c>
    </row>
    <row r="182">
      <c r="A182" s="5" t="str">
        <f>IF($J182="","",INDEX('Detalle individual'!$B:$B,$J182))</f>
        <v>YANETH MARLENY LANDAVERDE MORALES</v>
      </c>
      <c r="B182" s="5" t="str">
        <f>IF($J182="","",INDEX('Detalle individual'!$A:$A,$J182))</f>
        <v>16</v>
      </c>
      <c r="C182" s="5" t="str">
        <f>IF($J182="","",INDEX('Detalle individual'!$E:$E,$J182))</f>
        <v>JEFE DE ADMINISTRACION DE CARTERA</v>
      </c>
      <c r="D182" s="5" t="str">
        <f>IF($J182="","",INDEX('Detalle individual'!$C:$C,$J182))</f>
        <v>ADMINISTRACIÓN DE CARTERAS</v>
      </c>
      <c r="E182" s="5" t="str">
        <f>IF($J182="","",INDEX('Detalle individual'!$D:$D,$J182))</f>
        <v>Gerencia de Operaciones</v>
      </c>
      <c r="F182" s="96">
        <f>IF($J182="","",INDEX('Detalle individual'!$H:$H,$J182))</f>
        <v>46307.675532407404</v>
      </c>
      <c r="G182" s="102">
        <f>IF($J182="","",INDEX('Detalle individual'!$J:$J,$J182))</f>
        <v>100</v>
      </c>
      <c r="H182" s="102">
        <f>IF($J182="","",INDEX('Detalle individual'!$L:$L,$J182))</f>
        <v>1</v>
      </c>
      <c r="J182">
        <f>IFERROR(MATCH(SMALL('Cálculos'!$AI$5:$AI$1000,178),'Cálculos'!$AI$5:$AI$1000,0)+4,"")</f>
        <v>79</v>
      </c>
    </row>
    <row r="183">
      <c r="A183" s="5" t="str">
        <f>IF($J183="","",INDEX('Detalle individual'!$B:$B,$J183))</f>
        <v>HELLEN ESTEFANI RODRIGUEZ GARCIA</v>
      </c>
      <c r="B183" s="5" t="str">
        <f>IF($J183="","",INDEX('Detalle individual'!$A:$A,$J183))</f>
        <v>773</v>
      </c>
      <c r="C183" s="5" t="str">
        <f>IF($J183="","",INDEX('Detalle individual'!$E:$E,$J183))</f>
        <v>ASISTENTE COMPENSADOR DE CHEQUES</v>
      </c>
      <c r="D183" s="5" t="str">
        <f>IF($J183="","",INDEX('Detalle individual'!$C:$C,$J183))</f>
        <v>DEPARTAMENTO DE DEPOSITOS</v>
      </c>
      <c r="E183" s="5" t="str">
        <f>IF($J183="","",INDEX('Detalle individual'!$D:$D,$J183))</f>
        <v>Gerencia de Operaciones</v>
      </c>
      <c r="F183" s="96">
        <f>IF($J183="","",INDEX('Detalle individual'!$H:$H,$J183))</f>
        <v>46297.47550925926</v>
      </c>
      <c r="G183" s="102">
        <f>IF($J183="","",INDEX('Detalle individual'!$J:$J,$J183))</f>
        <v>95</v>
      </c>
      <c r="H183" s="102">
        <f>IF($J183="","",INDEX('Detalle individual'!$L:$L,$J183))</f>
        <v>1</v>
      </c>
      <c r="J183">
        <f>IFERROR(MATCH(SMALL('Cálculos'!$AI$5:$AI$1000,179),'Cálculos'!$AI$5:$AI$1000,0)+4,"")</f>
        <v>77</v>
      </c>
    </row>
    <row r="184">
      <c r="A184" s="5" t="str">
        <f>IF($J184="","",INDEX('Detalle individual'!$B:$B,$J184))</f>
        <v>LUCILA MARGARITA CORCIO QUINTANILLA</v>
      </c>
      <c r="B184" s="5" t="str">
        <f>IF($J184="","",INDEX('Detalle individual'!$A:$A,$J184))</f>
        <v>632</v>
      </c>
      <c r="C184" s="5" t="str">
        <f>IF($J184="","",INDEX('Detalle individual'!$E:$E,$J184))</f>
        <v>ASISTENTE COMPENSADOR DE CHEQUES</v>
      </c>
      <c r="D184" s="5" t="str">
        <f>IF($J184="","",INDEX('Detalle individual'!$C:$C,$J184))</f>
        <v>DEPARTAMENTO DE DEPOSITOS</v>
      </c>
      <c r="E184" s="5" t="str">
        <f>IF($J184="","",INDEX('Detalle individual'!$D:$D,$J184))</f>
        <v>Gerencia de Operaciones</v>
      </c>
      <c r="F184" s="96">
        <f>IF($J184="","",INDEX('Detalle individual'!$H:$H,$J184))</f>
        <v>46296.57800925926</v>
      </c>
      <c r="G184" s="102">
        <f>IF($J184="","",INDEX('Detalle individual'!$J:$J,$J184))</f>
        <v>100</v>
      </c>
      <c r="H184" s="102">
        <f>IF($J184="","",INDEX('Detalle individual'!$L:$L,$J184))</f>
        <v>1</v>
      </c>
      <c r="J184">
        <f>IFERROR(MATCH(SMALL('Cálculos'!$AI$5:$AI$1000,180),'Cálculos'!$AI$5:$AI$1000,0)+4,"")</f>
        <v>76</v>
      </c>
    </row>
    <row r="185">
      <c r="A185" s="5" t="str">
        <f>IF($J185="","",INDEX('Detalle individual'!$B:$B,$J185))</f>
        <v>MARIO ANTONIO NAVARRO PINEDA</v>
      </c>
      <c r="B185" s="5" t="str">
        <f>IF($J185="","",INDEX('Detalle individual'!$A:$A,$J185))</f>
        <v>284</v>
      </c>
      <c r="C185" s="5" t="str">
        <f>IF($J185="","",INDEX('Detalle individual'!$E:$E,$J185))</f>
        <v>JEFE DE DEPOSITOS</v>
      </c>
      <c r="D185" s="5" t="str">
        <f>IF($J185="","",INDEX('Detalle individual'!$C:$C,$J185))</f>
        <v>DEPARTAMENTO DE DEPOSITOS</v>
      </c>
      <c r="E185" s="5" t="str">
        <f>IF($J185="","",INDEX('Detalle individual'!$D:$D,$J185))</f>
        <v>Gerencia de Operaciones</v>
      </c>
      <c r="F185" s="96">
        <f>IF($J185="","",INDEX('Detalle individual'!$H:$H,$J185))</f>
        <v>46305.513344907406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75</v>
      </c>
    </row>
    <row r="186">
      <c r="A186" s="5" t="str">
        <f>IF($J186="","",INDEX('Detalle individual'!$B:$B,$J186))</f>
        <v>WALTER OSWALDO SANCHEZ RIVAS</v>
      </c>
      <c r="B186" s="5" t="str">
        <f>IF($J186="","",INDEX('Detalle individual'!$A:$A,$J186))</f>
        <v>787</v>
      </c>
      <c r="C186" s="5" t="str">
        <f>IF($J186="","",INDEX('Detalle individual'!$E:$E,$J186))</f>
        <v>ASISTENTE COMPENSADOR DE CHEQUES</v>
      </c>
      <c r="D186" s="5" t="str">
        <f>IF($J186="","",INDEX('Detalle individual'!$C:$C,$J186))</f>
        <v>DEPARTAMENTO DE DEPOSITOS</v>
      </c>
      <c r="E186" s="5" t="str">
        <f>IF($J186="","",INDEX('Detalle individual'!$D:$D,$J186))</f>
        <v>Gerencia de Operaciones</v>
      </c>
      <c r="F186" s="96">
        <f>IF($J186="","",INDEX('Detalle individual'!$H:$H,$J186))</f>
        <v>46304.692928240744</v>
      </c>
      <c r="G186" s="102">
        <f>IF($J186="","",INDEX('Detalle individual'!$J:$J,$J186))</f>
        <v>100</v>
      </c>
      <c r="H186" s="102">
        <f>IF($J186="","",INDEX('Detalle individual'!$L:$L,$J186))</f>
        <v>1</v>
      </c>
      <c r="J186">
        <f>IFERROR(MATCH(SMALL('Cálculos'!$AI$5:$AI$1000,182),'Cálculos'!$AI$5:$AI$1000,0)+4,"")</f>
        <v>78</v>
      </c>
    </row>
    <row r="187">
      <c r="A187" s="5" t="str">
        <f>IF($J187="","",INDEX('Detalle individual'!$B:$B,$J187))</f>
        <v>ANA GRISELDA SIGÜENZA MARTINEZ</v>
      </c>
      <c r="B187" s="5" t="str">
        <f>IF($J187="","",INDEX('Detalle individual'!$A:$A,$J187))</f>
        <v>528</v>
      </c>
      <c r="C187" s="5" t="str">
        <f>IF($J187="","",INDEX('Detalle individual'!$E:$E,$J187))</f>
        <v>AUXILIAR DE DEPARTAMENTO DE SOLUCIONES FINANCIERAS</v>
      </c>
      <c r="D187" s="5" t="str">
        <f>IF($J187="","",INDEX('Detalle individual'!$C:$C,$J187))</f>
        <v>DEPARTAMENTO DE SOLUCIONES FINANCIERAS</v>
      </c>
      <c r="E187" s="5" t="str">
        <f>IF($J187="","",INDEX('Detalle individual'!$D:$D,$J187))</f>
        <v>Gerencia de Operaciones</v>
      </c>
      <c r="F187" s="96">
        <f>IF($J187="","",INDEX('Detalle individual'!$H:$H,$J187))</f>
        <v>46305.54105324074</v>
      </c>
      <c r="G187" s="102">
        <f>IF($J187="","",INDEX('Detalle individual'!$J:$J,$J187))</f>
        <v>100</v>
      </c>
      <c r="H187" s="102">
        <f>IF($J187="","",INDEX('Detalle individual'!$L:$L,$J187))</f>
        <v>1</v>
      </c>
      <c r="J187">
        <f>IFERROR(MATCH(SMALL('Cálculos'!$AI$5:$AI$1000,183),'Cálculos'!$AI$5:$AI$1000,0)+4,"")</f>
        <v>66</v>
      </c>
    </row>
    <row r="188">
      <c r="A188" s="5" t="str">
        <f>IF($J188="","",INDEX('Detalle individual'!$B:$B,$J188))</f>
        <v>ANA SILVIA MARTINEZ RODRIGUEZ</v>
      </c>
      <c r="B188" s="5" t="str">
        <f>IF($J188="","",INDEX('Detalle individual'!$A:$A,$J188))</f>
        <v>289</v>
      </c>
      <c r="C188" s="5" t="str">
        <f>IF($J188="","",INDEX('Detalle individual'!$E:$E,$J188))</f>
        <v>EJECUTIVO DE SOLUCIONES FINANCIERAS</v>
      </c>
      <c r="D188" s="5" t="str">
        <f>IF($J188="","",INDEX('Detalle individual'!$C:$C,$J188))</f>
        <v>DEPARTAMENTO DE SOLUCIONES FINANCIERAS</v>
      </c>
      <c r="E188" s="5" t="str">
        <f>IF($J188="","",INDEX('Detalle individual'!$D:$D,$J188))</f>
        <v>Gerencia de Operaciones</v>
      </c>
      <c r="F188" s="96">
        <f>IF($J188="","",INDEX('Detalle individual'!$H:$H,$J188))</f>
        <v>46305.41322916667</v>
      </c>
      <c r="G188" s="102">
        <f>IF($J188="","",INDEX('Detalle individual'!$J:$J,$J188))</f>
        <v>100</v>
      </c>
      <c r="H188" s="102">
        <f>IF($J188="","",INDEX('Detalle individual'!$L:$L,$J188))</f>
        <v>1</v>
      </c>
      <c r="J188">
        <f>IFERROR(MATCH(SMALL('Cálculos'!$AI$5:$AI$1000,184),'Cálculos'!$AI$5:$AI$1000,0)+4,"")</f>
        <v>62</v>
      </c>
    </row>
    <row r="189">
      <c r="A189" s="5" t="str">
        <f>IF($J189="","",INDEX('Detalle individual'!$B:$B,$J189))</f>
        <v>CARLOS ROBERTO AGUILAR SANTOS</v>
      </c>
      <c r="B189" s="5" t="str">
        <f>IF($J189="","",INDEX('Detalle individual'!$A:$A,$J189))</f>
        <v>472</v>
      </c>
      <c r="C189" s="5" t="str">
        <f>IF($J189="","",INDEX('Detalle individual'!$E:$E,$J189))</f>
        <v>JEFE DE SOLUCIONES FINANCIERAS</v>
      </c>
      <c r="D189" s="5" t="str">
        <f>IF($J189="","",INDEX('Detalle individual'!$C:$C,$J189))</f>
        <v>DEPARTAMENTO DE SOLUCIONES FINANCIERAS</v>
      </c>
      <c r="E189" s="5" t="str">
        <f>IF($J189="","",INDEX('Detalle individual'!$D:$D,$J189))</f>
        <v>Gerencia de Operaciones</v>
      </c>
      <c r="F189" s="96">
        <f>IF($J189="","",INDEX('Detalle individual'!$H:$H,$J189))</f>
        <v>46304.37534722222</v>
      </c>
      <c r="G189" s="102">
        <f>IF($J189="","",INDEX('Detalle individual'!$J:$J,$J189))</f>
        <v>100</v>
      </c>
      <c r="H189" s="102">
        <f>IF($J189="","",INDEX('Detalle individual'!$L:$L,$J189))</f>
        <v>1</v>
      </c>
      <c r="J189">
        <f>IFERROR(MATCH(SMALL('Cálculos'!$AI$5:$AI$1000,185),'Cálculos'!$AI$5:$AI$1000,0)+4,"")</f>
        <v>65</v>
      </c>
    </row>
    <row r="190">
      <c r="A190" s="5" t="str">
        <f>IF($J190="","",INDEX('Detalle individual'!$B:$B,$J190))</f>
        <v>ILIANA DESIREE ALFARO</v>
      </c>
      <c r="B190" s="5" t="str">
        <f>IF($J190="","",INDEX('Detalle individual'!$A:$A,$J190))</f>
        <v>439</v>
      </c>
      <c r="C190" s="5" t="str">
        <f>IF($J190="","",INDEX('Detalle individual'!$E:$E,$J190))</f>
        <v>EJECUTIVO DE SOLUCIONES FINANCIERAS</v>
      </c>
      <c r="D190" s="5" t="str">
        <f>IF($J190="","",INDEX('Detalle individual'!$C:$C,$J190))</f>
        <v>DEPARTAMENTO DE SOLUCIONES FINANCIERAS</v>
      </c>
      <c r="E190" s="5" t="str">
        <f>IF($J190="","",INDEX('Detalle individual'!$D:$D,$J190))</f>
        <v>Gerencia de Operaciones</v>
      </c>
      <c r="F190" s="96">
        <f>IF($J190="","",INDEX('Detalle individual'!$H:$H,$J190))</f>
        <v>46304.38547453703</v>
      </c>
      <c r="G190" s="102">
        <f>IF($J190="","",INDEX('Detalle individual'!$J:$J,$J190))</f>
        <v>80</v>
      </c>
      <c r="H190" s="102">
        <f>IF($J190="","",INDEX('Detalle individual'!$L:$L,$J190))</f>
        <v>1</v>
      </c>
      <c r="J190">
        <f>IFERROR(MATCH(SMALL('Cálculos'!$AI$5:$AI$1000,186),'Cálculos'!$AI$5:$AI$1000,0)+4,"")</f>
        <v>64</v>
      </c>
    </row>
    <row r="191">
      <c r="A191" s="5" t="str">
        <f>IF($J191="","",INDEX('Detalle individual'!$B:$B,$J191))</f>
        <v>JUAN PABLO HENRIQUEZ RAMIREZ</v>
      </c>
      <c r="B191" s="5" t="str">
        <f>IF($J191="","",INDEX('Detalle individual'!$A:$A,$J191))</f>
        <v>573</v>
      </c>
      <c r="C191" s="5" t="str">
        <f>IF($J191="","",INDEX('Detalle individual'!$E:$E,$J191))</f>
        <v>EJECUTIVO DE SOLUCIONES FINANCIERAS</v>
      </c>
      <c r="D191" s="5" t="str">
        <f>IF($J191="","",INDEX('Detalle individual'!$C:$C,$J191))</f>
        <v>DEPARTAMENTO DE SOLUCIONES FINANCIERAS</v>
      </c>
      <c r="E191" s="5" t="str">
        <f>IF($J191="","",INDEX('Detalle individual'!$D:$D,$J191))</f>
        <v>Gerencia de Operaciones</v>
      </c>
      <c r="F191" s="96">
        <f>IF($J191="","",INDEX('Detalle individual'!$H:$H,$J191))</f>
        <v>46309.38841435185</v>
      </c>
      <c r="G191" s="102">
        <f>IF($J191="","",INDEX('Detalle individual'!$J:$J,$J191))</f>
        <v>90</v>
      </c>
      <c r="H191" s="102">
        <f>IF($J191="","",INDEX('Detalle individual'!$L:$L,$J191))</f>
        <v>1</v>
      </c>
      <c r="J191">
        <f>IFERROR(MATCH(SMALL('Cálculos'!$AI$5:$AI$1000,187),'Cálculos'!$AI$5:$AI$1000,0)+4,"")</f>
        <v>67</v>
      </c>
    </row>
    <row r="192">
      <c r="A192" s="5" t="str">
        <f>IF($J192="","",INDEX('Detalle individual'!$B:$B,$J192))</f>
        <v>ROSA ELIZABETH RIVAS AGUILUZ</v>
      </c>
      <c r="B192" s="5" t="str">
        <f>IF($J192="","",INDEX('Detalle individual'!$A:$A,$J192))</f>
        <v>182</v>
      </c>
      <c r="C192" s="5" t="str">
        <f>IF($J192="","",INDEX('Detalle individual'!$E:$E,$J192))</f>
        <v>EJECUTIVO DE SOLUCIONES FINANCIERAS</v>
      </c>
      <c r="D192" s="5" t="str">
        <f>IF($J192="","",INDEX('Detalle individual'!$C:$C,$J192))</f>
        <v>DEPARTAMENTO DE SOLUCIONES FINANCIERAS</v>
      </c>
      <c r="E192" s="5" t="str">
        <f>IF($J192="","",INDEX('Detalle individual'!$D:$D,$J192))</f>
        <v>Gerencia de Operaciones</v>
      </c>
      <c r="F192" s="96">
        <f>IF($J192="","",INDEX('Detalle individual'!$H:$H,$J192))</f>
        <v>46307.56962962963</v>
      </c>
      <c r="G192" s="102">
        <f>IF($J192="","",INDEX('Detalle individual'!$J:$J,$J192))</f>
        <v>70</v>
      </c>
      <c r="H192" s="102">
        <f>IF($J192="","",INDEX('Detalle individual'!$L:$L,$J192))</f>
        <v>1</v>
      </c>
      <c r="J192">
        <f>IFERROR(MATCH(SMALL('Cálculos'!$AI$5:$AI$1000,188),'Cálculos'!$AI$5:$AI$1000,0)+4,"")</f>
        <v>60</v>
      </c>
    </row>
    <row r="193">
      <c r="A193" s="5" t="str">
        <f>IF($J193="","",INDEX('Detalle individual'!$B:$B,$J193))</f>
        <v>SANDRA GUADALUPE ROQUE SANCHEZ</v>
      </c>
      <c r="B193" s="5" t="str">
        <f>IF($J193="","",INDEX('Detalle individual'!$A:$A,$J193))</f>
        <v>298</v>
      </c>
      <c r="C193" s="5" t="str">
        <f>IF($J193="","",INDEX('Detalle individual'!$E:$E,$J193))</f>
        <v>EJECUTIVO DE SOLUCIONES FINANCIERAS</v>
      </c>
      <c r="D193" s="5" t="str">
        <f>IF($J193="","",INDEX('Detalle individual'!$C:$C,$J193))</f>
        <v>DEPARTAMENTO DE SOLUCIONES FINANCIERAS</v>
      </c>
      <c r="E193" s="5" t="str">
        <f>IF($J193="","",INDEX('Detalle individual'!$D:$D,$J193))</f>
        <v>Gerencia de Operaciones</v>
      </c>
      <c r="F193" s="96">
        <f>IF($J193="","",INDEX('Detalle individual'!$H:$H,$J193))</f>
        <v>46307.58479166667</v>
      </c>
      <c r="G193" s="102">
        <f>IF($J193="","",INDEX('Detalle individual'!$J:$J,$J193))</f>
        <v>80</v>
      </c>
      <c r="H193" s="102">
        <f>IF($J193="","",INDEX('Detalle individual'!$L:$L,$J193))</f>
        <v>1</v>
      </c>
      <c r="J193">
        <f>IFERROR(MATCH(SMALL('Cálculos'!$AI$5:$AI$1000,189),'Cálculos'!$AI$5:$AI$1000,0)+4,"")</f>
        <v>63</v>
      </c>
    </row>
    <row r="194">
      <c r="A194" s="5" t="str">
        <f>IF($J194="","",INDEX('Detalle individual'!$B:$B,$J194))</f>
        <v>XOCHILT VERONICA NOUBLEAU</v>
      </c>
      <c r="B194" s="5" t="str">
        <f>IF($J194="","",INDEX('Detalle individual'!$A:$A,$J194))</f>
        <v>263</v>
      </c>
      <c r="C194" s="5" t="str">
        <f>IF($J194="","",INDEX('Detalle individual'!$E:$E,$J194))</f>
        <v>EJECUTIVO DE SOLUCIONES FINANCIERAS</v>
      </c>
      <c r="D194" s="5" t="str">
        <f>IF($J194="","",INDEX('Detalle individual'!$C:$C,$J194))</f>
        <v>DEPARTAMENTO DE SOLUCIONES FINANCIERAS</v>
      </c>
      <c r="E194" s="5" t="str">
        <f>IF($J194="","",INDEX('Detalle individual'!$D:$D,$J194))</f>
        <v>Gerencia de Operaciones</v>
      </c>
      <c r="F194" s="96">
        <f>IF($J194="","",INDEX('Detalle individual'!$H:$H,$J194))</f>
        <v>46307.60011574074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61</v>
      </c>
    </row>
    <row r="195">
      <c r="A195" s="5" t="str">
        <f>IF($J195="","",INDEX('Detalle individual'!$B:$B,$J195))</f>
        <v>YENIS MARILU ESCOBAR SORTO</v>
      </c>
      <c r="B195" s="5" t="str">
        <f>IF($J195="","",INDEX('Detalle individual'!$A:$A,$J195))</f>
        <v>34</v>
      </c>
      <c r="C195" s="5" t="str">
        <f>IF($J195="","",INDEX('Detalle individual'!$E:$E,$J195))</f>
        <v>EJECUTIVO DE SOLUCIONES FINANCIERAS</v>
      </c>
      <c r="D195" s="5" t="str">
        <f>IF($J195="","",INDEX('Detalle individual'!$C:$C,$J195))</f>
        <v>DEPARTAMENTO DE SOLUCIONES FINANCIERAS</v>
      </c>
      <c r="E195" s="5" t="str">
        <f>IF($J195="","",INDEX('Detalle individual'!$D:$D,$J195))</f>
        <v>Gerencia de Operaciones</v>
      </c>
      <c r="F195" s="96">
        <f>IF($J195="","",INDEX('Detalle individual'!$H:$H,$J195))</f>
        <v>46309.354155092595</v>
      </c>
      <c r="G195" s="102">
        <f>IF($J195="","",INDEX('Detalle individual'!$J:$J,$J195))</f>
        <v>70</v>
      </c>
      <c r="H195" s="102">
        <f>IF($J195="","",INDEX('Detalle individual'!$L:$L,$J195))</f>
        <v>1</v>
      </c>
      <c r="J195">
        <f>IFERROR(MATCH(SMALL('Cálculos'!$AI$5:$AI$1000,191),'Cálculos'!$AI$5:$AI$1000,0)+4,"")</f>
        <v>59</v>
      </c>
    </row>
    <row r="196">
      <c r="A196" s="5" t="str">
        <f>IF($J196="","",INDEX('Detalle individual'!$B:$B,$J196))</f>
        <v>ANA BEATRIZ QUINTEROS AVELAR</v>
      </c>
      <c r="B196" s="5" t="str">
        <f>IF($J196="","",INDEX('Detalle individual'!$A:$A,$J196))</f>
        <v>725</v>
      </c>
      <c r="C196" s="5" t="str">
        <f>IF($J196="","",INDEX('Detalle individual'!$E:$E,$J196))</f>
        <v>ASISTENTE TECNICO DE OPERACIONES DE TARJETAS</v>
      </c>
      <c r="D196" s="5" t="str">
        <f>IF($J196="","",INDEX('Detalle individual'!$C:$C,$J196))</f>
        <v>DEPARTAMENTO DE TARJETA DE CREDITO Y DEBITO</v>
      </c>
      <c r="E196" s="5" t="str">
        <f>IF($J196="","",INDEX('Detalle individual'!$D:$D,$J196))</f>
        <v>Gerencia de Operaciones</v>
      </c>
      <c r="F196" s="96">
        <f>IF($J196="","",INDEX('Detalle individual'!$H:$H,$J196))</f>
        <v>46309.65164351852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72</v>
      </c>
    </row>
    <row r="197">
      <c r="A197" s="5" t="str">
        <f>IF($J197="","",INDEX('Detalle individual'!$B:$B,$J197))</f>
        <v>ANDREA CAROLINA RUMUALDO MARTINEZ</v>
      </c>
      <c r="B197" s="5" t="str">
        <f>IF($J197="","",INDEX('Detalle individual'!$A:$A,$J197))</f>
        <v>952</v>
      </c>
      <c r="C197" s="5" t="str">
        <f>IF($J197="","",INDEX('Detalle individual'!$E:$E,$J197))</f>
        <v>AUXILIAR DE CONTROL DE CALIDAD</v>
      </c>
      <c r="D197" s="5" t="str">
        <f>IF($J197="","",INDEX('Detalle individual'!$C:$C,$J197))</f>
        <v>DEPARTAMENTO DE TARJETA DE CREDITO Y DEBITO</v>
      </c>
      <c r="E197" s="5" t="str">
        <f>IF($J197="","",INDEX('Detalle individual'!$D:$D,$J197))</f>
        <v>Gerencia de Operaciones</v>
      </c>
      <c r="F197" s="96">
        <f>IF($J197="","",INDEX('Detalle individual'!$H:$H,$J197))</f>
        <v>46296.65724537037</v>
      </c>
      <c r="G197" s="102">
        <f>IF($J197="","",INDEX('Detalle individual'!$J:$J,$J197))</f>
        <v>100</v>
      </c>
      <c r="H197" s="102">
        <f>IF($J197="","",INDEX('Detalle individual'!$L:$L,$J197))</f>
        <v>1</v>
      </c>
      <c r="J197">
        <f>IFERROR(MATCH(SMALL('Cálculos'!$AI$5:$AI$1000,193),'Cálculos'!$AI$5:$AI$1000,0)+4,"")</f>
        <v>73</v>
      </c>
    </row>
    <row r="198">
      <c r="A198" s="5" t="str">
        <f>IF($J198="","",INDEX('Detalle individual'!$B:$B,$J198))</f>
        <v>FATIMA ELIZABETH LEMUS RODRIGUEZ</v>
      </c>
      <c r="B198" s="5" t="str">
        <f>IF($J198="","",INDEX('Detalle individual'!$A:$A,$J198))</f>
        <v>980</v>
      </c>
      <c r="C198" s="5" t="str">
        <f>IF($J198="","",INDEX('Detalle individual'!$E:$E,$J198))</f>
        <v>AUXILIAR DE EMISION DE TARJETA</v>
      </c>
      <c r="D198" s="5" t="str">
        <f>IF($J198="","",INDEX('Detalle individual'!$C:$C,$J198))</f>
        <v>DEPARTAMENTO DE TARJETA DE CREDITO Y DEBITO</v>
      </c>
      <c r="E198" s="5" t="str">
        <f>IF($J198="","",INDEX('Detalle individual'!$D:$D,$J198))</f>
        <v>Gerencia de Operaciones</v>
      </c>
      <c r="F198" s="96">
        <f>IF($J198="","",INDEX('Detalle individual'!$H:$H,$J198))</f>
        <v>46296.71346064815</v>
      </c>
      <c r="G198" s="102">
        <f>IF($J198="","",INDEX('Detalle individual'!$J:$J,$J198))</f>
        <v>100</v>
      </c>
      <c r="H198" s="102">
        <f>IF($J198="","",INDEX('Detalle individual'!$L:$L,$J198))</f>
        <v>1</v>
      </c>
      <c r="J198">
        <f>IFERROR(MATCH(SMALL('Cálculos'!$AI$5:$AI$1000,194),'Cálculos'!$AI$5:$AI$1000,0)+4,"")</f>
        <v>74</v>
      </c>
    </row>
    <row r="199">
      <c r="A199" s="5" t="str">
        <f>IF($J199="","",INDEX('Detalle individual'!$B:$B,$J199))</f>
        <v>LUIS ALEXANDER RAMIREZ MONTALVO</v>
      </c>
      <c r="B199" s="5" t="str">
        <f>IF($J199="","",INDEX('Detalle individual'!$A:$A,$J199))</f>
        <v>459</v>
      </c>
      <c r="C199" s="5" t="str">
        <f>IF($J199="","",INDEX('Detalle individual'!$E:$E,$J199))</f>
        <v>ASISTENTE TECNICO DE EMISION DE TARJETA</v>
      </c>
      <c r="D199" s="5" t="str">
        <f>IF($J199="","",INDEX('Detalle individual'!$C:$C,$J199))</f>
        <v>DEPARTAMENTO DE TARJETA DE CREDITO Y DEBITO</v>
      </c>
      <c r="E199" s="5" t="str">
        <f>IF($J199="","",INDEX('Detalle individual'!$D:$D,$J199))</f>
        <v>Gerencia de Operaciones</v>
      </c>
      <c r="F199" s="96">
        <f>IF($J199="","",INDEX('Detalle individual'!$H:$H,$J199))</f>
        <v>46304.57939814815</v>
      </c>
      <c r="G199" s="102">
        <f>IF($J199="","",INDEX('Detalle individual'!$J:$J,$J199))</f>
        <v>95</v>
      </c>
      <c r="H199" s="102">
        <f>IF($J199="","",INDEX('Detalle individual'!$L:$L,$J199))</f>
        <v>1</v>
      </c>
      <c r="J199">
        <f>IFERROR(MATCH(SMALL('Cálculos'!$AI$5:$AI$1000,195),'Cálculos'!$AI$5:$AI$1000,0)+4,"")</f>
        <v>71</v>
      </c>
    </row>
    <row r="200">
      <c r="A200" s="5" t="str">
        <f>IF($J200="","",INDEX('Detalle individual'!$B:$B,$J200))</f>
        <v>PEDRO ERNESTO MORÁN RAMÍREZ</v>
      </c>
      <c r="B200" s="5" t="str">
        <f>IF($J200="","",INDEX('Detalle individual'!$A:$A,$J200))</f>
        <v>409</v>
      </c>
      <c r="C200" s="5" t="str">
        <f>IF($J200="","",INDEX('Detalle individual'!$E:$E,$J200))</f>
        <v>ADMINISTRADOR DE BASE DE DATOS</v>
      </c>
      <c r="D200" s="5" t="str">
        <f>IF($J200="","",INDEX('Detalle individual'!$C:$C,$J200))</f>
        <v>ADMINISTRACION DE BASE DE DATOS</v>
      </c>
      <c r="E200" s="5" t="str">
        <f>IF($J200="","",INDEX('Detalle individual'!$D:$D,$J200))</f>
        <v>Gerencia de Sistemas</v>
      </c>
      <c r="F200" s="96">
        <f>IF($J200="","",INDEX('Detalle individual'!$H:$H,$J200))</f>
        <v>46300.696018518516</v>
      </c>
      <c r="G200" s="102">
        <f>IF($J200="","",INDEX('Detalle individual'!$J:$J,$J200))</f>
        <v>95</v>
      </c>
      <c r="H200" s="102">
        <f>IF($J200="","",INDEX('Detalle individual'!$L:$L,$J200))</f>
        <v>1</v>
      </c>
      <c r="J200">
        <f>IFERROR(MATCH(SMALL('Cálculos'!$AI$5:$AI$1000,196),'Cálculos'!$AI$5:$AI$1000,0)+4,"")</f>
        <v>122</v>
      </c>
    </row>
    <row r="201">
      <c r="A201" s="5" t="str">
        <f>IF($J201="","",INDEX('Detalle individual'!$B:$B,$J201))</f>
        <v>BYRON WILFREDO MENJIVAR MELENDEZ</v>
      </c>
      <c r="B201" s="5" t="str">
        <f>IF($J201="","",INDEX('Detalle individual'!$A:$A,$J201))</f>
        <v>806</v>
      </c>
      <c r="C201" s="5" t="str">
        <f>IF($J201="","",INDEX('Detalle individual'!$E:$E,$J201))</f>
        <v>ANALISTA PROGRAMADOR</v>
      </c>
      <c r="D201" s="5" t="str">
        <f>IF($J201="","",INDEX('Detalle individual'!$C:$C,$J201))</f>
        <v>DEPARTAMENTO DE ANALISIS Y PROGRAMACIÓN</v>
      </c>
      <c r="E201" s="5" t="str">
        <f>IF($J201="","",INDEX('Detalle individual'!$D:$D,$J201))</f>
        <v>Gerencia de Sistemas</v>
      </c>
      <c r="F201" s="96">
        <f>IF($J201="","",INDEX('Detalle individual'!$H:$H,$J201))</f>
        <v>46304.384618055556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118</v>
      </c>
    </row>
    <row r="202">
      <c r="A202" s="5" t="str">
        <f>IF($J202="","",INDEX('Detalle individual'!$B:$B,$J202))</f>
        <v>CARLOS FRANCISCO HERNANDEZ MUÑOZ</v>
      </c>
      <c r="B202" s="5" t="str">
        <f>IF($J202="","",INDEX('Detalle individual'!$A:$A,$J202))</f>
        <v>680</v>
      </c>
      <c r="C202" s="5" t="str">
        <f>IF($J202="","",INDEX('Detalle individual'!$E:$E,$J202))</f>
        <v>ANALISTA QA</v>
      </c>
      <c r="D202" s="5" t="str">
        <f>IF($J202="","",INDEX('Detalle individual'!$C:$C,$J202))</f>
        <v>DEPARTAMENTO DE ANALISIS Y PROGRAMACIÓN</v>
      </c>
      <c r="E202" s="5" t="str">
        <f>IF($J202="","",INDEX('Detalle individual'!$D:$D,$J202))</f>
        <v>Gerencia de Sistemas</v>
      </c>
      <c r="F202" s="96">
        <f>IF($J202="","",INDEX('Detalle individual'!$H:$H,$J202))</f>
        <v>46300.39171296296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115</v>
      </c>
    </row>
    <row r="203">
      <c r="A203" s="5" t="str">
        <f>IF($J203="","",INDEX('Detalle individual'!$B:$B,$J203))</f>
        <v>CELINA MARGARITA GUTIERREZ RODRIGUEZ</v>
      </c>
      <c r="B203" s="5" t="str">
        <f>IF($J203="","",INDEX('Detalle individual'!$A:$A,$J203))</f>
        <v>239</v>
      </c>
      <c r="C203" s="5" t="str">
        <f>IF($J203="","",INDEX('Detalle individual'!$E:$E,$J203))</f>
        <v>ANALISTA PROGRAMADOR SENIOR</v>
      </c>
      <c r="D203" s="5" t="str">
        <f>IF($J203="","",INDEX('Detalle individual'!$C:$C,$J203))</f>
        <v>DEPARTAMENTO DE ANALISIS Y PROGRAMACIÓN</v>
      </c>
      <c r="E203" s="5" t="str">
        <f>IF($J203="","",INDEX('Detalle individual'!$D:$D,$J203))</f>
        <v>Gerencia de Sistemas</v>
      </c>
      <c r="F203" s="96">
        <f>IF($J203="","",INDEX('Detalle individual'!$H:$H,$J203))</f>
        <v>46296.65938657407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111</v>
      </c>
    </row>
    <row r="204">
      <c r="A204" s="5" t="str">
        <f>IF($J204="","",INDEX('Detalle individual'!$B:$B,$J204))</f>
        <v>CLAUDIA MARGARITA CAMPOS GONZÁLEZ</v>
      </c>
      <c r="B204" s="5" t="str">
        <f>IF($J204="","",INDEX('Detalle individual'!$A:$A,$J204))</f>
        <v>410</v>
      </c>
      <c r="C204" s="5" t="str">
        <f>IF($J204="","",INDEX('Detalle individual'!$E:$E,$J204))</f>
        <v>JEFE DE ANALISIS Y PROGRAMACION</v>
      </c>
      <c r="D204" s="5" t="str">
        <f>IF($J204="","",INDEX('Detalle individual'!$C:$C,$J204))</f>
        <v>DEPARTAMENTO DE ANALISIS Y PROGRAMACIÓN</v>
      </c>
      <c r="E204" s="5" t="str">
        <f>IF($J204="","",INDEX('Detalle individual'!$D:$D,$J204))</f>
        <v>Gerencia de Sistemas</v>
      </c>
      <c r="F204" s="96">
        <f>IF($J204="","",INDEX('Detalle individual'!$H:$H,$J204))</f>
        <v>46307.69321759259</v>
      </c>
      <c r="G204" s="102">
        <f>IF($J204="","",INDEX('Detalle individual'!$J:$J,$J204))</f>
        <v>100</v>
      </c>
      <c r="H204" s="102">
        <f>IF($J204="","",INDEX('Detalle individual'!$L:$L,$J204))</f>
        <v>1</v>
      </c>
      <c r="J204">
        <f>IFERROR(MATCH(SMALL('Cálculos'!$AI$5:$AI$1000,200),'Cálculos'!$AI$5:$AI$1000,0)+4,"")</f>
        <v>113</v>
      </c>
    </row>
    <row r="205">
      <c r="A205" s="5" t="str">
        <f>IF($J205="","",INDEX('Detalle individual'!$B:$B,$J205))</f>
        <v>GLADIS EVELIN CASTILLO TORRES</v>
      </c>
      <c r="B205" s="5" t="str">
        <f>IF($J205="","",INDEX('Detalle individual'!$A:$A,$J205))</f>
        <v>474</v>
      </c>
      <c r="C205" s="5" t="str">
        <f>IF($J205="","",INDEX('Detalle individual'!$E:$E,$J205))</f>
        <v>ANALISTA PROGRAMADOR SENIOR</v>
      </c>
      <c r="D205" s="5" t="str">
        <f>IF($J205="","",INDEX('Detalle individual'!$C:$C,$J205))</f>
        <v>DEPARTAMENTO DE ANALISIS Y PROGRAMACIÓN</v>
      </c>
      <c r="E205" s="5" t="str">
        <f>IF($J205="","",INDEX('Detalle individual'!$D:$D,$J205))</f>
        <v>Gerencia de Sistemas</v>
      </c>
      <c r="F205" s="96">
        <f>IF($J205="","",INDEX('Detalle individual'!$H:$H,$J205))</f>
        <v>46297.48825231481</v>
      </c>
      <c r="G205" s="102">
        <f>IF($J205="","",INDEX('Detalle individual'!$J:$J,$J205))</f>
        <v>100</v>
      </c>
      <c r="H205" s="102">
        <f>IF($J205="","",INDEX('Detalle individual'!$L:$L,$J205))</f>
        <v>1</v>
      </c>
      <c r="J205">
        <f>IFERROR(MATCH(SMALL('Cálculos'!$AI$5:$AI$1000,201),'Cálculos'!$AI$5:$AI$1000,0)+4,"")</f>
        <v>114</v>
      </c>
    </row>
    <row r="206">
      <c r="A206" s="5" t="str">
        <f>IF($J206="","",INDEX('Detalle individual'!$B:$B,$J206))</f>
        <v>HILDA MARGARITA ABREGO BRAN</v>
      </c>
      <c r="B206" s="5" t="str">
        <f>IF($J206="","",INDEX('Detalle individual'!$A:$A,$J206))</f>
        <v>320</v>
      </c>
      <c r="C206" s="5" t="str">
        <f>IF($J206="","",INDEX('Detalle individual'!$E:$E,$J206))</f>
        <v>ANALISTA QA</v>
      </c>
      <c r="D206" s="5" t="str">
        <f>IF($J206="","",INDEX('Detalle individual'!$C:$C,$J206))</f>
        <v>DEPARTAMENTO DE ANALISIS Y PROGRAMACIÓN</v>
      </c>
      <c r="E206" s="5" t="str">
        <f>IF($J206="","",INDEX('Detalle individual'!$D:$D,$J206))</f>
        <v>Gerencia de Sistemas</v>
      </c>
      <c r="F206" s="96">
        <f>IF($J206="","",INDEX('Detalle individual'!$H:$H,$J206))</f>
        <v>46296.59023148148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112</v>
      </c>
    </row>
    <row r="207">
      <c r="A207" s="5" t="str">
        <f>IF($J207="","",INDEX('Detalle individual'!$B:$B,$J207))</f>
        <v>JEAN HARRY MIRANDA ARAUJO</v>
      </c>
      <c r="B207" s="5" t="str">
        <f>IF($J207="","",INDEX('Detalle individual'!$A:$A,$J207))</f>
        <v>752</v>
      </c>
      <c r="C207" s="5" t="str">
        <f>IF($J207="","",INDEX('Detalle individual'!$E:$E,$J207))</f>
        <v>ANALISTA PROGRAMADOR</v>
      </c>
      <c r="D207" s="5" t="str">
        <f>IF($J207="","",INDEX('Detalle individual'!$C:$C,$J207))</f>
        <v>DEPARTAMENTO DE ANALISIS Y PROGRAMACIÓN</v>
      </c>
      <c r="E207" s="5" t="str">
        <f>IF($J207="","",INDEX('Detalle individual'!$D:$D,$J207))</f>
        <v>Gerencia de Sistemas</v>
      </c>
      <c r="F207" s="96">
        <f>IF($J207="","",INDEX('Detalle individual'!$H:$H,$J207))</f>
        <v>46307.43311342593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116</v>
      </c>
    </row>
    <row r="208">
      <c r="A208" s="5" t="str">
        <f>IF($J208="","",INDEX('Detalle individual'!$B:$B,$J208))</f>
        <v>JONATHAN ALEXIS BERRIOS MENJIVAR</v>
      </c>
      <c r="B208" s="5" t="str">
        <f>IF($J208="","",INDEX('Detalle individual'!$A:$A,$J208))</f>
        <v>783</v>
      </c>
      <c r="C208" s="5" t="str">
        <f>IF($J208="","",INDEX('Detalle individual'!$E:$E,$J208))</f>
        <v>ANALISTA PROGRAMADOR</v>
      </c>
      <c r="D208" s="5" t="str">
        <f>IF($J208="","",INDEX('Detalle individual'!$C:$C,$J208))</f>
        <v>DEPARTAMENTO DE ANALISIS Y PROGRAMACIÓN</v>
      </c>
      <c r="E208" s="5" t="str">
        <f>IF($J208="","",INDEX('Detalle individual'!$D:$D,$J208))</f>
        <v>Gerencia de Sistemas</v>
      </c>
      <c r="F208" s="96">
        <f>IF($J208="","",INDEX('Detalle individual'!$H:$H,$J208))</f>
        <v>46304.40027777778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117</v>
      </c>
    </row>
    <row r="209">
      <c r="A209" s="5" t="str">
        <f>IF($J209="","",INDEX('Detalle individual'!$B:$B,$J209))</f>
        <v>MILAGRO NATIVIDAD ESCOBAR MELENDEZ</v>
      </c>
      <c r="B209" s="5" t="str">
        <f>IF($J209="","",INDEX('Detalle individual'!$A:$A,$J209))</f>
        <v>879</v>
      </c>
      <c r="C209" s="5" t="str">
        <f>IF($J209="","",INDEX('Detalle individual'!$E:$E,$J209))</f>
        <v>ANALISTA PROGRAMADOR</v>
      </c>
      <c r="D209" s="5" t="str">
        <f>IF($J209="","",INDEX('Detalle individual'!$C:$C,$J209))</f>
        <v>DEPARTAMENTO DE ANALISIS Y PROGRAMACIÓN</v>
      </c>
      <c r="E209" s="5" t="str">
        <f>IF($J209="","",INDEX('Detalle individual'!$D:$D,$J209))</f>
        <v>Gerencia de Sistemas</v>
      </c>
      <c r="F209" s="96">
        <f>IF($J209="","",INDEX('Detalle individual'!$H:$H,$J209))</f>
        <v>46304.394837962966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120</v>
      </c>
    </row>
    <row r="210">
      <c r="A210" s="5" t="str">
        <f>IF($J210="","",INDEX('Detalle individual'!$B:$B,$J210))</f>
        <v>RODRIGO FERNANDO FIGUEROA RIVAS</v>
      </c>
      <c r="B210" s="5" t="str">
        <f>IF($J210="","",INDEX('Detalle individual'!$A:$A,$J210))</f>
        <v>824</v>
      </c>
      <c r="C210" s="5" t="str">
        <f>IF($J210="","",INDEX('Detalle individual'!$E:$E,$J210))</f>
        <v>ANALISTA PROGRAMADOR JUNIOR</v>
      </c>
      <c r="D210" s="5" t="str">
        <f>IF($J210="","",INDEX('Detalle individual'!$C:$C,$J210))</f>
        <v>DEPARTAMENTO DE ANALISIS Y PROGRAMACIÓN</v>
      </c>
      <c r="E210" s="5" t="str">
        <f>IF($J210="","",INDEX('Detalle individual'!$D:$D,$J210))</f>
        <v>Gerencia de Sistemas</v>
      </c>
      <c r="F210" s="96">
        <f>IF($J210="","",INDEX('Detalle individual'!$H:$H,$J210))</f>
        <v>46304.38784722222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119</v>
      </c>
    </row>
    <row r="211">
      <c r="A211" s="5" t="str">
        <f>IF($J211="","",INDEX('Detalle individual'!$B:$B,$J211))</f>
        <v>CARLOS ALFONSO MOLINA CARDONA</v>
      </c>
      <c r="B211" s="5" t="str">
        <f>IF($J211="","",INDEX('Detalle individual'!$A:$A,$J211))</f>
        <v>281</v>
      </c>
      <c r="C211" s="5" t="str">
        <f>IF($J211="","",INDEX('Detalle individual'!$E:$E,$J211))</f>
        <v>OPERADOR DE SISTEMAS</v>
      </c>
      <c r="D211" s="5" t="str">
        <f>IF($J211="","",INDEX('Detalle individual'!$C:$C,$J211))</f>
        <v>DEPARTAMENTO DE OPERACIONES Y SOPORTE TECNICO</v>
      </c>
      <c r="E211" s="5" t="str">
        <f>IF($J211="","",INDEX('Detalle individual'!$D:$D,$J211))</f>
        <v>Gerencia de Sistemas</v>
      </c>
      <c r="F211" s="96">
        <f>IF($J211="","",INDEX('Detalle individual'!$H:$H,$J211))</f>
        <v>46300.48065972222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108</v>
      </c>
    </row>
    <row r="212">
      <c r="A212" s="5" t="str">
        <f>IF($J212="","",INDEX('Detalle individual'!$B:$B,$J212))</f>
        <v>CARLOS ORLANDO GARCIA VELASQUEZ</v>
      </c>
      <c r="B212" s="5" t="str">
        <f>IF($J212="","",INDEX('Detalle individual'!$A:$A,$J212))</f>
        <v>221</v>
      </c>
      <c r="C212" s="5" t="str">
        <f>IF($J212="","",INDEX('Detalle individual'!$E:$E,$J212))</f>
        <v>TECNICO EN SOPORTE</v>
      </c>
      <c r="D212" s="5" t="str">
        <f>IF($J212="","",INDEX('Detalle individual'!$C:$C,$J212))</f>
        <v>DEPARTAMENTO DE OPERACIONES Y SOPORTE TECNICO</v>
      </c>
      <c r="E212" s="5" t="str">
        <f>IF($J212="","",INDEX('Detalle individual'!$D:$D,$J212))</f>
        <v>Gerencia de Sistemas</v>
      </c>
      <c r="F212" s="96">
        <f>IF($J212="","",INDEX('Detalle individual'!$H:$H,$J212))</f>
        <v>46300.58950231481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106</v>
      </c>
    </row>
    <row r="213">
      <c r="A213" s="5" t="str">
        <f>IF($J213="","",INDEX('Detalle individual'!$B:$B,$J213))</f>
        <v>EDGAR MARGARITO POZO SHUPAN</v>
      </c>
      <c r="B213" s="5" t="str">
        <f>IF($J213="","",INDEX('Detalle individual'!$A:$A,$J213))</f>
        <v>259</v>
      </c>
      <c r="C213" s="5" t="str">
        <f>IF($J213="","",INDEX('Detalle individual'!$E:$E,$J213))</f>
        <v>TECNICO EN SOPORTE</v>
      </c>
      <c r="D213" s="5" t="str">
        <f>IF($J213="","",INDEX('Detalle individual'!$C:$C,$J213))</f>
        <v>DEPARTAMENTO DE OPERACIONES Y SOPORTE TECNICO</v>
      </c>
      <c r="E213" s="5" t="str">
        <f>IF($J213="","",INDEX('Detalle individual'!$D:$D,$J213))</f>
        <v>Gerencia de Sistemas</v>
      </c>
      <c r="F213" s="96">
        <f>IF($J213="","",INDEX('Detalle individual'!$H:$H,$J213))</f>
        <v>46300.63810185185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107</v>
      </c>
    </row>
    <row r="214">
      <c r="A214" s="5" t="str">
        <f>IF($J214="","",INDEX('Detalle individual'!$B:$B,$J214))</f>
        <v>JORGE ALBERTO BARRERA</v>
      </c>
      <c r="B214" s="5" t="str">
        <f>IF($J214="","",INDEX('Detalle individual'!$A:$A,$J214))</f>
        <v>880</v>
      </c>
      <c r="C214" s="5" t="str">
        <f>IF($J214="","",INDEX('Detalle individual'!$E:$E,$J214))</f>
        <v>JEFE DE OPERACIONES Y SOPORTE TECNICO</v>
      </c>
      <c r="D214" s="5" t="str">
        <f>IF($J214="","",INDEX('Detalle individual'!$C:$C,$J214))</f>
        <v>DEPARTAMENTO DE OPERACIONES Y SOPORTE TECNICO</v>
      </c>
      <c r="E214" s="5" t="str">
        <f>IF($J214="","",INDEX('Detalle individual'!$D:$D,$J214))</f>
        <v>Gerencia de Sistemas</v>
      </c>
      <c r="F214" s="96">
        <f>IF($J214="","",INDEX('Detalle individual'!$H:$H,$J214))</f>
        <v>46300.5841087963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110</v>
      </c>
    </row>
    <row r="215">
      <c r="A215" s="5" t="str">
        <f>IF($J215="","",INDEX('Detalle individual'!$B:$B,$J215))</f>
        <v>JUAN JOSE LOPEZ ALFARO</v>
      </c>
      <c r="B215" s="5" t="str">
        <f>IF($J215="","",INDEX('Detalle individual'!$A:$A,$J215))</f>
        <v>119</v>
      </c>
      <c r="C215" s="5" t="str">
        <f>IF($J215="","",INDEX('Detalle individual'!$E:$E,$J215))</f>
        <v>OPERADOR DE SISTEMAS</v>
      </c>
      <c r="D215" s="5" t="str">
        <f>IF($J215="","",INDEX('Detalle individual'!$C:$C,$J215))</f>
        <v>DEPARTAMENTO DE OPERACIONES Y SOPORTE TECNICO</v>
      </c>
      <c r="E215" s="5" t="str">
        <f>IF($J215="","",INDEX('Detalle individual'!$D:$D,$J215))</f>
        <v>Gerencia de Sistemas</v>
      </c>
      <c r="F215" s="96">
        <f>IF($J215="","",INDEX('Detalle individual'!$H:$H,$J215))</f>
        <v>46302.441828703704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105</v>
      </c>
    </row>
    <row r="216">
      <c r="A216" s="5" t="str">
        <f>IF($J216="","",INDEX('Detalle individual'!$B:$B,$J216))</f>
        <v>JULIO ADOLFO MOLINA ARRIOLA</v>
      </c>
      <c r="B216" s="5" t="str">
        <f>IF($J216="","",INDEX('Detalle individual'!$A:$A,$J216))</f>
        <v>490</v>
      </c>
      <c r="C216" s="5" t="str">
        <f>IF($J216="","",INDEX('Detalle individual'!$E:$E,$J216))</f>
        <v>OPERADOR DE SISTEMAS</v>
      </c>
      <c r="D216" s="5" t="str">
        <f>IF($J216="","",INDEX('Detalle individual'!$C:$C,$J216))</f>
        <v>DEPARTAMENTO DE OPERACIONES Y SOPORTE TECNICO</v>
      </c>
      <c r="E216" s="5" t="str">
        <f>IF($J216="","",INDEX('Detalle individual'!$D:$D,$J216))</f>
        <v>Gerencia de Sistemas</v>
      </c>
      <c r="F216" s="96">
        <f>IF($J216="","",INDEX('Detalle individual'!$H:$H,$J216))</f>
        <v>46301.436527777776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109</v>
      </c>
    </row>
    <row r="217">
      <c r="A217" s="5" t="str">
        <f>IF($J217="","",INDEX('Detalle individual'!$B:$B,$J217))</f>
        <v>FERMIN ABIEL VIERA LINARES</v>
      </c>
      <c r="B217" s="5" t="str">
        <f>IF($J217="","",INDEX('Detalle individual'!$A:$A,$J217))</f>
        <v>804</v>
      </c>
      <c r="C217" s="5" t="str">
        <f>IF($J217="","",INDEX('Detalle individual'!$E:$E,$J217))</f>
        <v>ANALISTA DE CAMBIOS Y SEGURIDAD</v>
      </c>
      <c r="D217" s="5" t="str">
        <f>IF($J217="","",INDEX('Detalle individual'!$C:$C,$J217))</f>
        <v>GERENCIA DE SISTEMAS</v>
      </c>
      <c r="E217" s="5" t="str">
        <f>IF($J217="","",INDEX('Detalle individual'!$D:$D,$J217))</f>
        <v>Gerencia de Sistemas</v>
      </c>
      <c r="F217" s="96">
        <f>IF($J217="","",INDEX('Detalle individual'!$H:$H,$J217))</f>
        <v>46304.407905092594</v>
      </c>
      <c r="G217" s="102">
        <f>IF($J217="","",INDEX('Detalle individual'!$J:$J,$J217))</f>
        <v>100</v>
      </c>
      <c r="H217" s="102">
        <f>IF($J217="","",INDEX('Detalle individual'!$L:$L,$J217))</f>
        <v>1</v>
      </c>
      <c r="J217">
        <f>IFERROR(MATCH(SMALL('Cálculos'!$AI$5:$AI$1000,213),'Cálculos'!$AI$5:$AI$1000,0)+4,"")</f>
        <v>102</v>
      </c>
    </row>
    <row r="218">
      <c r="A218" s="5" t="str">
        <f>IF($J218="","",INDEX('Detalle individual'!$B:$B,$J218))</f>
        <v>FLOR MARISELA TORRES VELASQUEZ</v>
      </c>
      <c r="B218" s="5" t="str">
        <f>IF($J218="","",INDEX('Detalle individual'!$A:$A,$J218))</f>
        <v>393</v>
      </c>
      <c r="C218" s="5" t="str">
        <f>IF($J218="","",INDEX('Detalle individual'!$E:$E,$J218))</f>
        <v>LIDER DE PROYECTOS TECNOLOGICOS</v>
      </c>
      <c r="D218" s="5" t="str">
        <f>IF($J218="","",INDEX('Detalle individual'!$C:$C,$J218))</f>
        <v>GERENCIA DE SISTEMAS</v>
      </c>
      <c r="E218" s="5" t="str">
        <f>IF($J218="","",INDEX('Detalle individual'!$D:$D,$J218))</f>
        <v>Gerencia de Sistemas</v>
      </c>
      <c r="F218" s="96">
        <f>IF($J218="","",INDEX('Detalle individual'!$H:$H,$J218))</f>
        <v>46307.48341435185</v>
      </c>
      <c r="G218" s="102">
        <f>IF($J218="","",INDEX('Detalle individual'!$J:$J,$J218))</f>
        <v>100</v>
      </c>
      <c r="H218" s="102">
        <f>IF($J218="","",INDEX('Detalle individual'!$L:$L,$J218))</f>
        <v>1</v>
      </c>
      <c r="J218">
        <f>IFERROR(MATCH(SMALL('Cálculos'!$AI$5:$AI$1000,214),'Cálculos'!$AI$5:$AI$1000,0)+4,"")</f>
        <v>101</v>
      </c>
    </row>
    <row r="219">
      <c r="A219" s="5" t="str">
        <f>IF($J219="","",INDEX('Detalle individual'!$B:$B,$J219))</f>
        <v>ISMAEL HUMBERTO GUERRERO FLORES</v>
      </c>
      <c r="B219" s="5" t="str">
        <f>IF($J219="","",INDEX('Detalle individual'!$A:$A,$J219))</f>
        <v>883</v>
      </c>
      <c r="C219" s="5" t="str">
        <f>IF($J219="","",INDEX('Detalle individual'!$E:$E,$J219))</f>
        <v>ADMINISTRADOR DE SEGURIDAD INFORMATICA</v>
      </c>
      <c r="D219" s="5" t="str">
        <f>IF($J219="","",INDEX('Detalle individual'!$C:$C,$J219))</f>
        <v>GERENCIA DE SISTEMAS</v>
      </c>
      <c r="E219" s="5" t="str">
        <f>IF($J219="","",INDEX('Detalle individual'!$D:$D,$J219))</f>
        <v>Gerencia de Sistemas</v>
      </c>
      <c r="F219" s="96">
        <f>IF($J219="","",INDEX('Detalle individual'!$H:$H,$J219))</f>
        <v>46300.58474537037</v>
      </c>
      <c r="G219" s="102">
        <f>IF($J219="","",INDEX('Detalle individual'!$J:$J,$J219))</f>
        <v>95</v>
      </c>
      <c r="H219" s="102">
        <f>IF($J219="","",INDEX('Detalle individual'!$L:$L,$J219))</f>
        <v>1</v>
      </c>
      <c r="J219">
        <f>IFERROR(MATCH(SMALL('Cálculos'!$AI$5:$AI$1000,215),'Cálculos'!$AI$5:$AI$1000,0)+4,"")</f>
        <v>103</v>
      </c>
    </row>
    <row r="220">
      <c r="A220" s="5" t="str">
        <f>IF($J220="","",INDEX('Detalle individual'!$B:$B,$J220))</f>
        <v>HENRRY DANIEL ESCAMILLA ZALDAÑA</v>
      </c>
      <c r="B220" s="5" t="str">
        <f>IF($J220="","",INDEX('Detalle individual'!$A:$A,$J220))</f>
        <v>928</v>
      </c>
      <c r="C220" s="5" t="str">
        <f>IF($J220="","",INDEX('Detalle individual'!$E:$E,$J220))</f>
        <v>JEFE DE ADMINISTRACION DE RIESGOS</v>
      </c>
      <c r="D220" s="5" t="str">
        <f>IF($J220="","",INDEX('Detalle individual'!$C:$C,$J220))</f>
        <v>ADMINISTRACION DE RIESGOS</v>
      </c>
      <c r="E220" s="5" t="str">
        <f>IF($J220="","",INDEX('Detalle individual'!$D:$D,$J220))</f>
        <v>Gerencia General</v>
      </c>
      <c r="F220" s="96">
        <f>IF($J220="","",INDEX('Detalle individual'!$H:$H,$J220))</f>
        <v>46305.39865740741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17</v>
      </c>
    </row>
    <row r="221">
      <c r="A221" s="5" t="str">
        <f>IF($J221="","",INDEX('Detalle individual'!$B:$B,$J221))</f>
        <v>MELVIN ENRIQUE PORTILLO VALLE</v>
      </c>
      <c r="B221" s="5" t="str">
        <f>IF($J221="","",INDEX('Detalle individual'!$A:$A,$J221))</f>
        <v>290</v>
      </c>
      <c r="C221" s="5" t="str">
        <f>IF($J221="","",INDEX('Detalle individual'!$E:$E,$J221))</f>
        <v>ANALISTA DE RIESGOS FINANCIEROS</v>
      </c>
      <c r="D221" s="5" t="str">
        <f>IF($J221="","",INDEX('Detalle individual'!$C:$C,$J221))</f>
        <v>ADMINISTRACION DE RIESGOS</v>
      </c>
      <c r="E221" s="5" t="str">
        <f>IF($J221="","",INDEX('Detalle individual'!$D:$D,$J221))</f>
        <v>Gerencia General</v>
      </c>
      <c r="F221" s="96">
        <f>IF($J221="","",INDEX('Detalle individual'!$H:$H,$J221))</f>
        <v>46304.40962962963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14</v>
      </c>
    </row>
    <row r="222">
      <c r="A222" s="5" t="str">
        <f>IF($J222="","",INDEX('Detalle individual'!$B:$B,$J222))</f>
        <v>SARA PATRICIA GONZALEZ JIMENEZ</v>
      </c>
      <c r="B222" s="5" t="str">
        <f>IF($J222="","",INDEX('Detalle individual'!$A:$A,$J222))</f>
        <v>408</v>
      </c>
      <c r="C222" s="5" t="str">
        <f>IF($J222="","",INDEX('Detalle individual'!$E:$E,$J222))</f>
        <v>ASISTENTE TECNICO DE RIESGOS</v>
      </c>
      <c r="D222" s="5" t="str">
        <f>IF($J222="","",INDEX('Detalle individual'!$C:$C,$J222))</f>
        <v>ADMINISTRACION DE RIESGOS</v>
      </c>
      <c r="E222" s="5" t="str">
        <f>IF($J222="","",INDEX('Detalle individual'!$D:$D,$J222))</f>
        <v>Gerencia General</v>
      </c>
      <c r="F222" s="96">
        <f>IF($J222="","",INDEX('Detalle individual'!$H:$H,$J222))</f>
        <v>46296.438796296294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15</v>
      </c>
    </row>
    <row r="223">
      <c r="A223" s="5" t="str">
        <f>IF($J223="","",INDEX('Detalle individual'!$B:$B,$J223))</f>
        <v>SILVIA IVETH MARTINEZ RAMIREZ</v>
      </c>
      <c r="B223" s="5" t="str">
        <f>IF($J223="","",INDEX('Detalle individual'!$A:$A,$J223))</f>
        <v>433</v>
      </c>
      <c r="C223" s="5" t="str">
        <f>IF($J223="","",INDEX('Detalle individual'!$E:$E,$J223))</f>
        <v>ANALISTA DE RIESGO OPERACIONAL</v>
      </c>
      <c r="D223" s="5" t="str">
        <f>IF($J223="","",INDEX('Detalle individual'!$C:$C,$J223))</f>
        <v>ADMINISTRACION DE RIESGOS</v>
      </c>
      <c r="E223" s="5" t="str">
        <f>IF($J223="","",INDEX('Detalle individual'!$D:$D,$J223))</f>
        <v>Gerencia General</v>
      </c>
      <c r="F223" s="96">
        <f>IF($J223="","",INDEX('Detalle individual'!$H:$H,$J223))</f>
        <v>46300.6309837963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16</v>
      </c>
    </row>
    <row r="224">
      <c r="A224" s="5" t="str">
        <f>IF($J224="","",INDEX('Detalle individual'!$B:$B,$J224))</f>
        <v>CLAUDIA CAROLINA HENRIQUEZ VELASCO</v>
      </c>
      <c r="B224" s="5" t="str">
        <f>IF($J224="","",INDEX('Detalle individual'!$A:$A,$J224))</f>
        <v>318</v>
      </c>
      <c r="C224" s="5" t="str">
        <f>IF($J224="","",INDEX('Detalle individual'!$E:$E,$J224))</f>
        <v>JEFE DE PROCESOS</v>
      </c>
      <c r="D224" s="5" t="str">
        <f>IF($J224="","",INDEX('Detalle individual'!$C:$C,$J224))</f>
        <v>DEPARTAMENTO DE PROCESOS</v>
      </c>
      <c r="E224" s="5" t="str">
        <f>IF($J224="","",INDEX('Detalle individual'!$D:$D,$J224))</f>
        <v>Gerencia General</v>
      </c>
      <c r="F224" s="96">
        <f>IF($J224="","",INDEX('Detalle individual'!$H:$H,$J224))</f>
        <v>46296.44149305556</v>
      </c>
      <c r="G224" s="102">
        <f>IF($J224="","",INDEX('Detalle individual'!$J:$J,$J224))</f>
        <v>100</v>
      </c>
      <c r="H224" s="102">
        <f>IF($J224="","",INDEX('Detalle individual'!$L:$L,$J224))</f>
        <v>1</v>
      </c>
      <c r="J224">
        <f>IFERROR(MATCH(SMALL('Cálculos'!$AI$5:$AI$1000,220),'Cálculos'!$AI$5:$AI$1000,0)+4,"")</f>
        <v>18</v>
      </c>
    </row>
    <row r="225">
      <c r="A225" s="5" t="str">
        <f>IF($J225="","",INDEX('Detalle individual'!$B:$B,$J225))</f>
        <v>HECTOR SEBASTIAN LOPEZ GRANADOS</v>
      </c>
      <c r="B225" s="5" t="str">
        <f>IF($J225="","",INDEX('Detalle individual'!$A:$A,$J225))</f>
        <v>932</v>
      </c>
      <c r="C225" s="5" t="str">
        <f>IF($J225="","",INDEX('Detalle individual'!$E:$E,$J225))</f>
        <v>ASISTENTE TECNICO DE PROCESOS</v>
      </c>
      <c r="D225" s="5" t="str">
        <f>IF($J225="","",INDEX('Detalle individual'!$C:$C,$J225))</f>
        <v>DEPARTAMENTO DE PROCESOS</v>
      </c>
      <c r="E225" s="5" t="str">
        <f>IF($J225="","",INDEX('Detalle individual'!$D:$D,$J225))</f>
        <v>Gerencia General</v>
      </c>
      <c r="F225" s="96">
        <f>IF($J225="","",INDEX('Detalle individual'!$H:$H,$J225))</f>
        <v>46296.44143518519</v>
      </c>
      <c r="G225" s="102">
        <f>IF($J225="","",INDEX('Detalle individual'!$J:$J,$J225))</f>
        <v>100</v>
      </c>
      <c r="H225" s="102">
        <f>IF($J225="","",INDEX('Detalle individual'!$L:$L,$J225))</f>
        <v>1</v>
      </c>
      <c r="J225">
        <f>IFERROR(MATCH(SMALL('Cálculos'!$AI$5:$AI$1000,221),'Cálculos'!$AI$5:$AI$1000,0)+4,"")</f>
        <v>20</v>
      </c>
    </row>
    <row r="226">
      <c r="A226" s="5" t="str">
        <f>IF($J226="","",INDEX('Detalle individual'!$B:$B,$J226))</f>
        <v>MAURICIO EDGARDO MIRANDA CAMPOS</v>
      </c>
      <c r="B226" s="5" t="str">
        <f>IF($J226="","",INDEX('Detalle individual'!$A:$A,$J226))</f>
        <v>817</v>
      </c>
      <c r="C226" s="5" t="str">
        <f>IF($J226="","",INDEX('Detalle individual'!$E:$E,$J226))</f>
        <v>ANALISTA DE PROCESOS</v>
      </c>
      <c r="D226" s="5" t="str">
        <f>IF($J226="","",INDEX('Detalle individual'!$C:$C,$J226))</f>
        <v>DEPARTAMENTO DE PROCESOS</v>
      </c>
      <c r="E226" s="5" t="str">
        <f>IF($J226="","",INDEX('Detalle individual'!$D:$D,$J226))</f>
        <v>Gerencia General</v>
      </c>
      <c r="F226" s="96">
        <f>IF($J226="","",INDEX('Detalle individual'!$H:$H,$J226))</f>
        <v>46296.44137731481</v>
      </c>
      <c r="G226" s="102">
        <f>IF($J226="","",INDEX('Detalle individual'!$J:$J,$J226))</f>
        <v>100</v>
      </c>
      <c r="H226" s="102">
        <f>IF($J226="","",INDEX('Detalle individual'!$L:$L,$J226))</f>
        <v>1</v>
      </c>
      <c r="J226">
        <f>IFERROR(MATCH(SMALL('Cálculos'!$AI$5:$AI$1000,222),'Cálculos'!$AI$5:$AI$1000,0)+4,"")</f>
        <v>19</v>
      </c>
    </row>
    <row r="227">
      <c r="A227" s="5" t="str">
        <f>IF($J227="","",INDEX('Detalle individual'!$B:$B,$J227))</f>
        <v>ANTONIA SARAI BELTRAN CARBALLO</v>
      </c>
      <c r="B227" s="5" t="str">
        <f>IF($J227="","",INDEX('Detalle individual'!$A:$A,$J227))</f>
        <v>17</v>
      </c>
      <c r="C227" s="5" t="str">
        <f>IF($J227="","",INDEX('Detalle individual'!$E:$E,$J227))</f>
        <v>ASISTENTE ADMINISTRATIVO DE GERENCIA GENERAL</v>
      </c>
      <c r="D227" s="5" t="str">
        <f>IF($J227="","",INDEX('Detalle individual'!$C:$C,$J227))</f>
        <v>GERENCIA GENERAL</v>
      </c>
      <c r="E227" s="5" t="str">
        <f>IF($J227="","",INDEX('Detalle individual'!$D:$D,$J227))</f>
        <v>Gerencia General</v>
      </c>
      <c r="F227" s="96">
        <f>IF($J227="","",INDEX('Detalle individual'!$H:$H,$J227))</f>
        <v>46305.40980324074</v>
      </c>
      <c r="G227" s="102">
        <f>IF($J227="","",INDEX('Detalle individual'!$J:$J,$J227))</f>
        <v>100</v>
      </c>
      <c r="H227" s="102">
        <f>IF($J227="","",INDEX('Detalle individual'!$L:$L,$J227))</f>
        <v>1</v>
      </c>
      <c r="J227">
        <f>IFERROR(MATCH(SMALL('Cálculos'!$AI$5:$AI$1000,223),'Cálculos'!$AI$5:$AI$1000,0)+4,"")</f>
        <v>13</v>
      </c>
    </row>
    <row r="228">
      <c r="A228" s="5" t="str">
        <f>IF($J228="","",INDEX('Detalle individual'!$B:$B,$J228))</f>
        <v>NELSON ULISES CAMPOS FLORES</v>
      </c>
      <c r="B228" s="5" t="str">
        <f>IF($J228="","",INDEX('Detalle individual'!$A:$A,$J228))</f>
        <v>977</v>
      </c>
      <c r="C228" s="5" t="str">
        <f>IF($J228="","",INDEX('Detalle individual'!$E:$E,$J228))</f>
        <v>GERENTE GENERAL</v>
      </c>
      <c r="D228" s="5" t="str">
        <f>IF($J228="","",INDEX('Detalle individual'!$C:$C,$J228))</f>
        <v>GERENCIA GENERAL</v>
      </c>
      <c r="E228" s="5" t="str">
        <f>IF($J228="","",INDEX('Detalle individual'!$D:$D,$J228))</f>
        <v>Gerencia General</v>
      </c>
      <c r="F228" s="96" t="str">
        <f>IF($J228="","",INDEX('Detalle individual'!$H:$H,$J228))</f>
        <v/>
      </c>
      <c r="G228" s="102" t="str">
        <f>IF($J228="","",INDEX('Detalle individual'!$J:$J,$J228))</f>
        <v/>
      </c>
      <c r="H228" s="102">
        <f>IF($J228="","",INDEX('Detalle individual'!$L:$L,$J228))</f>
        <v>1</v>
      </c>
      <c r="J228">
        <f>IFERROR(MATCH(SMALL('Cálculos'!$AI$5:$AI$1000,224),'Cálculos'!$AI$5:$AI$1000,0)+4,"")</f>
        <v>5</v>
      </c>
    </row>
    <row r="229">
      <c r="A229" s="5" t="str">
        <f>IF($J229="","",INDEX('Detalle individual'!$B:$B,$J229))</f>
        <v>JENNIFER GEORGINA ALVARADO HERNANDEZ</v>
      </c>
      <c r="B229" s="5" t="str">
        <f>IF($J229="","",INDEX('Detalle individual'!$A:$A,$J229))</f>
        <v>907</v>
      </c>
      <c r="C229" s="5" t="str">
        <f>IF($J229="","",INDEX('Detalle individual'!$E:$E,$J229))</f>
        <v>ANALISTA DE MONITOREO DEL FRAUDE DIGITAL</v>
      </c>
      <c r="D229" s="5" t="str">
        <f>IF($J229="","",INDEX('Detalle individual'!$C:$C,$J229))</f>
        <v>OFICIALIA DE SEGURIDAD DE LA INFORMACION</v>
      </c>
      <c r="E229" s="5" t="str">
        <f>IF($J229="","",INDEX('Detalle individual'!$D:$D,$J229))</f>
        <v>Gerencia General</v>
      </c>
      <c r="F229" s="96">
        <f>IF($J229="","",INDEX('Detalle individual'!$H:$H,$J229))</f>
        <v>46296.44850694444</v>
      </c>
      <c r="G229" s="102">
        <f>IF($J229="","",INDEX('Detalle individual'!$J:$J,$J229))</f>
        <v>85</v>
      </c>
      <c r="H229" s="102">
        <f>IF($J229="","",INDEX('Detalle individual'!$L:$L,$J229))</f>
        <v>1</v>
      </c>
      <c r="J229">
        <f>IFERROR(MATCH(SMALL('Cálculos'!$AI$5:$AI$1000,225),'Cálculos'!$AI$5:$AI$1000,0)+4,"")</f>
        <v>22</v>
      </c>
    </row>
    <row r="230">
      <c r="A230" s="5" t="str">
        <f>IF($J230="","",INDEX('Detalle individual'!$B:$B,$J230))</f>
        <v>MARIA AZUCENA BONILLA RIVERA</v>
      </c>
      <c r="B230" s="5" t="str">
        <f>IF($J230="","",INDEX('Detalle individual'!$A:$A,$J230))</f>
        <v>710</v>
      </c>
      <c r="C230" s="5" t="str">
        <f>IF($J230="","",INDEX('Detalle individual'!$E:$E,$J230))</f>
        <v>OFICIAL DE SEGURIDAD DE LA INFORMACION</v>
      </c>
      <c r="D230" s="5" t="str">
        <f>IF($J230="","",INDEX('Detalle individual'!$C:$C,$J230))</f>
        <v>OFICIALIA DE SEGURIDAD DE LA INFORMACION</v>
      </c>
      <c r="E230" s="5" t="str">
        <f>IF($J230="","",INDEX('Detalle individual'!$D:$D,$J230))</f>
        <v>Gerencia General</v>
      </c>
      <c r="F230" s="96">
        <f>IF($J230="","",INDEX('Detalle individual'!$H:$H,$J230))</f>
        <v>46296.448969907404</v>
      </c>
      <c r="G230" s="102">
        <f>IF($J230="","",INDEX('Detalle individual'!$J:$J,$J230))</f>
        <v>100</v>
      </c>
      <c r="H230" s="102">
        <f>IF($J230="","",INDEX('Detalle individual'!$L:$L,$J230))</f>
        <v>1</v>
      </c>
      <c r="J230">
        <f>IFERROR(MATCH(SMALL('Cálculos'!$AI$5:$AI$1000,226),'Cálculos'!$AI$5:$AI$1000,0)+4,"")</f>
        <v>21</v>
      </c>
    </row>
    <row r="231">
      <c r="A231" s="5" t="str">
        <f>IF($J231="","",INDEX('Detalle individual'!$B:$B,$J231))</f>
        <v>MARVIN ALONSO FRANCO RAMIREZ</v>
      </c>
      <c r="B231" s="5" t="str">
        <f>IF($J231="","",INDEX('Detalle individual'!$A:$A,$J231))</f>
        <v>918</v>
      </c>
      <c r="C231" s="5" t="str">
        <f>IF($J231="","",INDEX('Detalle individual'!$E:$E,$J231))</f>
        <v>ANALISTA DE SEGURIDAD DE LA INFORMACION</v>
      </c>
      <c r="D231" s="5" t="str">
        <f>IF($J231="","",INDEX('Detalle individual'!$C:$C,$J231))</f>
        <v>OFICIALIA DE SEGURIDAD DE LA INFORMACION</v>
      </c>
      <c r="E231" s="5" t="str">
        <f>IF($J231="","",INDEX('Detalle individual'!$D:$D,$J231))</f>
        <v>Gerencia General</v>
      </c>
      <c r="F231" s="96">
        <f>IF($J231="","",INDEX('Detalle individual'!$H:$H,$J231))</f>
        <v>46296.44851851852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23</v>
      </c>
    </row>
    <row r="232">
      <c r="A232" s="5" t="str">
        <f>IF($J232="","",INDEX('Detalle individual'!$B:$B,$J232))</f>
        <v>VALERIA MICHELLE QUINTANILLA FLORES</v>
      </c>
      <c r="B232" s="5" t="str">
        <f>IF($J232="","",INDEX('Detalle individual'!$A:$A,$J232))</f>
        <v>950</v>
      </c>
      <c r="C232" s="5" t="str">
        <f>IF($J232="","",INDEX('Detalle individual'!$E:$E,$J232))</f>
        <v>ANALISTA TECNICO DE PROTECCION DE DATOS</v>
      </c>
      <c r="D232" s="5" t="str">
        <f>IF($J232="","",INDEX('Detalle individual'!$C:$C,$J232))</f>
        <v>OFICIALIA DE SEGURIDAD DE LA INFORMACION</v>
      </c>
      <c r="E232" s="5" t="str">
        <f>IF($J232="","",INDEX('Detalle individual'!$D:$D,$J232))</f>
        <v>Gerencia General</v>
      </c>
      <c r="F232" s="96">
        <f>IF($J232="","",INDEX('Detalle individual'!$H:$H,$J232))</f>
        <v>46296.44909722222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24</v>
      </c>
    </row>
    <row r="233">
      <c r="A233" s="5" t="str">
        <f>IF($J233="","",INDEX('Detalle individual'!$B:$B,$J233))</f>
        <v>ALEJANDRA MARIA GONZALEZ BENAVIDES</v>
      </c>
      <c r="B233" s="5" t="str">
        <f>IF($J233="","",INDEX('Detalle individual'!$A:$A,$J233))</f>
        <v>893</v>
      </c>
      <c r="C233" s="5" t="str">
        <f>IF($J233="","",INDEX('Detalle individual'!$E:$E,$J233))</f>
        <v>AUXILIAR JURIDICO JUDICIAL</v>
      </c>
      <c r="D233" s="5" t="str">
        <f>IF($J233="","",INDEX('Detalle individual'!$C:$C,$J233))</f>
        <v>DEPARTAMENTO LEGAL</v>
      </c>
      <c r="E233" s="5" t="str">
        <f>IF($J233="","",INDEX('Detalle individual'!$D:$D,$J233))</f>
        <v>Gerencia Legal y Cumplimiento Normativo</v>
      </c>
      <c r="F233" s="96">
        <f>IF($J233="","",INDEX('Detalle individual'!$H:$H,$J233))</f>
        <v>46304.703680555554</v>
      </c>
      <c r="G233" s="102">
        <f>IF($J233="","",INDEX('Detalle individual'!$J:$J,$J233))</f>
        <v>100</v>
      </c>
      <c r="H233" s="102">
        <f>IF($J233="","",INDEX('Detalle individual'!$L:$L,$J233))</f>
        <v>1</v>
      </c>
      <c r="J233">
        <f>IFERROR(MATCH(SMALL('Cálculos'!$AI$5:$AI$1000,229),'Cálculos'!$AI$5:$AI$1000,0)+4,"")</f>
        <v>293</v>
      </c>
    </row>
    <row r="234">
      <c r="A234" s="5" t="str">
        <f>IF($J234="","",INDEX('Detalle individual'!$B:$B,$J234))</f>
        <v>ANDREA RAQUEL MONTOYA ALARCON</v>
      </c>
      <c r="B234" s="5" t="str">
        <f>IF($J234="","",INDEX('Detalle individual'!$A:$A,$J234))</f>
        <v>814</v>
      </c>
      <c r="C234" s="5" t="str">
        <f>IF($J234="","",INDEX('Detalle individual'!$E:$E,$J234))</f>
        <v>AUXILIAR JURIDICO DE ESCRITURACION</v>
      </c>
      <c r="D234" s="5" t="str">
        <f>IF($J234="","",INDEX('Detalle individual'!$C:$C,$J234))</f>
        <v>DEPARTAMENTO LEGAL</v>
      </c>
      <c r="E234" s="5" t="str">
        <f>IF($J234="","",INDEX('Detalle individual'!$D:$D,$J234))</f>
        <v>Gerencia Legal y Cumplimiento Normativo</v>
      </c>
      <c r="F234" s="96">
        <f>IF($J234="","",INDEX('Detalle individual'!$H:$H,$J234))</f>
        <v>46307.421319444446</v>
      </c>
      <c r="G234" s="102">
        <f>IF($J234="","",INDEX('Detalle individual'!$J:$J,$J234))</f>
        <v>100</v>
      </c>
      <c r="H234" s="102">
        <f>IF($J234="","",INDEX('Detalle individual'!$L:$L,$J234))</f>
        <v>1</v>
      </c>
      <c r="J234">
        <f>IFERROR(MATCH(SMALL('Cálculos'!$AI$5:$AI$1000,230),'Cálculos'!$AI$5:$AI$1000,0)+4,"")</f>
        <v>290</v>
      </c>
    </row>
    <row r="235">
      <c r="A235" s="5" t="str">
        <f>IF($J235="","",INDEX('Detalle individual'!$B:$B,$J235))</f>
        <v>CARLOS RENE CASTILLO GAMEZ</v>
      </c>
      <c r="B235" s="5" t="str">
        <f>IF($J235="","",INDEX('Detalle individual'!$A:$A,$J235))</f>
        <v>592</v>
      </c>
      <c r="C235" s="5" t="str">
        <f>IF($J235="","",INDEX('Detalle individual'!$E:$E,$J235))</f>
        <v>ASISTENTE TECNICO LEGAL</v>
      </c>
      <c r="D235" s="5" t="str">
        <f>IF($J235="","",INDEX('Detalle individual'!$C:$C,$J235))</f>
        <v>DEPARTAMENTO LEGAL</v>
      </c>
      <c r="E235" s="5" t="str">
        <f>IF($J235="","",INDEX('Detalle individual'!$D:$D,$J235))</f>
        <v>Gerencia Legal y Cumplimiento Normativo</v>
      </c>
      <c r="F235" s="96">
        <f>IF($J235="","",INDEX('Detalle individual'!$H:$H,$J235))</f>
        <v>46308.62107638889</v>
      </c>
      <c r="G235" s="102">
        <f>IF($J235="","",INDEX('Detalle individual'!$J:$J,$J235))</f>
        <v>100</v>
      </c>
      <c r="H235" s="102">
        <f>IF($J235="","",INDEX('Detalle individual'!$L:$L,$J235))</f>
        <v>1</v>
      </c>
      <c r="J235">
        <f>IFERROR(MATCH(SMALL('Cálculos'!$AI$5:$AI$1000,231),'Cálculos'!$AI$5:$AI$1000,0)+4,"")</f>
        <v>289</v>
      </c>
    </row>
    <row r="236">
      <c r="A236" s="5" t="str">
        <f>IF($J236="","",INDEX('Detalle individual'!$B:$B,$J236))</f>
        <v>CHRISTIAN ENRIQUE CAMPOS PRIVADO</v>
      </c>
      <c r="B236" s="5" t="str">
        <f>IF($J236="","",INDEX('Detalle individual'!$A:$A,$J236))</f>
        <v>905</v>
      </c>
      <c r="C236" s="5" t="str">
        <f>IF($J236="","",INDEX('Detalle individual'!$E:$E,$J236))</f>
        <v>ASISTENTE TECNICO LEGAL</v>
      </c>
      <c r="D236" s="5" t="str">
        <f>IF($J236="","",INDEX('Detalle individual'!$C:$C,$J236))</f>
        <v>DEPARTAMENTO LEGAL</v>
      </c>
      <c r="E236" s="5" t="str">
        <f>IF($J236="","",INDEX('Detalle individual'!$D:$D,$J236))</f>
        <v>Gerencia Legal y Cumplimiento Normativo</v>
      </c>
      <c r="F236" s="96">
        <f>IF($J236="","",INDEX('Detalle individual'!$H:$H,$J236))</f>
        <v>46307.645</v>
      </c>
      <c r="G236" s="102">
        <f>IF($J236="","",INDEX('Detalle individual'!$J:$J,$J236))</f>
        <v>100</v>
      </c>
      <c r="H236" s="102">
        <f>IF($J236="","",INDEX('Detalle individual'!$L:$L,$J236))</f>
        <v>1</v>
      </c>
      <c r="J236">
        <f>IFERROR(MATCH(SMALL('Cálculos'!$AI$5:$AI$1000,232),'Cálculos'!$AI$5:$AI$1000,0)+4,"")</f>
        <v>294</v>
      </c>
    </row>
    <row r="237">
      <c r="A237" s="5" t="str">
        <f>IF($J237="","",INDEX('Detalle individual'!$B:$B,$J237))</f>
        <v>DANIELA MARIA FUENTES MEDINA</v>
      </c>
      <c r="B237" s="5" t="str">
        <f>IF($J237="","",INDEX('Detalle individual'!$A:$A,$J237))</f>
        <v>843</v>
      </c>
      <c r="C237" s="5" t="str">
        <f>IF($J237="","",INDEX('Detalle individual'!$E:$E,$J237))</f>
        <v>AUXILIAR JURIDICO DE CONTRATACION</v>
      </c>
      <c r="D237" s="5" t="str">
        <f>IF($J237="","",INDEX('Detalle individual'!$C:$C,$J237))</f>
        <v>DEPARTAMENTO LEGAL</v>
      </c>
      <c r="E237" s="5" t="str">
        <f>IF($J237="","",INDEX('Detalle individual'!$D:$D,$J237))</f>
        <v>Gerencia Legal y Cumplimiento Normativo</v>
      </c>
      <c r="F237" s="96">
        <f>IF($J237="","",INDEX('Detalle individual'!$H:$H,$J237))</f>
        <v>46307.39480324074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292</v>
      </c>
    </row>
    <row r="238">
      <c r="A238" s="5" t="str">
        <f>IF($J238="","",INDEX('Detalle individual'!$B:$B,$J238))</f>
        <v>GABRIELA LOURDES AREVALO SANCHEZ</v>
      </c>
      <c r="B238" s="5" t="str">
        <f>IF($J238="","",INDEX('Detalle individual'!$A:$A,$J238))</f>
        <v>929</v>
      </c>
      <c r="C238" s="5" t="str">
        <f>IF($J238="","",INDEX('Detalle individual'!$E:$E,$J238))</f>
        <v>AUXILIAR JURIDICO DE CONTRATACION</v>
      </c>
      <c r="D238" s="5" t="str">
        <f>IF($J238="","",INDEX('Detalle individual'!$C:$C,$J238))</f>
        <v>DEPARTAMENTO LEGAL</v>
      </c>
      <c r="E238" s="5" t="str">
        <f>IF($J238="","",INDEX('Detalle individual'!$D:$D,$J238))</f>
        <v>Gerencia Legal y Cumplimiento Normativo</v>
      </c>
      <c r="F238" s="96">
        <f>IF($J238="","",INDEX('Detalle individual'!$H:$H,$J238))</f>
        <v>46300.628483796296</v>
      </c>
      <c r="G238" s="102">
        <f>IF($J238="","",INDEX('Detalle individual'!$J:$J,$J238))</f>
        <v>90</v>
      </c>
      <c r="H238" s="102">
        <f>IF($J238="","",INDEX('Detalle individual'!$L:$L,$J238))</f>
        <v>1</v>
      </c>
      <c r="J238">
        <f>IFERROR(MATCH(SMALL('Cálculos'!$AI$5:$AI$1000,234),'Cálculos'!$AI$5:$AI$1000,0)+4,"")</f>
        <v>295</v>
      </c>
    </row>
    <row r="239">
      <c r="A239" s="5" t="str">
        <f>IF($J239="","",INDEX('Detalle individual'!$B:$B,$J239))</f>
        <v>JUAN JOSE CAÑAS COMAYAGUA</v>
      </c>
      <c r="B239" s="5" t="str">
        <f>IF($J239="","",INDEX('Detalle individual'!$A:$A,$J239))</f>
        <v>442</v>
      </c>
      <c r="C239" s="5" t="str">
        <f>IF($J239="","",INDEX('Detalle individual'!$E:$E,$J239))</f>
        <v>JEFE DE DEPARTAMENTO LEGAL</v>
      </c>
      <c r="D239" s="5" t="str">
        <f>IF($J239="","",INDEX('Detalle individual'!$C:$C,$J239))</f>
        <v>DEPARTAMENTO LEGAL</v>
      </c>
      <c r="E239" s="5" t="str">
        <f>IF($J239="","",INDEX('Detalle individual'!$D:$D,$J239))</f>
        <v>Gerencia Legal y Cumplimiento Normativo</v>
      </c>
      <c r="F239" s="96">
        <f>IF($J239="","",INDEX('Detalle individual'!$H:$H,$J239))</f>
        <v>46306.60649305556</v>
      </c>
      <c r="G239" s="102">
        <f>IF($J239="","",INDEX('Detalle individual'!$J:$J,$J239))</f>
        <v>100</v>
      </c>
      <c r="H239" s="102">
        <f>IF($J239="","",INDEX('Detalle individual'!$L:$L,$J239))</f>
        <v>1</v>
      </c>
      <c r="J239">
        <f>IFERROR(MATCH(SMALL('Cálculos'!$AI$5:$AI$1000,235),'Cálculos'!$AI$5:$AI$1000,0)+4,"")</f>
        <v>288</v>
      </c>
    </row>
    <row r="240">
      <c r="A240" s="5" t="str">
        <f>IF($J240="","",INDEX('Detalle individual'!$B:$B,$J240))</f>
        <v>NICOLLE ALEXANDRA MARINERO GALLARDO</v>
      </c>
      <c r="B240" s="5" t="str">
        <f>IF($J240="","",INDEX('Detalle individual'!$A:$A,$J240))</f>
        <v>831</v>
      </c>
      <c r="C240" s="5" t="str">
        <f>IF($J240="","",INDEX('Detalle individual'!$E:$E,$J240))</f>
        <v>AUXILIAR JURIDICO NOTARIAL</v>
      </c>
      <c r="D240" s="5" t="str">
        <f>IF($J240="","",INDEX('Detalle individual'!$C:$C,$J240))</f>
        <v>DEPARTAMENTO LEGAL</v>
      </c>
      <c r="E240" s="5" t="str">
        <f>IF($J240="","",INDEX('Detalle individual'!$D:$D,$J240))</f>
        <v>Gerencia Legal y Cumplimiento Normativo</v>
      </c>
      <c r="F240" s="96">
        <f>IF($J240="","",INDEX('Detalle individual'!$H:$H,$J240))</f>
        <v>46307.4125462963</v>
      </c>
      <c r="G240" s="102">
        <f>IF($J240="","",INDEX('Detalle individual'!$J:$J,$J240))</f>
        <v>90</v>
      </c>
      <c r="H240" s="102">
        <f>IF($J240="","",INDEX('Detalle individual'!$L:$L,$J240))</f>
        <v>1</v>
      </c>
      <c r="J240">
        <f>IFERROR(MATCH(SMALL('Cálculos'!$AI$5:$AI$1000,236),'Cálculos'!$AI$5:$AI$1000,0)+4,"")</f>
        <v>291</v>
      </c>
    </row>
    <row r="241">
      <c r="A241" s="5" t="str">
        <f>IF($J241="","",INDEX('Detalle individual'!$B:$B,$J241))</f>
        <v>ANDREA VICTORIA MAYORGA RODRIGUEZ</v>
      </c>
      <c r="B241" s="5" t="str">
        <f>IF($J241="","",INDEX('Detalle individual'!$A:$A,$J241))</f>
        <v>570</v>
      </c>
      <c r="C241" s="5" t="str">
        <f>IF($J241="","",INDEX('Detalle individual'!$E:$E,$J241))</f>
        <v>GERENTE LEGAL Y DE CUMPLIMIENTO NORMATIVO</v>
      </c>
      <c r="D241" s="5" t="str">
        <f>IF($J241="","",INDEX('Detalle individual'!$C:$C,$J241))</f>
        <v>GERENCIA LEGAL Y DE CUMPLIMIENTO NORMATIVO</v>
      </c>
      <c r="E241" s="5" t="str">
        <f>IF($J241="","",INDEX('Detalle individual'!$D:$D,$J241))</f>
        <v>Gerencia Legal y Cumplimiento Normativo</v>
      </c>
      <c r="F241" s="96">
        <f>IF($J241="","",INDEX('Detalle individual'!$H:$H,$J241))</f>
        <v>46304.69452546296</v>
      </c>
      <c r="G241" s="102">
        <f>IF($J241="","",INDEX('Detalle individual'!$J:$J,$J241))</f>
        <v>100</v>
      </c>
      <c r="H241" s="102">
        <f>IF($J241="","",INDEX('Detalle individual'!$L:$L,$J241))</f>
        <v>1</v>
      </c>
      <c r="J241">
        <f>IFERROR(MATCH(SMALL('Cálculos'!$AI$5:$AI$1000,237),'Cálculos'!$AI$5:$AI$1000,0)+4,"")</f>
        <v>12</v>
      </c>
    </row>
    <row r="242">
      <c r="A242" s="5" t="str">
        <f>IF($J242="","",INDEX('Detalle individual'!$B:$B,$J242))</f>
        <v/>
      </c>
      <c r="B242" s="5" t="str">
        <f>IF($J242="","",INDEX('Detalle individual'!$A:$A,$J242))</f>
        <v/>
      </c>
      <c r="C242" s="5" t="str">
        <f>IF($J242="","",INDEX('Detalle individual'!$E:$E,$J242))</f>
        <v/>
      </c>
      <c r="D242" s="5" t="str">
        <f>IF($J242="","",INDEX('Detalle individual'!$C:$C,$J242))</f>
        <v/>
      </c>
      <c r="E242" s="5" t="str">
        <f>IF($J242="","",INDEX('Detalle individual'!$D:$D,$J242))</f>
        <v/>
      </c>
      <c r="F242" s="96" t="str">
        <f>IF($J242="","",INDEX('Detalle individual'!$H:$H,$J242))</f>
        <v/>
      </c>
      <c r="G242" s="102" t="str">
        <f>IF($J242="","",INDEX('Detalle individual'!$J:$J,$J242))</f>
        <v/>
      </c>
      <c r="H242" s="102" t="str">
        <f>IF($J242="","",INDEX('Detalle individual'!$L:$L,$J242))</f>
        <v/>
      </c>
      <c r="J242" t="str">
        <f>IFERROR(MATCH(SMALL('Cálculos'!$AI$5:$AI$1000,238),'Cálculos'!$AI$5:$AI$1000,0)+4,"")</f>
        <v/>
      </c>
    </row>
    <row r="243">
      <c r="A243" s="5" t="str">
        <f>IF($J243="","",INDEX('Detalle individual'!$B:$B,$J243))</f>
        <v/>
      </c>
      <c r="B243" s="5" t="str">
        <f>IF($J243="","",INDEX('Detalle individual'!$A:$A,$J243))</f>
        <v/>
      </c>
      <c r="C243" s="5" t="str">
        <f>IF($J243="","",INDEX('Detalle individual'!$E:$E,$J243))</f>
        <v/>
      </c>
      <c r="D243" s="5" t="str">
        <f>IF($J243="","",INDEX('Detalle individual'!$C:$C,$J243))</f>
        <v/>
      </c>
      <c r="E243" s="5" t="str">
        <f>IF($J243="","",INDEX('Detalle individual'!$D:$D,$J243))</f>
        <v/>
      </c>
      <c r="F243" s="96" t="str">
        <f>IF($J243="","",INDEX('Detalle individual'!$H:$H,$J243))</f>
        <v/>
      </c>
      <c r="G243" s="102" t="str">
        <f>IF($J243="","",INDEX('Detalle individual'!$J:$J,$J243))</f>
        <v/>
      </c>
      <c r="H243" s="102" t="str">
        <f>IF($J243="","",INDEX('Detalle individual'!$L:$L,$J243))</f>
        <v/>
      </c>
      <c r="J243" t="str">
        <f>IFERROR(MATCH(SMALL('Cálculos'!$AI$5:$AI$1000,239),'Cálculos'!$AI$5:$AI$1000,0)+4,"")</f>
        <v/>
      </c>
    </row>
    <row r="244">
      <c r="A244" s="5" t="str">
        <f>IF($J244="","",INDEX('Detalle individual'!$B:$B,$J244))</f>
        <v/>
      </c>
      <c r="B244" s="5" t="str">
        <f>IF($J244="","",INDEX('Detalle individual'!$A:$A,$J244))</f>
        <v/>
      </c>
      <c r="C244" s="5" t="str">
        <f>IF($J244="","",INDEX('Detalle individual'!$E:$E,$J244))</f>
        <v/>
      </c>
      <c r="D244" s="5" t="str">
        <f>IF($J244="","",INDEX('Detalle individual'!$C:$C,$J244))</f>
        <v/>
      </c>
      <c r="E244" s="5" t="str">
        <f>IF($J244="","",INDEX('Detalle individual'!$D:$D,$J244))</f>
        <v/>
      </c>
      <c r="F244" s="96" t="str">
        <f>IF($J244="","",INDEX('Detalle individual'!$H:$H,$J244))</f>
        <v/>
      </c>
      <c r="G244" s="102" t="str">
        <f>IF($J244="","",INDEX('Detalle individual'!$J:$J,$J244))</f>
        <v/>
      </c>
      <c r="H244" s="102" t="str">
        <f>IF($J244="","",INDEX('Detalle individual'!$L:$L,$J244))</f>
        <v/>
      </c>
      <c r="J244" t="str">
        <f>IFERROR(MATCH(SMALL('Cálculos'!$AI$5:$AI$1000,240),'Cálculos'!$AI$5:$AI$1000,0)+4,"")</f>
        <v/>
      </c>
    </row>
    <row r="245">
      <c r="A245" s="5" t="str">
        <f>IF($J245="","",INDEX('Detalle individual'!$B:$B,$J245))</f>
        <v/>
      </c>
      <c r="B245" s="5" t="str">
        <f>IF($J245="","",INDEX('Detalle individual'!$A:$A,$J245))</f>
        <v/>
      </c>
      <c r="C245" s="5" t="str">
        <f>IF($J245="","",INDEX('Detalle individual'!$E:$E,$J245))</f>
        <v/>
      </c>
      <c r="D245" s="5" t="str">
        <f>IF($J245="","",INDEX('Detalle individual'!$C:$C,$J245))</f>
        <v/>
      </c>
      <c r="E245" s="5" t="str">
        <f>IF($J245="","",INDEX('Detalle individual'!$D:$D,$J245))</f>
        <v/>
      </c>
      <c r="F245" s="96" t="str">
        <f>IF($J245="","",INDEX('Detalle individual'!$H:$H,$J245))</f>
        <v/>
      </c>
      <c r="G245" s="102" t="str">
        <f>IF($J245="","",INDEX('Detalle individual'!$J:$J,$J245))</f>
        <v/>
      </c>
      <c r="H245" s="102" t="str">
        <f>IF($J245="","",INDEX('Detalle individual'!$L:$L,$J245))</f>
        <v/>
      </c>
      <c r="J245" t="str">
        <f>IFERROR(MATCH(SMALL('Cálculos'!$AI$5:$AI$1000,241),'Cálculos'!$AI$5:$AI$1000,0)+4,"")</f>
        <v/>
      </c>
    </row>
    <row r="246">
      <c r="A246" s="5" t="str">
        <f>IF($J246="","",INDEX('Detalle individual'!$B:$B,$J246))</f>
        <v/>
      </c>
      <c r="B246" s="5" t="str">
        <f>IF($J246="","",INDEX('Detalle individual'!$A:$A,$J246))</f>
        <v/>
      </c>
      <c r="C246" s="5" t="str">
        <f>IF($J246="","",INDEX('Detalle individual'!$E:$E,$J246))</f>
        <v/>
      </c>
      <c r="D246" s="5" t="str">
        <f>IF($J246="","",INDEX('Detalle individual'!$C:$C,$J246))</f>
        <v/>
      </c>
      <c r="E246" s="5" t="str">
        <f>IF($J246="","",INDEX('Detalle individual'!$D:$D,$J246))</f>
        <v/>
      </c>
      <c r="F246" s="96" t="str">
        <f>IF($J246="","",INDEX('Detalle individual'!$H:$H,$J246))</f>
        <v/>
      </c>
      <c r="G246" s="102" t="str">
        <f>IF($J246="","",INDEX('Detalle individual'!$J:$J,$J246))</f>
        <v/>
      </c>
      <c r="H246" s="102" t="str">
        <f>IF($J246="","",INDEX('Detalle individual'!$L:$L,$J246))</f>
        <v/>
      </c>
      <c r="J246" t="str">
        <f>IFERROR(MATCH(SMALL('Cálculos'!$AI$5:$AI$1000,242),'Cálculos'!$AI$5:$AI$1000,0)+4,"")</f>
        <v/>
      </c>
    </row>
    <row r="247">
      <c r="A247" s="5" t="str">
        <f>IF($J247="","",INDEX('Detalle individual'!$B:$B,$J247))</f>
        <v/>
      </c>
      <c r="B247" s="5" t="str">
        <f>IF($J247="","",INDEX('Detalle individual'!$A:$A,$J247))</f>
        <v/>
      </c>
      <c r="C247" s="5" t="str">
        <f>IF($J247="","",INDEX('Detalle individual'!$E:$E,$J247))</f>
        <v/>
      </c>
      <c r="D247" s="5" t="str">
        <f>IF($J247="","",INDEX('Detalle individual'!$C:$C,$J247))</f>
        <v/>
      </c>
      <c r="E247" s="5" t="str">
        <f>IF($J247="","",INDEX('Detalle individual'!$D:$D,$J247))</f>
        <v/>
      </c>
      <c r="F247" s="96" t="str">
        <f>IF($J247="","",INDEX('Detalle individual'!$H:$H,$J247))</f>
        <v/>
      </c>
      <c r="G247" s="102" t="str">
        <f>IF($J247="","",INDEX('Detalle individual'!$J:$J,$J247))</f>
        <v/>
      </c>
      <c r="H247" s="102" t="str">
        <f>IF($J247="","",INDEX('Detalle individual'!$L:$L,$J247))</f>
        <v/>
      </c>
      <c r="J247" t="str">
        <f>IFERROR(MATCH(SMALL('Cálculos'!$AI$5:$AI$1000,243),'Cálculos'!$AI$5:$AI$1000,0)+4,"")</f>
        <v/>
      </c>
    </row>
    <row r="248">
      <c r="A248" s="5" t="str">
        <f>IF($J248="","",INDEX('Detalle individual'!$B:$B,$J248))</f>
        <v/>
      </c>
      <c r="B248" s="5" t="str">
        <f>IF($J248="","",INDEX('Detalle individual'!$A:$A,$J248))</f>
        <v/>
      </c>
      <c r="C248" s="5" t="str">
        <f>IF($J248="","",INDEX('Detalle individual'!$E:$E,$J248))</f>
        <v/>
      </c>
      <c r="D248" s="5" t="str">
        <f>IF($J248="","",INDEX('Detalle individual'!$C:$C,$J248))</f>
        <v/>
      </c>
      <c r="E248" s="5" t="str">
        <f>IF($J248="","",INDEX('Detalle individual'!$D:$D,$J248))</f>
        <v/>
      </c>
      <c r="F248" s="96" t="str">
        <f>IF($J248="","",INDEX('Detalle individual'!$H:$H,$J248))</f>
        <v/>
      </c>
      <c r="G248" s="102" t="str">
        <f>IF($J248="","",INDEX('Detalle individual'!$J:$J,$J248))</f>
        <v/>
      </c>
      <c r="H248" s="102" t="str">
        <f>IF($J248="","",INDEX('Detalle individual'!$L:$L,$J248))</f>
        <v/>
      </c>
      <c r="J248" t="str">
        <f>IFERROR(MATCH(SMALL('Cálculos'!$AI$5:$AI$1000,244),'Cálculos'!$AI$5:$AI$1000,0)+4,"")</f>
        <v/>
      </c>
    </row>
    <row r="249">
      <c r="A249" s="5" t="str">
        <f>IF($J249="","",INDEX('Detalle individual'!$B:$B,$J249))</f>
        <v/>
      </c>
      <c r="B249" s="5" t="str">
        <f>IF($J249="","",INDEX('Detalle individual'!$A:$A,$J249))</f>
        <v/>
      </c>
      <c r="C249" s="5" t="str">
        <f>IF($J249="","",INDEX('Detalle individual'!$E:$E,$J249))</f>
        <v/>
      </c>
      <c r="D249" s="5" t="str">
        <f>IF($J249="","",INDEX('Detalle individual'!$C:$C,$J249))</f>
        <v/>
      </c>
      <c r="E249" s="5" t="str">
        <f>IF($J249="","",INDEX('Detalle individual'!$D:$D,$J249))</f>
        <v/>
      </c>
      <c r="F249" s="96" t="str">
        <f>IF($J249="","",INDEX('Detalle individual'!$H:$H,$J249))</f>
        <v/>
      </c>
      <c r="G249" s="102" t="str">
        <f>IF($J249="","",INDEX('Detalle individual'!$J:$J,$J249))</f>
        <v/>
      </c>
      <c r="H249" s="102" t="str">
        <f>IF($J249="","",INDEX('Detalle individual'!$L:$L,$J249))</f>
        <v/>
      </c>
      <c r="J249" t="str">
        <f>IFERROR(MATCH(SMALL('Cálculos'!$AI$5:$AI$1000,245),'Cálculos'!$AI$5:$AI$1000,0)+4,"")</f>
        <v/>
      </c>
    </row>
    <row r="250">
      <c r="A250" s="5" t="str">
        <f>IF($J250="","",INDEX('Detalle individual'!$B:$B,$J250))</f>
        <v/>
      </c>
      <c r="B250" s="5" t="str">
        <f>IF($J250="","",INDEX('Detalle individual'!$A:$A,$J250))</f>
        <v/>
      </c>
      <c r="C250" s="5" t="str">
        <f>IF($J250="","",INDEX('Detalle individual'!$E:$E,$J250))</f>
        <v/>
      </c>
      <c r="D250" s="5" t="str">
        <f>IF($J250="","",INDEX('Detalle individual'!$C:$C,$J250))</f>
        <v/>
      </c>
      <c r="E250" s="5" t="str">
        <f>IF($J250="","",INDEX('Detalle individual'!$D:$D,$J250))</f>
        <v/>
      </c>
      <c r="F250" s="96" t="str">
        <f>IF($J250="","",INDEX('Detalle individual'!$H:$H,$J250))</f>
        <v/>
      </c>
      <c r="G250" s="102" t="str">
        <f>IF($J250="","",INDEX('Detalle individual'!$J:$J,$J250))</f>
        <v/>
      </c>
      <c r="H250" s="102" t="str">
        <f>IF($J250="","",INDEX('Detalle individual'!$L:$L,$J250))</f>
        <v/>
      </c>
      <c r="J250" t="str">
        <f>IFERROR(MATCH(SMALL('Cálculos'!$AI$5:$AI$1000,246),'Cálculos'!$AI$5:$AI$1000,0)+4,"")</f>
        <v/>
      </c>
    </row>
    <row r="251">
      <c r="A251" s="5" t="str">
        <f>IF($J251="","",INDEX('Detalle individual'!$B:$B,$J251))</f>
        <v/>
      </c>
      <c r="B251" s="5" t="str">
        <f>IF($J251="","",INDEX('Detalle individual'!$A:$A,$J251))</f>
        <v/>
      </c>
      <c r="C251" s="5" t="str">
        <f>IF($J251="","",INDEX('Detalle individual'!$E:$E,$J251))</f>
        <v/>
      </c>
      <c r="D251" s="5" t="str">
        <f>IF($J251="","",INDEX('Detalle individual'!$C:$C,$J251))</f>
        <v/>
      </c>
      <c r="E251" s="5" t="str">
        <f>IF($J251="","",INDEX('Detalle individual'!$D:$D,$J251))</f>
        <v/>
      </c>
      <c r="F251" s="96" t="str">
        <f>IF($J251="","",INDEX('Detalle individual'!$H:$H,$J251))</f>
        <v/>
      </c>
      <c r="G251" s="102" t="str">
        <f>IF($J251="","",INDEX('Detalle individual'!$J:$J,$J251))</f>
        <v/>
      </c>
      <c r="H251" s="102" t="str">
        <f>IF($J251="","",INDEX('Detalle individual'!$L:$L,$J251))</f>
        <v/>
      </c>
      <c r="J251" t="str">
        <f>IFERROR(MATCH(SMALL('Cálculos'!$AI$5:$AI$1000,247),'Cálculos'!$AI$5:$AI$1000,0)+4,"")</f>
        <v/>
      </c>
    </row>
    <row r="252">
      <c r="A252" s="5" t="str">
        <f>IF($J252="","",INDEX('Detalle individual'!$B:$B,$J252))</f>
        <v/>
      </c>
      <c r="B252" s="5" t="str">
        <f>IF($J252="","",INDEX('Detalle individual'!$A:$A,$J252))</f>
        <v/>
      </c>
      <c r="C252" s="5" t="str">
        <f>IF($J252="","",INDEX('Detalle individual'!$E:$E,$J252))</f>
        <v/>
      </c>
      <c r="D252" s="5" t="str">
        <f>IF($J252="","",INDEX('Detalle individual'!$C:$C,$J252))</f>
        <v/>
      </c>
      <c r="E252" s="5" t="str">
        <f>IF($J252="","",INDEX('Detalle individual'!$D:$D,$J252))</f>
        <v/>
      </c>
      <c r="F252" s="96" t="str">
        <f>IF($J252="","",INDEX('Detalle individual'!$H:$H,$J252))</f>
        <v/>
      </c>
      <c r="G252" s="102" t="str">
        <f>IF($J252="","",INDEX('Detalle individual'!$J:$J,$J252))</f>
        <v/>
      </c>
      <c r="H252" s="102" t="str">
        <f>IF($J252="","",INDEX('Detalle individual'!$L:$L,$J252))</f>
        <v/>
      </c>
      <c r="J252" t="str">
        <f>IFERROR(MATCH(SMALL('Cálculos'!$AI$5:$AI$1000,248),'Cálculos'!$AI$5:$AI$1000,0)+4,"")</f>
        <v/>
      </c>
    </row>
    <row r="253">
      <c r="A253" s="5" t="str">
        <f>IF($J253="","",INDEX('Detalle individual'!$B:$B,$J253))</f>
        <v/>
      </c>
      <c r="B253" s="5" t="str">
        <f>IF($J253="","",INDEX('Detalle individual'!$A:$A,$J253))</f>
        <v/>
      </c>
      <c r="C253" s="5" t="str">
        <f>IF($J253="","",INDEX('Detalle individual'!$E:$E,$J253))</f>
        <v/>
      </c>
      <c r="D253" s="5" t="str">
        <f>IF($J253="","",INDEX('Detalle individual'!$C:$C,$J253))</f>
        <v/>
      </c>
      <c r="E253" s="5" t="str">
        <f>IF($J253="","",INDEX('Detalle individual'!$D:$D,$J253))</f>
        <v/>
      </c>
      <c r="F253" s="96" t="str">
        <f>IF($J253="","",INDEX('Detalle individual'!$H:$H,$J253))</f>
        <v/>
      </c>
      <c r="G253" s="102" t="str">
        <f>IF($J253="","",INDEX('Detalle individual'!$J:$J,$J253))</f>
        <v/>
      </c>
      <c r="H253" s="102" t="str">
        <f>IF($J253="","",INDEX('Detalle individual'!$L:$L,$J253))</f>
        <v/>
      </c>
      <c r="J253" t="str">
        <f>IFERROR(MATCH(SMALL('Cálculos'!$AI$5:$AI$1000,249),'Cálculos'!$AI$5:$AI$1000,0)+4,"")</f>
        <v/>
      </c>
    </row>
    <row r="254">
      <c r="A254" s="5" t="str">
        <f>IF($J254="","",INDEX('Detalle individual'!$B:$B,$J254))</f>
        <v/>
      </c>
      <c r="B254" s="5" t="str">
        <f>IF($J254="","",INDEX('Detalle individual'!$A:$A,$J254))</f>
        <v/>
      </c>
      <c r="C254" s="5" t="str">
        <f>IF($J254="","",INDEX('Detalle individual'!$E:$E,$J254))</f>
        <v/>
      </c>
      <c r="D254" s="5" t="str">
        <f>IF($J254="","",INDEX('Detalle individual'!$C:$C,$J254))</f>
        <v/>
      </c>
      <c r="E254" s="5" t="str">
        <f>IF($J254="","",INDEX('Detalle individual'!$D:$D,$J254))</f>
        <v/>
      </c>
      <c r="F254" s="96" t="str">
        <f>IF($J254="","",INDEX('Detalle individual'!$H:$H,$J254))</f>
        <v/>
      </c>
      <c r="G254" s="102" t="str">
        <f>IF($J254="","",INDEX('Detalle individual'!$J:$J,$J254))</f>
        <v/>
      </c>
      <c r="H254" s="102" t="str">
        <f>IF($J254="","",INDEX('Detalle individual'!$L:$L,$J254))</f>
        <v/>
      </c>
      <c r="J254" t="str">
        <f>IFERROR(MATCH(SMALL('Cálculos'!$AI$5:$AI$1000,250),'Cálculos'!$AI$5:$AI$1000,0)+4,"")</f>
        <v/>
      </c>
    </row>
    <row r="255">
      <c r="A255" s="5" t="str">
        <f>IF($J255="","",INDEX('Detalle individual'!$B:$B,$J255))</f>
        <v/>
      </c>
      <c r="B255" s="5" t="str">
        <f>IF($J255="","",INDEX('Detalle individual'!$A:$A,$J255))</f>
        <v/>
      </c>
      <c r="C255" s="5" t="str">
        <f>IF($J255="","",INDEX('Detalle individual'!$E:$E,$J255))</f>
        <v/>
      </c>
      <c r="D255" s="5" t="str">
        <f>IF($J255="","",INDEX('Detalle individual'!$C:$C,$J255))</f>
        <v/>
      </c>
      <c r="E255" s="5" t="str">
        <f>IF($J255="","",INDEX('Detalle individual'!$D:$D,$J255))</f>
        <v/>
      </c>
      <c r="F255" s="96" t="str">
        <f>IF($J255="","",INDEX('Detalle individual'!$H:$H,$J255))</f>
        <v/>
      </c>
      <c r="G255" s="102" t="str">
        <f>IF($J255="","",INDEX('Detalle individual'!$J:$J,$J255))</f>
        <v/>
      </c>
      <c r="H255" s="102" t="str">
        <f>IF($J255="","",INDEX('Detalle individual'!$L:$L,$J255))</f>
        <v/>
      </c>
      <c r="J255" t="str">
        <f>IFERROR(MATCH(SMALL('Cálculos'!$AI$5:$AI$1000,251),'Cálculos'!$AI$5:$AI$1000,0)+4,"")</f>
        <v/>
      </c>
    </row>
    <row r="256">
      <c r="A256" s="5" t="str">
        <f>IF($J256="","",INDEX('Detalle individual'!$B:$B,$J256))</f>
        <v/>
      </c>
      <c r="B256" s="5" t="str">
        <f>IF($J256="","",INDEX('Detalle individual'!$A:$A,$J256))</f>
        <v/>
      </c>
      <c r="C256" s="5" t="str">
        <f>IF($J256="","",INDEX('Detalle individual'!$E:$E,$J256))</f>
        <v/>
      </c>
      <c r="D256" s="5" t="str">
        <f>IF($J256="","",INDEX('Detalle individual'!$C:$C,$J256))</f>
        <v/>
      </c>
      <c r="E256" s="5" t="str">
        <f>IF($J256="","",INDEX('Detalle individual'!$D:$D,$J256))</f>
        <v/>
      </c>
      <c r="F256" s="96" t="str">
        <f>IF($J256="","",INDEX('Detalle individual'!$H:$H,$J256))</f>
        <v/>
      </c>
      <c r="G256" s="102" t="str">
        <f>IF($J256="","",INDEX('Detalle individual'!$J:$J,$J256))</f>
        <v/>
      </c>
      <c r="H256" s="102" t="str">
        <f>IF($J256="","",INDEX('Detalle individual'!$L:$L,$J256))</f>
        <v/>
      </c>
      <c r="J256" t="str">
        <f>IFERROR(MATCH(SMALL('Cálculos'!$AI$5:$AI$1000,252),'Cálculos'!$AI$5:$AI$1000,0)+4,"")</f>
        <v/>
      </c>
    </row>
    <row r="257">
      <c r="A257" s="5" t="str">
        <f>IF($J257="","",INDEX('Detalle individual'!$B:$B,$J257))</f>
        <v/>
      </c>
      <c r="B257" s="5" t="str">
        <f>IF($J257="","",INDEX('Detalle individual'!$A:$A,$J257))</f>
        <v/>
      </c>
      <c r="C257" s="5" t="str">
        <f>IF($J257="","",INDEX('Detalle individual'!$E:$E,$J257))</f>
        <v/>
      </c>
      <c r="D257" s="5" t="str">
        <f>IF($J257="","",INDEX('Detalle individual'!$C:$C,$J257))</f>
        <v/>
      </c>
      <c r="E257" s="5" t="str">
        <f>IF($J257="","",INDEX('Detalle individual'!$D:$D,$J257))</f>
        <v/>
      </c>
      <c r="F257" s="96" t="str">
        <f>IF($J257="","",INDEX('Detalle individual'!$H:$H,$J257))</f>
        <v/>
      </c>
      <c r="G257" s="102" t="str">
        <f>IF($J257="","",INDEX('Detalle individual'!$J:$J,$J257))</f>
        <v/>
      </c>
      <c r="H257" s="102" t="str">
        <f>IF($J257="","",INDEX('Detalle individual'!$L:$L,$J257))</f>
        <v/>
      </c>
      <c r="J257" t="str">
        <f>IFERROR(MATCH(SMALL('Cálculos'!$AI$5:$AI$1000,253),'Cálculos'!$AI$5:$AI$1000,0)+4,"")</f>
        <v/>
      </c>
    </row>
    <row r="258">
      <c r="A258" s="5" t="str">
        <f>IF($J258="","",INDEX('Detalle individual'!$B:$B,$J258))</f>
        <v/>
      </c>
      <c r="B258" s="5" t="str">
        <f>IF($J258="","",INDEX('Detalle individual'!$A:$A,$J258))</f>
        <v/>
      </c>
      <c r="C258" s="5" t="str">
        <f>IF($J258="","",INDEX('Detalle individual'!$E:$E,$J258))</f>
        <v/>
      </c>
      <c r="D258" s="5" t="str">
        <f>IF($J258="","",INDEX('Detalle individual'!$C:$C,$J258))</f>
        <v/>
      </c>
      <c r="E258" s="5" t="str">
        <f>IF($J258="","",INDEX('Detalle individual'!$D:$D,$J258))</f>
        <v/>
      </c>
      <c r="F258" s="96" t="str">
        <f>IF($J258="","",INDEX('Detalle individual'!$H:$H,$J258))</f>
        <v/>
      </c>
      <c r="G258" s="102" t="str">
        <f>IF($J258="","",INDEX('Detalle individual'!$J:$J,$J258))</f>
        <v/>
      </c>
      <c r="H258" s="102" t="str">
        <f>IF($J258="","",INDEX('Detalle individual'!$L:$L,$J258))</f>
        <v/>
      </c>
      <c r="J258" t="str">
        <f>IFERROR(MATCH(SMALL('Cálculos'!$AI$5:$AI$1000,254),'Cálculos'!$AI$5:$AI$1000,0)+4,"")</f>
        <v/>
      </c>
    </row>
    <row r="259">
      <c r="A259" s="5" t="str">
        <f>IF($J259="","",INDEX('Detalle individual'!$B:$B,$J259))</f>
        <v/>
      </c>
      <c r="B259" s="5" t="str">
        <f>IF($J259="","",INDEX('Detalle individual'!$A:$A,$J259))</f>
        <v/>
      </c>
      <c r="C259" s="5" t="str">
        <f>IF($J259="","",INDEX('Detalle individual'!$E:$E,$J259))</f>
        <v/>
      </c>
      <c r="D259" s="5" t="str">
        <f>IF($J259="","",INDEX('Detalle individual'!$C:$C,$J259))</f>
        <v/>
      </c>
      <c r="E259" s="5" t="str">
        <f>IF($J259="","",INDEX('Detalle individual'!$D:$D,$J259))</f>
        <v/>
      </c>
      <c r="F259" s="96" t="str">
        <f>IF($J259="","",INDEX('Detalle individual'!$H:$H,$J259))</f>
        <v/>
      </c>
      <c r="G259" s="102" t="str">
        <f>IF($J259="","",INDEX('Detalle individual'!$J:$J,$J259))</f>
        <v/>
      </c>
      <c r="H259" s="102" t="str">
        <f>IF($J259="","",INDEX('Detalle individual'!$L:$L,$J259))</f>
        <v/>
      </c>
      <c r="J259" t="str">
        <f>IFERROR(MATCH(SMALL('Cálculos'!$AI$5:$AI$1000,255),'Cálculos'!$AI$5:$AI$1000,0)+4,"")</f>
        <v/>
      </c>
    </row>
    <row r="260">
      <c r="A260" s="5" t="str">
        <f>IF($J260="","",INDEX('Detalle individual'!$B:$B,$J260))</f>
        <v/>
      </c>
      <c r="B260" s="5" t="str">
        <f>IF($J260="","",INDEX('Detalle individual'!$A:$A,$J260))</f>
        <v/>
      </c>
      <c r="C260" s="5" t="str">
        <f>IF($J260="","",INDEX('Detalle individual'!$E:$E,$J260))</f>
        <v/>
      </c>
      <c r="D260" s="5" t="str">
        <f>IF($J260="","",INDEX('Detalle individual'!$C:$C,$J260))</f>
        <v/>
      </c>
      <c r="E260" s="5" t="str">
        <f>IF($J260="","",INDEX('Detalle individual'!$D:$D,$J260))</f>
        <v/>
      </c>
      <c r="F260" s="96" t="str">
        <f>IF($J260="","",INDEX('Detalle individual'!$H:$H,$J260))</f>
        <v/>
      </c>
      <c r="G260" s="102" t="str">
        <f>IF($J260="","",INDEX('Detalle individual'!$J:$J,$J260))</f>
        <v/>
      </c>
      <c r="H260" s="102" t="str">
        <f>IF($J260="","",INDEX('Detalle individual'!$L:$L,$J260))</f>
        <v/>
      </c>
      <c r="J260" t="str">
        <f>IFERROR(MATCH(SMALL('Cálculos'!$AI$5:$AI$1000,256),'Cálculos'!$AI$5:$AI$1000,0)+4,"")</f>
        <v/>
      </c>
    </row>
    <row r="261">
      <c r="A261" s="5" t="str">
        <f>IF($J261="","",INDEX('Detalle individual'!$B:$B,$J261))</f>
        <v/>
      </c>
      <c r="B261" s="5" t="str">
        <f>IF($J261="","",INDEX('Detalle individual'!$A:$A,$J261))</f>
        <v/>
      </c>
      <c r="C261" s="5" t="str">
        <f>IF($J261="","",INDEX('Detalle individual'!$E:$E,$J261))</f>
        <v/>
      </c>
      <c r="D261" s="5" t="str">
        <f>IF($J261="","",INDEX('Detalle individual'!$C:$C,$J261))</f>
        <v/>
      </c>
      <c r="E261" s="5" t="str">
        <f>IF($J261="","",INDEX('Detalle individual'!$D:$D,$J261))</f>
        <v/>
      </c>
      <c r="F261" s="96" t="str">
        <f>IF($J261="","",INDEX('Detalle individual'!$H:$H,$J261))</f>
        <v/>
      </c>
      <c r="G261" s="102" t="str">
        <f>IF($J261="","",INDEX('Detalle individual'!$J:$J,$J261))</f>
        <v/>
      </c>
      <c r="H261" s="102" t="str">
        <f>IF($J261="","",INDEX('Detalle individual'!$L:$L,$J261))</f>
        <v/>
      </c>
      <c r="J261" t="str">
        <f>IFERROR(MATCH(SMALL('Cálculos'!$AI$5:$AI$1000,257),'Cálculos'!$AI$5:$AI$1000,0)+4,"")</f>
        <v/>
      </c>
    </row>
    <row r="262">
      <c r="A262" s="5" t="str">
        <f>IF($J262="","",INDEX('Detalle individual'!$B:$B,$J262))</f>
        <v/>
      </c>
      <c r="B262" s="5" t="str">
        <f>IF($J262="","",INDEX('Detalle individual'!$A:$A,$J262))</f>
        <v/>
      </c>
      <c r="C262" s="5" t="str">
        <f>IF($J262="","",INDEX('Detalle individual'!$E:$E,$J262))</f>
        <v/>
      </c>
      <c r="D262" s="5" t="str">
        <f>IF($J262="","",INDEX('Detalle individual'!$C:$C,$J262))</f>
        <v/>
      </c>
      <c r="E262" s="5" t="str">
        <f>IF($J262="","",INDEX('Detalle individual'!$D:$D,$J262))</f>
        <v/>
      </c>
      <c r="F262" s="96" t="str">
        <f>IF($J262="","",INDEX('Detalle individual'!$H:$H,$J262))</f>
        <v/>
      </c>
      <c r="G262" s="102" t="str">
        <f>IF($J262="","",INDEX('Detalle individual'!$J:$J,$J262))</f>
        <v/>
      </c>
      <c r="H262" s="102" t="str">
        <f>IF($J262="","",INDEX('Detalle individual'!$L:$L,$J262))</f>
        <v/>
      </c>
      <c r="J262" t="str">
        <f>IFERROR(MATCH(SMALL('Cálculos'!$AI$5:$AI$1000,258),'Cálculos'!$AI$5:$AI$1000,0)+4,"")</f>
        <v/>
      </c>
    </row>
    <row r="263">
      <c r="A263" s="5" t="str">
        <f>IF($J263="","",INDEX('Detalle individual'!$B:$B,$J263))</f>
        <v/>
      </c>
      <c r="B263" s="5" t="str">
        <f>IF($J263="","",INDEX('Detalle individual'!$A:$A,$J263))</f>
        <v/>
      </c>
      <c r="C263" s="5" t="str">
        <f>IF($J263="","",INDEX('Detalle individual'!$E:$E,$J263))</f>
        <v/>
      </c>
      <c r="D263" s="5" t="str">
        <f>IF($J263="","",INDEX('Detalle individual'!$C:$C,$J263))</f>
        <v/>
      </c>
      <c r="E263" s="5" t="str">
        <f>IF($J263="","",INDEX('Detalle individual'!$D:$D,$J263))</f>
        <v/>
      </c>
      <c r="F263" s="96" t="str">
        <f>IF($J263="","",INDEX('Detalle individual'!$H:$H,$J263))</f>
        <v/>
      </c>
      <c r="G263" s="102" t="str">
        <f>IF($J263="","",INDEX('Detalle individual'!$J:$J,$J263))</f>
        <v/>
      </c>
      <c r="H263" s="102" t="str">
        <f>IF($J263="","",INDEX('Detalle individual'!$L:$L,$J263))</f>
        <v/>
      </c>
      <c r="J263" t="str">
        <f>IFERROR(MATCH(SMALL('Cálculos'!$AI$5:$AI$1000,259),'Cálculos'!$AI$5:$AI$1000,0)+4,"")</f>
        <v/>
      </c>
    </row>
    <row r="264">
      <c r="A264" s="5" t="str">
        <f>IF($J264="","",INDEX('Detalle individual'!$B:$B,$J264))</f>
        <v/>
      </c>
      <c r="B264" s="5" t="str">
        <f>IF($J264="","",INDEX('Detalle individual'!$A:$A,$J264))</f>
        <v/>
      </c>
      <c r="C264" s="5" t="str">
        <f>IF($J264="","",INDEX('Detalle individual'!$E:$E,$J264))</f>
        <v/>
      </c>
      <c r="D264" s="5" t="str">
        <f>IF($J264="","",INDEX('Detalle individual'!$C:$C,$J264))</f>
        <v/>
      </c>
      <c r="E264" s="5" t="str">
        <f>IF($J264="","",INDEX('Detalle individual'!$D:$D,$J264))</f>
        <v/>
      </c>
      <c r="F264" s="96" t="str">
        <f>IF($J264="","",INDEX('Detalle individual'!$H:$H,$J264))</f>
        <v/>
      </c>
      <c r="G264" s="102" t="str">
        <f>IF($J264="","",INDEX('Detalle individual'!$J:$J,$J264))</f>
        <v/>
      </c>
      <c r="H264" s="102" t="str">
        <f>IF($J264="","",INDEX('Detalle individual'!$L:$L,$J264))</f>
        <v/>
      </c>
      <c r="J264" t="str">
        <f>IFERROR(MATCH(SMALL('Cálculos'!$AI$5:$AI$1000,260),'Cálculos'!$AI$5:$AI$1000,0)+4,"")</f>
        <v/>
      </c>
    </row>
    <row r="265">
      <c r="A265" s="5" t="str">
        <f>IF($J265="","",INDEX('Detalle individual'!$B:$B,$J265))</f>
        <v/>
      </c>
      <c r="B265" s="5" t="str">
        <f>IF($J265="","",INDEX('Detalle individual'!$A:$A,$J265))</f>
        <v/>
      </c>
      <c r="C265" s="5" t="str">
        <f>IF($J265="","",INDEX('Detalle individual'!$E:$E,$J265))</f>
        <v/>
      </c>
      <c r="D265" s="5" t="str">
        <f>IF($J265="","",INDEX('Detalle individual'!$C:$C,$J265))</f>
        <v/>
      </c>
      <c r="E265" s="5" t="str">
        <f>IF($J265="","",INDEX('Detalle individual'!$D:$D,$J265))</f>
        <v/>
      </c>
      <c r="F265" s="96" t="str">
        <f>IF($J265="","",INDEX('Detalle individual'!$H:$H,$J265))</f>
        <v/>
      </c>
      <c r="G265" s="102" t="str">
        <f>IF($J265="","",INDEX('Detalle individual'!$J:$J,$J265))</f>
        <v/>
      </c>
      <c r="H265" s="102" t="str">
        <f>IF($J265="","",INDEX('Detalle individual'!$L:$L,$J265))</f>
        <v/>
      </c>
      <c r="J265" t="str">
        <f>IFERROR(MATCH(SMALL('Cálculos'!$AI$5:$AI$1000,261),'Cálculos'!$AI$5:$AI$1000,0)+4,"")</f>
        <v/>
      </c>
    </row>
    <row r="266">
      <c r="A266" s="5" t="str">
        <f>IF($J266="","",INDEX('Detalle individual'!$B:$B,$J266))</f>
        <v/>
      </c>
      <c r="B266" s="5" t="str">
        <f>IF($J266="","",INDEX('Detalle individual'!$A:$A,$J266))</f>
        <v/>
      </c>
      <c r="C266" s="5" t="str">
        <f>IF($J266="","",INDEX('Detalle individual'!$E:$E,$J266))</f>
        <v/>
      </c>
      <c r="D266" s="5" t="str">
        <f>IF($J266="","",INDEX('Detalle individual'!$C:$C,$J266))</f>
        <v/>
      </c>
      <c r="E266" s="5" t="str">
        <f>IF($J266="","",INDEX('Detalle individual'!$D:$D,$J266))</f>
        <v/>
      </c>
      <c r="F266" s="96" t="str">
        <f>IF($J266="","",INDEX('Detalle individual'!$H:$H,$J266))</f>
        <v/>
      </c>
      <c r="G266" s="102" t="str">
        <f>IF($J266="","",INDEX('Detalle individual'!$J:$J,$J266))</f>
        <v/>
      </c>
      <c r="H266" s="102" t="str">
        <f>IF($J266="","",INDEX('Detalle individual'!$L:$L,$J266))</f>
        <v/>
      </c>
      <c r="J266" t="str">
        <f>IFERROR(MATCH(SMALL('Cálculos'!$AI$5:$AI$1000,262),'Cálculos'!$AI$5:$AI$1000,0)+4,"")</f>
        <v/>
      </c>
    </row>
    <row r="267">
      <c r="A267" s="5" t="str">
        <f>IF($J267="","",INDEX('Detalle individual'!$B:$B,$J267))</f>
        <v/>
      </c>
      <c r="B267" s="5" t="str">
        <f>IF($J267="","",INDEX('Detalle individual'!$A:$A,$J267))</f>
        <v/>
      </c>
      <c r="C267" s="5" t="str">
        <f>IF($J267="","",INDEX('Detalle individual'!$E:$E,$J267))</f>
        <v/>
      </c>
      <c r="D267" s="5" t="str">
        <f>IF($J267="","",INDEX('Detalle individual'!$C:$C,$J267))</f>
        <v/>
      </c>
      <c r="E267" s="5" t="str">
        <f>IF($J267="","",INDEX('Detalle individual'!$D:$D,$J267))</f>
        <v/>
      </c>
      <c r="F267" s="96" t="str">
        <f>IF($J267="","",INDEX('Detalle individual'!$H:$H,$J267))</f>
        <v/>
      </c>
      <c r="G267" s="102" t="str">
        <f>IF($J267="","",INDEX('Detalle individual'!$J:$J,$J267))</f>
        <v/>
      </c>
      <c r="H267" s="102" t="str">
        <f>IF($J267="","",INDEX('Detalle individual'!$L:$L,$J267))</f>
        <v/>
      </c>
      <c r="J267" t="str">
        <f>IFERROR(MATCH(SMALL('Cálculos'!$AI$5:$AI$1000,263),'Cálculos'!$AI$5:$AI$1000,0)+4,"")</f>
        <v/>
      </c>
    </row>
    <row r="268">
      <c r="A268" s="5" t="str">
        <f>IF($J268="","",INDEX('Detalle individual'!$B:$B,$J268))</f>
        <v/>
      </c>
      <c r="B268" s="5" t="str">
        <f>IF($J268="","",INDEX('Detalle individual'!$A:$A,$J268))</f>
        <v/>
      </c>
      <c r="C268" s="5" t="str">
        <f>IF($J268="","",INDEX('Detalle individual'!$E:$E,$J268))</f>
        <v/>
      </c>
      <c r="D268" s="5" t="str">
        <f>IF($J268="","",INDEX('Detalle individual'!$C:$C,$J268))</f>
        <v/>
      </c>
      <c r="E268" s="5" t="str">
        <f>IF($J268="","",INDEX('Detalle individual'!$D:$D,$J268))</f>
        <v/>
      </c>
      <c r="F268" s="96" t="str">
        <f>IF($J268="","",INDEX('Detalle individual'!$H:$H,$J268))</f>
        <v/>
      </c>
      <c r="G268" s="102" t="str">
        <f>IF($J268="","",INDEX('Detalle individual'!$J:$J,$J268))</f>
        <v/>
      </c>
      <c r="H268" s="102" t="str">
        <f>IF($J268="","",INDEX('Detalle individual'!$L:$L,$J268))</f>
        <v/>
      </c>
      <c r="J268" t="str">
        <f>IFERROR(MATCH(SMALL('Cálculos'!$AI$5:$AI$1000,264),'Cálculos'!$AI$5:$AI$1000,0)+4,"")</f>
        <v/>
      </c>
    </row>
    <row r="269">
      <c r="A269" s="5" t="str">
        <f>IF($J269="","",INDEX('Detalle individual'!$B:$B,$J269))</f>
        <v/>
      </c>
      <c r="B269" s="5" t="str">
        <f>IF($J269="","",INDEX('Detalle individual'!$A:$A,$J269))</f>
        <v/>
      </c>
      <c r="C269" s="5" t="str">
        <f>IF($J269="","",INDEX('Detalle individual'!$E:$E,$J269))</f>
        <v/>
      </c>
      <c r="D269" s="5" t="str">
        <f>IF($J269="","",INDEX('Detalle individual'!$C:$C,$J269))</f>
        <v/>
      </c>
      <c r="E269" s="5" t="str">
        <f>IF($J269="","",INDEX('Detalle individual'!$D:$D,$J269))</f>
        <v/>
      </c>
      <c r="F269" s="96" t="str">
        <f>IF($J269="","",INDEX('Detalle individual'!$H:$H,$J269))</f>
        <v/>
      </c>
      <c r="G269" s="102" t="str">
        <f>IF($J269="","",INDEX('Detalle individual'!$J:$J,$J269))</f>
        <v/>
      </c>
      <c r="H269" s="102" t="str">
        <f>IF($J269="","",INDEX('Detalle individual'!$L:$L,$J269))</f>
        <v/>
      </c>
      <c r="J269" t="str">
        <f>IFERROR(MATCH(SMALL('Cálculos'!$AI$5:$AI$1000,265),'Cálculos'!$AI$5:$AI$1000,0)+4,"")</f>
        <v/>
      </c>
    </row>
    <row r="270">
      <c r="A270" s="5" t="str">
        <f>IF($J270="","",INDEX('Detalle individual'!$B:$B,$J270))</f>
        <v/>
      </c>
      <c r="B270" s="5" t="str">
        <f>IF($J270="","",INDEX('Detalle individual'!$A:$A,$J270))</f>
        <v/>
      </c>
      <c r="C270" s="5" t="str">
        <f>IF($J270="","",INDEX('Detalle individual'!$E:$E,$J270))</f>
        <v/>
      </c>
      <c r="D270" s="5" t="str">
        <f>IF($J270="","",INDEX('Detalle individual'!$C:$C,$J270))</f>
        <v/>
      </c>
      <c r="E270" s="5" t="str">
        <f>IF($J270="","",INDEX('Detalle individual'!$D:$D,$J270))</f>
        <v/>
      </c>
      <c r="F270" s="96" t="str">
        <f>IF($J270="","",INDEX('Detalle individual'!$H:$H,$J270))</f>
        <v/>
      </c>
      <c r="G270" s="102" t="str">
        <f>IF($J270="","",INDEX('Detalle individual'!$J:$J,$J270))</f>
        <v/>
      </c>
      <c r="H270" s="102" t="str">
        <f>IF($J270="","",INDEX('Detalle individual'!$L:$L,$J270))</f>
        <v/>
      </c>
      <c r="J270" t="str">
        <f>IFERROR(MATCH(SMALL('Cálculos'!$AI$5:$AI$1000,266),'Cálculos'!$AI$5:$AI$1000,0)+4,"")</f>
        <v/>
      </c>
    </row>
    <row r="271">
      <c r="A271" s="5" t="str">
        <f>IF($J271="","",INDEX('Detalle individual'!$B:$B,$J271))</f>
        <v/>
      </c>
      <c r="B271" s="5" t="str">
        <f>IF($J271="","",INDEX('Detalle individual'!$A:$A,$J271))</f>
        <v/>
      </c>
      <c r="C271" s="5" t="str">
        <f>IF($J271="","",INDEX('Detalle individual'!$E:$E,$J271))</f>
        <v/>
      </c>
      <c r="D271" s="5" t="str">
        <f>IF($J271="","",INDEX('Detalle individual'!$C:$C,$J271))</f>
        <v/>
      </c>
      <c r="E271" s="5" t="str">
        <f>IF($J271="","",INDEX('Detalle individual'!$D:$D,$J271))</f>
        <v/>
      </c>
      <c r="F271" s="96" t="str">
        <f>IF($J271="","",INDEX('Detalle individual'!$H:$H,$J271))</f>
        <v/>
      </c>
      <c r="G271" s="102" t="str">
        <f>IF($J271="","",INDEX('Detalle individual'!$J:$J,$J271))</f>
        <v/>
      </c>
      <c r="H271" s="102" t="str">
        <f>IF($J271="","",INDEX('Detalle individual'!$L:$L,$J271))</f>
        <v/>
      </c>
      <c r="J271" t="str">
        <f>IFERROR(MATCH(SMALL('Cálculos'!$AI$5:$AI$1000,267),'Cálculos'!$AI$5:$AI$1000,0)+4,"")</f>
        <v/>
      </c>
    </row>
    <row r="272">
      <c r="A272" s="5" t="str">
        <f>IF($J272="","",INDEX('Detalle individual'!$B:$B,$J272))</f>
        <v/>
      </c>
      <c r="B272" s="5" t="str">
        <f>IF($J272="","",INDEX('Detalle individual'!$A:$A,$J272))</f>
        <v/>
      </c>
      <c r="C272" s="5" t="str">
        <f>IF($J272="","",INDEX('Detalle individual'!$E:$E,$J272))</f>
        <v/>
      </c>
      <c r="D272" s="5" t="str">
        <f>IF($J272="","",INDEX('Detalle individual'!$C:$C,$J272))</f>
        <v/>
      </c>
      <c r="E272" s="5" t="str">
        <f>IF($J272="","",INDEX('Detalle individual'!$D:$D,$J272))</f>
        <v/>
      </c>
      <c r="F272" s="96" t="str">
        <f>IF($J272="","",INDEX('Detalle individual'!$H:$H,$J272))</f>
        <v/>
      </c>
      <c r="G272" s="102" t="str">
        <f>IF($J272="","",INDEX('Detalle individual'!$J:$J,$J272))</f>
        <v/>
      </c>
      <c r="H272" s="102" t="str">
        <f>IF($J272="","",INDEX('Detalle individual'!$L:$L,$J272))</f>
        <v/>
      </c>
      <c r="J272" t="str">
        <f>IFERROR(MATCH(SMALL('Cálculos'!$AI$5:$AI$1000,268),'Cálculos'!$AI$5:$AI$1000,0)+4,"")</f>
        <v/>
      </c>
    </row>
    <row r="273">
      <c r="A273" s="5" t="str">
        <f>IF($J273="","",INDEX('Detalle individual'!$B:$B,$J273))</f>
        <v/>
      </c>
      <c r="B273" s="5" t="str">
        <f>IF($J273="","",INDEX('Detalle individual'!$A:$A,$J273))</f>
        <v/>
      </c>
      <c r="C273" s="5" t="str">
        <f>IF($J273="","",INDEX('Detalle individual'!$E:$E,$J273))</f>
        <v/>
      </c>
      <c r="D273" s="5" t="str">
        <f>IF($J273="","",INDEX('Detalle individual'!$C:$C,$J273))</f>
        <v/>
      </c>
      <c r="E273" s="5" t="str">
        <f>IF($J273="","",INDEX('Detalle individual'!$D:$D,$J273))</f>
        <v/>
      </c>
      <c r="F273" s="96" t="str">
        <f>IF($J273="","",INDEX('Detalle individual'!$H:$H,$J273))</f>
        <v/>
      </c>
      <c r="G273" s="102" t="str">
        <f>IF($J273="","",INDEX('Detalle individual'!$J:$J,$J273))</f>
        <v/>
      </c>
      <c r="H273" s="102" t="str">
        <f>IF($J273="","",INDEX('Detalle individual'!$L:$L,$J273))</f>
        <v/>
      </c>
      <c r="J273" t="str">
        <f>IFERROR(MATCH(SMALL('Cálculos'!$AI$5:$AI$1000,269),'Cálculos'!$AI$5:$AI$1000,0)+4,"")</f>
        <v/>
      </c>
    </row>
    <row r="274">
      <c r="A274" s="5" t="str">
        <f>IF($J274="","",INDEX('Detalle individual'!$B:$B,$J274))</f>
        <v/>
      </c>
      <c r="B274" s="5" t="str">
        <f>IF($J274="","",INDEX('Detalle individual'!$A:$A,$J274))</f>
        <v/>
      </c>
      <c r="C274" s="5" t="str">
        <f>IF($J274="","",INDEX('Detalle individual'!$E:$E,$J274))</f>
        <v/>
      </c>
      <c r="D274" s="5" t="str">
        <f>IF($J274="","",INDEX('Detalle individual'!$C:$C,$J274))</f>
        <v/>
      </c>
      <c r="E274" s="5" t="str">
        <f>IF($J274="","",INDEX('Detalle individual'!$D:$D,$J274))</f>
        <v/>
      </c>
      <c r="F274" s="96" t="str">
        <f>IF($J274="","",INDEX('Detalle individual'!$H:$H,$J274))</f>
        <v/>
      </c>
      <c r="G274" s="102" t="str">
        <f>IF($J274="","",INDEX('Detalle individual'!$J:$J,$J274))</f>
        <v/>
      </c>
      <c r="H274" s="102" t="str">
        <f>IF($J274="","",INDEX('Detalle individual'!$L:$L,$J274))</f>
        <v/>
      </c>
      <c r="J274" t="str">
        <f>IFERROR(MATCH(SMALL('Cálculos'!$AI$5:$AI$1000,270),'Cálculos'!$AI$5:$AI$1000,0)+4,"")</f>
        <v/>
      </c>
    </row>
    <row r="275">
      <c r="A275" s="5" t="str">
        <f>IF($J275="","",INDEX('Detalle individual'!$B:$B,$J275))</f>
        <v/>
      </c>
      <c r="B275" s="5" t="str">
        <f>IF($J275="","",INDEX('Detalle individual'!$A:$A,$J275))</f>
        <v/>
      </c>
      <c r="C275" s="5" t="str">
        <f>IF($J275="","",INDEX('Detalle individual'!$E:$E,$J275))</f>
        <v/>
      </c>
      <c r="D275" s="5" t="str">
        <f>IF($J275="","",INDEX('Detalle individual'!$C:$C,$J275))</f>
        <v/>
      </c>
      <c r="E275" s="5" t="str">
        <f>IF($J275="","",INDEX('Detalle individual'!$D:$D,$J275))</f>
        <v/>
      </c>
      <c r="F275" s="96" t="str">
        <f>IF($J275="","",INDEX('Detalle individual'!$H:$H,$J275))</f>
        <v/>
      </c>
      <c r="G275" s="102" t="str">
        <f>IF($J275="","",INDEX('Detalle individual'!$J:$J,$J275))</f>
        <v/>
      </c>
      <c r="H275" s="102" t="str">
        <f>IF($J275="","",INDEX('Detalle individual'!$L:$L,$J275))</f>
        <v/>
      </c>
      <c r="J275" t="str">
        <f>IFERROR(MATCH(SMALL('Cálculos'!$AI$5:$AI$1000,271),'Cálculos'!$AI$5:$AI$1000,0)+4,"")</f>
        <v/>
      </c>
    </row>
    <row r="276">
      <c r="A276" s="5" t="str">
        <f>IF($J276="","",INDEX('Detalle individual'!$B:$B,$J276))</f>
        <v/>
      </c>
      <c r="B276" s="5" t="str">
        <f>IF($J276="","",INDEX('Detalle individual'!$A:$A,$J276))</f>
        <v/>
      </c>
      <c r="C276" s="5" t="str">
        <f>IF($J276="","",INDEX('Detalle individual'!$E:$E,$J276))</f>
        <v/>
      </c>
      <c r="D276" s="5" t="str">
        <f>IF($J276="","",INDEX('Detalle individual'!$C:$C,$J276))</f>
        <v/>
      </c>
      <c r="E276" s="5" t="str">
        <f>IF($J276="","",INDEX('Detalle individual'!$D:$D,$J276))</f>
        <v/>
      </c>
      <c r="F276" s="96" t="str">
        <f>IF($J276="","",INDEX('Detalle individual'!$H:$H,$J276))</f>
        <v/>
      </c>
      <c r="G276" s="102" t="str">
        <f>IF($J276="","",INDEX('Detalle individual'!$J:$J,$J276))</f>
        <v/>
      </c>
      <c r="H276" s="102" t="str">
        <f>IF($J276="","",INDEX('Detalle individual'!$L:$L,$J276))</f>
        <v/>
      </c>
      <c r="J276" t="str">
        <f>IFERROR(MATCH(SMALL('Cálculos'!$AI$5:$AI$1000,272),'Cálculos'!$AI$5:$AI$1000,0)+4,"")</f>
        <v/>
      </c>
    </row>
    <row r="277">
      <c r="A277" s="5" t="str">
        <f>IF($J277="","",INDEX('Detalle individual'!$B:$B,$J277))</f>
        <v/>
      </c>
      <c r="B277" s="5" t="str">
        <f>IF($J277="","",INDEX('Detalle individual'!$A:$A,$J277))</f>
        <v/>
      </c>
      <c r="C277" s="5" t="str">
        <f>IF($J277="","",INDEX('Detalle individual'!$E:$E,$J277))</f>
        <v/>
      </c>
      <c r="D277" s="5" t="str">
        <f>IF($J277="","",INDEX('Detalle individual'!$C:$C,$J277))</f>
        <v/>
      </c>
      <c r="E277" s="5" t="str">
        <f>IF($J277="","",INDEX('Detalle individual'!$D:$D,$J277))</f>
        <v/>
      </c>
      <c r="F277" s="96" t="str">
        <f>IF($J277="","",INDEX('Detalle individual'!$H:$H,$J277))</f>
        <v/>
      </c>
      <c r="G277" s="102" t="str">
        <f>IF($J277="","",INDEX('Detalle individual'!$J:$J,$J277))</f>
        <v/>
      </c>
      <c r="H277" s="102" t="str">
        <f>IF($J277="","",INDEX('Detalle individual'!$L:$L,$J277))</f>
        <v/>
      </c>
      <c r="J277" t="str">
        <f>IFERROR(MATCH(SMALL('Cálculos'!$AI$5:$AI$1000,273),'Cálculos'!$AI$5:$AI$1000,0)+4,"")</f>
        <v/>
      </c>
    </row>
    <row r="278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96" t="str">
        <f>IF($J278="","",INDEX('Detalle individual'!$H:$H,$J278))</f>
        <v/>
      </c>
      <c r="G278" s="102" t="str">
        <f>IF($J278="","",INDEX('Detalle individual'!$J:$J,$J278))</f>
        <v/>
      </c>
      <c r="H278" s="102" t="str">
        <f>IF($J278="","",INDEX('Detalle individual'!$L:$L,$J278))</f>
        <v/>
      </c>
      <c r="J278" t="str">
        <f>IFERROR(MATCH(SMALL('Cálculos'!$AI$5:$AI$1000,274),'Cálculos'!$AI$5:$AI$1000,0)+4,"")</f>
        <v/>
      </c>
    </row>
    <row r="279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96" t="str">
        <f>IF($J279="","",INDEX('Detalle individual'!$H:$H,$J279))</f>
        <v/>
      </c>
      <c r="G279" s="102" t="str">
        <f>IF($J279="","",INDEX('Detalle individual'!$J:$J,$J279))</f>
        <v/>
      </c>
      <c r="H279" s="102" t="str">
        <f>IF($J279="","",INDEX('Detalle individual'!$L:$L,$J279))</f>
        <v/>
      </c>
      <c r="J279" t="str">
        <f>IFERROR(MATCH(SMALL('Cálculos'!$AI$5:$AI$1000,275),'Cálculos'!$AI$5:$AI$1000,0)+4,"")</f>
        <v/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6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/>
      </c>
      <c r="B17" s="5" t="str">
        <f>IF($L17="","",IFERROR(INDEX('Detalle individual'!$B:$B,MATCH($A17,'Detalle individual'!$A:$A,0)),TRIM(INDEX('Base Exámenes'!$A:$A,$L17))))</f>
        <v/>
      </c>
      <c r="C17" s="5" t="str">
        <f>IF($L17="","",IFERROR(INDEX('Detalle individual'!$C:$C,MATCH($A17,'Detalle individual'!$A:$A,0)),TRIM(INDEX('Base Exámenes'!$B:$B,$L17))))</f>
        <v/>
      </c>
      <c r="D17" s="5" t="str">
        <f>IF($L17="","",IFERROR(INDEX('Detalle individual'!$D:$D,MATCH($A17,'Detalle individual'!$A:$A,0)),"(no está en Base Oficial)"))</f>
        <v/>
      </c>
      <c r="E17" s="5" t="str">
        <f>IF($L17="","",COUNTIFS('Base Exámenes'!$C$5:$C$1000,INDEX('Base Exámenes'!$C:$C,$L17),'Base Exámenes'!$D$5:$D$1000,"&lt;="&amp;INDEX('Base Exámenes'!$D:$D,$L17)))</f>
        <v/>
      </c>
      <c r="F17" s="96" t="str">
        <f>IF($L17="","",INDEX('Base Exámenes'!$D:$D,$L17))</f>
        <v/>
      </c>
      <c r="G17" s="96" t="str">
        <f>IF($L17="","",INDEX('Base Exámenes'!$E:$E,$L17))</f>
        <v/>
      </c>
      <c r="H17" s="97" t="str">
        <f>IF($L17="","",INDEX('Base Exámenes'!$F:$F,$L17))</f>
        <v/>
      </c>
      <c r="I17" s="5" t="str">
        <f>IF($L17="","",INDEX('Base Exámenes'!$G:$G,$L17))</f>
        <v/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/>
      </c>
      <c r="L17" t="str">
        <f>IFERROR(MATCH(SMALL('Cálculos'!$AQ$5:$AQ$1000,13),'Cálculos'!$AQ$5:$AQ$1000,0)+4,"")</f>
        <v/>
      </c>
    </row>
    <row r="18">
      <c r="A18" s="5" t="str">
        <f>IF($L18="","",TRIM(INDEX('Base Exámenes'!$C:$C,$L18)))</f>
        <v/>
      </c>
      <c r="B18" s="5" t="str">
        <f>IF($L18="","",IFERROR(INDEX('Detalle individual'!$B:$B,MATCH($A18,'Detalle individual'!$A:$A,0)),TRIM(INDEX('Base Exámenes'!$A:$A,$L18))))</f>
        <v/>
      </c>
      <c r="C18" s="5" t="str">
        <f>IF($L18="","",IFERROR(INDEX('Detalle individual'!$C:$C,MATCH($A18,'Detalle individual'!$A:$A,0)),TRIM(INDEX('Base Exámenes'!$B:$B,$L18))))</f>
        <v/>
      </c>
      <c r="D18" s="5" t="str">
        <f>IF($L18="","",IFERROR(INDEX('Detalle individual'!$D:$D,MATCH($A18,'Detalle individual'!$A:$A,0)),"(no está en Base Oficial)"))</f>
        <v/>
      </c>
      <c r="E18" s="5" t="str">
        <f>IF($L18="","",COUNTIFS('Base Exámenes'!$C$5:$C$1000,INDEX('Base Exámenes'!$C:$C,$L18),'Base Exámenes'!$D$5:$D$1000,"&lt;="&amp;INDEX('Base Exámenes'!$D:$D,$L18)))</f>
        <v/>
      </c>
      <c r="F18" s="96" t="str">
        <f>IF($L18="","",INDEX('Base Exámenes'!$D:$D,$L18))</f>
        <v/>
      </c>
      <c r="G18" s="96" t="str">
        <f>IF($L18="","",INDEX('Base Exámenes'!$E:$E,$L18))</f>
        <v/>
      </c>
      <c r="H18" s="97" t="str">
        <f>IF($L18="","",INDEX('Base Exámenes'!$F:$F,$L18))</f>
        <v/>
      </c>
      <c r="I18" s="5" t="str">
        <f>IF($L18="","",INDEX('Base Exámenes'!$G:$G,$L18))</f>
        <v/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 t="str">
        <f>IFERROR(MATCH(SMALL('Cálculos'!$AQ$5:$AQ$1000,14),'Cálculos'!$AQ$5:$AQ$1000,0)+4,"")</f>
        <v/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Q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9</v>
      </c>
      <c r="K5" t="str">
        <f>IF(J5="","",INDEX($A$5:$A$24,J5)&amp;"   "&amp;TEXT(INDEX($E$5:$E$24,J5),"0%"))</f>
        <v>Gerencia General   100%</v>
      </c>
      <c r="L5">
        <f>IF(J5="","",INDEX($C$5:$C$24,J5))</f>
        <v>13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43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individual'!F5="Completado",30000000,0)+COUNTIF('Detalle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10</v>
      </c>
      <c r="K6" t="str">
        <f>IF(J6="","",INDEX($A$5:$A$24,J6)&amp;"   "&amp;TEXT(INDEX($E$5:$E$24,J6),"0%"))</f>
        <v>Gerencia Legal y Cumplimiento Normativo   100%</v>
      </c>
      <c r="L6">
        <f>IF(J6="","",INDEX($C$5:$C$24,J6))</f>
        <v>9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5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individual'!F6="Completado",30000000,0)+COUNTIF('Detalle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33</v>
      </c>
      <c r="D7">
        <f>IF($A7="","",'Consolidado por Gerencia'!D7)</f>
        <v>2</v>
      </c>
      <c r="E7">
        <f>IF($A7="","",IF(B7&gt;0,C7/B7,0))</f>
        <v>0.942857142857143</v>
      </c>
      <c r="F7">
        <f>IF($A7="","",E7*1000000+B7*10+(100-ROW())/1000)</f>
        <v>943207.235857143</v>
      </c>
      <c r="G7">
        <f>IF($A7="","",D7*1000+(100-ROW())/1000)</f>
        <v>2000.093</v>
      </c>
      <c r="I7" t="n">
        <v>3</v>
      </c>
      <c r="J7">
        <f>IF(I7&gt;COUNT($F$5:$F$24),"",MATCH(LARGE($F$5:$F$24,I7),$F$5:$F$24,0))</f>
        <v>1</v>
      </c>
      <c r="K7" t="str">
        <f>IF(J7="","",INDEX($A$5:$A$24,J7)&amp;"   "&amp;TEXT(INDEX($E$5:$E$24,J7),"0%"))</f>
        <v>Auditoría Interna   100%</v>
      </c>
      <c r="L7">
        <f>IF(J7="","",INDEX($C$5:$C$24,J7))</f>
        <v>7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3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individual'!F7="Completado",30000000,0)+COUNTIF('Detalle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15</v>
      </c>
      <c r="D8">
        <f>IF($A8="","",'Consolidado por Gerencia'!D8)</f>
        <v>3</v>
      </c>
      <c r="E8">
        <f>IF($A8="","",IF(B8&gt;0,C8/B8,0))</f>
        <v>0.833333333333333</v>
      </c>
      <c r="F8">
        <f>IF($A8="","",E8*1000000+B8*10+(100-ROW())/1000)</f>
        <v>833513.425333333</v>
      </c>
      <c r="G8">
        <f>IF($A8="","",D8*1000+(100-ROW())/1000)</f>
        <v>3000.092</v>
      </c>
      <c r="I8" t="n">
        <v>4</v>
      </c>
      <c r="J8">
        <f>IF(I8&gt;COUNT($F$5:$F$24),"",MATCH(LARGE($F$5:$F$24,I8),$F$5:$F$24,0))</f>
        <v>6</v>
      </c>
      <c r="K8" t="str">
        <f>IF(J8="","",INDEX($A$5:$A$24,J8)&amp;"   "&amp;TEXT(INDEX($E$5:$E$24,J8),"0%"))</f>
        <v>Gerencia de Oficialía de Cumplimiento   100%</v>
      </c>
      <c r="L8">
        <f>IF(J8="","",INDEX($C$5:$C$24,J8))</f>
        <v>7</v>
      </c>
      <c r="M8">
        <f>IF(J8="","",INDEX($D$5:$D$24,J8))</f>
        <v>0</v>
      </c>
      <c r="P8">
        <f>IF(I8&gt;COUNT($G$5:$G$24),"",MATCH(LARGE($G$5:$G$24,I8),$G$5:$G$24,0))</f>
        <v>8</v>
      </c>
      <c r="Q8" t="str">
        <f>IF(P8="","",INDEX($A$5:$A$24,P8))</f>
        <v>Gerencia de Sistemas</v>
      </c>
      <c r="R8">
        <f>IF(P8="","",INDEX($D$5:$D$24,P8))</f>
        <v>3</v>
      </c>
      <c r="V8" t="str">
        <f>A7</f>
        <v>Gerencia Administrativa</v>
      </c>
      <c r="W8" t="str">
        <f>A32</f>
        <v>ADMINISTRACION DE RIESGOS</v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individual'!F8="Completado",30000000,0)+COUNTIF('Detalle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111</v>
      </c>
      <c r="D9">
        <f>IF($A9="","",'Consolidado por Gerencia'!D9)</f>
        <v>43</v>
      </c>
      <c r="E9">
        <f>IF($A9="","",IF(B9&gt;0,C9/B9,0))</f>
        <v>0.720779220779221</v>
      </c>
      <c r="F9">
        <f>IF($A9="","",E9*1000000+B9*10+(100-ROW())/1000)</f>
        <v>722319.311779221</v>
      </c>
      <c r="G9">
        <f>IF($A9="","",D9*1000+(100-ROW())/1000)</f>
        <v>43000.091</v>
      </c>
      <c r="I9" t="n">
        <v>5</v>
      </c>
      <c r="J9">
        <f>IF(I9&gt;COUNT($F$5:$F$24),"",MATCH(LARGE($F$5:$F$24,I9),$F$5:$F$24,0))</f>
        <v>2</v>
      </c>
      <c r="K9" t="str">
        <f>IF(J9="","",INDEX($A$5:$A$24,J9)&amp;"   "&amp;TEXT(INDEX($E$5:$E$24,J9),"0%"))</f>
        <v>Consejo de Administración   100%</v>
      </c>
      <c r="L9">
        <f>IF(J9="","",INDEX($C$5:$C$24,J9))</f>
        <v>1</v>
      </c>
      <c r="M9">
        <f>IF(J9="","",INDEX($D$5:$D$24,J9))</f>
        <v>0</v>
      </c>
      <c r="P9">
        <f>IF(I9&gt;COUNT($G$5:$G$24),"",MATCH(LARGE($G$5:$G$24,I9),$G$5:$G$24,0))</f>
        <v>3</v>
      </c>
      <c r="Q9" t="str">
        <f>IF(P9="","",INDEX($A$5:$A$24,P9))</f>
        <v>Gerencia Administrativa</v>
      </c>
      <c r="R9">
        <f>IF(P9="","",INDEX($D$5:$D$24,P9))</f>
        <v>2</v>
      </c>
      <c r="V9" t="str">
        <f>A8</f>
        <v>Gerencia de Finanzas y Planificación</v>
      </c>
      <c r="W9" t="str">
        <f>A33</f>
        <v>AGENCIA CENTRAL</v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individual'!F9="Completado",30000000,0)+COUNTIF('Detalle individual'!$C$5:$C$1000,"&lt;"&amp;'Detalle individual'!C9)*10000+ROW(),""))</f>
        <v>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I9" t="str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3</v>
      </c>
      <c r="K10" t="str">
        <f>IF(J10="","",INDEX($A$5:$A$24,J10)&amp;"   "&amp;TEXT(INDEX($E$5:$E$24,J10),"0%"))</f>
        <v>Gerencia Administrativa   94%</v>
      </c>
      <c r="L10">
        <f>IF(J10="","",INDEX($C$5:$C$24,J10))</f>
        <v>33</v>
      </c>
      <c r="M10">
        <f>IF(J10="","",INDEX($D$5:$D$24,J10))</f>
        <v>2</v>
      </c>
      <c r="P10">
        <f>IF(I10&gt;COUNT($G$5:$G$24),"",MATCH(LARGE($G$5:$G$24,I10),$G$5:$G$24,0))</f>
        <v>1</v>
      </c>
      <c r="Q10" t="str">
        <f>IF(P10="","",INDEX($A$5:$A$24,P10))</f>
        <v>Auditoría Interna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individual'!F10="Completado",30000000,0)+COUNTIF('Detalle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21</v>
      </c>
      <c r="D11">
        <f>IF($A11="","",'Consolidado por Gerencia'!D11)</f>
        <v>5</v>
      </c>
      <c r="E11">
        <f>IF($A11="","",IF(B11&gt;0,C11/B11,0))</f>
        <v>0.807692307692308</v>
      </c>
      <c r="F11">
        <f>IF($A11="","",E11*1000000+B11*10+(100-ROW())/1000)</f>
        <v>807952.396692308</v>
      </c>
      <c r="G11">
        <f>IF($A11="","",D11*1000+(100-ROW())/1000)</f>
        <v>5000.089</v>
      </c>
      <c r="I11" t="n">
        <v>7</v>
      </c>
      <c r="J11">
        <f>IF(I11&gt;COUNT($F$5:$F$24),"",MATCH(LARGE($F$5:$F$24,I11),$F$5:$F$24,0))</f>
        <v>8</v>
      </c>
      <c r="K11" t="str">
        <f>IF(J11="","",INDEX($A$5:$A$24,J11)&amp;"   "&amp;TEXT(INDEX($E$5:$E$24,J11),"0%"))</f>
        <v>Gerencia de Sistemas   87%</v>
      </c>
      <c r="L11">
        <f>IF(J11="","",INDEX($C$5:$C$24,J11))</f>
        <v>20</v>
      </c>
      <c r="M11">
        <f>IF(J11="","",INDEX($D$5:$D$24,J11))</f>
        <v>3</v>
      </c>
      <c r="P11">
        <f>IF(I11&gt;COUNT($G$5:$G$24),"",MATCH(LARGE($G$5:$G$24,I11),$G$5:$G$24,0))</f>
        <v>2</v>
      </c>
      <c r="Q11" t="str">
        <f>IF(P11="","",INDEX($A$5:$A$24,P11))</f>
        <v>Consejo de Administración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individual'!F11="Completado",30000000,0)+COUNTIF('Detalle individual'!$C$5:$C$1000,"&lt;"&amp;'Detalle individual'!C11)*10000+ROW(),""))</f>
        <v>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I11" t="str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 t="str">
        <f>IF('Consolidado por área'!G11="Completo",'Consolidado por área'!L11+ROW()/1000000000,"")</f>
        <v/>
      </c>
      <c r="AQ11" t="str">
        <f>IF('Base Exámenes'!C11="","",IF(COUNTIF('Base Exámenes'!$C$5:$C$1000,'Base Exámenes'!C11)&lt;2,"",MATCH('Base Exámenes'!C11,'Base Exámenes'!$C$5:$C$1000,0)*10000+ROW()))</f>
        <v/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20</v>
      </c>
      <c r="D12">
        <f>IF($A12="","",'Consolidado por Gerencia'!D12)</f>
        <v>3</v>
      </c>
      <c r="E12">
        <f>IF($A12="","",IF(B12&gt;0,C12/B12,0))</f>
        <v>0.869565217391304</v>
      </c>
      <c r="F12">
        <f>IF($A12="","",E12*1000000+B12*10+(100-ROW())/1000)</f>
        <v>869795.305391304</v>
      </c>
      <c r="G12">
        <f>IF($A12="","",D12*1000+(100-ROW())/1000)</f>
        <v>3000.088</v>
      </c>
      <c r="I12" t="n">
        <v>8</v>
      </c>
      <c r="J12">
        <f>IF(I12&gt;COUNT($F$5:$F$24),"",MATCH(LARGE($F$5:$F$24,I12),$F$5:$F$24,0))</f>
        <v>4</v>
      </c>
      <c r="K12" t="str">
        <f>IF(J12="","",INDEX($A$5:$A$24,J12)&amp;"   "&amp;TEXT(INDEX($E$5:$E$24,J12),"0%"))</f>
        <v>Gerencia de Finanzas y Planificación   83%</v>
      </c>
      <c r="L12">
        <f>IF(J12="","",INDEX($C$5:$C$24,J12))</f>
        <v>15</v>
      </c>
      <c r="M12">
        <f>IF(J12="","",INDEX($D$5:$D$24,J12))</f>
        <v>3</v>
      </c>
      <c r="P12">
        <f>IF(I12&gt;COUNT($G$5:$G$24),"",MATCH(LARGE($G$5:$G$24,I12),$G$5:$G$24,0))</f>
        <v>6</v>
      </c>
      <c r="Q12" t="str">
        <f>IF(P12="","",INDEX($A$5:$A$24,P12))</f>
        <v>Gerencia de Oficialía de Cumplimiento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individual'!F12="Completado",30000000,0)+COUNTIF('Detalle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 t="str">
        <f>IF('Consolidado por área'!G12="Completo",'Consolidado por área'!L12+ROW()/1000000000,"")</f>
        <v/>
      </c>
      <c r="AQ12">
        <f>IF('Base Exámenes'!C12="","",IF(COUNTIF('Base Exámenes'!$C$5:$C$1000,'Base Exámenes'!C12)&lt;2,"",MATCH('Base Exámenes'!C12,'Base Exámenes'!$C$5:$C$1000,0)*10000+ROW()))</f>
        <v>80012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7</v>
      </c>
      <c r="K13" t="str">
        <f>IF(J13="","",INDEX($A$5:$A$24,J13)&amp;"   "&amp;TEXT(INDEX($E$5:$E$24,J13),"0%"))</f>
        <v>Gerencia de Operaciones   81%</v>
      </c>
      <c r="L13">
        <f>IF(J13="","",INDEX($C$5:$C$24,J13))</f>
        <v>21</v>
      </c>
      <c r="M13">
        <f>IF(J13="","",INDEX($D$5:$D$24,J13))</f>
        <v>5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individual'!F13="Completado",30000000,0)+COUNTIF('Detalle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5</v>
      </c>
      <c r="K14" t="str">
        <f>IF(J14="","",INDEX($A$5:$A$24,J14)&amp;"   "&amp;TEXT(INDEX($E$5:$E$24,J14),"0%"))</f>
        <v>Gerencia de Negocios   72%</v>
      </c>
      <c r="L14">
        <f>IF(J14="","",INDEX($C$5:$C$24,J14))</f>
        <v>111</v>
      </c>
      <c r="M14">
        <f>IF(J14="","",INDEX($D$5:$D$24,J14))</f>
        <v>43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individual'!F14="Completado",30000000,0)+COUNTIF('Detalle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 t="str">
        <f>IF('Consolidado por área'!G14="Completo",'Consolidado por área'!L14+ROW()/1000000000,"")</f>
        <v/>
      </c>
      <c r="AQ14" t="str">
        <f>IF('Base Exámenes'!C14="","",IF(COUNTIF('Base Exámenes'!$C$5:$C$1000,'Base Exámenes'!C14)&lt;2,"",MATCH('Base Exámenes'!C14,'Base Exámenes'!$C$5:$C$1000,0)*10000+ROW()))</f>
        <v/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individual'!F15="Completado",30000000,0)+COUNTIF('Detalle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individual'!F16="Completado",30000000,0)+COUNTIF('Detalle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individual'!F17="Completado",30000000,0)+COUNTIF('Detalle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individual'!F18="Completado",30000000,0)+COUNTIF('Detalle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individual'!F19="Completado",30000000,0)+COUNTIF('Detalle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individual'!F20="Completado",30000000,0)+COUNTIF('Detalle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 t="str">
        <f>IF('Consolidado por área'!G20="Completo",'Consolidado por área'!L20+ROW()/1000000000,"")</f>
        <v/>
      </c>
      <c r="AQ20" t="str">
        <f>IF('Base Exámenes'!C20="","",IF(COUNTIF('Base Exámenes'!$C$5:$C$1000,'Base Exámenes'!C20)&lt;2,"",MATCH('Base Exámenes'!C20,'Base Exámenes'!$C$5:$C$1000,0)*10000+ROW()))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individual'!F21="Completado",30000000,0)+COUNTIF('Detalle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 t="str">
        <f>IF('Consolidado por área'!G21="Completo",'Consolidado por área'!L21+ROW()/1000000000,"")</f>
        <v/>
      </c>
      <c r="AQ21" t="str">
        <f>IF('Base Exámenes'!C21="","",IF(COUNTIF('Base Exámenes'!$C$5:$C$1000,'Base Exámenes'!C21)&lt;2,"",MATCH('Base Exámenes'!C21,'Base Exámenes'!$C$5:$C$1000,0)*10000+ROW()))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individual'!F22="Completado",30000000,0)+COUNTIF('Detalle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individual'!F23="Completado",30000000,0)+COUNTIF('Detalle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 t="str">
        <f>IF('Consolidado por área'!G23="Completo",'Consolidado por área'!L23+ROW()/1000000000,"")</f>
        <v/>
      </c>
      <c r="AQ23" t="str">
        <f>IF('Base Exámenes'!C23="","",IF(COUNTIF('Base Exámenes'!$C$5:$C$1000,'Base Exámenes'!C23)&lt;2,"",MATCH('Base Exámenes'!C23,'Base Exámenes'!$C$5:$C$1000,0)*10000+ROW()))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individual'!F24="Completado",30000000,0)+COUNTIF('Detalle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individual'!F25="Completado",30000000,0)+COUNTIF('Detalle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individual'!F26="Completado",30000000,0)+COUNTIF('Detalle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individual'!F27="Completado",30000000,0)+COUNTIF('Detalle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 t="str">
        <f>IF('Consolidado por área'!G27="Completo",'Consolidado por área'!L27+ROW()/1000000000,"")</f>
        <v/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individual'!F28="Completado",30000000,0)+COUNTIF('Detalle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individual'!F29="Completado",30000000,0)+COUNTIF('Detalle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individual'!F30="Completado",30000000,0)+COUNTIF('Detalle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20</v>
      </c>
      <c r="L31" t="str">
        <f>IF($K31="","",INDEX($A$30:$A$109,K31)&amp;"   "&amp;TEXT(INDEX($F$30:$F$109,K31),"0%"))</f>
        <v>DEPARTAMENTO DE CREDITOS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DEPARTAMENTO DE CREDITOS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98.4615384615385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individual'!F31="Completado",30000000,0)+COUNTIF('Detalle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34</v>
      </c>
      <c r="L32" t="str">
        <f>IF($K32="","",INDEX($A$30:$A$109,K32)&amp;"   "&amp;TEXT(INDEX($F$30:$F$109,K32),"0%"))</f>
        <v>DEPARTAMENTO LEGAL   100%</v>
      </c>
      <c r="M32">
        <f>IF($K32="","",INDEX($D$30:$D$109,K32))</f>
        <v>8</v>
      </c>
      <c r="N32">
        <f>IF($K32="","",INDEX($E$30:$E$109,K32))</f>
        <v>0</v>
      </c>
      <c r="O32" t="str">
        <f>IF($K32="","",INDEX($A$30:$A$109,K32))</f>
        <v>DEPARTAMENTO LEGAL</v>
      </c>
      <c r="P32" t="str">
        <f>IF($K32="","",INDEX($B$30:$B$109,K32))</f>
        <v>Gerencia Legal y Cumplimiento Normativo</v>
      </c>
      <c r="Q32">
        <f>IF($K32="","",INDEX($C$30:$C$109,K32))</f>
        <v>8</v>
      </c>
      <c r="R32">
        <f>IF($K32="","",INDEX($F$30:$F$109,K32))</f>
        <v>1</v>
      </c>
      <c r="S32">
        <f>IF($K32="","",INDEX($H$30:$H$109,K32))</f>
        <v>97.5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individual'!F32="Completado",30000000,0)+COUNTIF('Detalle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8</v>
      </c>
      <c r="E33">
        <f>IF($A33="","",'Consolidado por área'!E8)</f>
        <v>10</v>
      </c>
      <c r="F33">
        <f>IF($A33="","",IF(C33&gt;0,D33/C33,0))</f>
        <v>0.444444444444444</v>
      </c>
      <c r="G33">
        <f>IF($A33="","",F33*1000000+C33*10+(1000-ROW())/10000)</f>
        <v>444624.541144444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12</v>
      </c>
      <c r="L33" t="str">
        <f>IF($K33="","",INDEX($A$30:$A$109,K33)&amp;"   "&amp;TEXT(INDEX($F$30:$F$109,K33),"0%"))</f>
        <v>AGENCIA USULUTAN   100%</v>
      </c>
      <c r="M33">
        <f>IF($K33="","",INDEX($D$30:$D$109,K33))</f>
        <v>7</v>
      </c>
      <c r="N33">
        <f>IF($K33="","",INDEX($E$30:$E$109,K33))</f>
        <v>0</v>
      </c>
      <c r="O33" t="str">
        <f>IF($K33="","",INDEX($A$30:$A$109,K33))</f>
        <v>AGENCIA USULUTAN</v>
      </c>
      <c r="P33" t="str">
        <f>IF($K33="","",INDEX($B$30:$B$109,K33))</f>
        <v>Gerencia de Negocios</v>
      </c>
      <c r="Q33">
        <f>IF($K33="","",INDEX($C$30:$C$109,K33))</f>
        <v>7</v>
      </c>
      <c r="R33">
        <f>IF($K33="","",INDEX($F$30:$F$109,K33))</f>
        <v>1</v>
      </c>
      <c r="S33">
        <f>IF($K33="","",INDEX($H$30:$H$109,K33))</f>
        <v>100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individual'!F33="Completado",30000000,0)+COUNTIF('Detalle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10</v>
      </c>
      <c r="E34">
        <f>IF($A34="","",'Consolidado por área'!E9)</f>
        <v>2</v>
      </c>
      <c r="F34">
        <f>IF($A34="","",IF(C34&gt;0,D34/C34,0))</f>
        <v>0.833333333333333</v>
      </c>
      <c r="G34">
        <f>IF($A34="","",F34*1000000+C34*10+(1000-ROW())/10000)</f>
        <v>833453.429933333</v>
      </c>
      <c r="H34">
        <f>IF($A34="","",'Consolidado por área'!H9)</f>
        <v>97</v>
      </c>
      <c r="J34" t="n">
        <v>5</v>
      </c>
      <c r="K34">
        <f>IF(J34&gt;COUNT($G$30:$G$109),"",MATCH(LARGE($G$30:$G$109,J34),$G$30:$G$109,0))</f>
        <v>18</v>
      </c>
      <c r="L34" t="str">
        <f>IF($K34="","",INDEX($A$30:$A$109,K34)&amp;"   "&amp;TEXT(INDEX($F$30:$F$109,K34),"0%"))</f>
        <v>DEPARTAMENTO DE AUDITORIA INTERNA   100%</v>
      </c>
      <c r="M34">
        <f>IF($K34="","",INDEX($D$30:$D$109,K34))</f>
        <v>7</v>
      </c>
      <c r="N34">
        <f>IF($K34="","",INDEX($E$30:$E$109,K34))</f>
        <v>0</v>
      </c>
      <c r="O34" t="str">
        <f>IF($K34="","",INDEX($A$30:$A$109,K34))</f>
        <v>DEPARTAMENTO DE AUDITORIA INTERNA</v>
      </c>
      <c r="P34" t="str">
        <f>IF($K34="","",INDEX($B$30:$B$109,K34))</f>
        <v>Auditoría Interna</v>
      </c>
      <c r="Q34">
        <f>IF($K34="","",INDEX($C$30:$C$109,K34))</f>
        <v>7</v>
      </c>
      <c r="R34">
        <f>IF($K34="","",INDEX($F$30:$F$109,K34))</f>
        <v>1</v>
      </c>
      <c r="S34">
        <f>IF($K34="","",INDEX($H$30:$H$109,K34))</f>
        <v>97.1428571428571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individual'!F34="Completado",30000000,0)+COUNTIF('Detalle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7</v>
      </c>
      <c r="E35">
        <f>IF($A35="","",'Consolidado por área'!E10)</f>
        <v>9</v>
      </c>
      <c r="F35">
        <f>IF($A35="","",IF(C35&gt;0,D35/C35,0))</f>
        <v>0.4375</v>
      </c>
      <c r="G35">
        <f>IF($A35="","",F35*1000000+C35*10+(1000-ROW())/10000)</f>
        <v>437660.0965</v>
      </c>
      <c r="H35">
        <f>IF($A35="","",'Consolidado por área'!H10)</f>
        <v>97.8571428571429</v>
      </c>
      <c r="J35" t="n">
        <v>6</v>
      </c>
      <c r="K35">
        <f>IF(J35&gt;COUNT($G$30:$G$109),"",MATCH(LARGE($G$30:$G$109,J35),$G$30:$G$109,0))</f>
        <v>42</v>
      </c>
      <c r="L35" t="str">
        <f>IF($K35="","",INDEX($A$30:$A$109,K35)&amp;"   "&amp;TEXT(INDEX($F$30:$F$109,K35),"0%"))</f>
        <v>OFICIALIA DE CUMPLIMIENTO   100%</v>
      </c>
      <c r="M35">
        <f>IF($K35="","",INDEX($D$30:$D$109,K35))</f>
        <v>7</v>
      </c>
      <c r="N35">
        <f>IF($K35="","",INDEX($E$30:$E$109,K35))</f>
        <v>0</v>
      </c>
      <c r="O35" t="str">
        <f>IF($K35="","",INDEX($A$30:$A$109,K35))</f>
        <v>OFICIALIA DE CUMPLIMIENTO</v>
      </c>
      <c r="P35" t="str">
        <f>IF($K35="","",INDEX($B$30:$B$109,K35))</f>
        <v>Gerencia de Oficialía de Cumplimiento</v>
      </c>
      <c r="Q35">
        <f>IF($K35="","",INDEX($C$30:$C$109,K35))</f>
        <v>7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individual'!F35="Completado",30000000,0)+COUNTIF('Detalle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12</v>
      </c>
      <c r="E36">
        <f>IF($A36="","",'Consolidado por área'!E11)</f>
        <v>1</v>
      </c>
      <c r="F36">
        <f>IF($A36="","",IF(C36&gt;0,D36/C36,0))</f>
        <v>0.923076923076923</v>
      </c>
      <c r="G36">
        <f>IF($A36="","",F36*1000000+C36*10+(1000-ROW())/10000)</f>
        <v>923207.019476923</v>
      </c>
      <c r="H36">
        <f>IF($A36="","",'Consolidado por área'!H11)</f>
        <v>95.4166666666667</v>
      </c>
      <c r="J36" t="n">
        <v>7</v>
      </c>
      <c r="K36">
        <f>IF(J36&gt;COUNT($G$30:$G$109),"",MATCH(LARGE($G$30:$G$109,J36),$G$30:$G$109,0))</f>
        <v>44</v>
      </c>
      <c r="L36" t="str">
        <f>IF($K36="","",INDEX($A$30:$A$109,K36)&amp;"   "&amp;TEXT(INDEX($F$30:$F$109,K36),"0%"))</f>
        <v>SUB GERENCIA DE CANALES   100%</v>
      </c>
      <c r="M36">
        <f>IF($K36="","",INDEX($D$30:$D$109,K36))</f>
        <v>7</v>
      </c>
      <c r="N36">
        <f>IF($K36="","",INDEX($E$30:$E$109,K36))</f>
        <v>0</v>
      </c>
      <c r="O36" t="str">
        <f>IF($K36="","",INDEX($A$30:$A$109,K36))</f>
        <v>SUB GERENCIA DE CANALES</v>
      </c>
      <c r="P36" t="str">
        <f>IF($K36="","",INDEX($B$30:$B$109,K36))</f>
        <v>Gerencia de Negocios</v>
      </c>
      <c r="Q36">
        <f>IF($K36="","",INDEX($C$30:$C$109,K36))</f>
        <v>7</v>
      </c>
      <c r="R36">
        <f>IF($K36="","",INDEX($F$30:$F$109,K36))</f>
        <v>1</v>
      </c>
      <c r="S36">
        <f>IF($K36="","",INDEX($H$30:$H$109,K36))</f>
        <v>98.5714285714286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individual'!F36="Completado",30000000,0)+COUNTIF('Detalle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7</v>
      </c>
      <c r="E37">
        <f>IF($A37="","",'Consolidado por área'!E12)</f>
        <v>1</v>
      </c>
      <c r="F37">
        <f>IF($A37="","",IF(C37&gt;0,D37/C37,0))</f>
        <v>0.875</v>
      </c>
      <c r="G37">
        <f>IF($A37="","",F37*1000000+C37*10+(1000-ROW())/10000)</f>
        <v>875080.0963</v>
      </c>
      <c r="H37">
        <f>IF($A37="","",'Consolidado por área'!H12)</f>
        <v>98.5714285714286</v>
      </c>
      <c r="J37" t="n">
        <v>8</v>
      </c>
      <c r="K37">
        <f>IF(J37&gt;COUNT($G$30:$G$109),"",MATCH(LARGE($G$30:$G$109,J37),$G$30:$G$109,0))</f>
        <v>21</v>
      </c>
      <c r="L37" t="str">
        <f>IF($K37="","",INDEX($A$30:$A$109,K37)&amp;"   "&amp;TEXT(INDEX($F$30:$F$109,K37),"0%"))</f>
        <v>DEPARTAMENTO DE CUSTODIA DE GARANTÍA Y VALORES   100%</v>
      </c>
      <c r="M37">
        <f>IF($K37="","",INDEX($D$30:$D$109,K37))</f>
        <v>6</v>
      </c>
      <c r="N37">
        <f>IF($K37="","",INDEX($E$30:$E$109,K37))</f>
        <v>0</v>
      </c>
      <c r="O37" t="str">
        <f>IF($K37="","",INDEX($A$30:$A$109,K37))</f>
        <v>DEPARTAMENTO DE CUSTODIA DE GARANTÍA Y VALORES</v>
      </c>
      <c r="P37" t="str">
        <f>IF($K37="","",INDEX($B$30:$B$109,K37))</f>
        <v>Gerencia Administrativa</v>
      </c>
      <c r="Q37">
        <f>IF($K37="","",INDEX($C$30:$C$109,K37))</f>
        <v>6</v>
      </c>
      <c r="R37">
        <f>IF($K37="","",INDEX($F$30:$F$109,K37))</f>
        <v>1</v>
      </c>
      <c r="S37">
        <f>IF($K37="","",INDEX($H$30:$H$109,K37))</f>
        <v>100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individual'!F37="Completado",30000000,0)+COUNTIF('Detalle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3</v>
      </c>
      <c r="L38" t="str">
        <f>IF($K38="","",INDEX($A$30:$A$109,K38)&amp;"   "&amp;TEXT(INDEX($F$30:$F$109,K38),"0%"))</f>
        <v>ADMINISTRACION DE RIESGOS   100%</v>
      </c>
      <c r="M38">
        <f>IF($K38="","",INDEX($D$30:$D$109,K38))</f>
        <v>4</v>
      </c>
      <c r="N38">
        <f>IF($K38="","",INDEX($E$30:$E$109,K38))</f>
        <v>0</v>
      </c>
      <c r="O38" t="str">
        <f>IF($K38="","",INDEX($A$30:$A$109,K38))</f>
        <v>ADMINISTRACION DE RIESGOS</v>
      </c>
      <c r="P38" t="str">
        <f>IF($K38="","",INDEX($B$30:$B$109,K38))</f>
        <v>Gerencia General</v>
      </c>
      <c r="Q38">
        <f>IF($K38="","",INDEX($C$30:$C$109,K38))</f>
        <v>4</v>
      </c>
      <c r="R38">
        <f>IF($K38="","",INDEX($F$30:$F$109,K38))</f>
        <v>1</v>
      </c>
      <c r="S38">
        <f>IF($K38="","",INDEX($H$30:$H$109,K38))</f>
        <v>100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individual'!F38="Completado",30000000,0)+COUNTIF('Detalle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4</v>
      </c>
      <c r="E39">
        <f>IF($A39="","",'Consolidado por área'!E14)</f>
        <v>4</v>
      </c>
      <c r="F39">
        <f>IF($A39="","",IF(C39&gt;0,D39/C39,0))</f>
        <v>0.5</v>
      </c>
      <c r="G39">
        <f>IF($A39="","",F39*1000000+C39*10+(1000-ROW())/10000)</f>
        <v>500080.0961</v>
      </c>
      <c r="H39">
        <f>IF($A39="","",'Consolidado por área'!H14)</f>
        <v>95</v>
      </c>
      <c r="J39" t="n">
        <v>10</v>
      </c>
      <c r="K39">
        <f>IF(J39&gt;COUNT($G$30:$G$109),"",MATCH(LARGE($G$30:$G$109,J39),$G$30:$G$109,0))</f>
        <v>22</v>
      </c>
      <c r="L39" t="str">
        <f>IF($K39="","",INDEX($A$30:$A$109,K39)&amp;"   "&amp;TEXT(INDEX($F$30:$F$109,K39),"0%"))</f>
        <v>DEPARTAMENTO DE DEPOSITOS   100%</v>
      </c>
      <c r="M39">
        <f>IF($K39="","",INDEX($D$30:$D$109,K39))</f>
        <v>4</v>
      </c>
      <c r="N39">
        <f>IF($K39="","",INDEX($E$30:$E$109,K39))</f>
        <v>0</v>
      </c>
      <c r="O39" t="str">
        <f>IF($K39="","",INDEX($A$30:$A$109,K39))</f>
        <v>DEPARTAMENTO DE DEPOSITOS</v>
      </c>
      <c r="P39" t="str">
        <f>IF($K39="","",INDEX($B$30:$B$109,K39))</f>
        <v>Gerencia de Operaciones</v>
      </c>
      <c r="Q39">
        <f>IF($K39="","",INDEX($C$30:$C$109,K39))</f>
        <v>4</v>
      </c>
      <c r="R39">
        <f>IF($K39="","",INDEX($F$30:$F$109,K39))</f>
        <v>1</v>
      </c>
      <c r="S39">
        <f>IF($K39="","",INDEX($H$30:$H$109,K39))</f>
        <v>98.75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individual'!F39="Completado",30000000,0)+COUNTIF('Detalle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1</v>
      </c>
      <c r="E40">
        <f>IF($A40="","",'Consolidado por área'!E15)</f>
        <v>6</v>
      </c>
      <c r="F40">
        <f>IF($A40="","",IF(C40&gt;0,D40/C40,0))</f>
        <v>0.142857142857143</v>
      </c>
      <c r="G40">
        <f>IF($A40="","",F40*1000000+C40*10+(1000-ROW())/10000)</f>
        <v>142927.238857143</v>
      </c>
      <c r="H40">
        <f>IF($A40="","",'Consolidado por área'!H15)</f>
        <v>80</v>
      </c>
      <c r="J40" t="n">
        <v>11</v>
      </c>
      <c r="K40">
        <f>IF(J40&gt;COUNT($G$30:$G$109),"",MATCH(LARGE($G$30:$G$109,J40),$G$30:$G$109,0))</f>
        <v>43</v>
      </c>
      <c r="L40" t="str">
        <f>IF($K40="","",INDEX($A$30:$A$109,K40)&amp;"   "&amp;TEXT(INDEX($F$30:$F$109,K40),"0%"))</f>
        <v>OFICIALIA DE SEGURIDAD DE LA INFORMACION   100%</v>
      </c>
      <c r="M40">
        <f>IF($K40="","",INDEX($D$30:$D$109,K40))</f>
        <v>4</v>
      </c>
      <c r="N40">
        <f>IF($K40="","",INDEX($E$30:$E$109,K40))</f>
        <v>0</v>
      </c>
      <c r="O40" t="str">
        <f>IF($K40="","",INDEX($A$30:$A$109,K40))</f>
        <v>OFICIALIA DE SEGURIDAD DE LA INFORMACION</v>
      </c>
      <c r="P40" t="str">
        <f>IF($K40="","",INDEX($B$30:$B$109,K40))</f>
        <v>Gerencia General</v>
      </c>
      <c r="Q40">
        <f>IF($K40="","",INDEX($C$30:$C$109,K40))</f>
        <v>4</v>
      </c>
      <c r="R40">
        <f>IF($K40="","",INDEX($F$30:$F$109,K40))</f>
        <v>1</v>
      </c>
      <c r="S40">
        <f>IF($K40="","",INDEX($H$30:$H$109,K40))</f>
        <v>96.25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individual'!F40="Completado",30000000,0)+COUNTIF('Detalle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27</v>
      </c>
      <c r="L41" t="str">
        <f>IF($K41="","",INDEX($A$30:$A$109,K41)&amp;"   "&amp;TEXT(INDEX($F$30:$F$109,K41),"0%"))</f>
        <v>DEPARTAMENTO DE PROCESOS   100%</v>
      </c>
      <c r="M41">
        <f>IF($K41="","",INDEX($D$30:$D$109,K41))</f>
        <v>3</v>
      </c>
      <c r="N41">
        <f>IF($K41="","",INDEX($E$30:$E$109,K41))</f>
        <v>0</v>
      </c>
      <c r="O41" t="str">
        <f>IF($K41="","",INDEX($A$30:$A$109,K41))</f>
        <v>DEPARTAMENTO DE PROCESOS</v>
      </c>
      <c r="P41" t="str">
        <f>IF($K41="","",INDEX($B$30:$B$109,K41))</f>
        <v>Gerencia General</v>
      </c>
      <c r="Q41">
        <f>IF($K41="","",INDEX($C$30:$C$109,K41))</f>
        <v>3</v>
      </c>
      <c r="R41">
        <f>IF($K41="","",INDEX($F$30:$F$109,K41))</f>
        <v>1</v>
      </c>
      <c r="S41">
        <f>IF($K41="","",INDEX($H$30:$H$109,K41))</f>
        <v>100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individual'!F41="Completado",30000000,0)+COUNTIF('Detalle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 t="str">
        <f>IF('Consolidado por área'!G41="Completo",'Consolidado por área'!L41+ROW()/1000000000,"")</f>
        <v/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13</v>
      </c>
      <c r="L42" t="str">
        <f>IF($K42="","",INDEX($A$30:$A$109,K42)&amp;"   "&amp;TEXT(INDEX($F$30:$F$109,K42),"0%"))</f>
        <v>CLINICA EMPRESARIAL   100%</v>
      </c>
      <c r="M42">
        <f>IF($K42="","",INDEX($D$30:$D$109,K42))</f>
        <v>2</v>
      </c>
      <c r="N42">
        <f>IF($K42="","",INDEX($E$30:$E$109,K42))</f>
        <v>0</v>
      </c>
      <c r="O42" t="str">
        <f>IF($K42="","",INDEX($A$30:$A$109,K42))</f>
        <v>CLINICA EMPRESARIAL</v>
      </c>
      <c r="P42" t="str">
        <f>IF($K42="","",INDEX($B$30:$B$109,K42))</f>
        <v>Gerencia Administrativa</v>
      </c>
      <c r="Q42">
        <f>IF($K42="","",INDEX($C$30:$C$109,K42))</f>
        <v>2</v>
      </c>
      <c r="R42">
        <f>IF($K42="","",INDEX($F$30:$F$109,K42))</f>
        <v>1</v>
      </c>
      <c r="S42">
        <f>IF($K42="","",INDEX($H$30:$H$109,K42))</f>
        <v>100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individual'!F42="Completado",30000000,0)+COUNTIF('Detalle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28</v>
      </c>
      <c r="L43" t="str">
        <f>IF($K43="","",INDEX($A$30:$A$109,K43)&amp;"   "&amp;TEXT(INDEX($F$30:$F$109,K43),"0%"))</f>
        <v>DEPARTAMENTO DE SEGURIDAD   100%</v>
      </c>
      <c r="M43">
        <f>IF($K43="","",INDEX($D$30:$D$109,K43))</f>
        <v>2</v>
      </c>
      <c r="N43">
        <f>IF($K43="","",INDEX($E$30:$E$109,K43))</f>
        <v>0</v>
      </c>
      <c r="O43" t="str">
        <f>IF($K43="","",INDEX($A$30:$A$109,K43))</f>
        <v>DEPARTAMENTO DE SEGURIDAD</v>
      </c>
      <c r="P43" t="str">
        <f>IF($K43="","",INDEX($B$30:$B$109,K43))</f>
        <v>Gerencia Administrativa</v>
      </c>
      <c r="Q43">
        <f>IF($K43="","",INDEX($C$30:$C$109,K43))</f>
        <v>2</v>
      </c>
      <c r="R43">
        <f>IF($K43="","",INDEX($F$30:$F$109,K43))</f>
        <v>1</v>
      </c>
      <c r="S43">
        <f>IF($K43="","",INDEX($H$30:$H$109,K43))</f>
        <v>95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individual'!F43="Completado",30000000,0)+COUNTIF('Detalle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 t="str">
        <f>IF('Consolidado por área'!G43="Completo",'Consolidado por área'!L43+ROW()/1000000000,"")</f>
        <v/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35</v>
      </c>
      <c r="L44" t="str">
        <f>IF($K44="","",INDEX($A$30:$A$109,K44)&amp;"   "&amp;TEXT(INDEX($F$30:$F$109,K44),"0%"))</f>
        <v>GERENCIA ADMINISTRATIVA   100%</v>
      </c>
      <c r="M44">
        <f>IF($K44="","",INDEX($D$30:$D$109,K44))</f>
        <v>2</v>
      </c>
      <c r="N44">
        <f>IF($K44="","",INDEX($E$30:$E$109,K44))</f>
        <v>0</v>
      </c>
      <c r="O44" t="str">
        <f>IF($K44="","",INDEX($A$30:$A$109,K44))</f>
        <v>GERENCIA ADMINISTRATIVA</v>
      </c>
      <c r="P44" t="str">
        <f>IF($K44="","",INDEX($B$30:$B$109,K44))</f>
        <v>Gerencia Administrativa</v>
      </c>
      <c r="Q44">
        <f>IF($K44="","",INDEX($C$30:$C$109,K44))</f>
        <v>2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individual'!F44="Completado",30000000,0)+COUNTIF('Detalle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10</v>
      </c>
      <c r="E45">
        <f>IF($A45="","",'Consolidado por área'!E20)</f>
        <v>1</v>
      </c>
      <c r="F45">
        <f>IF($A45="","",IF(C45&gt;0,D45/C45,0))</f>
        <v>0.909090909090909</v>
      </c>
      <c r="G45">
        <f>IF($A45="","",F45*1000000+C45*10+(1000-ROW())/10000)</f>
        <v>909201.004590909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36</v>
      </c>
      <c r="L45" t="str">
        <f>IF($K45="","",INDEX($A$30:$A$109,K45)&amp;"   "&amp;TEXT(INDEX($F$30:$F$109,K45),"0%"))</f>
        <v>GERENCIA DE FINANZAS Y PLANIFICACIÓN   100%</v>
      </c>
      <c r="M45">
        <f>IF($K45="","",INDEX($D$30:$D$109,K45))</f>
        <v>2</v>
      </c>
      <c r="N45">
        <f>IF($K45="","",INDEX($E$30:$E$109,K45))</f>
        <v>0</v>
      </c>
      <c r="O45" t="str">
        <f>IF($K45="","",INDEX($A$30:$A$109,K45))</f>
        <v>GERENCIA DE FINANZAS Y PLANIFICACIÓN</v>
      </c>
      <c r="P45" t="str">
        <f>IF($K45="","",INDEX($B$30:$B$109,K45))</f>
        <v>Gerencia de Finanzas y Planificación</v>
      </c>
      <c r="Q45">
        <f>IF($K45="","",INDEX($C$30:$C$109,K45))</f>
        <v>2</v>
      </c>
      <c r="R45">
        <f>IF($K45="","",INDEX($F$30:$F$109,K45))</f>
        <v>1</v>
      </c>
      <c r="S45">
        <f>IF($K45="","",INDEX($H$30:$H$109,K45))</f>
        <v>100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individual'!F45="Completado",30000000,0)+COUNTIF('Detalle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6</v>
      </c>
      <c r="E46">
        <f>IF($A46="","",'Consolidado por área'!E21)</f>
        <v>1</v>
      </c>
      <c r="F46">
        <f>IF($A46="","",IF(C46&gt;0,D46/C46,0))</f>
        <v>0.857142857142857</v>
      </c>
      <c r="G46">
        <f>IF($A46="","",F46*1000000+C46*10+(1000-ROW())/10000)</f>
        <v>857212.952542857</v>
      </c>
      <c r="H46">
        <f>IF($A46="","",'Consolidado por área'!H21)</f>
        <v>95</v>
      </c>
      <c r="J46" t="n">
        <v>17</v>
      </c>
      <c r="K46">
        <f>IF(J46&gt;COUNT($G$30:$G$109),"",MATCH(LARGE($G$30:$G$109,J46),$G$30:$G$109,0))</f>
        <v>40</v>
      </c>
      <c r="L46" t="str">
        <f>IF($K46="","",INDEX($A$30:$A$109,K46)&amp;"   "&amp;TEXT(INDEX($F$30:$F$109,K46),"0%"))</f>
        <v>GERENCIA GENERAL   100%</v>
      </c>
      <c r="M46">
        <f>IF($K46="","",INDEX($D$30:$D$109,K46))</f>
        <v>2</v>
      </c>
      <c r="N46">
        <f>IF($K46="","",INDEX($E$30:$E$109,K46))</f>
        <v>0</v>
      </c>
      <c r="O46" t="str">
        <f>IF($K46="","",INDEX($A$30:$A$109,K46))</f>
        <v>GERENCIA GENERAL</v>
      </c>
      <c r="P46" t="str">
        <f>IF($K46="","",INDEX($B$30:$B$109,K46))</f>
        <v>Gerencia General</v>
      </c>
      <c r="Q46">
        <f>IF($K46="","",INDEX($C$30:$C$109,K46))</f>
        <v>2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individual'!F46="Completado",30000000,0)+COUNTIF('Detalle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1</v>
      </c>
      <c r="L47" t="str">
        <f>IF($K47="","",INDEX($A$30:$A$109,K47)&amp;"   "&amp;TEXT(INDEX($F$30:$F$109,K47),"0%"))</f>
        <v>ADMINISTRACION DE BASE DE DATOS   100%</v>
      </c>
      <c r="M47">
        <f>IF($K47="","",INDEX($D$30:$D$109,K47))</f>
        <v>1</v>
      </c>
      <c r="N47">
        <f>IF($K47="","",INDEX($E$30:$E$109,K47))</f>
        <v>0</v>
      </c>
      <c r="O47" t="str">
        <f>IF($K47="","",INDEX($A$30:$A$109,K47))</f>
        <v>ADMINISTRACION DE BASE DE DATOS</v>
      </c>
      <c r="P47" t="str">
        <f>IF($K47="","",INDEX($B$30:$B$109,K47))</f>
        <v>Gerencia de Sistemas</v>
      </c>
      <c r="Q47">
        <f>IF($K47="","",INDEX($C$30:$C$109,K47))</f>
        <v>1</v>
      </c>
      <c r="R47">
        <f>IF($K47="","",INDEX($F$30:$F$109,K47))</f>
        <v>1</v>
      </c>
      <c r="S47">
        <f>IF($K47="","",INDEX($H$30:$H$109,K47))</f>
        <v>95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individual'!F47="Completado",30000000,0)+COUNTIF('Detalle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11</v>
      </c>
      <c r="E48">
        <f>IF($A48="","",'Consolidado por área'!E23)</f>
        <v>2</v>
      </c>
      <c r="F48">
        <f>IF($A48="","",IF(C48&gt;0,D48/C48,0))</f>
        <v>0.846153846153846</v>
      </c>
      <c r="G48">
        <f>IF($A48="","",F48*1000000+C48*10+(1000-ROW())/10000)</f>
        <v>846283.941353846</v>
      </c>
      <c r="H48">
        <f>IF($A48="","",'Consolidado por área'!H23)</f>
        <v>97.7272727272727</v>
      </c>
      <c r="J48" t="n">
        <v>19</v>
      </c>
      <c r="K48">
        <f>IF(J48&gt;COUNT($G$30:$G$109),"",MATCH(LARGE($G$30:$G$109,J48),$G$30:$G$109,0))</f>
        <v>14</v>
      </c>
      <c r="L48" t="str">
        <f>IF($K48="","",INDEX($A$30:$A$109,K48)&amp;"   "&amp;TEXT(INDEX($F$30:$F$109,K48),"0%"))</f>
        <v>CONSEJO DE ADMINISTRACION   100%</v>
      </c>
      <c r="M48">
        <f>IF($K48="","",INDEX($D$30:$D$109,K48))</f>
        <v>1</v>
      </c>
      <c r="N48">
        <f>IF($K48="","",INDEX($E$30:$E$109,K48))</f>
        <v>0</v>
      </c>
      <c r="O48" t="str">
        <f>IF($K48="","",INDEX($A$30:$A$109,K48))</f>
        <v>CONSEJO DE ADMINISTRACION</v>
      </c>
      <c r="P48" t="str">
        <f>IF($K48="","",INDEX($B$30:$B$109,K48))</f>
        <v>Consejo de Administración</v>
      </c>
      <c r="Q48">
        <f>IF($K48="","",INDEX($C$30:$C$109,K48))</f>
        <v>1</v>
      </c>
      <c r="R48">
        <f>IF($K48="","",INDEX($F$30:$F$109,K48))</f>
        <v>1</v>
      </c>
      <c r="S48">
        <f>IF($K48="","",INDEX($H$30:$H$109,K48))</f>
        <v>90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individual'!F48="Completado",30000000,0)+COUNTIF('Detalle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41</v>
      </c>
      <c r="L49" t="str">
        <f>IF($K49="","",INDEX($A$30:$A$109,K49)&amp;"   "&amp;TEXT(INDEX($F$30:$F$109,K49),"0%"))</f>
        <v>GERENCIA LEGAL Y DE CUMPLIMIENTO NORMATIVO   100%</v>
      </c>
      <c r="M49">
        <f>IF($K49="","",INDEX($D$30:$D$109,K49))</f>
        <v>1</v>
      </c>
      <c r="N49">
        <f>IF($K49="","",INDEX($E$30:$E$109,K49))</f>
        <v>0</v>
      </c>
      <c r="O49" t="str">
        <f>IF($K49="","",INDEX($A$30:$A$109,K49))</f>
        <v>GERENCIA LEGAL Y DE CUMPLIMIENTO NORMATIVO</v>
      </c>
      <c r="P49" t="str">
        <f>IF($K49="","",INDEX($B$30:$B$109,K49))</f>
        <v>Gerencia Legal y Cumplimiento Normativo</v>
      </c>
      <c r="Q49">
        <f>IF($K49="","",INDEX($C$30:$C$109,K49))</f>
        <v>1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individual'!F49="Completado",30000000,0)+COUNTIF('Detalle individual'!$C$5:$C$1000,"&lt;"&amp;'Detalle individual'!C49)*10000+ROW(),""))</f>
        <v>9450049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7</v>
      </c>
      <c r="L50" t="str">
        <f>IF($K50="","",INDEX($A$30:$A$109,K50)&amp;"   "&amp;TEXT(INDEX($F$30:$F$109,K50),"0%"))</f>
        <v>AGENCIA MERLIOT   92%</v>
      </c>
      <c r="M50">
        <f>IF($K50="","",INDEX($D$30:$D$109,K50))</f>
        <v>12</v>
      </c>
      <c r="N50">
        <f>IF($K50="","",INDEX($E$30:$E$109,K50))</f>
        <v>1</v>
      </c>
      <c r="O50" t="str">
        <f>IF($K50="","",INDEX($A$30:$A$109,K50))</f>
        <v>AGENCIA MERLIOT</v>
      </c>
      <c r="P50" t="str">
        <f>IF($K50="","",INDEX($B$30:$B$109,K50))</f>
        <v>Gerencia de Negocios</v>
      </c>
      <c r="Q50">
        <f>IF($K50="","",INDEX($C$30:$C$109,K50))</f>
        <v>13</v>
      </c>
      <c r="R50">
        <f>IF($K50="","",INDEX($F$30:$F$109,K50))</f>
        <v>0.923076923076923</v>
      </c>
      <c r="S50">
        <f>IF($K50="","",INDEX($H$30:$H$109,K50))</f>
        <v>95.4166666666667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individual'!F50="Completado",30000000,0)+COUNTIF('Detalle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16</v>
      </c>
      <c r="L51" t="str">
        <f>IF($K51="","",INDEX($A$30:$A$109,K51)&amp;"   "&amp;TEXT(INDEX($F$30:$F$109,K51),"0%"))</f>
        <v>DEPARTAMENTO DE ANALISIS Y PROGRAMACIÓN   91%</v>
      </c>
      <c r="M51">
        <f>IF($K51="","",INDEX($D$30:$D$109,K51))</f>
        <v>10</v>
      </c>
      <c r="N51">
        <f>IF($K51="","",INDEX($E$30:$E$109,K51))</f>
        <v>1</v>
      </c>
      <c r="O51" t="str">
        <f>IF($K51="","",INDEX($A$30:$A$109,K51))</f>
        <v>DEPARTAMENTO DE ANALISIS Y PROGRAMACIÓN</v>
      </c>
      <c r="P51" t="str">
        <f>IF($K51="","",INDEX($B$30:$B$109,K51))</f>
        <v>Gerencia de Sistemas</v>
      </c>
      <c r="Q51">
        <f>IF($K51="","",INDEX($C$30:$C$109,K51))</f>
        <v>11</v>
      </c>
      <c r="R51">
        <f>IF($K51="","",INDEX($F$30:$F$109,K51))</f>
        <v>0.909090909090909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individual'!F51="Completado",30000000,0)+COUNTIF('Detalle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2</v>
      </c>
      <c r="E52">
        <f>IF($A52="","",'Consolidado por área'!E27)</f>
        <v>1</v>
      </c>
      <c r="F52">
        <f>IF($A52="","",IF(C52&gt;0,D52/C52,0))</f>
        <v>0.666666666666667</v>
      </c>
      <c r="G52">
        <f>IF($A52="","",F52*1000000+C52*10+(1000-ROW())/10000)</f>
        <v>666696.761466667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29</v>
      </c>
      <c r="L52" t="str">
        <f>IF($K52="","",INDEX($A$30:$A$109,K52)&amp;"   "&amp;TEXT(INDEX($F$30:$F$109,K52),"0%"))</f>
        <v>DEPARTAMENTO DE SEGUROS   91%</v>
      </c>
      <c r="M52">
        <f>IF($K52="","",INDEX($D$30:$D$109,K52))</f>
        <v>10</v>
      </c>
      <c r="N52">
        <f>IF($K52="","",INDEX($E$30:$E$109,K52))</f>
        <v>1</v>
      </c>
      <c r="O52" t="str">
        <f>IF($K52="","",INDEX($A$30:$A$109,K52))</f>
        <v>DEPARTAMENTO DE SEGUROS</v>
      </c>
      <c r="P52" t="str">
        <f>IF($K52="","",INDEX($B$30:$B$109,K52))</f>
        <v>Gerencia de Negocios</v>
      </c>
      <c r="Q52">
        <f>IF($K52="","",INDEX($C$30:$C$109,K52))</f>
        <v>11</v>
      </c>
      <c r="R52">
        <f>IF($K52="","",INDEX($F$30:$F$109,K52))</f>
        <v>0.909090909090909</v>
      </c>
      <c r="S52">
        <f>IF($K52="","",INDEX($H$30:$H$109,K52))</f>
        <v>97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individual'!F52="Completado",30000000,0)+COUNTIF('Detalle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2</v>
      </c>
      <c r="E53">
        <f>IF($A53="","",'Consolidado por área'!E28)</f>
        <v>5</v>
      </c>
      <c r="F53">
        <f>IF($A53="","",IF(C53&gt;0,D53/C53,0))</f>
        <v>0.285714285714286</v>
      </c>
      <c r="G53">
        <f>IF($A53="","",F53*1000000+C53*10+(1000-ROW())/10000)</f>
        <v>285784.380414286</v>
      </c>
      <c r="H53">
        <f>IF($A53="","",'Consolidado por área'!H28)</f>
        <v>97.5</v>
      </c>
      <c r="J53" t="n">
        <v>24</v>
      </c>
      <c r="K53">
        <f>IF(J53&gt;COUNT($G$30:$G$109),"",MATCH(LARGE($G$30:$G$109,J53),$G$30:$G$109,0))</f>
        <v>31</v>
      </c>
      <c r="L53" t="str">
        <f>IF($K53="","",INDEX($A$30:$A$109,K53)&amp;"   "&amp;TEXT(INDEX($F$30:$F$109,K53),"0%"))</f>
        <v>DEPARTAMENTO DE SOLUCIONES FINANCIERAS   90%</v>
      </c>
      <c r="M53">
        <f>IF($K53="","",INDEX($D$30:$D$109,K53))</f>
        <v>9</v>
      </c>
      <c r="N53">
        <f>IF($K53="","",INDEX($E$30:$E$109,K53))</f>
        <v>1</v>
      </c>
      <c r="O53" t="str">
        <f>IF($K53="","",INDEX($A$30:$A$109,K53))</f>
        <v>DEPARTAMENTO DE SOLUCIONES FINANCIERAS</v>
      </c>
      <c r="P53" t="str">
        <f>IF($K53="","",INDEX($B$30:$B$109,K53))</f>
        <v>Gerencia de Operaciones</v>
      </c>
      <c r="Q53">
        <f>IF($K53="","",INDEX($C$30:$C$109,K53))</f>
        <v>10</v>
      </c>
      <c r="R53">
        <f>IF($K53="","",INDEX($F$30:$F$109,K53))</f>
        <v>0.9</v>
      </c>
      <c r="S53">
        <f>IF($K53="","",INDEX($H$30:$H$109,K53))</f>
        <v>87.7777777777778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individual'!F53="Completado",30000000,0)+COUNTIF('Detalle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8</v>
      </c>
      <c r="L54" t="str">
        <f>IF($K54="","",INDEX($A$30:$A$109,K54)&amp;"   "&amp;TEXT(INDEX($F$30:$F$109,K54),"0%"))</f>
        <v>AGENCIA PLAZA MUNDO   88%</v>
      </c>
      <c r="M54">
        <f>IF($K54="","",INDEX($D$30:$D$109,K54))</f>
        <v>7</v>
      </c>
      <c r="N54">
        <f>IF($K54="","",INDEX($E$30:$E$109,K54))</f>
        <v>1</v>
      </c>
      <c r="O54" t="str">
        <f>IF($K54="","",INDEX($A$30:$A$109,K54))</f>
        <v>AGENCIA PLAZA MUNDO</v>
      </c>
      <c r="P54" t="str">
        <f>IF($K54="","",INDEX($B$30:$B$109,K54))</f>
        <v>Gerencia de Negocios</v>
      </c>
      <c r="Q54">
        <f>IF($K54="","",INDEX($C$30:$C$109,K54))</f>
        <v>8</v>
      </c>
      <c r="R54">
        <f>IF($K54="","",INDEX($F$30:$F$109,K54))</f>
        <v>0.875</v>
      </c>
      <c r="S54">
        <f>IF($K54="","",INDEX($H$30:$H$109,K54))</f>
        <v>98.5714285714286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individual'!F54="Completado",30000000,0)+COUNTIF('Detalle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9</v>
      </c>
      <c r="L55" t="str">
        <f>IF($K55="","",INDEX($A$30:$A$109,K55)&amp;"   "&amp;TEXT(INDEX($F$30:$F$109,K55),"0%"))</f>
        <v>AGENCIA SAN MIGUEL   88%</v>
      </c>
      <c r="M55">
        <f>IF($K55="","",INDEX($D$30:$D$109,K55))</f>
        <v>7</v>
      </c>
      <c r="N55">
        <f>IF($K55="","",INDEX($E$30:$E$109,K55))</f>
        <v>1</v>
      </c>
      <c r="O55" t="str">
        <f>IF($K55="","",INDEX($A$30:$A$109,K55))</f>
        <v>AGENCIA SAN MIGUEL</v>
      </c>
      <c r="P55" t="str">
        <f>IF($K55="","",INDEX($B$30:$B$109,K55))</f>
        <v>Gerencia de Negocios</v>
      </c>
      <c r="Q55">
        <f>IF($K55="","",INDEX($C$30:$C$109,K55))</f>
        <v>8</v>
      </c>
      <c r="R55">
        <f>IF($K55="","",INDEX($F$30:$F$109,K55))</f>
        <v>0.875</v>
      </c>
      <c r="S55">
        <f>IF($K55="","",INDEX($H$30:$H$109,K55))</f>
        <v>98.5714285714286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individual'!F55="Completado",30000000,0)+COUNTIF('Detalle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15</v>
      </c>
      <c r="L56" t="str">
        <f>IF($K56="","",INDEX($A$30:$A$109,K56)&amp;"   "&amp;TEXT(INDEX($F$30:$F$109,K56),"0%"))</f>
        <v>DEPARTAMENTO COMERCIAL DE TARJETA DE CREDITO Y DEBITO   88%</v>
      </c>
      <c r="M56">
        <f>IF($K56="","",INDEX($D$30:$D$109,K56))</f>
        <v>7</v>
      </c>
      <c r="N56">
        <f>IF($K56="","",INDEX($E$30:$E$109,K56))</f>
        <v>1</v>
      </c>
      <c r="O56" t="str">
        <f>IF($K56="","",INDEX($A$30:$A$109,K56))</f>
        <v>DEPARTAMENTO COMERCIAL DE TARJETA DE CREDITO Y DEBITO</v>
      </c>
      <c r="P56" t="str">
        <f>IF($K56="","",INDEX($B$30:$B$109,K56))</f>
        <v>Gerencia de Negocios</v>
      </c>
      <c r="Q56">
        <f>IF($K56="","",INDEX($C$30:$C$109,K56))</f>
        <v>8</v>
      </c>
      <c r="R56">
        <f>IF($K56="","",INDEX($F$30:$F$109,K56))</f>
        <v>0.875</v>
      </c>
      <c r="S56">
        <f>IF($K56="","",INDEX($H$30:$H$109,K56))</f>
        <v>86.4285714285714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individual'!F56="Completado",30000000,0)+COUNTIF('Detalle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17</v>
      </c>
      <c r="L57" t="str">
        <f>IF($K57="","",INDEX($A$30:$A$109,K57)&amp;"   "&amp;TEXT(INDEX($F$30:$F$109,K57),"0%"))</f>
        <v>DEPARTAMENTO DE ATENCION A ASOCIADO Y CLIENTE   86%</v>
      </c>
      <c r="M57">
        <f>IF($K57="","",INDEX($D$30:$D$109,K57))</f>
        <v>6</v>
      </c>
      <c r="N57">
        <f>IF($K57="","",INDEX($E$30:$E$109,K57))</f>
        <v>1</v>
      </c>
      <c r="O57" t="str">
        <f>IF($K57="","",INDEX($A$30:$A$109,K57))</f>
        <v>DEPARTAMENTO DE ATENCION A ASOCIADO Y CLIENTE</v>
      </c>
      <c r="P57" t="str">
        <f>IF($K57="","",INDEX($B$30:$B$109,K57))</f>
        <v>Gerencia de Negocios</v>
      </c>
      <c r="Q57">
        <f>IF($K57="","",INDEX($C$30:$C$109,K57))</f>
        <v>7</v>
      </c>
      <c r="R57">
        <f>IF($K57="","",INDEX($F$30:$F$109,K57))</f>
        <v>0.857142857142857</v>
      </c>
      <c r="S57">
        <f>IF($K57="","",INDEX($H$30:$H$109,K57))</f>
        <v>95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individual'!F57="Completado",30000000,0)+COUNTIF('Detalle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25</v>
      </c>
      <c r="L58" t="str">
        <f>IF($K58="","",INDEX($A$30:$A$109,K58)&amp;"   "&amp;TEXT(INDEX($F$30:$F$109,K58),"0%"))</f>
        <v>DEPARTAMENTO DE OPERACIONES Y SOPORTE TECNICO   86%</v>
      </c>
      <c r="M58">
        <f>IF($K58="","",INDEX($D$30:$D$109,K58))</f>
        <v>6</v>
      </c>
      <c r="N58">
        <f>IF($K58="","",INDEX($E$30:$E$109,K58))</f>
        <v>1</v>
      </c>
      <c r="O58" t="str">
        <f>IF($K58="","",INDEX($A$30:$A$109,K58))</f>
        <v>DEPARTAMENTO DE OPERACIONES Y SOPORTE TECNICO</v>
      </c>
      <c r="P58" t="str">
        <f>IF($K58="","",INDEX($B$30:$B$109,K58))</f>
        <v>Gerencia de Sistemas</v>
      </c>
      <c r="Q58">
        <f>IF($K58="","",INDEX($C$30:$C$109,K58))</f>
        <v>7</v>
      </c>
      <c r="R58">
        <f>IF($K58="","",INDEX($F$30:$F$109,K58))</f>
        <v>0.857142857142857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individual'!F58="Completado",30000000,0)+COUNTIF('Detalle individual'!$C$5:$C$1000,"&lt;"&amp;'Detalle individual'!C58)*10000+ROW(),""))</f>
        <v>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I58" t="str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19</v>
      </c>
      <c r="L59" t="str">
        <f>IF($K59="","",INDEX($A$30:$A$109,K59)&amp;"   "&amp;TEXT(INDEX($F$30:$F$109,K59),"0%"))</f>
        <v>DEPARTAMENTO DE CONTABILIDAD   85%</v>
      </c>
      <c r="M59">
        <f>IF($K59="","",INDEX($D$30:$D$109,K59))</f>
        <v>11</v>
      </c>
      <c r="N59">
        <f>IF($K59="","",INDEX($E$30:$E$109,K59))</f>
        <v>2</v>
      </c>
      <c r="O59" t="str">
        <f>IF($K59="","",INDEX($A$30:$A$109,K59))</f>
        <v>DEPARTAMENTO DE CONTABILIDAD</v>
      </c>
      <c r="P59" t="str">
        <f>IF($K59="","",INDEX($B$30:$B$109,K59))</f>
        <v>Gerencia de Finanzas y Planificación</v>
      </c>
      <c r="Q59">
        <f>IF($K59="","",INDEX($C$30:$C$109,K59))</f>
        <v>13</v>
      </c>
      <c r="R59">
        <f>IF($K59="","",INDEX($F$30:$F$109,K59))</f>
        <v>0.846153846153846</v>
      </c>
      <c r="S59">
        <f>IF($K59="","",INDEX($H$30:$H$109,K59))</f>
        <v>97.7272727272727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individual'!F59="Completado",30000000,0)+COUNTIF('Detalle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5</v>
      </c>
      <c r="L60" t="str">
        <f>IF($K60="","",INDEX($A$30:$A$109,K60)&amp;"   "&amp;TEXT(INDEX($F$30:$F$109,K60),"0%"))</f>
        <v>AGENCIA COLEGIO MEDICO   83%</v>
      </c>
      <c r="M60">
        <f>IF($K60="","",INDEX($D$30:$D$109,K60))</f>
        <v>10</v>
      </c>
      <c r="N60">
        <f>IF($K60="","",INDEX($E$30:$E$109,K60))</f>
        <v>2</v>
      </c>
      <c r="O60" t="str">
        <f>IF($K60="","",INDEX($A$30:$A$109,K60))</f>
        <v>AGENCIA COLEGIO MEDICO</v>
      </c>
      <c r="P60" t="str">
        <f>IF($K60="","",INDEX($B$30:$B$109,K60))</f>
        <v>Gerencia de Negocios</v>
      </c>
      <c r="Q60">
        <f>IF($K60="","",INDEX($C$30:$C$109,K60))</f>
        <v>12</v>
      </c>
      <c r="R60">
        <f>IF($K60="","",INDEX($F$30:$F$109,K60))</f>
        <v>0.833333333333333</v>
      </c>
      <c r="S60">
        <f>IF($K60="","",INDEX($H$30:$H$109,K60))</f>
        <v>97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individual'!F60="Completado",30000000,0)+COUNTIF('Detalle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2</v>
      </c>
      <c r="L61" t="str">
        <f>IF($K61="","",INDEX($A$30:$A$109,K61)&amp;"   "&amp;TEXT(INDEX($F$30:$F$109,K61),"0%"))</f>
        <v>ADMINISTRACIÓN DE CARTERAS   80%</v>
      </c>
      <c r="M61">
        <f>IF($K61="","",INDEX($D$30:$D$109,K61))</f>
        <v>4</v>
      </c>
      <c r="N61">
        <f>IF($K61="","",INDEX($E$30:$E$109,K61))</f>
        <v>1</v>
      </c>
      <c r="O61" t="str">
        <f>IF($K61="","",INDEX($A$30:$A$109,K61))</f>
        <v>ADMINISTRACIÓN DE CARTERAS</v>
      </c>
      <c r="P61" t="str">
        <f>IF($K61="","",INDEX($B$30:$B$109,K61))</f>
        <v>Gerencia de Operaciones</v>
      </c>
      <c r="Q61">
        <f>IF($K61="","",INDEX($C$30:$C$109,K61))</f>
        <v>5</v>
      </c>
      <c r="R61">
        <f>IF($K61="","",INDEX($F$30:$F$109,K61))</f>
        <v>0.8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individual'!F61="Completado",30000000,0)+COUNTIF('Detalle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>IF($A62="","",IF(C62&gt;0,D62/C62,0))</f>
        <v>0.666666666666667</v>
      </c>
      <c r="G62">
        <f>IF($A62="","",F62*1000000+C62*10+(1000-ROW())/10000)</f>
        <v>666726.760466667</v>
      </c>
      <c r="H62">
        <f>IF($A62="","",'Consolidado por área'!H37)</f>
        <v>98.75</v>
      </c>
      <c r="J62" t="n">
        <v>33</v>
      </c>
      <c r="K62">
        <f>IF(J62&gt;COUNT($G$30:$G$109),"",MATCH(LARGE($G$30:$G$109,J62),$G$30:$G$109,0))</f>
        <v>37</v>
      </c>
      <c r="L62" t="str">
        <f>IF($K62="","",INDEX($A$30:$A$109,K62)&amp;"   "&amp;TEXT(INDEX($F$30:$F$109,K62),"0%"))</f>
        <v>GERENCIA DE NEGOCIOS   75%</v>
      </c>
      <c r="M62">
        <f>IF($K62="","",INDEX($D$30:$D$109,K62))</f>
        <v>3</v>
      </c>
      <c r="N62">
        <f>IF($K62="","",INDEX($E$30:$E$109,K62))</f>
        <v>1</v>
      </c>
      <c r="O62" t="str">
        <f>IF($K62="","",INDEX($A$30:$A$109,K62))</f>
        <v>GERENCIA DE NEGOCIOS</v>
      </c>
      <c r="P62" t="str">
        <f>IF($K62="","",INDEX($B$30:$B$109,K62))</f>
        <v>Gerencia de Negocios</v>
      </c>
      <c r="Q62">
        <f>IF($K62="","",INDEX($C$30:$C$109,K62))</f>
        <v>4</v>
      </c>
      <c r="R62">
        <f>IF($K62="","",INDEX($F$30:$F$109,K62))</f>
        <v>0.75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individual'!F62="Completado",30000000,0)+COUNTIF('Detalle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39</v>
      </c>
      <c r="L63" t="str">
        <f>IF($K63="","",INDEX($A$30:$A$109,K63)&amp;"   "&amp;TEXT(INDEX($F$30:$F$109,K63),"0%"))</f>
        <v>GERENCIA DE SISTEMAS   75%</v>
      </c>
      <c r="M63">
        <f>IF($K63="","",INDEX($D$30:$D$109,K63))</f>
        <v>3</v>
      </c>
      <c r="N63">
        <f>IF($K63="","",INDEX($E$30:$E$109,K63))</f>
        <v>1</v>
      </c>
      <c r="O63" t="str">
        <f>IF($K63="","",INDEX($A$30:$A$109,K63))</f>
        <v>GERENCIA DE SISTEMAS</v>
      </c>
      <c r="P63" t="str">
        <f>IF($K63="","",INDEX($B$30:$B$109,K63))</f>
        <v>Gerencia de Sistemas</v>
      </c>
      <c r="Q63">
        <f>IF($K63="","",INDEX($C$30:$C$109,K63))</f>
        <v>4</v>
      </c>
      <c r="R63">
        <f>IF($K63="","",INDEX($F$30:$F$109,K63))</f>
        <v>0.75</v>
      </c>
      <c r="S63">
        <f>IF($K63="","",INDEX($H$30:$H$109,K63))</f>
        <v>98.3333333333333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individual'!F63="Completado",30000000,0)+COUNTIF('Detalle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33</v>
      </c>
      <c r="L64" t="str">
        <f>IF($K64="","",INDEX($A$30:$A$109,K64)&amp;"   "&amp;TEXT(INDEX($F$30:$F$109,K64),"0%"))</f>
        <v>DEPARTAMENTO DE TARJETA DE CREDITO Y DEBITO   67%</v>
      </c>
      <c r="M64">
        <f>IF($K64="","",INDEX($D$30:$D$109,K64))</f>
        <v>4</v>
      </c>
      <c r="N64">
        <f>IF($K64="","",INDEX($E$30:$E$109,K64))</f>
        <v>2</v>
      </c>
      <c r="O64" t="str">
        <f>IF($K64="","",INDEX($A$30:$A$109,K64))</f>
        <v>DEPARTAMENTO DE TARJETA DE CREDITO Y DEBITO</v>
      </c>
      <c r="P64" t="str">
        <f>IF($K64="","",INDEX($B$30:$B$109,K64))</f>
        <v>Gerencia de Operaciones</v>
      </c>
      <c r="Q64">
        <f>IF($K64="","",INDEX($C$30:$C$109,K64))</f>
        <v>6</v>
      </c>
      <c r="R64">
        <f>IF($K64="","",INDEX($F$30:$F$109,K64))</f>
        <v>0.666666666666667</v>
      </c>
      <c r="S64">
        <f>IF($K64="","",INDEX($H$30:$H$109,K64))</f>
        <v>98.75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individual'!F64="Completado",30000000,0)+COUNTIF('Detalle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23</v>
      </c>
      <c r="L65" t="str">
        <f>IF($K65="","",INDEX($A$30:$A$109,K65)&amp;"   "&amp;TEXT(INDEX($F$30:$F$109,K65),"0%"))</f>
        <v>DEPARTAMENTO DE EDUCACION Y RESPONSABILIDAD SOCIAL   67%</v>
      </c>
      <c r="M65">
        <f>IF($K65="","",INDEX($D$30:$D$109,K65))</f>
        <v>2</v>
      </c>
      <c r="N65">
        <f>IF($K65="","",INDEX($E$30:$E$109,K65))</f>
        <v>1</v>
      </c>
      <c r="O65" t="str">
        <f>IF($K65="","",INDEX($A$30:$A$109,K65))</f>
        <v>DEPARTAMENTO DE EDUCACION Y RESPONSABILIDAD SOCIAL</v>
      </c>
      <c r="P65" t="str">
        <f>IF($K65="","",INDEX($B$30:$B$109,K65))</f>
        <v>Gerencia Administrativa</v>
      </c>
      <c r="Q65">
        <f>IF($K65="","",INDEX($C$30:$C$109,K65))</f>
        <v>3</v>
      </c>
      <c r="R65">
        <f>IF($K65="","",INDEX($F$30:$F$109,K65))</f>
        <v>0.666666666666667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individual'!F65="Completado",30000000,0)+COUNTIF('Detalle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3</v>
      </c>
      <c r="E66">
        <f>IF($A66="","",'Consolidado por área'!E41)</f>
        <v>1</v>
      </c>
      <c r="F66">
        <f>IF($A66="","",IF(C66&gt;0,D66/C66,0))</f>
        <v>0.75</v>
      </c>
      <c r="G66">
        <f>IF($A66="","",F66*1000000+C66*10+(1000-ROW())/10000)</f>
        <v>750040.0934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26</v>
      </c>
      <c r="L66" t="str">
        <f>IF($K66="","",INDEX($A$30:$A$109,K66)&amp;"   "&amp;TEXT(INDEX($F$30:$F$109,K66),"0%"))</f>
        <v>DEPARTAMENTO DE PLANIFICACIÓN Y ANALISIS   67%</v>
      </c>
      <c r="M66">
        <f>IF($K66="","",INDEX($D$30:$D$109,K66))</f>
        <v>2</v>
      </c>
      <c r="N66">
        <f>IF($K66="","",INDEX($E$30:$E$109,K66))</f>
        <v>1</v>
      </c>
      <c r="O66" t="str">
        <f>IF($K66="","",INDEX($A$30:$A$109,K66))</f>
        <v>DEPARTAMENTO DE PLANIFICACIÓN Y ANALISIS</v>
      </c>
      <c r="P66" t="str">
        <f>IF($K66="","",INDEX($B$30:$B$109,K66))</f>
        <v>Gerencia de Finanzas y Planificación</v>
      </c>
      <c r="Q66">
        <f>IF($K66="","",INDEX($C$30:$C$109,K66))</f>
        <v>3</v>
      </c>
      <c r="R66">
        <f>IF($K66="","",INDEX($F$30:$F$109,K66))</f>
        <v>0.666666666666667</v>
      </c>
      <c r="S66">
        <f>IF($K66="","",INDEX($H$30:$H$109,K66))</f>
        <v>100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individual'!F66="Completado",30000000,0)+COUNTIF('Detalle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32</v>
      </c>
      <c r="L67" t="str">
        <f>IF($K67="","",INDEX($A$30:$A$109,K67)&amp;"   "&amp;TEXT(INDEX($F$30:$F$109,K67),"0%"))</f>
        <v>DEPARTAMENTO DE TALENTO HUMANO   67%</v>
      </c>
      <c r="M67">
        <f>IF($K67="","",INDEX($D$30:$D$109,K67))</f>
        <v>2</v>
      </c>
      <c r="N67">
        <f>IF($K67="","",INDEX($E$30:$E$109,K67))</f>
        <v>1</v>
      </c>
      <c r="O67" t="str">
        <f>IF($K67="","",INDEX($A$30:$A$109,K67))</f>
        <v>DEPARTAMENTO DE TALENTO HUMANO</v>
      </c>
      <c r="P67" t="str">
        <f>IF($K67="","",INDEX($B$30:$B$109,K67))</f>
        <v>Gerencia Administrativa</v>
      </c>
      <c r="Q67">
        <f>IF($K67="","",INDEX($C$30:$C$109,K67))</f>
        <v>3</v>
      </c>
      <c r="R67">
        <f>IF($K67="","",INDEX($F$30:$F$109,K67))</f>
        <v>0.666666666666667</v>
      </c>
      <c r="S67">
        <f>IF($K67="","",INDEX($H$30:$H$109,K67))</f>
        <v>95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individual'!F67="Completado",30000000,0)+COUNTIF('Detalle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3</v>
      </c>
      <c r="E68">
        <f>IF($A68="","",'Consolidado por área'!E43)</f>
        <v>1</v>
      </c>
      <c r="F68">
        <f>IF($A68="","",IF(C68&gt;0,D68/C68,0))</f>
        <v>0.75</v>
      </c>
      <c r="G68">
        <f>IF($A68="","",F68*1000000+C68*10+(1000-ROW())/10000)</f>
        <v>750040.0932</v>
      </c>
      <c r="H68">
        <f>IF($A68="","",'Consolidado por área'!H43)</f>
        <v>98.3333333333333</v>
      </c>
      <c r="J68" t="n">
        <v>39</v>
      </c>
      <c r="K68">
        <f>IF(J68&gt;COUNT($G$30:$G$109),"",MATCH(LARGE($G$30:$G$109,J68),$G$30:$G$109,0))</f>
        <v>10</v>
      </c>
      <c r="L68" t="str">
        <f>IF($K68="","",INDEX($A$30:$A$109,K68)&amp;"   "&amp;TEXT(INDEX($F$30:$F$109,K68),"0%"))</f>
        <v>AGENCIA SANTA ANA   50%</v>
      </c>
      <c r="M68">
        <f>IF($K68="","",INDEX($D$30:$D$109,K68))</f>
        <v>4</v>
      </c>
      <c r="N68">
        <f>IF($K68="","",INDEX($E$30:$E$109,K68))</f>
        <v>4</v>
      </c>
      <c r="O68" t="str">
        <f>IF($K68="","",INDEX($A$30:$A$109,K68))</f>
        <v>AGENCIA SANTA ANA</v>
      </c>
      <c r="P68" t="str">
        <f>IF($K68="","",INDEX($B$30:$B$109,K68))</f>
        <v>Gerencia de Negocios</v>
      </c>
      <c r="Q68">
        <f>IF($K68="","",INDEX($C$30:$C$109,K68))</f>
        <v>8</v>
      </c>
      <c r="R68">
        <f>IF($K68="","",INDEX($F$30:$F$109,K68))</f>
        <v>0.5</v>
      </c>
      <c r="S68">
        <f>IF($K68="","",INDEX($H$30:$H$109,K68))</f>
        <v>95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individual'!F68="Completado",30000000,0)+COUNTIF('Detalle individual'!$C$5:$C$1000,"&lt;"&amp;'Detalle individual'!C68)*10000+ROW(),""))</f>
        <v>9350068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</v>
      </c>
      <c r="L69" t="str">
        <f>IF($K69="","",INDEX($A$30:$A$109,K69)&amp;"   "&amp;TEXT(INDEX($F$30:$F$109,K69),"0%"))</f>
        <v>AGENCIA CENTRAL   44%</v>
      </c>
      <c r="M69">
        <f>IF($K69="","",INDEX($D$30:$D$109,K69))</f>
        <v>8</v>
      </c>
      <c r="N69">
        <f>IF($K69="","",INDEX($E$30:$E$109,K69))</f>
        <v>10</v>
      </c>
      <c r="O69" t="str">
        <f>IF($K69="","",INDEX($A$30:$A$109,K69))</f>
        <v>AGENCIA CENTRAL</v>
      </c>
      <c r="P69" t="str">
        <f>IF($K69="","",INDEX($B$30:$B$109,K69))</f>
        <v>Gerencia de Negocios</v>
      </c>
      <c r="Q69">
        <f>IF($K69="","",INDEX($C$30:$C$109,K69))</f>
        <v>18</v>
      </c>
      <c r="R69">
        <f>IF($K69="","",INDEX($F$30:$F$109,K69))</f>
        <v>0.444444444444444</v>
      </c>
      <c r="S69">
        <f>IF($K69="","",INDEX($H$30:$H$109,K69))</f>
        <v>96.25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individual'!F69="Completado",30000000,0)+COUNTIF('Detalle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6</v>
      </c>
      <c r="L70" t="str">
        <f>IF($K70="","",INDEX($A$30:$A$109,K70)&amp;"   "&amp;TEXT(INDEX($F$30:$F$109,K70),"0%"))</f>
        <v>AGENCIA COLONIA MEDICA   44%</v>
      </c>
      <c r="M70">
        <f>IF($K70="","",INDEX($D$30:$D$109,K70))</f>
        <v>7</v>
      </c>
      <c r="N70">
        <f>IF($K70="","",INDEX($E$30:$E$109,K70))</f>
        <v>9</v>
      </c>
      <c r="O70" t="str">
        <f>IF($K70="","",INDEX($A$30:$A$109,K70))</f>
        <v>AGENCIA COLONIA MEDICA</v>
      </c>
      <c r="P70" t="str">
        <f>IF($K70="","",INDEX($B$30:$B$109,K70))</f>
        <v>Gerencia de Negocios</v>
      </c>
      <c r="Q70">
        <f>IF($K70="","",INDEX($C$30:$C$109,K70))</f>
        <v>16</v>
      </c>
      <c r="R70">
        <f>IF($K70="","",INDEX($F$30:$F$109,K70))</f>
        <v>0.4375</v>
      </c>
      <c r="S70">
        <f>IF($K70="","",INDEX($H$30:$H$109,K70))</f>
        <v>97.8571428571429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individual'!F70="Completado",30000000,0)+COUNTIF('Detalle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24</v>
      </c>
      <c r="L71" t="str">
        <f>IF($K71="","",INDEX($A$30:$A$109,K71)&amp;"   "&amp;TEXT(INDEX($F$30:$F$109,K71),"0%"))</f>
        <v>DEPARTAMENTO DE MERCADEO   29%</v>
      </c>
      <c r="M71">
        <f>IF($K71="","",INDEX($D$30:$D$109,K71))</f>
        <v>2</v>
      </c>
      <c r="N71">
        <f>IF($K71="","",INDEX($E$30:$E$109,K71))</f>
        <v>5</v>
      </c>
      <c r="O71" t="str">
        <f>IF($K71="","",INDEX($A$30:$A$109,K71))</f>
        <v>DEPARTAMENTO DE MERCADEO</v>
      </c>
      <c r="P71" t="str">
        <f>IF($K71="","",INDEX($B$30:$B$109,K71))</f>
        <v>Gerencia de Negocios</v>
      </c>
      <c r="Q71">
        <f>IF($K71="","",INDEX($C$30:$C$109,K71))</f>
        <v>7</v>
      </c>
      <c r="R71">
        <f>IF($K71="","",INDEX($F$30:$F$109,K71))</f>
        <v>0.285714285714286</v>
      </c>
      <c r="S71">
        <f>IF($K71="","",INDEX($H$30:$H$109,K71))</f>
        <v>97.5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individual'!F71="Completado",30000000,0)+COUNTIF('Detalle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11</v>
      </c>
      <c r="L72" t="str">
        <f>IF($K72="","",INDEX($A$30:$A$109,K72)&amp;"   "&amp;TEXT(INDEX($F$30:$F$109,K72),"0%"))</f>
        <v>AGENCIA SONSONATE   14%</v>
      </c>
      <c r="M72">
        <f>IF($K72="","",INDEX($D$30:$D$109,K72))</f>
        <v>1</v>
      </c>
      <c r="N72">
        <f>IF($K72="","",INDEX($E$30:$E$109,K72))</f>
        <v>6</v>
      </c>
      <c r="O72" t="str">
        <f>IF($K72="","",INDEX($A$30:$A$109,K72))</f>
        <v>AGENCIA SONSONATE</v>
      </c>
      <c r="P72" t="str">
        <f>IF($K72="","",INDEX($B$30:$B$109,K72))</f>
        <v>Gerencia de Negocios</v>
      </c>
      <c r="Q72">
        <f>IF($K72="","",INDEX($C$30:$C$109,K72))</f>
        <v>7</v>
      </c>
      <c r="R72">
        <f>IF($K72="","",INDEX($F$30:$F$109,K72))</f>
        <v>0.142857142857143</v>
      </c>
      <c r="S72">
        <f>IF($K72="","",INDEX($H$30:$H$109,K72))</f>
        <v>80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individual'!F72="Completado",30000000,0)+COUNTIF('Detalle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individual'!F73="Completado",30000000,0)+COUNTIF('Detalle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individual'!F74="Completado",30000000,0)+COUNTIF('Detalle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individual'!F75="Completado",30000000,0)+COUNTIF('Detalle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individual'!F76="Completado",30000000,0)+COUNTIF('Detalle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individual'!F77="Completado",30000000,0)+COUNTIF('Detalle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individual'!F78="Completado",30000000,0)+COUNTIF('Detalle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individual'!F79="Completado",30000000,0)+COUNTIF('Detalle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individual'!F80="Completado",30000000,0)+COUNTIF('Detalle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individual'!F81="Completado",30000000,0)+COUNTIF('Detalle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individual'!F82="Completado",30000000,0)+COUNTIF('Detalle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individual'!F83="Completado",30000000,0)+COUNTIF('Detalle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individual'!F84="Completado",30000000,0)+COUNTIF('Detalle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individual'!F85="Completado",30000000,0)+COUNTIF('Detalle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individual'!F86="Completado",30000000,0)+COUNTIF('Detalle individual'!$C$5:$C$1000,"&lt;"&amp;'Detalle individual'!C86)*10000+ROW(),""))</f>
        <v>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I86" t="str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individual'!F87="Completado",30000000,0)+COUNTIF('Detalle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individual'!F88="Completado",30000000,0)+COUNTIF('Detalle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individual'!F89="Completado",30000000,0)+COUNTIF('Detalle individual'!$C$5:$C$1000,"&lt;"&amp;'Detalle individual'!C89)*10000+ROW(),""))</f>
        <v>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I89" t="str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individual'!F90="Completado",30000000,0)+COUNTIF('Detalle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individual'!F91="Completado",30000000,0)+COUNTIF('Detalle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individual'!F92="Completado",30000000,0)+COUNTIF('Detalle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individual'!F93="Completado",30000000,0)+COUNTIF('Detalle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individual'!F94="Completado",30000000,0)+COUNTIF('Detalle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individual'!F95="Completado",30000000,0)+COUNTIF('Detalle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individual'!F96="Completado",30000000,0)+COUNTIF('Detalle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individual'!F97="Completado",30000000,0)+COUNTIF('Detalle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individual'!F98="Completado",30000000,0)+COUNTIF('Detalle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individual'!F99="Completado",30000000,0)+COUNTIF('Detalle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individual'!F100="Completado",30000000,0)+COUNTIF('Detalle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individual'!F101="Completado",30000000,0)+COUNTIF('Detalle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individual'!F102="Completado",30000000,0)+COUNTIF('Detalle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individual'!F103="Completado",30000000,0)+COUNTIF('Detalle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individual'!F104="Completado",30000000,0)+COUNTIF('Detalle individual'!$C$5:$C$1000,"&lt;"&amp;'Detalle individual'!C104)*10000+ROW(),""))</f>
        <v>8920104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individual'!F105="Completado",30000000,0)+COUNTIF('Detalle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individual'!F106="Completado",30000000,0)+COUNTIF('Detalle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individual'!F107="Completado",30000000,0)+COUNTIF('Detalle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individual'!F108="Completado",30000000,0)+COUNTIF('Detalle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individual'!F109="Completado",30000000,0)+COUNTIF('Detalle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individual'!F110="Completado",30000000,0)+COUNTIF('Detalle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individual'!F111="Completado",30000000,0)+COUNTIF('Detalle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individual'!F112="Completado",30000000,0)+COUNTIF('Detalle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individual'!F113="Completado",30000000,0)+COUNTIF('Detalle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individual'!F114="Completado",30000000,0)+COUNTIF('Detalle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237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individual'!F115="Completado",30000000,0)+COUNTIF('Detalle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56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individual'!F116="Completado",30000000,0)+COUNTIF('Detalle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individual'!F117="Completado",30000000,0)+COUNTIF('Detalle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individual'!F118="Completado",30000000,0)+COUNTIF('Detalle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individual'!F119="Completado",30000000,0)+COUNTIF('Detalle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individual'!F120="Completado",30000000,0)+COUNTIF('Detalle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individual'!F121="Completado",30000000,0)+COUNTIF('Detalle individual'!$C$5:$C$1000,"&lt;"&amp;'Detalle individual'!C121)*10000+ROW(),""))</f>
        <v>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I121" t="str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individual'!F122="Completado",30000000,0)+COUNTIF('Detalle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individual'!F123="Completado",30000000,0)+COUNTIF('Detalle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individual'!F124="Completado",30000000,0)+COUNTIF('Detalle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individual'!F125="Completado",30000000,0)+COUNTIF('Detalle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individual'!F126="Completado",30000000,0)+COUNTIF('Detalle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individual'!F127="Completado",30000000,0)+COUNTIF('Detalle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individual'!F128="Completado",30000000,0)+COUNTIF('Detalle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individual'!F129="Completado",30000000,0)+COUNTIF('Detalle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individual'!F130="Completado",30000000,0)+COUNTIF('Detalle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individual'!F131="Completado",30000000,0)+COUNTIF('Detalle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individual'!F132="Completado",30000000,0)+COUNTIF('Detalle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individual'!F133="Completado",30000000,0)+COUNTIF('Detalle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individual'!F134="Completado",30000000,0)+COUNTIF('Detalle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individual'!F135="Completado",30000000,0)+COUNTIF('Detalle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individual'!F136="Completado",30000000,0)+COUNTIF('Detalle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individual'!F137="Completado",30000000,0)+COUNTIF('Detalle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individual'!F138="Completado",30000000,0)+COUNTIF('Detalle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individual'!F139="Completado",30000000,0)+COUNTIF('Detalle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individual'!F140="Completado",30000000,0)+COUNTIF('Detalle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individual'!F141="Completado",30000000,0)+COUNTIF('Detalle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individual'!F142="Completado",30000000,0)+COUNTIF('Detalle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individual'!F143="Completado",30000000,0)+COUNTIF('Detalle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individual'!F144="Completado",30000000,0)+COUNTIF('Detalle individual'!$C$5:$C$1000,"&lt;"&amp;'Detalle individual'!C144)*10000+ROW(),""))</f>
        <v>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I144" t="str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individual'!F145="Completado",30000000,0)+COUNTIF('Detalle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individual'!F146="Completado",30000000,0)+COUNTIF('Detalle individual'!$C$5:$C$1000,"&lt;"&amp;'Detalle individual'!C146)*10000+ROW(),""))</f>
        <v>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I146" t="str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individual'!F147="Completado",30000000,0)+COUNTIF('Detalle individual'!$C$5:$C$1000,"&lt;"&amp;'Detalle individual'!C147)*10000+ROW(),""))</f>
        <v>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I147" t="str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individual'!F148="Completado",30000000,0)+COUNTIF('Detalle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individual'!F149="Completado",30000000,0)+COUNTIF('Detalle individual'!$C$5:$C$1000,"&lt;"&amp;'Detalle individual'!C149)*10000+ROW(),""))</f>
        <v>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I149" t="str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individual'!F150="Completado",30000000,0)+COUNTIF('Detalle individual'!$C$5:$C$1000,"&lt;"&amp;'Detalle individual'!C150)*10000+ROW(),""))</f>
        <v>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I150" t="str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individual'!F151="Completado",30000000,0)+COUNTIF('Detalle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individual'!F152="Completado",30000000,0)+COUNTIF('Detalle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individual'!F153="Completado",30000000,0)+COUNTIF('Detalle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individual'!F154="Completado",30000000,0)+COUNTIF('Detalle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individual'!F155="Completado",30000000,0)+COUNTIF('Detalle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individual'!F156="Completado",30000000,0)+COUNTIF('Detalle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individual'!F157="Completado",30000000,0)+COUNTIF('Detalle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individual'!F158="Completado",30000000,0)+COUNTIF('Detalle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individual'!F159="Completado",30000000,0)+COUNTIF('Detalle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individual'!F160="Completado",30000000,0)+COUNTIF('Detalle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individual'!F161="Completado",30000000,0)+COUNTIF('Detalle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individual'!F162="Completado",30000000,0)+COUNTIF('Detalle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individual'!F163="Completado",30000000,0)+COUNTIF('Detalle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individual'!F164="Completado",30000000,0)+COUNTIF('Detalle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individual'!F165="Completado",30000000,0)+COUNTIF('Detalle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individual'!F166="Completado",30000000,0)+COUNTIF('Detalle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individual'!F167="Completado",30000000,0)+COUNTIF('Detalle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individual'!F168="Completado",30000000,0)+COUNTIF('Detalle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individual'!F169="Completado",30000000,0)+COUNTIF('Detalle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individual'!F170="Completado",30000000,0)+COUNTIF('Detalle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individual'!F171="Completado",30000000,0)+COUNTIF('Detalle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individual'!F172="Completado",30000000,0)+COUNTIF('Detalle individual'!$C$5:$C$1000,"&lt;"&amp;'Detalle individual'!C172)*10000+ROW(),""))</f>
        <v>9070172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individual'!F173="Completado",30000000,0)+COUNTIF('Detalle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individual'!F174="Completado",30000000,0)+COUNTIF('Detalle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individual'!F175="Completado",30000000,0)+COUNTIF('Detalle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individual'!F176="Completado",30000000,0)+COUNTIF('Detalle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individual'!F177="Completado",30000000,0)+COUNTIF('Detalle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individual'!F178="Completado",30000000,0)+COUNTIF('Detalle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individual'!F179="Completado",30000000,0)+COUNTIF('Detalle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individual'!F180="Completado",30000000,0)+COUNTIF('Detalle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individual'!F181="Completado",30000000,0)+COUNTIF('Detalle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individual'!F182="Completado",30000000,0)+COUNTIF('Detalle individual'!$C$5:$C$1000,"&lt;"&amp;'Detalle individual'!C182)*10000+ROW(),""))</f>
        <v>8130182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individual'!F183="Completado",30000000,0)+COUNTIF('Detalle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individual'!F184="Completado",30000000,0)+COUNTIF('Detalle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individual'!F185="Completado",30000000,0)+COUNTIF('Detalle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individual'!F186="Completado",30000000,0)+COUNTIF('Detalle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individual'!F187="Completado",30000000,0)+COUNTIF('Detalle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individual'!F188="Completado",30000000,0)+COUNTIF('Detalle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individual'!F189="Completado",30000000,0)+COUNTIF('Detalle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individual'!F190="Completado",30000000,0)+COUNTIF('Detalle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individual'!F191="Completado",30000000,0)+COUNTIF('Detalle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individual'!F192="Completado",30000000,0)+COUNTIF('Detalle individual'!$C$5:$C$1000,"&lt;"&amp;'Detalle individual'!C192)*10000+ROW(),""))</f>
        <v>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I192" t="str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individual'!F193="Completado",30000000,0)+COUNTIF('Detalle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individual'!F194="Completado",30000000,0)+COUNTIF('Detalle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individual'!F195="Completado",30000000,0)+COUNTIF('Detalle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individual'!F196="Completado",30000000,0)+COUNTIF('Detalle individual'!$C$5:$C$1000,"&lt;"&amp;'Detalle individual'!C196)*10000+ROW(),""))</f>
        <v>7130196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individual'!F197="Completado",30000000,0)+COUNTIF('Detalle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individual'!F198="Completado",30000000,0)+COUNTIF('Detalle individual'!$C$5:$C$1000,"&lt;"&amp;'Detalle individual'!C198)*10000+ROW(),""))</f>
        <v>7130198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individual'!F199="Completado",30000000,0)+COUNTIF('Detalle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individual'!F200="Completado",30000000,0)+COUNTIF('Detalle individual'!$C$5:$C$1000,"&lt;"&amp;'Detalle individual'!C200)*10000+ROW(),""))</f>
        <v>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I200" t="str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individual'!F201="Completado",30000000,0)+COUNTIF('Detalle individual'!$C$5:$C$1000,"&lt;"&amp;'Detalle individual'!C201)*10000+ROW(),""))</f>
        <v>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I201" t="str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individual'!F202="Completado",30000000,0)+COUNTIF('Detalle individual'!$C$5:$C$1000,"&lt;"&amp;'Detalle individual'!C202)*10000+ROW(),""))</f>
        <v>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I202" t="str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individual'!F203="Completado",30000000,0)+COUNTIF('Detalle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individual'!F204="Completado",30000000,0)+COUNTIF('Detalle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individual'!F205="Completado",30000000,0)+COUNTIF('Detalle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individual'!F206="Completado",30000000,0)+COUNTIF('Detalle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individual'!F207="Completado",30000000,0)+COUNTIF('Detalle individual'!$C$5:$C$1000,"&lt;"&amp;'Detalle individual'!C207)*10000+ROW(),""))</f>
        <v>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I207" t="str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individual'!F208="Completado",30000000,0)+COUNTIF('Detalle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individual'!F209="Completado",30000000,0)+COUNTIF('Detalle individual'!$C$5:$C$1000,"&lt;"&amp;'Detalle individual'!C209)*10000+ROW(),""))</f>
        <v>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I209" t="str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individual'!F210="Completado",30000000,0)+COUNTIF('Detalle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individual'!F211="Completado",30000000,0)+COUNTIF('Detalle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individual'!F212="Completado",30000000,0)+COUNTIF('Detalle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individual'!F213="Completado",30000000,0)+COUNTIF('Detalle individual'!$C$5:$C$1000,"&lt;"&amp;'Detalle individual'!C213)*10000+ROW(),""))</f>
        <v>7310213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individual'!F214="Completado",30000000,0)+COUNTIF('Detalle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individual'!F215="Completado",30000000,0)+COUNTIF('Detalle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individual'!F216="Completado",30000000,0)+COUNTIF('Detalle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individual'!F217="Completado",30000000,0)+COUNTIF('Detalle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individual'!F218="Completado",30000000,0)+COUNTIF('Detalle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individual'!F219="Completado",30000000,0)+COUNTIF('Detalle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individual'!F220="Completado",30000000,0)+COUNTIF('Detalle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individual'!F221="Completado",30000000,0)+COUNTIF('Detalle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individual'!F222="Completado",30000000,0)+COUNTIF('Detalle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individual'!F223="Completado",30000000,0)+COUNTIF('Detalle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individual'!F224="Completado",30000000,0)+COUNTIF('Detalle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individual'!F225="Completado",30000000,0)+COUNTIF('Detalle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individual'!F226="Completado",30000000,0)+COUNTIF('Detalle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individual'!F227="Completado",30000000,0)+COUNTIF('Detalle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individual'!F228="Completado",30000000,0)+COUNTIF('Detalle individual'!$C$5:$C$1000,"&lt;"&amp;'Detalle individual'!C228)*10000+ROW(),""))</f>
        <v>7800228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individual'!F229="Completado",30000000,0)+COUNTIF('Detalle individual'!$C$5:$C$1000,"&lt;"&amp;'Detalle individual'!C229)*10000+ROW(),""))</f>
        <v>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I229" t="str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individual'!F230="Completado",30000000,0)+COUNTIF('Detalle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individual'!F231="Completado",30000000,0)+COUNTIF('Detalle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individual'!F232="Completado",30000000,0)+COUNTIF('Detalle individual'!$C$5:$C$1000,"&lt;"&amp;'Detalle individual'!C232)*10000+ROW(),""))</f>
        <v>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I232" t="str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individual'!F233="Completado",30000000,0)+COUNTIF('Detalle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individual'!F234="Completado",30000000,0)+COUNTIF('Detalle individual'!$C$5:$C$1000,"&lt;"&amp;'Detalle individual'!C234)*10000+ROW(),""))</f>
        <v>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I234" t="str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individual'!F235="Completado",30000000,0)+COUNTIF('Detalle individual'!$C$5:$C$1000,"&lt;"&amp;'Detalle individual'!C235)*10000+ROW(),""))</f>
        <v>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I235" t="str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individual'!F236="Completado",30000000,0)+COUNTIF('Detalle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individual'!F237="Completado",30000000,0)+COUNTIF('Detalle individual'!$C$5:$C$1000,"&lt;"&amp;'Detalle individual'!C237)*10000+ROW(),""))</f>
        <v>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I237" t="str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individual'!F238="Completado",30000000,0)+COUNTIF('Detalle individual'!$C$5:$C$1000,"&lt;"&amp;'Detalle individual'!C238)*10000+ROW(),""))</f>
        <v>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I238" t="str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individual'!F239="Completado",30000000,0)+COUNTIF('Detalle individual'!$C$5:$C$1000,"&lt;"&amp;'Detalle individual'!C239)*10000+ROW(),""))</f>
        <v>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I239" t="str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individual'!F240="Completado",30000000,0)+COUNTIF('Detalle individual'!$C$5:$C$1000,"&lt;"&amp;'Detalle individual'!C240)*10000+ROW(),""))</f>
        <v>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I240" t="str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individual'!F241="Completado",30000000,0)+COUNTIF('Detalle individual'!$C$5:$C$1000,"&lt;"&amp;'Detalle individual'!C241)*10000+ROW(),""))</f>
        <v>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I241" t="str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individual'!F242="Completado",30000000,0)+COUNTIF('Detalle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individual'!F243="Completado",30000000,0)+COUNTIF('Detalle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individual'!F244="Completado",30000000,0)+COUNTIF('Detalle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individual'!F245="Completado",30000000,0)+COUNTIF('Detalle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individual'!F246="Completado",30000000,0)+COUNTIF('Detalle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individual'!F247="Completado",30000000,0)+COUNTIF('Detalle individual'!$C$5:$C$1000,"&lt;"&amp;'Detalle individual'!C247)*10000+ROW(),""))</f>
        <v>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I247" t="str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 t="str">
        <f>IF(OR('Base Exámenes'!C247="",'Base Exámenes'!D247=""),"",IF(COUNTIF('Base Exámenes'!$C$5:C247,'Base Exámenes'!C247)=1,'Base Exámenes'!D247+ROW()/1000000000,""))</f>
        <v/>
      </c>
      <c r="AL247" t="str">
        <f>IF(OR('Base Exámenes'!C247="",'Base Exámenes'!E247=""),"",IF(COUNTIF('Base Exámenes'!$C$5:C247,'Base Exámenes'!C247)=1,'Base Exámenes'!E247+ROW()/1000000000,""))</f>
        <v/>
      </c>
      <c r="AM247" t="str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/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individual'!F248="Completado",30000000,0)+COUNTIF('Detalle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K248" t="str">
        <f>IF(OR('Base Exámenes'!C248="",'Base Exámenes'!D248=""),"",IF(COUNTIF('Base Exámenes'!$C$5:C248,'Base Exámenes'!C248)=1,'Base Exámenes'!D248+ROW()/1000000000,""))</f>
        <v/>
      </c>
      <c r="AL248" t="str">
        <f>IF(OR('Base Exámenes'!C248="",'Base Exámenes'!E248=""),"",IF(COUNTIF('Base Exámenes'!$C$5:C248,'Base Exámenes'!C248)=1,'Base Exámenes'!E248+ROW()/1000000000,""))</f>
        <v/>
      </c>
      <c r="AM248" t="str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/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individual'!F249="Completado",30000000,0)+COUNTIF('Detalle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K249" t="str">
        <f>IF(OR('Base Exámenes'!C249="",'Base Exámenes'!D249=""),"",IF(COUNTIF('Base Exámenes'!$C$5:C249,'Base Exámenes'!C249)=1,'Base Exámenes'!D249+ROW()/1000000000,""))</f>
        <v/>
      </c>
      <c r="AL249" t="str">
        <f>IF(OR('Base Exámenes'!C249="",'Base Exámenes'!E249=""),"",IF(COUNTIF('Base Exámenes'!$C$5:C249,'Base Exámenes'!C249)=1,'Base Exámenes'!E249+ROW()/1000000000,""))</f>
        <v/>
      </c>
      <c r="AM249" t="str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/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individual'!F250="Completado",30000000,0)+COUNTIF('Detalle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K250" t="str">
        <f>IF(OR('Base Exámenes'!C250="",'Base Exámenes'!D250=""),"",IF(COUNTIF('Base Exámenes'!$C$5:C250,'Base Exámenes'!C250)=1,'Base Exámenes'!D250+ROW()/1000000000,""))</f>
        <v/>
      </c>
      <c r="AL250" t="str">
        <f>IF(OR('Base Exámenes'!C250="",'Base Exámenes'!E250=""),"",IF(COUNTIF('Base Exámenes'!$C$5:C250,'Base Exámenes'!C250)=1,'Base Exámenes'!E250+ROW()/1000000000,""))</f>
        <v/>
      </c>
      <c r="AM250" t="str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/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individual'!F251="Completado",30000000,0)+COUNTIF('Detalle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K251" t="str">
        <f>IF(OR('Base Exámenes'!C251="",'Base Exámenes'!D251=""),"",IF(COUNTIF('Base Exámenes'!$C$5:C251,'Base Exámenes'!C251)=1,'Base Exámenes'!D251+ROW()/1000000000,""))</f>
        <v/>
      </c>
      <c r="AL251" t="str">
        <f>IF(OR('Base Exámenes'!C251="",'Base Exámenes'!E251=""),"",IF(COUNTIF('Base Exámenes'!$C$5:C251,'Base Exámenes'!C251)=1,'Base Exámenes'!E251+ROW()/1000000000,""))</f>
        <v/>
      </c>
      <c r="AM251" t="str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/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individual'!F252="Completado",30000000,0)+COUNTIF('Detalle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K252" t="str">
        <f>IF(OR('Base Exámenes'!C252="",'Base Exámenes'!D252=""),"",IF(COUNTIF('Base Exámenes'!$C$5:C252,'Base Exámenes'!C252)=1,'Base Exámenes'!D252+ROW()/1000000000,""))</f>
        <v/>
      </c>
      <c r="AL252" t="str">
        <f>IF(OR('Base Exámenes'!C252="",'Base Exámenes'!E252=""),"",IF(COUNTIF('Base Exámenes'!$C$5:C252,'Base Exámenes'!C252)=1,'Base Exámenes'!E252+ROW()/1000000000,""))</f>
        <v/>
      </c>
      <c r="AM252" t="str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/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individual'!F253="Completado",30000000,0)+COUNTIF('Detalle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K253" t="str">
        <f>IF(OR('Base Exámenes'!C253="",'Base Exámenes'!D253=""),"",IF(COUNTIF('Base Exámenes'!$C$5:C253,'Base Exámenes'!C253)=1,'Base Exámenes'!D253+ROW()/1000000000,""))</f>
        <v/>
      </c>
      <c r="AL253" t="str">
        <f>IF(OR('Base Exámenes'!C253="",'Base Exámenes'!E253=""),"",IF(COUNTIF('Base Exámenes'!$C$5:C253,'Base Exámenes'!C253)=1,'Base Exámenes'!E253+ROW()/1000000000,""))</f>
        <v/>
      </c>
      <c r="AM253" t="str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/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individual'!F254="Completado",30000000,0)+COUNTIF('Detalle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K254" t="str">
        <f>IF(OR('Base Exámenes'!C254="",'Base Exámenes'!D254=""),"",IF(COUNTIF('Base Exámenes'!$C$5:C254,'Base Exámenes'!C254)=1,'Base Exámenes'!D254+ROW()/1000000000,""))</f>
        <v/>
      </c>
      <c r="AL254" t="str">
        <f>IF(OR('Base Exámenes'!C254="",'Base Exámenes'!E254=""),"",IF(COUNTIF('Base Exámenes'!$C$5:C254,'Base Exámenes'!C254)=1,'Base Exámenes'!E254+ROW()/1000000000,""))</f>
        <v/>
      </c>
      <c r="AM254" t="str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/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individual'!F255="Completado",30000000,0)+COUNTIF('Detalle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K255" t="str">
        <f>IF(OR('Base Exámenes'!C255="",'Base Exámenes'!D255=""),"",IF(COUNTIF('Base Exámenes'!$C$5:C255,'Base Exámenes'!C255)=1,'Base Exámenes'!D255+ROW()/1000000000,""))</f>
        <v/>
      </c>
      <c r="AL255" t="str">
        <f>IF(OR('Base Exámenes'!C255="",'Base Exámenes'!E255=""),"",IF(COUNTIF('Base Exámenes'!$C$5:C255,'Base Exámenes'!C255)=1,'Base Exámenes'!E255+ROW()/1000000000,""))</f>
        <v/>
      </c>
      <c r="AM255" t="str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/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individual'!F256="Completado",30000000,0)+COUNTIF('Detalle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K256" t="str">
        <f>IF(OR('Base Exámenes'!C256="",'Base Exámenes'!D256=""),"",IF(COUNTIF('Base Exámenes'!$C$5:C256,'Base Exámenes'!C256)=1,'Base Exámenes'!D256+ROW()/1000000000,""))</f>
        <v/>
      </c>
      <c r="AL256" t="str">
        <f>IF(OR('Base Exámenes'!C256="",'Base Exámenes'!E256=""),"",IF(COUNTIF('Base Exámenes'!$C$5:C256,'Base Exámenes'!C256)=1,'Base Exámenes'!E256+ROW()/1000000000,""))</f>
        <v/>
      </c>
      <c r="AM256" t="str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/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individual'!F257="Completado",30000000,0)+COUNTIF('Detalle individual'!$C$5:$C$1000,"&lt;"&amp;'Detalle individual'!C257)*10000+ROW(),""))</f>
        <v>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I257" t="str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 t="str">
        <f>IF(OR('Base Exámenes'!C257="",'Base Exámenes'!D257=""),"",IF(COUNTIF('Base Exámenes'!$C$5:C257,'Base Exámenes'!C257)=1,'Base Exámenes'!D257+ROW()/1000000000,""))</f>
        <v/>
      </c>
      <c r="AL257" t="str">
        <f>IF(OR('Base Exámenes'!C257="",'Base Exámenes'!E257=""),"",IF(COUNTIF('Base Exámenes'!$C$5:C257,'Base Exámenes'!C257)=1,'Base Exámenes'!E257+ROW()/1000000000,""))</f>
        <v/>
      </c>
      <c r="AM257" t="str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/>
      </c>
      <c r="AQ257" t="str">
        <f>IF('Base Exámenes'!C257="","",IF(COUNTIF('Base Exámenes'!$C$5:$C$1000,'Base Exámenes'!C257)&lt;2,"",MATCH('Base Exámenes'!C257,'Base Exámenes'!$C$5:$C$1000,0)*10000+ROW()))</f>
        <v/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individual'!F258="Completado",30000000,0)+COUNTIF('Detalle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K258" t="str">
        <f>IF(OR('Base Exámenes'!C258="",'Base Exámenes'!D258=""),"",IF(COUNTIF('Base Exámenes'!$C$5:C258,'Base Exámenes'!C258)=1,'Base Exámenes'!D258+ROW()/1000000000,""))</f>
        <v/>
      </c>
      <c r="AL258" t="str">
        <f>IF(OR('Base Exámenes'!C258="",'Base Exámenes'!E258=""),"",IF(COUNTIF('Base Exámenes'!$C$5:C258,'Base Exámenes'!C258)=1,'Base Exámenes'!E258+ROW()/1000000000,""))</f>
        <v/>
      </c>
      <c r="AM258" t="str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/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individual'!F259="Completado",30000000,0)+COUNTIF('Detalle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K259" t="str">
        <f>IF(OR('Base Exámenes'!C259="",'Base Exámenes'!D259=""),"",IF(COUNTIF('Base Exámenes'!$C$5:C259,'Base Exámenes'!C259)=1,'Base Exámenes'!D259+ROW()/1000000000,""))</f>
        <v/>
      </c>
      <c r="AL259" t="str">
        <f>IF(OR('Base Exámenes'!C259="",'Base Exámenes'!E259=""),"",IF(COUNTIF('Base Exámenes'!$C$5:C259,'Base Exámenes'!C259)=1,'Base Exámenes'!E259+ROW()/1000000000,""))</f>
        <v/>
      </c>
      <c r="AM259" t="str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/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individual'!F260="Completado",30000000,0)+COUNTIF('Detalle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K260" t="str">
        <f>IF(OR('Base Exámenes'!C260="",'Base Exámenes'!D260=""),"",IF(COUNTIF('Base Exámenes'!$C$5:C260,'Base Exámenes'!C260)=1,'Base Exámenes'!D260+ROW()/1000000000,""))</f>
        <v/>
      </c>
      <c r="AL260" t="str">
        <f>IF(OR('Base Exámenes'!C260="",'Base Exámenes'!E260=""),"",IF(COUNTIF('Base Exámenes'!$C$5:C260,'Base Exámenes'!C260)=1,'Base Exámenes'!E260+ROW()/1000000000,""))</f>
        <v/>
      </c>
      <c r="AM260" t="str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/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individual'!F261="Completado",30000000,0)+COUNTIF('Detalle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 t="str">
        <f>IF('Base Exámenes'!C261="","",IF(COUNTIF('Base Exámenes'!$C$5:$C$1000,'Base Exámenes'!C261)&lt;2,"",MATCH('Base Exámenes'!C261,'Base Exámenes'!$C$5:$C$1000,0)*10000+ROW()))</f>
        <v/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individual'!F262="Completado",30000000,0)+COUNTIF('Detalle individual'!$C$5:$C$1000,"&lt;"&amp;'Detalle individual'!C262)*10000+ROW(),""))</f>
        <v>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I262" t="str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 t="str">
        <f>IF(OR('Base Exámenes'!C262="",'Base Exámenes'!D262=""),"",IF(COUNTIF('Base Exámenes'!$C$5:C262,'Base Exámenes'!C262)=1,'Base Exámenes'!D262+ROW()/1000000000,""))</f>
        <v/>
      </c>
      <c r="AL262" t="str">
        <f>IF(OR('Base Exámenes'!C262="",'Base Exámenes'!E262=""),"",IF(COUNTIF('Base Exámenes'!$C$5:C262,'Base Exámenes'!C262)=1,'Base Exámenes'!E262+ROW()/1000000000,""))</f>
        <v/>
      </c>
      <c r="AM262" t="str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/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individual'!F263="Completado",30000000,0)+COUNTIF('Detalle individual'!$C$5:$C$1000,"&lt;"&amp;'Detalle individual'!C263)*10000+ROW(),""))</f>
        <v>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I263" t="str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 t="str">
        <f>IF(OR('Base Exámenes'!C263="",'Base Exámenes'!D263=""),"",IF(COUNTIF('Base Exámenes'!$C$5:C263,'Base Exámenes'!C263)=1,'Base Exámenes'!D263+ROW()/1000000000,""))</f>
        <v/>
      </c>
      <c r="AL263" t="str">
        <f>IF(OR('Base Exámenes'!C263="",'Base Exámenes'!E263=""),"",IF(COUNTIF('Base Exámenes'!$C$5:C263,'Base Exámenes'!C263)=1,'Base Exámenes'!E263+ROW()/1000000000,""))</f>
        <v/>
      </c>
      <c r="AM263" t="str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/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individual'!F264="Completado",30000000,0)+COUNTIF('Detalle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K264" t="str">
        <f>IF(OR('Base Exámenes'!C264="",'Base Exámenes'!D264=""),"",IF(COUNTIF('Base Exámenes'!$C$5:C264,'Base Exámenes'!C264)=1,'Base Exámenes'!D264+ROW()/1000000000,""))</f>
        <v/>
      </c>
      <c r="AL264" t="str">
        <f>IF(OR('Base Exámenes'!C264="",'Base Exámenes'!E264=""),"",IF(COUNTIF('Base Exámenes'!$C$5:C264,'Base Exámenes'!C264)=1,'Base Exámenes'!E264+ROW()/1000000000,""))</f>
        <v/>
      </c>
      <c r="AM264" t="str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/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individual'!F265="Completado",30000000,0)+COUNTIF('Detalle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K265" t="str">
        <f>IF(OR('Base Exámenes'!C265="",'Base Exámenes'!D265=""),"",IF(COUNTIF('Base Exámenes'!$C$5:C265,'Base Exámenes'!C265)=1,'Base Exámenes'!D265+ROW()/1000000000,""))</f>
        <v/>
      </c>
      <c r="AL265" t="str">
        <f>IF(OR('Base Exámenes'!C265="",'Base Exámenes'!E265=""),"",IF(COUNTIF('Base Exámenes'!$C$5:C265,'Base Exámenes'!C265)=1,'Base Exámenes'!E265+ROW()/1000000000,""))</f>
        <v/>
      </c>
      <c r="AM265" t="str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/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individual'!F266="Completado",30000000,0)+COUNTIF('Detalle individual'!$C$5:$C$1000,"&lt;"&amp;'Detalle individual'!C266)*10000+ROW(),""))</f>
        <v>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I266" t="str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 t="str">
        <f>IF(OR('Base Exámenes'!C266="",'Base Exámenes'!D266=""),"",IF(COUNTIF('Base Exámenes'!$C$5:C266,'Base Exámenes'!C266)=1,'Base Exámenes'!D266+ROW()/1000000000,""))</f>
        <v/>
      </c>
      <c r="AL266" t="str">
        <f>IF(OR('Base Exámenes'!C266="",'Base Exámenes'!E266=""),"",IF(COUNTIF('Base Exámenes'!$C$5:C266,'Base Exámenes'!C266)=1,'Base Exámenes'!E266+ROW()/1000000000,""))</f>
        <v/>
      </c>
      <c r="AM266" t="str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/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individual'!F267="Completado",30000000,0)+COUNTIF('Detalle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K267" t="str">
        <f>IF(OR('Base Exámenes'!C267="",'Base Exámenes'!D267=""),"",IF(COUNTIF('Base Exámenes'!$C$5:C267,'Base Exámenes'!C267)=1,'Base Exámenes'!D267+ROW()/1000000000,""))</f>
        <v/>
      </c>
      <c r="AL267" t="str">
        <f>IF(OR('Base Exámenes'!C267="",'Base Exámenes'!E267=""),"",IF(COUNTIF('Base Exámenes'!$C$5:C267,'Base Exámenes'!C267)=1,'Base Exámenes'!E267+ROW()/1000000000,""))</f>
        <v/>
      </c>
      <c r="AM267" t="str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/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individual'!F268="Completado",30000000,0)+COUNTIF('Detalle individual'!$C$5:$C$1000,"&lt;"&amp;'Detalle individual'!C268)*10000+ROW(),""))</f>
        <v>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I268" t="str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 t="str">
        <f>IF(OR('Base Exámenes'!C268="",'Base Exámenes'!D268=""),"",IF(COUNTIF('Base Exámenes'!$C$5:C268,'Base Exámenes'!C268)=1,'Base Exámenes'!D268+ROW()/1000000000,""))</f>
        <v/>
      </c>
      <c r="AL268" t="str">
        <f>IF(OR('Base Exámenes'!C268="",'Base Exámenes'!E268=""),"",IF(COUNTIF('Base Exámenes'!$C$5:C268,'Base Exámenes'!C268)=1,'Base Exámenes'!E268+ROW()/1000000000,""))</f>
        <v/>
      </c>
      <c r="AM268" t="str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/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individual'!F269="Completado",30000000,0)+COUNTIF('Detalle individual'!$C$5:$C$1000,"&lt;"&amp;'Detalle individual'!C269)*10000+ROW(),""))</f>
        <v>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I269" t="str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 t="str">
        <f>IF(OR('Base Exámenes'!C269="",'Base Exámenes'!D269=""),"",IF(COUNTIF('Base Exámenes'!$C$5:C269,'Base Exámenes'!C269)=1,'Base Exámenes'!D269+ROW()/1000000000,""))</f>
        <v/>
      </c>
      <c r="AL269" t="str">
        <f>IF(OR('Base Exámenes'!C269="",'Base Exámenes'!E269=""),"",IF(COUNTIF('Base Exámenes'!$C$5:C269,'Base Exámenes'!C269)=1,'Base Exámenes'!E269+ROW()/1000000000,""))</f>
        <v/>
      </c>
      <c r="AM269" t="str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/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individual'!F270="Completado",30000000,0)+COUNTIF('Detalle individual'!$C$5:$C$1000,"&lt;"&amp;'Detalle individual'!C270)*10000+ROW(),""))</f>
        <v>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I270" t="str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 t="str">
        <f>IF(OR('Base Exámenes'!C270="",'Base Exámenes'!D270=""),"",IF(COUNTIF('Base Exámenes'!$C$5:C270,'Base Exámenes'!C270)=1,'Base Exámenes'!D270+ROW()/1000000000,""))</f>
        <v/>
      </c>
      <c r="AL270" t="str">
        <f>IF(OR('Base Exámenes'!C270="",'Base Exámenes'!E270=""),"",IF(COUNTIF('Base Exámenes'!$C$5:C270,'Base Exámenes'!C270)=1,'Base Exámenes'!E270+ROW()/1000000000,""))</f>
        <v/>
      </c>
      <c r="AM270" t="str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/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individual'!F271="Completado",30000000,0)+COUNTIF('Detalle individual'!$C$5:$C$1000,"&lt;"&amp;'Detalle individual'!C271)*10000+ROW(),""))</f>
        <v>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I271" t="str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 t="str">
        <f>IF(OR('Base Exámenes'!C271="",'Base Exámenes'!D271=""),"",IF(COUNTIF('Base Exámenes'!$C$5:C271,'Base Exámenes'!C271)=1,'Base Exámenes'!D271+ROW()/1000000000,""))</f>
        <v/>
      </c>
      <c r="AL271" t="str">
        <f>IF(OR('Base Exámenes'!C271="",'Base Exámenes'!E271=""),"",IF(COUNTIF('Base Exámenes'!$C$5:C271,'Base Exámenes'!C271)=1,'Base Exámenes'!E271+ROW()/1000000000,""))</f>
        <v/>
      </c>
      <c r="AM271" t="str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/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individual'!F272="Completado",30000000,0)+COUNTIF('Detalle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 t="str">
        <f>IF(OR('Base Exámenes'!C272="",'Base Exámenes'!D272=""),"",IF(COUNTIF('Base Exámenes'!$C$5:C272,'Base Exámenes'!C272)=1,'Base Exámenes'!D272+ROW()/1000000000,""))</f>
        <v/>
      </c>
      <c r="AL272" t="str">
        <f>IF(OR('Base Exámenes'!C272="",'Base Exámenes'!E272=""),"",IF(COUNTIF('Base Exámenes'!$C$5:C272,'Base Exámenes'!C272)=1,'Base Exámenes'!E272+ROW()/1000000000,""))</f>
        <v/>
      </c>
      <c r="AM272" t="str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/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individual'!F273="Completado",30000000,0)+COUNTIF('Detalle individual'!$C$5:$C$1000,"&lt;"&amp;'Detalle individual'!C273)*10000+ROW(),""))</f>
        <v>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I273" t="str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 t="str">
        <f>IF(OR('Base Exámenes'!C273="",'Base Exámenes'!D273=""),"",IF(COUNTIF('Base Exámenes'!$C$5:C273,'Base Exámenes'!C273)=1,'Base Exámenes'!D273+ROW()/1000000000,""))</f>
        <v/>
      </c>
      <c r="AL273" t="str">
        <f>IF(OR('Base Exámenes'!C273="",'Base Exámenes'!E273=""),"",IF(COUNTIF('Base Exámenes'!$C$5:C273,'Base Exámenes'!C273)=1,'Base Exámenes'!E273+ROW()/1000000000,""))</f>
        <v/>
      </c>
      <c r="AM273" t="str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/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individual'!F274="Completado",30000000,0)+COUNTIF('Detalle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K274" t="str">
        <f>IF(OR('Base Exámenes'!C274="",'Base Exámenes'!D274=""),"",IF(COUNTIF('Base Exámenes'!$C$5:C274,'Base Exámenes'!C274)=1,'Base Exámenes'!D274+ROW()/1000000000,""))</f>
        <v/>
      </c>
      <c r="AL274" t="str">
        <f>IF(OR('Base Exámenes'!C274="",'Base Exámenes'!E274=""),"",IF(COUNTIF('Base Exámenes'!$C$5:C274,'Base Exámenes'!C274)=1,'Base Exámenes'!E274+ROW()/1000000000,""))</f>
        <v/>
      </c>
      <c r="AM274" t="str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/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individual'!F275="Completado",30000000,0)+COUNTIF('Detalle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K275" t="str">
        <f>IF(OR('Base Exámenes'!C275="",'Base Exámenes'!D275=""),"",IF(COUNTIF('Base Exámenes'!$C$5:C275,'Base Exámenes'!C275)=1,'Base Exámenes'!D275+ROW()/1000000000,""))</f>
        <v/>
      </c>
      <c r="AL275" t="str">
        <f>IF(OR('Base Exámenes'!C275="",'Base Exámenes'!E275=""),"",IF(COUNTIF('Base Exámenes'!$C$5:C275,'Base Exámenes'!C275)=1,'Base Exámenes'!E275+ROW()/1000000000,""))</f>
        <v/>
      </c>
      <c r="AM275" t="str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/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individual'!F276="Completado",30000000,0)+COUNTIF('Detalle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K276" t="str">
        <f>IF(OR('Base Exámenes'!C276="",'Base Exámenes'!D276=""),"",IF(COUNTIF('Base Exámenes'!$C$5:C276,'Base Exámenes'!C276)=1,'Base Exámenes'!D276+ROW()/1000000000,""))</f>
        <v/>
      </c>
      <c r="AL276" t="str">
        <f>IF(OR('Base Exámenes'!C276="",'Base Exámenes'!E276=""),"",IF(COUNTIF('Base Exámenes'!$C$5:C276,'Base Exámenes'!C276)=1,'Base Exámenes'!E276+ROW()/1000000000,""))</f>
        <v/>
      </c>
      <c r="AM276" t="str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/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individual'!F277="Completado",30000000,0)+COUNTIF('Detalle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K277" t="str">
        <f>IF(OR('Base Exámenes'!C277="",'Base Exámenes'!D277=""),"",IF(COUNTIF('Base Exámenes'!$C$5:C277,'Base Exámenes'!C277)=1,'Base Exámenes'!D277+ROW()/1000000000,""))</f>
        <v/>
      </c>
      <c r="AL277" t="str">
        <f>IF(OR('Base Exámenes'!C277="",'Base Exámenes'!E277=""),"",IF(COUNTIF('Base Exámenes'!$C$5:C277,'Base Exámenes'!C277)=1,'Base Exámenes'!E277+ROW()/1000000000,""))</f>
        <v/>
      </c>
      <c r="AM277" t="str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/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individual'!F278="Completado",30000000,0)+COUNTIF('Detalle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K278" t="str">
        <f>IF(OR('Base Exámenes'!C278="",'Base Exámenes'!D278=""),"",IF(COUNTIF('Base Exámenes'!$C$5:C278,'Base Exámenes'!C278)=1,'Base Exámenes'!D278+ROW()/1000000000,""))</f>
        <v/>
      </c>
      <c r="AL278" t="str">
        <f>IF(OR('Base Exámenes'!C278="",'Base Exámenes'!E278=""),"",IF(COUNTIF('Base Exámenes'!$C$5:C278,'Base Exámenes'!C278)=1,'Base Exámenes'!E278+ROW()/1000000000,""))</f>
        <v/>
      </c>
      <c r="AM278" t="str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/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individual'!F279="Completado",30000000,0)+COUNTIF('Detalle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K279" t="str">
        <f>IF(OR('Base Exámenes'!C279="",'Base Exámenes'!D279=""),"",IF(COUNTIF('Base Exámenes'!$C$5:C279,'Base Exámenes'!C279)=1,'Base Exámenes'!D279+ROW()/1000000000,""))</f>
        <v/>
      </c>
      <c r="AL279" t="str">
        <f>IF(OR('Base Exámenes'!C279="",'Base Exámenes'!E279=""),"",IF(COUNTIF('Base Exámenes'!$C$5:C279,'Base Exámenes'!C279)=1,'Base Exámenes'!E279+ROW()/1000000000,""))</f>
        <v/>
      </c>
      <c r="AM279" t="str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/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individual'!F280="Completado",30000000,0)+COUNTIF('Detalle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K280" t="str">
        <f>IF(OR('Base Exámenes'!C280="",'Base Exámenes'!D280=""),"",IF(COUNTIF('Base Exámenes'!$C$5:C280,'Base Exámenes'!C280)=1,'Base Exámenes'!D280+ROW()/1000000000,""))</f>
        <v/>
      </c>
      <c r="AL280" t="str">
        <f>IF(OR('Base Exámenes'!C280="",'Base Exámenes'!E280=""),"",IF(COUNTIF('Base Exámenes'!$C$5:C280,'Base Exámenes'!C280)=1,'Base Exámenes'!E280+ROW()/1000000000,""))</f>
        <v/>
      </c>
      <c r="AM280" t="str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/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individual'!F281="Completado",30000000,0)+COUNTIF('Detalle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K281" t="str">
        <f>IF(OR('Base Exámenes'!C281="",'Base Exámenes'!D281=""),"",IF(COUNTIF('Base Exámenes'!$C$5:C281,'Base Exámenes'!C281)=1,'Base Exámenes'!D281+ROW()/1000000000,""))</f>
        <v/>
      </c>
      <c r="AL281" t="str">
        <f>IF(OR('Base Exámenes'!C281="",'Base Exámenes'!E281=""),"",IF(COUNTIF('Base Exámenes'!$C$5:C281,'Base Exámenes'!C281)=1,'Base Exámenes'!E281+ROW()/1000000000,""))</f>
        <v/>
      </c>
      <c r="AM281" t="str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/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individual'!F282="Completado",30000000,0)+COUNTIF('Detalle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K282" t="str">
        <f>IF(OR('Base Exámenes'!C282="",'Base Exámenes'!D282=""),"",IF(COUNTIF('Base Exámenes'!$C$5:C282,'Base Exámenes'!C282)=1,'Base Exámenes'!D282+ROW()/1000000000,""))</f>
        <v/>
      </c>
      <c r="AL282" t="str">
        <f>IF(OR('Base Exámenes'!C282="",'Base Exámenes'!E282=""),"",IF(COUNTIF('Base Exámenes'!$C$5:C282,'Base Exámenes'!C282)=1,'Base Exámenes'!E282+ROW()/1000000000,""))</f>
        <v/>
      </c>
      <c r="AM282" t="str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/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individual'!F283="Completado",30000000,0)+COUNTIF('Detalle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K283" t="str">
        <f>IF(OR('Base Exámenes'!C283="",'Base Exámenes'!D283=""),"",IF(COUNTIF('Base Exámenes'!$C$5:C283,'Base Exámenes'!C283)=1,'Base Exámenes'!D283+ROW()/1000000000,""))</f>
        <v/>
      </c>
      <c r="AL283" t="str">
        <f>IF(OR('Base Exámenes'!C283="",'Base Exámenes'!E283=""),"",IF(COUNTIF('Base Exámenes'!$C$5:C283,'Base Exámenes'!C283)=1,'Base Exámenes'!E283+ROW()/1000000000,""))</f>
        <v/>
      </c>
      <c r="AM283" t="str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/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individual'!F284="Completado",30000000,0)+COUNTIF('Detalle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individual'!F285="Completado",30000000,0)+COUNTIF('Detalle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individual'!F286="Completado",30000000,0)+COUNTIF('Detalle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individual'!F287="Completado",30000000,0)+COUNTIF('Detalle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individual'!F288="Completado",30000000,0)+COUNTIF('Detalle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individual'!F289="Completado",30000000,0)+COUNTIF('Detalle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individual'!F290="Completado",30000000,0)+COUNTIF('Detalle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individual'!F291="Completado",30000000,0)+COUNTIF('Detalle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individual'!F292="Completado",30000000,0)+COUNTIF('Detalle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individual'!F293="Completado",30000000,0)+COUNTIF('Detalle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individual'!F294="Completado",30000000,0)+COUNTIF('Detalle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individual'!F295="Completado",30000000,0)+COUNTIF('Detalle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individual'!F296="Completado",30000000,0)+COUNTIF('Detalle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individual'!F297="Completado",30000000,0)+COUNTIF('Detalle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individual'!F298="Completado",30000000,0)+COUNTIF('Detalle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individual'!F299="Completado",30000000,0)+COUNTIF('Detalle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individual'!F300="Completado",30000000,0)+COUNTIF('Detalle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individual'!F301="Completado",30000000,0)+COUNTIF('Detalle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individual'!F302="Completado",30000000,0)+COUNTIF('Detalle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individual'!F303="Completado",30000000,0)+COUNTIF('Detalle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individual'!F304="Completado",30000000,0)+COUNTIF('Detalle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individual'!F305="Completado",30000000,0)+COUNTIF('Detalle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individual'!F306="Completado",30000000,0)+COUNTIF('Detalle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individual'!F307="Completado",30000000,0)+COUNTIF('Detalle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individual'!F308="Completado",30000000,0)+COUNTIF('Detalle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individual'!F309="Completado",30000000,0)+COUNTIF('Detalle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individual'!F310="Completado",30000000,0)+COUNTIF('Detalle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individual'!F311="Completado",30000000,0)+COUNTIF('Detalle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individual'!F312="Completado",30000000,0)+COUNTIF('Detalle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individual'!F313="Completado",30000000,0)+COUNTIF('Detalle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individual'!F314="Completado",30000000,0)+COUNTIF('Detalle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individual'!F315="Completado",30000000,0)+COUNTIF('Detalle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individual'!F316="Completado",30000000,0)+COUNTIF('Detalle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individual'!F317="Completado",30000000,0)+COUNTIF('Detalle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individual'!F318="Completado",30000000,0)+COUNTIF('Detalle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individual'!F319="Completado",30000000,0)+COUNTIF('Detalle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individual'!F320="Completado",30000000,0)+COUNTIF('Detalle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individual'!F321="Completado",30000000,0)+COUNTIF('Detalle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individual'!F322="Completado",30000000,0)+COUNTIF('Detalle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individual'!F323="Completado",30000000,0)+COUNTIF('Detalle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individual'!F324="Completado",30000000,0)+COUNTIF('Detalle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individual'!F325="Completado",30000000,0)+COUNTIF('Detalle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individual'!F326="Completado",30000000,0)+COUNTIF('Detalle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individual'!F327="Completado",30000000,0)+COUNTIF('Detalle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individual'!F328="Completado",30000000,0)+COUNTIF('Detalle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individual'!F329="Completado",30000000,0)+COUNTIF('Detalle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individual'!F330="Completado",30000000,0)+COUNTIF('Detalle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individual'!F331="Completado",30000000,0)+COUNTIF('Detalle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individual'!F332="Completado",30000000,0)+COUNTIF('Detalle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individual'!F333="Completado",30000000,0)+COUNTIF('Detalle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individual'!F334="Completado",30000000,0)+COUNTIF('Detalle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individual'!F335="Completado",30000000,0)+COUNTIF('Detalle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individual'!F336="Completado",30000000,0)+COUNTIF('Detalle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individual'!F337="Completado",30000000,0)+COUNTIF('Detalle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individual'!F338="Completado",30000000,0)+COUNTIF('Detalle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individual'!F339="Completado",30000000,0)+COUNTIF('Detalle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individual'!F340="Completado",30000000,0)+COUNTIF('Detalle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individual'!F341="Completado",30000000,0)+COUNTIF('Detalle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individual'!F342="Completado",30000000,0)+COUNTIF('Detalle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individual'!F343="Completado",30000000,0)+COUNTIF('Detalle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individual'!F344="Completado",30000000,0)+COUNTIF('Detalle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individual'!F345="Completado",30000000,0)+COUNTIF('Detalle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individual'!F346="Completado",30000000,0)+COUNTIF('Detalle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individual'!F347="Completado",30000000,0)+COUNTIF('Detalle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individual'!F348="Completado",30000000,0)+COUNTIF('Detalle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individual'!F349="Completado",30000000,0)+COUNTIF('Detalle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individual'!F350="Completado",30000000,0)+COUNTIF('Detalle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individual'!F351="Completado",30000000,0)+COUNTIF('Detalle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individual'!F352="Completado",30000000,0)+COUNTIF('Detalle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individual'!F353="Completado",30000000,0)+COUNTIF('Detalle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individual'!F354="Completado",30000000,0)+COUNTIF('Detalle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individual'!F355="Completado",30000000,0)+COUNTIF('Detalle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individual'!F356="Completado",30000000,0)+COUNTIF('Detalle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individual'!F357="Completado",30000000,0)+COUNTIF('Detalle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individual'!F358="Completado",30000000,0)+COUNTIF('Detalle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individual'!F359="Completado",30000000,0)+COUNTIF('Detalle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individual'!F360="Completado",30000000,0)+COUNTIF('Detalle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individual'!F361="Completado",30000000,0)+COUNTIF('Detalle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individual'!F362="Completado",30000000,0)+COUNTIF('Detalle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individual'!F363="Completado",30000000,0)+COUNTIF('Detalle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individual'!F364="Completado",30000000,0)+COUNTIF('Detalle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individual'!F365="Completado",30000000,0)+COUNTIF('Detalle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individual'!F366="Completado",30000000,0)+COUNTIF('Detalle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individual'!F367="Completado",30000000,0)+COUNTIF('Detalle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individual'!F368="Completado",30000000,0)+COUNTIF('Detalle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individual'!F369="Completado",30000000,0)+COUNTIF('Detalle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individual'!F370="Completado",30000000,0)+COUNTIF('Detalle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individual'!F371="Completado",30000000,0)+COUNTIF('Detalle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individual'!F372="Completado",30000000,0)+COUNTIF('Detalle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individual'!F373="Completado",30000000,0)+COUNTIF('Detalle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individual'!F374="Completado",30000000,0)+COUNTIF('Detalle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individual'!F375="Completado",30000000,0)+COUNTIF('Detalle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individual'!F376="Completado",30000000,0)+COUNTIF('Detalle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individual'!F377="Completado",30000000,0)+COUNTIF('Detalle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individual'!F378="Completado",30000000,0)+COUNTIF('Detalle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individual'!F379="Completado",30000000,0)+COUNTIF('Detalle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individual'!F380="Completado",30000000,0)+COUNTIF('Detalle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individual'!F381="Completado",30000000,0)+COUNTIF('Detalle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individual'!F382="Completado",30000000,0)+COUNTIF('Detalle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individual'!F383="Completado",30000000,0)+COUNTIF('Detalle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individual'!F384="Completado",30000000,0)+COUNTIF('Detalle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individual'!F385="Completado",30000000,0)+COUNTIF('Detalle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individual'!F386="Completado",30000000,0)+COUNTIF('Detalle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individual'!F387="Completado",30000000,0)+COUNTIF('Detalle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individual'!F388="Completado",30000000,0)+COUNTIF('Detalle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individual'!F389="Completado",30000000,0)+COUNTIF('Detalle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individual'!F390="Completado",30000000,0)+COUNTIF('Detalle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individual'!F391="Completado",30000000,0)+COUNTIF('Detalle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individual'!F392="Completado",30000000,0)+COUNTIF('Detalle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individual'!F393="Completado",30000000,0)+COUNTIF('Detalle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individual'!F394="Completado",30000000,0)+COUNTIF('Detalle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individual'!F395="Completado",30000000,0)+COUNTIF('Detalle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individual'!F396="Completado",30000000,0)+COUNTIF('Detalle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individual'!F397="Completado",30000000,0)+COUNTIF('Detalle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individual'!F398="Completado",30000000,0)+COUNTIF('Detalle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individual'!F399="Completado",30000000,0)+COUNTIF('Detalle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individual'!F400="Completado",30000000,0)+COUNTIF('Detalle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individual'!F401="Completado",30000000,0)+COUNTIF('Detalle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individual'!F402="Completado",30000000,0)+COUNTIF('Detalle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individual'!F403="Completado",30000000,0)+COUNTIF('Detalle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individual'!F404="Completado",30000000,0)+COUNTIF('Detalle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individual'!F405="Completado",30000000,0)+COUNTIF('Detalle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individual'!F406="Completado",30000000,0)+COUNTIF('Detalle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individual'!F407="Completado",30000000,0)+COUNTIF('Detalle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individual'!F408="Completado",30000000,0)+COUNTIF('Detalle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individual'!F409="Completado",30000000,0)+COUNTIF('Detalle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individual'!F410="Completado",30000000,0)+COUNTIF('Detalle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individual'!F411="Completado",30000000,0)+COUNTIF('Detalle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individual'!F412="Completado",30000000,0)+COUNTIF('Detalle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individual'!F413="Completado",30000000,0)+COUNTIF('Detalle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individual'!F414="Completado",30000000,0)+COUNTIF('Detalle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individual'!F415="Completado",30000000,0)+COUNTIF('Detalle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individual'!F416="Completado",30000000,0)+COUNTIF('Detalle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individual'!F417="Completado",30000000,0)+COUNTIF('Detalle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individual'!F418="Completado",30000000,0)+COUNTIF('Detalle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individual'!F419="Completado",30000000,0)+COUNTIF('Detalle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individual'!F420="Completado",30000000,0)+COUNTIF('Detalle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individual'!F421="Completado",30000000,0)+COUNTIF('Detalle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individual'!F422="Completado",30000000,0)+COUNTIF('Detalle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individual'!F423="Completado",30000000,0)+COUNTIF('Detalle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individual'!F424="Completado",30000000,0)+COUNTIF('Detalle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individual'!F425="Completado",30000000,0)+COUNTIF('Detalle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individual'!F426="Completado",30000000,0)+COUNTIF('Detalle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individual'!F427="Completado",30000000,0)+COUNTIF('Detalle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individual'!F428="Completado",30000000,0)+COUNTIF('Detalle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individual'!F429="Completado",30000000,0)+COUNTIF('Detalle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individual'!F430="Completado",30000000,0)+COUNTIF('Detalle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individual'!F431="Completado",30000000,0)+COUNTIF('Detalle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individual'!F432="Completado",30000000,0)+COUNTIF('Detalle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individual'!F433="Completado",30000000,0)+COUNTIF('Detalle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individual'!F434="Completado",30000000,0)+COUNTIF('Detalle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individual'!F435="Completado",30000000,0)+COUNTIF('Detalle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individual'!F436="Completado",30000000,0)+COUNTIF('Detalle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individual'!F437="Completado",30000000,0)+COUNTIF('Detalle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individual'!F438="Completado",30000000,0)+COUNTIF('Detalle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individual'!F439="Completado",30000000,0)+COUNTIF('Detalle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individual'!F440="Completado",30000000,0)+COUNTIF('Detalle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individual'!F441="Completado",30000000,0)+COUNTIF('Detalle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individual'!F442="Completado",30000000,0)+COUNTIF('Detalle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individual'!F443="Completado",30000000,0)+COUNTIF('Detalle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individual'!F444="Completado",30000000,0)+COUNTIF('Detalle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individual'!F445="Completado",30000000,0)+COUNTIF('Detalle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individual'!F446="Completado",30000000,0)+COUNTIF('Detalle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individual'!F447="Completado",30000000,0)+COUNTIF('Detalle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individual'!F448="Completado",30000000,0)+COUNTIF('Detalle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individual'!F449="Completado",30000000,0)+COUNTIF('Detalle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individual'!F450="Completado",30000000,0)+COUNTIF('Detalle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individual'!F451="Completado",30000000,0)+COUNTIF('Detalle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individual'!F452="Completado",30000000,0)+COUNTIF('Detalle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individual'!F453="Completado",30000000,0)+COUNTIF('Detalle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individual'!F454="Completado",30000000,0)+COUNTIF('Detalle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individual'!F455="Completado",30000000,0)+COUNTIF('Detalle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individual'!F456="Completado",30000000,0)+COUNTIF('Detalle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individual'!F457="Completado",30000000,0)+COUNTIF('Detalle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individual'!F458="Completado",30000000,0)+COUNTIF('Detalle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individual'!F459="Completado",30000000,0)+COUNTIF('Detalle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individual'!F460="Completado",30000000,0)+COUNTIF('Detalle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individual'!F461="Completado",30000000,0)+COUNTIF('Detalle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individual'!F462="Completado",30000000,0)+COUNTIF('Detalle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individual'!F463="Completado",30000000,0)+COUNTIF('Detalle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individual'!F464="Completado",30000000,0)+COUNTIF('Detalle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individual'!F465="Completado",30000000,0)+COUNTIF('Detalle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individual'!F466="Completado",30000000,0)+COUNTIF('Detalle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individual'!F467="Completado",30000000,0)+COUNTIF('Detalle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individual'!F468="Completado",30000000,0)+COUNTIF('Detalle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individual'!F469="Completado",30000000,0)+COUNTIF('Detalle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individual'!F470="Completado",30000000,0)+COUNTIF('Detalle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individual'!F471="Completado",30000000,0)+COUNTIF('Detalle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individual'!F472="Completado",30000000,0)+COUNTIF('Detalle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individual'!F473="Completado",30000000,0)+COUNTIF('Detalle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individual'!F474="Completado",30000000,0)+COUNTIF('Detalle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individual'!F475="Completado",30000000,0)+COUNTIF('Detalle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individual'!F476="Completado",30000000,0)+COUNTIF('Detalle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individual'!F477="Completado",30000000,0)+COUNTIF('Detalle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individual'!F478="Completado",30000000,0)+COUNTIF('Detalle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individual'!F479="Completado",30000000,0)+COUNTIF('Detalle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individual'!F480="Completado",30000000,0)+COUNTIF('Detalle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individual'!F481="Completado",30000000,0)+COUNTIF('Detalle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individual'!F482="Completado",30000000,0)+COUNTIF('Detalle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individual'!F483="Completado",30000000,0)+COUNTIF('Detalle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individual'!F484="Completado",30000000,0)+COUNTIF('Detalle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individual'!F485="Completado",30000000,0)+COUNTIF('Detalle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individual'!F486="Completado",30000000,0)+COUNTIF('Detalle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individual'!F487="Completado",30000000,0)+COUNTIF('Detalle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individual'!F488="Completado",30000000,0)+COUNTIF('Detalle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individual'!F489="Completado",30000000,0)+COUNTIF('Detalle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individual'!F490="Completado",30000000,0)+COUNTIF('Detalle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individual'!F491="Completado",30000000,0)+COUNTIF('Detalle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individual'!F492="Completado",30000000,0)+COUNTIF('Detalle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individual'!F493="Completado",30000000,0)+COUNTIF('Detalle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individual'!F494="Completado",30000000,0)+COUNTIF('Detalle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individual'!F495="Completado",30000000,0)+COUNTIF('Detalle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individual'!F496="Completado",30000000,0)+COUNTIF('Detalle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individual'!F497="Completado",30000000,0)+COUNTIF('Detalle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individual'!F498="Completado",30000000,0)+COUNTIF('Detalle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individual'!F499="Completado",30000000,0)+COUNTIF('Detalle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individual'!F500="Completado",30000000,0)+COUNTIF('Detalle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individual'!F501="Completado",30000000,0)+COUNTIF('Detalle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individual'!F502="Completado",30000000,0)+COUNTIF('Detalle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individual'!F503="Completado",30000000,0)+COUNTIF('Detalle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individual'!F504="Completado",30000000,0)+COUNTIF('Detalle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individual'!F505="Completado",30000000,0)+COUNTIF('Detalle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individual'!F506="Completado",30000000,0)+COUNTIF('Detalle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individual'!F507="Completado",30000000,0)+COUNTIF('Detalle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individual'!F508="Completado",30000000,0)+COUNTIF('Detalle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individual'!F509="Completado",30000000,0)+COUNTIF('Detalle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individual'!F510="Completado",30000000,0)+COUNTIF('Detalle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individual'!F511="Completado",30000000,0)+COUNTIF('Detalle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individual'!F512="Completado",30000000,0)+COUNTIF('Detalle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individual'!F513="Completado",30000000,0)+COUNTIF('Detalle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individual'!F514="Completado",30000000,0)+COUNTIF('Detalle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individual'!F515="Completado",30000000,0)+COUNTIF('Detalle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individual'!F516="Completado",30000000,0)+COUNTIF('Detalle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individual'!F517="Completado",30000000,0)+COUNTIF('Detalle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individual'!F518="Completado",30000000,0)+COUNTIF('Detalle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individual'!F519="Completado",30000000,0)+COUNTIF('Detalle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individual'!F520="Completado",30000000,0)+COUNTIF('Detalle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individual'!F521="Completado",30000000,0)+COUNTIF('Detalle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individual'!F522="Completado",30000000,0)+COUNTIF('Detalle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individual'!F523="Completado",30000000,0)+COUNTIF('Detalle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individual'!F524="Completado",30000000,0)+COUNTIF('Detalle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individual'!F525="Completado",30000000,0)+COUNTIF('Detalle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individual'!F526="Completado",30000000,0)+COUNTIF('Detalle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individual'!F527="Completado",30000000,0)+COUNTIF('Detalle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individual'!F528="Completado",30000000,0)+COUNTIF('Detalle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individual'!F529="Completado",30000000,0)+COUNTIF('Detalle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individual'!F530="Completado",30000000,0)+COUNTIF('Detalle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individual'!F531="Completado",30000000,0)+COUNTIF('Detalle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individual'!F532="Completado",30000000,0)+COUNTIF('Detalle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individual'!F533="Completado",30000000,0)+COUNTIF('Detalle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individual'!F534="Completado",30000000,0)+COUNTIF('Detalle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individual'!F535="Completado",30000000,0)+COUNTIF('Detalle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individual'!F536="Completado",30000000,0)+COUNTIF('Detalle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individual'!F537="Completado",30000000,0)+COUNTIF('Detalle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individual'!F538="Completado",30000000,0)+COUNTIF('Detalle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individual'!F539="Completado",30000000,0)+COUNTIF('Detalle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individual'!F540="Completado",30000000,0)+COUNTIF('Detalle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individual'!F541="Completado",30000000,0)+COUNTIF('Detalle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individual'!F542="Completado",30000000,0)+COUNTIF('Detalle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individual'!F543="Completado",30000000,0)+COUNTIF('Detalle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individual'!F544="Completado",30000000,0)+COUNTIF('Detalle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individual'!F545="Completado",30000000,0)+COUNTIF('Detalle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individual'!F546="Completado",30000000,0)+COUNTIF('Detalle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individual'!F547="Completado",30000000,0)+COUNTIF('Detalle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individual'!F548="Completado",30000000,0)+COUNTIF('Detalle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individual'!F549="Completado",30000000,0)+COUNTIF('Detalle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individual'!F550="Completado",30000000,0)+COUNTIF('Detalle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individual'!F551="Completado",30000000,0)+COUNTIF('Detalle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individual'!F552="Completado",30000000,0)+COUNTIF('Detalle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individual'!F553="Completado",30000000,0)+COUNTIF('Detalle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individual'!F554="Completado",30000000,0)+COUNTIF('Detalle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individual'!F555="Completado",30000000,0)+COUNTIF('Detalle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individual'!F556="Completado",30000000,0)+COUNTIF('Detalle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individual'!F557="Completado",30000000,0)+COUNTIF('Detalle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individual'!F558="Completado",30000000,0)+COUNTIF('Detalle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individual'!F559="Completado",30000000,0)+COUNTIF('Detalle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individual'!F560="Completado",30000000,0)+COUNTIF('Detalle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individual'!F561="Completado",30000000,0)+COUNTIF('Detalle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individual'!F562="Completado",30000000,0)+COUNTIF('Detalle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individual'!F563="Completado",30000000,0)+COUNTIF('Detalle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individual'!F564="Completado",30000000,0)+COUNTIF('Detalle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individual'!F565="Completado",30000000,0)+COUNTIF('Detalle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individual'!F566="Completado",30000000,0)+COUNTIF('Detalle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individual'!F567="Completado",30000000,0)+COUNTIF('Detalle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individual'!F568="Completado",30000000,0)+COUNTIF('Detalle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individual'!F569="Completado",30000000,0)+COUNTIF('Detalle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individual'!F570="Completado",30000000,0)+COUNTIF('Detalle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individual'!F571="Completado",30000000,0)+COUNTIF('Detalle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individual'!F572="Completado",30000000,0)+COUNTIF('Detalle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individual'!F573="Completado",30000000,0)+COUNTIF('Detalle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individual'!F574="Completado",30000000,0)+COUNTIF('Detalle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individual'!F575="Completado",30000000,0)+COUNTIF('Detalle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individual'!F576="Completado",30000000,0)+COUNTIF('Detalle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individual'!F577="Completado",30000000,0)+COUNTIF('Detalle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individual'!F578="Completado",30000000,0)+COUNTIF('Detalle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individual'!F579="Completado",30000000,0)+COUNTIF('Detalle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individual'!F580="Completado",30000000,0)+COUNTIF('Detalle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individual'!F581="Completado",30000000,0)+COUNTIF('Detalle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individual'!F582="Completado",30000000,0)+COUNTIF('Detalle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individual'!F583="Completado",30000000,0)+COUNTIF('Detalle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individual'!F584="Completado",30000000,0)+COUNTIF('Detalle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individual'!F585="Completado",30000000,0)+COUNTIF('Detalle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individual'!F586="Completado",30000000,0)+COUNTIF('Detalle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individual'!F587="Completado",30000000,0)+COUNTIF('Detalle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individual'!F588="Completado",30000000,0)+COUNTIF('Detalle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individual'!F589="Completado",30000000,0)+COUNTIF('Detalle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individual'!F590="Completado",30000000,0)+COUNTIF('Detalle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individual'!F591="Completado",30000000,0)+COUNTIF('Detalle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individual'!F592="Completado",30000000,0)+COUNTIF('Detalle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individual'!F593="Completado",30000000,0)+COUNTIF('Detalle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individual'!F594="Completado",30000000,0)+COUNTIF('Detalle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individual'!F595="Completado",30000000,0)+COUNTIF('Detalle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individual'!F596="Completado",30000000,0)+COUNTIF('Detalle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individual'!F597="Completado",30000000,0)+COUNTIF('Detalle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individual'!F598="Completado",30000000,0)+COUNTIF('Detalle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individual'!F599="Completado",30000000,0)+COUNTIF('Detalle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individual'!F600="Completado",30000000,0)+COUNTIF('Detalle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individual'!F601="Completado",30000000,0)+COUNTIF('Detalle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individual'!F602="Completado",30000000,0)+COUNTIF('Detalle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individual'!F603="Completado",30000000,0)+COUNTIF('Detalle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individual'!F604="Completado",30000000,0)+COUNTIF('Detalle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individual'!F605="Completado",30000000,0)+COUNTIF('Detalle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individual'!F606="Completado",30000000,0)+COUNTIF('Detalle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individual'!F607="Completado",30000000,0)+COUNTIF('Detalle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individual'!F608="Completado",30000000,0)+COUNTIF('Detalle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individual'!F609="Completado",30000000,0)+COUNTIF('Detalle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individual'!F610="Completado",30000000,0)+COUNTIF('Detalle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individual'!F611="Completado",30000000,0)+COUNTIF('Detalle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individual'!F612="Completado",30000000,0)+COUNTIF('Detalle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individual'!F613="Completado",30000000,0)+COUNTIF('Detalle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individual'!F614="Completado",30000000,0)+COUNTIF('Detalle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individual'!F615="Completado",30000000,0)+COUNTIF('Detalle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individual'!F616="Completado",30000000,0)+COUNTIF('Detalle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individual'!F617="Completado",30000000,0)+COUNTIF('Detalle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individual'!F618="Completado",30000000,0)+COUNTIF('Detalle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individual'!F619="Completado",30000000,0)+COUNTIF('Detalle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individual'!F620="Completado",30000000,0)+COUNTIF('Detalle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individual'!F621="Completado",30000000,0)+COUNTIF('Detalle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individual'!F622="Completado",30000000,0)+COUNTIF('Detalle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individual'!F623="Completado",30000000,0)+COUNTIF('Detalle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individual'!F624="Completado",30000000,0)+COUNTIF('Detalle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individual'!F625="Completado",30000000,0)+COUNTIF('Detalle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individual'!F626="Completado",30000000,0)+COUNTIF('Detalle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individual'!F627="Completado",30000000,0)+COUNTIF('Detalle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individual'!F628="Completado",30000000,0)+COUNTIF('Detalle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individual'!F629="Completado",30000000,0)+COUNTIF('Detalle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individual'!F630="Completado",30000000,0)+COUNTIF('Detalle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individual'!F631="Completado",30000000,0)+COUNTIF('Detalle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individual'!F632="Completado",30000000,0)+COUNTIF('Detalle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individual'!F633="Completado",30000000,0)+COUNTIF('Detalle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individual'!F634="Completado",30000000,0)+COUNTIF('Detalle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individual'!F635="Completado",30000000,0)+COUNTIF('Detalle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individual'!F636="Completado",30000000,0)+COUNTIF('Detalle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individual'!F637="Completado",30000000,0)+COUNTIF('Detalle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individual'!F638="Completado",30000000,0)+COUNTIF('Detalle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individual'!F639="Completado",30000000,0)+COUNTIF('Detalle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individual'!F640="Completado",30000000,0)+COUNTIF('Detalle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individual'!F641="Completado",30000000,0)+COUNTIF('Detalle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individual'!F642="Completado",30000000,0)+COUNTIF('Detalle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individual'!F643="Completado",30000000,0)+COUNTIF('Detalle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individual'!F644="Completado",30000000,0)+COUNTIF('Detalle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individual'!F645="Completado",30000000,0)+COUNTIF('Detalle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individual'!F646="Completado",30000000,0)+COUNTIF('Detalle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individual'!F647="Completado",30000000,0)+COUNTIF('Detalle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individual'!F648="Completado",30000000,0)+COUNTIF('Detalle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individual'!F649="Completado",30000000,0)+COUNTIF('Detalle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individual'!F650="Completado",30000000,0)+COUNTIF('Detalle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individual'!F651="Completado",30000000,0)+COUNTIF('Detalle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individual'!F652="Completado",30000000,0)+COUNTIF('Detalle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individual'!F653="Completado",30000000,0)+COUNTIF('Detalle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individual'!F654="Completado",30000000,0)+COUNTIF('Detalle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individual'!F655="Completado",30000000,0)+COUNTIF('Detalle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individual'!F656="Completado",30000000,0)+COUNTIF('Detalle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individual'!F657="Completado",30000000,0)+COUNTIF('Detalle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individual'!F658="Completado",30000000,0)+COUNTIF('Detalle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individual'!F659="Completado",30000000,0)+COUNTIF('Detalle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individual'!F660="Completado",30000000,0)+COUNTIF('Detalle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individual'!F661="Completado",30000000,0)+COUNTIF('Detalle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individual'!F662="Completado",30000000,0)+COUNTIF('Detalle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individual'!F663="Completado",30000000,0)+COUNTIF('Detalle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individual'!F664="Completado",30000000,0)+COUNTIF('Detalle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individual'!F665="Completado",30000000,0)+COUNTIF('Detalle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individual'!F666="Completado",30000000,0)+COUNTIF('Detalle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individual'!F667="Completado",30000000,0)+COUNTIF('Detalle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individual'!F668="Completado",30000000,0)+COUNTIF('Detalle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individual'!F669="Completado",30000000,0)+COUNTIF('Detalle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individual'!F670="Completado",30000000,0)+COUNTIF('Detalle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individual'!F671="Completado",30000000,0)+COUNTIF('Detalle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individual'!F672="Completado",30000000,0)+COUNTIF('Detalle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individual'!F673="Completado",30000000,0)+COUNTIF('Detalle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individual'!F674="Completado",30000000,0)+COUNTIF('Detalle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individual'!F675="Completado",30000000,0)+COUNTIF('Detalle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individual'!F676="Completado",30000000,0)+COUNTIF('Detalle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individual'!F677="Completado",30000000,0)+COUNTIF('Detalle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individual'!F678="Completado",30000000,0)+COUNTIF('Detalle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individual'!F679="Completado",30000000,0)+COUNTIF('Detalle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individual'!F680="Completado",30000000,0)+COUNTIF('Detalle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individual'!F681="Completado",30000000,0)+COUNTIF('Detalle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individual'!F682="Completado",30000000,0)+COUNTIF('Detalle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individual'!F683="Completado",30000000,0)+COUNTIF('Detalle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individual'!F684="Completado",30000000,0)+COUNTIF('Detalle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individual'!F685="Completado",30000000,0)+COUNTIF('Detalle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individual'!F686="Completado",30000000,0)+COUNTIF('Detalle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individual'!F687="Completado",30000000,0)+COUNTIF('Detalle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individual'!F688="Completado",30000000,0)+COUNTIF('Detalle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individual'!F689="Completado",30000000,0)+COUNTIF('Detalle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individual'!F690="Completado",30000000,0)+COUNTIF('Detalle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individual'!F691="Completado",30000000,0)+COUNTIF('Detalle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individual'!F692="Completado",30000000,0)+COUNTIF('Detalle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individual'!F693="Completado",30000000,0)+COUNTIF('Detalle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individual'!F694="Completado",30000000,0)+COUNTIF('Detalle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individual'!F695="Completado",30000000,0)+COUNTIF('Detalle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individual'!F696="Completado",30000000,0)+COUNTIF('Detalle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individual'!F697="Completado",30000000,0)+COUNTIF('Detalle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individual'!F698="Completado",30000000,0)+COUNTIF('Detalle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individual'!F699="Completado",30000000,0)+COUNTIF('Detalle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individual'!F700="Completado",30000000,0)+COUNTIF('Detalle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individual'!F701="Completado",30000000,0)+COUNTIF('Detalle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individual'!F702="Completado",30000000,0)+COUNTIF('Detalle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individual'!F703="Completado",30000000,0)+COUNTIF('Detalle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individual'!F704="Completado",30000000,0)+COUNTIF('Detalle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individual'!F705="Completado",30000000,0)+COUNTIF('Detalle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individual'!F706="Completado",30000000,0)+COUNTIF('Detalle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individual'!F707="Completado",30000000,0)+COUNTIF('Detalle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individual'!F708="Completado",30000000,0)+COUNTIF('Detalle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individual'!F709="Completado",30000000,0)+COUNTIF('Detalle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individual'!F710="Completado",30000000,0)+COUNTIF('Detalle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individual'!F711="Completado",30000000,0)+COUNTIF('Detalle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individual'!F712="Completado",30000000,0)+COUNTIF('Detalle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individual'!F713="Completado",30000000,0)+COUNTIF('Detalle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individual'!F714="Completado",30000000,0)+COUNTIF('Detalle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individual'!F715="Completado",30000000,0)+COUNTIF('Detalle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individual'!F716="Completado",30000000,0)+COUNTIF('Detalle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individual'!F717="Completado",30000000,0)+COUNTIF('Detalle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individual'!F718="Completado",30000000,0)+COUNTIF('Detalle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individual'!F719="Completado",30000000,0)+COUNTIF('Detalle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individual'!F720="Completado",30000000,0)+COUNTIF('Detalle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individual'!F721="Completado",30000000,0)+COUNTIF('Detalle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individual'!F722="Completado",30000000,0)+COUNTIF('Detalle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individual'!F723="Completado",30000000,0)+COUNTIF('Detalle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individual'!F724="Completado",30000000,0)+COUNTIF('Detalle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individual'!F725="Completado",30000000,0)+COUNTIF('Detalle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individual'!F726="Completado",30000000,0)+COUNTIF('Detalle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individual'!F727="Completado",30000000,0)+COUNTIF('Detalle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individual'!F728="Completado",30000000,0)+COUNTIF('Detalle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individual'!F729="Completado",30000000,0)+COUNTIF('Detalle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individual'!F730="Completado",30000000,0)+COUNTIF('Detalle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individual'!F731="Completado",30000000,0)+COUNTIF('Detalle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individual'!F732="Completado",30000000,0)+COUNTIF('Detalle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individual'!F733="Completado",30000000,0)+COUNTIF('Detalle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individual'!F734="Completado",30000000,0)+COUNTIF('Detalle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individual'!F735="Completado",30000000,0)+COUNTIF('Detalle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individual'!F736="Completado",30000000,0)+COUNTIF('Detalle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individual'!F737="Completado",30000000,0)+COUNTIF('Detalle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individual'!F738="Completado",30000000,0)+COUNTIF('Detalle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individual'!F739="Completado",30000000,0)+COUNTIF('Detalle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individual'!F740="Completado",30000000,0)+COUNTIF('Detalle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individual'!F741="Completado",30000000,0)+COUNTIF('Detalle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individual'!F742="Completado",30000000,0)+COUNTIF('Detalle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individual'!F743="Completado",30000000,0)+COUNTIF('Detalle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individual'!F744="Completado",30000000,0)+COUNTIF('Detalle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individual'!F745="Completado",30000000,0)+COUNTIF('Detalle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individual'!F746="Completado",30000000,0)+COUNTIF('Detalle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individual'!F747="Completado",30000000,0)+COUNTIF('Detalle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individual'!F748="Completado",30000000,0)+COUNTIF('Detalle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individual'!F749="Completado",30000000,0)+COUNTIF('Detalle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individual'!F750="Completado",30000000,0)+COUNTIF('Detalle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individual'!F751="Completado",30000000,0)+COUNTIF('Detalle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individual'!F752="Completado",30000000,0)+COUNTIF('Detalle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individual'!F753="Completado",30000000,0)+COUNTIF('Detalle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individual'!F754="Completado",30000000,0)+COUNTIF('Detalle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individual'!F755="Completado",30000000,0)+COUNTIF('Detalle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individual'!F756="Completado",30000000,0)+COUNTIF('Detalle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individual'!F757="Completado",30000000,0)+COUNTIF('Detalle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individual'!F758="Completado",30000000,0)+COUNTIF('Detalle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individual'!F759="Completado",30000000,0)+COUNTIF('Detalle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individual'!F760="Completado",30000000,0)+COUNTIF('Detalle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individual'!F761="Completado",30000000,0)+COUNTIF('Detalle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individual'!F762="Completado",30000000,0)+COUNTIF('Detalle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individual'!F763="Completado",30000000,0)+COUNTIF('Detalle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individual'!F764="Completado",30000000,0)+COUNTIF('Detalle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individual'!F765="Completado",30000000,0)+COUNTIF('Detalle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individual'!F766="Completado",30000000,0)+COUNTIF('Detalle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individual'!F767="Completado",30000000,0)+COUNTIF('Detalle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individual'!F768="Completado",30000000,0)+COUNTIF('Detalle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individual'!F769="Completado",30000000,0)+COUNTIF('Detalle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individual'!F770="Completado",30000000,0)+COUNTIF('Detalle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individual'!F771="Completado",30000000,0)+COUNTIF('Detalle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individual'!F772="Completado",30000000,0)+COUNTIF('Detalle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individual'!F773="Completado",30000000,0)+COUNTIF('Detalle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individual'!F774="Completado",30000000,0)+COUNTIF('Detalle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individual'!F775="Completado",30000000,0)+COUNTIF('Detalle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individual'!F776="Completado",30000000,0)+COUNTIF('Detalle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individual'!F777="Completado",30000000,0)+COUNTIF('Detalle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individual'!F778="Completado",30000000,0)+COUNTIF('Detalle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individual'!F779="Completado",30000000,0)+COUNTIF('Detalle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individual'!F780="Completado",30000000,0)+COUNTIF('Detalle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individual'!F781="Completado",30000000,0)+COUNTIF('Detalle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individual'!F782="Completado",30000000,0)+COUNTIF('Detalle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individual'!F783="Completado",30000000,0)+COUNTIF('Detalle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individual'!F784="Completado",30000000,0)+COUNTIF('Detalle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individual'!F785="Completado",30000000,0)+COUNTIF('Detalle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individual'!F786="Completado",30000000,0)+COUNTIF('Detalle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individual'!F787="Completado",30000000,0)+COUNTIF('Detalle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individual'!F788="Completado",30000000,0)+COUNTIF('Detalle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individual'!F789="Completado",30000000,0)+COUNTIF('Detalle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individual'!F790="Completado",30000000,0)+COUNTIF('Detalle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individual'!F791="Completado",30000000,0)+COUNTIF('Detalle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individual'!F792="Completado",30000000,0)+COUNTIF('Detalle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individual'!F793="Completado",30000000,0)+COUNTIF('Detalle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individual'!F794="Completado",30000000,0)+COUNTIF('Detalle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individual'!F795="Completado",30000000,0)+COUNTIF('Detalle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individual'!F796="Completado",30000000,0)+COUNTIF('Detalle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individual'!F797="Completado",30000000,0)+COUNTIF('Detalle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individual'!F798="Completado",30000000,0)+COUNTIF('Detalle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individual'!F799="Completado",30000000,0)+COUNTIF('Detalle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individual'!F800="Completado",30000000,0)+COUNTIF('Detalle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individual'!F801="Completado",30000000,0)+COUNTIF('Detalle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individual'!F802="Completado",30000000,0)+COUNTIF('Detalle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individual'!F803="Completado",30000000,0)+COUNTIF('Detalle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individual'!F804="Completado",30000000,0)+COUNTIF('Detalle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individual'!F805="Completado",30000000,0)+COUNTIF('Detalle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individual'!F806="Completado",30000000,0)+COUNTIF('Detalle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individual'!F807="Completado",30000000,0)+COUNTIF('Detalle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individual'!F808="Completado",30000000,0)+COUNTIF('Detalle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individual'!F809="Completado",30000000,0)+COUNTIF('Detalle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individual'!F810="Completado",30000000,0)+COUNTIF('Detalle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individual'!F811="Completado",30000000,0)+COUNTIF('Detalle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individual'!F812="Completado",30000000,0)+COUNTIF('Detalle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individual'!F813="Completado",30000000,0)+COUNTIF('Detalle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individual'!F814="Completado",30000000,0)+COUNTIF('Detalle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individual'!F815="Completado",30000000,0)+COUNTIF('Detalle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individual'!F816="Completado",30000000,0)+COUNTIF('Detalle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individual'!F817="Completado",30000000,0)+COUNTIF('Detalle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individual'!F818="Completado",30000000,0)+COUNTIF('Detalle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individual'!F819="Completado",30000000,0)+COUNTIF('Detalle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individual'!F820="Completado",30000000,0)+COUNTIF('Detalle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individual'!F821="Completado",30000000,0)+COUNTIF('Detalle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individual'!F822="Completado",30000000,0)+COUNTIF('Detalle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individual'!F823="Completado",30000000,0)+COUNTIF('Detalle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individual'!F824="Completado",30000000,0)+COUNTIF('Detalle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individual'!F825="Completado",30000000,0)+COUNTIF('Detalle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individual'!F826="Completado",30000000,0)+COUNTIF('Detalle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individual'!F827="Completado",30000000,0)+COUNTIF('Detalle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individual'!F828="Completado",30000000,0)+COUNTIF('Detalle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individual'!F829="Completado",30000000,0)+COUNTIF('Detalle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individual'!F830="Completado",30000000,0)+COUNTIF('Detalle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individual'!F831="Completado",30000000,0)+COUNTIF('Detalle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individual'!F832="Completado",30000000,0)+COUNTIF('Detalle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individual'!F833="Completado",30000000,0)+COUNTIF('Detalle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individual'!F834="Completado",30000000,0)+COUNTIF('Detalle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individual'!F835="Completado",30000000,0)+COUNTIF('Detalle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individual'!F836="Completado",30000000,0)+COUNTIF('Detalle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individual'!F837="Completado",30000000,0)+COUNTIF('Detalle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individual'!F838="Completado",30000000,0)+COUNTIF('Detalle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individual'!F839="Completado",30000000,0)+COUNTIF('Detalle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individual'!F840="Completado",30000000,0)+COUNTIF('Detalle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individual'!F841="Completado",30000000,0)+COUNTIF('Detalle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individual'!F842="Completado",30000000,0)+COUNTIF('Detalle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individual'!F843="Completado",30000000,0)+COUNTIF('Detalle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individual'!F844="Completado",30000000,0)+COUNTIF('Detalle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individual'!F845="Completado",30000000,0)+COUNTIF('Detalle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individual'!F846="Completado",30000000,0)+COUNTIF('Detalle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individual'!F847="Completado",30000000,0)+COUNTIF('Detalle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individual'!F848="Completado",30000000,0)+COUNTIF('Detalle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individual'!F849="Completado",30000000,0)+COUNTIF('Detalle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individual'!F850="Completado",30000000,0)+COUNTIF('Detalle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individual'!F851="Completado",30000000,0)+COUNTIF('Detalle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individual'!F852="Completado",30000000,0)+COUNTIF('Detalle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individual'!F853="Completado",30000000,0)+COUNTIF('Detalle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individual'!F854="Completado",30000000,0)+COUNTIF('Detalle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individual'!F855="Completado",30000000,0)+COUNTIF('Detalle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individual'!F856="Completado",30000000,0)+COUNTIF('Detalle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individual'!F857="Completado",30000000,0)+COUNTIF('Detalle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individual'!F858="Completado",30000000,0)+COUNTIF('Detalle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individual'!F859="Completado",30000000,0)+COUNTIF('Detalle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individual'!F860="Completado",30000000,0)+COUNTIF('Detalle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individual'!F861="Completado",30000000,0)+COUNTIF('Detalle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individual'!F862="Completado",30000000,0)+COUNTIF('Detalle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individual'!F863="Completado",30000000,0)+COUNTIF('Detalle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individual'!F864="Completado",30000000,0)+COUNTIF('Detalle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individual'!F865="Completado",30000000,0)+COUNTIF('Detalle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individual'!F866="Completado",30000000,0)+COUNTIF('Detalle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individual'!F867="Completado",30000000,0)+COUNTIF('Detalle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individual'!F868="Completado",30000000,0)+COUNTIF('Detalle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individual'!F869="Completado",30000000,0)+COUNTIF('Detalle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individual'!F870="Completado",30000000,0)+COUNTIF('Detalle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individual'!F871="Completado",30000000,0)+COUNTIF('Detalle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individual'!F872="Completado",30000000,0)+COUNTIF('Detalle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individual'!F873="Completado",30000000,0)+COUNTIF('Detalle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individual'!F874="Completado",30000000,0)+COUNTIF('Detalle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individual'!F875="Completado",30000000,0)+COUNTIF('Detalle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individual'!F876="Completado",30000000,0)+COUNTIF('Detalle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individual'!F877="Completado",30000000,0)+COUNTIF('Detalle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individual'!F878="Completado",30000000,0)+COUNTIF('Detalle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individual'!F879="Completado",30000000,0)+COUNTIF('Detalle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individual'!F880="Completado",30000000,0)+COUNTIF('Detalle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individual'!F881="Completado",30000000,0)+COUNTIF('Detalle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individual'!F882="Completado",30000000,0)+COUNTIF('Detalle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individual'!F883="Completado",30000000,0)+COUNTIF('Detalle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individual'!F884="Completado",30000000,0)+COUNTIF('Detalle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individual'!F885="Completado",30000000,0)+COUNTIF('Detalle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individual'!F886="Completado",30000000,0)+COUNTIF('Detalle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individual'!F887="Completado",30000000,0)+COUNTIF('Detalle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individual'!F888="Completado",30000000,0)+COUNTIF('Detalle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individual'!F889="Completado",30000000,0)+COUNTIF('Detalle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individual'!F890="Completado",30000000,0)+COUNTIF('Detalle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individual'!F891="Completado",30000000,0)+COUNTIF('Detalle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individual'!F892="Completado",30000000,0)+COUNTIF('Detalle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individual'!F893="Completado",30000000,0)+COUNTIF('Detalle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individual'!F894="Completado",30000000,0)+COUNTIF('Detalle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individual'!F895="Completado",30000000,0)+COUNTIF('Detalle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individual'!F896="Completado",30000000,0)+COUNTIF('Detalle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individual'!F897="Completado",30000000,0)+COUNTIF('Detalle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individual'!F898="Completado",30000000,0)+COUNTIF('Detalle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individual'!F899="Completado",30000000,0)+COUNTIF('Detalle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individual'!F900="Completado",30000000,0)+COUNTIF('Detalle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individual'!F901="Completado",30000000,0)+COUNTIF('Detalle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individual'!F902="Completado",30000000,0)+COUNTIF('Detalle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individual'!F903="Completado",30000000,0)+COUNTIF('Detalle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individual'!F904="Completado",30000000,0)+COUNTIF('Detalle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individual'!F905="Completado",30000000,0)+COUNTIF('Detalle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individual'!F906="Completado",30000000,0)+COUNTIF('Detalle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individual'!F907="Completado",30000000,0)+COUNTIF('Detalle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individual'!F908="Completado",30000000,0)+COUNTIF('Detalle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individual'!F909="Completado",30000000,0)+COUNTIF('Detalle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individual'!F910="Completado",30000000,0)+COUNTIF('Detalle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individual'!F911="Completado",30000000,0)+COUNTIF('Detalle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individual'!F912="Completado",30000000,0)+COUNTIF('Detalle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individual'!F913="Completado",30000000,0)+COUNTIF('Detalle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individual'!F914="Completado",30000000,0)+COUNTIF('Detalle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individual'!F915="Completado",30000000,0)+COUNTIF('Detalle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individual'!F916="Completado",30000000,0)+COUNTIF('Detalle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individual'!F917="Completado",30000000,0)+COUNTIF('Detalle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individual'!F918="Completado",30000000,0)+COUNTIF('Detalle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individual'!F919="Completado",30000000,0)+COUNTIF('Detalle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individual'!F920="Completado",30000000,0)+COUNTIF('Detalle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individual'!F921="Completado",30000000,0)+COUNTIF('Detalle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individual'!F922="Completado",30000000,0)+COUNTIF('Detalle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individual'!F923="Completado",30000000,0)+COUNTIF('Detalle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individual'!F924="Completado",30000000,0)+COUNTIF('Detalle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individual'!F925="Completado",30000000,0)+COUNTIF('Detalle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individual'!F926="Completado",30000000,0)+COUNTIF('Detalle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individual'!F927="Completado",30000000,0)+COUNTIF('Detalle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individual'!F928="Completado",30000000,0)+COUNTIF('Detalle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individual'!F929="Completado",30000000,0)+COUNTIF('Detalle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individual'!F930="Completado",30000000,0)+COUNTIF('Detalle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individual'!F931="Completado",30000000,0)+COUNTIF('Detalle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individual'!F932="Completado",30000000,0)+COUNTIF('Detalle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individual'!F933="Completado",30000000,0)+COUNTIF('Detalle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individual'!F934="Completado",30000000,0)+COUNTIF('Detalle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individual'!F935="Completado",30000000,0)+COUNTIF('Detalle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individual'!F936="Completado",30000000,0)+COUNTIF('Detalle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individual'!F937="Completado",30000000,0)+COUNTIF('Detalle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individual'!F938="Completado",30000000,0)+COUNTIF('Detalle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individual'!F939="Completado",30000000,0)+COUNTIF('Detalle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individual'!F940="Completado",30000000,0)+COUNTIF('Detalle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individual'!F941="Completado",30000000,0)+COUNTIF('Detalle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individual'!F942="Completado",30000000,0)+COUNTIF('Detalle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individual'!F943="Completado",30000000,0)+COUNTIF('Detalle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individual'!F944="Completado",30000000,0)+COUNTIF('Detalle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individual'!F945="Completado",30000000,0)+COUNTIF('Detalle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individual'!F946="Completado",30000000,0)+COUNTIF('Detalle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individual'!F947="Completado",30000000,0)+COUNTIF('Detalle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individual'!F948="Completado",30000000,0)+COUNTIF('Detalle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individual'!F949="Completado",30000000,0)+COUNTIF('Detalle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individual'!F950="Completado",30000000,0)+COUNTIF('Detalle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individual'!F951="Completado",30000000,0)+COUNTIF('Detalle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individual'!F952="Completado",30000000,0)+COUNTIF('Detalle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individual'!F953="Completado",30000000,0)+COUNTIF('Detalle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individual'!F954="Completado",30000000,0)+COUNTIF('Detalle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individual'!F955="Completado",30000000,0)+COUNTIF('Detalle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individual'!F956="Completado",30000000,0)+COUNTIF('Detalle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individual'!F957="Completado",30000000,0)+COUNTIF('Detalle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individual'!F958="Completado",30000000,0)+COUNTIF('Detalle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individual'!F959="Completado",30000000,0)+COUNTIF('Detalle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individual'!F960="Completado",30000000,0)+COUNTIF('Detalle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individual'!F961="Completado",30000000,0)+COUNTIF('Detalle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individual'!F962="Completado",30000000,0)+COUNTIF('Detalle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individual'!F963="Completado",30000000,0)+COUNTIF('Detalle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individual'!F964="Completado",30000000,0)+COUNTIF('Detalle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individual'!F965="Completado",30000000,0)+COUNTIF('Detalle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individual'!F966="Completado",30000000,0)+COUNTIF('Detalle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individual'!F967="Completado",30000000,0)+COUNTIF('Detalle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individual'!F968="Completado",30000000,0)+COUNTIF('Detalle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individual'!F969="Completado",30000000,0)+COUNTIF('Detalle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individual'!F970="Completado",30000000,0)+COUNTIF('Detalle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individual'!F971="Completado",30000000,0)+COUNTIF('Detalle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individual'!F972="Completado",30000000,0)+COUNTIF('Detalle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individual'!F973="Completado",30000000,0)+COUNTIF('Detalle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individual'!F974="Completado",30000000,0)+COUNTIF('Detalle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individual'!F975="Completado",30000000,0)+COUNTIF('Detalle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individual'!F976="Completado",30000000,0)+COUNTIF('Detalle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individual'!F977="Completado",30000000,0)+COUNTIF('Detalle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individual'!F978="Completado",30000000,0)+COUNTIF('Detalle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individual'!F979="Completado",30000000,0)+COUNTIF('Detalle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individual'!F980="Completado",30000000,0)+COUNTIF('Detalle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individual'!F981="Completado",30000000,0)+COUNTIF('Detalle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individual'!F982="Completado",30000000,0)+COUNTIF('Detalle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individual'!F983="Completado",30000000,0)+COUNTIF('Detalle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individual'!F984="Completado",30000000,0)+COUNTIF('Detalle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individual'!F985="Completado",30000000,0)+COUNTIF('Detalle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individual'!F986="Completado",30000000,0)+COUNTIF('Detalle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individual'!F987="Completado",30000000,0)+COUNTIF('Detalle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individual'!F988="Completado",30000000,0)+COUNTIF('Detalle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individual'!F989="Completado",30000000,0)+COUNTIF('Detalle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individual'!F990="Completado",30000000,0)+COUNTIF('Detalle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individual'!F991="Completado",30000000,0)+COUNTIF('Detalle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individual'!F992="Completado",30000000,0)+COUNTIF('Detalle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individual'!F993="Completado",30000000,0)+COUNTIF('Detalle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individual'!F994="Completado",30000000,0)+COUNTIF('Detalle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individual'!F995="Completado",30000000,0)+COUNTIF('Detalle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individual'!F996="Completado",30000000,0)+COUNTIF('Detalle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individual'!F997="Completado",30000000,0)+COUNTIF('Detalle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individual'!F998="Completado",30000000,0)+COUNTIF('Detalle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individual'!F999="Completado",30000000,0)+COUNTIF('Detalle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individual'!F1000="Completado",30000000,0)+COUNTIF('Detalle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2026-10-15T15:13:22Z</dcterms:modified>
</cp:coreProperties>
</file>